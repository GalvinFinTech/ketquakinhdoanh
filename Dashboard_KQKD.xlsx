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018_Vin\04_Quarterly\Vin_KQKD\"/>
    </mc:Choice>
  </mc:AlternateContent>
  <xr:revisionPtr revIDLastSave="0" documentId="13_ncr:1_{163F535F-7979-4FA5-95B2-A3E814F49405}" xr6:coauthVersionLast="47" xr6:coauthVersionMax="47" xr10:uidLastSave="{00000000-0000-0000-0000-000000000000}"/>
  <bookViews>
    <workbookView xWindow="20370" yWindow="-120" windowWidth="20730" windowHeight="11040" xr2:uid="{E87E4DD3-D5C3-42A8-8702-67092BA61633}"/>
  </bookViews>
  <sheets>
    <sheet name="Dashboard" sheetId="2" r:id="rId1"/>
    <sheet name="Sheet4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2" l="1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C5" i="2" a="1"/>
  <c r="C5" i="2" s="1"/>
  <c r="F19" i="2" a="1"/>
  <c r="F19" i="2" s="1"/>
  <c r="F18" i="2" a="1"/>
  <c r="F18" i="2" s="1"/>
  <c r="F17" i="2" a="1"/>
  <c r="F17" i="2" s="1"/>
  <c r="F16" i="2" a="1"/>
  <c r="F16" i="2" s="1"/>
  <c r="F15" i="2" a="1"/>
  <c r="F15" i="2" s="1"/>
  <c r="F14" i="2" a="1"/>
  <c r="F14" i="2" s="1"/>
  <c r="F13" i="2" a="1"/>
  <c r="F13" i="2" s="1"/>
  <c r="F12" i="2" a="1"/>
  <c r="F12" i="2" s="1"/>
  <c r="F11" i="2" a="1"/>
  <c r="F11" i="2" s="1"/>
  <c r="F10" i="2" a="1"/>
  <c r="F10" i="2" s="1"/>
  <c r="F9" i="2" a="1"/>
  <c r="F9" i="2" s="1"/>
  <c r="G19" i="2" a="1"/>
  <c r="G19" i="2" s="1"/>
  <c r="E19" i="2" a="1"/>
  <c r="E19" i="2" s="1"/>
  <c r="D19" i="2" a="1"/>
  <c r="D19" i="2" s="1"/>
  <c r="C19" i="2" a="1"/>
  <c r="C19" i="2" s="1"/>
  <c r="B19" i="2"/>
  <c r="G18" i="2" a="1"/>
  <c r="G18" i="2" s="1"/>
  <c r="E18" i="2" a="1"/>
  <c r="E18" i="2" s="1"/>
  <c r="D18" i="2" a="1"/>
  <c r="D18" i="2" s="1"/>
  <c r="C18" i="2" a="1"/>
  <c r="C18" i="2" s="1"/>
  <c r="B18" i="2"/>
  <c r="G17" i="2" a="1"/>
  <c r="G17" i="2" s="1"/>
  <c r="E17" i="2" a="1"/>
  <c r="E17" i="2" s="1"/>
  <c r="D17" i="2" a="1"/>
  <c r="D17" i="2" s="1"/>
  <c r="C17" i="2" a="1"/>
  <c r="C17" i="2" s="1"/>
  <c r="B17" i="2"/>
  <c r="G16" i="2" a="1"/>
  <c r="G16" i="2" s="1"/>
  <c r="E16" i="2" a="1"/>
  <c r="E16" i="2" s="1"/>
  <c r="D16" i="2" a="1"/>
  <c r="D16" i="2" s="1"/>
  <c r="C16" i="2" a="1"/>
  <c r="C16" i="2" s="1"/>
  <c r="B16" i="2"/>
  <c r="G15" i="2" a="1"/>
  <c r="G15" i="2" s="1"/>
  <c r="E15" i="2" a="1"/>
  <c r="E15" i="2" s="1"/>
  <c r="D15" i="2" a="1"/>
  <c r="D15" i="2" s="1"/>
  <c r="C15" i="2" a="1"/>
  <c r="C15" i="2" s="1"/>
  <c r="B15" i="2"/>
  <c r="G14" i="2" a="1"/>
  <c r="G14" i="2" s="1"/>
  <c r="E14" i="2" a="1"/>
  <c r="E14" i="2" s="1"/>
  <c r="D14" i="2" a="1"/>
  <c r="D14" i="2" s="1"/>
  <c r="C14" i="2" a="1"/>
  <c r="C14" i="2" s="1"/>
  <c r="B14" i="2"/>
  <c r="G13" i="2" a="1"/>
  <c r="G13" i="2" s="1"/>
  <c r="E13" i="2" a="1"/>
  <c r="E13" i="2" s="1"/>
  <c r="D13" i="2" a="1"/>
  <c r="D13" i="2" s="1"/>
  <c r="C13" i="2" a="1"/>
  <c r="C13" i="2" s="1"/>
  <c r="B13" i="2"/>
  <c r="G12" i="2" a="1"/>
  <c r="G12" i="2" s="1"/>
  <c r="E12" i="2" a="1"/>
  <c r="E12" i="2" s="1"/>
  <c r="D12" i="2" a="1"/>
  <c r="D12" i="2" s="1"/>
  <c r="C12" i="2" a="1"/>
  <c r="C12" i="2" s="1"/>
  <c r="B12" i="2"/>
  <c r="G11" i="2" a="1"/>
  <c r="G11" i="2" s="1"/>
  <c r="E11" i="2" a="1"/>
  <c r="E11" i="2" s="1"/>
  <c r="D11" i="2" a="1"/>
  <c r="D11" i="2" s="1"/>
  <c r="C11" i="2" a="1"/>
  <c r="C11" i="2" s="1"/>
  <c r="B11" i="2"/>
  <c r="G10" i="2" a="1"/>
  <c r="G10" i="2" s="1"/>
  <c r="E10" i="2" a="1"/>
  <c r="E10" i="2" s="1"/>
  <c r="D10" i="2" a="1"/>
  <c r="D10" i="2" s="1"/>
  <c r="C10" i="2" a="1"/>
  <c r="C10" i="2" s="1"/>
  <c r="B10" i="2"/>
  <c r="G9" i="2" a="1"/>
  <c r="G9" i="2" s="1"/>
  <c r="E9" i="2" a="1"/>
  <c r="E9" i="2" s="1"/>
  <c r="D9" i="2" a="1"/>
  <c r="D9" i="2" s="1"/>
  <c r="C9" i="2" a="1"/>
  <c r="C9" i="2" s="1"/>
  <c r="B9" i="2"/>
  <c r="J5" i="2" a="1"/>
  <c r="J5" i="2" s="1"/>
  <c r="H5" i="2" a="1"/>
  <c r="H5" i="2" s="1"/>
  <c r="F5" i="2" a="1"/>
  <c r="F5" i="2" s="1"/>
  <c r="A5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F23" i="2"/>
  <c r="F24" i="2"/>
  <c r="F25" i="2"/>
  <c r="J25" i="2" s="1" a="1"/>
  <c r="J25" i="2" s="1"/>
  <c r="F26" i="2"/>
  <c r="F27" i="2"/>
  <c r="F28" i="2"/>
  <c r="F29" i="2"/>
  <c r="J29" i="2" s="1" a="1"/>
  <c r="J29" i="2" s="1"/>
  <c r="F30" i="2"/>
  <c r="F31" i="2"/>
  <c r="F32" i="2"/>
  <c r="F33" i="2"/>
  <c r="J33" i="2" s="1" a="1"/>
  <c r="J33" i="2" s="1"/>
  <c r="F34" i="2"/>
  <c r="F35" i="2"/>
  <c r="F36" i="2"/>
  <c r="F37" i="2"/>
  <c r="J37" i="2" s="1" a="1"/>
  <c r="J37" i="2" s="1"/>
  <c r="F38" i="2"/>
  <c r="F39" i="2"/>
  <c r="F40" i="2"/>
  <c r="F41" i="2"/>
  <c r="J41" i="2" s="1" a="1"/>
  <c r="J41" i="2" s="1"/>
  <c r="F42" i="2"/>
  <c r="F43" i="2"/>
  <c r="F44" i="2"/>
  <c r="F45" i="2"/>
  <c r="J45" i="2" s="1" a="1"/>
  <c r="J45" i="2" s="1"/>
  <c r="F46" i="2"/>
  <c r="F47" i="2"/>
  <c r="F48" i="2"/>
  <c r="F49" i="2"/>
  <c r="J49" i="2" s="1" a="1"/>
  <c r="J49" i="2" s="1"/>
  <c r="F50" i="2"/>
  <c r="F51" i="2"/>
  <c r="F52" i="2"/>
  <c r="F53" i="2"/>
  <c r="J53" i="2" s="1" a="1"/>
  <c r="J53" i="2" s="1"/>
  <c r="F54" i="2"/>
  <c r="F55" i="2"/>
  <c r="F56" i="2"/>
  <c r="F57" i="2"/>
  <c r="J57" i="2" s="1" a="1"/>
  <c r="J57" i="2" s="1"/>
  <c r="F58" i="2"/>
  <c r="F59" i="2"/>
  <c r="F60" i="2"/>
  <c r="F61" i="2"/>
  <c r="J61" i="2" s="1" a="1"/>
  <c r="J61" i="2" s="1"/>
  <c r="F62" i="2"/>
  <c r="F63" i="2"/>
  <c r="F64" i="2"/>
  <c r="F65" i="2"/>
  <c r="J65" i="2" s="1" a="1"/>
  <c r="J65" i="2" s="1"/>
  <c r="F66" i="2"/>
  <c r="F67" i="2"/>
  <c r="F68" i="2"/>
  <c r="F69" i="2"/>
  <c r="J69" i="2" s="1" a="1"/>
  <c r="J69" i="2" s="1"/>
  <c r="F70" i="2"/>
  <c r="F71" i="2"/>
  <c r="F72" i="2"/>
  <c r="F73" i="2"/>
  <c r="J73" i="2" s="1" a="1"/>
  <c r="J73" i="2" s="1"/>
  <c r="F74" i="2"/>
  <c r="F75" i="2"/>
  <c r="F76" i="2"/>
  <c r="F77" i="2"/>
  <c r="J77" i="2" s="1" a="1"/>
  <c r="J77" i="2" s="1"/>
  <c r="F78" i="2"/>
  <c r="F79" i="2"/>
  <c r="F80" i="2"/>
  <c r="F81" i="2"/>
  <c r="J81" i="2" s="1" a="1"/>
  <c r="J81" i="2" s="1"/>
  <c r="F82" i="2"/>
  <c r="F83" i="2"/>
  <c r="F84" i="2"/>
  <c r="F85" i="2"/>
  <c r="J85" i="2" s="1" a="1"/>
  <c r="J85" i="2" s="1"/>
  <c r="F86" i="2"/>
  <c r="F87" i="2"/>
  <c r="F88" i="2"/>
  <c r="F89" i="2"/>
  <c r="J89" i="2" s="1" a="1"/>
  <c r="J89" i="2" s="1"/>
  <c r="F90" i="2"/>
  <c r="F91" i="2"/>
  <c r="F92" i="2"/>
  <c r="F93" i="2"/>
  <c r="J93" i="2" s="1" a="1"/>
  <c r="J93" i="2" s="1"/>
  <c r="F94" i="2"/>
  <c r="F95" i="2"/>
  <c r="F96" i="2"/>
  <c r="F97" i="2"/>
  <c r="J97" i="2" s="1" a="1"/>
  <c r="J97" i="2" s="1"/>
  <c r="F98" i="2"/>
  <c r="F99" i="2"/>
  <c r="F100" i="2"/>
  <c r="F101" i="2"/>
  <c r="J101" i="2" s="1" a="1"/>
  <c r="J101" i="2" s="1"/>
  <c r="F102" i="2"/>
  <c r="F103" i="2"/>
  <c r="F104" i="2"/>
  <c r="F105" i="2"/>
  <c r="J105" i="2" s="1" a="1"/>
  <c r="J105" i="2" s="1"/>
  <c r="F106" i="2"/>
  <c r="I106" i="2" s="1" a="1"/>
  <c r="I106" i="2" s="1"/>
  <c r="F107" i="2"/>
  <c r="F108" i="2"/>
  <c r="F109" i="2"/>
  <c r="F110" i="2"/>
  <c r="I110" i="2" s="1" a="1"/>
  <c r="I110" i="2" s="1"/>
  <c r="F111" i="2"/>
  <c r="F112" i="2"/>
  <c r="F113" i="2"/>
  <c r="F114" i="2"/>
  <c r="I114" i="2" s="1" a="1"/>
  <c r="I114" i="2" s="1"/>
  <c r="F115" i="2"/>
  <c r="F116" i="2"/>
  <c r="F117" i="2"/>
  <c r="F118" i="2"/>
  <c r="I118" i="2" s="1" a="1"/>
  <c r="I118" i="2" s="1"/>
  <c r="F119" i="2"/>
  <c r="F120" i="2"/>
  <c r="F121" i="2"/>
  <c r="F122" i="2"/>
  <c r="I122" i="2" s="1" a="1"/>
  <c r="I122" i="2" s="1"/>
  <c r="F123" i="2"/>
  <c r="F124" i="2"/>
  <c r="F125" i="2"/>
  <c r="F126" i="2"/>
  <c r="I126" i="2" s="1" a="1"/>
  <c r="I126" i="2" s="1"/>
  <c r="F127" i="2"/>
  <c r="F128" i="2"/>
  <c r="F129" i="2"/>
  <c r="F130" i="2"/>
  <c r="I130" i="2" s="1" a="1"/>
  <c r="I130" i="2" s="1"/>
  <c r="F131" i="2"/>
  <c r="F132" i="2"/>
  <c r="F133" i="2"/>
  <c r="F134" i="2"/>
  <c r="I134" i="2" s="1" a="1"/>
  <c r="I134" i="2" s="1"/>
  <c r="F135" i="2"/>
  <c r="F136" i="2"/>
  <c r="F137" i="2"/>
  <c r="F138" i="2"/>
  <c r="I138" i="2" s="1" a="1"/>
  <c r="I138" i="2" s="1"/>
  <c r="F139" i="2"/>
  <c r="F140" i="2"/>
  <c r="F141" i="2"/>
  <c r="F142" i="2"/>
  <c r="I142" i="2" s="1" a="1"/>
  <c r="I142" i="2" s="1"/>
  <c r="F143" i="2"/>
  <c r="F144" i="2"/>
  <c r="F145" i="2"/>
  <c r="F146" i="2"/>
  <c r="I146" i="2" s="1" a="1"/>
  <c r="I146" i="2" s="1"/>
  <c r="F147" i="2"/>
  <c r="F148" i="2"/>
  <c r="F149" i="2"/>
  <c r="F150" i="2"/>
  <c r="I150" i="2" s="1" a="1"/>
  <c r="I150" i="2" s="1"/>
  <c r="F151" i="2"/>
  <c r="F152" i="2"/>
  <c r="F153" i="2"/>
  <c r="J153" i="2" s="1" a="1"/>
  <c r="J153" i="2" s="1"/>
  <c r="F154" i="2"/>
  <c r="F155" i="2"/>
  <c r="F156" i="2"/>
  <c r="F157" i="2"/>
  <c r="J157" i="2" s="1" a="1"/>
  <c r="J157" i="2" s="1"/>
  <c r="F158" i="2"/>
  <c r="F159" i="2"/>
  <c r="F160" i="2"/>
  <c r="F161" i="2"/>
  <c r="J161" i="2" s="1" a="1"/>
  <c r="J161" i="2" s="1"/>
  <c r="F162" i="2"/>
  <c r="F163" i="2"/>
  <c r="F164" i="2"/>
  <c r="F165" i="2"/>
  <c r="J165" i="2" s="1" a="1"/>
  <c r="J165" i="2" s="1"/>
  <c r="F166" i="2"/>
  <c r="F167" i="2"/>
  <c r="F168" i="2"/>
  <c r="F169" i="2"/>
  <c r="F170" i="2"/>
  <c r="F171" i="2"/>
  <c r="F172" i="2"/>
  <c r="F173" i="2"/>
  <c r="I173" i="2" s="1" a="1"/>
  <c r="I173" i="2" s="1"/>
  <c r="F174" i="2"/>
  <c r="I174" i="2" s="1" a="1"/>
  <c r="I174" i="2" s="1"/>
  <c r="F175" i="2"/>
  <c r="F176" i="2"/>
  <c r="F177" i="2"/>
  <c r="J177" i="2" s="1" a="1"/>
  <c r="J177" i="2" s="1"/>
  <c r="F178" i="2"/>
  <c r="F179" i="2"/>
  <c r="F180" i="2"/>
  <c r="F181" i="2"/>
  <c r="I181" i="2" s="1" a="1"/>
  <c r="I181" i="2" s="1"/>
  <c r="F182" i="2"/>
  <c r="I182" i="2" s="1" a="1"/>
  <c r="I182" i="2" s="1"/>
  <c r="F183" i="2"/>
  <c r="F184" i="2"/>
  <c r="F185" i="2"/>
  <c r="J185" i="2" s="1" a="1"/>
  <c r="J185" i="2" s="1"/>
  <c r="F186" i="2"/>
  <c r="F187" i="2"/>
  <c r="F188" i="2"/>
  <c r="F189" i="2"/>
  <c r="I189" i="2" s="1" a="1"/>
  <c r="I189" i="2" s="1"/>
  <c r="F190" i="2"/>
  <c r="I190" i="2" s="1" a="1"/>
  <c r="I190" i="2" s="1"/>
  <c r="F191" i="2"/>
  <c r="F192" i="2"/>
  <c r="F193" i="2"/>
  <c r="J193" i="2" s="1" a="1"/>
  <c r="J193" i="2" s="1"/>
  <c r="F194" i="2"/>
  <c r="F195" i="2"/>
  <c r="F196" i="2"/>
  <c r="F197" i="2"/>
  <c r="I197" i="2" s="1" a="1"/>
  <c r="I197" i="2" s="1"/>
  <c r="F198" i="2"/>
  <c r="I198" i="2" s="1" a="1"/>
  <c r="I198" i="2" s="1"/>
  <c r="F199" i="2"/>
  <c r="F200" i="2"/>
  <c r="F201" i="2"/>
  <c r="J201" i="2" s="1" a="1"/>
  <c r="J201" i="2" s="1"/>
  <c r="F202" i="2"/>
  <c r="F203" i="2"/>
  <c r="F204" i="2"/>
  <c r="F205" i="2"/>
  <c r="I205" i="2" s="1" a="1"/>
  <c r="I205" i="2" s="1"/>
  <c r="F206" i="2"/>
  <c r="I206" i="2" s="1" a="1"/>
  <c r="I206" i="2" s="1"/>
  <c r="F207" i="2"/>
  <c r="F208" i="2"/>
  <c r="F209" i="2"/>
  <c r="J209" i="2" s="1" a="1"/>
  <c r="J209" i="2" s="1"/>
  <c r="F210" i="2"/>
  <c r="F211" i="2"/>
  <c r="F212" i="2"/>
  <c r="F213" i="2"/>
  <c r="I213" i="2" s="1" a="1"/>
  <c r="I213" i="2" s="1"/>
  <c r="F214" i="2"/>
  <c r="I214" i="2" s="1" a="1"/>
  <c r="I214" i="2" s="1"/>
  <c r="F215" i="2"/>
  <c r="F216" i="2"/>
  <c r="F217" i="2"/>
  <c r="J217" i="2" s="1" a="1"/>
  <c r="J217" i="2" s="1"/>
  <c r="F218" i="2"/>
  <c r="F219" i="2"/>
  <c r="F220" i="2"/>
  <c r="F221" i="2"/>
  <c r="I221" i="2" s="1" a="1"/>
  <c r="I221" i="2" s="1"/>
  <c r="F222" i="2"/>
  <c r="I222" i="2" s="1" a="1"/>
  <c r="I222" i="2" s="1"/>
  <c r="F223" i="2"/>
  <c r="F224" i="2"/>
  <c r="F225" i="2"/>
  <c r="J225" i="2" s="1" a="1"/>
  <c r="J225" i="2" s="1"/>
  <c r="F226" i="2"/>
  <c r="F227" i="2"/>
  <c r="F228" i="2"/>
  <c r="F229" i="2"/>
  <c r="I229" i="2" s="1" a="1"/>
  <c r="I229" i="2" s="1"/>
  <c r="F230" i="2"/>
  <c r="I230" i="2" s="1" a="1"/>
  <c r="I230" i="2" s="1"/>
  <c r="F231" i="2"/>
  <c r="F232" i="2"/>
  <c r="F233" i="2"/>
  <c r="J233" i="2" s="1" a="1"/>
  <c r="J233" i="2" s="1"/>
  <c r="F234" i="2"/>
  <c r="F235" i="2"/>
  <c r="F236" i="2"/>
  <c r="F237" i="2"/>
  <c r="I237" i="2" s="1" a="1"/>
  <c r="I237" i="2" s="1"/>
  <c r="F238" i="2"/>
  <c r="I238" i="2" s="1" a="1"/>
  <c r="I238" i="2" s="1"/>
  <c r="F239" i="2"/>
  <c r="F240" i="2"/>
  <c r="F241" i="2"/>
  <c r="J241" i="2" s="1" a="1"/>
  <c r="J241" i="2" s="1"/>
  <c r="F242" i="2"/>
  <c r="F243" i="2"/>
  <c r="F244" i="2"/>
  <c r="F245" i="2"/>
  <c r="I245" i="2" s="1" a="1"/>
  <c r="I245" i="2" s="1"/>
  <c r="F246" i="2"/>
  <c r="I246" i="2" s="1" a="1"/>
  <c r="I246" i="2" s="1"/>
  <c r="F247" i="2"/>
  <c r="F248" i="2"/>
  <c r="F249" i="2"/>
  <c r="J249" i="2" s="1" a="1"/>
  <c r="J249" i="2" s="1"/>
  <c r="F250" i="2"/>
  <c r="I250" i="2" s="1" a="1"/>
  <c r="I250" i="2" s="1"/>
  <c r="F251" i="2"/>
  <c r="F252" i="2"/>
  <c r="F253" i="2"/>
  <c r="J253" i="2" s="1" a="1"/>
  <c r="J253" i="2" s="1"/>
  <c r="F254" i="2"/>
  <c r="I254" i="2" s="1" a="1"/>
  <c r="I254" i="2" s="1"/>
  <c r="F255" i="2"/>
  <c r="F256" i="2"/>
  <c r="F257" i="2"/>
  <c r="J257" i="2" s="1" a="1"/>
  <c r="J257" i="2" s="1"/>
  <c r="F258" i="2"/>
  <c r="I258" i="2" s="1" a="1"/>
  <c r="I258" i="2" s="1"/>
  <c r="F259" i="2"/>
  <c r="F260" i="2"/>
  <c r="F261" i="2"/>
  <c r="J261" i="2" s="1" a="1"/>
  <c r="J261" i="2" s="1"/>
  <c r="F262" i="2"/>
  <c r="I262" i="2" s="1" a="1"/>
  <c r="I262" i="2" s="1"/>
  <c r="F263" i="2"/>
  <c r="F264" i="2"/>
  <c r="F265" i="2"/>
  <c r="J265" i="2" s="1" a="1"/>
  <c r="J265" i="2" s="1"/>
  <c r="F266" i="2"/>
  <c r="I266" i="2" s="1" a="1"/>
  <c r="I266" i="2" s="1"/>
  <c r="F267" i="2"/>
  <c r="F268" i="2"/>
  <c r="F269" i="2"/>
  <c r="J269" i="2" s="1" a="1"/>
  <c r="J269" i="2" s="1"/>
  <c r="F270" i="2"/>
  <c r="I270" i="2" s="1" a="1"/>
  <c r="I270" i="2" s="1"/>
  <c r="F271" i="2"/>
  <c r="F272" i="2"/>
  <c r="F273" i="2"/>
  <c r="J273" i="2" s="1" a="1"/>
  <c r="J273" i="2" s="1"/>
  <c r="F274" i="2"/>
  <c r="I274" i="2" s="1" a="1"/>
  <c r="I274" i="2" s="1"/>
  <c r="F275" i="2"/>
  <c r="F276" i="2"/>
  <c r="F277" i="2"/>
  <c r="J277" i="2" s="1" a="1"/>
  <c r="J277" i="2" s="1"/>
  <c r="F278" i="2"/>
  <c r="I278" i="2" s="1" a="1"/>
  <c r="I278" i="2" s="1"/>
  <c r="F279" i="2"/>
  <c r="F280" i="2"/>
  <c r="F281" i="2"/>
  <c r="J281" i="2" s="1" a="1"/>
  <c r="J281" i="2" s="1"/>
  <c r="F282" i="2"/>
  <c r="I282" i="2" s="1" a="1"/>
  <c r="I282" i="2" s="1"/>
  <c r="F283" i="2"/>
  <c r="F284" i="2"/>
  <c r="F285" i="2"/>
  <c r="J285" i="2" s="1" a="1"/>
  <c r="J285" i="2" s="1"/>
  <c r="F286" i="2"/>
  <c r="I286" i="2" s="1" a="1"/>
  <c r="I286" i="2" s="1"/>
  <c r="F287" i="2"/>
  <c r="F288" i="2"/>
  <c r="F289" i="2"/>
  <c r="J289" i="2" s="1" a="1"/>
  <c r="J289" i="2" s="1"/>
  <c r="F290" i="2"/>
  <c r="I290" i="2" s="1" a="1"/>
  <c r="I290" i="2" s="1"/>
  <c r="F291" i="2"/>
  <c r="F292" i="2"/>
  <c r="F293" i="2"/>
  <c r="J293" i="2" s="1" a="1"/>
  <c r="J293" i="2" s="1"/>
  <c r="F294" i="2"/>
  <c r="I294" i="2" s="1" a="1"/>
  <c r="I294" i="2" s="1"/>
  <c r="F295" i="2"/>
  <c r="F296" i="2"/>
  <c r="F297" i="2"/>
  <c r="J297" i="2" s="1" a="1"/>
  <c r="J297" i="2" s="1"/>
  <c r="F298" i="2"/>
  <c r="I298" i="2" s="1" a="1"/>
  <c r="I298" i="2" s="1"/>
  <c r="F299" i="2"/>
  <c r="F300" i="2"/>
  <c r="F301" i="2"/>
  <c r="F302" i="2"/>
  <c r="F303" i="2"/>
  <c r="F304" i="2"/>
  <c r="F305" i="2"/>
  <c r="J305" i="2" s="1" a="1"/>
  <c r="J305" i="2" s="1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B23" i="2"/>
  <c r="Q23" i="2" s="1" a="1"/>
  <c r="Q23" i="2" s="1"/>
  <c r="B24" i="2"/>
  <c r="B25" i="2"/>
  <c r="B26" i="2"/>
  <c r="P26" i="2" s="1" a="1"/>
  <c r="P26" i="2" s="1"/>
  <c r="B27" i="2"/>
  <c r="Q27" i="2" s="1" a="1"/>
  <c r="Q27" i="2" s="1"/>
  <c r="B28" i="2"/>
  <c r="B29" i="2"/>
  <c r="B30" i="2"/>
  <c r="P30" i="2" s="1" a="1"/>
  <c r="P30" i="2" s="1"/>
  <c r="B31" i="2"/>
  <c r="Q31" i="2" s="1" a="1"/>
  <c r="Q31" i="2" s="1"/>
  <c r="B32" i="2"/>
  <c r="B33" i="2"/>
  <c r="B34" i="2"/>
  <c r="P34" i="2" s="1" a="1"/>
  <c r="P34" i="2" s="1"/>
  <c r="B35" i="2"/>
  <c r="Q35" i="2" s="1" a="1"/>
  <c r="Q35" i="2" s="1"/>
  <c r="B36" i="2"/>
  <c r="B37" i="2"/>
  <c r="B38" i="2"/>
  <c r="P38" i="2" s="1" a="1"/>
  <c r="P38" i="2" s="1"/>
  <c r="B39" i="2"/>
  <c r="Q39" i="2" s="1" a="1"/>
  <c r="Q39" i="2" s="1"/>
  <c r="B40" i="2"/>
  <c r="B41" i="2"/>
  <c r="B42" i="2"/>
  <c r="P42" i="2" s="1" a="1"/>
  <c r="P42" i="2" s="1"/>
  <c r="B43" i="2"/>
  <c r="Q43" i="2" s="1" a="1"/>
  <c r="Q43" i="2" s="1"/>
  <c r="B44" i="2"/>
  <c r="B45" i="2"/>
  <c r="B46" i="2"/>
  <c r="P46" i="2" s="1" a="1"/>
  <c r="P46" i="2" s="1"/>
  <c r="B47" i="2"/>
  <c r="Q47" i="2" s="1" a="1"/>
  <c r="Q47" i="2" s="1"/>
  <c r="B48" i="2"/>
  <c r="B49" i="2"/>
  <c r="B50" i="2"/>
  <c r="P50" i="2" s="1" a="1"/>
  <c r="P50" i="2" s="1"/>
  <c r="B51" i="2"/>
  <c r="Q51" i="2" s="1" a="1"/>
  <c r="Q51" i="2" s="1"/>
  <c r="B52" i="2"/>
  <c r="B53" i="2"/>
  <c r="B54" i="2"/>
  <c r="P54" i="2" s="1" a="1"/>
  <c r="P54" i="2" s="1"/>
  <c r="B55" i="2"/>
  <c r="Q55" i="2" s="1" a="1"/>
  <c r="Q55" i="2" s="1"/>
  <c r="B56" i="2"/>
  <c r="B57" i="2"/>
  <c r="B58" i="2"/>
  <c r="P58" i="2" s="1" a="1"/>
  <c r="P58" i="2" s="1"/>
  <c r="B59" i="2"/>
  <c r="Q59" i="2" s="1" a="1"/>
  <c r="Q59" i="2" s="1"/>
  <c r="B60" i="2"/>
  <c r="B61" i="2"/>
  <c r="B62" i="2"/>
  <c r="P62" i="2" s="1" a="1"/>
  <c r="P62" i="2" s="1"/>
  <c r="B63" i="2"/>
  <c r="Q63" i="2" s="1" a="1"/>
  <c r="Q63" i="2" s="1"/>
  <c r="B64" i="2"/>
  <c r="B65" i="2"/>
  <c r="B66" i="2"/>
  <c r="P66" i="2" s="1" a="1"/>
  <c r="P66" i="2" s="1"/>
  <c r="B67" i="2"/>
  <c r="Q67" i="2" s="1" a="1"/>
  <c r="Q67" i="2" s="1"/>
  <c r="B68" i="2"/>
  <c r="B69" i="2"/>
  <c r="B70" i="2"/>
  <c r="P70" i="2" s="1" a="1"/>
  <c r="P70" i="2" s="1"/>
  <c r="B71" i="2"/>
  <c r="Q71" i="2" s="1" a="1"/>
  <c r="Q71" i="2" s="1"/>
  <c r="B72" i="2"/>
  <c r="B73" i="2"/>
  <c r="B74" i="2"/>
  <c r="P74" i="2" s="1" a="1"/>
  <c r="P74" i="2" s="1"/>
  <c r="B75" i="2"/>
  <c r="Q75" i="2" s="1" a="1"/>
  <c r="Q75" i="2" s="1"/>
  <c r="B76" i="2"/>
  <c r="B77" i="2"/>
  <c r="B78" i="2"/>
  <c r="P78" i="2" s="1" a="1"/>
  <c r="P78" i="2" s="1"/>
  <c r="B79" i="2"/>
  <c r="Q79" i="2" s="1" a="1"/>
  <c r="Q79" i="2" s="1"/>
  <c r="B80" i="2"/>
  <c r="B81" i="2"/>
  <c r="B82" i="2"/>
  <c r="P82" i="2" s="1" a="1"/>
  <c r="P82" i="2" s="1"/>
  <c r="B83" i="2"/>
  <c r="Q83" i="2" s="1" a="1"/>
  <c r="Q83" i="2" s="1"/>
  <c r="B84" i="2"/>
  <c r="B85" i="2"/>
  <c r="B86" i="2"/>
  <c r="P86" i="2" s="1" a="1"/>
  <c r="P86" i="2" s="1"/>
  <c r="B87" i="2"/>
  <c r="Q87" i="2" s="1" a="1"/>
  <c r="Q87" i="2" s="1"/>
  <c r="B88" i="2"/>
  <c r="B89" i="2"/>
  <c r="B90" i="2"/>
  <c r="P90" i="2" s="1" a="1"/>
  <c r="P90" i="2" s="1"/>
  <c r="B91" i="2"/>
  <c r="Q91" i="2" s="1" a="1"/>
  <c r="Q91" i="2" s="1"/>
  <c r="B92" i="2"/>
  <c r="B93" i="2"/>
  <c r="B94" i="2"/>
  <c r="P94" i="2" s="1" a="1"/>
  <c r="P94" i="2" s="1"/>
  <c r="B95" i="2"/>
  <c r="Q95" i="2" s="1" a="1"/>
  <c r="Q95" i="2" s="1"/>
  <c r="B96" i="2"/>
  <c r="B97" i="2"/>
  <c r="B98" i="2"/>
  <c r="P98" i="2" s="1" a="1"/>
  <c r="P98" i="2" s="1"/>
  <c r="B99" i="2"/>
  <c r="Q99" i="2" s="1" a="1"/>
  <c r="Q99" i="2" s="1"/>
  <c r="B100" i="2"/>
  <c r="B101" i="2"/>
  <c r="B102" i="2"/>
  <c r="P102" i="2" s="1" a="1"/>
  <c r="P102" i="2" s="1"/>
  <c r="B103" i="2"/>
  <c r="Q103" i="2" s="1" a="1"/>
  <c r="Q103" i="2" s="1"/>
  <c r="B104" i="2"/>
  <c r="B105" i="2"/>
  <c r="B106" i="2"/>
  <c r="Q106" i="2" s="1" a="1"/>
  <c r="Q106" i="2" s="1"/>
  <c r="B107" i="2"/>
  <c r="M107" i="2" s="1" a="1"/>
  <c r="M107" i="2" s="1"/>
  <c r="B108" i="2"/>
  <c r="B109" i="2"/>
  <c r="B110" i="2"/>
  <c r="Q110" i="2" s="1" a="1"/>
  <c r="Q110" i="2" s="1"/>
  <c r="B111" i="2"/>
  <c r="M111" i="2" s="1" a="1"/>
  <c r="M111" i="2" s="1"/>
  <c r="B112" i="2"/>
  <c r="B113" i="2"/>
  <c r="B114" i="2"/>
  <c r="Q114" i="2" s="1" a="1"/>
  <c r="Q114" i="2" s="1"/>
  <c r="B115" i="2"/>
  <c r="M115" i="2" s="1" a="1"/>
  <c r="M115" i="2" s="1"/>
  <c r="B116" i="2"/>
  <c r="B117" i="2"/>
  <c r="B118" i="2"/>
  <c r="Q118" i="2" s="1" a="1"/>
  <c r="Q118" i="2" s="1"/>
  <c r="B119" i="2"/>
  <c r="M119" i="2" s="1" a="1"/>
  <c r="M119" i="2" s="1"/>
  <c r="B120" i="2"/>
  <c r="B121" i="2"/>
  <c r="B122" i="2"/>
  <c r="Q122" i="2" s="1" a="1"/>
  <c r="Q122" i="2" s="1"/>
  <c r="B123" i="2"/>
  <c r="M123" i="2" s="1" a="1"/>
  <c r="M123" i="2" s="1"/>
  <c r="B124" i="2"/>
  <c r="B125" i="2"/>
  <c r="B126" i="2"/>
  <c r="Q126" i="2" s="1" a="1"/>
  <c r="Q126" i="2" s="1"/>
  <c r="B127" i="2"/>
  <c r="M127" i="2" s="1" a="1"/>
  <c r="M127" i="2" s="1"/>
  <c r="B128" i="2"/>
  <c r="B129" i="2"/>
  <c r="B130" i="2"/>
  <c r="Q130" i="2" s="1" a="1"/>
  <c r="Q130" i="2" s="1"/>
  <c r="B131" i="2"/>
  <c r="M131" i="2" s="1" a="1"/>
  <c r="M131" i="2" s="1"/>
  <c r="B132" i="2"/>
  <c r="B133" i="2"/>
  <c r="B134" i="2"/>
  <c r="Q134" i="2" s="1" a="1"/>
  <c r="Q134" i="2" s="1"/>
  <c r="B135" i="2"/>
  <c r="M135" i="2" s="1" a="1"/>
  <c r="M135" i="2" s="1"/>
  <c r="B136" i="2"/>
  <c r="B137" i="2"/>
  <c r="B138" i="2"/>
  <c r="Q138" i="2" s="1" a="1"/>
  <c r="Q138" i="2" s="1"/>
  <c r="B139" i="2"/>
  <c r="M139" i="2" s="1" a="1"/>
  <c r="M139" i="2" s="1"/>
  <c r="B140" i="2"/>
  <c r="B141" i="2"/>
  <c r="B142" i="2"/>
  <c r="Q142" i="2" s="1" a="1"/>
  <c r="Q142" i="2" s="1"/>
  <c r="B143" i="2"/>
  <c r="M143" i="2" s="1" a="1"/>
  <c r="M143" i="2" s="1"/>
  <c r="B144" i="2"/>
  <c r="B145" i="2"/>
  <c r="B146" i="2"/>
  <c r="Q146" i="2" s="1" a="1"/>
  <c r="Q146" i="2" s="1"/>
  <c r="B147" i="2"/>
  <c r="M147" i="2" s="1" a="1"/>
  <c r="M147" i="2" s="1"/>
  <c r="B148" i="2"/>
  <c r="B149" i="2"/>
  <c r="B150" i="2"/>
  <c r="P150" i="2" s="1" a="1"/>
  <c r="P150" i="2" s="1"/>
  <c r="B151" i="2"/>
  <c r="P151" i="2" s="1" a="1"/>
  <c r="P151" i="2" s="1"/>
  <c r="B152" i="2"/>
  <c r="P152" i="2" s="1" a="1"/>
  <c r="P152" i="2" s="1"/>
  <c r="B153" i="2"/>
  <c r="B154" i="2"/>
  <c r="P154" i="2" s="1" a="1"/>
  <c r="P154" i="2" s="1"/>
  <c r="B155" i="2"/>
  <c r="P155" i="2" s="1" a="1"/>
  <c r="P155" i="2" s="1"/>
  <c r="B156" i="2"/>
  <c r="P156" i="2" s="1" a="1"/>
  <c r="P156" i="2" s="1"/>
  <c r="B157" i="2"/>
  <c r="B158" i="2"/>
  <c r="P158" i="2" s="1" a="1"/>
  <c r="P158" i="2" s="1"/>
  <c r="B159" i="2"/>
  <c r="P159" i="2" s="1" a="1"/>
  <c r="P159" i="2" s="1"/>
  <c r="B160" i="2"/>
  <c r="P160" i="2" s="1" a="1"/>
  <c r="P160" i="2" s="1"/>
  <c r="B161" i="2"/>
  <c r="B162" i="2"/>
  <c r="P162" i="2" s="1" a="1"/>
  <c r="P162" i="2" s="1"/>
  <c r="B163" i="2"/>
  <c r="P163" i="2" s="1" a="1"/>
  <c r="P163" i="2" s="1"/>
  <c r="B164" i="2"/>
  <c r="P164" i="2" s="1" a="1"/>
  <c r="P164" i="2" s="1"/>
  <c r="B165" i="2"/>
  <c r="B166" i="2"/>
  <c r="Q166" i="2" s="1" a="1"/>
  <c r="Q166" i="2" s="1"/>
  <c r="B167" i="2"/>
  <c r="Q167" i="2" s="1" a="1"/>
  <c r="Q167" i="2" s="1"/>
  <c r="B168" i="2"/>
  <c r="Q168" i="2" s="1" a="1"/>
  <c r="Q168" i="2" s="1"/>
  <c r="B169" i="2"/>
  <c r="B170" i="2"/>
  <c r="N170" i="2" s="1" a="1"/>
  <c r="N170" i="2" s="1"/>
  <c r="B171" i="2"/>
  <c r="R171" i="2" s="1" a="1"/>
  <c r="R171" i="2" s="1"/>
  <c r="B172" i="2"/>
  <c r="N172" i="2" s="1" a="1"/>
  <c r="N172" i="2" s="1"/>
  <c r="B173" i="2"/>
  <c r="B174" i="2"/>
  <c r="N174" i="2" s="1" a="1"/>
  <c r="N174" i="2" s="1"/>
  <c r="B175" i="2"/>
  <c r="B176" i="2"/>
  <c r="N176" i="2" s="1" a="1"/>
  <c r="N176" i="2" s="1"/>
  <c r="B177" i="2"/>
  <c r="B178" i="2"/>
  <c r="N178" i="2" s="1" a="1"/>
  <c r="N178" i="2" s="1"/>
  <c r="B179" i="2"/>
  <c r="R179" i="2" s="1" a="1"/>
  <c r="R179" i="2" s="1"/>
  <c r="B180" i="2"/>
  <c r="N180" i="2" s="1" a="1"/>
  <c r="N180" i="2" s="1"/>
  <c r="B181" i="2"/>
  <c r="B182" i="2"/>
  <c r="N182" i="2" s="1" a="1"/>
  <c r="N182" i="2" s="1"/>
  <c r="B183" i="2"/>
  <c r="B184" i="2"/>
  <c r="N184" i="2" s="1" a="1"/>
  <c r="N184" i="2" s="1"/>
  <c r="B185" i="2"/>
  <c r="B186" i="2"/>
  <c r="N186" i="2" s="1" a="1"/>
  <c r="N186" i="2" s="1"/>
  <c r="B187" i="2"/>
  <c r="R187" i="2" s="1" a="1"/>
  <c r="R187" i="2" s="1"/>
  <c r="B188" i="2"/>
  <c r="N188" i="2" s="1" a="1"/>
  <c r="N188" i="2" s="1"/>
  <c r="B189" i="2"/>
  <c r="B190" i="2"/>
  <c r="N190" i="2" s="1" a="1"/>
  <c r="N190" i="2" s="1"/>
  <c r="B191" i="2"/>
  <c r="B192" i="2"/>
  <c r="N192" i="2" s="1" a="1"/>
  <c r="N192" i="2" s="1"/>
  <c r="B193" i="2"/>
  <c r="B194" i="2"/>
  <c r="N194" i="2" s="1" a="1"/>
  <c r="N194" i="2" s="1"/>
  <c r="B195" i="2"/>
  <c r="R195" i="2" s="1" a="1"/>
  <c r="R195" i="2" s="1"/>
  <c r="B196" i="2"/>
  <c r="N196" i="2" s="1" a="1"/>
  <c r="N196" i="2" s="1"/>
  <c r="B197" i="2"/>
  <c r="B198" i="2"/>
  <c r="N198" i="2" s="1" a="1"/>
  <c r="N198" i="2" s="1"/>
  <c r="B199" i="2"/>
  <c r="B200" i="2"/>
  <c r="N200" i="2" s="1" a="1"/>
  <c r="N200" i="2" s="1"/>
  <c r="B201" i="2"/>
  <c r="B202" i="2"/>
  <c r="N202" i="2" s="1" a="1"/>
  <c r="N202" i="2" s="1"/>
  <c r="B203" i="2"/>
  <c r="R203" i="2" s="1" a="1"/>
  <c r="R203" i="2" s="1"/>
  <c r="B204" i="2"/>
  <c r="N204" i="2" s="1" a="1"/>
  <c r="N204" i="2" s="1"/>
  <c r="B205" i="2"/>
  <c r="B206" i="2"/>
  <c r="N206" i="2" s="1" a="1"/>
  <c r="N206" i="2" s="1"/>
  <c r="B207" i="2"/>
  <c r="B208" i="2"/>
  <c r="N208" i="2" s="1" a="1"/>
  <c r="N208" i="2" s="1"/>
  <c r="B209" i="2"/>
  <c r="B210" i="2"/>
  <c r="N210" i="2" s="1" a="1"/>
  <c r="N210" i="2" s="1"/>
  <c r="B211" i="2"/>
  <c r="R211" i="2" s="1" a="1"/>
  <c r="R211" i="2" s="1"/>
  <c r="B212" i="2"/>
  <c r="N212" i="2" s="1" a="1"/>
  <c r="N212" i="2" s="1"/>
  <c r="B213" i="2"/>
  <c r="B214" i="2"/>
  <c r="N214" i="2" s="1" a="1"/>
  <c r="N214" i="2" s="1"/>
  <c r="B215" i="2"/>
  <c r="B216" i="2"/>
  <c r="N216" i="2" s="1" a="1"/>
  <c r="N216" i="2" s="1"/>
  <c r="B217" i="2"/>
  <c r="B218" i="2"/>
  <c r="N218" i="2" s="1" a="1"/>
  <c r="N218" i="2" s="1"/>
  <c r="B219" i="2"/>
  <c r="R219" i="2" s="1" a="1"/>
  <c r="R219" i="2" s="1"/>
  <c r="B220" i="2"/>
  <c r="N220" i="2" s="1" a="1"/>
  <c r="N220" i="2" s="1"/>
  <c r="B221" i="2"/>
  <c r="B222" i="2"/>
  <c r="N222" i="2" s="1" a="1"/>
  <c r="N222" i="2" s="1"/>
  <c r="B223" i="2"/>
  <c r="B224" i="2"/>
  <c r="N224" i="2" s="1" a="1"/>
  <c r="N224" i="2" s="1"/>
  <c r="B225" i="2"/>
  <c r="B226" i="2"/>
  <c r="N226" i="2" s="1" a="1"/>
  <c r="N226" i="2" s="1"/>
  <c r="B227" i="2"/>
  <c r="R227" i="2" s="1" a="1"/>
  <c r="R227" i="2" s="1"/>
  <c r="B228" i="2"/>
  <c r="N228" i="2" s="1" a="1"/>
  <c r="N228" i="2" s="1"/>
  <c r="B229" i="2"/>
  <c r="B230" i="2"/>
  <c r="N230" i="2" s="1" a="1"/>
  <c r="N230" i="2" s="1"/>
  <c r="B231" i="2"/>
  <c r="B232" i="2"/>
  <c r="N232" i="2" s="1" a="1"/>
  <c r="N232" i="2" s="1"/>
  <c r="B233" i="2"/>
  <c r="B234" i="2"/>
  <c r="N234" i="2" s="1" a="1"/>
  <c r="N234" i="2" s="1"/>
  <c r="B235" i="2"/>
  <c r="R235" i="2" s="1" a="1"/>
  <c r="R235" i="2" s="1"/>
  <c r="B236" i="2"/>
  <c r="N236" i="2" s="1" a="1"/>
  <c r="N236" i="2" s="1"/>
  <c r="B237" i="2"/>
  <c r="B238" i="2"/>
  <c r="N238" i="2" s="1" a="1"/>
  <c r="N238" i="2" s="1"/>
  <c r="B239" i="2"/>
  <c r="B240" i="2"/>
  <c r="N240" i="2" s="1" a="1"/>
  <c r="N240" i="2" s="1"/>
  <c r="B241" i="2"/>
  <c r="B242" i="2"/>
  <c r="N242" i="2" s="1" a="1"/>
  <c r="N242" i="2" s="1"/>
  <c r="B243" i="2"/>
  <c r="R243" i="2" s="1" a="1"/>
  <c r="R243" i="2" s="1"/>
  <c r="B244" i="2"/>
  <c r="N244" i="2" s="1" a="1"/>
  <c r="N244" i="2" s="1"/>
  <c r="B245" i="2"/>
  <c r="B246" i="2"/>
  <c r="N246" i="2" s="1" a="1"/>
  <c r="N246" i="2" s="1"/>
  <c r="B247" i="2"/>
  <c r="B248" i="2"/>
  <c r="B249" i="2"/>
  <c r="B250" i="2"/>
  <c r="M250" i="2" s="1" a="1"/>
  <c r="M250" i="2" s="1"/>
  <c r="B251" i="2"/>
  <c r="B252" i="2"/>
  <c r="B253" i="2"/>
  <c r="B254" i="2"/>
  <c r="M254" i="2" s="1" a="1"/>
  <c r="M254" i="2" s="1"/>
  <c r="B255" i="2"/>
  <c r="B256" i="2"/>
  <c r="B257" i="2"/>
  <c r="B258" i="2"/>
  <c r="M258" i="2" s="1" a="1"/>
  <c r="M258" i="2" s="1"/>
  <c r="B259" i="2"/>
  <c r="B260" i="2"/>
  <c r="B261" i="2"/>
  <c r="B262" i="2"/>
  <c r="M262" i="2" s="1" a="1"/>
  <c r="M262" i="2" s="1"/>
  <c r="B263" i="2"/>
  <c r="B264" i="2"/>
  <c r="B265" i="2"/>
  <c r="B266" i="2"/>
  <c r="M266" i="2" s="1" a="1"/>
  <c r="M266" i="2" s="1"/>
  <c r="B267" i="2"/>
  <c r="B268" i="2"/>
  <c r="B269" i="2"/>
  <c r="B270" i="2"/>
  <c r="M270" i="2" s="1" a="1"/>
  <c r="M270" i="2" s="1"/>
  <c r="B271" i="2"/>
  <c r="B272" i="2"/>
  <c r="B273" i="2"/>
  <c r="B274" i="2"/>
  <c r="M274" i="2" s="1" a="1"/>
  <c r="M274" i="2" s="1"/>
  <c r="B275" i="2"/>
  <c r="B276" i="2"/>
  <c r="B277" i="2"/>
  <c r="B278" i="2"/>
  <c r="M278" i="2" s="1" a="1"/>
  <c r="M278" i="2" s="1"/>
  <c r="B279" i="2"/>
  <c r="B280" i="2"/>
  <c r="B281" i="2"/>
  <c r="B282" i="2"/>
  <c r="M282" i="2" s="1" a="1"/>
  <c r="M282" i="2" s="1"/>
  <c r="B283" i="2"/>
  <c r="B284" i="2"/>
  <c r="B285" i="2"/>
  <c r="B286" i="2"/>
  <c r="M286" i="2" s="1" a="1"/>
  <c r="M286" i="2" s="1"/>
  <c r="B287" i="2"/>
  <c r="B288" i="2"/>
  <c r="B289" i="2"/>
  <c r="B290" i="2"/>
  <c r="M290" i="2" s="1" a="1"/>
  <c r="M290" i="2" s="1"/>
  <c r="B291" i="2"/>
  <c r="B292" i="2"/>
  <c r="B293" i="2"/>
  <c r="B294" i="2"/>
  <c r="M294" i="2" s="1" a="1"/>
  <c r="M294" i="2" s="1"/>
  <c r="B295" i="2"/>
  <c r="B296" i="2"/>
  <c r="B297" i="2"/>
  <c r="B298" i="2"/>
  <c r="M298" i="2" s="1" a="1"/>
  <c r="M298" i="2" s="1"/>
  <c r="B299" i="2"/>
  <c r="B300" i="2"/>
  <c r="B301" i="2"/>
  <c r="P301" i="2" s="1" a="1"/>
  <c r="P301" i="2" s="1"/>
  <c r="B302" i="2"/>
  <c r="B303" i="2"/>
  <c r="B304" i="2"/>
  <c r="Q304" i="2" s="1" a="1"/>
  <c r="Q304" i="2" s="1"/>
  <c r="B305" i="2"/>
  <c r="P305" i="2" s="1" a="1"/>
  <c r="P305" i="2" s="1"/>
  <c r="B306" i="2"/>
  <c r="Q306" i="2" s="1" a="1"/>
  <c r="Q306" i="2" s="1"/>
  <c r="B307" i="2"/>
  <c r="B308" i="2"/>
  <c r="I308" i="2" s="1" a="1"/>
  <c r="I308" i="2" s="1"/>
  <c r="B309" i="2"/>
  <c r="P309" i="2" s="1" a="1"/>
  <c r="P309" i="2" s="1"/>
  <c r="B310" i="2"/>
  <c r="B311" i="2"/>
  <c r="B312" i="2"/>
  <c r="B313" i="2"/>
  <c r="P313" i="2" s="1" a="1"/>
  <c r="P313" i="2" s="1"/>
  <c r="B314" i="2"/>
  <c r="B315" i="2"/>
  <c r="B316" i="2"/>
  <c r="B317" i="2"/>
  <c r="P317" i="2" s="1" a="1"/>
  <c r="P317" i="2" s="1"/>
  <c r="B318" i="2"/>
  <c r="B319" i="2"/>
  <c r="B320" i="2"/>
  <c r="B321" i="2"/>
  <c r="P321" i="2" s="1" a="1"/>
  <c r="P321" i="2" s="1"/>
  <c r="B322" i="2"/>
  <c r="B323" i="2"/>
  <c r="B324" i="2"/>
  <c r="B325" i="2"/>
  <c r="P325" i="2" s="1" a="1"/>
  <c r="P325" i="2" s="1"/>
  <c r="B326" i="2"/>
  <c r="B327" i="2"/>
  <c r="B328" i="2"/>
  <c r="B329" i="2"/>
  <c r="P329" i="2" s="1" a="1"/>
  <c r="P329" i="2" s="1"/>
  <c r="B330" i="2"/>
  <c r="B331" i="2"/>
  <c r="B332" i="2"/>
  <c r="B333" i="2"/>
  <c r="P333" i="2" s="1" a="1"/>
  <c r="P333" i="2" s="1"/>
  <c r="B334" i="2"/>
  <c r="B335" i="2"/>
  <c r="B336" i="2"/>
  <c r="B337" i="2"/>
  <c r="P337" i="2" s="1" a="1"/>
  <c r="P337" i="2" s="1"/>
  <c r="B338" i="2"/>
  <c r="B339" i="2"/>
  <c r="B340" i="2"/>
  <c r="B341" i="2"/>
  <c r="P341" i="2" s="1" a="1"/>
  <c r="P341" i="2" s="1"/>
  <c r="B342" i="2"/>
  <c r="B343" i="2"/>
  <c r="B344" i="2"/>
  <c r="B345" i="2"/>
  <c r="P345" i="2" s="1" a="1"/>
  <c r="P345" i="2" s="1"/>
  <c r="B346" i="2"/>
  <c r="B347" i="2"/>
  <c r="B348" i="2"/>
  <c r="B349" i="2"/>
  <c r="P349" i="2" s="1" a="1"/>
  <c r="P349" i="2" s="1"/>
  <c r="B350" i="2"/>
  <c r="B351" i="2"/>
  <c r="B352" i="2"/>
  <c r="B353" i="2"/>
  <c r="P353" i="2" s="1" a="1"/>
  <c r="P353" i="2" s="1"/>
  <c r="B354" i="2"/>
  <c r="B355" i="2"/>
  <c r="B356" i="2"/>
  <c r="B357" i="2"/>
  <c r="R357" i="2" s="1" a="1"/>
  <c r="R357" i="2" s="1"/>
  <c r="B358" i="2"/>
  <c r="B359" i="2"/>
  <c r="B360" i="2"/>
  <c r="B361" i="2"/>
  <c r="R361" i="2" s="1" a="1"/>
  <c r="R361" i="2" s="1"/>
  <c r="B362" i="2"/>
  <c r="B363" i="2"/>
  <c r="B364" i="2"/>
  <c r="B365" i="2"/>
  <c r="N365" i="2" s="1" a="1"/>
  <c r="N365" i="2" s="1"/>
  <c r="B366" i="2"/>
  <c r="B367" i="2"/>
  <c r="B368" i="2"/>
  <c r="B369" i="2"/>
  <c r="N369" i="2" s="1" a="1"/>
  <c r="N369" i="2" s="1"/>
  <c r="B370" i="2"/>
  <c r="B371" i="2"/>
  <c r="B372" i="2"/>
  <c r="B373" i="2"/>
  <c r="N373" i="2" s="1" a="1"/>
  <c r="N373" i="2" s="1"/>
  <c r="B374" i="2"/>
  <c r="B375" i="2"/>
  <c r="B376" i="2"/>
  <c r="B377" i="2"/>
  <c r="N377" i="2" s="1" a="1"/>
  <c r="N377" i="2" s="1"/>
  <c r="B378" i="2"/>
  <c r="B379" i="2"/>
  <c r="B380" i="2"/>
  <c r="B381" i="2"/>
  <c r="N381" i="2" s="1" a="1"/>
  <c r="N381" i="2" s="1"/>
  <c r="B382" i="2"/>
  <c r="B383" i="2"/>
  <c r="B384" i="2"/>
  <c r="B385" i="2"/>
  <c r="N385" i="2" s="1" a="1"/>
  <c r="N385" i="2" s="1"/>
  <c r="B386" i="2"/>
  <c r="B387" i="2"/>
  <c r="B388" i="2"/>
  <c r="B389" i="2"/>
  <c r="Q389" i="2" s="1" a="1"/>
  <c r="Q389" i="2" s="1"/>
  <c r="B390" i="2"/>
  <c r="B391" i="2"/>
  <c r="B392" i="2"/>
  <c r="B393" i="2"/>
  <c r="Q393" i="2" s="1" a="1"/>
  <c r="Q393" i="2" s="1"/>
  <c r="B394" i="2"/>
  <c r="B395" i="2"/>
  <c r="B396" i="2"/>
  <c r="B397" i="2"/>
  <c r="Q397" i="2" s="1" a="1"/>
  <c r="Q397" i="2" s="1"/>
  <c r="B398" i="2"/>
  <c r="B399" i="2"/>
  <c r="B400" i="2"/>
  <c r="B401" i="2"/>
  <c r="Q401" i="2" s="1" a="1"/>
  <c r="Q401" i="2" s="1"/>
  <c r="B402" i="2"/>
  <c r="B403" i="2"/>
  <c r="B404" i="2"/>
  <c r="B405" i="2"/>
  <c r="Q405" i="2" s="1" a="1"/>
  <c r="Q405" i="2" s="1"/>
  <c r="B406" i="2"/>
  <c r="B407" i="2"/>
  <c r="B408" i="2"/>
  <c r="B409" i="2"/>
  <c r="Q409" i="2" s="1" a="1"/>
  <c r="Q409" i="2" s="1"/>
  <c r="B410" i="2"/>
  <c r="B411" i="2"/>
  <c r="B412" i="2"/>
  <c r="B413" i="2"/>
  <c r="Q413" i="2" s="1" a="1"/>
  <c r="Q413" i="2" s="1"/>
  <c r="B414" i="2"/>
  <c r="B415" i="2"/>
  <c r="B416" i="2"/>
  <c r="B417" i="2"/>
  <c r="Q417" i="2" s="1" a="1"/>
  <c r="Q417" i="2" s="1"/>
  <c r="B418" i="2"/>
  <c r="B419" i="2"/>
  <c r="B420" i="2"/>
  <c r="B421" i="2"/>
  <c r="Q421" i="2" s="1" a="1"/>
  <c r="Q421" i="2" s="1"/>
  <c r="B422" i="2"/>
  <c r="B423" i="2"/>
  <c r="B424" i="2"/>
  <c r="B425" i="2"/>
  <c r="Q425" i="2" s="1" a="1"/>
  <c r="Q425" i="2" s="1"/>
  <c r="B426" i="2"/>
  <c r="B427" i="2"/>
  <c r="B428" i="2"/>
  <c r="B429" i="2"/>
  <c r="Q429" i="2" s="1" a="1"/>
  <c r="Q429" i="2" s="1"/>
  <c r="B430" i="2"/>
  <c r="B431" i="2"/>
  <c r="B432" i="2"/>
  <c r="B433" i="2"/>
  <c r="Q433" i="2" s="1" a="1"/>
  <c r="Q433" i="2" s="1"/>
  <c r="B434" i="2"/>
  <c r="B435" i="2"/>
  <c r="B436" i="2"/>
  <c r="B437" i="2"/>
  <c r="M437" i="2" s="1" a="1"/>
  <c r="M437" i="2" s="1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P297" i="2" l="1" a="1"/>
  <c r="P297" i="2" s="1"/>
  <c r="R297" i="2" a="1"/>
  <c r="R297" i="2" s="1"/>
  <c r="O297" i="2" a="1"/>
  <c r="O297" i="2" s="1"/>
  <c r="P293" i="2" a="1"/>
  <c r="P293" i="2" s="1"/>
  <c r="O293" i="2" a="1"/>
  <c r="O293" i="2" s="1"/>
  <c r="P289" i="2" a="1"/>
  <c r="P289" i="2" s="1"/>
  <c r="O289" i="2" a="1"/>
  <c r="O289" i="2" s="1"/>
  <c r="R289" i="2" a="1"/>
  <c r="R289" i="2" s="1"/>
  <c r="P285" i="2" a="1"/>
  <c r="P285" i="2" s="1"/>
  <c r="R285" i="2" a="1"/>
  <c r="R285" i="2" s="1"/>
  <c r="P281" i="2" a="1"/>
  <c r="P281" i="2" s="1"/>
  <c r="R281" i="2" a="1"/>
  <c r="R281" i="2" s="1"/>
  <c r="O281" i="2" a="1"/>
  <c r="O281" i="2" s="1"/>
  <c r="P277" i="2" a="1"/>
  <c r="P277" i="2" s="1"/>
  <c r="O277" i="2" a="1"/>
  <c r="O277" i="2" s="1"/>
  <c r="P273" i="2" a="1"/>
  <c r="P273" i="2" s="1"/>
  <c r="R273" i="2" a="1"/>
  <c r="R273" i="2" s="1"/>
  <c r="P269" i="2" a="1"/>
  <c r="P269" i="2" s="1"/>
  <c r="R269" i="2" a="1"/>
  <c r="R269" i="2" s="1"/>
  <c r="O269" i="2" a="1"/>
  <c r="O269" i="2" s="1"/>
  <c r="P265" i="2" a="1"/>
  <c r="P265" i="2" s="1"/>
  <c r="O265" i="2" a="1"/>
  <c r="O265" i="2" s="1"/>
  <c r="P261" i="2" a="1"/>
  <c r="P261" i="2" s="1"/>
  <c r="O261" i="2" a="1"/>
  <c r="O261" i="2" s="1"/>
  <c r="R261" i="2" a="1"/>
  <c r="R261" i="2" s="1"/>
  <c r="P257" i="2" a="1"/>
  <c r="P257" i="2" s="1"/>
  <c r="R257" i="2" a="1"/>
  <c r="R257" i="2" s="1"/>
  <c r="P253" i="2" a="1"/>
  <c r="P253" i="2" s="1"/>
  <c r="R253" i="2" a="1"/>
  <c r="R253" i="2" s="1"/>
  <c r="O253" i="2" a="1"/>
  <c r="O253" i="2" s="1"/>
  <c r="P249" i="2" a="1"/>
  <c r="P249" i="2" s="1"/>
  <c r="O249" i="2" a="1"/>
  <c r="O249" i="2" s="1"/>
  <c r="P245" i="2" a="1"/>
  <c r="P245" i="2" s="1"/>
  <c r="O245" i="2" a="1"/>
  <c r="O245" i="2" s="1"/>
  <c r="N245" i="2" a="1"/>
  <c r="N245" i="2" s="1"/>
  <c r="R245" i="2" a="1"/>
  <c r="R245" i="2" s="1"/>
  <c r="P241" i="2" a="1"/>
  <c r="P241" i="2" s="1"/>
  <c r="O241" i="2" a="1"/>
  <c r="O241" i="2" s="1"/>
  <c r="N241" i="2" a="1"/>
  <c r="N241" i="2" s="1"/>
  <c r="R241" i="2" a="1"/>
  <c r="R241" i="2" s="1"/>
  <c r="P237" i="2" a="1"/>
  <c r="P237" i="2" s="1"/>
  <c r="O237" i="2" a="1"/>
  <c r="O237" i="2" s="1"/>
  <c r="N237" i="2" a="1"/>
  <c r="N237" i="2" s="1"/>
  <c r="R237" i="2" a="1"/>
  <c r="R237" i="2" s="1"/>
  <c r="P233" i="2" a="1"/>
  <c r="P233" i="2" s="1"/>
  <c r="O233" i="2" a="1"/>
  <c r="O233" i="2" s="1"/>
  <c r="N233" i="2" a="1"/>
  <c r="N233" i="2" s="1"/>
  <c r="R233" i="2" a="1"/>
  <c r="R233" i="2" s="1"/>
  <c r="P229" i="2" a="1"/>
  <c r="P229" i="2" s="1"/>
  <c r="O229" i="2" a="1"/>
  <c r="O229" i="2" s="1"/>
  <c r="N229" i="2" a="1"/>
  <c r="N229" i="2" s="1"/>
  <c r="R229" i="2" a="1"/>
  <c r="R229" i="2" s="1"/>
  <c r="P225" i="2" a="1"/>
  <c r="P225" i="2" s="1"/>
  <c r="O225" i="2" a="1"/>
  <c r="O225" i="2" s="1"/>
  <c r="N225" i="2" a="1"/>
  <c r="N225" i="2" s="1"/>
  <c r="R225" i="2" a="1"/>
  <c r="R225" i="2" s="1"/>
  <c r="P221" i="2" a="1"/>
  <c r="P221" i="2" s="1"/>
  <c r="O221" i="2" a="1"/>
  <c r="O221" i="2" s="1"/>
  <c r="N221" i="2" a="1"/>
  <c r="N221" i="2" s="1"/>
  <c r="R221" i="2" a="1"/>
  <c r="R221" i="2" s="1"/>
  <c r="P217" i="2" a="1"/>
  <c r="P217" i="2" s="1"/>
  <c r="O217" i="2" a="1"/>
  <c r="O217" i="2" s="1"/>
  <c r="N217" i="2" a="1"/>
  <c r="N217" i="2" s="1"/>
  <c r="R217" i="2" a="1"/>
  <c r="R217" i="2" s="1"/>
  <c r="P213" i="2" a="1"/>
  <c r="P213" i="2" s="1"/>
  <c r="O213" i="2" a="1"/>
  <c r="O213" i="2" s="1"/>
  <c r="N213" i="2" a="1"/>
  <c r="N213" i="2" s="1"/>
  <c r="R213" i="2" a="1"/>
  <c r="R213" i="2" s="1"/>
  <c r="P209" i="2" a="1"/>
  <c r="P209" i="2" s="1"/>
  <c r="O209" i="2" a="1"/>
  <c r="O209" i="2" s="1"/>
  <c r="N209" i="2" a="1"/>
  <c r="N209" i="2" s="1"/>
  <c r="R209" i="2" a="1"/>
  <c r="R209" i="2" s="1"/>
  <c r="P205" i="2" a="1"/>
  <c r="P205" i="2" s="1"/>
  <c r="O205" i="2" a="1"/>
  <c r="O205" i="2" s="1"/>
  <c r="N205" i="2" a="1"/>
  <c r="N205" i="2" s="1"/>
  <c r="R205" i="2" a="1"/>
  <c r="R205" i="2" s="1"/>
  <c r="P201" i="2" a="1"/>
  <c r="P201" i="2" s="1"/>
  <c r="O201" i="2" a="1"/>
  <c r="O201" i="2" s="1"/>
  <c r="N201" i="2" a="1"/>
  <c r="N201" i="2" s="1"/>
  <c r="R201" i="2" a="1"/>
  <c r="R201" i="2" s="1"/>
  <c r="P197" i="2" a="1"/>
  <c r="P197" i="2" s="1"/>
  <c r="O197" i="2" a="1"/>
  <c r="O197" i="2" s="1"/>
  <c r="N197" i="2" a="1"/>
  <c r="N197" i="2" s="1"/>
  <c r="R197" i="2" a="1"/>
  <c r="R197" i="2" s="1"/>
  <c r="P193" i="2" a="1"/>
  <c r="P193" i="2" s="1"/>
  <c r="O193" i="2" a="1"/>
  <c r="O193" i="2" s="1"/>
  <c r="N193" i="2" a="1"/>
  <c r="N193" i="2" s="1"/>
  <c r="R193" i="2" a="1"/>
  <c r="R193" i="2" s="1"/>
  <c r="P189" i="2" a="1"/>
  <c r="P189" i="2" s="1"/>
  <c r="O189" i="2" a="1"/>
  <c r="O189" i="2" s="1"/>
  <c r="N189" i="2" a="1"/>
  <c r="N189" i="2" s="1"/>
  <c r="R189" i="2" a="1"/>
  <c r="R189" i="2" s="1"/>
  <c r="P185" i="2" a="1"/>
  <c r="P185" i="2" s="1"/>
  <c r="O185" i="2" a="1"/>
  <c r="O185" i="2" s="1"/>
  <c r="N185" i="2" a="1"/>
  <c r="N185" i="2" s="1"/>
  <c r="R185" i="2" a="1"/>
  <c r="R185" i="2" s="1"/>
  <c r="P181" i="2" a="1"/>
  <c r="P181" i="2" s="1"/>
  <c r="O181" i="2" a="1"/>
  <c r="O181" i="2" s="1"/>
  <c r="R181" i="2" a="1"/>
  <c r="R181" i="2" s="1"/>
  <c r="N181" i="2" a="1"/>
  <c r="N181" i="2" s="1"/>
  <c r="P177" i="2" a="1"/>
  <c r="P177" i="2" s="1"/>
  <c r="Q177" i="2" a="1"/>
  <c r="Q177" i="2" s="1"/>
  <c r="O177" i="2" a="1"/>
  <c r="O177" i="2" s="1"/>
  <c r="N177" i="2" a="1"/>
  <c r="N177" i="2" s="1"/>
  <c r="P173" i="2" a="1"/>
  <c r="P173" i="2" s="1"/>
  <c r="Q173" i="2" a="1"/>
  <c r="Q173" i="2" s="1"/>
  <c r="O173" i="2" a="1"/>
  <c r="O173" i="2" s="1"/>
  <c r="O169" i="2" a="1"/>
  <c r="O169" i="2" s="1"/>
  <c r="R169" i="2" a="1"/>
  <c r="R169" i="2" s="1"/>
  <c r="N169" i="2" a="1"/>
  <c r="N169" i="2" s="1"/>
  <c r="Q169" i="2" a="1"/>
  <c r="Q169" i="2" s="1"/>
  <c r="M169" i="2" a="1"/>
  <c r="M169" i="2" s="1"/>
  <c r="R165" i="2" a="1"/>
  <c r="R165" i="2" s="1"/>
  <c r="O165" i="2" a="1"/>
  <c r="O165" i="2" s="1"/>
  <c r="Q165" i="2" a="1"/>
  <c r="Q165" i="2" s="1"/>
  <c r="N165" i="2" a="1"/>
  <c r="N165" i="2" s="1"/>
  <c r="M165" i="2" a="1"/>
  <c r="M165" i="2" s="1"/>
  <c r="P161" i="2" a="1"/>
  <c r="P161" i="2" s="1"/>
  <c r="N161" i="2" a="1"/>
  <c r="N161" i="2" s="1"/>
  <c r="Q161" i="2" a="1"/>
  <c r="Q161" i="2" s="1"/>
  <c r="M161" i="2" a="1"/>
  <c r="M161" i="2" s="1"/>
  <c r="P157" i="2" a="1"/>
  <c r="P157" i="2" s="1"/>
  <c r="Q157" i="2" a="1"/>
  <c r="Q157" i="2" s="1"/>
  <c r="M157" i="2" a="1"/>
  <c r="M157" i="2" s="1"/>
  <c r="R157" i="2" a="1"/>
  <c r="R157" i="2" s="1"/>
  <c r="O157" i="2" a="1"/>
  <c r="O157" i="2" s="1"/>
  <c r="P153" i="2" a="1"/>
  <c r="P153" i="2" s="1"/>
  <c r="R153" i="2" a="1"/>
  <c r="R153" i="2" s="1"/>
  <c r="O153" i="2" a="1"/>
  <c r="O153" i="2" s="1"/>
  <c r="N153" i="2" a="1"/>
  <c r="N153" i="2" s="1"/>
  <c r="R149" i="2" a="1"/>
  <c r="R149" i="2" s="1"/>
  <c r="Q149" i="2" a="1"/>
  <c r="Q149" i="2" s="1"/>
  <c r="P149" i="2" a="1"/>
  <c r="P149" i="2" s="1"/>
  <c r="O149" i="2" a="1"/>
  <c r="O149" i="2" s="1"/>
  <c r="R145" i="2" a="1"/>
  <c r="R145" i="2" s="1"/>
  <c r="Q145" i="2" a="1"/>
  <c r="Q145" i="2" s="1"/>
  <c r="P145" i="2" a="1"/>
  <c r="P145" i="2" s="1"/>
  <c r="O145" i="2" a="1"/>
  <c r="O145" i="2" s="1"/>
  <c r="R141" i="2" a="1"/>
  <c r="R141" i="2" s="1"/>
  <c r="Q141" i="2" a="1"/>
  <c r="Q141" i="2" s="1"/>
  <c r="P141" i="2" a="1"/>
  <c r="P141" i="2" s="1"/>
  <c r="O141" i="2" a="1"/>
  <c r="O141" i="2" s="1"/>
  <c r="R137" i="2" a="1"/>
  <c r="R137" i="2" s="1"/>
  <c r="Q137" i="2" a="1"/>
  <c r="Q137" i="2" s="1"/>
  <c r="P137" i="2" a="1"/>
  <c r="P137" i="2" s="1"/>
  <c r="O137" i="2" a="1"/>
  <c r="O137" i="2" s="1"/>
  <c r="R133" i="2" a="1"/>
  <c r="R133" i="2" s="1"/>
  <c r="Q133" i="2" a="1"/>
  <c r="Q133" i="2" s="1"/>
  <c r="P133" i="2" a="1"/>
  <c r="P133" i="2" s="1"/>
  <c r="O133" i="2" a="1"/>
  <c r="O133" i="2" s="1"/>
  <c r="R129" i="2" a="1"/>
  <c r="R129" i="2" s="1"/>
  <c r="Q129" i="2" a="1"/>
  <c r="Q129" i="2" s="1"/>
  <c r="P129" i="2" a="1"/>
  <c r="P129" i="2" s="1"/>
  <c r="O129" i="2" a="1"/>
  <c r="O129" i="2" s="1"/>
  <c r="R125" i="2" a="1"/>
  <c r="R125" i="2" s="1"/>
  <c r="Q125" i="2" a="1"/>
  <c r="Q125" i="2" s="1"/>
  <c r="P125" i="2" a="1"/>
  <c r="P125" i="2" s="1"/>
  <c r="O125" i="2" a="1"/>
  <c r="O125" i="2" s="1"/>
  <c r="R121" i="2" a="1"/>
  <c r="R121" i="2" s="1"/>
  <c r="Q121" i="2" a="1"/>
  <c r="Q121" i="2" s="1"/>
  <c r="P121" i="2" a="1"/>
  <c r="P121" i="2" s="1"/>
  <c r="O121" i="2" a="1"/>
  <c r="O121" i="2" s="1"/>
  <c r="R117" i="2" a="1"/>
  <c r="R117" i="2" s="1"/>
  <c r="Q117" i="2" a="1"/>
  <c r="Q117" i="2" s="1"/>
  <c r="P117" i="2" a="1"/>
  <c r="P117" i="2" s="1"/>
  <c r="O117" i="2" a="1"/>
  <c r="O117" i="2" s="1"/>
  <c r="R113" i="2" a="1"/>
  <c r="R113" i="2" s="1"/>
  <c r="Q113" i="2" a="1"/>
  <c r="Q113" i="2" s="1"/>
  <c r="P113" i="2" a="1"/>
  <c r="P113" i="2" s="1"/>
  <c r="O113" i="2" a="1"/>
  <c r="O113" i="2" s="1"/>
  <c r="R109" i="2" a="1"/>
  <c r="R109" i="2" s="1"/>
  <c r="Q109" i="2" a="1"/>
  <c r="Q109" i="2" s="1"/>
  <c r="P109" i="2" a="1"/>
  <c r="P109" i="2" s="1"/>
  <c r="O109" i="2" a="1"/>
  <c r="O109" i="2" s="1"/>
  <c r="P105" i="2" a="1"/>
  <c r="P105" i="2" s="1"/>
  <c r="R105" i="2" a="1"/>
  <c r="R105" i="2" s="1"/>
  <c r="M105" i="2" a="1"/>
  <c r="M105" i="2" s="1"/>
  <c r="Q105" i="2" a="1"/>
  <c r="Q105" i="2" s="1"/>
  <c r="O105" i="2" a="1"/>
  <c r="O105" i="2" s="1"/>
  <c r="R101" i="2" a="1"/>
  <c r="R101" i="2" s="1"/>
  <c r="M101" i="2" a="1"/>
  <c r="M101" i="2" s="1"/>
  <c r="Q101" i="2" a="1"/>
  <c r="Q101" i="2" s="1"/>
  <c r="P101" i="2" a="1"/>
  <c r="P101" i="2" s="1"/>
  <c r="R97" i="2" a="1"/>
  <c r="R97" i="2" s="1"/>
  <c r="M97" i="2" a="1"/>
  <c r="M97" i="2" s="1"/>
  <c r="Q97" i="2" a="1"/>
  <c r="Q97" i="2" s="1"/>
  <c r="P97" i="2" a="1"/>
  <c r="P97" i="2" s="1"/>
  <c r="R93" i="2" a="1"/>
  <c r="R93" i="2" s="1"/>
  <c r="M93" i="2" a="1"/>
  <c r="M93" i="2" s="1"/>
  <c r="Q93" i="2" a="1"/>
  <c r="Q93" i="2" s="1"/>
  <c r="P93" i="2" a="1"/>
  <c r="P93" i="2" s="1"/>
  <c r="R89" i="2" a="1"/>
  <c r="R89" i="2" s="1"/>
  <c r="M89" i="2" a="1"/>
  <c r="M89" i="2" s="1"/>
  <c r="Q89" i="2" a="1"/>
  <c r="Q89" i="2" s="1"/>
  <c r="P89" i="2" a="1"/>
  <c r="P89" i="2" s="1"/>
  <c r="R85" i="2" a="1"/>
  <c r="R85" i="2" s="1"/>
  <c r="M85" i="2" a="1"/>
  <c r="M85" i="2" s="1"/>
  <c r="Q85" i="2" a="1"/>
  <c r="Q85" i="2" s="1"/>
  <c r="P85" i="2" a="1"/>
  <c r="P85" i="2" s="1"/>
  <c r="R81" i="2" a="1"/>
  <c r="R81" i="2" s="1"/>
  <c r="M81" i="2" a="1"/>
  <c r="M81" i="2" s="1"/>
  <c r="Q81" i="2" a="1"/>
  <c r="Q81" i="2" s="1"/>
  <c r="P81" i="2" a="1"/>
  <c r="P81" i="2" s="1"/>
  <c r="R77" i="2" a="1"/>
  <c r="R77" i="2" s="1"/>
  <c r="M77" i="2" a="1"/>
  <c r="M77" i="2" s="1"/>
  <c r="Q77" i="2" a="1"/>
  <c r="Q77" i="2" s="1"/>
  <c r="P77" i="2" a="1"/>
  <c r="P77" i="2" s="1"/>
  <c r="R73" i="2" a="1"/>
  <c r="R73" i="2" s="1"/>
  <c r="M73" i="2" a="1"/>
  <c r="M73" i="2" s="1"/>
  <c r="Q73" i="2" a="1"/>
  <c r="Q73" i="2" s="1"/>
  <c r="P73" i="2" a="1"/>
  <c r="P73" i="2" s="1"/>
  <c r="R69" i="2" a="1"/>
  <c r="R69" i="2" s="1"/>
  <c r="M69" i="2" a="1"/>
  <c r="M69" i="2" s="1"/>
  <c r="Q69" i="2" a="1"/>
  <c r="Q69" i="2" s="1"/>
  <c r="P69" i="2" a="1"/>
  <c r="P69" i="2" s="1"/>
  <c r="R65" i="2" a="1"/>
  <c r="R65" i="2" s="1"/>
  <c r="M65" i="2" a="1"/>
  <c r="M65" i="2" s="1"/>
  <c r="Q65" i="2" a="1"/>
  <c r="Q65" i="2" s="1"/>
  <c r="P65" i="2" a="1"/>
  <c r="P65" i="2" s="1"/>
  <c r="R61" i="2" a="1"/>
  <c r="R61" i="2" s="1"/>
  <c r="M61" i="2" a="1"/>
  <c r="M61" i="2" s="1"/>
  <c r="Q61" i="2" a="1"/>
  <c r="Q61" i="2" s="1"/>
  <c r="P61" i="2" a="1"/>
  <c r="P61" i="2" s="1"/>
  <c r="R57" i="2" a="1"/>
  <c r="R57" i="2" s="1"/>
  <c r="M57" i="2" a="1"/>
  <c r="M57" i="2" s="1"/>
  <c r="Q57" i="2" a="1"/>
  <c r="Q57" i="2" s="1"/>
  <c r="P57" i="2" a="1"/>
  <c r="P57" i="2" s="1"/>
  <c r="R53" i="2" a="1"/>
  <c r="R53" i="2" s="1"/>
  <c r="M53" i="2" a="1"/>
  <c r="M53" i="2" s="1"/>
  <c r="Q53" i="2" a="1"/>
  <c r="Q53" i="2" s="1"/>
  <c r="P53" i="2" a="1"/>
  <c r="P53" i="2" s="1"/>
  <c r="R49" i="2" a="1"/>
  <c r="R49" i="2" s="1"/>
  <c r="M49" i="2" a="1"/>
  <c r="M49" i="2" s="1"/>
  <c r="Q49" i="2" a="1"/>
  <c r="Q49" i="2" s="1"/>
  <c r="P49" i="2" a="1"/>
  <c r="P49" i="2" s="1"/>
  <c r="R45" i="2" a="1"/>
  <c r="R45" i="2" s="1"/>
  <c r="M45" i="2" a="1"/>
  <c r="M45" i="2" s="1"/>
  <c r="Q45" i="2" a="1"/>
  <c r="Q45" i="2" s="1"/>
  <c r="P45" i="2" a="1"/>
  <c r="P45" i="2" s="1"/>
  <c r="R41" i="2" a="1"/>
  <c r="R41" i="2" s="1"/>
  <c r="M41" i="2" a="1"/>
  <c r="M41" i="2" s="1"/>
  <c r="Q41" i="2" a="1"/>
  <c r="Q41" i="2" s="1"/>
  <c r="P41" i="2" a="1"/>
  <c r="P41" i="2" s="1"/>
  <c r="R37" i="2" a="1"/>
  <c r="R37" i="2" s="1"/>
  <c r="M37" i="2" a="1"/>
  <c r="M37" i="2" s="1"/>
  <c r="Q37" i="2" a="1"/>
  <c r="Q37" i="2" s="1"/>
  <c r="P37" i="2" a="1"/>
  <c r="P37" i="2" s="1"/>
  <c r="R33" i="2" a="1"/>
  <c r="R33" i="2" s="1"/>
  <c r="M33" i="2" a="1"/>
  <c r="M33" i="2" s="1"/>
  <c r="Q33" i="2" a="1"/>
  <c r="Q33" i="2" s="1"/>
  <c r="P33" i="2" a="1"/>
  <c r="P33" i="2" s="1"/>
  <c r="R29" i="2" a="1"/>
  <c r="R29" i="2" s="1"/>
  <c r="M29" i="2" a="1"/>
  <c r="M29" i="2" s="1"/>
  <c r="Q29" i="2" a="1"/>
  <c r="Q29" i="2" s="1"/>
  <c r="P29" i="2" a="1"/>
  <c r="P29" i="2" s="1"/>
  <c r="R25" i="2" a="1"/>
  <c r="R25" i="2" s="1"/>
  <c r="M25" i="2" a="1"/>
  <c r="M25" i="2" s="1"/>
  <c r="Q25" i="2" a="1"/>
  <c r="Q25" i="2" s="1"/>
  <c r="P25" i="2" a="1"/>
  <c r="P25" i="2" s="1"/>
  <c r="I564" i="2" a="1"/>
  <c r="I564" i="2" s="1"/>
  <c r="I560" i="2" a="1"/>
  <c r="I560" i="2" s="1"/>
  <c r="I556" i="2" a="1"/>
  <c r="I556" i="2" s="1"/>
  <c r="I548" i="2" a="1"/>
  <c r="I548" i="2" s="1"/>
  <c r="I544" i="2" a="1"/>
  <c r="I544" i="2" s="1"/>
  <c r="I540" i="2" a="1"/>
  <c r="I540" i="2" s="1"/>
  <c r="J532" i="2" a="1"/>
  <c r="J532" i="2" s="1"/>
  <c r="J528" i="2" a="1"/>
  <c r="J528" i="2" s="1"/>
  <c r="J524" i="2" a="1"/>
  <c r="J524" i="2" s="1"/>
  <c r="J520" i="2" a="1"/>
  <c r="J520" i="2" s="1"/>
  <c r="I516" i="2" a="1"/>
  <c r="I516" i="2" s="1"/>
  <c r="J512" i="2" a="1"/>
  <c r="J512" i="2" s="1"/>
  <c r="J508" i="2" a="1"/>
  <c r="J508" i="2" s="1"/>
  <c r="I504" i="2" a="1"/>
  <c r="I504" i="2" s="1"/>
  <c r="I500" i="2" a="1"/>
  <c r="I500" i="2" s="1"/>
  <c r="J496" i="2" a="1"/>
  <c r="J496" i="2" s="1"/>
  <c r="J492" i="2" a="1"/>
  <c r="J492" i="2" s="1"/>
  <c r="I488" i="2" a="1"/>
  <c r="I488" i="2" s="1"/>
  <c r="I484" i="2" a="1"/>
  <c r="I484" i="2" s="1"/>
  <c r="J480" i="2" a="1"/>
  <c r="J480" i="2" s="1"/>
  <c r="J476" i="2" a="1"/>
  <c r="J476" i="2" s="1"/>
  <c r="I472" i="2" a="1"/>
  <c r="I472" i="2" s="1"/>
  <c r="I468" i="2" a="1"/>
  <c r="I468" i="2" s="1"/>
  <c r="J464" i="2" a="1"/>
  <c r="J464" i="2" s="1"/>
  <c r="J460" i="2" a="1"/>
  <c r="J460" i="2" s="1"/>
  <c r="J456" i="2" a="1"/>
  <c r="J456" i="2" s="1"/>
  <c r="J452" i="2" a="1"/>
  <c r="J452" i="2" s="1"/>
  <c r="J448" i="2" a="1"/>
  <c r="J448" i="2" s="1"/>
  <c r="J444" i="2" a="1"/>
  <c r="J444" i="2" s="1"/>
  <c r="J440" i="2" a="1"/>
  <c r="J440" i="2" s="1"/>
  <c r="J436" i="2" a="1"/>
  <c r="J436" i="2" s="1"/>
  <c r="J432" i="2" a="1"/>
  <c r="J432" i="2" s="1"/>
  <c r="J428" i="2" a="1"/>
  <c r="J428" i="2" s="1"/>
  <c r="J424" i="2" a="1"/>
  <c r="J424" i="2" s="1"/>
  <c r="J420" i="2" a="1"/>
  <c r="J420" i="2" s="1"/>
  <c r="J416" i="2" a="1"/>
  <c r="J416" i="2" s="1"/>
  <c r="J412" i="2" a="1"/>
  <c r="J412" i="2" s="1"/>
  <c r="J408" i="2" a="1"/>
  <c r="J408" i="2" s="1"/>
  <c r="J404" i="2" a="1"/>
  <c r="J404" i="2" s="1"/>
  <c r="J400" i="2" a="1"/>
  <c r="J400" i="2" s="1"/>
  <c r="I396" i="2" a="1"/>
  <c r="I396" i="2" s="1"/>
  <c r="I392" i="2" a="1"/>
  <c r="I392" i="2" s="1"/>
  <c r="I388" i="2" a="1"/>
  <c r="I388" i="2" s="1"/>
  <c r="I384" i="2" a="1"/>
  <c r="I384" i="2" s="1"/>
  <c r="I380" i="2" a="1"/>
  <c r="I380" i="2" s="1"/>
  <c r="O37" i="2" a="1"/>
  <c r="O37" i="2" s="1"/>
  <c r="O53" i="2" a="1"/>
  <c r="O53" i="2" s="1"/>
  <c r="O69" i="2" a="1"/>
  <c r="O69" i="2" s="1"/>
  <c r="O85" i="2" a="1"/>
  <c r="O85" i="2" s="1"/>
  <c r="O101" i="2" a="1"/>
  <c r="O101" i="2" s="1"/>
  <c r="M117" i="2" a="1"/>
  <c r="M117" i="2" s="1"/>
  <c r="M133" i="2" a="1"/>
  <c r="M133" i="2" s="1"/>
  <c r="M149" i="2" a="1"/>
  <c r="M149" i="2" s="1"/>
  <c r="R177" i="2" a="1"/>
  <c r="R177" i="2" s="1"/>
  <c r="Q193" i="2" a="1"/>
  <c r="Q193" i="2" s="1"/>
  <c r="Q209" i="2" a="1"/>
  <c r="Q209" i="2" s="1"/>
  <c r="Q225" i="2" a="1"/>
  <c r="Q225" i="2" s="1"/>
  <c r="Q241" i="2" a="1"/>
  <c r="Q241" i="2" s="1"/>
  <c r="O285" i="2" a="1"/>
  <c r="O285" i="2" s="1"/>
  <c r="O25" i="2" a="1"/>
  <c r="O25" i="2" s="1"/>
  <c r="O41" i="2" a="1"/>
  <c r="O41" i="2" s="1"/>
  <c r="O57" i="2" a="1"/>
  <c r="O57" i="2" s="1"/>
  <c r="O73" i="2" a="1"/>
  <c r="O73" i="2" s="1"/>
  <c r="O89" i="2" a="1"/>
  <c r="O89" i="2" s="1"/>
  <c r="N105" i="2" a="1"/>
  <c r="N105" i="2" s="1"/>
  <c r="M121" i="2" a="1"/>
  <c r="M121" i="2" s="1"/>
  <c r="M137" i="2" a="1"/>
  <c r="M137" i="2" s="1"/>
  <c r="M153" i="2" a="1"/>
  <c r="M153" i="2" s="1"/>
  <c r="O161" i="2" a="1"/>
  <c r="O161" i="2" s="1"/>
  <c r="P169" i="2" a="1"/>
  <c r="P169" i="2" s="1"/>
  <c r="Q181" i="2" a="1"/>
  <c r="Q181" i="2" s="1"/>
  <c r="Q197" i="2" a="1"/>
  <c r="Q197" i="2" s="1"/>
  <c r="Q213" i="2" a="1"/>
  <c r="Q213" i="2" s="1"/>
  <c r="Q229" i="2" a="1"/>
  <c r="Q229" i="2" s="1"/>
  <c r="Q245" i="2" a="1"/>
  <c r="Q245" i="2" s="1"/>
  <c r="R265" i="2" a="1"/>
  <c r="R265" i="2" s="1"/>
  <c r="O29" i="2" a="1"/>
  <c r="O29" i="2" s="1"/>
  <c r="O45" i="2" a="1"/>
  <c r="O45" i="2" s="1"/>
  <c r="O61" i="2" a="1"/>
  <c r="O61" i="2" s="1"/>
  <c r="O77" i="2" a="1"/>
  <c r="O77" i="2" s="1"/>
  <c r="O93" i="2" a="1"/>
  <c r="O93" i="2" s="1"/>
  <c r="M109" i="2" a="1"/>
  <c r="M109" i="2" s="1"/>
  <c r="M125" i="2" a="1"/>
  <c r="M125" i="2" s="1"/>
  <c r="M141" i="2" a="1"/>
  <c r="M141" i="2" s="1"/>
  <c r="Q153" i="2" a="1"/>
  <c r="Q153" i="2" s="1"/>
  <c r="R161" i="2" a="1"/>
  <c r="R161" i="2" s="1"/>
  <c r="N173" i="2" a="1"/>
  <c r="N173" i="2" s="1"/>
  <c r="Q185" i="2" a="1"/>
  <c r="Q185" i="2" s="1"/>
  <c r="Q201" i="2" a="1"/>
  <c r="Q201" i="2" s="1"/>
  <c r="Q217" i="2" a="1"/>
  <c r="Q217" i="2" s="1"/>
  <c r="Q233" i="2" a="1"/>
  <c r="Q233" i="2" s="1"/>
  <c r="R249" i="2" a="1"/>
  <c r="R249" i="2" s="1"/>
  <c r="O273" i="2" a="1"/>
  <c r="O273" i="2" s="1"/>
  <c r="R293" i="2" a="1"/>
  <c r="R293" i="2" s="1"/>
  <c r="O33" i="2" a="1"/>
  <c r="O33" i="2" s="1"/>
  <c r="O49" i="2" a="1"/>
  <c r="O49" i="2" s="1"/>
  <c r="O65" i="2" a="1"/>
  <c r="O65" i="2" s="1"/>
  <c r="O81" i="2" a="1"/>
  <c r="O81" i="2" s="1"/>
  <c r="O97" i="2" a="1"/>
  <c r="O97" i="2" s="1"/>
  <c r="M113" i="2" a="1"/>
  <c r="M113" i="2" s="1"/>
  <c r="M129" i="2" a="1"/>
  <c r="M129" i="2" s="1"/>
  <c r="M145" i="2" a="1"/>
  <c r="M145" i="2" s="1"/>
  <c r="N157" i="2" a="1"/>
  <c r="N157" i="2" s="1"/>
  <c r="P165" i="2" a="1"/>
  <c r="P165" i="2" s="1"/>
  <c r="R173" i="2" a="1"/>
  <c r="R173" i="2" s="1"/>
  <c r="Q189" i="2" a="1"/>
  <c r="Q189" i="2" s="1"/>
  <c r="Q205" i="2" a="1"/>
  <c r="Q205" i="2" s="1"/>
  <c r="Q221" i="2" a="1"/>
  <c r="Q221" i="2" s="1"/>
  <c r="Q237" i="2" a="1"/>
  <c r="Q237" i="2" s="1"/>
  <c r="O257" i="2" a="1"/>
  <c r="O257" i="2" s="1"/>
  <c r="R277" i="2" a="1"/>
  <c r="R277" i="2" s="1"/>
  <c r="I376" i="2" a="1"/>
  <c r="I376" i="2" s="1"/>
  <c r="I372" i="2" a="1"/>
  <c r="I372" i="2" s="1"/>
  <c r="I368" i="2" a="1"/>
  <c r="I368" i="2" s="1"/>
  <c r="I364" i="2" a="1"/>
  <c r="I364" i="2" s="1"/>
  <c r="J360" i="2" a="1"/>
  <c r="J360" i="2" s="1"/>
  <c r="J356" i="2" a="1"/>
  <c r="J356" i="2" s="1"/>
  <c r="I352" i="2" a="1"/>
  <c r="I352" i="2" s="1"/>
  <c r="I348" i="2" a="1"/>
  <c r="I348" i="2" s="1"/>
  <c r="I344" i="2" a="1"/>
  <c r="I344" i="2" s="1"/>
  <c r="I340" i="2" a="1"/>
  <c r="I340" i="2" s="1"/>
  <c r="I336" i="2" a="1"/>
  <c r="I336" i="2" s="1"/>
  <c r="I332" i="2" a="1"/>
  <c r="I332" i="2" s="1"/>
  <c r="I328" i="2" a="1"/>
  <c r="I328" i="2" s="1"/>
  <c r="I324" i="2" a="1"/>
  <c r="I324" i="2" s="1"/>
  <c r="P1609" i="2" a="1"/>
  <c r="P1609" i="2" s="1"/>
  <c r="R1609" i="2" a="1"/>
  <c r="R1609" i="2" s="1"/>
  <c r="O1609" i="2" a="1"/>
  <c r="O1609" i="2" s="1"/>
  <c r="N1609" i="2" a="1"/>
  <c r="N1609" i="2" s="1"/>
  <c r="Q1609" i="2" a="1"/>
  <c r="Q1609" i="2" s="1"/>
  <c r="M1609" i="2" a="1"/>
  <c r="M1609" i="2" s="1"/>
  <c r="R1601" i="2" a="1"/>
  <c r="R1601" i="2" s="1"/>
  <c r="N1601" i="2" a="1"/>
  <c r="N1601" i="2" s="1"/>
  <c r="Q1601" i="2" a="1"/>
  <c r="Q1601" i="2" s="1"/>
  <c r="M1601" i="2" a="1"/>
  <c r="M1601" i="2" s="1"/>
  <c r="P1601" i="2" a="1"/>
  <c r="P1601" i="2" s="1"/>
  <c r="O1601" i="2" a="1"/>
  <c r="O1601" i="2" s="1"/>
  <c r="R1597" i="2" a="1"/>
  <c r="R1597" i="2" s="1"/>
  <c r="O1597" i="2" a="1"/>
  <c r="O1597" i="2" s="1"/>
  <c r="Q1597" i="2" a="1"/>
  <c r="Q1597" i="2" s="1"/>
  <c r="N1597" i="2" a="1"/>
  <c r="N1597" i="2" s="1"/>
  <c r="M1597" i="2" a="1"/>
  <c r="M1597" i="2" s="1"/>
  <c r="P1597" i="2" a="1"/>
  <c r="P1597" i="2" s="1"/>
  <c r="P1589" i="2" a="1"/>
  <c r="P1589" i="2" s="1"/>
  <c r="R1589" i="2" a="1"/>
  <c r="R1589" i="2" s="1"/>
  <c r="O1589" i="2" a="1"/>
  <c r="O1589" i="2" s="1"/>
  <c r="Q1589" i="2" a="1"/>
  <c r="Q1589" i="2" s="1"/>
  <c r="N1589" i="2" a="1"/>
  <c r="N1589" i="2" s="1"/>
  <c r="M1589" i="2" a="1"/>
  <c r="M1589" i="2" s="1"/>
  <c r="P1581" i="2" a="1"/>
  <c r="P1581" i="2" s="1"/>
  <c r="R1581" i="2" a="1"/>
  <c r="R1581" i="2" s="1"/>
  <c r="O1581" i="2" a="1"/>
  <c r="O1581" i="2" s="1"/>
  <c r="Q1581" i="2" a="1"/>
  <c r="Q1581" i="2" s="1"/>
  <c r="N1581" i="2" a="1"/>
  <c r="N1581" i="2" s="1"/>
  <c r="M1581" i="2" a="1"/>
  <c r="M1581" i="2" s="1"/>
  <c r="M1569" i="2" a="1"/>
  <c r="M1569" i="2" s="1"/>
  <c r="P1569" i="2" a="1"/>
  <c r="P1569" i="2" s="1"/>
  <c r="R1569" i="2" a="1"/>
  <c r="R1569" i="2" s="1"/>
  <c r="O1569" i="2" a="1"/>
  <c r="O1569" i="2" s="1"/>
  <c r="Q1569" i="2" a="1"/>
  <c r="Q1569" i="2" s="1"/>
  <c r="N1569" i="2" a="1"/>
  <c r="N1569" i="2" s="1"/>
  <c r="R1561" i="2" a="1"/>
  <c r="R1561" i="2" s="1"/>
  <c r="O1561" i="2" a="1"/>
  <c r="O1561" i="2" s="1"/>
  <c r="Q1561" i="2" a="1"/>
  <c r="Q1561" i="2" s="1"/>
  <c r="N1561" i="2" a="1"/>
  <c r="N1561" i="2" s="1"/>
  <c r="M1561" i="2" a="1"/>
  <c r="M1561" i="2" s="1"/>
  <c r="P1561" i="2" a="1"/>
  <c r="P1561" i="2" s="1"/>
  <c r="Q1553" i="2" a="1"/>
  <c r="Q1553" i="2" s="1"/>
  <c r="N1553" i="2" a="1"/>
  <c r="N1553" i="2" s="1"/>
  <c r="P1553" i="2" a="1"/>
  <c r="P1553" i="2" s="1"/>
  <c r="M1553" i="2" a="1"/>
  <c r="M1553" i="2" s="1"/>
  <c r="R1553" i="2" a="1"/>
  <c r="R1553" i="2" s="1"/>
  <c r="O1553" i="2" a="1"/>
  <c r="O1553" i="2" s="1"/>
  <c r="R1545" i="2" a="1"/>
  <c r="R1545" i="2" s="1"/>
  <c r="O1545" i="2" a="1"/>
  <c r="O1545" i="2" s="1"/>
  <c r="Q1545" i="2" a="1"/>
  <c r="Q1545" i="2" s="1"/>
  <c r="N1545" i="2" a="1"/>
  <c r="N1545" i="2" s="1"/>
  <c r="P1545" i="2" a="1"/>
  <c r="P1545" i="2" s="1"/>
  <c r="M1545" i="2" a="1"/>
  <c r="M1545" i="2" s="1"/>
  <c r="M1533" i="2" a="1"/>
  <c r="M1533" i="2" s="1"/>
  <c r="P1533" i="2" a="1"/>
  <c r="P1533" i="2" s="1"/>
  <c r="R1533" i="2" a="1"/>
  <c r="R1533" i="2" s="1"/>
  <c r="O1533" i="2" a="1"/>
  <c r="O1533" i="2" s="1"/>
  <c r="Q1533" i="2" a="1"/>
  <c r="Q1533" i="2" s="1"/>
  <c r="N1533" i="2" a="1"/>
  <c r="N1533" i="2" s="1"/>
  <c r="R1525" i="2" a="1"/>
  <c r="R1525" i="2" s="1"/>
  <c r="O1525" i="2" a="1"/>
  <c r="O1525" i="2" s="1"/>
  <c r="Q1525" i="2" a="1"/>
  <c r="Q1525" i="2" s="1"/>
  <c r="N1525" i="2" a="1"/>
  <c r="N1525" i="2" s="1"/>
  <c r="M1525" i="2" a="1"/>
  <c r="M1525" i="2" s="1"/>
  <c r="P1525" i="2" a="1"/>
  <c r="P1525" i="2" s="1"/>
  <c r="M1517" i="2" a="1"/>
  <c r="M1517" i="2" s="1"/>
  <c r="P1517" i="2" a="1"/>
  <c r="P1517" i="2" s="1"/>
  <c r="R1517" i="2" a="1"/>
  <c r="R1517" i="2" s="1"/>
  <c r="O1517" i="2" a="1"/>
  <c r="O1517" i="2" s="1"/>
  <c r="Q1517" i="2" a="1"/>
  <c r="Q1517" i="2" s="1"/>
  <c r="N1517" i="2" a="1"/>
  <c r="N1517" i="2" s="1"/>
  <c r="P1509" i="2" a="1"/>
  <c r="P1509" i="2" s="1"/>
  <c r="M1509" i="2" a="1"/>
  <c r="M1509" i="2" s="1"/>
  <c r="R1509" i="2" a="1"/>
  <c r="R1509" i="2" s="1"/>
  <c r="Q1509" i="2" a="1"/>
  <c r="Q1509" i="2" s="1"/>
  <c r="N1509" i="2" a="1"/>
  <c r="N1509" i="2" s="1"/>
  <c r="O1509" i="2" a="1"/>
  <c r="O1509" i="2" s="1"/>
  <c r="P1501" i="2" a="1"/>
  <c r="P1501" i="2" s="1"/>
  <c r="M1501" i="2" a="1"/>
  <c r="M1501" i="2" s="1"/>
  <c r="R1501" i="2" a="1"/>
  <c r="R1501" i="2" s="1"/>
  <c r="N1501" i="2" a="1"/>
  <c r="N1501" i="2" s="1"/>
  <c r="Q1501" i="2" a="1"/>
  <c r="Q1501" i="2" s="1"/>
  <c r="O1501" i="2" a="1"/>
  <c r="O1501" i="2" s="1"/>
  <c r="P1493" i="2" a="1"/>
  <c r="P1493" i="2" s="1"/>
  <c r="M1493" i="2" a="1"/>
  <c r="M1493" i="2" s="1"/>
  <c r="R1493" i="2" a="1"/>
  <c r="R1493" i="2" s="1"/>
  <c r="N1493" i="2" a="1"/>
  <c r="N1493" i="2" s="1"/>
  <c r="Q1493" i="2" a="1"/>
  <c r="Q1493" i="2" s="1"/>
  <c r="O1493" i="2" a="1"/>
  <c r="O1493" i="2" s="1"/>
  <c r="P1485" i="2" a="1"/>
  <c r="P1485" i="2" s="1"/>
  <c r="M1485" i="2" a="1"/>
  <c r="M1485" i="2" s="1"/>
  <c r="R1485" i="2" a="1"/>
  <c r="R1485" i="2" s="1"/>
  <c r="N1485" i="2" a="1"/>
  <c r="N1485" i="2" s="1"/>
  <c r="Q1485" i="2" a="1"/>
  <c r="Q1485" i="2" s="1"/>
  <c r="O1485" i="2" a="1"/>
  <c r="O1485" i="2" s="1"/>
  <c r="Q1477" i="2" a="1"/>
  <c r="Q1477" i="2" s="1"/>
  <c r="P1477" i="2" a="1"/>
  <c r="P1477" i="2" s="1"/>
  <c r="O1477" i="2" a="1"/>
  <c r="O1477" i="2" s="1"/>
  <c r="N1477" i="2" a="1"/>
  <c r="N1477" i="2" s="1"/>
  <c r="R1477" i="2" a="1"/>
  <c r="R1477" i="2" s="1"/>
  <c r="M1477" i="2" a="1"/>
  <c r="M1477" i="2" s="1"/>
  <c r="P1469" i="2" a="1"/>
  <c r="P1469" i="2" s="1"/>
  <c r="O1469" i="2" a="1"/>
  <c r="O1469" i="2" s="1"/>
  <c r="R1469" i="2" a="1"/>
  <c r="R1469" i="2" s="1"/>
  <c r="N1469" i="2" a="1"/>
  <c r="N1469" i="2" s="1"/>
  <c r="Q1469" i="2" a="1"/>
  <c r="Q1469" i="2" s="1"/>
  <c r="M1469" i="2" a="1"/>
  <c r="M1469" i="2" s="1"/>
  <c r="P1461" i="2" a="1"/>
  <c r="P1461" i="2" s="1"/>
  <c r="O1461" i="2" a="1"/>
  <c r="O1461" i="2" s="1"/>
  <c r="R1461" i="2" a="1"/>
  <c r="R1461" i="2" s="1"/>
  <c r="N1461" i="2" a="1"/>
  <c r="N1461" i="2" s="1"/>
  <c r="Q1461" i="2" a="1"/>
  <c r="Q1461" i="2" s="1"/>
  <c r="M1461" i="2" a="1"/>
  <c r="M1461" i="2" s="1"/>
  <c r="P1453" i="2" a="1"/>
  <c r="P1453" i="2" s="1"/>
  <c r="O1453" i="2" a="1"/>
  <c r="O1453" i="2" s="1"/>
  <c r="R1453" i="2" a="1"/>
  <c r="R1453" i="2" s="1"/>
  <c r="N1453" i="2" a="1"/>
  <c r="N1453" i="2" s="1"/>
  <c r="Q1453" i="2" a="1"/>
  <c r="Q1453" i="2" s="1"/>
  <c r="M1453" i="2" a="1"/>
  <c r="M1453" i="2" s="1"/>
  <c r="R1441" i="2" a="1"/>
  <c r="R1441" i="2" s="1"/>
  <c r="N1441" i="2" a="1"/>
  <c r="N1441" i="2" s="1"/>
  <c r="Q1441" i="2" a="1"/>
  <c r="Q1441" i="2" s="1"/>
  <c r="M1441" i="2" a="1"/>
  <c r="M1441" i="2" s="1"/>
  <c r="O1441" i="2" a="1"/>
  <c r="O1441" i="2" s="1"/>
  <c r="P1441" i="2" a="1"/>
  <c r="P1441" i="2" s="1"/>
  <c r="R1433" i="2" a="1"/>
  <c r="R1433" i="2" s="1"/>
  <c r="N1433" i="2" a="1"/>
  <c r="N1433" i="2" s="1"/>
  <c r="Q1433" i="2" a="1"/>
  <c r="Q1433" i="2" s="1"/>
  <c r="M1433" i="2" a="1"/>
  <c r="M1433" i="2" s="1"/>
  <c r="O1433" i="2" a="1"/>
  <c r="O1433" i="2" s="1"/>
  <c r="P1433" i="2" a="1"/>
  <c r="P1433" i="2" s="1"/>
  <c r="R1425" i="2" a="1"/>
  <c r="R1425" i="2" s="1"/>
  <c r="N1425" i="2" a="1"/>
  <c r="N1425" i="2" s="1"/>
  <c r="Q1425" i="2" a="1"/>
  <c r="Q1425" i="2" s="1"/>
  <c r="M1425" i="2" a="1"/>
  <c r="M1425" i="2" s="1"/>
  <c r="O1425" i="2" a="1"/>
  <c r="O1425" i="2" s="1"/>
  <c r="P1425" i="2" a="1"/>
  <c r="P1425" i="2" s="1"/>
  <c r="R1417" i="2" a="1"/>
  <c r="R1417" i="2" s="1"/>
  <c r="N1417" i="2" a="1"/>
  <c r="N1417" i="2" s="1"/>
  <c r="Q1417" i="2" a="1"/>
  <c r="Q1417" i="2" s="1"/>
  <c r="O1417" i="2" a="1"/>
  <c r="O1417" i="2" s="1"/>
  <c r="M1417" i="2" a="1"/>
  <c r="M1417" i="2" s="1"/>
  <c r="P1417" i="2" a="1"/>
  <c r="P1417" i="2" s="1"/>
  <c r="R1405" i="2" a="1"/>
  <c r="R1405" i="2" s="1"/>
  <c r="N1405" i="2" a="1"/>
  <c r="N1405" i="2" s="1"/>
  <c r="Q1405" i="2" a="1"/>
  <c r="Q1405" i="2" s="1"/>
  <c r="M1405" i="2" a="1"/>
  <c r="M1405" i="2" s="1"/>
  <c r="O1405" i="2" a="1"/>
  <c r="O1405" i="2" s="1"/>
  <c r="P1405" i="2" a="1"/>
  <c r="P1405" i="2" s="1"/>
  <c r="Q1397" i="2" a="1"/>
  <c r="Q1397" i="2" s="1"/>
  <c r="M1397" i="2" a="1"/>
  <c r="M1397" i="2" s="1"/>
  <c r="P1397" i="2" a="1"/>
  <c r="P1397" i="2" s="1"/>
  <c r="R1397" i="2" a="1"/>
  <c r="R1397" i="2" s="1"/>
  <c r="O1397" i="2" a="1"/>
  <c r="O1397" i="2" s="1"/>
  <c r="N1397" i="2" a="1"/>
  <c r="N1397" i="2" s="1"/>
  <c r="Q1389" i="2" a="1"/>
  <c r="Q1389" i="2" s="1"/>
  <c r="M1389" i="2" a="1"/>
  <c r="M1389" i="2" s="1"/>
  <c r="P1389" i="2" a="1"/>
  <c r="P1389" i="2" s="1"/>
  <c r="N1389" i="2" a="1"/>
  <c r="N1389" i="2" s="1"/>
  <c r="R1389" i="2" a="1"/>
  <c r="R1389" i="2" s="1"/>
  <c r="O1389" i="2" a="1"/>
  <c r="O1389" i="2" s="1"/>
  <c r="O1381" i="2" a="1"/>
  <c r="O1381" i="2" s="1"/>
  <c r="R1381" i="2" a="1"/>
  <c r="R1381" i="2" s="1"/>
  <c r="N1381" i="2" a="1"/>
  <c r="N1381" i="2" s="1"/>
  <c r="M1381" i="2" a="1"/>
  <c r="M1381" i="2" s="1"/>
  <c r="Q1381" i="2" a="1"/>
  <c r="Q1381" i="2" s="1"/>
  <c r="P1381" i="2" a="1"/>
  <c r="P1381" i="2" s="1"/>
  <c r="O1373" i="2" a="1"/>
  <c r="O1373" i="2" s="1"/>
  <c r="R1373" i="2" a="1"/>
  <c r="R1373" i="2" s="1"/>
  <c r="N1373" i="2" a="1"/>
  <c r="N1373" i="2" s="1"/>
  <c r="M1373" i="2" a="1"/>
  <c r="M1373" i="2" s="1"/>
  <c r="Q1373" i="2" a="1"/>
  <c r="Q1373" i="2" s="1"/>
  <c r="P1373" i="2" a="1"/>
  <c r="P1373" i="2" s="1"/>
  <c r="R1365" i="2" a="1"/>
  <c r="R1365" i="2" s="1"/>
  <c r="N1365" i="2" a="1"/>
  <c r="N1365" i="2" s="1"/>
  <c r="O1365" i="2" a="1"/>
  <c r="O1365" i="2" s="1"/>
  <c r="Q1365" i="2" a="1"/>
  <c r="Q1365" i="2" s="1"/>
  <c r="M1365" i="2" a="1"/>
  <c r="M1365" i="2" s="1"/>
  <c r="P1365" i="2" a="1"/>
  <c r="P1365" i="2" s="1"/>
  <c r="R1357" i="2" a="1"/>
  <c r="R1357" i="2" s="1"/>
  <c r="N1357" i="2" a="1"/>
  <c r="N1357" i="2" s="1"/>
  <c r="O1357" i="2" a="1"/>
  <c r="O1357" i="2" s="1"/>
  <c r="Q1357" i="2" a="1"/>
  <c r="Q1357" i="2" s="1"/>
  <c r="M1357" i="2" a="1"/>
  <c r="M1357" i="2" s="1"/>
  <c r="P1357" i="2" a="1"/>
  <c r="P1357" i="2" s="1"/>
  <c r="R1353" i="2" a="1"/>
  <c r="R1353" i="2" s="1"/>
  <c r="N1353" i="2" a="1"/>
  <c r="N1353" i="2" s="1"/>
  <c r="Q1353" i="2" a="1"/>
  <c r="Q1353" i="2" s="1"/>
  <c r="M1353" i="2" a="1"/>
  <c r="M1353" i="2" s="1"/>
  <c r="P1353" i="2" a="1"/>
  <c r="P1353" i="2" s="1"/>
  <c r="O1353" i="2" a="1"/>
  <c r="O1353" i="2" s="1"/>
  <c r="O1345" i="2" a="1"/>
  <c r="O1345" i="2" s="1"/>
  <c r="R1345" i="2" a="1"/>
  <c r="R1345" i="2" s="1"/>
  <c r="N1345" i="2" a="1"/>
  <c r="N1345" i="2" s="1"/>
  <c r="Q1345" i="2" a="1"/>
  <c r="Q1345" i="2" s="1"/>
  <c r="M1345" i="2" a="1"/>
  <c r="M1345" i="2" s="1"/>
  <c r="P1345" i="2" a="1"/>
  <c r="P1345" i="2" s="1"/>
  <c r="O1337" i="2" a="1"/>
  <c r="O1337" i="2" s="1"/>
  <c r="R1337" i="2" a="1"/>
  <c r="R1337" i="2" s="1"/>
  <c r="N1337" i="2" a="1"/>
  <c r="N1337" i="2" s="1"/>
  <c r="Q1337" i="2" a="1"/>
  <c r="Q1337" i="2" s="1"/>
  <c r="M1337" i="2" a="1"/>
  <c r="M1337" i="2" s="1"/>
  <c r="P1337" i="2" a="1"/>
  <c r="P1337" i="2" s="1"/>
  <c r="O1329" i="2" a="1"/>
  <c r="O1329" i="2" s="1"/>
  <c r="Q1329" i="2" a="1"/>
  <c r="Q1329" i="2" s="1"/>
  <c r="M1329" i="2" a="1"/>
  <c r="M1329" i="2" s="1"/>
  <c r="P1329" i="2" a="1"/>
  <c r="P1329" i="2" s="1"/>
  <c r="R1329" i="2" a="1"/>
  <c r="R1329" i="2" s="1"/>
  <c r="N1329" i="2" a="1"/>
  <c r="N1329" i="2" s="1"/>
  <c r="O1321" i="2" a="1"/>
  <c r="O1321" i="2" s="1"/>
  <c r="P1321" i="2" a="1"/>
  <c r="P1321" i="2" s="1"/>
  <c r="Q1321" i="2" a="1"/>
  <c r="Q1321" i="2" s="1"/>
  <c r="N1321" i="2" a="1"/>
  <c r="N1321" i="2" s="1"/>
  <c r="M1321" i="2" a="1"/>
  <c r="M1321" i="2" s="1"/>
  <c r="R1321" i="2" a="1"/>
  <c r="R1321" i="2" s="1"/>
  <c r="O1313" i="2" a="1"/>
  <c r="O1313" i="2" s="1"/>
  <c r="P1313" i="2" a="1"/>
  <c r="P1313" i="2" s="1"/>
  <c r="Q1313" i="2" a="1"/>
  <c r="Q1313" i="2" s="1"/>
  <c r="N1313" i="2" a="1"/>
  <c r="N1313" i="2" s="1"/>
  <c r="M1313" i="2" a="1"/>
  <c r="M1313" i="2" s="1"/>
  <c r="R1313" i="2" a="1"/>
  <c r="R1313" i="2" s="1"/>
  <c r="O1305" i="2" a="1"/>
  <c r="O1305" i="2" s="1"/>
  <c r="N1305" i="2" a="1"/>
  <c r="N1305" i="2" s="1"/>
  <c r="R1305" i="2" a="1"/>
  <c r="R1305" i="2" s="1"/>
  <c r="M1305" i="2" a="1"/>
  <c r="M1305" i="2" s="1"/>
  <c r="Q1305" i="2" a="1"/>
  <c r="Q1305" i="2" s="1"/>
  <c r="P1305" i="2" a="1"/>
  <c r="P1305" i="2" s="1"/>
  <c r="P1297" i="2" a="1"/>
  <c r="P1297" i="2" s="1"/>
  <c r="O1297" i="2" a="1"/>
  <c r="O1297" i="2" s="1"/>
  <c r="R1297" i="2" a="1"/>
  <c r="R1297" i="2" s="1"/>
  <c r="N1297" i="2" a="1"/>
  <c r="N1297" i="2" s="1"/>
  <c r="Q1297" i="2" a="1"/>
  <c r="Q1297" i="2" s="1"/>
  <c r="M1297" i="2" a="1"/>
  <c r="M1297" i="2" s="1"/>
  <c r="Q1289" i="2" a="1"/>
  <c r="Q1289" i="2" s="1"/>
  <c r="N1289" i="2" a="1"/>
  <c r="N1289" i="2" s="1"/>
  <c r="P1289" i="2" a="1"/>
  <c r="P1289" i="2" s="1"/>
  <c r="O1289" i="2" a="1"/>
  <c r="O1289" i="2" s="1"/>
  <c r="R1289" i="2" a="1"/>
  <c r="R1289" i="2" s="1"/>
  <c r="M1289" i="2" a="1"/>
  <c r="M1289" i="2" s="1"/>
  <c r="Q1281" i="2" a="1"/>
  <c r="Q1281" i="2" s="1"/>
  <c r="N1281" i="2" a="1"/>
  <c r="N1281" i="2" s="1"/>
  <c r="P1281" i="2" a="1"/>
  <c r="P1281" i="2" s="1"/>
  <c r="O1281" i="2" a="1"/>
  <c r="O1281" i="2" s="1"/>
  <c r="R1281" i="2" a="1"/>
  <c r="R1281" i="2" s="1"/>
  <c r="M1281" i="2" a="1"/>
  <c r="M1281" i="2" s="1"/>
  <c r="Q1273" i="2" a="1"/>
  <c r="Q1273" i="2" s="1"/>
  <c r="N1273" i="2" a="1"/>
  <c r="N1273" i="2" s="1"/>
  <c r="R1273" i="2" a="1"/>
  <c r="R1273" i="2" s="1"/>
  <c r="M1273" i="2" a="1"/>
  <c r="M1273" i="2" s="1"/>
  <c r="P1273" i="2" a="1"/>
  <c r="P1273" i="2" s="1"/>
  <c r="O1273" i="2" a="1"/>
  <c r="O1273" i="2" s="1"/>
  <c r="Q1265" i="2" a="1"/>
  <c r="Q1265" i="2" s="1"/>
  <c r="N1265" i="2" a="1"/>
  <c r="N1265" i="2" s="1"/>
  <c r="P1265" i="2" a="1"/>
  <c r="P1265" i="2" s="1"/>
  <c r="O1265" i="2" a="1"/>
  <c r="O1265" i="2" s="1"/>
  <c r="R1265" i="2" a="1"/>
  <c r="R1265" i="2" s="1"/>
  <c r="M1265" i="2" a="1"/>
  <c r="M1265" i="2" s="1"/>
  <c r="M1253" i="2" a="1"/>
  <c r="M1253" i="2" s="1"/>
  <c r="P1253" i="2" a="1"/>
  <c r="P1253" i="2" s="1"/>
  <c r="R1253" i="2" a="1"/>
  <c r="R1253" i="2" s="1"/>
  <c r="O1253" i="2" a="1"/>
  <c r="O1253" i="2" s="1"/>
  <c r="Q1253" i="2" a="1"/>
  <c r="Q1253" i="2" s="1"/>
  <c r="N1253" i="2" a="1"/>
  <c r="N1253" i="2" s="1"/>
  <c r="M1241" i="2" a="1"/>
  <c r="M1241" i="2" s="1"/>
  <c r="P1241" i="2" a="1"/>
  <c r="P1241" i="2" s="1"/>
  <c r="R1241" i="2" a="1"/>
  <c r="R1241" i="2" s="1"/>
  <c r="O1241" i="2" a="1"/>
  <c r="O1241" i="2" s="1"/>
  <c r="Q1241" i="2" a="1"/>
  <c r="Q1241" i="2" s="1"/>
  <c r="N1241" i="2" a="1"/>
  <c r="N1241" i="2" s="1"/>
  <c r="M1233" i="2" a="1"/>
  <c r="M1233" i="2" s="1"/>
  <c r="P1233" i="2" a="1"/>
  <c r="P1233" i="2" s="1"/>
  <c r="R1233" i="2" a="1"/>
  <c r="R1233" i="2" s="1"/>
  <c r="O1233" i="2" a="1"/>
  <c r="O1233" i="2" s="1"/>
  <c r="Q1233" i="2" a="1"/>
  <c r="Q1233" i="2" s="1"/>
  <c r="N1233" i="2" a="1"/>
  <c r="N1233" i="2" s="1"/>
  <c r="O1225" i="2" a="1"/>
  <c r="O1225" i="2" s="1"/>
  <c r="R1225" i="2" a="1"/>
  <c r="R1225" i="2" s="1"/>
  <c r="N1225" i="2" a="1"/>
  <c r="N1225" i="2" s="1"/>
  <c r="Q1225" i="2" a="1"/>
  <c r="Q1225" i="2" s="1"/>
  <c r="P1225" i="2" a="1"/>
  <c r="P1225" i="2" s="1"/>
  <c r="M1225" i="2" a="1"/>
  <c r="M1225" i="2" s="1"/>
  <c r="Q1217" i="2" a="1"/>
  <c r="Q1217" i="2" s="1"/>
  <c r="P1217" i="2" a="1"/>
  <c r="P1217" i="2" s="1"/>
  <c r="M1217" i="2" a="1"/>
  <c r="M1217" i="2" s="1"/>
  <c r="O1217" i="2" a="1"/>
  <c r="O1217" i="2" s="1"/>
  <c r="R1217" i="2" a="1"/>
  <c r="R1217" i="2" s="1"/>
  <c r="N1217" i="2" a="1"/>
  <c r="N1217" i="2" s="1"/>
  <c r="O1209" i="2" a="1"/>
  <c r="O1209" i="2" s="1"/>
  <c r="R1209" i="2" a="1"/>
  <c r="R1209" i="2" s="1"/>
  <c r="N1209" i="2" a="1"/>
  <c r="N1209" i="2" s="1"/>
  <c r="Q1209" i="2" a="1"/>
  <c r="Q1209" i="2" s="1"/>
  <c r="P1209" i="2" a="1"/>
  <c r="P1209" i="2" s="1"/>
  <c r="M1209" i="2" a="1"/>
  <c r="M1209" i="2" s="1"/>
  <c r="Q1201" i="2" a="1"/>
  <c r="Q1201" i="2" s="1"/>
  <c r="P1201" i="2" a="1"/>
  <c r="P1201" i="2" s="1"/>
  <c r="M1201" i="2" a="1"/>
  <c r="M1201" i="2" s="1"/>
  <c r="O1201" i="2" a="1"/>
  <c r="O1201" i="2" s="1"/>
  <c r="R1201" i="2" a="1"/>
  <c r="R1201" i="2" s="1"/>
  <c r="N1201" i="2" a="1"/>
  <c r="N1201" i="2" s="1"/>
  <c r="Q1193" i="2" a="1"/>
  <c r="Q1193" i="2" s="1"/>
  <c r="P1193" i="2" a="1"/>
  <c r="P1193" i="2" s="1"/>
  <c r="M1193" i="2" a="1"/>
  <c r="M1193" i="2" s="1"/>
  <c r="O1193" i="2" a="1"/>
  <c r="O1193" i="2" s="1"/>
  <c r="R1193" i="2" a="1"/>
  <c r="R1193" i="2" s="1"/>
  <c r="N1193" i="2" a="1"/>
  <c r="N1193" i="2" s="1"/>
  <c r="Q1185" i="2" a="1"/>
  <c r="Q1185" i="2" s="1"/>
  <c r="P1185" i="2" a="1"/>
  <c r="P1185" i="2" s="1"/>
  <c r="M1185" i="2" a="1"/>
  <c r="M1185" i="2" s="1"/>
  <c r="O1185" i="2" a="1"/>
  <c r="O1185" i="2" s="1"/>
  <c r="R1185" i="2" a="1"/>
  <c r="R1185" i="2" s="1"/>
  <c r="N1185" i="2" a="1"/>
  <c r="N1185" i="2" s="1"/>
  <c r="P1177" i="2" a="1"/>
  <c r="P1177" i="2" s="1"/>
  <c r="O1177" i="2" a="1"/>
  <c r="O1177" i="2" s="1"/>
  <c r="R1177" i="2" a="1"/>
  <c r="R1177" i="2" s="1"/>
  <c r="Q1177" i="2" a="1"/>
  <c r="Q1177" i="2" s="1"/>
  <c r="N1177" i="2" a="1"/>
  <c r="N1177" i="2" s="1"/>
  <c r="M1177" i="2" a="1"/>
  <c r="M1177" i="2" s="1"/>
  <c r="P1169" i="2" a="1"/>
  <c r="P1169" i="2" s="1"/>
  <c r="M1169" i="2" a="1"/>
  <c r="M1169" i="2" s="1"/>
  <c r="R1169" i="2" a="1"/>
  <c r="R1169" i="2" s="1"/>
  <c r="O1169" i="2" a="1"/>
  <c r="O1169" i="2" s="1"/>
  <c r="Q1169" i="2" a="1"/>
  <c r="Q1169" i="2" s="1"/>
  <c r="N1169" i="2" a="1"/>
  <c r="N1169" i="2" s="1"/>
  <c r="Q1161" i="2" a="1"/>
  <c r="Q1161" i="2" s="1"/>
  <c r="O1161" i="2" a="1"/>
  <c r="O1161" i="2" s="1"/>
  <c r="R1161" i="2" a="1"/>
  <c r="R1161" i="2" s="1"/>
  <c r="N1161" i="2" a="1"/>
  <c r="N1161" i="2" s="1"/>
  <c r="M1161" i="2" a="1"/>
  <c r="M1161" i="2" s="1"/>
  <c r="P1161" i="2" a="1"/>
  <c r="P1161" i="2" s="1"/>
  <c r="Q1153" i="2" a="1"/>
  <c r="Q1153" i="2" s="1"/>
  <c r="P1153" i="2" a="1"/>
  <c r="P1153" i="2" s="1"/>
  <c r="M1153" i="2" a="1"/>
  <c r="M1153" i="2" s="1"/>
  <c r="R1153" i="2" a="1"/>
  <c r="R1153" i="2" s="1"/>
  <c r="O1153" i="2" a="1"/>
  <c r="O1153" i="2" s="1"/>
  <c r="N1153" i="2" a="1"/>
  <c r="N1153" i="2" s="1"/>
  <c r="Q1145" i="2" a="1"/>
  <c r="Q1145" i="2" s="1"/>
  <c r="P1145" i="2" a="1"/>
  <c r="P1145" i="2" s="1"/>
  <c r="M1145" i="2" a="1"/>
  <c r="M1145" i="2" s="1"/>
  <c r="R1145" i="2" a="1"/>
  <c r="R1145" i="2" s="1"/>
  <c r="O1145" i="2" a="1"/>
  <c r="O1145" i="2" s="1"/>
  <c r="N1145" i="2" a="1"/>
  <c r="N1145" i="2" s="1"/>
  <c r="R1137" i="2" a="1"/>
  <c r="R1137" i="2" s="1"/>
  <c r="O1137" i="2" a="1"/>
  <c r="O1137" i="2" s="1"/>
  <c r="N1137" i="2" a="1"/>
  <c r="N1137" i="2" s="1"/>
  <c r="Q1137" i="2" a="1"/>
  <c r="Q1137" i="2" s="1"/>
  <c r="P1137" i="2" a="1"/>
  <c r="P1137" i="2" s="1"/>
  <c r="M1137" i="2" a="1"/>
  <c r="M1137" i="2" s="1"/>
  <c r="Q1129" i="2" a="1"/>
  <c r="Q1129" i="2" s="1"/>
  <c r="P1129" i="2" a="1"/>
  <c r="P1129" i="2" s="1"/>
  <c r="M1129" i="2" a="1"/>
  <c r="M1129" i="2" s="1"/>
  <c r="R1129" i="2" a="1"/>
  <c r="R1129" i="2" s="1"/>
  <c r="O1129" i="2" a="1"/>
  <c r="O1129" i="2" s="1"/>
  <c r="N1129" i="2" a="1"/>
  <c r="N1129" i="2" s="1"/>
  <c r="R1121" i="2" a="1"/>
  <c r="R1121" i="2" s="1"/>
  <c r="O1121" i="2" a="1"/>
  <c r="O1121" i="2" s="1"/>
  <c r="N1121" i="2" a="1"/>
  <c r="N1121" i="2" s="1"/>
  <c r="Q1121" i="2" a="1"/>
  <c r="Q1121" i="2" s="1"/>
  <c r="P1121" i="2" a="1"/>
  <c r="P1121" i="2" s="1"/>
  <c r="M1121" i="2" a="1"/>
  <c r="M1121" i="2" s="1"/>
  <c r="P1113" i="2" a="1"/>
  <c r="P1113" i="2" s="1"/>
  <c r="M1113" i="2" a="1"/>
  <c r="M1113" i="2" s="1"/>
  <c r="R1113" i="2" a="1"/>
  <c r="R1113" i="2" s="1"/>
  <c r="O1113" i="2" a="1"/>
  <c r="O1113" i="2" s="1"/>
  <c r="N1113" i="2" a="1"/>
  <c r="N1113" i="2" s="1"/>
  <c r="Q1113" i="2" a="1"/>
  <c r="Q1113" i="2" s="1"/>
  <c r="Q1105" i="2" a="1"/>
  <c r="Q1105" i="2" s="1"/>
  <c r="P1105" i="2" a="1"/>
  <c r="P1105" i="2" s="1"/>
  <c r="M1105" i="2" a="1"/>
  <c r="M1105" i="2" s="1"/>
  <c r="R1105" i="2" a="1"/>
  <c r="R1105" i="2" s="1"/>
  <c r="O1105" i="2" a="1"/>
  <c r="O1105" i="2" s="1"/>
  <c r="N1105" i="2" a="1"/>
  <c r="N1105" i="2" s="1"/>
  <c r="R1097" i="2" a="1"/>
  <c r="R1097" i="2" s="1"/>
  <c r="O1097" i="2" a="1"/>
  <c r="O1097" i="2" s="1"/>
  <c r="N1097" i="2" a="1"/>
  <c r="N1097" i="2" s="1"/>
  <c r="Q1097" i="2" a="1"/>
  <c r="Q1097" i="2" s="1"/>
  <c r="P1097" i="2" a="1"/>
  <c r="P1097" i="2" s="1"/>
  <c r="M1097" i="2" a="1"/>
  <c r="M1097" i="2" s="1"/>
  <c r="N1093" i="2" a="1"/>
  <c r="N1093" i="2" s="1"/>
  <c r="Q1093" i="2" a="1"/>
  <c r="Q1093" i="2" s="1"/>
  <c r="P1093" i="2" a="1"/>
  <c r="P1093" i="2" s="1"/>
  <c r="M1093" i="2" a="1"/>
  <c r="M1093" i="2" s="1"/>
  <c r="R1093" i="2" a="1"/>
  <c r="R1093" i="2" s="1"/>
  <c r="O1093" i="2" a="1"/>
  <c r="O1093" i="2" s="1"/>
  <c r="P1085" i="2" a="1"/>
  <c r="P1085" i="2" s="1"/>
  <c r="O1085" i="2" a="1"/>
  <c r="O1085" i="2" s="1"/>
  <c r="R1085" i="2" a="1"/>
  <c r="R1085" i="2" s="1"/>
  <c r="N1085" i="2" a="1"/>
  <c r="N1085" i="2" s="1"/>
  <c r="Q1085" i="2" a="1"/>
  <c r="Q1085" i="2" s="1"/>
  <c r="M1085" i="2" a="1"/>
  <c r="M1085" i="2" s="1"/>
  <c r="P1081" i="2" a="1"/>
  <c r="P1081" i="2" s="1"/>
  <c r="O1081" i="2" a="1"/>
  <c r="O1081" i="2" s="1"/>
  <c r="R1081" i="2" a="1"/>
  <c r="R1081" i="2" s="1"/>
  <c r="N1081" i="2" a="1"/>
  <c r="N1081" i="2" s="1"/>
  <c r="Q1081" i="2" a="1"/>
  <c r="Q1081" i="2" s="1"/>
  <c r="M1081" i="2" a="1"/>
  <c r="M1081" i="2" s="1"/>
  <c r="P1073" i="2" a="1"/>
  <c r="P1073" i="2" s="1"/>
  <c r="O1073" i="2" a="1"/>
  <c r="O1073" i="2" s="1"/>
  <c r="R1073" i="2" a="1"/>
  <c r="R1073" i="2" s="1"/>
  <c r="N1073" i="2" a="1"/>
  <c r="N1073" i="2" s="1"/>
  <c r="Q1073" i="2" a="1"/>
  <c r="Q1073" i="2" s="1"/>
  <c r="M1073" i="2" a="1"/>
  <c r="M1073" i="2" s="1"/>
  <c r="P1065" i="2" a="1"/>
  <c r="P1065" i="2" s="1"/>
  <c r="O1065" i="2" a="1"/>
  <c r="O1065" i="2" s="1"/>
  <c r="R1065" i="2" a="1"/>
  <c r="R1065" i="2" s="1"/>
  <c r="N1065" i="2" a="1"/>
  <c r="N1065" i="2" s="1"/>
  <c r="Q1065" i="2" a="1"/>
  <c r="Q1065" i="2" s="1"/>
  <c r="M1065" i="2" a="1"/>
  <c r="M1065" i="2" s="1"/>
  <c r="R1057" i="2" a="1"/>
  <c r="R1057" i="2" s="1"/>
  <c r="N1057" i="2" a="1"/>
  <c r="N1057" i="2" s="1"/>
  <c r="Q1057" i="2" a="1"/>
  <c r="Q1057" i="2" s="1"/>
  <c r="M1057" i="2" a="1"/>
  <c r="M1057" i="2" s="1"/>
  <c r="P1057" i="2" a="1"/>
  <c r="P1057" i="2" s="1"/>
  <c r="O1057" i="2" a="1"/>
  <c r="O1057" i="2" s="1"/>
  <c r="R1049" i="2" a="1"/>
  <c r="R1049" i="2" s="1"/>
  <c r="O1049" i="2" a="1"/>
  <c r="O1049" i="2" s="1"/>
  <c r="Q1049" i="2" a="1"/>
  <c r="Q1049" i="2" s="1"/>
  <c r="P1049" i="2" a="1"/>
  <c r="P1049" i="2" s="1"/>
  <c r="N1049" i="2" a="1"/>
  <c r="N1049" i="2" s="1"/>
  <c r="M1049" i="2" a="1"/>
  <c r="M1049" i="2" s="1"/>
  <c r="P1041" i="2" a="1"/>
  <c r="P1041" i="2" s="1"/>
  <c r="M1041" i="2" a="1"/>
  <c r="M1041" i="2" s="1"/>
  <c r="R1041" i="2" a="1"/>
  <c r="R1041" i="2" s="1"/>
  <c r="O1041" i="2" a="1"/>
  <c r="O1041" i="2" s="1"/>
  <c r="N1041" i="2" a="1"/>
  <c r="N1041" i="2" s="1"/>
  <c r="Q1041" i="2" a="1"/>
  <c r="Q1041" i="2" s="1"/>
  <c r="Q1033" i="2" a="1"/>
  <c r="Q1033" i="2" s="1"/>
  <c r="N1033" i="2" a="1"/>
  <c r="N1033" i="2" s="1"/>
  <c r="R1033" i="2" a="1"/>
  <c r="R1033" i="2" s="1"/>
  <c r="P1033" i="2" a="1"/>
  <c r="P1033" i="2" s="1"/>
  <c r="O1033" i="2" a="1"/>
  <c r="O1033" i="2" s="1"/>
  <c r="M1033" i="2" a="1"/>
  <c r="M1033" i="2" s="1"/>
  <c r="P1025" i="2" a="1"/>
  <c r="P1025" i="2" s="1"/>
  <c r="M1025" i="2" a="1"/>
  <c r="M1025" i="2" s="1"/>
  <c r="R1025" i="2" a="1"/>
  <c r="R1025" i="2" s="1"/>
  <c r="O1025" i="2" a="1"/>
  <c r="O1025" i="2" s="1"/>
  <c r="N1025" i="2" a="1"/>
  <c r="N1025" i="2" s="1"/>
  <c r="Q1025" i="2" a="1"/>
  <c r="Q1025" i="2" s="1"/>
  <c r="Q1017" i="2" a="1"/>
  <c r="Q1017" i="2" s="1"/>
  <c r="N1017" i="2" a="1"/>
  <c r="N1017" i="2" s="1"/>
  <c r="O1017" i="2" a="1"/>
  <c r="O1017" i="2" s="1"/>
  <c r="M1017" i="2" a="1"/>
  <c r="M1017" i="2" s="1"/>
  <c r="R1017" i="2" a="1"/>
  <c r="R1017" i="2" s="1"/>
  <c r="P1017" i="2" a="1"/>
  <c r="P1017" i="2" s="1"/>
  <c r="R1009" i="2" a="1"/>
  <c r="R1009" i="2" s="1"/>
  <c r="O1009" i="2" a="1"/>
  <c r="O1009" i="2" s="1"/>
  <c r="Q1009" i="2" a="1"/>
  <c r="Q1009" i="2" s="1"/>
  <c r="M1009" i="2" a="1"/>
  <c r="M1009" i="2" s="1"/>
  <c r="P1009" i="2" a="1"/>
  <c r="P1009" i="2" s="1"/>
  <c r="N1009" i="2" a="1"/>
  <c r="N1009" i="2" s="1"/>
  <c r="M1001" i="2" a="1"/>
  <c r="M1001" i="2" s="1"/>
  <c r="P1001" i="2" a="1"/>
  <c r="P1001" i="2" s="1"/>
  <c r="Q1001" i="2" a="1"/>
  <c r="Q1001" i="2" s="1"/>
  <c r="O1001" i="2" a="1"/>
  <c r="O1001" i="2" s="1"/>
  <c r="N1001" i="2" a="1"/>
  <c r="N1001" i="2" s="1"/>
  <c r="R1001" i="2" a="1"/>
  <c r="R1001" i="2" s="1"/>
  <c r="Q993" i="2" a="1"/>
  <c r="Q993" i="2" s="1"/>
  <c r="M993" i="2" a="1"/>
  <c r="M993" i="2" s="1"/>
  <c r="R993" i="2" a="1"/>
  <c r="R993" i="2" s="1"/>
  <c r="P993" i="2" a="1"/>
  <c r="P993" i="2" s="1"/>
  <c r="O993" i="2" a="1"/>
  <c r="O993" i="2" s="1"/>
  <c r="N993" i="2" a="1"/>
  <c r="N993" i="2" s="1"/>
  <c r="Q985" i="2" a="1"/>
  <c r="Q985" i="2" s="1"/>
  <c r="M985" i="2" a="1"/>
  <c r="M985" i="2" s="1"/>
  <c r="R985" i="2" a="1"/>
  <c r="R985" i="2" s="1"/>
  <c r="P985" i="2" a="1"/>
  <c r="P985" i="2" s="1"/>
  <c r="O985" i="2" a="1"/>
  <c r="O985" i="2" s="1"/>
  <c r="N985" i="2" a="1"/>
  <c r="N985" i="2" s="1"/>
  <c r="Q977" i="2" a="1"/>
  <c r="Q977" i="2" s="1"/>
  <c r="M977" i="2" a="1"/>
  <c r="M977" i="2" s="1"/>
  <c r="R977" i="2" a="1"/>
  <c r="R977" i="2" s="1"/>
  <c r="P977" i="2" a="1"/>
  <c r="P977" i="2" s="1"/>
  <c r="O977" i="2" a="1"/>
  <c r="O977" i="2" s="1"/>
  <c r="N977" i="2" a="1"/>
  <c r="N977" i="2" s="1"/>
  <c r="Q969" i="2" a="1"/>
  <c r="Q969" i="2" s="1"/>
  <c r="M969" i="2" a="1"/>
  <c r="M969" i="2" s="1"/>
  <c r="R969" i="2" a="1"/>
  <c r="R969" i="2" s="1"/>
  <c r="P969" i="2" a="1"/>
  <c r="P969" i="2" s="1"/>
  <c r="O969" i="2" a="1"/>
  <c r="O969" i="2" s="1"/>
  <c r="N969" i="2" a="1"/>
  <c r="N969" i="2" s="1"/>
  <c r="Q961" i="2" a="1"/>
  <c r="Q961" i="2" s="1"/>
  <c r="M961" i="2" a="1"/>
  <c r="M961" i="2" s="1"/>
  <c r="R961" i="2" a="1"/>
  <c r="R961" i="2" s="1"/>
  <c r="P961" i="2" a="1"/>
  <c r="P961" i="2" s="1"/>
  <c r="O961" i="2" a="1"/>
  <c r="O961" i="2" s="1"/>
  <c r="N961" i="2" a="1"/>
  <c r="N961" i="2" s="1"/>
  <c r="Q953" i="2" a="1"/>
  <c r="Q953" i="2" s="1"/>
  <c r="M953" i="2" a="1"/>
  <c r="M953" i="2" s="1"/>
  <c r="R953" i="2" a="1"/>
  <c r="R953" i="2" s="1"/>
  <c r="P953" i="2" a="1"/>
  <c r="P953" i="2" s="1"/>
  <c r="O953" i="2" a="1"/>
  <c r="O953" i="2" s="1"/>
  <c r="N953" i="2" a="1"/>
  <c r="N953" i="2" s="1"/>
  <c r="Q945" i="2" a="1"/>
  <c r="Q945" i="2" s="1"/>
  <c r="M945" i="2" a="1"/>
  <c r="M945" i="2" s="1"/>
  <c r="R945" i="2" a="1"/>
  <c r="R945" i="2" s="1"/>
  <c r="P945" i="2" a="1"/>
  <c r="P945" i="2" s="1"/>
  <c r="O945" i="2" a="1"/>
  <c r="O945" i="2" s="1"/>
  <c r="N945" i="2" a="1"/>
  <c r="N945" i="2" s="1"/>
  <c r="Q937" i="2" a="1"/>
  <c r="Q937" i="2" s="1"/>
  <c r="M937" i="2" a="1"/>
  <c r="M937" i="2" s="1"/>
  <c r="R937" i="2" a="1"/>
  <c r="R937" i="2" s="1"/>
  <c r="P937" i="2" a="1"/>
  <c r="P937" i="2" s="1"/>
  <c r="O937" i="2" a="1"/>
  <c r="O937" i="2" s="1"/>
  <c r="N937" i="2" a="1"/>
  <c r="N937" i="2" s="1"/>
  <c r="Q929" i="2" a="1"/>
  <c r="Q929" i="2" s="1"/>
  <c r="M929" i="2" a="1"/>
  <c r="M929" i="2" s="1"/>
  <c r="R929" i="2" a="1"/>
  <c r="R929" i="2" s="1"/>
  <c r="P929" i="2" a="1"/>
  <c r="P929" i="2" s="1"/>
  <c r="O929" i="2" a="1"/>
  <c r="O929" i="2" s="1"/>
  <c r="N929" i="2" a="1"/>
  <c r="N929" i="2" s="1"/>
  <c r="Q921" i="2" a="1"/>
  <c r="Q921" i="2" s="1"/>
  <c r="M921" i="2" a="1"/>
  <c r="M921" i="2" s="1"/>
  <c r="R921" i="2" a="1"/>
  <c r="R921" i="2" s="1"/>
  <c r="P921" i="2" a="1"/>
  <c r="P921" i="2" s="1"/>
  <c r="O921" i="2" a="1"/>
  <c r="O921" i="2" s="1"/>
  <c r="N921" i="2" a="1"/>
  <c r="N921" i="2" s="1"/>
  <c r="Q913" i="2" a="1"/>
  <c r="Q913" i="2" s="1"/>
  <c r="M913" i="2" a="1"/>
  <c r="M913" i="2" s="1"/>
  <c r="R913" i="2" a="1"/>
  <c r="R913" i="2" s="1"/>
  <c r="P913" i="2" a="1"/>
  <c r="P913" i="2" s="1"/>
  <c r="O913" i="2" a="1"/>
  <c r="O913" i="2" s="1"/>
  <c r="N913" i="2" a="1"/>
  <c r="N913" i="2" s="1"/>
  <c r="Q905" i="2" a="1"/>
  <c r="Q905" i="2" s="1"/>
  <c r="M905" i="2" a="1"/>
  <c r="M905" i="2" s="1"/>
  <c r="R905" i="2" a="1"/>
  <c r="R905" i="2" s="1"/>
  <c r="P905" i="2" a="1"/>
  <c r="P905" i="2" s="1"/>
  <c r="O905" i="2" a="1"/>
  <c r="O905" i="2" s="1"/>
  <c r="N905" i="2" a="1"/>
  <c r="N905" i="2" s="1"/>
  <c r="Q897" i="2" a="1"/>
  <c r="Q897" i="2" s="1"/>
  <c r="M897" i="2" a="1"/>
  <c r="M897" i="2" s="1"/>
  <c r="R897" i="2" a="1"/>
  <c r="R897" i="2" s="1"/>
  <c r="P897" i="2" a="1"/>
  <c r="P897" i="2" s="1"/>
  <c r="O897" i="2" a="1"/>
  <c r="O897" i="2" s="1"/>
  <c r="N897" i="2" a="1"/>
  <c r="N897" i="2" s="1"/>
  <c r="Q889" i="2" a="1"/>
  <c r="Q889" i="2" s="1"/>
  <c r="M889" i="2" a="1"/>
  <c r="M889" i="2" s="1"/>
  <c r="R889" i="2" a="1"/>
  <c r="R889" i="2" s="1"/>
  <c r="P889" i="2" a="1"/>
  <c r="P889" i="2" s="1"/>
  <c r="O889" i="2" a="1"/>
  <c r="O889" i="2" s="1"/>
  <c r="N889" i="2" a="1"/>
  <c r="N889" i="2" s="1"/>
  <c r="Q881" i="2" a="1"/>
  <c r="Q881" i="2" s="1"/>
  <c r="M881" i="2" a="1"/>
  <c r="M881" i="2" s="1"/>
  <c r="R881" i="2" a="1"/>
  <c r="R881" i="2" s="1"/>
  <c r="P881" i="2" a="1"/>
  <c r="P881" i="2" s="1"/>
  <c r="O881" i="2" a="1"/>
  <c r="O881" i="2" s="1"/>
  <c r="N881" i="2" a="1"/>
  <c r="N881" i="2" s="1"/>
  <c r="Q873" i="2" a="1"/>
  <c r="Q873" i="2" s="1"/>
  <c r="M873" i="2" a="1"/>
  <c r="M873" i="2" s="1"/>
  <c r="R873" i="2" a="1"/>
  <c r="R873" i="2" s="1"/>
  <c r="P873" i="2" a="1"/>
  <c r="P873" i="2" s="1"/>
  <c r="O873" i="2" a="1"/>
  <c r="O873" i="2" s="1"/>
  <c r="N873" i="2" a="1"/>
  <c r="N873" i="2" s="1"/>
  <c r="R865" i="2" a="1"/>
  <c r="R865" i="2" s="1"/>
  <c r="O865" i="2" a="1"/>
  <c r="O865" i="2" s="1"/>
  <c r="N865" i="2" a="1"/>
  <c r="N865" i="2" s="1"/>
  <c r="Q865" i="2" a="1"/>
  <c r="Q865" i="2" s="1"/>
  <c r="M865" i="2" a="1"/>
  <c r="M865" i="2" s="1"/>
  <c r="P865" i="2" a="1"/>
  <c r="P865" i="2" s="1"/>
  <c r="M857" i="2" a="1"/>
  <c r="M857" i="2" s="1"/>
  <c r="P857" i="2" a="1"/>
  <c r="P857" i="2" s="1"/>
  <c r="R857" i="2" a="1"/>
  <c r="R857" i="2" s="1"/>
  <c r="O857" i="2" a="1"/>
  <c r="O857" i="2" s="1"/>
  <c r="Q857" i="2" a="1"/>
  <c r="Q857" i="2" s="1"/>
  <c r="N857" i="2" a="1"/>
  <c r="N857" i="2" s="1"/>
  <c r="M849" i="2" a="1"/>
  <c r="M849" i="2" s="1"/>
  <c r="P849" i="2" a="1"/>
  <c r="P849" i="2" s="1"/>
  <c r="R849" i="2" a="1"/>
  <c r="R849" i="2" s="1"/>
  <c r="O849" i="2" a="1"/>
  <c r="O849" i="2" s="1"/>
  <c r="Q849" i="2" a="1"/>
  <c r="Q849" i="2" s="1"/>
  <c r="N849" i="2" a="1"/>
  <c r="N849" i="2" s="1"/>
  <c r="M841" i="2" a="1"/>
  <c r="M841" i="2" s="1"/>
  <c r="P841" i="2" a="1"/>
  <c r="P841" i="2" s="1"/>
  <c r="R841" i="2" a="1"/>
  <c r="R841" i="2" s="1"/>
  <c r="O841" i="2" a="1"/>
  <c r="O841" i="2" s="1"/>
  <c r="Q841" i="2" a="1"/>
  <c r="Q841" i="2" s="1"/>
  <c r="N841" i="2" a="1"/>
  <c r="N841" i="2" s="1"/>
  <c r="M833" i="2" a="1"/>
  <c r="M833" i="2" s="1"/>
  <c r="P833" i="2" a="1"/>
  <c r="P833" i="2" s="1"/>
  <c r="R833" i="2" a="1"/>
  <c r="R833" i="2" s="1"/>
  <c r="O833" i="2" a="1"/>
  <c r="O833" i="2" s="1"/>
  <c r="Q833" i="2" a="1"/>
  <c r="Q833" i="2" s="1"/>
  <c r="N833" i="2" a="1"/>
  <c r="N833" i="2" s="1"/>
  <c r="M825" i="2" a="1"/>
  <c r="M825" i="2" s="1"/>
  <c r="P825" i="2" a="1"/>
  <c r="P825" i="2" s="1"/>
  <c r="R825" i="2" a="1"/>
  <c r="R825" i="2" s="1"/>
  <c r="O825" i="2" a="1"/>
  <c r="O825" i="2" s="1"/>
  <c r="Q825" i="2" a="1"/>
  <c r="Q825" i="2" s="1"/>
  <c r="N825" i="2" a="1"/>
  <c r="N825" i="2" s="1"/>
  <c r="M813" i="2" a="1"/>
  <c r="M813" i="2" s="1"/>
  <c r="P813" i="2" a="1"/>
  <c r="P813" i="2" s="1"/>
  <c r="R813" i="2" a="1"/>
  <c r="R813" i="2" s="1"/>
  <c r="O813" i="2" a="1"/>
  <c r="O813" i="2" s="1"/>
  <c r="Q813" i="2" a="1"/>
  <c r="Q813" i="2" s="1"/>
  <c r="N813" i="2" a="1"/>
  <c r="N813" i="2" s="1"/>
  <c r="M805" i="2" a="1"/>
  <c r="M805" i="2" s="1"/>
  <c r="P805" i="2" a="1"/>
  <c r="P805" i="2" s="1"/>
  <c r="R805" i="2" a="1"/>
  <c r="R805" i="2" s="1"/>
  <c r="O805" i="2" a="1"/>
  <c r="O805" i="2" s="1"/>
  <c r="Q805" i="2" a="1"/>
  <c r="Q805" i="2" s="1"/>
  <c r="N805" i="2" a="1"/>
  <c r="N805" i="2" s="1"/>
  <c r="M797" i="2" a="1"/>
  <c r="M797" i="2" s="1"/>
  <c r="P797" i="2" a="1"/>
  <c r="P797" i="2" s="1"/>
  <c r="R797" i="2" a="1"/>
  <c r="R797" i="2" s="1"/>
  <c r="O797" i="2" a="1"/>
  <c r="O797" i="2" s="1"/>
  <c r="Q797" i="2" a="1"/>
  <c r="Q797" i="2" s="1"/>
  <c r="N797" i="2" a="1"/>
  <c r="N797" i="2" s="1"/>
  <c r="M789" i="2" a="1"/>
  <c r="M789" i="2" s="1"/>
  <c r="P789" i="2" a="1"/>
  <c r="P789" i="2" s="1"/>
  <c r="R789" i="2" a="1"/>
  <c r="R789" i="2" s="1"/>
  <c r="O789" i="2" a="1"/>
  <c r="O789" i="2" s="1"/>
  <c r="Q789" i="2" a="1"/>
  <c r="Q789" i="2" s="1"/>
  <c r="N789" i="2" a="1"/>
  <c r="N789" i="2" s="1"/>
  <c r="M781" i="2" a="1"/>
  <c r="M781" i="2" s="1"/>
  <c r="P781" i="2" a="1"/>
  <c r="P781" i="2" s="1"/>
  <c r="R781" i="2" a="1"/>
  <c r="R781" i="2" s="1"/>
  <c r="O781" i="2" a="1"/>
  <c r="O781" i="2" s="1"/>
  <c r="Q781" i="2" a="1"/>
  <c r="Q781" i="2" s="1"/>
  <c r="N781" i="2" a="1"/>
  <c r="N781" i="2" s="1"/>
  <c r="M769" i="2" a="1"/>
  <c r="M769" i="2" s="1"/>
  <c r="P769" i="2" a="1"/>
  <c r="P769" i="2" s="1"/>
  <c r="R769" i="2" a="1"/>
  <c r="R769" i="2" s="1"/>
  <c r="O769" i="2" a="1"/>
  <c r="O769" i="2" s="1"/>
  <c r="Q769" i="2" a="1"/>
  <c r="Q769" i="2" s="1"/>
  <c r="N769" i="2" a="1"/>
  <c r="N769" i="2" s="1"/>
  <c r="P745" i="2" a="1"/>
  <c r="P745" i="2" s="1"/>
  <c r="R745" i="2" a="1"/>
  <c r="R745" i="2" s="1"/>
  <c r="O745" i="2" a="1"/>
  <c r="O745" i="2" s="1"/>
  <c r="Q745" i="2" a="1"/>
  <c r="Q745" i="2" s="1"/>
  <c r="N745" i="2" a="1"/>
  <c r="N745" i="2" s="1"/>
  <c r="M745" i="2" a="1"/>
  <c r="M745" i="2" s="1"/>
  <c r="R677" i="2" a="1"/>
  <c r="R677" i="2" s="1"/>
  <c r="O677" i="2" a="1"/>
  <c r="O677" i="2" s="1"/>
  <c r="N677" i="2" a="1"/>
  <c r="N677" i="2" s="1"/>
  <c r="Q677" i="2" a="1"/>
  <c r="Q677" i="2" s="1"/>
  <c r="M677" i="2" a="1"/>
  <c r="M677" i="2" s="1"/>
  <c r="P677" i="2" a="1"/>
  <c r="P677" i="2" s="1"/>
  <c r="Q1608" i="2" a="1"/>
  <c r="Q1608" i="2" s="1"/>
  <c r="N1608" i="2" a="1"/>
  <c r="N1608" i="2" s="1"/>
  <c r="P1608" i="2" a="1"/>
  <c r="P1608" i="2" s="1"/>
  <c r="M1608" i="2" a="1"/>
  <c r="M1608" i="2" s="1"/>
  <c r="R1608" i="2" a="1"/>
  <c r="R1608" i="2" s="1"/>
  <c r="O1608" i="2" a="1"/>
  <c r="O1608" i="2" s="1"/>
  <c r="R1600" i="2" a="1"/>
  <c r="R1600" i="2" s="1"/>
  <c r="N1600" i="2" a="1"/>
  <c r="N1600" i="2" s="1"/>
  <c r="Q1600" i="2" a="1"/>
  <c r="Q1600" i="2" s="1"/>
  <c r="P1600" i="2" a="1"/>
  <c r="P1600" i="2" s="1"/>
  <c r="M1600" i="2" a="1"/>
  <c r="M1600" i="2" s="1"/>
  <c r="O1600" i="2" a="1"/>
  <c r="O1600" i="2" s="1"/>
  <c r="Q1588" i="2" a="1"/>
  <c r="Q1588" i="2" s="1"/>
  <c r="N1588" i="2" a="1"/>
  <c r="N1588" i="2" s="1"/>
  <c r="P1588" i="2" a="1"/>
  <c r="P1588" i="2" s="1"/>
  <c r="M1588" i="2" a="1"/>
  <c r="M1588" i="2" s="1"/>
  <c r="O1588" i="2" a="1"/>
  <c r="O1588" i="2" s="1"/>
  <c r="R1588" i="2" a="1"/>
  <c r="R1588" i="2" s="1"/>
  <c r="O1572" i="2" a="1"/>
  <c r="O1572" i="2" s="1"/>
  <c r="R1572" i="2" a="1"/>
  <c r="R1572" i="2" s="1"/>
  <c r="Q1572" i="2" a="1"/>
  <c r="Q1572" i="2" s="1"/>
  <c r="N1572" i="2" a="1"/>
  <c r="N1572" i="2" s="1"/>
  <c r="P1572" i="2" a="1"/>
  <c r="P1572" i="2" s="1"/>
  <c r="M1572" i="2" a="1"/>
  <c r="M1572" i="2" s="1"/>
  <c r="Q1564" i="2" a="1"/>
  <c r="Q1564" i="2" s="1"/>
  <c r="N1564" i="2" a="1"/>
  <c r="N1564" i="2" s="1"/>
  <c r="P1564" i="2" a="1"/>
  <c r="P1564" i="2" s="1"/>
  <c r="M1564" i="2" a="1"/>
  <c r="M1564" i="2" s="1"/>
  <c r="O1564" i="2" a="1"/>
  <c r="O1564" i="2" s="1"/>
  <c r="R1564" i="2" a="1"/>
  <c r="R1564" i="2" s="1"/>
  <c r="O1556" i="2" a="1"/>
  <c r="O1556" i="2" s="1"/>
  <c r="R1556" i="2" a="1"/>
  <c r="R1556" i="2" s="1"/>
  <c r="Q1556" i="2" a="1"/>
  <c r="Q1556" i="2" s="1"/>
  <c r="N1556" i="2" a="1"/>
  <c r="N1556" i="2" s="1"/>
  <c r="P1556" i="2" a="1"/>
  <c r="P1556" i="2" s="1"/>
  <c r="M1556" i="2" a="1"/>
  <c r="M1556" i="2" s="1"/>
  <c r="R1552" i="2" a="1"/>
  <c r="R1552" i="2" s="1"/>
  <c r="O1552" i="2" a="1"/>
  <c r="O1552" i="2" s="1"/>
  <c r="N1552" i="2" a="1"/>
  <c r="N1552" i="2" s="1"/>
  <c r="Q1552" i="2" a="1"/>
  <c r="Q1552" i="2" s="1"/>
  <c r="P1552" i="2" a="1"/>
  <c r="P1552" i="2" s="1"/>
  <c r="M1552" i="2" a="1"/>
  <c r="M1552" i="2" s="1"/>
  <c r="R1544" i="2" a="1"/>
  <c r="R1544" i="2" s="1"/>
  <c r="O1544" i="2" a="1"/>
  <c r="O1544" i="2" s="1"/>
  <c r="Q1544" i="2" a="1"/>
  <c r="Q1544" i="2" s="1"/>
  <c r="N1544" i="2" a="1"/>
  <c r="N1544" i="2" s="1"/>
  <c r="P1544" i="2" a="1"/>
  <c r="P1544" i="2" s="1"/>
  <c r="M1544" i="2" a="1"/>
  <c r="M1544" i="2" s="1"/>
  <c r="Q1536" i="2" a="1"/>
  <c r="Q1536" i="2" s="1"/>
  <c r="N1536" i="2" a="1"/>
  <c r="N1536" i="2" s="1"/>
  <c r="P1536" i="2" a="1"/>
  <c r="P1536" i="2" s="1"/>
  <c r="M1536" i="2" a="1"/>
  <c r="M1536" i="2" s="1"/>
  <c r="R1536" i="2" a="1"/>
  <c r="R1536" i="2" s="1"/>
  <c r="O1536" i="2" a="1"/>
  <c r="O1536" i="2" s="1"/>
  <c r="R1532" i="2" a="1"/>
  <c r="R1532" i="2" s="1"/>
  <c r="O1532" i="2" a="1"/>
  <c r="O1532" i="2" s="1"/>
  <c r="Q1532" i="2" a="1"/>
  <c r="Q1532" i="2" s="1"/>
  <c r="N1532" i="2" a="1"/>
  <c r="N1532" i="2" s="1"/>
  <c r="P1532" i="2" a="1"/>
  <c r="P1532" i="2" s="1"/>
  <c r="M1532" i="2" a="1"/>
  <c r="M1532" i="2" s="1"/>
  <c r="N1524" i="2" a="1"/>
  <c r="N1524" i="2" s="1"/>
  <c r="P1524" i="2" a="1"/>
  <c r="P1524" i="2" s="1"/>
  <c r="M1524" i="2" a="1"/>
  <c r="M1524" i="2" s="1"/>
  <c r="R1524" i="2" a="1"/>
  <c r="R1524" i="2" s="1"/>
  <c r="O1524" i="2" a="1"/>
  <c r="O1524" i="2" s="1"/>
  <c r="Q1524" i="2" a="1"/>
  <c r="Q1524" i="2" s="1"/>
  <c r="Q1520" i="2" a="1"/>
  <c r="Q1520" i="2" s="1"/>
  <c r="N1520" i="2" a="1"/>
  <c r="N1520" i="2" s="1"/>
  <c r="P1520" i="2" a="1"/>
  <c r="P1520" i="2" s="1"/>
  <c r="M1520" i="2" a="1"/>
  <c r="M1520" i="2" s="1"/>
  <c r="R1520" i="2" a="1"/>
  <c r="R1520" i="2" s="1"/>
  <c r="O1520" i="2" a="1"/>
  <c r="O1520" i="2" s="1"/>
  <c r="R1516" i="2" a="1"/>
  <c r="R1516" i="2" s="1"/>
  <c r="O1516" i="2" a="1"/>
  <c r="O1516" i="2" s="1"/>
  <c r="Q1516" i="2" a="1"/>
  <c r="Q1516" i="2" s="1"/>
  <c r="N1516" i="2" a="1"/>
  <c r="N1516" i="2" s="1"/>
  <c r="P1516" i="2" a="1"/>
  <c r="P1516" i="2" s="1"/>
  <c r="M1516" i="2" a="1"/>
  <c r="M1516" i="2" s="1"/>
  <c r="P1512" i="2" a="1"/>
  <c r="P1512" i="2" s="1"/>
  <c r="R1512" i="2" a="1"/>
  <c r="R1512" i="2" s="1"/>
  <c r="O1512" i="2" a="1"/>
  <c r="O1512" i="2" s="1"/>
  <c r="Q1512" i="2" a="1"/>
  <c r="Q1512" i="2" s="1"/>
  <c r="N1512" i="2" a="1"/>
  <c r="N1512" i="2" s="1"/>
  <c r="M1512" i="2" a="1"/>
  <c r="M1512" i="2" s="1"/>
  <c r="N1508" i="2" a="1"/>
  <c r="N1508" i="2" s="1"/>
  <c r="Q1508" i="2" a="1"/>
  <c r="Q1508" i="2" s="1"/>
  <c r="R1508" i="2" a="1"/>
  <c r="R1508" i="2" s="1"/>
  <c r="O1508" i="2" a="1"/>
  <c r="O1508" i="2" s="1"/>
  <c r="P1508" i="2" a="1"/>
  <c r="P1508" i="2" s="1"/>
  <c r="M1508" i="2" a="1"/>
  <c r="M1508" i="2" s="1"/>
  <c r="N1504" i="2" a="1"/>
  <c r="N1504" i="2" s="1"/>
  <c r="O1504" i="2" a="1"/>
  <c r="O1504" i="2" s="1"/>
  <c r="R1504" i="2" a="1"/>
  <c r="R1504" i="2" s="1"/>
  <c r="Q1504" i="2" a="1"/>
  <c r="Q1504" i="2" s="1"/>
  <c r="M1504" i="2" a="1"/>
  <c r="M1504" i="2" s="1"/>
  <c r="P1504" i="2" a="1"/>
  <c r="P1504" i="2" s="1"/>
  <c r="N1500" i="2" a="1"/>
  <c r="N1500" i="2" s="1"/>
  <c r="Q1500" i="2" a="1"/>
  <c r="Q1500" i="2" s="1"/>
  <c r="M1500" i="2" a="1"/>
  <c r="M1500" i="2" s="1"/>
  <c r="P1500" i="2" a="1"/>
  <c r="P1500" i="2" s="1"/>
  <c r="O1500" i="2" a="1"/>
  <c r="O1500" i="2" s="1"/>
  <c r="R1500" i="2" a="1"/>
  <c r="R1500" i="2" s="1"/>
  <c r="N1496" i="2" a="1"/>
  <c r="N1496" i="2" s="1"/>
  <c r="O1496" i="2" a="1"/>
  <c r="O1496" i="2" s="1"/>
  <c r="R1496" i="2" a="1"/>
  <c r="R1496" i="2" s="1"/>
  <c r="Q1496" i="2" a="1"/>
  <c r="Q1496" i="2" s="1"/>
  <c r="M1496" i="2" a="1"/>
  <c r="M1496" i="2" s="1"/>
  <c r="P1496" i="2" a="1"/>
  <c r="P1496" i="2" s="1"/>
  <c r="N1492" i="2" a="1"/>
  <c r="N1492" i="2" s="1"/>
  <c r="Q1492" i="2" a="1"/>
  <c r="Q1492" i="2" s="1"/>
  <c r="M1492" i="2" a="1"/>
  <c r="M1492" i="2" s="1"/>
  <c r="P1492" i="2" a="1"/>
  <c r="P1492" i="2" s="1"/>
  <c r="O1492" i="2" a="1"/>
  <c r="O1492" i="2" s="1"/>
  <c r="R1492" i="2" a="1"/>
  <c r="R1492" i="2" s="1"/>
  <c r="N1484" i="2" a="1"/>
  <c r="N1484" i="2" s="1"/>
  <c r="Q1484" i="2" a="1"/>
  <c r="Q1484" i="2" s="1"/>
  <c r="M1484" i="2" a="1"/>
  <c r="M1484" i="2" s="1"/>
  <c r="P1484" i="2" a="1"/>
  <c r="P1484" i="2" s="1"/>
  <c r="O1484" i="2" a="1"/>
  <c r="O1484" i="2" s="1"/>
  <c r="R1484" i="2" a="1"/>
  <c r="R1484" i="2" s="1"/>
  <c r="Q1480" i="2" a="1"/>
  <c r="Q1480" i="2" s="1"/>
  <c r="M1480" i="2" a="1"/>
  <c r="M1480" i="2" s="1"/>
  <c r="N1480" i="2" a="1"/>
  <c r="N1480" i="2" s="1"/>
  <c r="R1480" i="2" a="1"/>
  <c r="R1480" i="2" s="1"/>
  <c r="P1480" i="2" a="1"/>
  <c r="P1480" i="2" s="1"/>
  <c r="O1480" i="2" a="1"/>
  <c r="O1480" i="2" s="1"/>
  <c r="P1476" i="2" a="1"/>
  <c r="P1476" i="2" s="1"/>
  <c r="O1476" i="2" a="1"/>
  <c r="O1476" i="2" s="1"/>
  <c r="R1476" i="2" a="1"/>
  <c r="R1476" i="2" s="1"/>
  <c r="N1476" i="2" a="1"/>
  <c r="N1476" i="2" s="1"/>
  <c r="Q1476" i="2" a="1"/>
  <c r="Q1476" i="2" s="1"/>
  <c r="M1476" i="2" a="1"/>
  <c r="M1476" i="2" s="1"/>
  <c r="P1472" i="2" a="1"/>
  <c r="P1472" i="2" s="1"/>
  <c r="O1472" i="2" a="1"/>
  <c r="O1472" i="2" s="1"/>
  <c r="R1472" i="2" a="1"/>
  <c r="R1472" i="2" s="1"/>
  <c r="N1472" i="2" a="1"/>
  <c r="N1472" i="2" s="1"/>
  <c r="Q1472" i="2" a="1"/>
  <c r="Q1472" i="2" s="1"/>
  <c r="M1472" i="2" a="1"/>
  <c r="M1472" i="2" s="1"/>
  <c r="P1468" i="2" a="1"/>
  <c r="P1468" i="2" s="1"/>
  <c r="O1468" i="2" a="1"/>
  <c r="O1468" i="2" s="1"/>
  <c r="R1468" i="2" a="1"/>
  <c r="R1468" i="2" s="1"/>
  <c r="N1468" i="2" a="1"/>
  <c r="N1468" i="2" s="1"/>
  <c r="Q1468" i="2" a="1"/>
  <c r="Q1468" i="2" s="1"/>
  <c r="M1468" i="2" a="1"/>
  <c r="M1468" i="2" s="1"/>
  <c r="P1464" i="2" a="1"/>
  <c r="P1464" i="2" s="1"/>
  <c r="O1464" i="2" a="1"/>
  <c r="O1464" i="2" s="1"/>
  <c r="R1464" i="2" a="1"/>
  <c r="R1464" i="2" s="1"/>
  <c r="N1464" i="2" a="1"/>
  <c r="N1464" i="2" s="1"/>
  <c r="Q1464" i="2" a="1"/>
  <c r="Q1464" i="2" s="1"/>
  <c r="M1464" i="2" a="1"/>
  <c r="M1464" i="2" s="1"/>
  <c r="P1460" i="2" a="1"/>
  <c r="P1460" i="2" s="1"/>
  <c r="O1460" i="2" a="1"/>
  <c r="O1460" i="2" s="1"/>
  <c r="R1460" i="2" a="1"/>
  <c r="R1460" i="2" s="1"/>
  <c r="N1460" i="2" a="1"/>
  <c r="N1460" i="2" s="1"/>
  <c r="Q1460" i="2" a="1"/>
  <c r="Q1460" i="2" s="1"/>
  <c r="M1460" i="2" a="1"/>
  <c r="M1460" i="2" s="1"/>
  <c r="P1456" i="2" a="1"/>
  <c r="P1456" i="2" s="1"/>
  <c r="O1456" i="2" a="1"/>
  <c r="O1456" i="2" s="1"/>
  <c r="R1456" i="2" a="1"/>
  <c r="R1456" i="2" s="1"/>
  <c r="N1456" i="2" a="1"/>
  <c r="N1456" i="2" s="1"/>
  <c r="Q1456" i="2" a="1"/>
  <c r="Q1456" i="2" s="1"/>
  <c r="M1456" i="2" a="1"/>
  <c r="M1456" i="2" s="1"/>
  <c r="P1452" i="2" a="1"/>
  <c r="P1452" i="2" s="1"/>
  <c r="O1452" i="2" a="1"/>
  <c r="O1452" i="2" s="1"/>
  <c r="R1452" i="2" a="1"/>
  <c r="R1452" i="2" s="1"/>
  <c r="N1452" i="2" a="1"/>
  <c r="N1452" i="2" s="1"/>
  <c r="Q1452" i="2" a="1"/>
  <c r="Q1452" i="2" s="1"/>
  <c r="M1452" i="2" a="1"/>
  <c r="M1452" i="2" s="1"/>
  <c r="P1448" i="2" a="1"/>
  <c r="P1448" i="2" s="1"/>
  <c r="O1448" i="2" a="1"/>
  <c r="O1448" i="2" s="1"/>
  <c r="R1448" i="2" a="1"/>
  <c r="R1448" i="2" s="1"/>
  <c r="N1448" i="2" a="1"/>
  <c r="N1448" i="2" s="1"/>
  <c r="Q1448" i="2" a="1"/>
  <c r="Q1448" i="2" s="1"/>
  <c r="M1448" i="2" a="1"/>
  <c r="M1448" i="2" s="1"/>
  <c r="R1444" i="2" a="1"/>
  <c r="R1444" i="2" s="1"/>
  <c r="N1444" i="2" a="1"/>
  <c r="N1444" i="2" s="1"/>
  <c r="Q1444" i="2" a="1"/>
  <c r="Q1444" i="2" s="1"/>
  <c r="M1444" i="2" a="1"/>
  <c r="M1444" i="2" s="1"/>
  <c r="O1444" i="2" a="1"/>
  <c r="O1444" i="2" s="1"/>
  <c r="P1444" i="2" a="1"/>
  <c r="P1444" i="2" s="1"/>
  <c r="R1440" i="2" a="1"/>
  <c r="R1440" i="2" s="1"/>
  <c r="N1440" i="2" a="1"/>
  <c r="N1440" i="2" s="1"/>
  <c r="Q1440" i="2" a="1"/>
  <c r="Q1440" i="2" s="1"/>
  <c r="M1440" i="2" a="1"/>
  <c r="M1440" i="2" s="1"/>
  <c r="O1440" i="2" a="1"/>
  <c r="O1440" i="2" s="1"/>
  <c r="P1440" i="2" a="1"/>
  <c r="P1440" i="2" s="1"/>
  <c r="R1436" i="2" a="1"/>
  <c r="R1436" i="2" s="1"/>
  <c r="N1436" i="2" a="1"/>
  <c r="N1436" i="2" s="1"/>
  <c r="Q1436" i="2" a="1"/>
  <c r="Q1436" i="2" s="1"/>
  <c r="M1436" i="2" a="1"/>
  <c r="M1436" i="2" s="1"/>
  <c r="O1436" i="2" a="1"/>
  <c r="O1436" i="2" s="1"/>
  <c r="P1436" i="2" a="1"/>
  <c r="P1436" i="2" s="1"/>
  <c r="R1432" i="2" a="1"/>
  <c r="R1432" i="2" s="1"/>
  <c r="N1432" i="2" a="1"/>
  <c r="N1432" i="2" s="1"/>
  <c r="Q1432" i="2" a="1"/>
  <c r="Q1432" i="2" s="1"/>
  <c r="M1432" i="2" a="1"/>
  <c r="M1432" i="2" s="1"/>
  <c r="O1432" i="2" a="1"/>
  <c r="O1432" i="2" s="1"/>
  <c r="P1432" i="2" a="1"/>
  <c r="P1432" i="2" s="1"/>
  <c r="R1428" i="2" a="1"/>
  <c r="R1428" i="2" s="1"/>
  <c r="N1428" i="2" a="1"/>
  <c r="N1428" i="2" s="1"/>
  <c r="Q1428" i="2" a="1"/>
  <c r="Q1428" i="2" s="1"/>
  <c r="M1428" i="2" a="1"/>
  <c r="M1428" i="2" s="1"/>
  <c r="O1428" i="2" a="1"/>
  <c r="O1428" i="2" s="1"/>
  <c r="P1428" i="2" a="1"/>
  <c r="P1428" i="2" s="1"/>
  <c r="R1424" i="2" a="1"/>
  <c r="R1424" i="2" s="1"/>
  <c r="N1424" i="2" a="1"/>
  <c r="N1424" i="2" s="1"/>
  <c r="Q1424" i="2" a="1"/>
  <c r="Q1424" i="2" s="1"/>
  <c r="M1424" i="2" a="1"/>
  <c r="M1424" i="2" s="1"/>
  <c r="O1424" i="2" a="1"/>
  <c r="O1424" i="2" s="1"/>
  <c r="P1424" i="2" a="1"/>
  <c r="P1424" i="2" s="1"/>
  <c r="P1420" i="2" a="1"/>
  <c r="P1420" i="2" s="1"/>
  <c r="R1420" i="2" a="1"/>
  <c r="R1420" i="2" s="1"/>
  <c r="M1420" i="2" a="1"/>
  <c r="M1420" i="2" s="1"/>
  <c r="Q1420" i="2" a="1"/>
  <c r="Q1420" i="2" s="1"/>
  <c r="O1420" i="2" a="1"/>
  <c r="O1420" i="2" s="1"/>
  <c r="N1420" i="2" a="1"/>
  <c r="N1420" i="2" s="1"/>
  <c r="O1416" i="2" a="1"/>
  <c r="O1416" i="2" s="1"/>
  <c r="R1416" i="2" a="1"/>
  <c r="R1416" i="2" s="1"/>
  <c r="N1416" i="2" a="1"/>
  <c r="N1416" i="2" s="1"/>
  <c r="P1416" i="2" a="1"/>
  <c r="P1416" i="2" s="1"/>
  <c r="M1416" i="2" a="1"/>
  <c r="M1416" i="2" s="1"/>
  <c r="Q1416" i="2" a="1"/>
  <c r="Q1416" i="2" s="1"/>
  <c r="P1412" i="2" a="1"/>
  <c r="P1412" i="2" s="1"/>
  <c r="M1412" i="2" a="1"/>
  <c r="M1412" i="2" s="1"/>
  <c r="O1412" i="2" a="1"/>
  <c r="O1412" i="2" s="1"/>
  <c r="R1412" i="2" a="1"/>
  <c r="R1412" i="2" s="1"/>
  <c r="Q1412" i="2" a="1"/>
  <c r="Q1412" i="2" s="1"/>
  <c r="N1412" i="2" a="1"/>
  <c r="N1412" i="2" s="1"/>
  <c r="Q1408" i="2" a="1"/>
  <c r="Q1408" i="2" s="1"/>
  <c r="P1408" i="2" a="1"/>
  <c r="P1408" i="2" s="1"/>
  <c r="M1408" i="2" a="1"/>
  <c r="M1408" i="2" s="1"/>
  <c r="R1408" i="2" a="1"/>
  <c r="R1408" i="2" s="1"/>
  <c r="O1408" i="2" a="1"/>
  <c r="O1408" i="2" s="1"/>
  <c r="N1408" i="2" a="1"/>
  <c r="N1408" i="2" s="1"/>
  <c r="R1404" i="2" a="1"/>
  <c r="R1404" i="2" s="1"/>
  <c r="N1404" i="2" a="1"/>
  <c r="N1404" i="2" s="1"/>
  <c r="Q1404" i="2" a="1"/>
  <c r="Q1404" i="2" s="1"/>
  <c r="O1404" i="2" a="1"/>
  <c r="O1404" i="2" s="1"/>
  <c r="M1404" i="2" a="1"/>
  <c r="M1404" i="2" s="1"/>
  <c r="P1404" i="2" a="1"/>
  <c r="P1404" i="2" s="1"/>
  <c r="P1400" i="2" a="1"/>
  <c r="P1400" i="2" s="1"/>
  <c r="M1400" i="2" a="1"/>
  <c r="M1400" i="2" s="1"/>
  <c r="R1400" i="2" a="1"/>
  <c r="R1400" i="2" s="1"/>
  <c r="O1400" i="2" a="1"/>
  <c r="O1400" i="2" s="1"/>
  <c r="Q1400" i="2" a="1"/>
  <c r="Q1400" i="2" s="1"/>
  <c r="N1400" i="2" a="1"/>
  <c r="N1400" i="2" s="1"/>
  <c r="N1396" i="2" a="1"/>
  <c r="N1396" i="2" s="1"/>
  <c r="Q1396" i="2" a="1"/>
  <c r="Q1396" i="2" s="1"/>
  <c r="R1396" i="2" a="1"/>
  <c r="R1396" i="2" s="1"/>
  <c r="P1396" i="2" a="1"/>
  <c r="P1396" i="2" s="1"/>
  <c r="O1396" i="2" a="1"/>
  <c r="O1396" i="2" s="1"/>
  <c r="M1396" i="2" a="1"/>
  <c r="M1396" i="2" s="1"/>
  <c r="P1392" i="2" a="1"/>
  <c r="P1392" i="2" s="1"/>
  <c r="M1392" i="2" a="1"/>
  <c r="M1392" i="2" s="1"/>
  <c r="R1392" i="2" a="1"/>
  <c r="R1392" i="2" s="1"/>
  <c r="O1392" i="2" a="1"/>
  <c r="O1392" i="2" s="1"/>
  <c r="Q1392" i="2" a="1"/>
  <c r="Q1392" i="2" s="1"/>
  <c r="N1392" i="2" a="1"/>
  <c r="N1392" i="2" s="1"/>
  <c r="N1388" i="2" a="1"/>
  <c r="N1388" i="2" s="1"/>
  <c r="Q1388" i="2" a="1"/>
  <c r="Q1388" i="2" s="1"/>
  <c r="O1388" i="2" a="1"/>
  <c r="O1388" i="2" s="1"/>
  <c r="M1388" i="2" a="1"/>
  <c r="M1388" i="2" s="1"/>
  <c r="R1388" i="2" a="1"/>
  <c r="R1388" i="2" s="1"/>
  <c r="P1388" i="2" a="1"/>
  <c r="P1388" i="2" s="1"/>
  <c r="P1384" i="2" a="1"/>
  <c r="P1384" i="2" s="1"/>
  <c r="M1384" i="2" a="1"/>
  <c r="M1384" i="2" s="1"/>
  <c r="N1384" i="2" a="1"/>
  <c r="N1384" i="2" s="1"/>
  <c r="R1384" i="2" a="1"/>
  <c r="R1384" i="2" s="1"/>
  <c r="Q1384" i="2" a="1"/>
  <c r="Q1384" i="2" s="1"/>
  <c r="O1384" i="2" a="1"/>
  <c r="O1384" i="2" s="1"/>
  <c r="P1380" i="2" a="1"/>
  <c r="P1380" i="2" s="1"/>
  <c r="M1380" i="2" a="1"/>
  <c r="M1380" i="2" s="1"/>
  <c r="N1380" i="2" a="1"/>
  <c r="N1380" i="2" s="1"/>
  <c r="R1380" i="2" a="1"/>
  <c r="R1380" i="2" s="1"/>
  <c r="Q1380" i="2" a="1"/>
  <c r="Q1380" i="2" s="1"/>
  <c r="O1380" i="2" a="1"/>
  <c r="O1380" i="2" s="1"/>
  <c r="P1376" i="2" a="1"/>
  <c r="P1376" i="2" s="1"/>
  <c r="M1376" i="2" a="1"/>
  <c r="M1376" i="2" s="1"/>
  <c r="N1376" i="2" a="1"/>
  <c r="N1376" i="2" s="1"/>
  <c r="R1376" i="2" a="1"/>
  <c r="R1376" i="2" s="1"/>
  <c r="Q1376" i="2" a="1"/>
  <c r="Q1376" i="2" s="1"/>
  <c r="O1376" i="2" a="1"/>
  <c r="O1376" i="2" s="1"/>
  <c r="P1372" i="2" a="1"/>
  <c r="P1372" i="2" s="1"/>
  <c r="M1372" i="2" a="1"/>
  <c r="M1372" i="2" s="1"/>
  <c r="N1372" i="2" a="1"/>
  <c r="N1372" i="2" s="1"/>
  <c r="R1372" i="2" a="1"/>
  <c r="R1372" i="2" s="1"/>
  <c r="Q1372" i="2" a="1"/>
  <c r="Q1372" i="2" s="1"/>
  <c r="O1372" i="2" a="1"/>
  <c r="O1372" i="2" s="1"/>
  <c r="M1368" i="2" a="1"/>
  <c r="M1368" i="2" s="1"/>
  <c r="P1368" i="2" a="1"/>
  <c r="P1368" i="2" s="1"/>
  <c r="O1368" i="2" a="1"/>
  <c r="O1368" i="2" s="1"/>
  <c r="R1368" i="2" a="1"/>
  <c r="R1368" i="2" s="1"/>
  <c r="N1368" i="2" a="1"/>
  <c r="N1368" i="2" s="1"/>
  <c r="Q1368" i="2" a="1"/>
  <c r="Q1368" i="2" s="1"/>
  <c r="M1364" i="2" a="1"/>
  <c r="M1364" i="2" s="1"/>
  <c r="R1364" i="2" a="1"/>
  <c r="R1364" i="2" s="1"/>
  <c r="N1364" i="2" a="1"/>
  <c r="N1364" i="2" s="1"/>
  <c r="Q1364" i="2" a="1"/>
  <c r="Q1364" i="2" s="1"/>
  <c r="P1364" i="2" a="1"/>
  <c r="P1364" i="2" s="1"/>
  <c r="O1364" i="2" a="1"/>
  <c r="O1364" i="2" s="1"/>
  <c r="M1360" i="2" a="1"/>
  <c r="M1360" i="2" s="1"/>
  <c r="P1360" i="2" a="1"/>
  <c r="P1360" i="2" s="1"/>
  <c r="O1360" i="2" a="1"/>
  <c r="O1360" i="2" s="1"/>
  <c r="R1360" i="2" a="1"/>
  <c r="R1360" i="2" s="1"/>
  <c r="N1360" i="2" a="1"/>
  <c r="N1360" i="2" s="1"/>
  <c r="Q1360" i="2" a="1"/>
  <c r="Q1360" i="2" s="1"/>
  <c r="P1352" i="2" a="1"/>
  <c r="P1352" i="2" s="1"/>
  <c r="M1352" i="2" a="1"/>
  <c r="M1352" i="2" s="1"/>
  <c r="O1352" i="2" a="1"/>
  <c r="O1352" i="2" s="1"/>
  <c r="R1352" i="2" a="1"/>
  <c r="R1352" i="2" s="1"/>
  <c r="Q1352" i="2" a="1"/>
  <c r="Q1352" i="2" s="1"/>
  <c r="N1352" i="2" a="1"/>
  <c r="N1352" i="2" s="1"/>
  <c r="P1340" i="2" a="1"/>
  <c r="P1340" i="2" s="1"/>
  <c r="M1340" i="2" a="1"/>
  <c r="M1340" i="2" s="1"/>
  <c r="O1340" i="2" a="1"/>
  <c r="O1340" i="2" s="1"/>
  <c r="R1340" i="2" a="1"/>
  <c r="R1340" i="2" s="1"/>
  <c r="Q1340" i="2" a="1"/>
  <c r="Q1340" i="2" s="1"/>
  <c r="N1340" i="2" a="1"/>
  <c r="N1340" i="2" s="1"/>
  <c r="P1332" i="2" a="1"/>
  <c r="P1332" i="2" s="1"/>
  <c r="M1332" i="2" a="1"/>
  <c r="M1332" i="2" s="1"/>
  <c r="R1332" i="2" a="1"/>
  <c r="R1332" i="2" s="1"/>
  <c r="Q1332" i="2" a="1"/>
  <c r="Q1332" i="2" s="1"/>
  <c r="N1332" i="2" a="1"/>
  <c r="N1332" i="2" s="1"/>
  <c r="O1332" i="2" a="1"/>
  <c r="O1332" i="2" s="1"/>
  <c r="P1320" i="2" a="1"/>
  <c r="P1320" i="2" s="1"/>
  <c r="M1320" i="2" a="1"/>
  <c r="M1320" i="2" s="1"/>
  <c r="Q1320" i="2" a="1"/>
  <c r="Q1320" i="2" s="1"/>
  <c r="N1320" i="2" a="1"/>
  <c r="N1320" i="2" s="1"/>
  <c r="R1320" i="2" a="1"/>
  <c r="R1320" i="2" s="1"/>
  <c r="O1320" i="2" a="1"/>
  <c r="O1320" i="2" s="1"/>
  <c r="P1312" i="2" a="1"/>
  <c r="P1312" i="2" s="1"/>
  <c r="M1312" i="2" a="1"/>
  <c r="M1312" i="2" s="1"/>
  <c r="Q1312" i="2" a="1"/>
  <c r="Q1312" i="2" s="1"/>
  <c r="N1312" i="2" a="1"/>
  <c r="N1312" i="2" s="1"/>
  <c r="R1312" i="2" a="1"/>
  <c r="R1312" i="2" s="1"/>
  <c r="O1312" i="2" a="1"/>
  <c r="O1312" i="2" s="1"/>
  <c r="P1300" i="2" a="1"/>
  <c r="P1300" i="2" s="1"/>
  <c r="M1300" i="2" a="1"/>
  <c r="M1300" i="2" s="1"/>
  <c r="O1300" i="2" a="1"/>
  <c r="O1300" i="2" s="1"/>
  <c r="R1300" i="2" a="1"/>
  <c r="R1300" i="2" s="1"/>
  <c r="N1300" i="2" a="1"/>
  <c r="N1300" i="2" s="1"/>
  <c r="Q1300" i="2" a="1"/>
  <c r="Q1300" i="2" s="1"/>
  <c r="P1288" i="2" a="1"/>
  <c r="P1288" i="2" s="1"/>
  <c r="Q1288" i="2" a="1"/>
  <c r="Q1288" i="2" s="1"/>
  <c r="O1288" i="2" a="1"/>
  <c r="O1288" i="2" s="1"/>
  <c r="N1288" i="2" a="1"/>
  <c r="N1288" i="2" s="1"/>
  <c r="R1288" i="2" a="1"/>
  <c r="R1288" i="2" s="1"/>
  <c r="M1288" i="2" a="1"/>
  <c r="M1288" i="2" s="1"/>
  <c r="P1280" i="2" a="1"/>
  <c r="P1280" i="2" s="1"/>
  <c r="Q1280" i="2" a="1"/>
  <c r="Q1280" i="2" s="1"/>
  <c r="O1280" i="2" a="1"/>
  <c r="O1280" i="2" s="1"/>
  <c r="N1280" i="2" a="1"/>
  <c r="N1280" i="2" s="1"/>
  <c r="R1280" i="2" a="1"/>
  <c r="R1280" i="2" s="1"/>
  <c r="M1280" i="2" a="1"/>
  <c r="M1280" i="2" s="1"/>
  <c r="O1268" i="2" a="1"/>
  <c r="O1268" i="2" s="1"/>
  <c r="P1268" i="2" a="1"/>
  <c r="P1268" i="2" s="1"/>
  <c r="N1268" i="2" a="1"/>
  <c r="N1268" i="2" s="1"/>
  <c r="R1268" i="2" a="1"/>
  <c r="R1268" i="2" s="1"/>
  <c r="M1268" i="2" a="1"/>
  <c r="M1268" i="2" s="1"/>
  <c r="Q1268" i="2" a="1"/>
  <c r="Q1268" i="2" s="1"/>
  <c r="R1260" i="2" a="1"/>
  <c r="R1260" i="2" s="1"/>
  <c r="N1260" i="2" a="1"/>
  <c r="N1260" i="2" s="1"/>
  <c r="Q1260" i="2" a="1"/>
  <c r="Q1260" i="2" s="1"/>
  <c r="M1260" i="2" a="1"/>
  <c r="M1260" i="2" s="1"/>
  <c r="P1260" i="2" a="1"/>
  <c r="P1260" i="2" s="1"/>
  <c r="O1260" i="2" a="1"/>
  <c r="O1260" i="2" s="1"/>
  <c r="R1252" i="2" a="1"/>
  <c r="R1252" i="2" s="1"/>
  <c r="N1252" i="2" a="1"/>
  <c r="N1252" i="2" s="1"/>
  <c r="Q1252" i="2" a="1"/>
  <c r="Q1252" i="2" s="1"/>
  <c r="M1252" i="2" a="1"/>
  <c r="M1252" i="2" s="1"/>
  <c r="P1252" i="2" a="1"/>
  <c r="P1252" i="2" s="1"/>
  <c r="O1252" i="2" a="1"/>
  <c r="O1252" i="2" s="1"/>
  <c r="R1248" i="2" a="1"/>
  <c r="R1248" i="2" s="1"/>
  <c r="N1248" i="2" a="1"/>
  <c r="N1248" i="2" s="1"/>
  <c r="Q1248" i="2" a="1"/>
  <c r="Q1248" i="2" s="1"/>
  <c r="M1248" i="2" a="1"/>
  <c r="M1248" i="2" s="1"/>
  <c r="P1248" i="2" a="1"/>
  <c r="P1248" i="2" s="1"/>
  <c r="O1248" i="2" a="1"/>
  <c r="O1248" i="2" s="1"/>
  <c r="R1236" i="2" a="1"/>
  <c r="R1236" i="2" s="1"/>
  <c r="N1236" i="2" a="1"/>
  <c r="N1236" i="2" s="1"/>
  <c r="Q1236" i="2" a="1"/>
  <c r="Q1236" i="2" s="1"/>
  <c r="M1236" i="2" a="1"/>
  <c r="M1236" i="2" s="1"/>
  <c r="P1236" i="2" a="1"/>
  <c r="P1236" i="2" s="1"/>
  <c r="O1236" i="2" a="1"/>
  <c r="O1236" i="2" s="1"/>
  <c r="R1228" i="2" a="1"/>
  <c r="R1228" i="2" s="1"/>
  <c r="O1228" i="2" a="1"/>
  <c r="O1228" i="2" s="1"/>
  <c r="Q1228" i="2" a="1"/>
  <c r="Q1228" i="2" s="1"/>
  <c r="N1228" i="2" a="1"/>
  <c r="N1228" i="2" s="1"/>
  <c r="P1228" i="2" a="1"/>
  <c r="P1228" i="2" s="1"/>
  <c r="M1228" i="2" a="1"/>
  <c r="M1228" i="2" s="1"/>
  <c r="Q1220" i="2" a="1"/>
  <c r="Q1220" i="2" s="1"/>
  <c r="N1220" i="2" a="1"/>
  <c r="N1220" i="2" s="1"/>
  <c r="P1220" i="2" a="1"/>
  <c r="P1220" i="2" s="1"/>
  <c r="M1220" i="2" a="1"/>
  <c r="M1220" i="2" s="1"/>
  <c r="R1220" i="2" a="1"/>
  <c r="R1220" i="2" s="1"/>
  <c r="O1220" i="2" a="1"/>
  <c r="O1220" i="2" s="1"/>
  <c r="P1208" i="2" a="1"/>
  <c r="P1208" i="2" s="1"/>
  <c r="M1208" i="2" a="1"/>
  <c r="M1208" i="2" s="1"/>
  <c r="R1208" i="2" a="1"/>
  <c r="R1208" i="2" s="1"/>
  <c r="O1208" i="2" a="1"/>
  <c r="O1208" i="2" s="1"/>
  <c r="Q1208" i="2" a="1"/>
  <c r="Q1208" i="2" s="1"/>
  <c r="N1208" i="2" a="1"/>
  <c r="N1208" i="2" s="1"/>
  <c r="R1196" i="2" a="1"/>
  <c r="R1196" i="2" s="1"/>
  <c r="O1196" i="2" a="1"/>
  <c r="O1196" i="2" s="1"/>
  <c r="Q1196" i="2" a="1"/>
  <c r="Q1196" i="2" s="1"/>
  <c r="N1196" i="2" a="1"/>
  <c r="N1196" i="2" s="1"/>
  <c r="P1196" i="2" a="1"/>
  <c r="P1196" i="2" s="1"/>
  <c r="M1196" i="2" a="1"/>
  <c r="M1196" i="2" s="1"/>
  <c r="R1188" i="2" a="1"/>
  <c r="R1188" i="2" s="1"/>
  <c r="O1188" i="2" a="1"/>
  <c r="O1188" i="2" s="1"/>
  <c r="Q1188" i="2" a="1"/>
  <c r="Q1188" i="2" s="1"/>
  <c r="N1188" i="2" a="1"/>
  <c r="N1188" i="2" s="1"/>
  <c r="P1188" i="2" a="1"/>
  <c r="P1188" i="2" s="1"/>
  <c r="M1188" i="2" a="1"/>
  <c r="M1188" i="2" s="1"/>
  <c r="Q1180" i="2" a="1"/>
  <c r="Q1180" i="2" s="1"/>
  <c r="N1180" i="2" a="1"/>
  <c r="N1180" i="2" s="1"/>
  <c r="P1180" i="2" a="1"/>
  <c r="P1180" i="2" s="1"/>
  <c r="M1180" i="2" a="1"/>
  <c r="M1180" i="2" s="1"/>
  <c r="O1180" i="2" a="1"/>
  <c r="O1180" i="2" s="1"/>
  <c r="R1180" i="2" a="1"/>
  <c r="R1180" i="2" s="1"/>
  <c r="R1168" i="2" a="1"/>
  <c r="R1168" i="2" s="1"/>
  <c r="N1168" i="2" a="1"/>
  <c r="N1168" i="2" s="1"/>
  <c r="Q1168" i="2" a="1"/>
  <c r="Q1168" i="2" s="1"/>
  <c r="M1168" i="2" a="1"/>
  <c r="M1168" i="2" s="1"/>
  <c r="P1168" i="2" a="1"/>
  <c r="P1168" i="2" s="1"/>
  <c r="O1168" i="2" a="1"/>
  <c r="O1168" i="2" s="1"/>
  <c r="P1156" i="2" a="1"/>
  <c r="P1156" i="2" s="1"/>
  <c r="M1156" i="2" a="1"/>
  <c r="M1156" i="2" s="1"/>
  <c r="O1156" i="2" a="1"/>
  <c r="O1156" i="2" s="1"/>
  <c r="R1156" i="2" a="1"/>
  <c r="R1156" i="2" s="1"/>
  <c r="N1156" i="2" a="1"/>
  <c r="N1156" i="2" s="1"/>
  <c r="Q1156" i="2" a="1"/>
  <c r="Q1156" i="2" s="1"/>
  <c r="Q1148" i="2" a="1"/>
  <c r="Q1148" i="2" s="1"/>
  <c r="M1148" i="2" a="1"/>
  <c r="M1148" i="2" s="1"/>
  <c r="P1148" i="2" a="1"/>
  <c r="P1148" i="2" s="1"/>
  <c r="O1148" i="2" a="1"/>
  <c r="O1148" i="2" s="1"/>
  <c r="R1148" i="2" a="1"/>
  <c r="R1148" i="2" s="1"/>
  <c r="N1148" i="2" a="1"/>
  <c r="N1148" i="2" s="1"/>
  <c r="Q1136" i="2" a="1"/>
  <c r="Q1136" i="2" s="1"/>
  <c r="P1136" i="2" a="1"/>
  <c r="P1136" i="2" s="1"/>
  <c r="M1136" i="2" a="1"/>
  <c r="M1136" i="2" s="1"/>
  <c r="O1136" i="2" a="1"/>
  <c r="O1136" i="2" s="1"/>
  <c r="R1136" i="2" a="1"/>
  <c r="R1136" i="2" s="1"/>
  <c r="N1136" i="2" a="1"/>
  <c r="N1136" i="2" s="1"/>
  <c r="Q1120" i="2" a="1"/>
  <c r="Q1120" i="2" s="1"/>
  <c r="P1120" i="2" a="1"/>
  <c r="P1120" i="2" s="1"/>
  <c r="M1120" i="2" a="1"/>
  <c r="M1120" i="2" s="1"/>
  <c r="O1120" i="2" a="1"/>
  <c r="O1120" i="2" s="1"/>
  <c r="R1120" i="2" a="1"/>
  <c r="R1120" i="2" s="1"/>
  <c r="N1120" i="2" a="1"/>
  <c r="N1120" i="2" s="1"/>
  <c r="R1100" i="2" a="1"/>
  <c r="R1100" i="2" s="1"/>
  <c r="N1100" i="2" a="1"/>
  <c r="N1100" i="2" s="1"/>
  <c r="Q1100" i="2" a="1"/>
  <c r="Q1100" i="2" s="1"/>
  <c r="P1100" i="2" a="1"/>
  <c r="P1100" i="2" s="1"/>
  <c r="M1100" i="2" a="1"/>
  <c r="M1100" i="2" s="1"/>
  <c r="O1100" i="2" a="1"/>
  <c r="O1100" i="2" s="1"/>
  <c r="P1068" i="2" a="1"/>
  <c r="P1068" i="2" s="1"/>
  <c r="O1068" i="2" a="1"/>
  <c r="O1068" i="2" s="1"/>
  <c r="R1068" i="2" a="1"/>
  <c r="R1068" i="2" s="1"/>
  <c r="N1068" i="2" a="1"/>
  <c r="N1068" i="2" s="1"/>
  <c r="Q1068" i="2" a="1"/>
  <c r="Q1068" i="2" s="1"/>
  <c r="M1068" i="2" a="1"/>
  <c r="M1068" i="2" s="1"/>
  <c r="Q988" i="2" a="1"/>
  <c r="Q988" i="2" s="1"/>
  <c r="M988" i="2" a="1"/>
  <c r="M988" i="2" s="1"/>
  <c r="O988" i="2" a="1"/>
  <c r="O988" i="2" s="1"/>
  <c r="N988" i="2" a="1"/>
  <c r="N988" i="2" s="1"/>
  <c r="R988" i="2" a="1"/>
  <c r="R988" i="2" s="1"/>
  <c r="P988" i="2" a="1"/>
  <c r="P988" i="2" s="1"/>
  <c r="R788" i="2" a="1"/>
  <c r="R788" i="2" s="1"/>
  <c r="N788" i="2" a="1"/>
  <c r="N788" i="2" s="1"/>
  <c r="Q788" i="2" a="1"/>
  <c r="Q788" i="2" s="1"/>
  <c r="M788" i="2" a="1"/>
  <c r="M788" i="2" s="1"/>
  <c r="P788" i="2" a="1"/>
  <c r="P788" i="2" s="1"/>
  <c r="O788" i="2" a="1"/>
  <c r="O788" i="2" s="1"/>
  <c r="R148" i="2" a="1"/>
  <c r="R148" i="2" s="1"/>
  <c r="N148" i="2" a="1"/>
  <c r="N148" i="2" s="1"/>
  <c r="R144" i="2" a="1"/>
  <c r="R144" i="2" s="1"/>
  <c r="N144" i="2" a="1"/>
  <c r="N144" i="2" s="1"/>
  <c r="R140" i="2" a="1"/>
  <c r="R140" i="2" s="1"/>
  <c r="N140" i="2" a="1"/>
  <c r="N140" i="2" s="1"/>
  <c r="R136" i="2" a="1"/>
  <c r="R136" i="2" s="1"/>
  <c r="N136" i="2" a="1"/>
  <c r="N136" i="2" s="1"/>
  <c r="R132" i="2" a="1"/>
  <c r="R132" i="2" s="1"/>
  <c r="N132" i="2" a="1"/>
  <c r="N132" i="2" s="1"/>
  <c r="R128" i="2" a="1"/>
  <c r="R128" i="2" s="1"/>
  <c r="N128" i="2" a="1"/>
  <c r="N128" i="2" s="1"/>
  <c r="R124" i="2" a="1"/>
  <c r="R124" i="2" s="1"/>
  <c r="N124" i="2" a="1"/>
  <c r="N124" i="2" s="1"/>
  <c r="R120" i="2" a="1"/>
  <c r="R120" i="2" s="1"/>
  <c r="N120" i="2" a="1"/>
  <c r="N120" i="2" s="1"/>
  <c r="R116" i="2" a="1"/>
  <c r="R116" i="2" s="1"/>
  <c r="N116" i="2" a="1"/>
  <c r="N116" i="2" s="1"/>
  <c r="R112" i="2" a="1"/>
  <c r="R112" i="2" s="1"/>
  <c r="N112" i="2" a="1"/>
  <c r="N112" i="2" s="1"/>
  <c r="R108" i="2" a="1"/>
  <c r="R108" i="2" s="1"/>
  <c r="N108" i="2" a="1"/>
  <c r="N108" i="2" s="1"/>
  <c r="R104" i="2" a="1"/>
  <c r="R104" i="2" s="1"/>
  <c r="N104" i="2" a="1"/>
  <c r="N104" i="2" s="1"/>
  <c r="R100" i="2" a="1"/>
  <c r="R100" i="2" s="1"/>
  <c r="N100" i="2" a="1"/>
  <c r="N100" i="2" s="1"/>
  <c r="R96" i="2" a="1"/>
  <c r="R96" i="2" s="1"/>
  <c r="N96" i="2" a="1"/>
  <c r="N96" i="2" s="1"/>
  <c r="R92" i="2" a="1"/>
  <c r="R92" i="2" s="1"/>
  <c r="N92" i="2" a="1"/>
  <c r="N92" i="2" s="1"/>
  <c r="R88" i="2" a="1"/>
  <c r="R88" i="2" s="1"/>
  <c r="N88" i="2" a="1"/>
  <c r="N88" i="2" s="1"/>
  <c r="R84" i="2" a="1"/>
  <c r="R84" i="2" s="1"/>
  <c r="N84" i="2" a="1"/>
  <c r="N84" i="2" s="1"/>
  <c r="R80" i="2" a="1"/>
  <c r="R80" i="2" s="1"/>
  <c r="N80" i="2" a="1"/>
  <c r="N80" i="2" s="1"/>
  <c r="R76" i="2" a="1"/>
  <c r="R76" i="2" s="1"/>
  <c r="N76" i="2" a="1"/>
  <c r="N76" i="2" s="1"/>
  <c r="R72" i="2" a="1"/>
  <c r="R72" i="2" s="1"/>
  <c r="N72" i="2" a="1"/>
  <c r="N72" i="2" s="1"/>
  <c r="R68" i="2" a="1"/>
  <c r="R68" i="2" s="1"/>
  <c r="N68" i="2" a="1"/>
  <c r="N68" i="2" s="1"/>
  <c r="R64" i="2" a="1"/>
  <c r="R64" i="2" s="1"/>
  <c r="N64" i="2" a="1"/>
  <c r="N64" i="2" s="1"/>
  <c r="R60" i="2" a="1"/>
  <c r="R60" i="2" s="1"/>
  <c r="N60" i="2" a="1"/>
  <c r="N60" i="2" s="1"/>
  <c r="R56" i="2" a="1"/>
  <c r="R56" i="2" s="1"/>
  <c r="N56" i="2" a="1"/>
  <c r="N56" i="2" s="1"/>
  <c r="R52" i="2" a="1"/>
  <c r="R52" i="2" s="1"/>
  <c r="N52" i="2" a="1"/>
  <c r="N52" i="2" s="1"/>
  <c r="R48" i="2" a="1"/>
  <c r="R48" i="2" s="1"/>
  <c r="N48" i="2" a="1"/>
  <c r="N48" i="2" s="1"/>
  <c r="R44" i="2" a="1"/>
  <c r="R44" i="2" s="1"/>
  <c r="N44" i="2" a="1"/>
  <c r="N44" i="2" s="1"/>
  <c r="R40" i="2" a="1"/>
  <c r="R40" i="2" s="1"/>
  <c r="N40" i="2" a="1"/>
  <c r="N40" i="2" s="1"/>
  <c r="R36" i="2" a="1"/>
  <c r="R36" i="2" s="1"/>
  <c r="N36" i="2" a="1"/>
  <c r="N36" i="2" s="1"/>
  <c r="R32" i="2" a="1"/>
  <c r="R32" i="2" s="1"/>
  <c r="N32" i="2" a="1"/>
  <c r="N32" i="2" s="1"/>
  <c r="R28" i="2" a="1"/>
  <c r="R28" i="2" s="1"/>
  <c r="N28" i="2" a="1"/>
  <c r="N28" i="2" s="1"/>
  <c r="R24" i="2" a="1"/>
  <c r="R24" i="2" s="1"/>
  <c r="N24" i="2" a="1"/>
  <c r="N24" i="2" s="1"/>
  <c r="L1615" i="2" a="1"/>
  <c r="L1615" i="2" s="1"/>
  <c r="K1615" i="2" a="1"/>
  <c r="K1615" i="2" s="1"/>
  <c r="J1615" i="2" a="1"/>
  <c r="J1615" i="2" s="1"/>
  <c r="I1615" i="2" a="1"/>
  <c r="I1615" i="2" s="1"/>
  <c r="L1611" i="2" a="1"/>
  <c r="L1611" i="2" s="1"/>
  <c r="K1611" i="2" a="1"/>
  <c r="K1611" i="2" s="1"/>
  <c r="J1611" i="2" a="1"/>
  <c r="J1611" i="2" s="1"/>
  <c r="I1611" i="2" a="1"/>
  <c r="I1611" i="2" s="1"/>
  <c r="K1607" i="2" a="1"/>
  <c r="K1607" i="2" s="1"/>
  <c r="L1607" i="2" a="1"/>
  <c r="L1607" i="2" s="1"/>
  <c r="J1607" i="2" a="1"/>
  <c r="J1607" i="2" s="1"/>
  <c r="I1607" i="2" a="1"/>
  <c r="I1607" i="2" s="1"/>
  <c r="L1603" i="2" a="1"/>
  <c r="L1603" i="2" s="1"/>
  <c r="K1603" i="2" a="1"/>
  <c r="K1603" i="2" s="1"/>
  <c r="J1603" i="2" a="1"/>
  <c r="J1603" i="2" s="1"/>
  <c r="I1603" i="2" a="1"/>
  <c r="I1603" i="2" s="1"/>
  <c r="L1599" i="2" a="1"/>
  <c r="L1599" i="2" s="1"/>
  <c r="K1599" i="2" a="1"/>
  <c r="K1599" i="2" s="1"/>
  <c r="J1599" i="2" a="1"/>
  <c r="J1599" i="2" s="1"/>
  <c r="I1599" i="2" a="1"/>
  <c r="I1599" i="2" s="1"/>
  <c r="K1595" i="2" a="1"/>
  <c r="K1595" i="2" s="1"/>
  <c r="L1595" i="2" a="1"/>
  <c r="L1595" i="2" s="1"/>
  <c r="J1595" i="2" a="1"/>
  <c r="J1595" i="2" s="1"/>
  <c r="I1595" i="2" a="1"/>
  <c r="I1595" i="2" s="1"/>
  <c r="K1591" i="2" a="1"/>
  <c r="K1591" i="2" s="1"/>
  <c r="L1591" i="2" a="1"/>
  <c r="L1591" i="2" s="1"/>
  <c r="J1591" i="2" a="1"/>
  <c r="J1591" i="2" s="1"/>
  <c r="I1591" i="2" a="1"/>
  <c r="I1591" i="2" s="1"/>
  <c r="L1587" i="2" a="1"/>
  <c r="L1587" i="2" s="1"/>
  <c r="K1587" i="2" a="1"/>
  <c r="K1587" i="2" s="1"/>
  <c r="I1587" i="2" a="1"/>
  <c r="I1587" i="2" s="1"/>
  <c r="J1587" i="2" a="1"/>
  <c r="J1587" i="2" s="1"/>
  <c r="L1583" i="2" a="1"/>
  <c r="L1583" i="2" s="1"/>
  <c r="K1583" i="2" a="1"/>
  <c r="K1583" i="2" s="1"/>
  <c r="J1583" i="2" a="1"/>
  <c r="J1583" i="2" s="1"/>
  <c r="I1583" i="2" a="1"/>
  <c r="I1583" i="2" s="1"/>
  <c r="L1579" i="2" a="1"/>
  <c r="L1579" i="2" s="1"/>
  <c r="K1579" i="2" a="1"/>
  <c r="K1579" i="2" s="1"/>
  <c r="J1579" i="2" a="1"/>
  <c r="J1579" i="2" s="1"/>
  <c r="I1579" i="2" a="1"/>
  <c r="I1579" i="2" s="1"/>
  <c r="K1575" i="2" a="1"/>
  <c r="K1575" i="2" s="1"/>
  <c r="L1575" i="2" a="1"/>
  <c r="L1575" i="2" s="1"/>
  <c r="I1575" i="2" a="1"/>
  <c r="I1575" i="2" s="1"/>
  <c r="J1575" i="2" a="1"/>
  <c r="J1575" i="2" s="1"/>
  <c r="K1571" i="2" a="1"/>
  <c r="K1571" i="2" s="1"/>
  <c r="L1571" i="2" a="1"/>
  <c r="L1571" i="2" s="1"/>
  <c r="J1571" i="2" a="1"/>
  <c r="J1571" i="2" s="1"/>
  <c r="I1571" i="2" a="1"/>
  <c r="I1571" i="2" s="1"/>
  <c r="L1567" i="2" a="1"/>
  <c r="L1567" i="2" s="1"/>
  <c r="K1567" i="2" a="1"/>
  <c r="K1567" i="2" s="1"/>
  <c r="J1567" i="2" a="1"/>
  <c r="J1567" i="2" s="1"/>
  <c r="I1567" i="2" a="1"/>
  <c r="I1567" i="2" s="1"/>
  <c r="K1563" i="2" a="1"/>
  <c r="K1563" i="2" s="1"/>
  <c r="L1563" i="2" a="1"/>
  <c r="L1563" i="2" s="1"/>
  <c r="J1563" i="2" a="1"/>
  <c r="J1563" i="2" s="1"/>
  <c r="I1563" i="2" a="1"/>
  <c r="I1563" i="2" s="1"/>
  <c r="K1559" i="2" a="1"/>
  <c r="K1559" i="2" s="1"/>
  <c r="L1559" i="2" a="1"/>
  <c r="L1559" i="2" s="1"/>
  <c r="I1559" i="2" a="1"/>
  <c r="I1559" i="2" s="1"/>
  <c r="J1559" i="2" a="1"/>
  <c r="J1559" i="2" s="1"/>
  <c r="K1555" i="2" a="1"/>
  <c r="K1555" i="2" s="1"/>
  <c r="L1555" i="2" a="1"/>
  <c r="L1555" i="2" s="1"/>
  <c r="J1555" i="2" a="1"/>
  <c r="J1555" i="2" s="1"/>
  <c r="I1555" i="2" a="1"/>
  <c r="I1555" i="2" s="1"/>
  <c r="K1551" i="2" a="1"/>
  <c r="K1551" i="2" s="1"/>
  <c r="L1551" i="2" a="1"/>
  <c r="L1551" i="2" s="1"/>
  <c r="I1551" i="2" a="1"/>
  <c r="I1551" i="2" s="1"/>
  <c r="J1551" i="2" a="1"/>
  <c r="J1551" i="2" s="1"/>
  <c r="L1547" i="2" a="1"/>
  <c r="L1547" i="2" s="1"/>
  <c r="K1547" i="2" a="1"/>
  <c r="K1547" i="2" s="1"/>
  <c r="J1547" i="2" a="1"/>
  <c r="J1547" i="2" s="1"/>
  <c r="I1547" i="2" a="1"/>
  <c r="I1547" i="2" s="1"/>
  <c r="K1543" i="2" a="1"/>
  <c r="K1543" i="2" s="1"/>
  <c r="L1543" i="2" a="1"/>
  <c r="L1543" i="2" s="1"/>
  <c r="I1543" i="2" a="1"/>
  <c r="I1543" i="2" s="1"/>
  <c r="J1543" i="2" a="1"/>
  <c r="J1543" i="2" s="1"/>
  <c r="L1539" i="2" a="1"/>
  <c r="L1539" i="2" s="1"/>
  <c r="K1539" i="2" a="1"/>
  <c r="K1539" i="2" s="1"/>
  <c r="J1539" i="2" a="1"/>
  <c r="J1539" i="2" s="1"/>
  <c r="I1539" i="2" a="1"/>
  <c r="I1539" i="2" s="1"/>
  <c r="K1535" i="2" a="1"/>
  <c r="K1535" i="2" s="1"/>
  <c r="L1535" i="2" a="1"/>
  <c r="L1535" i="2" s="1"/>
  <c r="J1535" i="2" a="1"/>
  <c r="J1535" i="2" s="1"/>
  <c r="I1535" i="2" a="1"/>
  <c r="I1535" i="2" s="1"/>
  <c r="L1531" i="2" a="1"/>
  <c r="L1531" i="2" s="1"/>
  <c r="K1531" i="2" a="1"/>
  <c r="K1531" i="2" s="1"/>
  <c r="J1531" i="2" a="1"/>
  <c r="J1531" i="2" s="1"/>
  <c r="I1531" i="2" a="1"/>
  <c r="I1531" i="2" s="1"/>
  <c r="L1527" i="2" a="1"/>
  <c r="L1527" i="2" s="1"/>
  <c r="K1527" i="2" a="1"/>
  <c r="K1527" i="2" s="1"/>
  <c r="I1527" i="2" a="1"/>
  <c r="I1527" i="2" s="1"/>
  <c r="J1527" i="2" a="1"/>
  <c r="J1527" i="2" s="1"/>
  <c r="L1523" i="2" a="1"/>
  <c r="L1523" i="2" s="1"/>
  <c r="K1523" i="2" a="1"/>
  <c r="K1523" i="2" s="1"/>
  <c r="J1523" i="2" a="1"/>
  <c r="J1523" i="2" s="1"/>
  <c r="I1523" i="2" a="1"/>
  <c r="I1523" i="2" s="1"/>
  <c r="L1519" i="2" a="1"/>
  <c r="L1519" i="2" s="1"/>
  <c r="K1519" i="2" a="1"/>
  <c r="K1519" i="2" s="1"/>
  <c r="J1519" i="2" a="1"/>
  <c r="J1519" i="2" s="1"/>
  <c r="I1519" i="2" a="1"/>
  <c r="I1519" i="2" s="1"/>
  <c r="L1515" i="2" a="1"/>
  <c r="L1515" i="2" s="1"/>
  <c r="K1515" i="2" a="1"/>
  <c r="K1515" i="2" s="1"/>
  <c r="J1515" i="2" a="1"/>
  <c r="J1515" i="2" s="1"/>
  <c r="I1515" i="2" a="1"/>
  <c r="I1515" i="2" s="1"/>
  <c r="L1511" i="2" a="1"/>
  <c r="L1511" i="2" s="1"/>
  <c r="K1511" i="2" a="1"/>
  <c r="K1511" i="2" s="1"/>
  <c r="I1511" i="2" a="1"/>
  <c r="I1511" i="2" s="1"/>
  <c r="J1511" i="2" a="1"/>
  <c r="J1511" i="2" s="1"/>
  <c r="K1507" i="2" a="1"/>
  <c r="K1507" i="2" s="1"/>
  <c r="L1507" i="2" a="1"/>
  <c r="L1507" i="2" s="1"/>
  <c r="I1507" i="2" a="1"/>
  <c r="I1507" i="2" s="1"/>
  <c r="J1507" i="2" a="1"/>
  <c r="J1507" i="2" s="1"/>
  <c r="L1503" i="2" a="1"/>
  <c r="L1503" i="2" s="1"/>
  <c r="K1503" i="2" a="1"/>
  <c r="K1503" i="2" s="1"/>
  <c r="J1503" i="2" a="1"/>
  <c r="J1503" i="2" s="1"/>
  <c r="I1503" i="2" a="1"/>
  <c r="I1503" i="2" s="1"/>
  <c r="L1499" i="2" a="1"/>
  <c r="L1499" i="2" s="1"/>
  <c r="K1499" i="2" a="1"/>
  <c r="K1499" i="2" s="1"/>
  <c r="J1499" i="2" a="1"/>
  <c r="J1499" i="2" s="1"/>
  <c r="I1499" i="2" a="1"/>
  <c r="I1499" i="2" s="1"/>
  <c r="L1495" i="2" a="1"/>
  <c r="L1495" i="2" s="1"/>
  <c r="K1495" i="2" a="1"/>
  <c r="K1495" i="2" s="1"/>
  <c r="J1495" i="2" a="1"/>
  <c r="J1495" i="2" s="1"/>
  <c r="I1495" i="2" a="1"/>
  <c r="I1495" i="2" s="1"/>
  <c r="K1491" i="2" a="1"/>
  <c r="K1491" i="2" s="1"/>
  <c r="L1491" i="2" a="1"/>
  <c r="L1491" i="2" s="1"/>
  <c r="J1491" i="2" a="1"/>
  <c r="J1491" i="2" s="1"/>
  <c r="I1491" i="2" a="1"/>
  <c r="I1491" i="2" s="1"/>
  <c r="L1487" i="2" a="1"/>
  <c r="L1487" i="2" s="1"/>
  <c r="K1487" i="2" a="1"/>
  <c r="K1487" i="2" s="1"/>
  <c r="J1487" i="2" a="1"/>
  <c r="J1487" i="2" s="1"/>
  <c r="I1487" i="2" a="1"/>
  <c r="I1487" i="2" s="1"/>
  <c r="L1483" i="2" a="1"/>
  <c r="L1483" i="2" s="1"/>
  <c r="K1483" i="2" a="1"/>
  <c r="K1483" i="2" s="1"/>
  <c r="J1483" i="2" a="1"/>
  <c r="J1483" i="2" s="1"/>
  <c r="I1483" i="2" a="1"/>
  <c r="I1483" i="2" s="1"/>
  <c r="L1479" i="2" a="1"/>
  <c r="L1479" i="2" s="1"/>
  <c r="K1479" i="2" a="1"/>
  <c r="K1479" i="2" s="1"/>
  <c r="I1479" i="2" a="1"/>
  <c r="I1479" i="2" s="1"/>
  <c r="J1479" i="2" a="1"/>
  <c r="J1479" i="2" s="1"/>
  <c r="K1475" i="2" a="1"/>
  <c r="K1475" i="2" s="1"/>
  <c r="L1475" i="2" a="1"/>
  <c r="L1475" i="2" s="1"/>
  <c r="J1475" i="2" a="1"/>
  <c r="J1475" i="2" s="1"/>
  <c r="I1475" i="2" a="1"/>
  <c r="I1475" i="2" s="1"/>
  <c r="L1471" i="2" a="1"/>
  <c r="L1471" i="2" s="1"/>
  <c r="K1471" i="2" a="1"/>
  <c r="K1471" i="2" s="1"/>
  <c r="J1471" i="2" a="1"/>
  <c r="J1471" i="2" s="1"/>
  <c r="I1471" i="2" a="1"/>
  <c r="I1471" i="2" s="1"/>
  <c r="K1467" i="2" a="1"/>
  <c r="K1467" i="2" s="1"/>
  <c r="L1467" i="2" a="1"/>
  <c r="L1467" i="2" s="1"/>
  <c r="J1467" i="2" a="1"/>
  <c r="J1467" i="2" s="1"/>
  <c r="I1467" i="2" a="1"/>
  <c r="I1467" i="2" s="1"/>
  <c r="K1463" i="2" a="1"/>
  <c r="K1463" i="2" s="1"/>
  <c r="L1463" i="2" a="1"/>
  <c r="L1463" i="2" s="1"/>
  <c r="J1463" i="2" a="1"/>
  <c r="J1463" i="2" s="1"/>
  <c r="I1463" i="2" a="1"/>
  <c r="I1463" i="2" s="1"/>
  <c r="K1459" i="2" a="1"/>
  <c r="K1459" i="2" s="1"/>
  <c r="L1459" i="2" a="1"/>
  <c r="L1459" i="2" s="1"/>
  <c r="J1459" i="2" a="1"/>
  <c r="J1459" i="2" s="1"/>
  <c r="I1459" i="2" a="1"/>
  <c r="I1459" i="2" s="1"/>
  <c r="K1455" i="2" a="1"/>
  <c r="K1455" i="2" s="1"/>
  <c r="L1455" i="2" a="1"/>
  <c r="L1455" i="2" s="1"/>
  <c r="J1455" i="2" a="1"/>
  <c r="J1455" i="2" s="1"/>
  <c r="I1455" i="2" a="1"/>
  <c r="I1455" i="2" s="1"/>
  <c r="K1451" i="2" a="1"/>
  <c r="K1451" i="2" s="1"/>
  <c r="L1451" i="2" a="1"/>
  <c r="L1451" i="2" s="1"/>
  <c r="J1451" i="2" a="1"/>
  <c r="J1451" i="2" s="1"/>
  <c r="I1451" i="2" a="1"/>
  <c r="I1451" i="2" s="1"/>
  <c r="L1447" i="2" a="1"/>
  <c r="L1447" i="2" s="1"/>
  <c r="K1447" i="2" a="1"/>
  <c r="K1447" i="2" s="1"/>
  <c r="J1447" i="2" a="1"/>
  <c r="J1447" i="2" s="1"/>
  <c r="I1447" i="2" a="1"/>
  <c r="I1447" i="2" s="1"/>
  <c r="L1443" i="2" a="1"/>
  <c r="L1443" i="2" s="1"/>
  <c r="K1443" i="2" a="1"/>
  <c r="K1443" i="2" s="1"/>
  <c r="J1443" i="2" a="1"/>
  <c r="J1443" i="2" s="1"/>
  <c r="I1443" i="2" a="1"/>
  <c r="I1443" i="2" s="1"/>
  <c r="L1439" i="2" a="1"/>
  <c r="L1439" i="2" s="1"/>
  <c r="K1439" i="2" a="1"/>
  <c r="K1439" i="2" s="1"/>
  <c r="J1439" i="2" a="1"/>
  <c r="J1439" i="2" s="1"/>
  <c r="I1439" i="2" a="1"/>
  <c r="I1439" i="2" s="1"/>
  <c r="K1435" i="2" a="1"/>
  <c r="K1435" i="2" s="1"/>
  <c r="L1435" i="2" a="1"/>
  <c r="L1435" i="2" s="1"/>
  <c r="J1435" i="2" a="1"/>
  <c r="J1435" i="2" s="1"/>
  <c r="I1435" i="2" a="1"/>
  <c r="I1435" i="2" s="1"/>
  <c r="L1431" i="2" a="1"/>
  <c r="L1431" i="2" s="1"/>
  <c r="K1431" i="2" a="1"/>
  <c r="K1431" i="2" s="1"/>
  <c r="J1431" i="2" a="1"/>
  <c r="J1431" i="2" s="1"/>
  <c r="I1431" i="2" a="1"/>
  <c r="I1431" i="2" s="1"/>
  <c r="K1427" i="2" a="1"/>
  <c r="K1427" i="2" s="1"/>
  <c r="L1427" i="2" a="1"/>
  <c r="L1427" i="2" s="1"/>
  <c r="J1427" i="2" a="1"/>
  <c r="J1427" i="2" s="1"/>
  <c r="I1427" i="2" a="1"/>
  <c r="I1427" i="2" s="1"/>
  <c r="L1423" i="2" a="1"/>
  <c r="L1423" i="2" s="1"/>
  <c r="K1423" i="2" a="1"/>
  <c r="K1423" i="2" s="1"/>
  <c r="J1423" i="2" a="1"/>
  <c r="J1423" i="2" s="1"/>
  <c r="I1423" i="2" a="1"/>
  <c r="I1423" i="2" s="1"/>
  <c r="L1419" i="2" a="1"/>
  <c r="L1419" i="2" s="1"/>
  <c r="K1419" i="2" a="1"/>
  <c r="K1419" i="2" s="1"/>
  <c r="I1419" i="2" a="1"/>
  <c r="I1419" i="2" s="1"/>
  <c r="J1419" i="2" a="1"/>
  <c r="J1419" i="2" s="1"/>
  <c r="L1415" i="2" a="1"/>
  <c r="L1415" i="2" s="1"/>
  <c r="K1415" i="2" a="1"/>
  <c r="K1415" i="2" s="1"/>
  <c r="J1415" i="2" a="1"/>
  <c r="J1415" i="2" s="1"/>
  <c r="I1415" i="2" a="1"/>
  <c r="I1415" i="2" s="1"/>
  <c r="L1411" i="2" a="1"/>
  <c r="L1411" i="2" s="1"/>
  <c r="K1411" i="2" a="1"/>
  <c r="K1411" i="2" s="1"/>
  <c r="J1411" i="2" a="1"/>
  <c r="J1411" i="2" s="1"/>
  <c r="I1411" i="2" a="1"/>
  <c r="I1411" i="2" s="1"/>
  <c r="L1407" i="2" a="1"/>
  <c r="L1407" i="2" s="1"/>
  <c r="K1407" i="2" a="1"/>
  <c r="K1407" i="2" s="1"/>
  <c r="I1407" i="2" a="1"/>
  <c r="I1407" i="2" s="1"/>
  <c r="J1407" i="2" a="1"/>
  <c r="J1407" i="2" s="1"/>
  <c r="L1403" i="2" a="1"/>
  <c r="L1403" i="2" s="1"/>
  <c r="K1403" i="2" a="1"/>
  <c r="K1403" i="2" s="1"/>
  <c r="J1403" i="2" a="1"/>
  <c r="J1403" i="2" s="1"/>
  <c r="I1403" i="2" a="1"/>
  <c r="I1403" i="2" s="1"/>
  <c r="K1399" i="2" a="1"/>
  <c r="K1399" i="2" s="1"/>
  <c r="L1399" i="2" a="1"/>
  <c r="L1399" i="2" s="1"/>
  <c r="J1399" i="2" a="1"/>
  <c r="J1399" i="2" s="1"/>
  <c r="I1399" i="2" a="1"/>
  <c r="I1399" i="2" s="1"/>
  <c r="L1395" i="2" a="1"/>
  <c r="L1395" i="2" s="1"/>
  <c r="K1395" i="2" a="1"/>
  <c r="K1395" i="2" s="1"/>
  <c r="J1395" i="2" a="1"/>
  <c r="J1395" i="2" s="1"/>
  <c r="I1395" i="2" a="1"/>
  <c r="I1395" i="2" s="1"/>
  <c r="L1391" i="2" a="1"/>
  <c r="L1391" i="2" s="1"/>
  <c r="K1391" i="2" a="1"/>
  <c r="K1391" i="2" s="1"/>
  <c r="I1391" i="2" a="1"/>
  <c r="I1391" i="2" s="1"/>
  <c r="J1391" i="2" a="1"/>
  <c r="J1391" i="2" s="1"/>
  <c r="K1387" i="2" a="1"/>
  <c r="K1387" i="2" s="1"/>
  <c r="L1387" i="2" a="1"/>
  <c r="L1387" i="2" s="1"/>
  <c r="J1387" i="2" a="1"/>
  <c r="J1387" i="2" s="1"/>
  <c r="I1387" i="2" a="1"/>
  <c r="I1387" i="2" s="1"/>
  <c r="L1383" i="2" a="1"/>
  <c r="L1383" i="2" s="1"/>
  <c r="K1383" i="2" a="1"/>
  <c r="K1383" i="2" s="1"/>
  <c r="J1383" i="2" a="1"/>
  <c r="J1383" i="2" s="1"/>
  <c r="I1383" i="2" a="1"/>
  <c r="I1383" i="2" s="1"/>
  <c r="K1379" i="2" a="1"/>
  <c r="K1379" i="2" s="1"/>
  <c r="L1379" i="2" a="1"/>
  <c r="L1379" i="2" s="1"/>
  <c r="J1379" i="2" a="1"/>
  <c r="J1379" i="2" s="1"/>
  <c r="I1379" i="2" a="1"/>
  <c r="I1379" i="2" s="1"/>
  <c r="L1375" i="2" a="1"/>
  <c r="L1375" i="2" s="1"/>
  <c r="K1375" i="2" a="1"/>
  <c r="K1375" i="2" s="1"/>
  <c r="J1375" i="2" a="1"/>
  <c r="J1375" i="2" s="1"/>
  <c r="I1375" i="2" a="1"/>
  <c r="I1375" i="2" s="1"/>
  <c r="L1371" i="2" a="1"/>
  <c r="L1371" i="2" s="1"/>
  <c r="K1371" i="2" a="1"/>
  <c r="K1371" i="2" s="1"/>
  <c r="J1371" i="2" a="1"/>
  <c r="J1371" i="2" s="1"/>
  <c r="I1371" i="2" a="1"/>
  <c r="I1371" i="2" s="1"/>
  <c r="L1367" i="2" a="1"/>
  <c r="L1367" i="2" s="1"/>
  <c r="K1367" i="2" a="1"/>
  <c r="K1367" i="2" s="1"/>
  <c r="J1367" i="2" a="1"/>
  <c r="J1367" i="2" s="1"/>
  <c r="I1367" i="2" a="1"/>
  <c r="I1367" i="2" s="1"/>
  <c r="L1363" i="2" a="1"/>
  <c r="L1363" i="2" s="1"/>
  <c r="K1363" i="2" a="1"/>
  <c r="K1363" i="2" s="1"/>
  <c r="J1363" i="2" a="1"/>
  <c r="J1363" i="2" s="1"/>
  <c r="I1363" i="2" a="1"/>
  <c r="I1363" i="2" s="1"/>
  <c r="K1359" i="2" a="1"/>
  <c r="K1359" i="2" s="1"/>
  <c r="L1359" i="2" a="1"/>
  <c r="L1359" i="2" s="1"/>
  <c r="J1359" i="2" a="1"/>
  <c r="J1359" i="2" s="1"/>
  <c r="I1359" i="2" a="1"/>
  <c r="I1359" i="2" s="1"/>
  <c r="L1355" i="2" a="1"/>
  <c r="L1355" i="2" s="1"/>
  <c r="K1355" i="2" a="1"/>
  <c r="K1355" i="2" s="1"/>
  <c r="J1355" i="2" a="1"/>
  <c r="J1355" i="2" s="1"/>
  <c r="I1355" i="2" a="1"/>
  <c r="I1355" i="2" s="1"/>
  <c r="L1351" i="2" a="1"/>
  <c r="L1351" i="2" s="1"/>
  <c r="K1351" i="2" a="1"/>
  <c r="K1351" i="2" s="1"/>
  <c r="J1351" i="2" a="1"/>
  <c r="J1351" i="2" s="1"/>
  <c r="I1351" i="2" a="1"/>
  <c r="I1351" i="2" s="1"/>
  <c r="L1347" i="2" a="1"/>
  <c r="L1347" i="2" s="1"/>
  <c r="K1347" i="2" a="1"/>
  <c r="K1347" i="2" s="1"/>
  <c r="I1347" i="2" a="1"/>
  <c r="I1347" i="2" s="1"/>
  <c r="J1347" i="2" a="1"/>
  <c r="J1347" i="2" s="1"/>
  <c r="L1343" i="2" a="1"/>
  <c r="L1343" i="2" s="1"/>
  <c r="K1343" i="2" a="1"/>
  <c r="K1343" i="2" s="1"/>
  <c r="I1343" i="2" a="1"/>
  <c r="I1343" i="2" s="1"/>
  <c r="J1343" i="2" a="1"/>
  <c r="J1343" i="2" s="1"/>
  <c r="L1339" i="2" a="1"/>
  <c r="L1339" i="2" s="1"/>
  <c r="K1339" i="2" a="1"/>
  <c r="K1339" i="2" s="1"/>
  <c r="I1339" i="2" a="1"/>
  <c r="I1339" i="2" s="1"/>
  <c r="J1339" i="2" a="1"/>
  <c r="J1339" i="2" s="1"/>
  <c r="L1335" i="2" a="1"/>
  <c r="L1335" i="2" s="1"/>
  <c r="K1335" i="2" a="1"/>
  <c r="K1335" i="2" s="1"/>
  <c r="I1335" i="2" a="1"/>
  <c r="I1335" i="2" s="1"/>
  <c r="J1335" i="2" a="1"/>
  <c r="J1335" i="2" s="1"/>
  <c r="L1331" i="2" a="1"/>
  <c r="L1331" i="2" s="1"/>
  <c r="K1331" i="2" a="1"/>
  <c r="K1331" i="2" s="1"/>
  <c r="I1331" i="2" a="1"/>
  <c r="I1331" i="2" s="1"/>
  <c r="J1331" i="2" a="1"/>
  <c r="J1331" i="2" s="1"/>
  <c r="L1327" i="2" a="1"/>
  <c r="L1327" i="2" s="1"/>
  <c r="K1327" i="2" a="1"/>
  <c r="K1327" i="2" s="1"/>
  <c r="I1327" i="2" a="1"/>
  <c r="I1327" i="2" s="1"/>
  <c r="J1327" i="2" a="1"/>
  <c r="J1327" i="2" s="1"/>
  <c r="L1323" i="2" a="1"/>
  <c r="L1323" i="2" s="1"/>
  <c r="K1323" i="2" a="1"/>
  <c r="K1323" i="2" s="1"/>
  <c r="I1323" i="2" a="1"/>
  <c r="I1323" i="2" s="1"/>
  <c r="J1323" i="2" a="1"/>
  <c r="J1323" i="2" s="1"/>
  <c r="L1319" i="2" a="1"/>
  <c r="L1319" i="2" s="1"/>
  <c r="K1319" i="2" a="1"/>
  <c r="K1319" i="2" s="1"/>
  <c r="I1319" i="2" a="1"/>
  <c r="I1319" i="2" s="1"/>
  <c r="J1319" i="2" a="1"/>
  <c r="J1319" i="2" s="1"/>
  <c r="L1315" i="2" a="1"/>
  <c r="L1315" i="2" s="1"/>
  <c r="K1315" i="2" a="1"/>
  <c r="K1315" i="2" s="1"/>
  <c r="I1315" i="2" a="1"/>
  <c r="I1315" i="2" s="1"/>
  <c r="J1315" i="2" a="1"/>
  <c r="J1315" i="2" s="1"/>
  <c r="L1311" i="2" a="1"/>
  <c r="L1311" i="2" s="1"/>
  <c r="K1311" i="2" a="1"/>
  <c r="K1311" i="2" s="1"/>
  <c r="I1311" i="2" a="1"/>
  <c r="I1311" i="2" s="1"/>
  <c r="J1311" i="2" a="1"/>
  <c r="J1311" i="2" s="1"/>
  <c r="L1307" i="2" a="1"/>
  <c r="L1307" i="2" s="1"/>
  <c r="K1307" i="2" a="1"/>
  <c r="K1307" i="2" s="1"/>
  <c r="I1307" i="2" a="1"/>
  <c r="I1307" i="2" s="1"/>
  <c r="J1307" i="2" a="1"/>
  <c r="J1307" i="2" s="1"/>
  <c r="L1303" i="2" a="1"/>
  <c r="L1303" i="2" s="1"/>
  <c r="K1303" i="2" a="1"/>
  <c r="K1303" i="2" s="1"/>
  <c r="I1303" i="2" a="1"/>
  <c r="I1303" i="2" s="1"/>
  <c r="J1303" i="2" a="1"/>
  <c r="J1303" i="2" s="1"/>
  <c r="L1299" i="2" a="1"/>
  <c r="L1299" i="2" s="1"/>
  <c r="K1299" i="2" a="1"/>
  <c r="K1299" i="2" s="1"/>
  <c r="I1299" i="2" a="1"/>
  <c r="I1299" i="2" s="1"/>
  <c r="J1299" i="2" a="1"/>
  <c r="J1299" i="2" s="1"/>
  <c r="L1295" i="2" a="1"/>
  <c r="L1295" i="2" s="1"/>
  <c r="K1295" i="2" a="1"/>
  <c r="K1295" i="2" s="1"/>
  <c r="I1295" i="2" a="1"/>
  <c r="I1295" i="2" s="1"/>
  <c r="J1295" i="2" a="1"/>
  <c r="J1295" i="2" s="1"/>
  <c r="L1291" i="2" a="1"/>
  <c r="L1291" i="2" s="1"/>
  <c r="K1291" i="2" a="1"/>
  <c r="K1291" i="2" s="1"/>
  <c r="J1291" i="2" a="1"/>
  <c r="J1291" i="2" s="1"/>
  <c r="I1291" i="2" a="1"/>
  <c r="I1291" i="2" s="1"/>
  <c r="L1287" i="2" a="1"/>
  <c r="L1287" i="2" s="1"/>
  <c r="K1287" i="2" a="1"/>
  <c r="K1287" i="2" s="1"/>
  <c r="I1287" i="2" a="1"/>
  <c r="I1287" i="2" s="1"/>
  <c r="J1287" i="2" a="1"/>
  <c r="J1287" i="2" s="1"/>
  <c r="L1283" i="2" a="1"/>
  <c r="L1283" i="2" s="1"/>
  <c r="K1283" i="2" a="1"/>
  <c r="K1283" i="2" s="1"/>
  <c r="J1283" i="2" a="1"/>
  <c r="J1283" i="2" s="1"/>
  <c r="I1283" i="2" a="1"/>
  <c r="I1283" i="2" s="1"/>
  <c r="L1279" i="2" a="1"/>
  <c r="L1279" i="2" s="1"/>
  <c r="K1279" i="2" a="1"/>
  <c r="K1279" i="2" s="1"/>
  <c r="I1279" i="2" a="1"/>
  <c r="I1279" i="2" s="1"/>
  <c r="J1279" i="2" a="1"/>
  <c r="J1279" i="2" s="1"/>
  <c r="L1275" i="2" a="1"/>
  <c r="L1275" i="2" s="1"/>
  <c r="K1275" i="2" a="1"/>
  <c r="K1275" i="2" s="1"/>
  <c r="J1275" i="2" a="1"/>
  <c r="J1275" i="2" s="1"/>
  <c r="I1275" i="2" a="1"/>
  <c r="I1275" i="2" s="1"/>
  <c r="L1271" i="2" a="1"/>
  <c r="L1271" i="2" s="1"/>
  <c r="K1271" i="2" a="1"/>
  <c r="K1271" i="2" s="1"/>
  <c r="J1271" i="2" a="1"/>
  <c r="J1271" i="2" s="1"/>
  <c r="I1271" i="2" a="1"/>
  <c r="I1271" i="2" s="1"/>
  <c r="L1267" i="2" a="1"/>
  <c r="L1267" i="2" s="1"/>
  <c r="K1267" i="2" a="1"/>
  <c r="K1267" i="2" s="1"/>
  <c r="J1267" i="2" a="1"/>
  <c r="J1267" i="2" s="1"/>
  <c r="I1267" i="2" a="1"/>
  <c r="I1267" i="2" s="1"/>
  <c r="L1263" i="2" a="1"/>
  <c r="L1263" i="2" s="1"/>
  <c r="K1263" i="2" a="1"/>
  <c r="K1263" i="2" s="1"/>
  <c r="J1263" i="2" a="1"/>
  <c r="J1263" i="2" s="1"/>
  <c r="I1263" i="2" a="1"/>
  <c r="I1263" i="2" s="1"/>
  <c r="L1259" i="2" a="1"/>
  <c r="L1259" i="2" s="1"/>
  <c r="K1259" i="2" a="1"/>
  <c r="K1259" i="2" s="1"/>
  <c r="I1259" i="2" a="1"/>
  <c r="I1259" i="2" s="1"/>
  <c r="J1259" i="2" a="1"/>
  <c r="J1259" i="2" s="1"/>
  <c r="L1255" i="2" a="1"/>
  <c r="L1255" i="2" s="1"/>
  <c r="K1255" i="2" a="1"/>
  <c r="K1255" i="2" s="1"/>
  <c r="I1255" i="2" a="1"/>
  <c r="I1255" i="2" s="1"/>
  <c r="J1255" i="2" a="1"/>
  <c r="J1255" i="2" s="1"/>
  <c r="L1251" i="2" a="1"/>
  <c r="L1251" i="2" s="1"/>
  <c r="K1251" i="2" a="1"/>
  <c r="K1251" i="2" s="1"/>
  <c r="I1251" i="2" a="1"/>
  <c r="I1251" i="2" s="1"/>
  <c r="J1251" i="2" a="1"/>
  <c r="J1251" i="2" s="1"/>
  <c r="L1247" i="2" a="1"/>
  <c r="L1247" i="2" s="1"/>
  <c r="K1247" i="2" a="1"/>
  <c r="K1247" i="2" s="1"/>
  <c r="I1247" i="2" a="1"/>
  <c r="I1247" i="2" s="1"/>
  <c r="J1247" i="2" a="1"/>
  <c r="J1247" i="2" s="1"/>
  <c r="L1243" i="2" a="1"/>
  <c r="L1243" i="2" s="1"/>
  <c r="K1243" i="2" a="1"/>
  <c r="K1243" i="2" s="1"/>
  <c r="I1243" i="2" a="1"/>
  <c r="I1243" i="2" s="1"/>
  <c r="J1243" i="2" a="1"/>
  <c r="J1243" i="2" s="1"/>
  <c r="L1239" i="2" a="1"/>
  <c r="L1239" i="2" s="1"/>
  <c r="K1239" i="2" a="1"/>
  <c r="K1239" i="2" s="1"/>
  <c r="I1239" i="2" a="1"/>
  <c r="I1239" i="2" s="1"/>
  <c r="J1239" i="2" a="1"/>
  <c r="J1239" i="2" s="1"/>
  <c r="L1235" i="2" a="1"/>
  <c r="L1235" i="2" s="1"/>
  <c r="K1235" i="2" a="1"/>
  <c r="K1235" i="2" s="1"/>
  <c r="I1235" i="2" a="1"/>
  <c r="I1235" i="2" s="1"/>
  <c r="J1235" i="2" a="1"/>
  <c r="J1235" i="2" s="1"/>
  <c r="L1231" i="2" a="1"/>
  <c r="L1231" i="2" s="1"/>
  <c r="K1231" i="2" a="1"/>
  <c r="K1231" i="2" s="1"/>
  <c r="I1231" i="2" a="1"/>
  <c r="I1231" i="2" s="1"/>
  <c r="J1231" i="2" a="1"/>
  <c r="J1231" i="2" s="1"/>
  <c r="L1227" i="2" a="1"/>
  <c r="L1227" i="2" s="1"/>
  <c r="K1227" i="2" a="1"/>
  <c r="K1227" i="2" s="1"/>
  <c r="I1227" i="2" a="1"/>
  <c r="I1227" i="2" s="1"/>
  <c r="J1227" i="2" a="1"/>
  <c r="J1227" i="2" s="1"/>
  <c r="L1223" i="2" a="1"/>
  <c r="L1223" i="2" s="1"/>
  <c r="K1223" i="2" a="1"/>
  <c r="K1223" i="2" s="1"/>
  <c r="I1223" i="2" a="1"/>
  <c r="I1223" i="2" s="1"/>
  <c r="J1223" i="2" a="1"/>
  <c r="J1223" i="2" s="1"/>
  <c r="L1219" i="2" a="1"/>
  <c r="L1219" i="2" s="1"/>
  <c r="K1219" i="2" a="1"/>
  <c r="K1219" i="2" s="1"/>
  <c r="J1219" i="2" a="1"/>
  <c r="J1219" i="2" s="1"/>
  <c r="I1219" i="2" a="1"/>
  <c r="I1219" i="2" s="1"/>
  <c r="K1215" i="2" a="1"/>
  <c r="K1215" i="2" s="1"/>
  <c r="L1215" i="2" a="1"/>
  <c r="L1215" i="2" s="1"/>
  <c r="J1215" i="2" a="1"/>
  <c r="J1215" i="2" s="1"/>
  <c r="I1215" i="2" a="1"/>
  <c r="I1215" i="2" s="1"/>
  <c r="L1211" i="2" a="1"/>
  <c r="L1211" i="2" s="1"/>
  <c r="K1211" i="2" a="1"/>
  <c r="K1211" i="2" s="1"/>
  <c r="I1211" i="2" a="1"/>
  <c r="I1211" i="2" s="1"/>
  <c r="J1211" i="2" a="1"/>
  <c r="J1211" i="2" s="1"/>
  <c r="K1207" i="2" a="1"/>
  <c r="K1207" i="2" s="1"/>
  <c r="L1207" i="2" a="1"/>
  <c r="L1207" i="2" s="1"/>
  <c r="I1207" i="2" a="1"/>
  <c r="I1207" i="2" s="1"/>
  <c r="J1207" i="2" a="1"/>
  <c r="J1207" i="2" s="1"/>
  <c r="L1203" i="2" a="1"/>
  <c r="L1203" i="2" s="1"/>
  <c r="K1203" i="2" a="1"/>
  <c r="K1203" i="2" s="1"/>
  <c r="J1203" i="2" a="1"/>
  <c r="J1203" i="2" s="1"/>
  <c r="I1203" i="2" a="1"/>
  <c r="I1203" i="2" s="1"/>
  <c r="L1199" i="2" a="1"/>
  <c r="L1199" i="2" s="1"/>
  <c r="K1199" i="2" a="1"/>
  <c r="K1199" i="2" s="1"/>
  <c r="J1199" i="2" a="1"/>
  <c r="J1199" i="2" s="1"/>
  <c r="I1199" i="2" a="1"/>
  <c r="I1199" i="2" s="1"/>
  <c r="L1195" i="2" a="1"/>
  <c r="L1195" i="2" s="1"/>
  <c r="K1195" i="2" a="1"/>
  <c r="K1195" i="2" s="1"/>
  <c r="J1195" i="2" a="1"/>
  <c r="J1195" i="2" s="1"/>
  <c r="I1195" i="2" a="1"/>
  <c r="I1195" i="2" s="1"/>
  <c r="L1191" i="2" a="1"/>
  <c r="L1191" i="2" s="1"/>
  <c r="K1191" i="2" a="1"/>
  <c r="K1191" i="2" s="1"/>
  <c r="J1191" i="2" a="1"/>
  <c r="J1191" i="2" s="1"/>
  <c r="I1191" i="2" a="1"/>
  <c r="I1191" i="2" s="1"/>
  <c r="L1187" i="2" a="1"/>
  <c r="L1187" i="2" s="1"/>
  <c r="K1187" i="2" a="1"/>
  <c r="K1187" i="2" s="1"/>
  <c r="J1187" i="2" a="1"/>
  <c r="J1187" i="2" s="1"/>
  <c r="I1187" i="2" a="1"/>
  <c r="I1187" i="2" s="1"/>
  <c r="L1183" i="2" a="1"/>
  <c r="L1183" i="2" s="1"/>
  <c r="K1183" i="2" a="1"/>
  <c r="K1183" i="2" s="1"/>
  <c r="I1183" i="2" a="1"/>
  <c r="I1183" i="2" s="1"/>
  <c r="J1183" i="2" a="1"/>
  <c r="J1183" i="2" s="1"/>
  <c r="L1179" i="2" a="1"/>
  <c r="L1179" i="2" s="1"/>
  <c r="K1179" i="2" a="1"/>
  <c r="K1179" i="2" s="1"/>
  <c r="I1179" i="2" a="1"/>
  <c r="I1179" i="2" s="1"/>
  <c r="J1179" i="2" a="1"/>
  <c r="J1179" i="2" s="1"/>
  <c r="L1175" i="2" a="1"/>
  <c r="L1175" i="2" s="1"/>
  <c r="K1175" i="2" a="1"/>
  <c r="K1175" i="2" s="1"/>
  <c r="J1175" i="2" a="1"/>
  <c r="J1175" i="2" s="1"/>
  <c r="I1175" i="2" a="1"/>
  <c r="I1175" i="2" s="1"/>
  <c r="K1171" i="2" a="1"/>
  <c r="K1171" i="2" s="1"/>
  <c r="L1171" i="2" a="1"/>
  <c r="L1171" i="2" s="1"/>
  <c r="J1171" i="2" a="1"/>
  <c r="J1171" i="2" s="1"/>
  <c r="I1171" i="2" a="1"/>
  <c r="I1171" i="2" s="1"/>
  <c r="L1167" i="2" a="1"/>
  <c r="L1167" i="2" s="1"/>
  <c r="K1167" i="2" a="1"/>
  <c r="K1167" i="2" s="1"/>
  <c r="J1167" i="2" a="1"/>
  <c r="J1167" i="2" s="1"/>
  <c r="I1167" i="2" a="1"/>
  <c r="I1167" i="2" s="1"/>
  <c r="K1163" i="2" a="1"/>
  <c r="K1163" i="2" s="1"/>
  <c r="L1163" i="2" a="1"/>
  <c r="L1163" i="2" s="1"/>
  <c r="I1163" i="2" a="1"/>
  <c r="I1163" i="2" s="1"/>
  <c r="J1163" i="2" a="1"/>
  <c r="J1163" i="2" s="1"/>
  <c r="L1159" i="2" a="1"/>
  <c r="L1159" i="2" s="1"/>
  <c r="K1159" i="2" a="1"/>
  <c r="K1159" i="2" s="1"/>
  <c r="J1159" i="2" a="1"/>
  <c r="J1159" i="2" s="1"/>
  <c r="I1159" i="2" a="1"/>
  <c r="I1159" i="2" s="1"/>
  <c r="K1155" i="2" a="1"/>
  <c r="K1155" i="2" s="1"/>
  <c r="L1155" i="2" a="1"/>
  <c r="L1155" i="2" s="1"/>
  <c r="I1155" i="2" a="1"/>
  <c r="I1155" i="2" s="1"/>
  <c r="J1155" i="2" a="1"/>
  <c r="J1155" i="2" s="1"/>
  <c r="L1151" i="2" a="1"/>
  <c r="L1151" i="2" s="1"/>
  <c r="K1151" i="2" a="1"/>
  <c r="K1151" i="2" s="1"/>
  <c r="J1151" i="2" a="1"/>
  <c r="J1151" i="2" s="1"/>
  <c r="I1151" i="2" a="1"/>
  <c r="I1151" i="2" s="1"/>
  <c r="L1147" i="2" a="1"/>
  <c r="L1147" i="2" s="1"/>
  <c r="K1147" i="2" a="1"/>
  <c r="K1147" i="2" s="1"/>
  <c r="I1147" i="2" a="1"/>
  <c r="I1147" i="2" s="1"/>
  <c r="J1147" i="2" a="1"/>
  <c r="J1147" i="2" s="1"/>
  <c r="L1143" i="2" a="1"/>
  <c r="L1143" i="2" s="1"/>
  <c r="K1143" i="2" a="1"/>
  <c r="K1143" i="2" s="1"/>
  <c r="J1143" i="2" a="1"/>
  <c r="J1143" i="2" s="1"/>
  <c r="I1143" i="2" a="1"/>
  <c r="I1143" i="2" s="1"/>
  <c r="L1139" i="2" a="1"/>
  <c r="L1139" i="2" s="1"/>
  <c r="K1139" i="2" a="1"/>
  <c r="K1139" i="2" s="1"/>
  <c r="J1139" i="2" a="1"/>
  <c r="J1139" i="2" s="1"/>
  <c r="I1139" i="2" a="1"/>
  <c r="I1139" i="2" s="1"/>
  <c r="L1135" i="2" a="1"/>
  <c r="L1135" i="2" s="1"/>
  <c r="K1135" i="2" a="1"/>
  <c r="K1135" i="2" s="1"/>
  <c r="J1135" i="2" a="1"/>
  <c r="J1135" i="2" s="1"/>
  <c r="I1135" i="2" a="1"/>
  <c r="I1135" i="2" s="1"/>
  <c r="L1131" i="2" a="1"/>
  <c r="L1131" i="2" s="1"/>
  <c r="K1131" i="2" a="1"/>
  <c r="K1131" i="2" s="1"/>
  <c r="I1131" i="2" a="1"/>
  <c r="I1131" i="2" s="1"/>
  <c r="J1131" i="2" a="1"/>
  <c r="J1131" i="2" s="1"/>
  <c r="L1127" i="2" a="1"/>
  <c r="L1127" i="2" s="1"/>
  <c r="K1127" i="2" a="1"/>
  <c r="K1127" i="2" s="1"/>
  <c r="J1127" i="2" a="1"/>
  <c r="J1127" i="2" s="1"/>
  <c r="I1127" i="2" a="1"/>
  <c r="I1127" i="2" s="1"/>
  <c r="L1123" i="2" a="1"/>
  <c r="L1123" i="2" s="1"/>
  <c r="K1123" i="2" a="1"/>
  <c r="K1123" i="2" s="1"/>
  <c r="J1123" i="2" a="1"/>
  <c r="J1123" i="2" s="1"/>
  <c r="I1123" i="2" a="1"/>
  <c r="I1123" i="2" s="1"/>
  <c r="L1119" i="2" a="1"/>
  <c r="L1119" i="2" s="1"/>
  <c r="K1119" i="2" a="1"/>
  <c r="K1119" i="2" s="1"/>
  <c r="J1119" i="2" a="1"/>
  <c r="J1119" i="2" s="1"/>
  <c r="I1119" i="2" a="1"/>
  <c r="I1119" i="2" s="1"/>
  <c r="L1115" i="2" a="1"/>
  <c r="L1115" i="2" s="1"/>
  <c r="K1115" i="2" a="1"/>
  <c r="K1115" i="2" s="1"/>
  <c r="J1115" i="2" a="1"/>
  <c r="J1115" i="2" s="1"/>
  <c r="I1115" i="2" a="1"/>
  <c r="I1115" i="2" s="1"/>
  <c r="L1111" i="2" a="1"/>
  <c r="L1111" i="2" s="1"/>
  <c r="K1111" i="2" a="1"/>
  <c r="K1111" i="2" s="1"/>
  <c r="J1111" i="2" a="1"/>
  <c r="J1111" i="2" s="1"/>
  <c r="I1111" i="2" a="1"/>
  <c r="I1111" i="2" s="1"/>
  <c r="L1107" i="2" a="1"/>
  <c r="L1107" i="2" s="1"/>
  <c r="K1107" i="2" a="1"/>
  <c r="K1107" i="2" s="1"/>
  <c r="I1107" i="2" a="1"/>
  <c r="I1107" i="2" s="1"/>
  <c r="J1107" i="2" a="1"/>
  <c r="J1107" i="2" s="1"/>
  <c r="L1103" i="2" a="1"/>
  <c r="L1103" i="2" s="1"/>
  <c r="K1103" i="2" a="1"/>
  <c r="K1103" i="2" s="1"/>
  <c r="J1103" i="2" a="1"/>
  <c r="J1103" i="2" s="1"/>
  <c r="I1103" i="2" a="1"/>
  <c r="I1103" i="2" s="1"/>
  <c r="L1099" i="2" a="1"/>
  <c r="L1099" i="2" s="1"/>
  <c r="K1099" i="2" a="1"/>
  <c r="K1099" i="2" s="1"/>
  <c r="J1099" i="2" a="1"/>
  <c r="J1099" i="2" s="1"/>
  <c r="I1099" i="2" a="1"/>
  <c r="I1099" i="2" s="1"/>
  <c r="L1095" i="2" a="1"/>
  <c r="L1095" i="2" s="1"/>
  <c r="K1095" i="2" a="1"/>
  <c r="K1095" i="2" s="1"/>
  <c r="J1095" i="2" a="1"/>
  <c r="J1095" i="2" s="1"/>
  <c r="I1095" i="2" a="1"/>
  <c r="I1095" i="2" s="1"/>
  <c r="L1091" i="2" a="1"/>
  <c r="L1091" i="2" s="1"/>
  <c r="K1091" i="2" a="1"/>
  <c r="K1091" i="2" s="1"/>
  <c r="J1091" i="2" a="1"/>
  <c r="J1091" i="2" s="1"/>
  <c r="I1091" i="2" a="1"/>
  <c r="I1091" i="2" s="1"/>
  <c r="L1087" i="2" a="1"/>
  <c r="L1087" i="2" s="1"/>
  <c r="K1087" i="2" a="1"/>
  <c r="K1087" i="2" s="1"/>
  <c r="J1087" i="2" a="1"/>
  <c r="J1087" i="2" s="1"/>
  <c r="I1087" i="2" a="1"/>
  <c r="I1087" i="2" s="1"/>
  <c r="L1083" i="2" a="1"/>
  <c r="L1083" i="2" s="1"/>
  <c r="K1083" i="2" a="1"/>
  <c r="K1083" i="2" s="1"/>
  <c r="J1083" i="2" a="1"/>
  <c r="J1083" i="2" s="1"/>
  <c r="I1083" i="2" a="1"/>
  <c r="I1083" i="2" s="1"/>
  <c r="L1079" i="2" a="1"/>
  <c r="L1079" i="2" s="1"/>
  <c r="K1079" i="2" a="1"/>
  <c r="K1079" i="2" s="1"/>
  <c r="J1079" i="2" a="1"/>
  <c r="J1079" i="2" s="1"/>
  <c r="I1079" i="2" a="1"/>
  <c r="I1079" i="2" s="1"/>
  <c r="L1075" i="2" a="1"/>
  <c r="L1075" i="2" s="1"/>
  <c r="K1075" i="2" a="1"/>
  <c r="K1075" i="2" s="1"/>
  <c r="J1075" i="2" a="1"/>
  <c r="J1075" i="2" s="1"/>
  <c r="I1075" i="2" a="1"/>
  <c r="I1075" i="2" s="1"/>
  <c r="L1071" i="2" a="1"/>
  <c r="L1071" i="2" s="1"/>
  <c r="K1071" i="2" a="1"/>
  <c r="K1071" i="2" s="1"/>
  <c r="J1071" i="2" a="1"/>
  <c r="J1071" i="2" s="1"/>
  <c r="I1071" i="2" a="1"/>
  <c r="I1071" i="2" s="1"/>
  <c r="L1067" i="2" a="1"/>
  <c r="L1067" i="2" s="1"/>
  <c r="K1067" i="2" a="1"/>
  <c r="K1067" i="2" s="1"/>
  <c r="J1067" i="2" a="1"/>
  <c r="J1067" i="2" s="1"/>
  <c r="I1067" i="2" a="1"/>
  <c r="I1067" i="2" s="1"/>
  <c r="L1063" i="2" a="1"/>
  <c r="L1063" i="2" s="1"/>
  <c r="K1063" i="2" a="1"/>
  <c r="K1063" i="2" s="1"/>
  <c r="I1063" i="2" a="1"/>
  <c r="I1063" i="2" s="1"/>
  <c r="J1063" i="2" a="1"/>
  <c r="J1063" i="2" s="1"/>
  <c r="L1059" i="2" a="1"/>
  <c r="L1059" i="2" s="1"/>
  <c r="K1059" i="2" a="1"/>
  <c r="K1059" i="2" s="1"/>
  <c r="I1059" i="2" a="1"/>
  <c r="I1059" i="2" s="1"/>
  <c r="J1059" i="2" a="1"/>
  <c r="J1059" i="2" s="1"/>
  <c r="K1055" i="2" a="1"/>
  <c r="K1055" i="2" s="1"/>
  <c r="L1055" i="2" a="1"/>
  <c r="L1055" i="2" s="1"/>
  <c r="J1055" i="2" a="1"/>
  <c r="J1055" i="2" s="1"/>
  <c r="I1055" i="2" a="1"/>
  <c r="I1055" i="2" s="1"/>
  <c r="K1051" i="2" a="1"/>
  <c r="K1051" i="2" s="1"/>
  <c r="L1051" i="2" a="1"/>
  <c r="L1051" i="2" s="1"/>
  <c r="J1051" i="2" a="1"/>
  <c r="J1051" i="2" s="1"/>
  <c r="I1051" i="2" a="1"/>
  <c r="I1051" i="2" s="1"/>
  <c r="L1047" i="2" a="1"/>
  <c r="L1047" i="2" s="1"/>
  <c r="K1047" i="2" a="1"/>
  <c r="K1047" i="2" s="1"/>
  <c r="I1047" i="2" a="1"/>
  <c r="I1047" i="2" s="1"/>
  <c r="J1047" i="2" a="1"/>
  <c r="J1047" i="2" s="1"/>
  <c r="K1043" i="2" a="1"/>
  <c r="K1043" i="2" s="1"/>
  <c r="L1043" i="2" a="1"/>
  <c r="L1043" i="2" s="1"/>
  <c r="J1043" i="2" a="1"/>
  <c r="J1043" i="2" s="1"/>
  <c r="I1043" i="2" a="1"/>
  <c r="I1043" i="2" s="1"/>
  <c r="L1039" i="2" a="1"/>
  <c r="L1039" i="2" s="1"/>
  <c r="K1039" i="2" a="1"/>
  <c r="K1039" i="2" s="1"/>
  <c r="J1039" i="2" a="1"/>
  <c r="J1039" i="2" s="1"/>
  <c r="I1039" i="2" a="1"/>
  <c r="I1039" i="2" s="1"/>
  <c r="K1035" i="2" a="1"/>
  <c r="K1035" i="2" s="1"/>
  <c r="L1035" i="2" a="1"/>
  <c r="L1035" i="2" s="1"/>
  <c r="I1035" i="2" a="1"/>
  <c r="I1035" i="2" s="1"/>
  <c r="J1035" i="2" a="1"/>
  <c r="J1035" i="2" s="1"/>
  <c r="L1031" i="2" a="1"/>
  <c r="L1031" i="2" s="1"/>
  <c r="K1031" i="2" a="1"/>
  <c r="K1031" i="2" s="1"/>
  <c r="J1031" i="2" a="1"/>
  <c r="J1031" i="2" s="1"/>
  <c r="I1031" i="2" a="1"/>
  <c r="I1031" i="2" s="1"/>
  <c r="K1027" i="2" a="1"/>
  <c r="K1027" i="2" s="1"/>
  <c r="L1027" i="2" a="1"/>
  <c r="L1027" i="2" s="1"/>
  <c r="J1027" i="2" a="1"/>
  <c r="J1027" i="2" s="1"/>
  <c r="I1027" i="2" a="1"/>
  <c r="I1027" i="2" s="1"/>
  <c r="L1023" i="2" a="1"/>
  <c r="L1023" i="2" s="1"/>
  <c r="K1023" i="2" a="1"/>
  <c r="K1023" i="2" s="1"/>
  <c r="J1023" i="2" a="1"/>
  <c r="J1023" i="2" s="1"/>
  <c r="I1023" i="2" a="1"/>
  <c r="I1023" i="2" s="1"/>
  <c r="K1019" i="2" a="1"/>
  <c r="K1019" i="2" s="1"/>
  <c r="L1019" i="2" a="1"/>
  <c r="L1019" i="2" s="1"/>
  <c r="I1019" i="2" a="1"/>
  <c r="I1019" i="2" s="1"/>
  <c r="J1019" i="2" a="1"/>
  <c r="J1019" i="2" s="1"/>
  <c r="L1015" i="2" a="1"/>
  <c r="L1015" i="2" s="1"/>
  <c r="K1015" i="2" a="1"/>
  <c r="K1015" i="2" s="1"/>
  <c r="I1015" i="2" a="1"/>
  <c r="I1015" i="2" s="1"/>
  <c r="J1015" i="2" a="1"/>
  <c r="J1015" i="2" s="1"/>
  <c r="K1011" i="2" a="1"/>
  <c r="K1011" i="2" s="1"/>
  <c r="L1011" i="2" a="1"/>
  <c r="L1011" i="2" s="1"/>
  <c r="J1011" i="2" a="1"/>
  <c r="J1011" i="2" s="1"/>
  <c r="I1011" i="2" a="1"/>
  <c r="I1011" i="2" s="1"/>
  <c r="L1007" i="2" a="1"/>
  <c r="L1007" i="2" s="1"/>
  <c r="K1007" i="2" a="1"/>
  <c r="K1007" i="2" s="1"/>
  <c r="I1007" i="2" a="1"/>
  <c r="I1007" i="2" s="1"/>
  <c r="J1007" i="2" a="1"/>
  <c r="J1007" i="2" s="1"/>
  <c r="K1003" i="2" a="1"/>
  <c r="K1003" i="2" s="1"/>
  <c r="L1003" i="2" a="1"/>
  <c r="L1003" i="2" s="1"/>
  <c r="J1003" i="2" a="1"/>
  <c r="J1003" i="2" s="1"/>
  <c r="I1003" i="2" a="1"/>
  <c r="I1003" i="2" s="1"/>
  <c r="L999" i="2" a="1"/>
  <c r="L999" i="2" s="1"/>
  <c r="K999" i="2" a="1"/>
  <c r="K999" i="2" s="1"/>
  <c r="J999" i="2" a="1"/>
  <c r="J999" i="2" s="1"/>
  <c r="I999" i="2" a="1"/>
  <c r="I999" i="2" s="1"/>
  <c r="K995" i="2" a="1"/>
  <c r="K995" i="2" s="1"/>
  <c r="L995" i="2" a="1"/>
  <c r="L995" i="2" s="1"/>
  <c r="J995" i="2" a="1"/>
  <c r="J995" i="2" s="1"/>
  <c r="I995" i="2" a="1"/>
  <c r="I995" i="2" s="1"/>
  <c r="L991" i="2" a="1"/>
  <c r="L991" i="2" s="1"/>
  <c r="K991" i="2" a="1"/>
  <c r="K991" i="2" s="1"/>
  <c r="J991" i="2" a="1"/>
  <c r="J991" i="2" s="1"/>
  <c r="I991" i="2" a="1"/>
  <c r="I991" i="2" s="1"/>
  <c r="K987" i="2" a="1"/>
  <c r="K987" i="2" s="1"/>
  <c r="L987" i="2" a="1"/>
  <c r="L987" i="2" s="1"/>
  <c r="J987" i="2" a="1"/>
  <c r="J987" i="2" s="1"/>
  <c r="I987" i="2" a="1"/>
  <c r="I987" i="2" s="1"/>
  <c r="L983" i="2" a="1"/>
  <c r="L983" i="2" s="1"/>
  <c r="K983" i="2" a="1"/>
  <c r="K983" i="2" s="1"/>
  <c r="J983" i="2" a="1"/>
  <c r="J983" i="2" s="1"/>
  <c r="I983" i="2" a="1"/>
  <c r="I983" i="2" s="1"/>
  <c r="K979" i="2" a="1"/>
  <c r="K979" i="2" s="1"/>
  <c r="L979" i="2" a="1"/>
  <c r="L979" i="2" s="1"/>
  <c r="J979" i="2" a="1"/>
  <c r="J979" i="2" s="1"/>
  <c r="I979" i="2" a="1"/>
  <c r="I979" i="2" s="1"/>
  <c r="L975" i="2" a="1"/>
  <c r="L975" i="2" s="1"/>
  <c r="K975" i="2" a="1"/>
  <c r="K975" i="2" s="1"/>
  <c r="J975" i="2" a="1"/>
  <c r="J975" i="2" s="1"/>
  <c r="I975" i="2" a="1"/>
  <c r="I975" i="2" s="1"/>
  <c r="K971" i="2" a="1"/>
  <c r="K971" i="2" s="1"/>
  <c r="L971" i="2" a="1"/>
  <c r="L971" i="2" s="1"/>
  <c r="J971" i="2" a="1"/>
  <c r="J971" i="2" s="1"/>
  <c r="I971" i="2" a="1"/>
  <c r="I971" i="2" s="1"/>
  <c r="L967" i="2" a="1"/>
  <c r="L967" i="2" s="1"/>
  <c r="K967" i="2" a="1"/>
  <c r="K967" i="2" s="1"/>
  <c r="J967" i="2" a="1"/>
  <c r="J967" i="2" s="1"/>
  <c r="I967" i="2" a="1"/>
  <c r="I967" i="2" s="1"/>
  <c r="K963" i="2" a="1"/>
  <c r="K963" i="2" s="1"/>
  <c r="L963" i="2" a="1"/>
  <c r="L963" i="2" s="1"/>
  <c r="J963" i="2" a="1"/>
  <c r="J963" i="2" s="1"/>
  <c r="I963" i="2" a="1"/>
  <c r="I963" i="2" s="1"/>
  <c r="K959" i="2" a="1"/>
  <c r="K959" i="2" s="1"/>
  <c r="L959" i="2" a="1"/>
  <c r="L959" i="2" s="1"/>
  <c r="J959" i="2" a="1"/>
  <c r="J959" i="2" s="1"/>
  <c r="I959" i="2" a="1"/>
  <c r="I959" i="2" s="1"/>
  <c r="K955" i="2" a="1"/>
  <c r="K955" i="2" s="1"/>
  <c r="L955" i="2" a="1"/>
  <c r="L955" i="2" s="1"/>
  <c r="J955" i="2" a="1"/>
  <c r="J955" i="2" s="1"/>
  <c r="I955" i="2" a="1"/>
  <c r="I955" i="2" s="1"/>
  <c r="K951" i="2" a="1"/>
  <c r="K951" i="2" s="1"/>
  <c r="L951" i="2" a="1"/>
  <c r="L951" i="2" s="1"/>
  <c r="J951" i="2" a="1"/>
  <c r="J951" i="2" s="1"/>
  <c r="I951" i="2" a="1"/>
  <c r="I951" i="2" s="1"/>
  <c r="K947" i="2" a="1"/>
  <c r="K947" i="2" s="1"/>
  <c r="L947" i="2" a="1"/>
  <c r="L947" i="2" s="1"/>
  <c r="J947" i="2" a="1"/>
  <c r="J947" i="2" s="1"/>
  <c r="I947" i="2" a="1"/>
  <c r="I947" i="2" s="1"/>
  <c r="K943" i="2" a="1"/>
  <c r="K943" i="2" s="1"/>
  <c r="L943" i="2" a="1"/>
  <c r="L943" i="2" s="1"/>
  <c r="J943" i="2" a="1"/>
  <c r="J943" i="2" s="1"/>
  <c r="I943" i="2" a="1"/>
  <c r="I943" i="2" s="1"/>
  <c r="K939" i="2" a="1"/>
  <c r="K939" i="2" s="1"/>
  <c r="L939" i="2" a="1"/>
  <c r="L939" i="2" s="1"/>
  <c r="J939" i="2" a="1"/>
  <c r="J939" i="2" s="1"/>
  <c r="I939" i="2" a="1"/>
  <c r="I939" i="2" s="1"/>
  <c r="K935" i="2" a="1"/>
  <c r="K935" i="2" s="1"/>
  <c r="L935" i="2" a="1"/>
  <c r="L935" i="2" s="1"/>
  <c r="J935" i="2" a="1"/>
  <c r="J935" i="2" s="1"/>
  <c r="I935" i="2" a="1"/>
  <c r="I935" i="2" s="1"/>
  <c r="K931" i="2" a="1"/>
  <c r="K931" i="2" s="1"/>
  <c r="L931" i="2" a="1"/>
  <c r="L931" i="2" s="1"/>
  <c r="J931" i="2" a="1"/>
  <c r="J931" i="2" s="1"/>
  <c r="I931" i="2" a="1"/>
  <c r="I931" i="2" s="1"/>
  <c r="K927" i="2" a="1"/>
  <c r="K927" i="2" s="1"/>
  <c r="L927" i="2" a="1"/>
  <c r="L927" i="2" s="1"/>
  <c r="J927" i="2" a="1"/>
  <c r="J927" i="2" s="1"/>
  <c r="I927" i="2" a="1"/>
  <c r="I927" i="2" s="1"/>
  <c r="K923" i="2" a="1"/>
  <c r="K923" i="2" s="1"/>
  <c r="L923" i="2" a="1"/>
  <c r="L923" i="2" s="1"/>
  <c r="J923" i="2" a="1"/>
  <c r="J923" i="2" s="1"/>
  <c r="I923" i="2" a="1"/>
  <c r="I923" i="2" s="1"/>
  <c r="K919" i="2" a="1"/>
  <c r="K919" i="2" s="1"/>
  <c r="L919" i="2" a="1"/>
  <c r="L919" i="2" s="1"/>
  <c r="J919" i="2" a="1"/>
  <c r="J919" i="2" s="1"/>
  <c r="I919" i="2" a="1"/>
  <c r="I919" i="2" s="1"/>
  <c r="K915" i="2" a="1"/>
  <c r="K915" i="2" s="1"/>
  <c r="L915" i="2" a="1"/>
  <c r="L915" i="2" s="1"/>
  <c r="J915" i="2" a="1"/>
  <c r="J915" i="2" s="1"/>
  <c r="I915" i="2" a="1"/>
  <c r="I915" i="2" s="1"/>
  <c r="K911" i="2" a="1"/>
  <c r="K911" i="2" s="1"/>
  <c r="L911" i="2" a="1"/>
  <c r="L911" i="2" s="1"/>
  <c r="J911" i="2" a="1"/>
  <c r="J911" i="2" s="1"/>
  <c r="I911" i="2" a="1"/>
  <c r="I911" i="2" s="1"/>
  <c r="K907" i="2" a="1"/>
  <c r="K907" i="2" s="1"/>
  <c r="L907" i="2" a="1"/>
  <c r="L907" i="2" s="1"/>
  <c r="J907" i="2" a="1"/>
  <c r="J907" i="2" s="1"/>
  <c r="I907" i="2" a="1"/>
  <c r="I907" i="2" s="1"/>
  <c r="K903" i="2" a="1"/>
  <c r="K903" i="2" s="1"/>
  <c r="L903" i="2" a="1"/>
  <c r="L903" i="2" s="1"/>
  <c r="J903" i="2" a="1"/>
  <c r="J903" i="2" s="1"/>
  <c r="I903" i="2" a="1"/>
  <c r="I903" i="2" s="1"/>
  <c r="K899" i="2" a="1"/>
  <c r="K899" i="2" s="1"/>
  <c r="L899" i="2" a="1"/>
  <c r="L899" i="2" s="1"/>
  <c r="J899" i="2" a="1"/>
  <c r="J899" i="2" s="1"/>
  <c r="I899" i="2" a="1"/>
  <c r="I899" i="2" s="1"/>
  <c r="L895" i="2" a="1"/>
  <c r="L895" i="2" s="1"/>
  <c r="K895" i="2" a="1"/>
  <c r="K895" i="2" s="1"/>
  <c r="J895" i="2" a="1"/>
  <c r="J895" i="2" s="1"/>
  <c r="I895" i="2" a="1"/>
  <c r="I895" i="2" s="1"/>
  <c r="K891" i="2" a="1"/>
  <c r="K891" i="2" s="1"/>
  <c r="L891" i="2" a="1"/>
  <c r="L891" i="2" s="1"/>
  <c r="J891" i="2" a="1"/>
  <c r="J891" i="2" s="1"/>
  <c r="I891" i="2" a="1"/>
  <c r="I891" i="2" s="1"/>
  <c r="L887" i="2" a="1"/>
  <c r="L887" i="2" s="1"/>
  <c r="K887" i="2" a="1"/>
  <c r="K887" i="2" s="1"/>
  <c r="J887" i="2" a="1"/>
  <c r="J887" i="2" s="1"/>
  <c r="I887" i="2" a="1"/>
  <c r="I887" i="2" s="1"/>
  <c r="K883" i="2" a="1"/>
  <c r="K883" i="2" s="1"/>
  <c r="L883" i="2" a="1"/>
  <c r="L883" i="2" s="1"/>
  <c r="J883" i="2" a="1"/>
  <c r="J883" i="2" s="1"/>
  <c r="I883" i="2" a="1"/>
  <c r="I883" i="2" s="1"/>
  <c r="L879" i="2" a="1"/>
  <c r="L879" i="2" s="1"/>
  <c r="K879" i="2" a="1"/>
  <c r="K879" i="2" s="1"/>
  <c r="J879" i="2" a="1"/>
  <c r="J879" i="2" s="1"/>
  <c r="I879" i="2" a="1"/>
  <c r="I879" i="2" s="1"/>
  <c r="K875" i="2" a="1"/>
  <c r="K875" i="2" s="1"/>
  <c r="L875" i="2" a="1"/>
  <c r="L875" i="2" s="1"/>
  <c r="J875" i="2" a="1"/>
  <c r="J875" i="2" s="1"/>
  <c r="I875" i="2" a="1"/>
  <c r="I875" i="2" s="1"/>
  <c r="L871" i="2" a="1"/>
  <c r="L871" i="2" s="1"/>
  <c r="K871" i="2" a="1"/>
  <c r="K871" i="2" s="1"/>
  <c r="J871" i="2" a="1"/>
  <c r="J871" i="2" s="1"/>
  <c r="I871" i="2" a="1"/>
  <c r="I871" i="2" s="1"/>
  <c r="K867" i="2" a="1"/>
  <c r="K867" i="2" s="1"/>
  <c r="L867" i="2" a="1"/>
  <c r="L867" i="2" s="1"/>
  <c r="J867" i="2" a="1"/>
  <c r="J867" i="2" s="1"/>
  <c r="I867" i="2" a="1"/>
  <c r="I867" i="2" s="1"/>
  <c r="L863" i="2" a="1"/>
  <c r="L863" i="2" s="1"/>
  <c r="K863" i="2" a="1"/>
  <c r="K863" i="2" s="1"/>
  <c r="I863" i="2" a="1"/>
  <c r="I863" i="2" s="1"/>
  <c r="J863" i="2" a="1"/>
  <c r="J863" i="2" s="1"/>
  <c r="K859" i="2" a="1"/>
  <c r="K859" i="2" s="1"/>
  <c r="L859" i="2" a="1"/>
  <c r="L859" i="2" s="1"/>
  <c r="I859" i="2" a="1"/>
  <c r="I859" i="2" s="1"/>
  <c r="J859" i="2" a="1"/>
  <c r="J859" i="2" s="1"/>
  <c r="L855" i="2" a="1"/>
  <c r="L855" i="2" s="1"/>
  <c r="K855" i="2" a="1"/>
  <c r="K855" i="2" s="1"/>
  <c r="I855" i="2" a="1"/>
  <c r="I855" i="2" s="1"/>
  <c r="J855" i="2" a="1"/>
  <c r="J855" i="2" s="1"/>
  <c r="K851" i="2" a="1"/>
  <c r="K851" i="2" s="1"/>
  <c r="L851" i="2" a="1"/>
  <c r="L851" i="2" s="1"/>
  <c r="I851" i="2" a="1"/>
  <c r="I851" i="2" s="1"/>
  <c r="J851" i="2" a="1"/>
  <c r="J851" i="2" s="1"/>
  <c r="L847" i="2" a="1"/>
  <c r="L847" i="2" s="1"/>
  <c r="K847" i="2" a="1"/>
  <c r="K847" i="2" s="1"/>
  <c r="I847" i="2" a="1"/>
  <c r="I847" i="2" s="1"/>
  <c r="J847" i="2" a="1"/>
  <c r="J847" i="2" s="1"/>
  <c r="K843" i="2" a="1"/>
  <c r="K843" i="2" s="1"/>
  <c r="L843" i="2" a="1"/>
  <c r="L843" i="2" s="1"/>
  <c r="I843" i="2" a="1"/>
  <c r="I843" i="2" s="1"/>
  <c r="J843" i="2" a="1"/>
  <c r="J843" i="2" s="1"/>
  <c r="L839" i="2" a="1"/>
  <c r="L839" i="2" s="1"/>
  <c r="K839" i="2" a="1"/>
  <c r="K839" i="2" s="1"/>
  <c r="I839" i="2" a="1"/>
  <c r="I839" i="2" s="1"/>
  <c r="J839" i="2" a="1"/>
  <c r="J839" i="2" s="1"/>
  <c r="K835" i="2" a="1"/>
  <c r="K835" i="2" s="1"/>
  <c r="L835" i="2" a="1"/>
  <c r="L835" i="2" s="1"/>
  <c r="I835" i="2" a="1"/>
  <c r="I835" i="2" s="1"/>
  <c r="J835" i="2" a="1"/>
  <c r="J835" i="2" s="1"/>
  <c r="L831" i="2" a="1"/>
  <c r="L831" i="2" s="1"/>
  <c r="K831" i="2" a="1"/>
  <c r="K831" i="2" s="1"/>
  <c r="I831" i="2" a="1"/>
  <c r="I831" i="2" s="1"/>
  <c r="J831" i="2" a="1"/>
  <c r="J831" i="2" s="1"/>
  <c r="K827" i="2" a="1"/>
  <c r="K827" i="2" s="1"/>
  <c r="L827" i="2" a="1"/>
  <c r="L827" i="2" s="1"/>
  <c r="I827" i="2" a="1"/>
  <c r="I827" i="2" s="1"/>
  <c r="J827" i="2" a="1"/>
  <c r="J827" i="2" s="1"/>
  <c r="L823" i="2" a="1"/>
  <c r="L823" i="2" s="1"/>
  <c r="K823" i="2" a="1"/>
  <c r="K823" i="2" s="1"/>
  <c r="I823" i="2" a="1"/>
  <c r="I823" i="2" s="1"/>
  <c r="J823" i="2" a="1"/>
  <c r="J823" i="2" s="1"/>
  <c r="K819" i="2" a="1"/>
  <c r="K819" i="2" s="1"/>
  <c r="L819" i="2" a="1"/>
  <c r="L819" i="2" s="1"/>
  <c r="I819" i="2" a="1"/>
  <c r="I819" i="2" s="1"/>
  <c r="J819" i="2" a="1"/>
  <c r="J819" i="2" s="1"/>
  <c r="L815" i="2" a="1"/>
  <c r="L815" i="2" s="1"/>
  <c r="K815" i="2" a="1"/>
  <c r="K815" i="2" s="1"/>
  <c r="I815" i="2" a="1"/>
  <c r="I815" i="2" s="1"/>
  <c r="J815" i="2" a="1"/>
  <c r="J815" i="2" s="1"/>
  <c r="K811" i="2" a="1"/>
  <c r="K811" i="2" s="1"/>
  <c r="L811" i="2" a="1"/>
  <c r="L811" i="2" s="1"/>
  <c r="I811" i="2" a="1"/>
  <c r="I811" i="2" s="1"/>
  <c r="J811" i="2" a="1"/>
  <c r="J811" i="2" s="1"/>
  <c r="L807" i="2" a="1"/>
  <c r="L807" i="2" s="1"/>
  <c r="K807" i="2" a="1"/>
  <c r="K807" i="2" s="1"/>
  <c r="I807" i="2" a="1"/>
  <c r="I807" i="2" s="1"/>
  <c r="J807" i="2" a="1"/>
  <c r="J807" i="2" s="1"/>
  <c r="K803" i="2" a="1"/>
  <c r="K803" i="2" s="1"/>
  <c r="L803" i="2" a="1"/>
  <c r="L803" i="2" s="1"/>
  <c r="I803" i="2" a="1"/>
  <c r="I803" i="2" s="1"/>
  <c r="J803" i="2" a="1"/>
  <c r="J803" i="2" s="1"/>
  <c r="L799" i="2" a="1"/>
  <c r="L799" i="2" s="1"/>
  <c r="K799" i="2" a="1"/>
  <c r="K799" i="2" s="1"/>
  <c r="I799" i="2" a="1"/>
  <c r="I799" i="2" s="1"/>
  <c r="J799" i="2" a="1"/>
  <c r="J799" i="2" s="1"/>
  <c r="K795" i="2" a="1"/>
  <c r="K795" i="2" s="1"/>
  <c r="L795" i="2" a="1"/>
  <c r="L795" i="2" s="1"/>
  <c r="I795" i="2" a="1"/>
  <c r="I795" i="2" s="1"/>
  <c r="J795" i="2" a="1"/>
  <c r="J795" i="2" s="1"/>
  <c r="L791" i="2" a="1"/>
  <c r="L791" i="2" s="1"/>
  <c r="K791" i="2" a="1"/>
  <c r="K791" i="2" s="1"/>
  <c r="I791" i="2" a="1"/>
  <c r="I791" i="2" s="1"/>
  <c r="J791" i="2" a="1"/>
  <c r="J791" i="2" s="1"/>
  <c r="K787" i="2" a="1"/>
  <c r="K787" i="2" s="1"/>
  <c r="L787" i="2" a="1"/>
  <c r="L787" i="2" s="1"/>
  <c r="I787" i="2" a="1"/>
  <c r="I787" i="2" s="1"/>
  <c r="J787" i="2" a="1"/>
  <c r="J787" i="2" s="1"/>
  <c r="L783" i="2" a="1"/>
  <c r="L783" i="2" s="1"/>
  <c r="K783" i="2" a="1"/>
  <c r="K783" i="2" s="1"/>
  <c r="I783" i="2" a="1"/>
  <c r="I783" i="2" s="1"/>
  <c r="J783" i="2" a="1"/>
  <c r="J783" i="2" s="1"/>
  <c r="K779" i="2" a="1"/>
  <c r="K779" i="2" s="1"/>
  <c r="L779" i="2" a="1"/>
  <c r="L779" i="2" s="1"/>
  <c r="I779" i="2" a="1"/>
  <c r="I779" i="2" s="1"/>
  <c r="J779" i="2" a="1"/>
  <c r="J779" i="2" s="1"/>
  <c r="L775" i="2" a="1"/>
  <c r="L775" i="2" s="1"/>
  <c r="K775" i="2" a="1"/>
  <c r="K775" i="2" s="1"/>
  <c r="I775" i="2" a="1"/>
  <c r="I775" i="2" s="1"/>
  <c r="J775" i="2" a="1"/>
  <c r="J775" i="2" s="1"/>
  <c r="K771" i="2" a="1"/>
  <c r="K771" i="2" s="1"/>
  <c r="L771" i="2" a="1"/>
  <c r="L771" i="2" s="1"/>
  <c r="I771" i="2" a="1"/>
  <c r="I771" i="2" s="1"/>
  <c r="J771" i="2" a="1"/>
  <c r="J771" i="2" s="1"/>
  <c r="L767" i="2" a="1"/>
  <c r="L767" i="2" s="1"/>
  <c r="K767" i="2" a="1"/>
  <c r="K767" i="2" s="1"/>
  <c r="I767" i="2" a="1"/>
  <c r="I767" i="2" s="1"/>
  <c r="J767" i="2" a="1"/>
  <c r="J767" i="2" s="1"/>
  <c r="K763" i="2" a="1"/>
  <c r="K763" i="2" s="1"/>
  <c r="L763" i="2" a="1"/>
  <c r="L763" i="2" s="1"/>
  <c r="I763" i="2" a="1"/>
  <c r="I763" i="2" s="1"/>
  <c r="J763" i="2" a="1"/>
  <c r="J763" i="2" s="1"/>
  <c r="L759" i="2" a="1"/>
  <c r="L759" i="2" s="1"/>
  <c r="K759" i="2" a="1"/>
  <c r="K759" i="2" s="1"/>
  <c r="J759" i="2" a="1"/>
  <c r="J759" i="2" s="1"/>
  <c r="I759" i="2" a="1"/>
  <c r="I759" i="2" s="1"/>
  <c r="L755" i="2" a="1"/>
  <c r="L755" i="2" s="1"/>
  <c r="K755" i="2" a="1"/>
  <c r="K755" i="2" s="1"/>
  <c r="J755" i="2" a="1"/>
  <c r="J755" i="2" s="1"/>
  <c r="I755" i="2" a="1"/>
  <c r="I755" i="2" s="1"/>
  <c r="L751" i="2" a="1"/>
  <c r="L751" i="2" s="1"/>
  <c r="K751" i="2" a="1"/>
  <c r="K751" i="2" s="1"/>
  <c r="J751" i="2" a="1"/>
  <c r="J751" i="2" s="1"/>
  <c r="I751" i="2" a="1"/>
  <c r="I751" i="2" s="1"/>
  <c r="L747" i="2" a="1"/>
  <c r="L747" i="2" s="1"/>
  <c r="K747" i="2" a="1"/>
  <c r="K747" i="2" s="1"/>
  <c r="J747" i="2" a="1"/>
  <c r="J747" i="2" s="1"/>
  <c r="I747" i="2" a="1"/>
  <c r="I747" i="2" s="1"/>
  <c r="L743" i="2" a="1"/>
  <c r="L743" i="2" s="1"/>
  <c r="K743" i="2" a="1"/>
  <c r="K743" i="2" s="1"/>
  <c r="J743" i="2" a="1"/>
  <c r="J743" i="2" s="1"/>
  <c r="I743" i="2" a="1"/>
  <c r="I743" i="2" s="1"/>
  <c r="L739" i="2" a="1"/>
  <c r="L739" i="2" s="1"/>
  <c r="K739" i="2" a="1"/>
  <c r="K739" i="2" s="1"/>
  <c r="J739" i="2" a="1"/>
  <c r="J739" i="2" s="1"/>
  <c r="I739" i="2" a="1"/>
  <c r="I739" i="2" s="1"/>
  <c r="L735" i="2" a="1"/>
  <c r="L735" i="2" s="1"/>
  <c r="K735" i="2" a="1"/>
  <c r="K735" i="2" s="1"/>
  <c r="J735" i="2" a="1"/>
  <c r="J735" i="2" s="1"/>
  <c r="I735" i="2" a="1"/>
  <c r="I735" i="2" s="1"/>
  <c r="L731" i="2" a="1"/>
  <c r="L731" i="2" s="1"/>
  <c r="K731" i="2" a="1"/>
  <c r="K731" i="2" s="1"/>
  <c r="J731" i="2" a="1"/>
  <c r="J731" i="2" s="1"/>
  <c r="I731" i="2" a="1"/>
  <c r="I731" i="2" s="1"/>
  <c r="K727" i="2" a="1"/>
  <c r="K727" i="2" s="1"/>
  <c r="L727" i="2" a="1"/>
  <c r="L727" i="2" s="1"/>
  <c r="J727" i="2" a="1"/>
  <c r="J727" i="2" s="1"/>
  <c r="I727" i="2" a="1"/>
  <c r="I727" i="2" s="1"/>
  <c r="K723" i="2" a="1"/>
  <c r="K723" i="2" s="1"/>
  <c r="L723" i="2" a="1"/>
  <c r="L723" i="2" s="1"/>
  <c r="J723" i="2" a="1"/>
  <c r="J723" i="2" s="1"/>
  <c r="I723" i="2" a="1"/>
  <c r="I723" i="2" s="1"/>
  <c r="L719" i="2" a="1"/>
  <c r="L719" i="2" s="1"/>
  <c r="K719" i="2" a="1"/>
  <c r="K719" i="2" s="1"/>
  <c r="J719" i="2" a="1"/>
  <c r="J719" i="2" s="1"/>
  <c r="I719" i="2" a="1"/>
  <c r="I719" i="2" s="1"/>
  <c r="L715" i="2" a="1"/>
  <c r="L715" i="2" s="1"/>
  <c r="K715" i="2" a="1"/>
  <c r="K715" i="2" s="1"/>
  <c r="J715" i="2" a="1"/>
  <c r="J715" i="2" s="1"/>
  <c r="I715" i="2" a="1"/>
  <c r="I715" i="2" s="1"/>
  <c r="L711" i="2" a="1"/>
  <c r="L711" i="2" s="1"/>
  <c r="K711" i="2" a="1"/>
  <c r="K711" i="2" s="1"/>
  <c r="J711" i="2" a="1"/>
  <c r="J711" i="2" s="1"/>
  <c r="I711" i="2" a="1"/>
  <c r="I711" i="2" s="1"/>
  <c r="L707" i="2" a="1"/>
  <c r="L707" i="2" s="1"/>
  <c r="K707" i="2" a="1"/>
  <c r="K707" i="2" s="1"/>
  <c r="J707" i="2" a="1"/>
  <c r="J707" i="2" s="1"/>
  <c r="I707" i="2" a="1"/>
  <c r="I707" i="2" s="1"/>
  <c r="L703" i="2" a="1"/>
  <c r="L703" i="2" s="1"/>
  <c r="K703" i="2" a="1"/>
  <c r="K703" i="2" s="1"/>
  <c r="J703" i="2" a="1"/>
  <c r="J703" i="2" s="1"/>
  <c r="I703" i="2" a="1"/>
  <c r="I703" i="2" s="1"/>
  <c r="L699" i="2" a="1"/>
  <c r="L699" i="2" s="1"/>
  <c r="K699" i="2" a="1"/>
  <c r="K699" i="2" s="1"/>
  <c r="J699" i="2" a="1"/>
  <c r="J699" i="2" s="1"/>
  <c r="I699" i="2" a="1"/>
  <c r="I699" i="2" s="1"/>
  <c r="L695" i="2" a="1"/>
  <c r="L695" i="2" s="1"/>
  <c r="K695" i="2" a="1"/>
  <c r="K695" i="2" s="1"/>
  <c r="J695" i="2" a="1"/>
  <c r="J695" i="2" s="1"/>
  <c r="I695" i="2" a="1"/>
  <c r="I695" i="2" s="1"/>
  <c r="L691" i="2" a="1"/>
  <c r="L691" i="2" s="1"/>
  <c r="K691" i="2" a="1"/>
  <c r="K691" i="2" s="1"/>
  <c r="I691" i="2" a="1"/>
  <c r="I691" i="2" s="1"/>
  <c r="J691" i="2" a="1"/>
  <c r="J691" i="2" s="1"/>
  <c r="L687" i="2" a="1"/>
  <c r="L687" i="2" s="1"/>
  <c r="K687" i="2" a="1"/>
  <c r="K687" i="2" s="1"/>
  <c r="I687" i="2" a="1"/>
  <c r="I687" i="2" s="1"/>
  <c r="J687" i="2" a="1"/>
  <c r="J687" i="2" s="1"/>
  <c r="L683" i="2" a="1"/>
  <c r="L683" i="2" s="1"/>
  <c r="K683" i="2" a="1"/>
  <c r="K683" i="2" s="1"/>
  <c r="I683" i="2" a="1"/>
  <c r="I683" i="2" s="1"/>
  <c r="J683" i="2" a="1"/>
  <c r="J683" i="2" s="1"/>
  <c r="L679" i="2" a="1"/>
  <c r="L679" i="2" s="1"/>
  <c r="K679" i="2" a="1"/>
  <c r="K679" i="2" s="1"/>
  <c r="I679" i="2" a="1"/>
  <c r="I679" i="2" s="1"/>
  <c r="J679" i="2" a="1"/>
  <c r="J679" i="2" s="1"/>
  <c r="L675" i="2" a="1"/>
  <c r="L675" i="2" s="1"/>
  <c r="K675" i="2" a="1"/>
  <c r="K675" i="2" s="1"/>
  <c r="I675" i="2" a="1"/>
  <c r="I675" i="2" s="1"/>
  <c r="J675" i="2" a="1"/>
  <c r="J675" i="2" s="1"/>
  <c r="L671" i="2" a="1"/>
  <c r="L671" i="2" s="1"/>
  <c r="K671" i="2" a="1"/>
  <c r="K671" i="2" s="1"/>
  <c r="I671" i="2" a="1"/>
  <c r="I671" i="2" s="1"/>
  <c r="J671" i="2" a="1"/>
  <c r="J671" i="2" s="1"/>
  <c r="L667" i="2" a="1"/>
  <c r="L667" i="2" s="1"/>
  <c r="K667" i="2" a="1"/>
  <c r="K667" i="2" s="1"/>
  <c r="I667" i="2" a="1"/>
  <c r="I667" i="2" s="1"/>
  <c r="J667" i="2" a="1"/>
  <c r="J667" i="2" s="1"/>
  <c r="L663" i="2" a="1"/>
  <c r="L663" i="2" s="1"/>
  <c r="K663" i="2" a="1"/>
  <c r="K663" i="2" s="1"/>
  <c r="I663" i="2" a="1"/>
  <c r="I663" i="2" s="1"/>
  <c r="J663" i="2" a="1"/>
  <c r="J663" i="2" s="1"/>
  <c r="L659" i="2" a="1"/>
  <c r="L659" i="2" s="1"/>
  <c r="K659" i="2" a="1"/>
  <c r="K659" i="2" s="1"/>
  <c r="I659" i="2" a="1"/>
  <c r="I659" i="2" s="1"/>
  <c r="J659" i="2" a="1"/>
  <c r="J659" i="2" s="1"/>
  <c r="L655" i="2" a="1"/>
  <c r="L655" i="2" s="1"/>
  <c r="K655" i="2" a="1"/>
  <c r="K655" i="2" s="1"/>
  <c r="I655" i="2" a="1"/>
  <c r="I655" i="2" s="1"/>
  <c r="J655" i="2" a="1"/>
  <c r="J655" i="2" s="1"/>
  <c r="L651" i="2" a="1"/>
  <c r="L651" i="2" s="1"/>
  <c r="K651" i="2" a="1"/>
  <c r="K651" i="2" s="1"/>
  <c r="I651" i="2" a="1"/>
  <c r="I651" i="2" s="1"/>
  <c r="J651" i="2" a="1"/>
  <c r="J651" i="2" s="1"/>
  <c r="L647" i="2" a="1"/>
  <c r="L647" i="2" s="1"/>
  <c r="K647" i="2" a="1"/>
  <c r="K647" i="2" s="1"/>
  <c r="I647" i="2" a="1"/>
  <c r="I647" i="2" s="1"/>
  <c r="J647" i="2" a="1"/>
  <c r="J647" i="2" s="1"/>
  <c r="L643" i="2" a="1"/>
  <c r="L643" i="2" s="1"/>
  <c r="K643" i="2" a="1"/>
  <c r="K643" i="2" s="1"/>
  <c r="I643" i="2" a="1"/>
  <c r="I643" i="2" s="1"/>
  <c r="J643" i="2" a="1"/>
  <c r="J643" i="2" s="1"/>
  <c r="L639" i="2" a="1"/>
  <c r="L639" i="2" s="1"/>
  <c r="K639" i="2" a="1"/>
  <c r="K639" i="2" s="1"/>
  <c r="I639" i="2" a="1"/>
  <c r="I639" i="2" s="1"/>
  <c r="J639" i="2" a="1"/>
  <c r="J639" i="2" s="1"/>
  <c r="L635" i="2" a="1"/>
  <c r="L635" i="2" s="1"/>
  <c r="K635" i="2" a="1"/>
  <c r="K635" i="2" s="1"/>
  <c r="I635" i="2" a="1"/>
  <c r="I635" i="2" s="1"/>
  <c r="J635" i="2" a="1"/>
  <c r="J635" i="2" s="1"/>
  <c r="L631" i="2" a="1"/>
  <c r="L631" i="2" s="1"/>
  <c r="K631" i="2" a="1"/>
  <c r="K631" i="2" s="1"/>
  <c r="I631" i="2" a="1"/>
  <c r="I631" i="2" s="1"/>
  <c r="J631" i="2" a="1"/>
  <c r="J631" i="2" s="1"/>
  <c r="L627" i="2" a="1"/>
  <c r="L627" i="2" s="1"/>
  <c r="K627" i="2" a="1"/>
  <c r="K627" i="2" s="1"/>
  <c r="I627" i="2" a="1"/>
  <c r="I627" i="2" s="1"/>
  <c r="J627" i="2" a="1"/>
  <c r="J627" i="2" s="1"/>
  <c r="L623" i="2" a="1"/>
  <c r="L623" i="2" s="1"/>
  <c r="K623" i="2" a="1"/>
  <c r="K623" i="2" s="1"/>
  <c r="J623" i="2" a="1"/>
  <c r="J623" i="2" s="1"/>
  <c r="I623" i="2" a="1"/>
  <c r="I623" i="2" s="1"/>
  <c r="L619" i="2" a="1"/>
  <c r="L619" i="2" s="1"/>
  <c r="K619" i="2" a="1"/>
  <c r="K619" i="2" s="1"/>
  <c r="J619" i="2" a="1"/>
  <c r="J619" i="2" s="1"/>
  <c r="I619" i="2" a="1"/>
  <c r="I619" i="2" s="1"/>
  <c r="L615" i="2" a="1"/>
  <c r="L615" i="2" s="1"/>
  <c r="K615" i="2" a="1"/>
  <c r="K615" i="2" s="1"/>
  <c r="J615" i="2" a="1"/>
  <c r="J615" i="2" s="1"/>
  <c r="I615" i="2" a="1"/>
  <c r="I615" i="2" s="1"/>
  <c r="L611" i="2" a="1"/>
  <c r="L611" i="2" s="1"/>
  <c r="K611" i="2" a="1"/>
  <c r="K611" i="2" s="1"/>
  <c r="J611" i="2" a="1"/>
  <c r="J611" i="2" s="1"/>
  <c r="I611" i="2" a="1"/>
  <c r="I611" i="2" s="1"/>
  <c r="L607" i="2" a="1"/>
  <c r="L607" i="2" s="1"/>
  <c r="K607" i="2" a="1"/>
  <c r="K607" i="2" s="1"/>
  <c r="J607" i="2" a="1"/>
  <c r="J607" i="2" s="1"/>
  <c r="I607" i="2" a="1"/>
  <c r="I607" i="2" s="1"/>
  <c r="L603" i="2" a="1"/>
  <c r="L603" i="2" s="1"/>
  <c r="K603" i="2" a="1"/>
  <c r="K603" i="2" s="1"/>
  <c r="J603" i="2" a="1"/>
  <c r="J603" i="2" s="1"/>
  <c r="I603" i="2" a="1"/>
  <c r="I603" i="2" s="1"/>
  <c r="L599" i="2" a="1"/>
  <c r="L599" i="2" s="1"/>
  <c r="K599" i="2" a="1"/>
  <c r="K599" i="2" s="1"/>
  <c r="J599" i="2" a="1"/>
  <c r="J599" i="2" s="1"/>
  <c r="I599" i="2" a="1"/>
  <c r="I599" i="2" s="1"/>
  <c r="L595" i="2" a="1"/>
  <c r="L595" i="2" s="1"/>
  <c r="K595" i="2" a="1"/>
  <c r="K595" i="2" s="1"/>
  <c r="J595" i="2" a="1"/>
  <c r="J595" i="2" s="1"/>
  <c r="I595" i="2" a="1"/>
  <c r="I595" i="2" s="1"/>
  <c r="L591" i="2" a="1"/>
  <c r="L591" i="2" s="1"/>
  <c r="K591" i="2" a="1"/>
  <c r="K591" i="2" s="1"/>
  <c r="J591" i="2" a="1"/>
  <c r="J591" i="2" s="1"/>
  <c r="I591" i="2" a="1"/>
  <c r="I591" i="2" s="1"/>
  <c r="L587" i="2" a="1"/>
  <c r="L587" i="2" s="1"/>
  <c r="K587" i="2" a="1"/>
  <c r="K587" i="2" s="1"/>
  <c r="J587" i="2" a="1"/>
  <c r="J587" i="2" s="1"/>
  <c r="I587" i="2" a="1"/>
  <c r="I587" i="2" s="1"/>
  <c r="L583" i="2" a="1"/>
  <c r="L583" i="2" s="1"/>
  <c r="K583" i="2" a="1"/>
  <c r="K583" i="2" s="1"/>
  <c r="J583" i="2" a="1"/>
  <c r="J583" i="2" s="1"/>
  <c r="I583" i="2" a="1"/>
  <c r="I583" i="2" s="1"/>
  <c r="L579" i="2" a="1"/>
  <c r="L579" i="2" s="1"/>
  <c r="K579" i="2" a="1"/>
  <c r="K579" i="2" s="1"/>
  <c r="J579" i="2" a="1"/>
  <c r="J579" i="2" s="1"/>
  <c r="I579" i="2" a="1"/>
  <c r="I579" i="2" s="1"/>
  <c r="L575" i="2" a="1"/>
  <c r="L575" i="2" s="1"/>
  <c r="K575" i="2" a="1"/>
  <c r="K575" i="2" s="1"/>
  <c r="J575" i="2" a="1"/>
  <c r="J575" i="2" s="1"/>
  <c r="I575" i="2" a="1"/>
  <c r="I575" i="2" s="1"/>
  <c r="L571" i="2" a="1"/>
  <c r="L571" i="2" s="1"/>
  <c r="K571" i="2" a="1"/>
  <c r="K571" i="2" s="1"/>
  <c r="J571" i="2" a="1"/>
  <c r="J571" i="2" s="1"/>
  <c r="I571" i="2" a="1"/>
  <c r="I571" i="2" s="1"/>
  <c r="L567" i="2" a="1"/>
  <c r="L567" i="2" s="1"/>
  <c r="K567" i="2" a="1"/>
  <c r="K567" i="2" s="1"/>
  <c r="J567" i="2" a="1"/>
  <c r="J567" i="2" s="1"/>
  <c r="I567" i="2" a="1"/>
  <c r="I567" i="2" s="1"/>
  <c r="L563" i="2" a="1"/>
  <c r="L563" i="2" s="1"/>
  <c r="K563" i="2" a="1"/>
  <c r="K563" i="2" s="1"/>
  <c r="J563" i="2" a="1"/>
  <c r="J563" i="2" s="1"/>
  <c r="I563" i="2" a="1"/>
  <c r="I563" i="2" s="1"/>
  <c r="L559" i="2" a="1"/>
  <c r="L559" i="2" s="1"/>
  <c r="K559" i="2" a="1"/>
  <c r="K559" i="2" s="1"/>
  <c r="J559" i="2" a="1"/>
  <c r="J559" i="2" s="1"/>
  <c r="I559" i="2" a="1"/>
  <c r="I559" i="2" s="1"/>
  <c r="L555" i="2" a="1"/>
  <c r="L555" i="2" s="1"/>
  <c r="K555" i="2" a="1"/>
  <c r="K555" i="2" s="1"/>
  <c r="J555" i="2" a="1"/>
  <c r="J555" i="2" s="1"/>
  <c r="I555" i="2" a="1"/>
  <c r="I555" i="2" s="1"/>
  <c r="L551" i="2" a="1"/>
  <c r="L551" i="2" s="1"/>
  <c r="K551" i="2" a="1"/>
  <c r="K551" i="2" s="1"/>
  <c r="J551" i="2" a="1"/>
  <c r="J551" i="2" s="1"/>
  <c r="I551" i="2" a="1"/>
  <c r="I551" i="2" s="1"/>
  <c r="L547" i="2" a="1"/>
  <c r="L547" i="2" s="1"/>
  <c r="K547" i="2" a="1"/>
  <c r="K547" i="2" s="1"/>
  <c r="J547" i="2" a="1"/>
  <c r="J547" i="2" s="1"/>
  <c r="I547" i="2" a="1"/>
  <c r="I547" i="2" s="1"/>
  <c r="L543" i="2" a="1"/>
  <c r="L543" i="2" s="1"/>
  <c r="K543" i="2" a="1"/>
  <c r="K543" i="2" s="1"/>
  <c r="J543" i="2" a="1"/>
  <c r="J543" i="2" s="1"/>
  <c r="I543" i="2" a="1"/>
  <c r="I543" i="2" s="1"/>
  <c r="L539" i="2" a="1"/>
  <c r="L539" i="2" s="1"/>
  <c r="K539" i="2" a="1"/>
  <c r="K539" i="2" s="1"/>
  <c r="J539" i="2" a="1"/>
  <c r="J539" i="2" s="1"/>
  <c r="I539" i="2" a="1"/>
  <c r="I539" i="2" s="1"/>
  <c r="L535" i="2" a="1"/>
  <c r="L535" i="2" s="1"/>
  <c r="K535" i="2" a="1"/>
  <c r="K535" i="2" s="1"/>
  <c r="J535" i="2" a="1"/>
  <c r="J535" i="2" s="1"/>
  <c r="I535" i="2" a="1"/>
  <c r="I535" i="2" s="1"/>
  <c r="L531" i="2" a="1"/>
  <c r="L531" i="2" s="1"/>
  <c r="K531" i="2" a="1"/>
  <c r="K531" i="2" s="1"/>
  <c r="J531" i="2" a="1"/>
  <c r="J531" i="2" s="1"/>
  <c r="I531" i="2" a="1"/>
  <c r="I531" i="2" s="1"/>
  <c r="L527" i="2" a="1"/>
  <c r="L527" i="2" s="1"/>
  <c r="K527" i="2" a="1"/>
  <c r="K527" i="2" s="1"/>
  <c r="J527" i="2" a="1"/>
  <c r="J527" i="2" s="1"/>
  <c r="I527" i="2" a="1"/>
  <c r="I527" i="2" s="1"/>
  <c r="L523" i="2" a="1"/>
  <c r="L523" i="2" s="1"/>
  <c r="K523" i="2" a="1"/>
  <c r="K523" i="2" s="1"/>
  <c r="J523" i="2" a="1"/>
  <c r="J523" i="2" s="1"/>
  <c r="I523" i="2" a="1"/>
  <c r="I523" i="2" s="1"/>
  <c r="L519" i="2" a="1"/>
  <c r="L519" i="2" s="1"/>
  <c r="K519" i="2" a="1"/>
  <c r="K519" i="2" s="1"/>
  <c r="J519" i="2" a="1"/>
  <c r="J519" i="2" s="1"/>
  <c r="I519" i="2" a="1"/>
  <c r="I519" i="2" s="1"/>
  <c r="L515" i="2" a="1"/>
  <c r="L515" i="2" s="1"/>
  <c r="K515" i="2" a="1"/>
  <c r="K515" i="2" s="1"/>
  <c r="J515" i="2" a="1"/>
  <c r="J515" i="2" s="1"/>
  <c r="I515" i="2" a="1"/>
  <c r="I515" i="2" s="1"/>
  <c r="L511" i="2" a="1"/>
  <c r="L511" i="2" s="1"/>
  <c r="K511" i="2" a="1"/>
  <c r="K511" i="2" s="1"/>
  <c r="J511" i="2" a="1"/>
  <c r="J511" i="2" s="1"/>
  <c r="I511" i="2" a="1"/>
  <c r="I511" i="2" s="1"/>
  <c r="L507" i="2" a="1"/>
  <c r="L507" i="2" s="1"/>
  <c r="K507" i="2" a="1"/>
  <c r="K507" i="2" s="1"/>
  <c r="J507" i="2" a="1"/>
  <c r="J507" i="2" s="1"/>
  <c r="I507" i="2" a="1"/>
  <c r="I507" i="2" s="1"/>
  <c r="L503" i="2" a="1"/>
  <c r="L503" i="2" s="1"/>
  <c r="K503" i="2" a="1"/>
  <c r="K503" i="2" s="1"/>
  <c r="J503" i="2" a="1"/>
  <c r="J503" i="2" s="1"/>
  <c r="I503" i="2" a="1"/>
  <c r="I503" i="2" s="1"/>
  <c r="L499" i="2" a="1"/>
  <c r="L499" i="2" s="1"/>
  <c r="K499" i="2" a="1"/>
  <c r="K499" i="2" s="1"/>
  <c r="J499" i="2" a="1"/>
  <c r="J499" i="2" s="1"/>
  <c r="I499" i="2" a="1"/>
  <c r="I499" i="2" s="1"/>
  <c r="L495" i="2" a="1"/>
  <c r="L495" i="2" s="1"/>
  <c r="K495" i="2" a="1"/>
  <c r="K495" i="2" s="1"/>
  <c r="J495" i="2" a="1"/>
  <c r="J495" i="2" s="1"/>
  <c r="I495" i="2" a="1"/>
  <c r="I495" i="2" s="1"/>
  <c r="L491" i="2" a="1"/>
  <c r="L491" i="2" s="1"/>
  <c r="K491" i="2" a="1"/>
  <c r="K491" i="2" s="1"/>
  <c r="J491" i="2" a="1"/>
  <c r="J491" i="2" s="1"/>
  <c r="I491" i="2" a="1"/>
  <c r="I491" i="2" s="1"/>
  <c r="L487" i="2" a="1"/>
  <c r="L487" i="2" s="1"/>
  <c r="K487" i="2" a="1"/>
  <c r="K487" i="2" s="1"/>
  <c r="J487" i="2" a="1"/>
  <c r="J487" i="2" s="1"/>
  <c r="I487" i="2" a="1"/>
  <c r="I487" i="2" s="1"/>
  <c r="L483" i="2" a="1"/>
  <c r="L483" i="2" s="1"/>
  <c r="K483" i="2" a="1"/>
  <c r="K483" i="2" s="1"/>
  <c r="J483" i="2" a="1"/>
  <c r="J483" i="2" s="1"/>
  <c r="I483" i="2" a="1"/>
  <c r="I483" i="2" s="1"/>
  <c r="L479" i="2" a="1"/>
  <c r="L479" i="2" s="1"/>
  <c r="K479" i="2" a="1"/>
  <c r="K479" i="2" s="1"/>
  <c r="J479" i="2" a="1"/>
  <c r="J479" i="2" s="1"/>
  <c r="I479" i="2" a="1"/>
  <c r="I479" i="2" s="1"/>
  <c r="L475" i="2" a="1"/>
  <c r="L475" i="2" s="1"/>
  <c r="K475" i="2" a="1"/>
  <c r="K475" i="2" s="1"/>
  <c r="J475" i="2" a="1"/>
  <c r="J475" i="2" s="1"/>
  <c r="I475" i="2" a="1"/>
  <c r="I475" i="2" s="1"/>
  <c r="L471" i="2" a="1"/>
  <c r="L471" i="2" s="1"/>
  <c r="K471" i="2" a="1"/>
  <c r="K471" i="2" s="1"/>
  <c r="J471" i="2" a="1"/>
  <c r="J471" i="2" s="1"/>
  <c r="I471" i="2" a="1"/>
  <c r="I471" i="2" s="1"/>
  <c r="L467" i="2" a="1"/>
  <c r="L467" i="2" s="1"/>
  <c r="K467" i="2" a="1"/>
  <c r="K467" i="2" s="1"/>
  <c r="J467" i="2" a="1"/>
  <c r="J467" i="2" s="1"/>
  <c r="I467" i="2" a="1"/>
  <c r="I467" i="2" s="1"/>
  <c r="L463" i="2" a="1"/>
  <c r="L463" i="2" s="1"/>
  <c r="K463" i="2" a="1"/>
  <c r="K463" i="2" s="1"/>
  <c r="J463" i="2" a="1"/>
  <c r="J463" i="2" s="1"/>
  <c r="I463" i="2" a="1"/>
  <c r="I463" i="2" s="1"/>
  <c r="L459" i="2" a="1"/>
  <c r="L459" i="2" s="1"/>
  <c r="K459" i="2" a="1"/>
  <c r="K459" i="2" s="1"/>
  <c r="J459" i="2" a="1"/>
  <c r="J459" i="2" s="1"/>
  <c r="I459" i="2" a="1"/>
  <c r="I459" i="2" s="1"/>
  <c r="L455" i="2" a="1"/>
  <c r="L455" i="2" s="1"/>
  <c r="K455" i="2" a="1"/>
  <c r="K455" i="2" s="1"/>
  <c r="I455" i="2" a="1"/>
  <c r="I455" i="2" s="1"/>
  <c r="J455" i="2" a="1"/>
  <c r="J455" i="2" s="1"/>
  <c r="L451" i="2" a="1"/>
  <c r="L451" i="2" s="1"/>
  <c r="K451" i="2" a="1"/>
  <c r="K451" i="2" s="1"/>
  <c r="J451" i="2" a="1"/>
  <c r="J451" i="2" s="1"/>
  <c r="I451" i="2" a="1"/>
  <c r="I451" i="2" s="1"/>
  <c r="L447" i="2" a="1"/>
  <c r="L447" i="2" s="1"/>
  <c r="K447" i="2" a="1"/>
  <c r="K447" i="2" s="1"/>
  <c r="I447" i="2" a="1"/>
  <c r="I447" i="2" s="1"/>
  <c r="J447" i="2" a="1"/>
  <c r="J447" i="2" s="1"/>
  <c r="L443" i="2" a="1"/>
  <c r="L443" i="2" s="1"/>
  <c r="K443" i="2" a="1"/>
  <c r="K443" i="2" s="1"/>
  <c r="J443" i="2" a="1"/>
  <c r="J443" i="2" s="1"/>
  <c r="I443" i="2" a="1"/>
  <c r="I443" i="2" s="1"/>
  <c r="L439" i="2" a="1"/>
  <c r="L439" i="2" s="1"/>
  <c r="K439" i="2" a="1"/>
  <c r="K439" i="2" s="1"/>
  <c r="I439" i="2" a="1"/>
  <c r="I439" i="2" s="1"/>
  <c r="J439" i="2" a="1"/>
  <c r="J439" i="2" s="1"/>
  <c r="L435" i="2" a="1"/>
  <c r="L435" i="2" s="1"/>
  <c r="K435" i="2" a="1"/>
  <c r="K435" i="2" s="1"/>
  <c r="J435" i="2" a="1"/>
  <c r="J435" i="2" s="1"/>
  <c r="I435" i="2" a="1"/>
  <c r="I435" i="2" s="1"/>
  <c r="L431" i="2" a="1"/>
  <c r="L431" i="2" s="1"/>
  <c r="K431" i="2" a="1"/>
  <c r="K431" i="2" s="1"/>
  <c r="I431" i="2" a="1"/>
  <c r="I431" i="2" s="1"/>
  <c r="J431" i="2" a="1"/>
  <c r="J431" i="2" s="1"/>
  <c r="L427" i="2" a="1"/>
  <c r="L427" i="2" s="1"/>
  <c r="K427" i="2" a="1"/>
  <c r="K427" i="2" s="1"/>
  <c r="I427" i="2" a="1"/>
  <c r="I427" i="2" s="1"/>
  <c r="J427" i="2" a="1"/>
  <c r="J427" i="2" s="1"/>
  <c r="L423" i="2" a="1"/>
  <c r="L423" i="2" s="1"/>
  <c r="K423" i="2" a="1"/>
  <c r="K423" i="2" s="1"/>
  <c r="I423" i="2" a="1"/>
  <c r="I423" i="2" s="1"/>
  <c r="J423" i="2" a="1"/>
  <c r="J423" i="2" s="1"/>
  <c r="L419" i="2" a="1"/>
  <c r="L419" i="2" s="1"/>
  <c r="K419" i="2" a="1"/>
  <c r="K419" i="2" s="1"/>
  <c r="I419" i="2" a="1"/>
  <c r="I419" i="2" s="1"/>
  <c r="J419" i="2" a="1"/>
  <c r="J419" i="2" s="1"/>
  <c r="L415" i="2" a="1"/>
  <c r="L415" i="2" s="1"/>
  <c r="K415" i="2" a="1"/>
  <c r="K415" i="2" s="1"/>
  <c r="I415" i="2" a="1"/>
  <c r="I415" i="2" s="1"/>
  <c r="J415" i="2" a="1"/>
  <c r="J415" i="2" s="1"/>
  <c r="L411" i="2" a="1"/>
  <c r="L411" i="2" s="1"/>
  <c r="K411" i="2" a="1"/>
  <c r="K411" i="2" s="1"/>
  <c r="I411" i="2" a="1"/>
  <c r="I411" i="2" s="1"/>
  <c r="J411" i="2" a="1"/>
  <c r="J411" i="2" s="1"/>
  <c r="L407" i="2" a="1"/>
  <c r="L407" i="2" s="1"/>
  <c r="K407" i="2" a="1"/>
  <c r="K407" i="2" s="1"/>
  <c r="I407" i="2" a="1"/>
  <c r="I407" i="2" s="1"/>
  <c r="J407" i="2" a="1"/>
  <c r="J407" i="2" s="1"/>
  <c r="L403" i="2" a="1"/>
  <c r="L403" i="2" s="1"/>
  <c r="K403" i="2" a="1"/>
  <c r="K403" i="2" s="1"/>
  <c r="I403" i="2" a="1"/>
  <c r="I403" i="2" s="1"/>
  <c r="J403" i="2" a="1"/>
  <c r="J403" i="2" s="1"/>
  <c r="L399" i="2" a="1"/>
  <c r="L399" i="2" s="1"/>
  <c r="K399" i="2" a="1"/>
  <c r="K399" i="2" s="1"/>
  <c r="J399" i="2" a="1"/>
  <c r="J399" i="2" s="1"/>
  <c r="I399" i="2" a="1"/>
  <c r="I399" i="2" s="1"/>
  <c r="L395" i="2" a="1"/>
  <c r="L395" i="2" s="1"/>
  <c r="K395" i="2" a="1"/>
  <c r="K395" i="2" s="1"/>
  <c r="I395" i="2" a="1"/>
  <c r="I395" i="2" s="1"/>
  <c r="J395" i="2" a="1"/>
  <c r="J395" i="2" s="1"/>
  <c r="L391" i="2" a="1"/>
  <c r="L391" i="2" s="1"/>
  <c r="K391" i="2" a="1"/>
  <c r="K391" i="2" s="1"/>
  <c r="I391" i="2" a="1"/>
  <c r="I391" i="2" s="1"/>
  <c r="J391" i="2" a="1"/>
  <c r="J391" i="2" s="1"/>
  <c r="L387" i="2" a="1"/>
  <c r="L387" i="2" s="1"/>
  <c r="K387" i="2" a="1"/>
  <c r="K387" i="2" s="1"/>
  <c r="J387" i="2" a="1"/>
  <c r="J387" i="2" s="1"/>
  <c r="I387" i="2" a="1"/>
  <c r="I387" i="2" s="1"/>
  <c r="L383" i="2" a="1"/>
  <c r="L383" i="2" s="1"/>
  <c r="K383" i="2" a="1"/>
  <c r="K383" i="2" s="1"/>
  <c r="J383" i="2" a="1"/>
  <c r="J383" i="2" s="1"/>
  <c r="I383" i="2" a="1"/>
  <c r="I383" i="2" s="1"/>
  <c r="L379" i="2" a="1"/>
  <c r="L379" i="2" s="1"/>
  <c r="K379" i="2" a="1"/>
  <c r="K379" i="2" s="1"/>
  <c r="J379" i="2" a="1"/>
  <c r="J379" i="2" s="1"/>
  <c r="I379" i="2" a="1"/>
  <c r="I379" i="2" s="1"/>
  <c r="L375" i="2" a="1"/>
  <c r="L375" i="2" s="1"/>
  <c r="K375" i="2" a="1"/>
  <c r="K375" i="2" s="1"/>
  <c r="J375" i="2" a="1"/>
  <c r="J375" i="2" s="1"/>
  <c r="I375" i="2" a="1"/>
  <c r="I375" i="2" s="1"/>
  <c r="L371" i="2" a="1"/>
  <c r="L371" i="2" s="1"/>
  <c r="K371" i="2" a="1"/>
  <c r="K371" i="2" s="1"/>
  <c r="J371" i="2" a="1"/>
  <c r="J371" i="2" s="1"/>
  <c r="I371" i="2" a="1"/>
  <c r="I371" i="2" s="1"/>
  <c r="L367" i="2" a="1"/>
  <c r="L367" i="2" s="1"/>
  <c r="K367" i="2" a="1"/>
  <c r="K367" i="2" s="1"/>
  <c r="J367" i="2" a="1"/>
  <c r="J367" i="2" s="1"/>
  <c r="I367" i="2" a="1"/>
  <c r="I367" i="2" s="1"/>
  <c r="L363" i="2" a="1"/>
  <c r="L363" i="2" s="1"/>
  <c r="K363" i="2" a="1"/>
  <c r="K363" i="2" s="1"/>
  <c r="J363" i="2" a="1"/>
  <c r="J363" i="2" s="1"/>
  <c r="I363" i="2" a="1"/>
  <c r="I363" i="2" s="1"/>
  <c r="K359" i="2" a="1"/>
  <c r="K359" i="2" s="1"/>
  <c r="L359" i="2" a="1"/>
  <c r="L359" i="2" s="1"/>
  <c r="J359" i="2" a="1"/>
  <c r="J359" i="2" s="1"/>
  <c r="I359" i="2" a="1"/>
  <c r="I359" i="2" s="1"/>
  <c r="L355" i="2" a="1"/>
  <c r="L355" i="2" s="1"/>
  <c r="K355" i="2" a="1"/>
  <c r="K355" i="2" s="1"/>
  <c r="J355" i="2" a="1"/>
  <c r="J355" i="2" s="1"/>
  <c r="I355" i="2" a="1"/>
  <c r="I355" i="2" s="1"/>
  <c r="L351" i="2" a="1"/>
  <c r="L351" i="2" s="1"/>
  <c r="K351" i="2" a="1"/>
  <c r="K351" i="2" s="1"/>
  <c r="J351" i="2" a="1"/>
  <c r="J351" i="2" s="1"/>
  <c r="I351" i="2" a="1"/>
  <c r="I351" i="2" s="1"/>
  <c r="L347" i="2" a="1"/>
  <c r="L347" i="2" s="1"/>
  <c r="K347" i="2" a="1"/>
  <c r="K347" i="2" s="1"/>
  <c r="J347" i="2" a="1"/>
  <c r="J347" i="2" s="1"/>
  <c r="I347" i="2" a="1"/>
  <c r="I347" i="2" s="1"/>
  <c r="L343" i="2" a="1"/>
  <c r="L343" i="2" s="1"/>
  <c r="K343" i="2" a="1"/>
  <c r="K343" i="2" s="1"/>
  <c r="J343" i="2" a="1"/>
  <c r="J343" i="2" s="1"/>
  <c r="I343" i="2" a="1"/>
  <c r="I343" i="2" s="1"/>
  <c r="L339" i="2" a="1"/>
  <c r="L339" i="2" s="1"/>
  <c r="K339" i="2" a="1"/>
  <c r="K339" i="2" s="1"/>
  <c r="J339" i="2" a="1"/>
  <c r="J339" i="2" s="1"/>
  <c r="I339" i="2" a="1"/>
  <c r="I339" i="2" s="1"/>
  <c r="K335" i="2" a="1"/>
  <c r="K335" i="2" s="1"/>
  <c r="L335" i="2" a="1"/>
  <c r="L335" i="2" s="1"/>
  <c r="J335" i="2" a="1"/>
  <c r="J335" i="2" s="1"/>
  <c r="I335" i="2" a="1"/>
  <c r="I335" i="2" s="1"/>
  <c r="L331" i="2" a="1"/>
  <c r="L331" i="2" s="1"/>
  <c r="K331" i="2" a="1"/>
  <c r="K331" i="2" s="1"/>
  <c r="J331" i="2" a="1"/>
  <c r="J331" i="2" s="1"/>
  <c r="I331" i="2" a="1"/>
  <c r="I331" i="2" s="1"/>
  <c r="L327" i="2" a="1"/>
  <c r="L327" i="2" s="1"/>
  <c r="K327" i="2" a="1"/>
  <c r="K327" i="2" s="1"/>
  <c r="J327" i="2" a="1"/>
  <c r="J327" i="2" s="1"/>
  <c r="I327" i="2" a="1"/>
  <c r="I327" i="2" s="1"/>
  <c r="L323" i="2" a="1"/>
  <c r="L323" i="2" s="1"/>
  <c r="K323" i="2" a="1"/>
  <c r="K323" i="2" s="1"/>
  <c r="J323" i="2" a="1"/>
  <c r="J323" i="2" s="1"/>
  <c r="I323" i="2" a="1"/>
  <c r="I323" i="2" s="1"/>
  <c r="K319" i="2" a="1"/>
  <c r="K319" i="2" s="1"/>
  <c r="L319" i="2" a="1"/>
  <c r="L319" i="2" s="1"/>
  <c r="J319" i="2" a="1"/>
  <c r="J319" i="2" s="1"/>
  <c r="I319" i="2" a="1"/>
  <c r="I319" i="2" s="1"/>
  <c r="L315" i="2" a="1"/>
  <c r="L315" i="2" s="1"/>
  <c r="K315" i="2" a="1"/>
  <c r="K315" i="2" s="1"/>
  <c r="J315" i="2" a="1"/>
  <c r="J315" i="2" s="1"/>
  <c r="I315" i="2" a="1"/>
  <c r="I315" i="2" s="1"/>
  <c r="L311" i="2" a="1"/>
  <c r="L311" i="2" s="1"/>
  <c r="K311" i="2" a="1"/>
  <c r="K311" i="2" s="1"/>
  <c r="J311" i="2" a="1"/>
  <c r="J311" i="2" s="1"/>
  <c r="I311" i="2" a="1"/>
  <c r="I311" i="2" s="1"/>
  <c r="L307" i="2" a="1"/>
  <c r="L307" i="2" s="1"/>
  <c r="K307" i="2" a="1"/>
  <c r="K307" i="2" s="1"/>
  <c r="I307" i="2" a="1"/>
  <c r="I307" i="2" s="1"/>
  <c r="K303" i="2" a="1"/>
  <c r="K303" i="2" s="1"/>
  <c r="L303" i="2" a="1"/>
  <c r="L303" i="2" s="1"/>
  <c r="I303" i="2" a="1"/>
  <c r="I303" i="2" s="1"/>
  <c r="L299" i="2" a="1"/>
  <c r="L299" i="2" s="1"/>
  <c r="K299" i="2" a="1"/>
  <c r="K299" i="2" s="1"/>
  <c r="L295" i="2" a="1"/>
  <c r="L295" i="2" s="1"/>
  <c r="K295" i="2" a="1"/>
  <c r="K295" i="2" s="1"/>
  <c r="L291" i="2" a="1"/>
  <c r="L291" i="2" s="1"/>
  <c r="K291" i="2" a="1"/>
  <c r="K291" i="2" s="1"/>
  <c r="K287" i="2" a="1"/>
  <c r="K287" i="2" s="1"/>
  <c r="L287" i="2" a="1"/>
  <c r="L287" i="2" s="1"/>
  <c r="L283" i="2" a="1"/>
  <c r="L283" i="2" s="1"/>
  <c r="K283" i="2" a="1"/>
  <c r="K283" i="2" s="1"/>
  <c r="L279" i="2" a="1"/>
  <c r="L279" i="2" s="1"/>
  <c r="K279" i="2" a="1"/>
  <c r="K279" i="2" s="1"/>
  <c r="L275" i="2" a="1"/>
  <c r="L275" i="2" s="1"/>
  <c r="K275" i="2" a="1"/>
  <c r="K275" i="2" s="1"/>
  <c r="L271" i="2" a="1"/>
  <c r="L271" i="2" s="1"/>
  <c r="K271" i="2" a="1"/>
  <c r="K271" i="2" s="1"/>
  <c r="L267" i="2" a="1"/>
  <c r="L267" i="2" s="1"/>
  <c r="K267" i="2" a="1"/>
  <c r="K267" i="2" s="1"/>
  <c r="L263" i="2" a="1"/>
  <c r="L263" i="2" s="1"/>
  <c r="K263" i="2" a="1"/>
  <c r="K263" i="2" s="1"/>
  <c r="L259" i="2" a="1"/>
  <c r="L259" i="2" s="1"/>
  <c r="K259" i="2" a="1"/>
  <c r="K259" i="2" s="1"/>
  <c r="L255" i="2" a="1"/>
  <c r="L255" i="2" s="1"/>
  <c r="K255" i="2" a="1"/>
  <c r="K255" i="2" s="1"/>
  <c r="L251" i="2" a="1"/>
  <c r="L251" i="2" s="1"/>
  <c r="K251" i="2" a="1"/>
  <c r="K251" i="2" s="1"/>
  <c r="L247" i="2" a="1"/>
  <c r="L247" i="2" s="1"/>
  <c r="K247" i="2" a="1"/>
  <c r="K247" i="2" s="1"/>
  <c r="L243" i="2" a="1"/>
  <c r="L243" i="2" s="1"/>
  <c r="K243" i="2" a="1"/>
  <c r="K243" i="2" s="1"/>
  <c r="L239" i="2" a="1"/>
  <c r="L239" i="2" s="1"/>
  <c r="K239" i="2" a="1"/>
  <c r="K239" i="2" s="1"/>
  <c r="L235" i="2" a="1"/>
  <c r="L235" i="2" s="1"/>
  <c r="K235" i="2" a="1"/>
  <c r="K235" i="2" s="1"/>
  <c r="L231" i="2" a="1"/>
  <c r="L231" i="2" s="1"/>
  <c r="K231" i="2" a="1"/>
  <c r="K231" i="2" s="1"/>
  <c r="L227" i="2" a="1"/>
  <c r="L227" i="2" s="1"/>
  <c r="K227" i="2" a="1"/>
  <c r="K227" i="2" s="1"/>
  <c r="L223" i="2" a="1"/>
  <c r="L223" i="2" s="1"/>
  <c r="K223" i="2" a="1"/>
  <c r="K223" i="2" s="1"/>
  <c r="L219" i="2" a="1"/>
  <c r="L219" i="2" s="1"/>
  <c r="K219" i="2" a="1"/>
  <c r="K219" i="2" s="1"/>
  <c r="L215" i="2" a="1"/>
  <c r="L215" i="2" s="1"/>
  <c r="K215" i="2" a="1"/>
  <c r="K215" i="2" s="1"/>
  <c r="L211" i="2" a="1"/>
  <c r="L211" i="2" s="1"/>
  <c r="K211" i="2" a="1"/>
  <c r="K211" i="2" s="1"/>
  <c r="L207" i="2" a="1"/>
  <c r="L207" i="2" s="1"/>
  <c r="K207" i="2" a="1"/>
  <c r="K207" i="2" s="1"/>
  <c r="L203" i="2" a="1"/>
  <c r="L203" i="2" s="1"/>
  <c r="K203" i="2" a="1"/>
  <c r="K203" i="2" s="1"/>
  <c r="L199" i="2" a="1"/>
  <c r="L199" i="2" s="1"/>
  <c r="K199" i="2" a="1"/>
  <c r="K199" i="2" s="1"/>
  <c r="L195" i="2" a="1"/>
  <c r="L195" i="2" s="1"/>
  <c r="K195" i="2" a="1"/>
  <c r="K195" i="2" s="1"/>
  <c r="L191" i="2" a="1"/>
  <c r="L191" i="2" s="1"/>
  <c r="K191" i="2" a="1"/>
  <c r="K191" i="2" s="1"/>
  <c r="L187" i="2" a="1"/>
  <c r="L187" i="2" s="1"/>
  <c r="K187" i="2" a="1"/>
  <c r="K187" i="2" s="1"/>
  <c r="L183" i="2" a="1"/>
  <c r="L183" i="2" s="1"/>
  <c r="K183" i="2" a="1"/>
  <c r="K183" i="2" s="1"/>
  <c r="L179" i="2" a="1"/>
  <c r="L179" i="2" s="1"/>
  <c r="K179" i="2" a="1"/>
  <c r="K179" i="2" s="1"/>
  <c r="L175" i="2" a="1"/>
  <c r="L175" i="2" s="1"/>
  <c r="K175" i="2" a="1"/>
  <c r="K175" i="2" s="1"/>
  <c r="L171" i="2" a="1"/>
  <c r="L171" i="2" s="1"/>
  <c r="K171" i="2" a="1"/>
  <c r="K171" i="2" s="1"/>
  <c r="L167" i="2" a="1"/>
  <c r="L167" i="2" s="1"/>
  <c r="K167" i="2" a="1"/>
  <c r="K167" i="2" s="1"/>
  <c r="L163" i="2" a="1"/>
  <c r="L163" i="2" s="1"/>
  <c r="K163" i="2" a="1"/>
  <c r="K163" i="2" s="1"/>
  <c r="I163" i="2" a="1"/>
  <c r="I163" i="2" s="1"/>
  <c r="L159" i="2" a="1"/>
  <c r="L159" i="2" s="1"/>
  <c r="K159" i="2" a="1"/>
  <c r="K159" i="2" s="1"/>
  <c r="I159" i="2" a="1"/>
  <c r="I159" i="2" s="1"/>
  <c r="L155" i="2" a="1"/>
  <c r="L155" i="2" s="1"/>
  <c r="K155" i="2" a="1"/>
  <c r="K155" i="2" s="1"/>
  <c r="I155" i="2" a="1"/>
  <c r="I155" i="2" s="1"/>
  <c r="L151" i="2" a="1"/>
  <c r="L151" i="2" s="1"/>
  <c r="K151" i="2" a="1"/>
  <c r="K151" i="2" s="1"/>
  <c r="I151" i="2" a="1"/>
  <c r="I151" i="2" s="1"/>
  <c r="L147" i="2" a="1"/>
  <c r="L147" i="2" s="1"/>
  <c r="K147" i="2" a="1"/>
  <c r="K147" i="2" s="1"/>
  <c r="L143" i="2" a="1"/>
  <c r="L143" i="2" s="1"/>
  <c r="K143" i="2" a="1"/>
  <c r="K143" i="2" s="1"/>
  <c r="L139" i="2" a="1"/>
  <c r="L139" i="2" s="1"/>
  <c r="K139" i="2" a="1"/>
  <c r="K139" i="2" s="1"/>
  <c r="L135" i="2" a="1"/>
  <c r="L135" i="2" s="1"/>
  <c r="K135" i="2" a="1"/>
  <c r="K135" i="2" s="1"/>
  <c r="L131" i="2" a="1"/>
  <c r="L131" i="2" s="1"/>
  <c r="K131" i="2" a="1"/>
  <c r="K131" i="2" s="1"/>
  <c r="L127" i="2" a="1"/>
  <c r="L127" i="2" s="1"/>
  <c r="K127" i="2" a="1"/>
  <c r="K127" i="2" s="1"/>
  <c r="L123" i="2" a="1"/>
  <c r="L123" i="2" s="1"/>
  <c r="K123" i="2" a="1"/>
  <c r="K123" i="2" s="1"/>
  <c r="L119" i="2" a="1"/>
  <c r="L119" i="2" s="1"/>
  <c r="K119" i="2" a="1"/>
  <c r="K119" i="2" s="1"/>
  <c r="L115" i="2" a="1"/>
  <c r="L115" i="2" s="1"/>
  <c r="K115" i="2" a="1"/>
  <c r="K115" i="2" s="1"/>
  <c r="L111" i="2" a="1"/>
  <c r="L111" i="2" s="1"/>
  <c r="K111" i="2" a="1"/>
  <c r="K111" i="2" s="1"/>
  <c r="L107" i="2" a="1"/>
  <c r="L107" i="2" s="1"/>
  <c r="K107" i="2" a="1"/>
  <c r="K107" i="2" s="1"/>
  <c r="L103" i="2" a="1"/>
  <c r="L103" i="2" s="1"/>
  <c r="K103" i="2" a="1"/>
  <c r="K103" i="2" s="1"/>
  <c r="L99" i="2" a="1"/>
  <c r="L99" i="2" s="1"/>
  <c r="K99" i="2" a="1"/>
  <c r="K99" i="2" s="1"/>
  <c r="L95" i="2" a="1"/>
  <c r="L95" i="2" s="1"/>
  <c r="K95" i="2" a="1"/>
  <c r="K95" i="2" s="1"/>
  <c r="L91" i="2" a="1"/>
  <c r="L91" i="2" s="1"/>
  <c r="K91" i="2" a="1"/>
  <c r="K91" i="2" s="1"/>
  <c r="L87" i="2" a="1"/>
  <c r="L87" i="2" s="1"/>
  <c r="K87" i="2" a="1"/>
  <c r="K87" i="2" s="1"/>
  <c r="L83" i="2" a="1"/>
  <c r="L83" i="2" s="1"/>
  <c r="K83" i="2" a="1"/>
  <c r="K83" i="2" s="1"/>
  <c r="L79" i="2" a="1"/>
  <c r="L79" i="2" s="1"/>
  <c r="K79" i="2" a="1"/>
  <c r="K79" i="2" s="1"/>
  <c r="L75" i="2" a="1"/>
  <c r="L75" i="2" s="1"/>
  <c r="K75" i="2" a="1"/>
  <c r="K75" i="2" s="1"/>
  <c r="L71" i="2" a="1"/>
  <c r="L71" i="2" s="1"/>
  <c r="K71" i="2" a="1"/>
  <c r="K71" i="2" s="1"/>
  <c r="L67" i="2" a="1"/>
  <c r="L67" i="2" s="1"/>
  <c r="K67" i="2" a="1"/>
  <c r="K67" i="2" s="1"/>
  <c r="L63" i="2" a="1"/>
  <c r="L63" i="2" s="1"/>
  <c r="K63" i="2" a="1"/>
  <c r="K63" i="2" s="1"/>
  <c r="L59" i="2" a="1"/>
  <c r="L59" i="2" s="1"/>
  <c r="K59" i="2" a="1"/>
  <c r="K59" i="2" s="1"/>
  <c r="L55" i="2" a="1"/>
  <c r="L55" i="2" s="1"/>
  <c r="K55" i="2" a="1"/>
  <c r="K55" i="2" s="1"/>
  <c r="L51" i="2" a="1"/>
  <c r="L51" i="2" s="1"/>
  <c r="K51" i="2" a="1"/>
  <c r="K51" i="2" s="1"/>
  <c r="L47" i="2" a="1"/>
  <c r="L47" i="2" s="1"/>
  <c r="K47" i="2" a="1"/>
  <c r="K47" i="2" s="1"/>
  <c r="L43" i="2" a="1"/>
  <c r="L43" i="2" s="1"/>
  <c r="K43" i="2" a="1"/>
  <c r="K43" i="2" s="1"/>
  <c r="L39" i="2" a="1"/>
  <c r="L39" i="2" s="1"/>
  <c r="K39" i="2" a="1"/>
  <c r="K39" i="2" s="1"/>
  <c r="L35" i="2" a="1"/>
  <c r="L35" i="2" s="1"/>
  <c r="K35" i="2" a="1"/>
  <c r="K35" i="2" s="1"/>
  <c r="L31" i="2" a="1"/>
  <c r="L31" i="2" s="1"/>
  <c r="K31" i="2" a="1"/>
  <c r="K31" i="2" s="1"/>
  <c r="L27" i="2" a="1"/>
  <c r="L27" i="2" s="1"/>
  <c r="K27" i="2" a="1"/>
  <c r="K27" i="2" s="1"/>
  <c r="K23" i="2" a="1"/>
  <c r="K23" i="2" s="1"/>
  <c r="L23" i="2" a="1"/>
  <c r="L23" i="2" s="1"/>
  <c r="J23" i="2" a="1"/>
  <c r="J23" i="2" s="1"/>
  <c r="O24" i="2" a="1"/>
  <c r="O24" i="2" s="1"/>
  <c r="O26" i="2" a="1"/>
  <c r="O26" i="2" s="1"/>
  <c r="J27" i="2" a="1"/>
  <c r="J27" i="2" s="1"/>
  <c r="O28" i="2" a="1"/>
  <c r="O28" i="2" s="1"/>
  <c r="O30" i="2" a="1"/>
  <c r="O30" i="2" s="1"/>
  <c r="J31" i="2" a="1"/>
  <c r="J31" i="2" s="1"/>
  <c r="O32" i="2" a="1"/>
  <c r="O32" i="2" s="1"/>
  <c r="O34" i="2" a="1"/>
  <c r="O34" i="2" s="1"/>
  <c r="J35" i="2" a="1"/>
  <c r="J35" i="2" s="1"/>
  <c r="O36" i="2" a="1"/>
  <c r="O36" i="2" s="1"/>
  <c r="O38" i="2" a="1"/>
  <c r="O38" i="2" s="1"/>
  <c r="J39" i="2" a="1"/>
  <c r="J39" i="2" s="1"/>
  <c r="O40" i="2" a="1"/>
  <c r="O40" i="2" s="1"/>
  <c r="O42" i="2" a="1"/>
  <c r="O42" i="2" s="1"/>
  <c r="J43" i="2" a="1"/>
  <c r="J43" i="2" s="1"/>
  <c r="O44" i="2" a="1"/>
  <c r="O44" i="2" s="1"/>
  <c r="O46" i="2" a="1"/>
  <c r="O46" i="2" s="1"/>
  <c r="J47" i="2" a="1"/>
  <c r="J47" i="2" s="1"/>
  <c r="O48" i="2" a="1"/>
  <c r="O48" i="2" s="1"/>
  <c r="O50" i="2" a="1"/>
  <c r="O50" i="2" s="1"/>
  <c r="J51" i="2" a="1"/>
  <c r="J51" i="2" s="1"/>
  <c r="O52" i="2" a="1"/>
  <c r="O52" i="2" s="1"/>
  <c r="O54" i="2" a="1"/>
  <c r="O54" i="2" s="1"/>
  <c r="J55" i="2" a="1"/>
  <c r="J55" i="2" s="1"/>
  <c r="O56" i="2" a="1"/>
  <c r="O56" i="2" s="1"/>
  <c r="O58" i="2" a="1"/>
  <c r="O58" i="2" s="1"/>
  <c r="J59" i="2" a="1"/>
  <c r="J59" i="2" s="1"/>
  <c r="O60" i="2" a="1"/>
  <c r="O60" i="2" s="1"/>
  <c r="O62" i="2" a="1"/>
  <c r="O62" i="2" s="1"/>
  <c r="J63" i="2" a="1"/>
  <c r="J63" i="2" s="1"/>
  <c r="O64" i="2" a="1"/>
  <c r="O64" i="2" s="1"/>
  <c r="O66" i="2" a="1"/>
  <c r="O66" i="2" s="1"/>
  <c r="J67" i="2" a="1"/>
  <c r="J67" i="2" s="1"/>
  <c r="O68" i="2" a="1"/>
  <c r="O68" i="2" s="1"/>
  <c r="O70" i="2" a="1"/>
  <c r="O70" i="2" s="1"/>
  <c r="J71" i="2" a="1"/>
  <c r="J71" i="2" s="1"/>
  <c r="O72" i="2" a="1"/>
  <c r="O72" i="2" s="1"/>
  <c r="O74" i="2" a="1"/>
  <c r="O74" i="2" s="1"/>
  <c r="J75" i="2" a="1"/>
  <c r="J75" i="2" s="1"/>
  <c r="O76" i="2" a="1"/>
  <c r="O76" i="2" s="1"/>
  <c r="O78" i="2" a="1"/>
  <c r="O78" i="2" s="1"/>
  <c r="J79" i="2" a="1"/>
  <c r="J79" i="2" s="1"/>
  <c r="O80" i="2" a="1"/>
  <c r="O80" i="2" s="1"/>
  <c r="O82" i="2" a="1"/>
  <c r="O82" i="2" s="1"/>
  <c r="J83" i="2" a="1"/>
  <c r="J83" i="2" s="1"/>
  <c r="O84" i="2" a="1"/>
  <c r="O84" i="2" s="1"/>
  <c r="O86" i="2" a="1"/>
  <c r="O86" i="2" s="1"/>
  <c r="J87" i="2" a="1"/>
  <c r="J87" i="2" s="1"/>
  <c r="O88" i="2" a="1"/>
  <c r="O88" i="2" s="1"/>
  <c r="O90" i="2" a="1"/>
  <c r="O90" i="2" s="1"/>
  <c r="J91" i="2" a="1"/>
  <c r="J91" i="2" s="1"/>
  <c r="O92" i="2" a="1"/>
  <c r="O92" i="2" s="1"/>
  <c r="O94" i="2" a="1"/>
  <c r="O94" i="2" s="1"/>
  <c r="J95" i="2" a="1"/>
  <c r="J95" i="2" s="1"/>
  <c r="O96" i="2" a="1"/>
  <c r="O96" i="2" s="1"/>
  <c r="O98" i="2" a="1"/>
  <c r="O98" i="2" s="1"/>
  <c r="J99" i="2" a="1"/>
  <c r="J99" i="2" s="1"/>
  <c r="O100" i="2" a="1"/>
  <c r="O100" i="2" s="1"/>
  <c r="O102" i="2" a="1"/>
  <c r="O102" i="2" s="1"/>
  <c r="J103" i="2" a="1"/>
  <c r="J103" i="2" s="1"/>
  <c r="O104" i="2" a="1"/>
  <c r="O104" i="2" s="1"/>
  <c r="P106" i="2" a="1"/>
  <c r="P106" i="2" s="1"/>
  <c r="I108" i="2" a="1"/>
  <c r="I108" i="2" s="1"/>
  <c r="P108" i="2" a="1"/>
  <c r="P108" i="2" s="1"/>
  <c r="P110" i="2" a="1"/>
  <c r="P110" i="2" s="1"/>
  <c r="I112" i="2" a="1"/>
  <c r="I112" i="2" s="1"/>
  <c r="P112" i="2" a="1"/>
  <c r="P112" i="2" s="1"/>
  <c r="P114" i="2" a="1"/>
  <c r="P114" i="2" s="1"/>
  <c r="I116" i="2" a="1"/>
  <c r="I116" i="2" s="1"/>
  <c r="P116" i="2" a="1"/>
  <c r="P116" i="2" s="1"/>
  <c r="P118" i="2" a="1"/>
  <c r="P118" i="2" s="1"/>
  <c r="I120" i="2" a="1"/>
  <c r="I120" i="2" s="1"/>
  <c r="P120" i="2" a="1"/>
  <c r="P120" i="2" s="1"/>
  <c r="P122" i="2" a="1"/>
  <c r="P122" i="2" s="1"/>
  <c r="I124" i="2" a="1"/>
  <c r="I124" i="2" s="1"/>
  <c r="P124" i="2" a="1"/>
  <c r="P124" i="2" s="1"/>
  <c r="P126" i="2" a="1"/>
  <c r="P126" i="2" s="1"/>
  <c r="I128" i="2" a="1"/>
  <c r="I128" i="2" s="1"/>
  <c r="P128" i="2" a="1"/>
  <c r="P128" i="2" s="1"/>
  <c r="P130" i="2" a="1"/>
  <c r="P130" i="2" s="1"/>
  <c r="I132" i="2" a="1"/>
  <c r="I132" i="2" s="1"/>
  <c r="P132" i="2" a="1"/>
  <c r="P132" i="2" s="1"/>
  <c r="P134" i="2" a="1"/>
  <c r="P134" i="2" s="1"/>
  <c r="I136" i="2" a="1"/>
  <c r="I136" i="2" s="1"/>
  <c r="P136" i="2" a="1"/>
  <c r="P136" i="2" s="1"/>
  <c r="P138" i="2" a="1"/>
  <c r="P138" i="2" s="1"/>
  <c r="I140" i="2" a="1"/>
  <c r="I140" i="2" s="1"/>
  <c r="P140" i="2" a="1"/>
  <c r="P140" i="2" s="1"/>
  <c r="P142" i="2" a="1"/>
  <c r="P142" i="2" s="1"/>
  <c r="I144" i="2" a="1"/>
  <c r="I144" i="2" s="1"/>
  <c r="P144" i="2" a="1"/>
  <c r="P144" i="2" s="1"/>
  <c r="P146" i="2" a="1"/>
  <c r="P146" i="2" s="1"/>
  <c r="I148" i="2" a="1"/>
  <c r="I148" i="2" s="1"/>
  <c r="P148" i="2" a="1"/>
  <c r="P148" i="2" s="1"/>
  <c r="O150" i="2" a="1"/>
  <c r="O150" i="2" s="1"/>
  <c r="R150" i="2" a="1"/>
  <c r="R150" i="2" s="1"/>
  <c r="N151" i="2" a="1"/>
  <c r="N151" i="2" s="1"/>
  <c r="M152" i="2" a="1"/>
  <c r="M152" i="2" s="1"/>
  <c r="Q152" i="2" a="1"/>
  <c r="Q152" i="2" s="1"/>
  <c r="O154" i="2" a="1"/>
  <c r="O154" i="2" s="1"/>
  <c r="R154" i="2" a="1"/>
  <c r="R154" i="2" s="1"/>
  <c r="N155" i="2" a="1"/>
  <c r="N155" i="2" s="1"/>
  <c r="M156" i="2" a="1"/>
  <c r="M156" i="2" s="1"/>
  <c r="Q156" i="2" a="1"/>
  <c r="Q156" i="2" s="1"/>
  <c r="O158" i="2" a="1"/>
  <c r="O158" i="2" s="1"/>
  <c r="R158" i="2" a="1"/>
  <c r="R158" i="2" s="1"/>
  <c r="N159" i="2" a="1"/>
  <c r="N159" i="2" s="1"/>
  <c r="M160" i="2" a="1"/>
  <c r="M160" i="2" s="1"/>
  <c r="Q160" i="2" a="1"/>
  <c r="Q160" i="2" s="1"/>
  <c r="O162" i="2" a="1"/>
  <c r="O162" i="2" s="1"/>
  <c r="R162" i="2" a="1"/>
  <c r="R162" i="2" s="1"/>
  <c r="N163" i="2" a="1"/>
  <c r="N163" i="2" s="1"/>
  <c r="M164" i="2" a="1"/>
  <c r="M164" i="2" s="1"/>
  <c r="Q164" i="2" a="1"/>
  <c r="Q164" i="2" s="1"/>
  <c r="O166" i="2" a="1"/>
  <c r="O166" i="2" s="1"/>
  <c r="R166" i="2" a="1"/>
  <c r="R166" i="2" s="1"/>
  <c r="O167" i="2" a="1"/>
  <c r="O167" i="2" s="1"/>
  <c r="R167" i="2" a="1"/>
  <c r="R167" i="2" s="1"/>
  <c r="O168" i="2" a="1"/>
  <c r="O168" i="2" s="1"/>
  <c r="R168" i="2" a="1"/>
  <c r="R168" i="2" s="1"/>
  <c r="M170" i="2" a="1"/>
  <c r="M170" i="2" s="1"/>
  <c r="Q170" i="2" a="1"/>
  <c r="Q170" i="2" s="1"/>
  <c r="N171" i="2" a="1"/>
  <c r="N171" i="2" s="1"/>
  <c r="R172" i="2" a="1"/>
  <c r="R172" i="2" s="1"/>
  <c r="O174" i="2" a="1"/>
  <c r="O174" i="2" s="1"/>
  <c r="I175" i="2" a="1"/>
  <c r="I175" i="2" s="1"/>
  <c r="J176" i="2" a="1"/>
  <c r="J176" i="2" s="1"/>
  <c r="P176" i="2" a="1"/>
  <c r="P176" i="2" s="1"/>
  <c r="M178" i="2" a="1"/>
  <c r="M178" i="2" s="1"/>
  <c r="Q178" i="2" a="1"/>
  <c r="Q178" i="2" s="1"/>
  <c r="N179" i="2" a="1"/>
  <c r="N179" i="2" s="1"/>
  <c r="R180" i="2" a="1"/>
  <c r="R180" i="2" s="1"/>
  <c r="O182" i="2" a="1"/>
  <c r="O182" i="2" s="1"/>
  <c r="I183" i="2" a="1"/>
  <c r="I183" i="2" s="1"/>
  <c r="J184" i="2" a="1"/>
  <c r="J184" i="2" s="1"/>
  <c r="P184" i="2" a="1"/>
  <c r="P184" i="2" s="1"/>
  <c r="M186" i="2" a="1"/>
  <c r="M186" i="2" s="1"/>
  <c r="Q186" i="2" a="1"/>
  <c r="Q186" i="2" s="1"/>
  <c r="N187" i="2" a="1"/>
  <c r="N187" i="2" s="1"/>
  <c r="R188" i="2" a="1"/>
  <c r="R188" i="2" s="1"/>
  <c r="O190" i="2" a="1"/>
  <c r="O190" i="2" s="1"/>
  <c r="I191" i="2" a="1"/>
  <c r="I191" i="2" s="1"/>
  <c r="J192" i="2" a="1"/>
  <c r="J192" i="2" s="1"/>
  <c r="P192" i="2" a="1"/>
  <c r="P192" i="2" s="1"/>
  <c r="M194" i="2" a="1"/>
  <c r="M194" i="2" s="1"/>
  <c r="Q194" i="2" a="1"/>
  <c r="Q194" i="2" s="1"/>
  <c r="N195" i="2" a="1"/>
  <c r="N195" i="2" s="1"/>
  <c r="R196" i="2" a="1"/>
  <c r="R196" i="2" s="1"/>
  <c r="O198" i="2" a="1"/>
  <c r="O198" i="2" s="1"/>
  <c r="I199" i="2" a="1"/>
  <c r="I199" i="2" s="1"/>
  <c r="J200" i="2" a="1"/>
  <c r="J200" i="2" s="1"/>
  <c r="P200" i="2" a="1"/>
  <c r="P200" i="2" s="1"/>
  <c r="M202" i="2" a="1"/>
  <c r="M202" i="2" s="1"/>
  <c r="Q202" i="2" a="1"/>
  <c r="Q202" i="2" s="1"/>
  <c r="N203" i="2" a="1"/>
  <c r="N203" i="2" s="1"/>
  <c r="R204" i="2" a="1"/>
  <c r="R204" i="2" s="1"/>
  <c r="O206" i="2" a="1"/>
  <c r="O206" i="2" s="1"/>
  <c r="I207" i="2" a="1"/>
  <c r="I207" i="2" s="1"/>
  <c r="J208" i="2" a="1"/>
  <c r="J208" i="2" s="1"/>
  <c r="P208" i="2" a="1"/>
  <c r="P208" i="2" s="1"/>
  <c r="M210" i="2" a="1"/>
  <c r="M210" i="2" s="1"/>
  <c r="Q210" i="2" a="1"/>
  <c r="Q210" i="2" s="1"/>
  <c r="N211" i="2" a="1"/>
  <c r="N211" i="2" s="1"/>
  <c r="R212" i="2" a="1"/>
  <c r="R212" i="2" s="1"/>
  <c r="O214" i="2" a="1"/>
  <c r="O214" i="2" s="1"/>
  <c r="I215" i="2" a="1"/>
  <c r="I215" i="2" s="1"/>
  <c r="J216" i="2" a="1"/>
  <c r="J216" i="2" s="1"/>
  <c r="P216" i="2" a="1"/>
  <c r="P216" i="2" s="1"/>
  <c r="M218" i="2" a="1"/>
  <c r="M218" i="2" s="1"/>
  <c r="Q218" i="2" a="1"/>
  <c r="Q218" i="2" s="1"/>
  <c r="N219" i="2" a="1"/>
  <c r="N219" i="2" s="1"/>
  <c r="R220" i="2" a="1"/>
  <c r="R220" i="2" s="1"/>
  <c r="O222" i="2" a="1"/>
  <c r="O222" i="2" s="1"/>
  <c r="I223" i="2" a="1"/>
  <c r="I223" i="2" s="1"/>
  <c r="J224" i="2" a="1"/>
  <c r="J224" i="2" s="1"/>
  <c r="P224" i="2" a="1"/>
  <c r="P224" i="2" s="1"/>
  <c r="M226" i="2" a="1"/>
  <c r="M226" i="2" s="1"/>
  <c r="Q226" i="2" a="1"/>
  <c r="Q226" i="2" s="1"/>
  <c r="N227" i="2" a="1"/>
  <c r="N227" i="2" s="1"/>
  <c r="R228" i="2" a="1"/>
  <c r="R228" i="2" s="1"/>
  <c r="O230" i="2" a="1"/>
  <c r="O230" i="2" s="1"/>
  <c r="I231" i="2" a="1"/>
  <c r="I231" i="2" s="1"/>
  <c r="J232" i="2" a="1"/>
  <c r="J232" i="2" s="1"/>
  <c r="P232" i="2" a="1"/>
  <c r="P232" i="2" s="1"/>
  <c r="M234" i="2" a="1"/>
  <c r="M234" i="2" s="1"/>
  <c r="Q234" i="2" a="1"/>
  <c r="Q234" i="2" s="1"/>
  <c r="N235" i="2" a="1"/>
  <c r="N235" i="2" s="1"/>
  <c r="R236" i="2" a="1"/>
  <c r="R236" i="2" s="1"/>
  <c r="O238" i="2" a="1"/>
  <c r="O238" i="2" s="1"/>
  <c r="I239" i="2" a="1"/>
  <c r="I239" i="2" s="1"/>
  <c r="J240" i="2" a="1"/>
  <c r="J240" i="2" s="1"/>
  <c r="P240" i="2" a="1"/>
  <c r="P240" i="2" s="1"/>
  <c r="M242" i="2" a="1"/>
  <c r="M242" i="2" s="1"/>
  <c r="Q242" i="2" a="1"/>
  <c r="Q242" i="2" s="1"/>
  <c r="N243" i="2" a="1"/>
  <c r="N243" i="2" s="1"/>
  <c r="R244" i="2" a="1"/>
  <c r="R244" i="2" s="1"/>
  <c r="O246" i="2" a="1"/>
  <c r="O246" i="2" s="1"/>
  <c r="I247" i="2" a="1"/>
  <c r="I247" i="2" s="1"/>
  <c r="Q250" i="2" a="1"/>
  <c r="Q250" i="2" s="1"/>
  <c r="Q254" i="2" a="1"/>
  <c r="Q254" i="2" s="1"/>
  <c r="Q258" i="2" a="1"/>
  <c r="Q258" i="2" s="1"/>
  <c r="Q262" i="2" a="1"/>
  <c r="Q262" i="2" s="1"/>
  <c r="Q266" i="2" a="1"/>
  <c r="Q266" i="2" s="1"/>
  <c r="Q270" i="2" a="1"/>
  <c r="Q270" i="2" s="1"/>
  <c r="Q274" i="2" a="1"/>
  <c r="Q274" i="2" s="1"/>
  <c r="Q278" i="2" a="1"/>
  <c r="Q278" i="2" s="1"/>
  <c r="Q282" i="2" a="1"/>
  <c r="Q282" i="2" s="1"/>
  <c r="Q286" i="2" a="1"/>
  <c r="Q286" i="2" s="1"/>
  <c r="Q290" i="2" a="1"/>
  <c r="Q290" i="2" s="1"/>
  <c r="Q294" i="2" a="1"/>
  <c r="Q294" i="2" s="1"/>
  <c r="Q298" i="2" a="1"/>
  <c r="Q298" i="2" s="1"/>
  <c r="J303" i="2" a="1"/>
  <c r="J303" i="2" s="1"/>
  <c r="P1612" i="2" a="1"/>
  <c r="P1612" i="2" s="1"/>
  <c r="M1612" i="2" a="1"/>
  <c r="M1612" i="2" s="1"/>
  <c r="O1612" i="2" a="1"/>
  <c r="O1612" i="2" s="1"/>
  <c r="R1612" i="2" a="1"/>
  <c r="R1612" i="2" s="1"/>
  <c r="N1612" i="2" a="1"/>
  <c r="N1612" i="2" s="1"/>
  <c r="Q1612" i="2" a="1"/>
  <c r="Q1612" i="2" s="1"/>
  <c r="Q1604" i="2" a="1"/>
  <c r="Q1604" i="2" s="1"/>
  <c r="P1604" i="2" a="1"/>
  <c r="P1604" i="2" s="1"/>
  <c r="M1604" i="2" a="1"/>
  <c r="M1604" i="2" s="1"/>
  <c r="O1604" i="2" a="1"/>
  <c r="O1604" i="2" s="1"/>
  <c r="R1604" i="2" a="1"/>
  <c r="R1604" i="2" s="1"/>
  <c r="N1604" i="2" a="1"/>
  <c r="N1604" i="2" s="1"/>
  <c r="P1596" i="2" a="1"/>
  <c r="P1596" i="2" s="1"/>
  <c r="M1596" i="2" a="1"/>
  <c r="M1596" i="2" s="1"/>
  <c r="O1596" i="2" a="1"/>
  <c r="O1596" i="2" s="1"/>
  <c r="R1596" i="2" a="1"/>
  <c r="R1596" i="2" s="1"/>
  <c r="Q1596" i="2" a="1"/>
  <c r="Q1596" i="2" s="1"/>
  <c r="N1596" i="2" a="1"/>
  <c r="N1596" i="2" s="1"/>
  <c r="R1592" i="2" a="1"/>
  <c r="R1592" i="2" s="1"/>
  <c r="Q1592" i="2" a="1"/>
  <c r="Q1592" i="2" s="1"/>
  <c r="N1592" i="2" a="1"/>
  <c r="N1592" i="2" s="1"/>
  <c r="P1592" i="2" a="1"/>
  <c r="P1592" i="2" s="1"/>
  <c r="M1592" i="2" a="1"/>
  <c r="M1592" i="2" s="1"/>
  <c r="O1592" i="2" a="1"/>
  <c r="O1592" i="2" s="1"/>
  <c r="R1584" i="2" a="1"/>
  <c r="R1584" i="2" s="1"/>
  <c r="Q1584" i="2" a="1"/>
  <c r="Q1584" i="2" s="1"/>
  <c r="N1584" i="2" a="1"/>
  <c r="N1584" i="2" s="1"/>
  <c r="P1584" i="2" a="1"/>
  <c r="P1584" i="2" s="1"/>
  <c r="M1584" i="2" a="1"/>
  <c r="M1584" i="2" s="1"/>
  <c r="O1584" i="2" a="1"/>
  <c r="O1584" i="2" s="1"/>
  <c r="Q1580" i="2" a="1"/>
  <c r="Q1580" i="2" s="1"/>
  <c r="N1580" i="2" a="1"/>
  <c r="N1580" i="2" s="1"/>
  <c r="P1580" i="2" a="1"/>
  <c r="P1580" i="2" s="1"/>
  <c r="M1580" i="2" a="1"/>
  <c r="M1580" i="2" s="1"/>
  <c r="O1580" i="2" a="1"/>
  <c r="O1580" i="2" s="1"/>
  <c r="R1580" i="2" a="1"/>
  <c r="R1580" i="2" s="1"/>
  <c r="P1576" i="2" a="1"/>
  <c r="P1576" i="2" s="1"/>
  <c r="M1576" i="2" a="1"/>
  <c r="M1576" i="2" s="1"/>
  <c r="O1576" i="2" a="1"/>
  <c r="O1576" i="2" s="1"/>
  <c r="R1576" i="2" a="1"/>
  <c r="R1576" i="2" s="1"/>
  <c r="Q1576" i="2" a="1"/>
  <c r="Q1576" i="2" s="1"/>
  <c r="N1576" i="2" a="1"/>
  <c r="N1576" i="2" s="1"/>
  <c r="R1568" i="2" a="1"/>
  <c r="R1568" i="2" s="1"/>
  <c r="Q1568" i="2" a="1"/>
  <c r="Q1568" i="2" s="1"/>
  <c r="N1568" i="2" a="1"/>
  <c r="N1568" i="2" s="1"/>
  <c r="P1568" i="2" a="1"/>
  <c r="P1568" i="2" s="1"/>
  <c r="M1568" i="2" a="1"/>
  <c r="M1568" i="2" s="1"/>
  <c r="O1568" i="2" a="1"/>
  <c r="O1568" i="2" s="1"/>
  <c r="P1560" i="2" a="1"/>
  <c r="P1560" i="2" s="1"/>
  <c r="M1560" i="2" a="1"/>
  <c r="M1560" i="2" s="1"/>
  <c r="O1560" i="2" a="1"/>
  <c r="O1560" i="2" s="1"/>
  <c r="R1560" i="2" a="1"/>
  <c r="R1560" i="2" s="1"/>
  <c r="Q1560" i="2" a="1"/>
  <c r="Q1560" i="2" s="1"/>
  <c r="N1560" i="2" a="1"/>
  <c r="N1560" i="2" s="1"/>
  <c r="R1548" i="2" a="1"/>
  <c r="R1548" i="2" s="1"/>
  <c r="O1548" i="2" a="1"/>
  <c r="O1548" i="2" s="1"/>
  <c r="Q1548" i="2" a="1"/>
  <c r="Q1548" i="2" s="1"/>
  <c r="N1548" i="2" a="1"/>
  <c r="N1548" i="2" s="1"/>
  <c r="P1548" i="2" a="1"/>
  <c r="P1548" i="2" s="1"/>
  <c r="M1548" i="2" a="1"/>
  <c r="M1548" i="2" s="1"/>
  <c r="N1540" i="2" a="1"/>
  <c r="N1540" i="2" s="1"/>
  <c r="P1540" i="2" a="1"/>
  <c r="P1540" i="2" s="1"/>
  <c r="M1540" i="2" a="1"/>
  <c r="M1540" i="2" s="1"/>
  <c r="R1540" i="2" a="1"/>
  <c r="R1540" i="2" s="1"/>
  <c r="O1540" i="2" a="1"/>
  <c r="O1540" i="2" s="1"/>
  <c r="Q1540" i="2" a="1"/>
  <c r="Q1540" i="2" s="1"/>
  <c r="P1528" i="2" a="1"/>
  <c r="P1528" i="2" s="1"/>
  <c r="M1528" i="2" a="1"/>
  <c r="M1528" i="2" s="1"/>
  <c r="R1528" i="2" a="1"/>
  <c r="R1528" i="2" s="1"/>
  <c r="O1528" i="2" a="1"/>
  <c r="O1528" i="2" s="1"/>
  <c r="Q1528" i="2" a="1"/>
  <c r="Q1528" i="2" s="1"/>
  <c r="N1528" i="2" a="1"/>
  <c r="N1528" i="2" s="1"/>
  <c r="N1488" i="2" a="1"/>
  <c r="N1488" i="2" s="1"/>
  <c r="O1488" i="2" a="1"/>
  <c r="O1488" i="2" s="1"/>
  <c r="R1488" i="2" a="1"/>
  <c r="R1488" i="2" s="1"/>
  <c r="Q1488" i="2" a="1"/>
  <c r="Q1488" i="2" s="1"/>
  <c r="M1488" i="2" a="1"/>
  <c r="M1488" i="2" s="1"/>
  <c r="P1488" i="2" a="1"/>
  <c r="P1488" i="2" s="1"/>
  <c r="M1356" i="2" a="1"/>
  <c r="M1356" i="2" s="1"/>
  <c r="R1356" i="2" a="1"/>
  <c r="R1356" i="2" s="1"/>
  <c r="N1356" i="2" a="1"/>
  <c r="N1356" i="2" s="1"/>
  <c r="Q1356" i="2" a="1"/>
  <c r="Q1356" i="2" s="1"/>
  <c r="P1356" i="2" a="1"/>
  <c r="P1356" i="2" s="1"/>
  <c r="O1356" i="2" a="1"/>
  <c r="O1356" i="2" s="1"/>
  <c r="P1348" i="2" a="1"/>
  <c r="P1348" i="2" s="1"/>
  <c r="M1348" i="2" a="1"/>
  <c r="M1348" i="2" s="1"/>
  <c r="O1348" i="2" a="1"/>
  <c r="O1348" i="2" s="1"/>
  <c r="R1348" i="2" a="1"/>
  <c r="R1348" i="2" s="1"/>
  <c r="Q1348" i="2" a="1"/>
  <c r="Q1348" i="2" s="1"/>
  <c r="N1348" i="2" a="1"/>
  <c r="N1348" i="2" s="1"/>
  <c r="P1344" i="2" a="1"/>
  <c r="P1344" i="2" s="1"/>
  <c r="M1344" i="2" a="1"/>
  <c r="M1344" i="2" s="1"/>
  <c r="O1344" i="2" a="1"/>
  <c r="O1344" i="2" s="1"/>
  <c r="R1344" i="2" a="1"/>
  <c r="R1344" i="2" s="1"/>
  <c r="Q1344" i="2" a="1"/>
  <c r="Q1344" i="2" s="1"/>
  <c r="N1344" i="2" a="1"/>
  <c r="N1344" i="2" s="1"/>
  <c r="P1336" i="2" a="1"/>
  <c r="P1336" i="2" s="1"/>
  <c r="M1336" i="2" a="1"/>
  <c r="M1336" i="2" s="1"/>
  <c r="O1336" i="2" a="1"/>
  <c r="O1336" i="2" s="1"/>
  <c r="R1336" i="2" a="1"/>
  <c r="R1336" i="2" s="1"/>
  <c r="Q1336" i="2" a="1"/>
  <c r="Q1336" i="2" s="1"/>
  <c r="N1336" i="2" a="1"/>
  <c r="N1336" i="2" s="1"/>
  <c r="P1328" i="2" a="1"/>
  <c r="P1328" i="2" s="1"/>
  <c r="M1328" i="2" a="1"/>
  <c r="M1328" i="2" s="1"/>
  <c r="R1328" i="2" a="1"/>
  <c r="R1328" i="2" s="1"/>
  <c r="Q1328" i="2" a="1"/>
  <c r="Q1328" i="2" s="1"/>
  <c r="N1328" i="2" a="1"/>
  <c r="N1328" i="2" s="1"/>
  <c r="O1328" i="2" a="1"/>
  <c r="O1328" i="2" s="1"/>
  <c r="P1324" i="2" a="1"/>
  <c r="P1324" i="2" s="1"/>
  <c r="M1324" i="2" a="1"/>
  <c r="M1324" i="2" s="1"/>
  <c r="Q1324" i="2" a="1"/>
  <c r="Q1324" i="2" s="1"/>
  <c r="N1324" i="2" a="1"/>
  <c r="N1324" i="2" s="1"/>
  <c r="R1324" i="2" a="1"/>
  <c r="R1324" i="2" s="1"/>
  <c r="O1324" i="2" a="1"/>
  <c r="O1324" i="2" s="1"/>
  <c r="P1316" i="2" a="1"/>
  <c r="P1316" i="2" s="1"/>
  <c r="M1316" i="2" a="1"/>
  <c r="M1316" i="2" s="1"/>
  <c r="Q1316" i="2" a="1"/>
  <c r="Q1316" i="2" s="1"/>
  <c r="N1316" i="2" a="1"/>
  <c r="N1316" i="2" s="1"/>
  <c r="R1316" i="2" a="1"/>
  <c r="R1316" i="2" s="1"/>
  <c r="O1316" i="2" a="1"/>
  <c r="O1316" i="2" s="1"/>
  <c r="P1308" i="2" a="1"/>
  <c r="P1308" i="2" s="1"/>
  <c r="M1308" i="2" a="1"/>
  <c r="M1308" i="2" s="1"/>
  <c r="O1308" i="2" a="1"/>
  <c r="O1308" i="2" s="1"/>
  <c r="R1308" i="2" a="1"/>
  <c r="R1308" i="2" s="1"/>
  <c r="N1308" i="2" a="1"/>
  <c r="N1308" i="2" s="1"/>
  <c r="Q1308" i="2" a="1"/>
  <c r="Q1308" i="2" s="1"/>
  <c r="P1304" i="2" a="1"/>
  <c r="P1304" i="2" s="1"/>
  <c r="M1304" i="2" a="1"/>
  <c r="M1304" i="2" s="1"/>
  <c r="R1304" i="2" a="1"/>
  <c r="R1304" i="2" s="1"/>
  <c r="N1304" i="2" a="1"/>
  <c r="N1304" i="2" s="1"/>
  <c r="Q1304" i="2" a="1"/>
  <c r="Q1304" i="2" s="1"/>
  <c r="O1304" i="2" a="1"/>
  <c r="O1304" i="2" s="1"/>
  <c r="R1296" i="2" a="1"/>
  <c r="R1296" i="2" s="1"/>
  <c r="O1296" i="2" a="1"/>
  <c r="O1296" i="2" s="1"/>
  <c r="N1296" i="2" a="1"/>
  <c r="N1296" i="2" s="1"/>
  <c r="Q1296" i="2" a="1"/>
  <c r="Q1296" i="2" s="1"/>
  <c r="M1296" i="2" a="1"/>
  <c r="M1296" i="2" s="1"/>
  <c r="P1296" i="2" a="1"/>
  <c r="P1296" i="2" s="1"/>
  <c r="P1292" i="2" a="1"/>
  <c r="P1292" i="2" s="1"/>
  <c r="N1292" i="2" a="1"/>
  <c r="N1292" i="2" s="1"/>
  <c r="R1292" i="2" a="1"/>
  <c r="R1292" i="2" s="1"/>
  <c r="M1292" i="2" a="1"/>
  <c r="M1292" i="2" s="1"/>
  <c r="Q1292" i="2" a="1"/>
  <c r="Q1292" i="2" s="1"/>
  <c r="O1292" i="2" a="1"/>
  <c r="O1292" i="2" s="1"/>
  <c r="P1284" i="2" a="1"/>
  <c r="P1284" i="2" s="1"/>
  <c r="N1284" i="2" a="1"/>
  <c r="N1284" i="2" s="1"/>
  <c r="R1284" i="2" a="1"/>
  <c r="R1284" i="2" s="1"/>
  <c r="M1284" i="2" a="1"/>
  <c r="M1284" i="2" s="1"/>
  <c r="Q1284" i="2" a="1"/>
  <c r="Q1284" i="2" s="1"/>
  <c r="O1284" i="2" a="1"/>
  <c r="O1284" i="2" s="1"/>
  <c r="O1276" i="2" a="1"/>
  <c r="O1276" i="2" s="1"/>
  <c r="R1276" i="2" a="1"/>
  <c r="R1276" i="2" s="1"/>
  <c r="M1276" i="2" a="1"/>
  <c r="M1276" i="2" s="1"/>
  <c r="Q1276" i="2" a="1"/>
  <c r="Q1276" i="2" s="1"/>
  <c r="P1276" i="2" a="1"/>
  <c r="P1276" i="2" s="1"/>
  <c r="N1276" i="2" a="1"/>
  <c r="N1276" i="2" s="1"/>
  <c r="O1272" i="2" a="1"/>
  <c r="O1272" i="2" s="1"/>
  <c r="Q1272" i="2" a="1"/>
  <c r="Q1272" i="2" s="1"/>
  <c r="P1272" i="2" a="1"/>
  <c r="P1272" i="2" s="1"/>
  <c r="N1272" i="2" a="1"/>
  <c r="N1272" i="2" s="1"/>
  <c r="R1272" i="2" a="1"/>
  <c r="R1272" i="2" s="1"/>
  <c r="M1272" i="2" a="1"/>
  <c r="M1272" i="2" s="1"/>
  <c r="O1264" i="2" a="1"/>
  <c r="O1264" i="2" s="1"/>
  <c r="N1264" i="2" a="1"/>
  <c r="N1264" i="2" s="1"/>
  <c r="R1264" i="2" a="1"/>
  <c r="R1264" i="2" s="1"/>
  <c r="M1264" i="2" a="1"/>
  <c r="M1264" i="2" s="1"/>
  <c r="Q1264" i="2" a="1"/>
  <c r="Q1264" i="2" s="1"/>
  <c r="P1264" i="2" a="1"/>
  <c r="P1264" i="2" s="1"/>
  <c r="R1256" i="2" a="1"/>
  <c r="R1256" i="2" s="1"/>
  <c r="N1256" i="2" a="1"/>
  <c r="N1256" i="2" s="1"/>
  <c r="Q1256" i="2" a="1"/>
  <c r="Q1256" i="2" s="1"/>
  <c r="M1256" i="2" a="1"/>
  <c r="M1256" i="2" s="1"/>
  <c r="P1256" i="2" a="1"/>
  <c r="P1256" i="2" s="1"/>
  <c r="O1256" i="2" a="1"/>
  <c r="O1256" i="2" s="1"/>
  <c r="R1244" i="2" a="1"/>
  <c r="R1244" i="2" s="1"/>
  <c r="N1244" i="2" a="1"/>
  <c r="N1244" i="2" s="1"/>
  <c r="Q1244" i="2" a="1"/>
  <c r="Q1244" i="2" s="1"/>
  <c r="M1244" i="2" a="1"/>
  <c r="M1244" i="2" s="1"/>
  <c r="P1244" i="2" a="1"/>
  <c r="P1244" i="2" s="1"/>
  <c r="O1244" i="2" a="1"/>
  <c r="O1244" i="2" s="1"/>
  <c r="R1240" i="2" a="1"/>
  <c r="R1240" i="2" s="1"/>
  <c r="N1240" i="2" a="1"/>
  <c r="N1240" i="2" s="1"/>
  <c r="Q1240" i="2" a="1"/>
  <c r="Q1240" i="2" s="1"/>
  <c r="M1240" i="2" a="1"/>
  <c r="M1240" i="2" s="1"/>
  <c r="P1240" i="2" a="1"/>
  <c r="P1240" i="2" s="1"/>
  <c r="O1240" i="2" a="1"/>
  <c r="O1240" i="2" s="1"/>
  <c r="R1232" i="2" a="1"/>
  <c r="R1232" i="2" s="1"/>
  <c r="N1232" i="2" a="1"/>
  <c r="N1232" i="2" s="1"/>
  <c r="Q1232" i="2" a="1"/>
  <c r="Q1232" i="2" s="1"/>
  <c r="M1232" i="2" a="1"/>
  <c r="M1232" i="2" s="1"/>
  <c r="P1232" i="2" a="1"/>
  <c r="P1232" i="2" s="1"/>
  <c r="O1232" i="2" a="1"/>
  <c r="O1232" i="2" s="1"/>
  <c r="P1224" i="2" a="1"/>
  <c r="P1224" i="2" s="1"/>
  <c r="M1224" i="2" a="1"/>
  <c r="M1224" i="2" s="1"/>
  <c r="R1224" i="2" a="1"/>
  <c r="R1224" i="2" s="1"/>
  <c r="O1224" i="2" a="1"/>
  <c r="O1224" i="2" s="1"/>
  <c r="Q1224" i="2" a="1"/>
  <c r="Q1224" i="2" s="1"/>
  <c r="N1224" i="2" a="1"/>
  <c r="N1224" i="2" s="1"/>
  <c r="R1216" i="2" a="1"/>
  <c r="R1216" i="2" s="1"/>
  <c r="O1216" i="2" a="1"/>
  <c r="O1216" i="2" s="1"/>
  <c r="Q1216" i="2" a="1"/>
  <c r="Q1216" i="2" s="1"/>
  <c r="N1216" i="2" a="1"/>
  <c r="N1216" i="2" s="1"/>
  <c r="P1216" i="2" a="1"/>
  <c r="P1216" i="2" s="1"/>
  <c r="M1216" i="2" a="1"/>
  <c r="M1216" i="2" s="1"/>
  <c r="R1212" i="2" a="1"/>
  <c r="R1212" i="2" s="1"/>
  <c r="O1212" i="2" a="1"/>
  <c r="O1212" i="2" s="1"/>
  <c r="Q1212" i="2" a="1"/>
  <c r="Q1212" i="2" s="1"/>
  <c r="N1212" i="2" a="1"/>
  <c r="N1212" i="2" s="1"/>
  <c r="P1212" i="2" a="1"/>
  <c r="P1212" i="2" s="1"/>
  <c r="M1212" i="2" a="1"/>
  <c r="M1212" i="2" s="1"/>
  <c r="Q1204" i="2" a="1"/>
  <c r="Q1204" i="2" s="1"/>
  <c r="N1204" i="2" a="1"/>
  <c r="N1204" i="2" s="1"/>
  <c r="P1204" i="2" a="1"/>
  <c r="P1204" i="2" s="1"/>
  <c r="M1204" i="2" a="1"/>
  <c r="M1204" i="2" s="1"/>
  <c r="R1204" i="2" a="1"/>
  <c r="R1204" i="2" s="1"/>
  <c r="O1204" i="2" a="1"/>
  <c r="O1204" i="2" s="1"/>
  <c r="R1200" i="2" a="1"/>
  <c r="R1200" i="2" s="1"/>
  <c r="O1200" i="2" a="1"/>
  <c r="O1200" i="2" s="1"/>
  <c r="Q1200" i="2" a="1"/>
  <c r="Q1200" i="2" s="1"/>
  <c r="N1200" i="2" a="1"/>
  <c r="N1200" i="2" s="1"/>
  <c r="P1200" i="2" a="1"/>
  <c r="P1200" i="2" s="1"/>
  <c r="M1200" i="2" a="1"/>
  <c r="M1200" i="2" s="1"/>
  <c r="R1192" i="2" a="1"/>
  <c r="R1192" i="2" s="1"/>
  <c r="O1192" i="2" a="1"/>
  <c r="O1192" i="2" s="1"/>
  <c r="Q1192" i="2" a="1"/>
  <c r="Q1192" i="2" s="1"/>
  <c r="N1192" i="2" a="1"/>
  <c r="N1192" i="2" s="1"/>
  <c r="P1192" i="2" a="1"/>
  <c r="P1192" i="2" s="1"/>
  <c r="M1192" i="2" a="1"/>
  <c r="M1192" i="2" s="1"/>
  <c r="R1184" i="2" a="1"/>
  <c r="R1184" i="2" s="1"/>
  <c r="O1184" i="2" a="1"/>
  <c r="O1184" i="2" s="1"/>
  <c r="Q1184" i="2" a="1"/>
  <c r="Q1184" i="2" s="1"/>
  <c r="N1184" i="2" a="1"/>
  <c r="N1184" i="2" s="1"/>
  <c r="P1184" i="2" a="1"/>
  <c r="P1184" i="2" s="1"/>
  <c r="M1184" i="2" a="1"/>
  <c r="M1184" i="2" s="1"/>
  <c r="P1176" i="2" a="1"/>
  <c r="P1176" i="2" s="1"/>
  <c r="O1176" i="2" a="1"/>
  <c r="O1176" i="2" s="1"/>
  <c r="R1176" i="2" a="1"/>
  <c r="R1176" i="2" s="1"/>
  <c r="Q1176" i="2" a="1"/>
  <c r="Q1176" i="2" s="1"/>
  <c r="N1176" i="2" a="1"/>
  <c r="N1176" i="2" s="1"/>
  <c r="M1176" i="2" a="1"/>
  <c r="M1176" i="2" s="1"/>
  <c r="P1172" i="2" a="1"/>
  <c r="P1172" i="2" s="1"/>
  <c r="O1172" i="2" a="1"/>
  <c r="O1172" i="2" s="1"/>
  <c r="N1172" i="2" a="1"/>
  <c r="N1172" i="2" s="1"/>
  <c r="M1172" i="2" a="1"/>
  <c r="M1172" i="2" s="1"/>
  <c r="R1172" i="2" a="1"/>
  <c r="R1172" i="2" s="1"/>
  <c r="Q1172" i="2" a="1"/>
  <c r="Q1172" i="2" s="1"/>
  <c r="P1164" i="2" a="1"/>
  <c r="P1164" i="2" s="1"/>
  <c r="M1164" i="2" a="1"/>
  <c r="M1164" i="2" s="1"/>
  <c r="O1164" i="2" a="1"/>
  <c r="O1164" i="2" s="1"/>
  <c r="R1164" i="2" a="1"/>
  <c r="R1164" i="2" s="1"/>
  <c r="Q1164" i="2" a="1"/>
  <c r="Q1164" i="2" s="1"/>
  <c r="N1164" i="2" a="1"/>
  <c r="N1164" i="2" s="1"/>
  <c r="O1160" i="2" a="1"/>
  <c r="O1160" i="2" s="1"/>
  <c r="N1160" i="2" a="1"/>
  <c r="N1160" i="2" s="1"/>
  <c r="R1160" i="2" a="1"/>
  <c r="R1160" i="2" s="1"/>
  <c r="M1160" i="2" a="1"/>
  <c r="M1160" i="2" s="1"/>
  <c r="Q1160" i="2" a="1"/>
  <c r="Q1160" i="2" s="1"/>
  <c r="P1160" i="2" a="1"/>
  <c r="P1160" i="2" s="1"/>
  <c r="O1152" i="2" a="1"/>
  <c r="O1152" i="2" s="1"/>
  <c r="R1152" i="2" a="1"/>
  <c r="R1152" i="2" s="1"/>
  <c r="N1152" i="2" a="1"/>
  <c r="N1152" i="2" s="1"/>
  <c r="Q1152" i="2" a="1"/>
  <c r="Q1152" i="2" s="1"/>
  <c r="M1152" i="2" a="1"/>
  <c r="M1152" i="2" s="1"/>
  <c r="P1152" i="2" a="1"/>
  <c r="P1152" i="2" s="1"/>
  <c r="O1144" i="2" a="1"/>
  <c r="O1144" i="2" s="1"/>
  <c r="R1144" i="2" a="1"/>
  <c r="R1144" i="2" s="1"/>
  <c r="N1144" i="2" a="1"/>
  <c r="N1144" i="2" s="1"/>
  <c r="Q1144" i="2" a="1"/>
  <c r="Q1144" i="2" s="1"/>
  <c r="P1144" i="2" a="1"/>
  <c r="P1144" i="2" s="1"/>
  <c r="M1144" i="2" a="1"/>
  <c r="M1144" i="2" s="1"/>
  <c r="R1140" i="2" a="1"/>
  <c r="R1140" i="2" s="1"/>
  <c r="N1140" i="2" a="1"/>
  <c r="N1140" i="2" s="1"/>
  <c r="Q1140" i="2" a="1"/>
  <c r="Q1140" i="2" s="1"/>
  <c r="P1140" i="2" a="1"/>
  <c r="P1140" i="2" s="1"/>
  <c r="M1140" i="2" a="1"/>
  <c r="M1140" i="2" s="1"/>
  <c r="O1140" i="2" a="1"/>
  <c r="O1140" i="2" s="1"/>
  <c r="P1132" i="2" a="1"/>
  <c r="P1132" i="2" s="1"/>
  <c r="M1132" i="2" a="1"/>
  <c r="M1132" i="2" s="1"/>
  <c r="O1132" i="2" a="1"/>
  <c r="O1132" i="2" s="1"/>
  <c r="R1132" i="2" a="1"/>
  <c r="R1132" i="2" s="1"/>
  <c r="N1132" i="2" a="1"/>
  <c r="N1132" i="2" s="1"/>
  <c r="Q1132" i="2" a="1"/>
  <c r="Q1132" i="2" s="1"/>
  <c r="O1128" i="2" a="1"/>
  <c r="O1128" i="2" s="1"/>
  <c r="R1128" i="2" a="1"/>
  <c r="R1128" i="2" s="1"/>
  <c r="N1128" i="2" a="1"/>
  <c r="N1128" i="2" s="1"/>
  <c r="Q1128" i="2" a="1"/>
  <c r="Q1128" i="2" s="1"/>
  <c r="P1128" i="2" a="1"/>
  <c r="P1128" i="2" s="1"/>
  <c r="M1128" i="2" a="1"/>
  <c r="M1128" i="2" s="1"/>
  <c r="R1124" i="2" a="1"/>
  <c r="R1124" i="2" s="1"/>
  <c r="N1124" i="2" a="1"/>
  <c r="N1124" i="2" s="1"/>
  <c r="Q1124" i="2" a="1"/>
  <c r="Q1124" i="2" s="1"/>
  <c r="P1124" i="2" a="1"/>
  <c r="P1124" i="2" s="1"/>
  <c r="M1124" i="2" a="1"/>
  <c r="M1124" i="2" s="1"/>
  <c r="O1124" i="2" a="1"/>
  <c r="O1124" i="2" s="1"/>
  <c r="P1116" i="2" a="1"/>
  <c r="P1116" i="2" s="1"/>
  <c r="O1116" i="2" a="1"/>
  <c r="O1116" i="2" s="1"/>
  <c r="R1116" i="2" a="1"/>
  <c r="R1116" i="2" s="1"/>
  <c r="N1116" i="2" a="1"/>
  <c r="N1116" i="2" s="1"/>
  <c r="Q1116" i="2" a="1"/>
  <c r="Q1116" i="2" s="1"/>
  <c r="M1116" i="2" a="1"/>
  <c r="M1116" i="2" s="1"/>
  <c r="R1112" i="2" a="1"/>
  <c r="R1112" i="2" s="1"/>
  <c r="N1112" i="2" a="1"/>
  <c r="N1112" i="2" s="1"/>
  <c r="Q1112" i="2" a="1"/>
  <c r="Q1112" i="2" s="1"/>
  <c r="M1112" i="2" a="1"/>
  <c r="M1112" i="2" s="1"/>
  <c r="P1112" i="2" a="1"/>
  <c r="P1112" i="2" s="1"/>
  <c r="O1112" i="2" a="1"/>
  <c r="O1112" i="2" s="1"/>
  <c r="P1108" i="2" a="1"/>
  <c r="P1108" i="2" s="1"/>
  <c r="M1108" i="2" a="1"/>
  <c r="M1108" i="2" s="1"/>
  <c r="O1108" i="2" a="1"/>
  <c r="O1108" i="2" s="1"/>
  <c r="R1108" i="2" a="1"/>
  <c r="R1108" i="2" s="1"/>
  <c r="N1108" i="2" a="1"/>
  <c r="N1108" i="2" s="1"/>
  <c r="Q1108" i="2" a="1"/>
  <c r="Q1108" i="2" s="1"/>
  <c r="O1104" i="2" a="1"/>
  <c r="O1104" i="2" s="1"/>
  <c r="R1104" i="2" a="1"/>
  <c r="R1104" i="2" s="1"/>
  <c r="N1104" i="2" a="1"/>
  <c r="N1104" i="2" s="1"/>
  <c r="Q1104" i="2" a="1"/>
  <c r="Q1104" i="2" s="1"/>
  <c r="P1104" i="2" a="1"/>
  <c r="P1104" i="2" s="1"/>
  <c r="M1104" i="2" a="1"/>
  <c r="M1104" i="2" s="1"/>
  <c r="Q1096" i="2" a="1"/>
  <c r="Q1096" i="2" s="1"/>
  <c r="P1096" i="2" a="1"/>
  <c r="P1096" i="2" s="1"/>
  <c r="M1096" i="2" a="1"/>
  <c r="M1096" i="2" s="1"/>
  <c r="O1096" i="2" a="1"/>
  <c r="O1096" i="2" s="1"/>
  <c r="R1096" i="2" a="1"/>
  <c r="R1096" i="2" s="1"/>
  <c r="N1096" i="2" a="1"/>
  <c r="N1096" i="2" s="1"/>
  <c r="P1092" i="2" a="1"/>
  <c r="P1092" i="2" s="1"/>
  <c r="M1092" i="2" a="1"/>
  <c r="M1092" i="2" s="1"/>
  <c r="O1092" i="2" a="1"/>
  <c r="O1092" i="2" s="1"/>
  <c r="R1092" i="2" a="1"/>
  <c r="R1092" i="2" s="1"/>
  <c r="N1092" i="2" a="1"/>
  <c r="N1092" i="2" s="1"/>
  <c r="Q1092" i="2" a="1"/>
  <c r="Q1092" i="2" s="1"/>
  <c r="P1088" i="2" a="1"/>
  <c r="P1088" i="2" s="1"/>
  <c r="O1088" i="2" a="1"/>
  <c r="O1088" i="2" s="1"/>
  <c r="R1088" i="2" a="1"/>
  <c r="R1088" i="2" s="1"/>
  <c r="N1088" i="2" a="1"/>
  <c r="N1088" i="2" s="1"/>
  <c r="Q1088" i="2" a="1"/>
  <c r="Q1088" i="2" s="1"/>
  <c r="M1088" i="2" a="1"/>
  <c r="M1088" i="2" s="1"/>
  <c r="P1084" i="2" a="1"/>
  <c r="P1084" i="2" s="1"/>
  <c r="O1084" i="2" a="1"/>
  <c r="O1084" i="2" s="1"/>
  <c r="R1084" i="2" a="1"/>
  <c r="R1084" i="2" s="1"/>
  <c r="N1084" i="2" a="1"/>
  <c r="N1084" i="2" s="1"/>
  <c r="Q1084" i="2" a="1"/>
  <c r="Q1084" i="2" s="1"/>
  <c r="M1084" i="2" a="1"/>
  <c r="M1084" i="2" s="1"/>
  <c r="P1080" i="2" a="1"/>
  <c r="P1080" i="2" s="1"/>
  <c r="O1080" i="2" a="1"/>
  <c r="O1080" i="2" s="1"/>
  <c r="R1080" i="2" a="1"/>
  <c r="R1080" i="2" s="1"/>
  <c r="N1080" i="2" a="1"/>
  <c r="N1080" i="2" s="1"/>
  <c r="Q1080" i="2" a="1"/>
  <c r="Q1080" i="2" s="1"/>
  <c r="M1080" i="2" a="1"/>
  <c r="M1080" i="2" s="1"/>
  <c r="P1076" i="2" a="1"/>
  <c r="P1076" i="2" s="1"/>
  <c r="O1076" i="2" a="1"/>
  <c r="O1076" i="2" s="1"/>
  <c r="R1076" i="2" a="1"/>
  <c r="R1076" i="2" s="1"/>
  <c r="N1076" i="2" a="1"/>
  <c r="N1076" i="2" s="1"/>
  <c r="Q1076" i="2" a="1"/>
  <c r="Q1076" i="2" s="1"/>
  <c r="M1076" i="2" a="1"/>
  <c r="M1076" i="2" s="1"/>
  <c r="P1072" i="2" a="1"/>
  <c r="P1072" i="2" s="1"/>
  <c r="O1072" i="2" a="1"/>
  <c r="O1072" i="2" s="1"/>
  <c r="R1072" i="2" a="1"/>
  <c r="R1072" i="2" s="1"/>
  <c r="N1072" i="2" a="1"/>
  <c r="N1072" i="2" s="1"/>
  <c r="Q1072" i="2" a="1"/>
  <c r="Q1072" i="2" s="1"/>
  <c r="M1072" i="2" a="1"/>
  <c r="M1072" i="2" s="1"/>
  <c r="R1064" i="2" a="1"/>
  <c r="R1064" i="2" s="1"/>
  <c r="N1064" i="2" a="1"/>
  <c r="N1064" i="2" s="1"/>
  <c r="Q1064" i="2" a="1"/>
  <c r="Q1064" i="2" s="1"/>
  <c r="M1064" i="2" a="1"/>
  <c r="M1064" i="2" s="1"/>
  <c r="P1064" i="2" a="1"/>
  <c r="P1064" i="2" s="1"/>
  <c r="O1064" i="2" a="1"/>
  <c r="O1064" i="2" s="1"/>
  <c r="R1060" i="2" a="1"/>
  <c r="R1060" i="2" s="1"/>
  <c r="N1060" i="2" a="1"/>
  <c r="N1060" i="2" s="1"/>
  <c r="Q1060" i="2" a="1"/>
  <c r="Q1060" i="2" s="1"/>
  <c r="M1060" i="2" a="1"/>
  <c r="M1060" i="2" s="1"/>
  <c r="P1060" i="2" a="1"/>
  <c r="P1060" i="2" s="1"/>
  <c r="O1060" i="2" a="1"/>
  <c r="O1060" i="2" s="1"/>
  <c r="P1056" i="2" a="1"/>
  <c r="P1056" i="2" s="1"/>
  <c r="R1056" i="2" a="1"/>
  <c r="R1056" i="2" s="1"/>
  <c r="O1056" i="2" a="1"/>
  <c r="O1056" i="2" s="1"/>
  <c r="M1056" i="2" a="1"/>
  <c r="M1056" i="2" s="1"/>
  <c r="Q1056" i="2" a="1"/>
  <c r="Q1056" i="2" s="1"/>
  <c r="N1056" i="2" a="1"/>
  <c r="N1056" i="2" s="1"/>
  <c r="R1052" i="2" a="1"/>
  <c r="R1052" i="2" s="1"/>
  <c r="O1052" i="2" a="1"/>
  <c r="O1052" i="2" s="1"/>
  <c r="Q1052" i="2" a="1"/>
  <c r="Q1052" i="2" s="1"/>
  <c r="N1052" i="2" a="1"/>
  <c r="N1052" i="2" s="1"/>
  <c r="P1052" i="2" a="1"/>
  <c r="P1052" i="2" s="1"/>
  <c r="M1052" i="2" a="1"/>
  <c r="M1052" i="2" s="1"/>
  <c r="M1048" i="2" a="1"/>
  <c r="M1048" i="2" s="1"/>
  <c r="P1048" i="2" a="1"/>
  <c r="P1048" i="2" s="1"/>
  <c r="Q1048" i="2" a="1"/>
  <c r="Q1048" i="2" s="1"/>
  <c r="O1048" i="2" a="1"/>
  <c r="O1048" i="2" s="1"/>
  <c r="N1048" i="2" a="1"/>
  <c r="N1048" i="2" s="1"/>
  <c r="R1048" i="2" a="1"/>
  <c r="R1048" i="2" s="1"/>
  <c r="R1044" i="2" a="1"/>
  <c r="R1044" i="2" s="1"/>
  <c r="O1044" i="2" a="1"/>
  <c r="O1044" i="2" s="1"/>
  <c r="Q1044" i="2" a="1"/>
  <c r="Q1044" i="2" s="1"/>
  <c r="N1044" i="2" a="1"/>
  <c r="N1044" i="2" s="1"/>
  <c r="P1044" i="2" a="1"/>
  <c r="P1044" i="2" s="1"/>
  <c r="M1044" i="2" a="1"/>
  <c r="M1044" i="2" s="1"/>
  <c r="Q1040" i="2" a="1"/>
  <c r="Q1040" i="2" s="1"/>
  <c r="N1040" i="2" a="1"/>
  <c r="N1040" i="2" s="1"/>
  <c r="M1040" i="2" a="1"/>
  <c r="M1040" i="2" s="1"/>
  <c r="O1040" i="2" a="1"/>
  <c r="O1040" i="2" s="1"/>
  <c r="R1040" i="2" a="1"/>
  <c r="R1040" i="2" s="1"/>
  <c r="P1040" i="2" a="1"/>
  <c r="P1040" i="2" s="1"/>
  <c r="M1036" i="2" a="1"/>
  <c r="M1036" i="2" s="1"/>
  <c r="P1036" i="2" a="1"/>
  <c r="P1036" i="2" s="1"/>
  <c r="N1036" i="2" a="1"/>
  <c r="N1036" i="2" s="1"/>
  <c r="R1036" i="2" a="1"/>
  <c r="R1036" i="2" s="1"/>
  <c r="Q1036" i="2" a="1"/>
  <c r="Q1036" i="2" s="1"/>
  <c r="O1036" i="2" a="1"/>
  <c r="O1036" i="2" s="1"/>
  <c r="P1032" i="2" a="1"/>
  <c r="P1032" i="2" s="1"/>
  <c r="R1032" i="2" a="1"/>
  <c r="R1032" i="2" s="1"/>
  <c r="O1032" i="2" a="1"/>
  <c r="O1032" i="2" s="1"/>
  <c r="M1032" i="2" a="1"/>
  <c r="M1032" i="2" s="1"/>
  <c r="Q1032" i="2" a="1"/>
  <c r="Q1032" i="2" s="1"/>
  <c r="N1032" i="2" a="1"/>
  <c r="N1032" i="2" s="1"/>
  <c r="R1028" i="2" a="1"/>
  <c r="R1028" i="2" s="1"/>
  <c r="O1028" i="2" a="1"/>
  <c r="O1028" i="2" s="1"/>
  <c r="Q1028" i="2" a="1"/>
  <c r="Q1028" i="2" s="1"/>
  <c r="N1028" i="2" a="1"/>
  <c r="N1028" i="2" s="1"/>
  <c r="P1028" i="2" a="1"/>
  <c r="P1028" i="2" s="1"/>
  <c r="M1028" i="2" a="1"/>
  <c r="M1028" i="2" s="1"/>
  <c r="Q1024" i="2" a="1"/>
  <c r="Q1024" i="2" s="1"/>
  <c r="N1024" i="2" a="1"/>
  <c r="N1024" i="2" s="1"/>
  <c r="M1024" i="2" a="1"/>
  <c r="M1024" i="2" s="1"/>
  <c r="R1024" i="2" a="1"/>
  <c r="R1024" i="2" s="1"/>
  <c r="P1024" i="2" a="1"/>
  <c r="P1024" i="2" s="1"/>
  <c r="O1024" i="2" a="1"/>
  <c r="O1024" i="2" s="1"/>
  <c r="M1020" i="2" a="1"/>
  <c r="M1020" i="2" s="1"/>
  <c r="P1020" i="2" a="1"/>
  <c r="P1020" i="2" s="1"/>
  <c r="Q1020" i="2" a="1"/>
  <c r="Q1020" i="2" s="1"/>
  <c r="O1020" i="2" a="1"/>
  <c r="O1020" i="2" s="1"/>
  <c r="N1020" i="2" a="1"/>
  <c r="N1020" i="2" s="1"/>
  <c r="R1020" i="2" a="1"/>
  <c r="R1020" i="2" s="1"/>
  <c r="P1016" i="2" a="1"/>
  <c r="P1016" i="2" s="1"/>
  <c r="R1016" i="2" a="1"/>
  <c r="R1016" i="2" s="1"/>
  <c r="O1016" i="2" a="1"/>
  <c r="O1016" i="2" s="1"/>
  <c r="N1016" i="2" a="1"/>
  <c r="N1016" i="2" s="1"/>
  <c r="M1016" i="2" a="1"/>
  <c r="M1016" i="2" s="1"/>
  <c r="Q1016" i="2" a="1"/>
  <c r="Q1016" i="2" s="1"/>
  <c r="Q1012" i="2" a="1"/>
  <c r="Q1012" i="2" s="1"/>
  <c r="N1012" i="2" a="1"/>
  <c r="N1012" i="2" s="1"/>
  <c r="M1012" i="2" a="1"/>
  <c r="M1012" i="2" s="1"/>
  <c r="O1012" i="2" a="1"/>
  <c r="O1012" i="2" s="1"/>
  <c r="R1012" i="2" a="1"/>
  <c r="R1012" i="2" s="1"/>
  <c r="P1012" i="2" a="1"/>
  <c r="P1012" i="2" s="1"/>
  <c r="M1008" i="2" a="1"/>
  <c r="M1008" i="2" s="1"/>
  <c r="P1008" i="2" a="1"/>
  <c r="P1008" i="2" s="1"/>
  <c r="N1008" i="2" a="1"/>
  <c r="N1008" i="2" s="1"/>
  <c r="R1008" i="2" a="1"/>
  <c r="R1008" i="2" s="1"/>
  <c r="Q1008" i="2" a="1"/>
  <c r="Q1008" i="2" s="1"/>
  <c r="O1008" i="2" a="1"/>
  <c r="O1008" i="2" s="1"/>
  <c r="P1004" i="2" a="1"/>
  <c r="P1004" i="2" s="1"/>
  <c r="R1004" i="2" a="1"/>
  <c r="R1004" i="2" s="1"/>
  <c r="O1004" i="2" a="1"/>
  <c r="O1004" i="2" s="1"/>
  <c r="M1004" i="2" a="1"/>
  <c r="M1004" i="2" s="1"/>
  <c r="Q1004" i="2" a="1"/>
  <c r="Q1004" i="2" s="1"/>
  <c r="N1004" i="2" a="1"/>
  <c r="N1004" i="2" s="1"/>
  <c r="Q1000" i="2" a="1"/>
  <c r="Q1000" i="2" s="1"/>
  <c r="M1000" i="2" a="1"/>
  <c r="M1000" i="2" s="1"/>
  <c r="P1000" i="2" a="1"/>
  <c r="P1000" i="2" s="1"/>
  <c r="R1000" i="2" a="1"/>
  <c r="R1000" i="2" s="1"/>
  <c r="O1000" i="2" a="1"/>
  <c r="O1000" i="2" s="1"/>
  <c r="N1000" i="2" a="1"/>
  <c r="N1000" i="2" s="1"/>
  <c r="Q996" i="2" a="1"/>
  <c r="Q996" i="2" s="1"/>
  <c r="M996" i="2" a="1"/>
  <c r="M996" i="2" s="1"/>
  <c r="O996" i="2" a="1"/>
  <c r="O996" i="2" s="1"/>
  <c r="N996" i="2" a="1"/>
  <c r="N996" i="2" s="1"/>
  <c r="R996" i="2" a="1"/>
  <c r="R996" i="2" s="1"/>
  <c r="P996" i="2" a="1"/>
  <c r="P996" i="2" s="1"/>
  <c r="Q992" i="2" a="1"/>
  <c r="Q992" i="2" s="1"/>
  <c r="M992" i="2" a="1"/>
  <c r="M992" i="2" s="1"/>
  <c r="O992" i="2" a="1"/>
  <c r="O992" i="2" s="1"/>
  <c r="N992" i="2" a="1"/>
  <c r="N992" i="2" s="1"/>
  <c r="R992" i="2" a="1"/>
  <c r="R992" i="2" s="1"/>
  <c r="P992" i="2" a="1"/>
  <c r="P992" i="2" s="1"/>
  <c r="Q984" i="2" a="1"/>
  <c r="Q984" i="2" s="1"/>
  <c r="M984" i="2" a="1"/>
  <c r="M984" i="2" s="1"/>
  <c r="O984" i="2" a="1"/>
  <c r="O984" i="2" s="1"/>
  <c r="N984" i="2" a="1"/>
  <c r="N984" i="2" s="1"/>
  <c r="R984" i="2" a="1"/>
  <c r="R984" i="2" s="1"/>
  <c r="P984" i="2" a="1"/>
  <c r="P984" i="2" s="1"/>
  <c r="Q980" i="2" a="1"/>
  <c r="Q980" i="2" s="1"/>
  <c r="M980" i="2" a="1"/>
  <c r="M980" i="2" s="1"/>
  <c r="O980" i="2" a="1"/>
  <c r="O980" i="2" s="1"/>
  <c r="N980" i="2" a="1"/>
  <c r="N980" i="2" s="1"/>
  <c r="R980" i="2" a="1"/>
  <c r="R980" i="2" s="1"/>
  <c r="P980" i="2" a="1"/>
  <c r="P980" i="2" s="1"/>
  <c r="Q976" i="2" a="1"/>
  <c r="Q976" i="2" s="1"/>
  <c r="M976" i="2" a="1"/>
  <c r="M976" i="2" s="1"/>
  <c r="O976" i="2" a="1"/>
  <c r="O976" i="2" s="1"/>
  <c r="N976" i="2" a="1"/>
  <c r="N976" i="2" s="1"/>
  <c r="R976" i="2" a="1"/>
  <c r="R976" i="2" s="1"/>
  <c r="P976" i="2" a="1"/>
  <c r="P976" i="2" s="1"/>
  <c r="Q972" i="2" a="1"/>
  <c r="Q972" i="2" s="1"/>
  <c r="M972" i="2" a="1"/>
  <c r="M972" i="2" s="1"/>
  <c r="O972" i="2" a="1"/>
  <c r="O972" i="2" s="1"/>
  <c r="N972" i="2" a="1"/>
  <c r="N972" i="2" s="1"/>
  <c r="R972" i="2" a="1"/>
  <c r="R972" i="2" s="1"/>
  <c r="P972" i="2" a="1"/>
  <c r="P972" i="2" s="1"/>
  <c r="Q968" i="2" a="1"/>
  <c r="Q968" i="2" s="1"/>
  <c r="M968" i="2" a="1"/>
  <c r="M968" i="2" s="1"/>
  <c r="O968" i="2" a="1"/>
  <c r="O968" i="2" s="1"/>
  <c r="N968" i="2" a="1"/>
  <c r="N968" i="2" s="1"/>
  <c r="R968" i="2" a="1"/>
  <c r="R968" i="2" s="1"/>
  <c r="P968" i="2" a="1"/>
  <c r="P968" i="2" s="1"/>
  <c r="Q964" i="2" a="1"/>
  <c r="Q964" i="2" s="1"/>
  <c r="M964" i="2" a="1"/>
  <c r="M964" i="2" s="1"/>
  <c r="O964" i="2" a="1"/>
  <c r="O964" i="2" s="1"/>
  <c r="N964" i="2" a="1"/>
  <c r="N964" i="2" s="1"/>
  <c r="R964" i="2" a="1"/>
  <c r="R964" i="2" s="1"/>
  <c r="P964" i="2" a="1"/>
  <c r="P964" i="2" s="1"/>
  <c r="Q960" i="2" a="1"/>
  <c r="Q960" i="2" s="1"/>
  <c r="M960" i="2" a="1"/>
  <c r="M960" i="2" s="1"/>
  <c r="O960" i="2" a="1"/>
  <c r="O960" i="2" s="1"/>
  <c r="N960" i="2" a="1"/>
  <c r="N960" i="2" s="1"/>
  <c r="R960" i="2" a="1"/>
  <c r="R960" i="2" s="1"/>
  <c r="P960" i="2" a="1"/>
  <c r="P960" i="2" s="1"/>
  <c r="Q956" i="2" a="1"/>
  <c r="Q956" i="2" s="1"/>
  <c r="M956" i="2" a="1"/>
  <c r="M956" i="2" s="1"/>
  <c r="O956" i="2" a="1"/>
  <c r="O956" i="2" s="1"/>
  <c r="N956" i="2" a="1"/>
  <c r="N956" i="2" s="1"/>
  <c r="R956" i="2" a="1"/>
  <c r="R956" i="2" s="1"/>
  <c r="P956" i="2" a="1"/>
  <c r="P956" i="2" s="1"/>
  <c r="Q952" i="2" a="1"/>
  <c r="Q952" i="2" s="1"/>
  <c r="M952" i="2" a="1"/>
  <c r="M952" i="2" s="1"/>
  <c r="O952" i="2" a="1"/>
  <c r="O952" i="2" s="1"/>
  <c r="N952" i="2" a="1"/>
  <c r="N952" i="2" s="1"/>
  <c r="R952" i="2" a="1"/>
  <c r="R952" i="2" s="1"/>
  <c r="P952" i="2" a="1"/>
  <c r="P952" i="2" s="1"/>
  <c r="Q948" i="2" a="1"/>
  <c r="Q948" i="2" s="1"/>
  <c r="M948" i="2" a="1"/>
  <c r="M948" i="2" s="1"/>
  <c r="O948" i="2" a="1"/>
  <c r="O948" i="2" s="1"/>
  <c r="N948" i="2" a="1"/>
  <c r="N948" i="2" s="1"/>
  <c r="R948" i="2" a="1"/>
  <c r="R948" i="2" s="1"/>
  <c r="P948" i="2" a="1"/>
  <c r="P948" i="2" s="1"/>
  <c r="Q944" i="2" a="1"/>
  <c r="Q944" i="2" s="1"/>
  <c r="M944" i="2" a="1"/>
  <c r="M944" i="2" s="1"/>
  <c r="O944" i="2" a="1"/>
  <c r="O944" i="2" s="1"/>
  <c r="N944" i="2" a="1"/>
  <c r="N944" i="2" s="1"/>
  <c r="R944" i="2" a="1"/>
  <c r="R944" i="2" s="1"/>
  <c r="P944" i="2" a="1"/>
  <c r="P944" i="2" s="1"/>
  <c r="Q940" i="2" a="1"/>
  <c r="Q940" i="2" s="1"/>
  <c r="M940" i="2" a="1"/>
  <c r="M940" i="2" s="1"/>
  <c r="O940" i="2" a="1"/>
  <c r="O940" i="2" s="1"/>
  <c r="N940" i="2" a="1"/>
  <c r="N940" i="2" s="1"/>
  <c r="R940" i="2" a="1"/>
  <c r="R940" i="2" s="1"/>
  <c r="P940" i="2" a="1"/>
  <c r="P940" i="2" s="1"/>
  <c r="Q936" i="2" a="1"/>
  <c r="Q936" i="2" s="1"/>
  <c r="M936" i="2" a="1"/>
  <c r="M936" i="2" s="1"/>
  <c r="O936" i="2" a="1"/>
  <c r="O936" i="2" s="1"/>
  <c r="N936" i="2" a="1"/>
  <c r="N936" i="2" s="1"/>
  <c r="R936" i="2" a="1"/>
  <c r="R936" i="2" s="1"/>
  <c r="P936" i="2" a="1"/>
  <c r="P936" i="2" s="1"/>
  <c r="Q932" i="2" a="1"/>
  <c r="Q932" i="2" s="1"/>
  <c r="M932" i="2" a="1"/>
  <c r="M932" i="2" s="1"/>
  <c r="O932" i="2" a="1"/>
  <c r="O932" i="2" s="1"/>
  <c r="N932" i="2" a="1"/>
  <c r="N932" i="2" s="1"/>
  <c r="R932" i="2" a="1"/>
  <c r="R932" i="2" s="1"/>
  <c r="P932" i="2" a="1"/>
  <c r="P932" i="2" s="1"/>
  <c r="Q928" i="2" a="1"/>
  <c r="Q928" i="2" s="1"/>
  <c r="M928" i="2" a="1"/>
  <c r="M928" i="2" s="1"/>
  <c r="O928" i="2" a="1"/>
  <c r="O928" i="2" s="1"/>
  <c r="N928" i="2" a="1"/>
  <c r="N928" i="2" s="1"/>
  <c r="R928" i="2" a="1"/>
  <c r="R928" i="2" s="1"/>
  <c r="P928" i="2" a="1"/>
  <c r="P928" i="2" s="1"/>
  <c r="Q924" i="2" a="1"/>
  <c r="Q924" i="2" s="1"/>
  <c r="M924" i="2" a="1"/>
  <c r="M924" i="2" s="1"/>
  <c r="O924" i="2" a="1"/>
  <c r="O924" i="2" s="1"/>
  <c r="N924" i="2" a="1"/>
  <c r="N924" i="2" s="1"/>
  <c r="R924" i="2" a="1"/>
  <c r="R924" i="2" s="1"/>
  <c r="P924" i="2" a="1"/>
  <c r="P924" i="2" s="1"/>
  <c r="Q920" i="2" a="1"/>
  <c r="Q920" i="2" s="1"/>
  <c r="M920" i="2" a="1"/>
  <c r="M920" i="2" s="1"/>
  <c r="O920" i="2" a="1"/>
  <c r="O920" i="2" s="1"/>
  <c r="N920" i="2" a="1"/>
  <c r="N920" i="2" s="1"/>
  <c r="R920" i="2" a="1"/>
  <c r="R920" i="2" s="1"/>
  <c r="P920" i="2" a="1"/>
  <c r="P920" i="2" s="1"/>
  <c r="Q916" i="2" a="1"/>
  <c r="Q916" i="2" s="1"/>
  <c r="M916" i="2" a="1"/>
  <c r="M916" i="2" s="1"/>
  <c r="O916" i="2" a="1"/>
  <c r="O916" i="2" s="1"/>
  <c r="N916" i="2" a="1"/>
  <c r="N916" i="2" s="1"/>
  <c r="R916" i="2" a="1"/>
  <c r="R916" i="2" s="1"/>
  <c r="P916" i="2" a="1"/>
  <c r="P916" i="2" s="1"/>
  <c r="Q912" i="2" a="1"/>
  <c r="Q912" i="2" s="1"/>
  <c r="M912" i="2" a="1"/>
  <c r="M912" i="2" s="1"/>
  <c r="O912" i="2" a="1"/>
  <c r="O912" i="2" s="1"/>
  <c r="N912" i="2" a="1"/>
  <c r="N912" i="2" s="1"/>
  <c r="R912" i="2" a="1"/>
  <c r="R912" i="2" s="1"/>
  <c r="P912" i="2" a="1"/>
  <c r="P912" i="2" s="1"/>
  <c r="Q908" i="2" a="1"/>
  <c r="Q908" i="2" s="1"/>
  <c r="M908" i="2" a="1"/>
  <c r="M908" i="2" s="1"/>
  <c r="O908" i="2" a="1"/>
  <c r="O908" i="2" s="1"/>
  <c r="N908" i="2" a="1"/>
  <c r="N908" i="2" s="1"/>
  <c r="R908" i="2" a="1"/>
  <c r="R908" i="2" s="1"/>
  <c r="P908" i="2" a="1"/>
  <c r="P908" i="2" s="1"/>
  <c r="Q904" i="2" a="1"/>
  <c r="Q904" i="2" s="1"/>
  <c r="M904" i="2" a="1"/>
  <c r="M904" i="2" s="1"/>
  <c r="O904" i="2" a="1"/>
  <c r="O904" i="2" s="1"/>
  <c r="N904" i="2" a="1"/>
  <c r="N904" i="2" s="1"/>
  <c r="R904" i="2" a="1"/>
  <c r="R904" i="2" s="1"/>
  <c r="P904" i="2" a="1"/>
  <c r="P904" i="2" s="1"/>
  <c r="Q900" i="2" a="1"/>
  <c r="Q900" i="2" s="1"/>
  <c r="M900" i="2" a="1"/>
  <c r="M900" i="2" s="1"/>
  <c r="O900" i="2" a="1"/>
  <c r="O900" i="2" s="1"/>
  <c r="N900" i="2" a="1"/>
  <c r="N900" i="2" s="1"/>
  <c r="R900" i="2" a="1"/>
  <c r="R900" i="2" s="1"/>
  <c r="P900" i="2" a="1"/>
  <c r="P900" i="2" s="1"/>
  <c r="Q896" i="2" a="1"/>
  <c r="Q896" i="2" s="1"/>
  <c r="M896" i="2" a="1"/>
  <c r="M896" i="2" s="1"/>
  <c r="O896" i="2" a="1"/>
  <c r="O896" i="2" s="1"/>
  <c r="N896" i="2" a="1"/>
  <c r="N896" i="2" s="1"/>
  <c r="R896" i="2" a="1"/>
  <c r="R896" i="2" s="1"/>
  <c r="P896" i="2" a="1"/>
  <c r="P896" i="2" s="1"/>
  <c r="Q892" i="2" a="1"/>
  <c r="Q892" i="2" s="1"/>
  <c r="M892" i="2" a="1"/>
  <c r="M892" i="2" s="1"/>
  <c r="O892" i="2" a="1"/>
  <c r="O892" i="2" s="1"/>
  <c r="N892" i="2" a="1"/>
  <c r="N892" i="2" s="1"/>
  <c r="R892" i="2" a="1"/>
  <c r="R892" i="2" s="1"/>
  <c r="P892" i="2" a="1"/>
  <c r="P892" i="2" s="1"/>
  <c r="Q888" i="2" a="1"/>
  <c r="Q888" i="2" s="1"/>
  <c r="M888" i="2" a="1"/>
  <c r="M888" i="2" s="1"/>
  <c r="O888" i="2" a="1"/>
  <c r="O888" i="2" s="1"/>
  <c r="N888" i="2" a="1"/>
  <c r="N888" i="2" s="1"/>
  <c r="R888" i="2" a="1"/>
  <c r="R888" i="2" s="1"/>
  <c r="P888" i="2" a="1"/>
  <c r="P888" i="2" s="1"/>
  <c r="Q884" i="2" a="1"/>
  <c r="Q884" i="2" s="1"/>
  <c r="M884" i="2" a="1"/>
  <c r="M884" i="2" s="1"/>
  <c r="O884" i="2" a="1"/>
  <c r="O884" i="2" s="1"/>
  <c r="N884" i="2" a="1"/>
  <c r="N884" i="2" s="1"/>
  <c r="R884" i="2" a="1"/>
  <c r="R884" i="2" s="1"/>
  <c r="P884" i="2" a="1"/>
  <c r="P884" i="2" s="1"/>
  <c r="Q880" i="2" a="1"/>
  <c r="Q880" i="2" s="1"/>
  <c r="M880" i="2" a="1"/>
  <c r="M880" i="2" s="1"/>
  <c r="O880" i="2" a="1"/>
  <c r="O880" i="2" s="1"/>
  <c r="N880" i="2" a="1"/>
  <c r="N880" i="2" s="1"/>
  <c r="R880" i="2" a="1"/>
  <c r="R880" i="2" s="1"/>
  <c r="P880" i="2" a="1"/>
  <c r="P880" i="2" s="1"/>
  <c r="Q876" i="2" a="1"/>
  <c r="Q876" i="2" s="1"/>
  <c r="M876" i="2" a="1"/>
  <c r="M876" i="2" s="1"/>
  <c r="O876" i="2" a="1"/>
  <c r="O876" i="2" s="1"/>
  <c r="N876" i="2" a="1"/>
  <c r="N876" i="2" s="1"/>
  <c r="R876" i="2" a="1"/>
  <c r="R876" i="2" s="1"/>
  <c r="P876" i="2" a="1"/>
  <c r="P876" i="2" s="1"/>
  <c r="Q872" i="2" a="1"/>
  <c r="Q872" i="2" s="1"/>
  <c r="M872" i="2" a="1"/>
  <c r="M872" i="2" s="1"/>
  <c r="O872" i="2" a="1"/>
  <c r="O872" i="2" s="1"/>
  <c r="N872" i="2" a="1"/>
  <c r="N872" i="2" s="1"/>
  <c r="R872" i="2" a="1"/>
  <c r="R872" i="2" s="1"/>
  <c r="P872" i="2" a="1"/>
  <c r="P872" i="2" s="1"/>
  <c r="R868" i="2" a="1"/>
  <c r="R868" i="2" s="1"/>
  <c r="M868" i="2" a="1"/>
  <c r="M868" i="2" s="1"/>
  <c r="O868" i="2" a="1"/>
  <c r="O868" i="2" s="1"/>
  <c r="N868" i="2" a="1"/>
  <c r="N868" i="2" s="1"/>
  <c r="Q868" i="2" a="1"/>
  <c r="Q868" i="2" s="1"/>
  <c r="P868" i="2" a="1"/>
  <c r="P868" i="2" s="1"/>
  <c r="P864" i="2" a="1"/>
  <c r="P864" i="2" s="1"/>
  <c r="R864" i="2" a="1"/>
  <c r="R864" i="2" s="1"/>
  <c r="M864" i="2" a="1"/>
  <c r="M864" i="2" s="1"/>
  <c r="Q864" i="2" a="1"/>
  <c r="Q864" i="2" s="1"/>
  <c r="O864" i="2" a="1"/>
  <c r="O864" i="2" s="1"/>
  <c r="N864" i="2" a="1"/>
  <c r="N864" i="2" s="1"/>
  <c r="R860" i="2" a="1"/>
  <c r="R860" i="2" s="1"/>
  <c r="N860" i="2" a="1"/>
  <c r="N860" i="2" s="1"/>
  <c r="Q860" i="2" a="1"/>
  <c r="Q860" i="2" s="1"/>
  <c r="M860" i="2" a="1"/>
  <c r="M860" i="2" s="1"/>
  <c r="P860" i="2" a="1"/>
  <c r="P860" i="2" s="1"/>
  <c r="O860" i="2" a="1"/>
  <c r="O860" i="2" s="1"/>
  <c r="R856" i="2" a="1"/>
  <c r="R856" i="2" s="1"/>
  <c r="N856" i="2" a="1"/>
  <c r="N856" i="2" s="1"/>
  <c r="Q856" i="2" a="1"/>
  <c r="Q856" i="2" s="1"/>
  <c r="M856" i="2" a="1"/>
  <c r="M856" i="2" s="1"/>
  <c r="P856" i="2" a="1"/>
  <c r="P856" i="2" s="1"/>
  <c r="O856" i="2" a="1"/>
  <c r="O856" i="2" s="1"/>
  <c r="R852" i="2" a="1"/>
  <c r="R852" i="2" s="1"/>
  <c r="N852" i="2" a="1"/>
  <c r="N852" i="2" s="1"/>
  <c r="Q852" i="2" a="1"/>
  <c r="Q852" i="2" s="1"/>
  <c r="M852" i="2" a="1"/>
  <c r="M852" i="2" s="1"/>
  <c r="P852" i="2" a="1"/>
  <c r="P852" i="2" s="1"/>
  <c r="O852" i="2" a="1"/>
  <c r="O852" i="2" s="1"/>
  <c r="R848" i="2" a="1"/>
  <c r="R848" i="2" s="1"/>
  <c r="N848" i="2" a="1"/>
  <c r="N848" i="2" s="1"/>
  <c r="Q848" i="2" a="1"/>
  <c r="Q848" i="2" s="1"/>
  <c r="M848" i="2" a="1"/>
  <c r="M848" i="2" s="1"/>
  <c r="P848" i="2" a="1"/>
  <c r="P848" i="2" s="1"/>
  <c r="O848" i="2" a="1"/>
  <c r="O848" i="2" s="1"/>
  <c r="R844" i="2" a="1"/>
  <c r="R844" i="2" s="1"/>
  <c r="N844" i="2" a="1"/>
  <c r="N844" i="2" s="1"/>
  <c r="Q844" i="2" a="1"/>
  <c r="Q844" i="2" s="1"/>
  <c r="M844" i="2" a="1"/>
  <c r="M844" i="2" s="1"/>
  <c r="P844" i="2" a="1"/>
  <c r="P844" i="2" s="1"/>
  <c r="O844" i="2" a="1"/>
  <c r="O844" i="2" s="1"/>
  <c r="R840" i="2" a="1"/>
  <c r="R840" i="2" s="1"/>
  <c r="N840" i="2" a="1"/>
  <c r="N840" i="2" s="1"/>
  <c r="Q840" i="2" a="1"/>
  <c r="Q840" i="2" s="1"/>
  <c r="M840" i="2" a="1"/>
  <c r="M840" i="2" s="1"/>
  <c r="P840" i="2" a="1"/>
  <c r="P840" i="2" s="1"/>
  <c r="O840" i="2" a="1"/>
  <c r="O840" i="2" s="1"/>
  <c r="R836" i="2" a="1"/>
  <c r="R836" i="2" s="1"/>
  <c r="N836" i="2" a="1"/>
  <c r="N836" i="2" s="1"/>
  <c r="Q836" i="2" a="1"/>
  <c r="Q836" i="2" s="1"/>
  <c r="M836" i="2" a="1"/>
  <c r="M836" i="2" s="1"/>
  <c r="P836" i="2" a="1"/>
  <c r="P836" i="2" s="1"/>
  <c r="O836" i="2" a="1"/>
  <c r="O836" i="2" s="1"/>
  <c r="R832" i="2" a="1"/>
  <c r="R832" i="2" s="1"/>
  <c r="N832" i="2" a="1"/>
  <c r="N832" i="2" s="1"/>
  <c r="Q832" i="2" a="1"/>
  <c r="Q832" i="2" s="1"/>
  <c r="M832" i="2" a="1"/>
  <c r="M832" i="2" s="1"/>
  <c r="P832" i="2" a="1"/>
  <c r="P832" i="2" s="1"/>
  <c r="O832" i="2" a="1"/>
  <c r="O832" i="2" s="1"/>
  <c r="R828" i="2" a="1"/>
  <c r="R828" i="2" s="1"/>
  <c r="N828" i="2" a="1"/>
  <c r="N828" i="2" s="1"/>
  <c r="Q828" i="2" a="1"/>
  <c r="Q828" i="2" s="1"/>
  <c r="M828" i="2" a="1"/>
  <c r="M828" i="2" s="1"/>
  <c r="P828" i="2" a="1"/>
  <c r="P828" i="2" s="1"/>
  <c r="O828" i="2" a="1"/>
  <c r="O828" i="2" s="1"/>
  <c r="R824" i="2" a="1"/>
  <c r="R824" i="2" s="1"/>
  <c r="N824" i="2" a="1"/>
  <c r="N824" i="2" s="1"/>
  <c r="Q824" i="2" a="1"/>
  <c r="Q824" i="2" s="1"/>
  <c r="M824" i="2" a="1"/>
  <c r="M824" i="2" s="1"/>
  <c r="P824" i="2" a="1"/>
  <c r="P824" i="2" s="1"/>
  <c r="O824" i="2" a="1"/>
  <c r="O824" i="2" s="1"/>
  <c r="R820" i="2" a="1"/>
  <c r="R820" i="2" s="1"/>
  <c r="N820" i="2" a="1"/>
  <c r="N820" i="2" s="1"/>
  <c r="Q820" i="2" a="1"/>
  <c r="Q820" i="2" s="1"/>
  <c r="M820" i="2" a="1"/>
  <c r="M820" i="2" s="1"/>
  <c r="P820" i="2" a="1"/>
  <c r="P820" i="2" s="1"/>
  <c r="O820" i="2" a="1"/>
  <c r="O820" i="2" s="1"/>
  <c r="R816" i="2" a="1"/>
  <c r="R816" i="2" s="1"/>
  <c r="N816" i="2" a="1"/>
  <c r="N816" i="2" s="1"/>
  <c r="Q816" i="2" a="1"/>
  <c r="Q816" i="2" s="1"/>
  <c r="M816" i="2" a="1"/>
  <c r="M816" i="2" s="1"/>
  <c r="P816" i="2" a="1"/>
  <c r="P816" i="2" s="1"/>
  <c r="O816" i="2" a="1"/>
  <c r="O816" i="2" s="1"/>
  <c r="R812" i="2" a="1"/>
  <c r="R812" i="2" s="1"/>
  <c r="N812" i="2" a="1"/>
  <c r="N812" i="2" s="1"/>
  <c r="Q812" i="2" a="1"/>
  <c r="Q812" i="2" s="1"/>
  <c r="M812" i="2" a="1"/>
  <c r="M812" i="2" s="1"/>
  <c r="P812" i="2" a="1"/>
  <c r="P812" i="2" s="1"/>
  <c r="O812" i="2" a="1"/>
  <c r="O812" i="2" s="1"/>
  <c r="R808" i="2" a="1"/>
  <c r="R808" i="2" s="1"/>
  <c r="N808" i="2" a="1"/>
  <c r="N808" i="2" s="1"/>
  <c r="Q808" i="2" a="1"/>
  <c r="Q808" i="2" s="1"/>
  <c r="M808" i="2" a="1"/>
  <c r="M808" i="2" s="1"/>
  <c r="P808" i="2" a="1"/>
  <c r="P808" i="2" s="1"/>
  <c r="O808" i="2" a="1"/>
  <c r="O808" i="2" s="1"/>
  <c r="R804" i="2" a="1"/>
  <c r="R804" i="2" s="1"/>
  <c r="N804" i="2" a="1"/>
  <c r="N804" i="2" s="1"/>
  <c r="Q804" i="2" a="1"/>
  <c r="Q804" i="2" s="1"/>
  <c r="M804" i="2" a="1"/>
  <c r="M804" i="2" s="1"/>
  <c r="P804" i="2" a="1"/>
  <c r="P804" i="2" s="1"/>
  <c r="O804" i="2" a="1"/>
  <c r="O804" i="2" s="1"/>
  <c r="R800" i="2" a="1"/>
  <c r="R800" i="2" s="1"/>
  <c r="N800" i="2" a="1"/>
  <c r="N800" i="2" s="1"/>
  <c r="Q800" i="2" a="1"/>
  <c r="Q800" i="2" s="1"/>
  <c r="M800" i="2" a="1"/>
  <c r="M800" i="2" s="1"/>
  <c r="P800" i="2" a="1"/>
  <c r="P800" i="2" s="1"/>
  <c r="O800" i="2" a="1"/>
  <c r="O800" i="2" s="1"/>
  <c r="R796" i="2" a="1"/>
  <c r="R796" i="2" s="1"/>
  <c r="N796" i="2" a="1"/>
  <c r="N796" i="2" s="1"/>
  <c r="Q796" i="2" a="1"/>
  <c r="Q796" i="2" s="1"/>
  <c r="M796" i="2" a="1"/>
  <c r="M796" i="2" s="1"/>
  <c r="P796" i="2" a="1"/>
  <c r="P796" i="2" s="1"/>
  <c r="O796" i="2" a="1"/>
  <c r="O796" i="2" s="1"/>
  <c r="R792" i="2" a="1"/>
  <c r="R792" i="2" s="1"/>
  <c r="N792" i="2" a="1"/>
  <c r="N792" i="2" s="1"/>
  <c r="Q792" i="2" a="1"/>
  <c r="Q792" i="2" s="1"/>
  <c r="M792" i="2" a="1"/>
  <c r="M792" i="2" s="1"/>
  <c r="P792" i="2" a="1"/>
  <c r="P792" i="2" s="1"/>
  <c r="O792" i="2" a="1"/>
  <c r="O792" i="2" s="1"/>
  <c r="R784" i="2" a="1"/>
  <c r="R784" i="2" s="1"/>
  <c r="N784" i="2" a="1"/>
  <c r="N784" i="2" s="1"/>
  <c r="Q784" i="2" a="1"/>
  <c r="Q784" i="2" s="1"/>
  <c r="M784" i="2" a="1"/>
  <c r="M784" i="2" s="1"/>
  <c r="P784" i="2" a="1"/>
  <c r="P784" i="2" s="1"/>
  <c r="O784" i="2" a="1"/>
  <c r="O784" i="2" s="1"/>
  <c r="R780" i="2" a="1"/>
  <c r="R780" i="2" s="1"/>
  <c r="N780" i="2" a="1"/>
  <c r="N780" i="2" s="1"/>
  <c r="Q780" i="2" a="1"/>
  <c r="Q780" i="2" s="1"/>
  <c r="M780" i="2" a="1"/>
  <c r="M780" i="2" s="1"/>
  <c r="P780" i="2" a="1"/>
  <c r="P780" i="2" s="1"/>
  <c r="O780" i="2" a="1"/>
  <c r="O780" i="2" s="1"/>
  <c r="R776" i="2" a="1"/>
  <c r="R776" i="2" s="1"/>
  <c r="N776" i="2" a="1"/>
  <c r="N776" i="2" s="1"/>
  <c r="Q776" i="2" a="1"/>
  <c r="Q776" i="2" s="1"/>
  <c r="M776" i="2" a="1"/>
  <c r="M776" i="2" s="1"/>
  <c r="P776" i="2" a="1"/>
  <c r="P776" i="2" s="1"/>
  <c r="O776" i="2" a="1"/>
  <c r="O776" i="2" s="1"/>
  <c r="R772" i="2" a="1"/>
  <c r="R772" i="2" s="1"/>
  <c r="N772" i="2" a="1"/>
  <c r="N772" i="2" s="1"/>
  <c r="Q772" i="2" a="1"/>
  <c r="Q772" i="2" s="1"/>
  <c r="M772" i="2" a="1"/>
  <c r="M772" i="2" s="1"/>
  <c r="P772" i="2" a="1"/>
  <c r="P772" i="2" s="1"/>
  <c r="O772" i="2" a="1"/>
  <c r="O772" i="2" s="1"/>
  <c r="R768" i="2" a="1"/>
  <c r="R768" i="2" s="1"/>
  <c r="N768" i="2" a="1"/>
  <c r="N768" i="2" s="1"/>
  <c r="Q768" i="2" a="1"/>
  <c r="Q768" i="2" s="1"/>
  <c r="M768" i="2" a="1"/>
  <c r="M768" i="2" s="1"/>
  <c r="P768" i="2" a="1"/>
  <c r="P768" i="2" s="1"/>
  <c r="O768" i="2" a="1"/>
  <c r="O768" i="2" s="1"/>
  <c r="R764" i="2" a="1"/>
  <c r="R764" i="2" s="1"/>
  <c r="N764" i="2" a="1"/>
  <c r="N764" i="2" s="1"/>
  <c r="Q764" i="2" a="1"/>
  <c r="Q764" i="2" s="1"/>
  <c r="M764" i="2" a="1"/>
  <c r="M764" i="2" s="1"/>
  <c r="P764" i="2" a="1"/>
  <c r="P764" i="2" s="1"/>
  <c r="O764" i="2" a="1"/>
  <c r="O764" i="2" s="1"/>
  <c r="Q760" i="2" a="1"/>
  <c r="Q760" i="2" s="1"/>
  <c r="M760" i="2" a="1"/>
  <c r="M760" i="2" s="1"/>
  <c r="P760" i="2" a="1"/>
  <c r="P760" i="2" s="1"/>
  <c r="O760" i="2" a="1"/>
  <c r="O760" i="2" s="1"/>
  <c r="N760" i="2" a="1"/>
  <c r="N760" i="2" s="1"/>
  <c r="R760" i="2" a="1"/>
  <c r="R760" i="2" s="1"/>
  <c r="Q756" i="2" a="1"/>
  <c r="Q756" i="2" s="1"/>
  <c r="M756" i="2" a="1"/>
  <c r="M756" i="2" s="1"/>
  <c r="P756" i="2" a="1"/>
  <c r="P756" i="2" s="1"/>
  <c r="O756" i="2" a="1"/>
  <c r="O756" i="2" s="1"/>
  <c r="R756" i="2" a="1"/>
  <c r="R756" i="2" s="1"/>
  <c r="N756" i="2" a="1"/>
  <c r="N756" i="2" s="1"/>
  <c r="Q752" i="2" a="1"/>
  <c r="Q752" i="2" s="1"/>
  <c r="M752" i="2" a="1"/>
  <c r="M752" i="2" s="1"/>
  <c r="P752" i="2" a="1"/>
  <c r="P752" i="2" s="1"/>
  <c r="O752" i="2" a="1"/>
  <c r="O752" i="2" s="1"/>
  <c r="R752" i="2" a="1"/>
  <c r="R752" i="2" s="1"/>
  <c r="N752" i="2" a="1"/>
  <c r="N752" i="2" s="1"/>
  <c r="Q748" i="2" a="1"/>
  <c r="Q748" i="2" s="1"/>
  <c r="M748" i="2" a="1"/>
  <c r="M748" i="2" s="1"/>
  <c r="P748" i="2" a="1"/>
  <c r="P748" i="2" s="1"/>
  <c r="O748" i="2" a="1"/>
  <c r="O748" i="2" s="1"/>
  <c r="R748" i="2" a="1"/>
  <c r="R748" i="2" s="1"/>
  <c r="N748" i="2" a="1"/>
  <c r="N748" i="2" s="1"/>
  <c r="Q744" i="2" a="1"/>
  <c r="Q744" i="2" s="1"/>
  <c r="M744" i="2" a="1"/>
  <c r="M744" i="2" s="1"/>
  <c r="P744" i="2" a="1"/>
  <c r="P744" i="2" s="1"/>
  <c r="O744" i="2" a="1"/>
  <c r="O744" i="2" s="1"/>
  <c r="N744" i="2" a="1"/>
  <c r="N744" i="2" s="1"/>
  <c r="R744" i="2" a="1"/>
  <c r="R744" i="2" s="1"/>
  <c r="Q740" i="2" a="1"/>
  <c r="Q740" i="2" s="1"/>
  <c r="M740" i="2" a="1"/>
  <c r="M740" i="2" s="1"/>
  <c r="P740" i="2" a="1"/>
  <c r="P740" i="2" s="1"/>
  <c r="O740" i="2" a="1"/>
  <c r="O740" i="2" s="1"/>
  <c r="R740" i="2" a="1"/>
  <c r="R740" i="2" s="1"/>
  <c r="N740" i="2" a="1"/>
  <c r="N740" i="2" s="1"/>
  <c r="Q736" i="2" a="1"/>
  <c r="Q736" i="2" s="1"/>
  <c r="M736" i="2" a="1"/>
  <c r="M736" i="2" s="1"/>
  <c r="P736" i="2" a="1"/>
  <c r="P736" i="2" s="1"/>
  <c r="O736" i="2" a="1"/>
  <c r="O736" i="2" s="1"/>
  <c r="R736" i="2" a="1"/>
  <c r="R736" i="2" s="1"/>
  <c r="N736" i="2" a="1"/>
  <c r="N736" i="2" s="1"/>
  <c r="R732" i="2" a="1"/>
  <c r="R732" i="2" s="1"/>
  <c r="N732" i="2" a="1"/>
  <c r="N732" i="2" s="1"/>
  <c r="Q732" i="2" a="1"/>
  <c r="Q732" i="2" s="1"/>
  <c r="M732" i="2" a="1"/>
  <c r="M732" i="2" s="1"/>
  <c r="P732" i="2" a="1"/>
  <c r="P732" i="2" s="1"/>
  <c r="O732" i="2" a="1"/>
  <c r="O732" i="2" s="1"/>
  <c r="R728" i="2" a="1"/>
  <c r="R728" i="2" s="1"/>
  <c r="N728" i="2" a="1"/>
  <c r="N728" i="2" s="1"/>
  <c r="Q728" i="2" a="1"/>
  <c r="Q728" i="2" s="1"/>
  <c r="M728" i="2" a="1"/>
  <c r="M728" i="2" s="1"/>
  <c r="P728" i="2" a="1"/>
  <c r="P728" i="2" s="1"/>
  <c r="O728" i="2" a="1"/>
  <c r="O728" i="2" s="1"/>
  <c r="R724" i="2" a="1"/>
  <c r="R724" i="2" s="1"/>
  <c r="N724" i="2" a="1"/>
  <c r="N724" i="2" s="1"/>
  <c r="Q724" i="2" a="1"/>
  <c r="Q724" i="2" s="1"/>
  <c r="M724" i="2" a="1"/>
  <c r="M724" i="2" s="1"/>
  <c r="P724" i="2" a="1"/>
  <c r="P724" i="2" s="1"/>
  <c r="O724" i="2" a="1"/>
  <c r="O724" i="2" s="1"/>
  <c r="R720" i="2" a="1"/>
  <c r="R720" i="2" s="1"/>
  <c r="N720" i="2" a="1"/>
  <c r="N720" i="2" s="1"/>
  <c r="Q720" i="2" a="1"/>
  <c r="Q720" i="2" s="1"/>
  <c r="M720" i="2" a="1"/>
  <c r="M720" i="2" s="1"/>
  <c r="P720" i="2" a="1"/>
  <c r="P720" i="2" s="1"/>
  <c r="O720" i="2" a="1"/>
  <c r="O720" i="2" s="1"/>
  <c r="R716" i="2" a="1"/>
  <c r="R716" i="2" s="1"/>
  <c r="N716" i="2" a="1"/>
  <c r="N716" i="2" s="1"/>
  <c r="Q716" i="2" a="1"/>
  <c r="Q716" i="2" s="1"/>
  <c r="M716" i="2" a="1"/>
  <c r="M716" i="2" s="1"/>
  <c r="P716" i="2" a="1"/>
  <c r="P716" i="2" s="1"/>
  <c r="O716" i="2" a="1"/>
  <c r="O716" i="2" s="1"/>
  <c r="R712" i="2" a="1"/>
  <c r="R712" i="2" s="1"/>
  <c r="N712" i="2" a="1"/>
  <c r="N712" i="2" s="1"/>
  <c r="Q712" i="2" a="1"/>
  <c r="Q712" i="2" s="1"/>
  <c r="M712" i="2" a="1"/>
  <c r="M712" i="2" s="1"/>
  <c r="P712" i="2" a="1"/>
  <c r="P712" i="2" s="1"/>
  <c r="O712" i="2" a="1"/>
  <c r="O712" i="2" s="1"/>
  <c r="R708" i="2" a="1"/>
  <c r="R708" i="2" s="1"/>
  <c r="N708" i="2" a="1"/>
  <c r="N708" i="2" s="1"/>
  <c r="Q708" i="2" a="1"/>
  <c r="Q708" i="2" s="1"/>
  <c r="M708" i="2" a="1"/>
  <c r="M708" i="2" s="1"/>
  <c r="P708" i="2" a="1"/>
  <c r="P708" i="2" s="1"/>
  <c r="O708" i="2" a="1"/>
  <c r="O708" i="2" s="1"/>
  <c r="R704" i="2" a="1"/>
  <c r="R704" i="2" s="1"/>
  <c r="N704" i="2" a="1"/>
  <c r="N704" i="2" s="1"/>
  <c r="Q704" i="2" a="1"/>
  <c r="Q704" i="2" s="1"/>
  <c r="M704" i="2" a="1"/>
  <c r="M704" i="2" s="1"/>
  <c r="P704" i="2" a="1"/>
  <c r="P704" i="2" s="1"/>
  <c r="O704" i="2" a="1"/>
  <c r="O704" i="2" s="1"/>
  <c r="R700" i="2" a="1"/>
  <c r="R700" i="2" s="1"/>
  <c r="N700" i="2" a="1"/>
  <c r="N700" i="2" s="1"/>
  <c r="Q700" i="2" a="1"/>
  <c r="Q700" i="2" s="1"/>
  <c r="M700" i="2" a="1"/>
  <c r="M700" i="2" s="1"/>
  <c r="P700" i="2" a="1"/>
  <c r="P700" i="2" s="1"/>
  <c r="O700" i="2" a="1"/>
  <c r="O700" i="2" s="1"/>
  <c r="R696" i="2" a="1"/>
  <c r="R696" i="2" s="1"/>
  <c r="N696" i="2" a="1"/>
  <c r="N696" i="2" s="1"/>
  <c r="Q696" i="2" a="1"/>
  <c r="Q696" i="2" s="1"/>
  <c r="M696" i="2" a="1"/>
  <c r="M696" i="2" s="1"/>
  <c r="P696" i="2" a="1"/>
  <c r="P696" i="2" s="1"/>
  <c r="O696" i="2" a="1"/>
  <c r="O696" i="2" s="1"/>
  <c r="R692" i="2" a="1"/>
  <c r="R692" i="2" s="1"/>
  <c r="N692" i="2" a="1"/>
  <c r="N692" i="2" s="1"/>
  <c r="Q692" i="2" a="1"/>
  <c r="Q692" i="2" s="1"/>
  <c r="M692" i="2" a="1"/>
  <c r="M692" i="2" s="1"/>
  <c r="P692" i="2" a="1"/>
  <c r="P692" i="2" s="1"/>
  <c r="O692" i="2" a="1"/>
  <c r="O692" i="2" s="1"/>
  <c r="Q688" i="2" a="1"/>
  <c r="Q688" i="2" s="1"/>
  <c r="M688" i="2" a="1"/>
  <c r="M688" i="2" s="1"/>
  <c r="P688" i="2" a="1"/>
  <c r="P688" i="2" s="1"/>
  <c r="O688" i="2" a="1"/>
  <c r="O688" i="2" s="1"/>
  <c r="N688" i="2" a="1"/>
  <c r="N688" i="2" s="1"/>
  <c r="R688" i="2" a="1"/>
  <c r="R688" i="2" s="1"/>
  <c r="Q684" i="2" a="1"/>
  <c r="Q684" i="2" s="1"/>
  <c r="M684" i="2" a="1"/>
  <c r="M684" i="2" s="1"/>
  <c r="N684" i="2" a="1"/>
  <c r="N684" i="2" s="1"/>
  <c r="R684" i="2" a="1"/>
  <c r="R684" i="2" s="1"/>
  <c r="P684" i="2" a="1"/>
  <c r="P684" i="2" s="1"/>
  <c r="O684" i="2" a="1"/>
  <c r="O684" i="2" s="1"/>
  <c r="Q680" i="2" a="1"/>
  <c r="Q680" i="2" s="1"/>
  <c r="M680" i="2" a="1"/>
  <c r="M680" i="2" s="1"/>
  <c r="P680" i="2" a="1"/>
  <c r="P680" i="2" s="1"/>
  <c r="O680" i="2" a="1"/>
  <c r="O680" i="2" s="1"/>
  <c r="N680" i="2" a="1"/>
  <c r="N680" i="2" s="1"/>
  <c r="R680" i="2" a="1"/>
  <c r="R680" i="2" s="1"/>
  <c r="Q676" i="2" a="1"/>
  <c r="Q676" i="2" s="1"/>
  <c r="M676" i="2" a="1"/>
  <c r="M676" i="2" s="1"/>
  <c r="N676" i="2" a="1"/>
  <c r="N676" i="2" s="1"/>
  <c r="R676" i="2" a="1"/>
  <c r="R676" i="2" s="1"/>
  <c r="P676" i="2" a="1"/>
  <c r="P676" i="2" s="1"/>
  <c r="O676" i="2" a="1"/>
  <c r="O676" i="2" s="1"/>
  <c r="Q672" i="2" a="1"/>
  <c r="Q672" i="2" s="1"/>
  <c r="M672" i="2" a="1"/>
  <c r="M672" i="2" s="1"/>
  <c r="P672" i="2" a="1"/>
  <c r="P672" i="2" s="1"/>
  <c r="O672" i="2" a="1"/>
  <c r="O672" i="2" s="1"/>
  <c r="N672" i="2" a="1"/>
  <c r="N672" i="2" s="1"/>
  <c r="R672" i="2" a="1"/>
  <c r="R672" i="2" s="1"/>
  <c r="Q668" i="2" a="1"/>
  <c r="Q668" i="2" s="1"/>
  <c r="M668" i="2" a="1"/>
  <c r="M668" i="2" s="1"/>
  <c r="N668" i="2" a="1"/>
  <c r="N668" i="2" s="1"/>
  <c r="R668" i="2" a="1"/>
  <c r="R668" i="2" s="1"/>
  <c r="P668" i="2" a="1"/>
  <c r="P668" i="2" s="1"/>
  <c r="O668" i="2" a="1"/>
  <c r="O668" i="2" s="1"/>
  <c r="Q664" i="2" a="1"/>
  <c r="Q664" i="2" s="1"/>
  <c r="M664" i="2" a="1"/>
  <c r="M664" i="2" s="1"/>
  <c r="P664" i="2" a="1"/>
  <c r="P664" i="2" s="1"/>
  <c r="O664" i="2" a="1"/>
  <c r="O664" i="2" s="1"/>
  <c r="N664" i="2" a="1"/>
  <c r="N664" i="2" s="1"/>
  <c r="R664" i="2" a="1"/>
  <c r="R664" i="2" s="1"/>
  <c r="Q660" i="2" a="1"/>
  <c r="Q660" i="2" s="1"/>
  <c r="M660" i="2" a="1"/>
  <c r="M660" i="2" s="1"/>
  <c r="N660" i="2" a="1"/>
  <c r="N660" i="2" s="1"/>
  <c r="R660" i="2" a="1"/>
  <c r="R660" i="2" s="1"/>
  <c r="P660" i="2" a="1"/>
  <c r="P660" i="2" s="1"/>
  <c r="O660" i="2" a="1"/>
  <c r="O660" i="2" s="1"/>
  <c r="Q656" i="2" a="1"/>
  <c r="Q656" i="2" s="1"/>
  <c r="M656" i="2" a="1"/>
  <c r="M656" i="2" s="1"/>
  <c r="P656" i="2" a="1"/>
  <c r="P656" i="2" s="1"/>
  <c r="O656" i="2" a="1"/>
  <c r="O656" i="2" s="1"/>
  <c r="N656" i="2" a="1"/>
  <c r="N656" i="2" s="1"/>
  <c r="R656" i="2" a="1"/>
  <c r="R656" i="2" s="1"/>
  <c r="Q652" i="2" a="1"/>
  <c r="Q652" i="2" s="1"/>
  <c r="M652" i="2" a="1"/>
  <c r="M652" i="2" s="1"/>
  <c r="N652" i="2" a="1"/>
  <c r="N652" i="2" s="1"/>
  <c r="R652" i="2" a="1"/>
  <c r="R652" i="2" s="1"/>
  <c r="P652" i="2" a="1"/>
  <c r="P652" i="2" s="1"/>
  <c r="O652" i="2" a="1"/>
  <c r="O652" i="2" s="1"/>
  <c r="Q648" i="2" a="1"/>
  <c r="Q648" i="2" s="1"/>
  <c r="M648" i="2" a="1"/>
  <c r="M648" i="2" s="1"/>
  <c r="P648" i="2" a="1"/>
  <c r="P648" i="2" s="1"/>
  <c r="O648" i="2" a="1"/>
  <c r="O648" i="2" s="1"/>
  <c r="N648" i="2" a="1"/>
  <c r="N648" i="2" s="1"/>
  <c r="R648" i="2" a="1"/>
  <c r="R648" i="2" s="1"/>
  <c r="Q644" i="2" a="1"/>
  <c r="Q644" i="2" s="1"/>
  <c r="M644" i="2" a="1"/>
  <c r="M644" i="2" s="1"/>
  <c r="N644" i="2" a="1"/>
  <c r="N644" i="2" s="1"/>
  <c r="R644" i="2" a="1"/>
  <c r="R644" i="2" s="1"/>
  <c r="P644" i="2" a="1"/>
  <c r="P644" i="2" s="1"/>
  <c r="O644" i="2" a="1"/>
  <c r="O644" i="2" s="1"/>
  <c r="Q640" i="2" a="1"/>
  <c r="Q640" i="2" s="1"/>
  <c r="M640" i="2" a="1"/>
  <c r="M640" i="2" s="1"/>
  <c r="P640" i="2" a="1"/>
  <c r="P640" i="2" s="1"/>
  <c r="O640" i="2" a="1"/>
  <c r="O640" i="2" s="1"/>
  <c r="N640" i="2" a="1"/>
  <c r="N640" i="2" s="1"/>
  <c r="R640" i="2" a="1"/>
  <c r="R640" i="2" s="1"/>
  <c r="Q636" i="2" a="1"/>
  <c r="Q636" i="2" s="1"/>
  <c r="M636" i="2" a="1"/>
  <c r="M636" i="2" s="1"/>
  <c r="N636" i="2" a="1"/>
  <c r="N636" i="2" s="1"/>
  <c r="R636" i="2" a="1"/>
  <c r="R636" i="2" s="1"/>
  <c r="P636" i="2" a="1"/>
  <c r="P636" i="2" s="1"/>
  <c r="O636" i="2" a="1"/>
  <c r="O636" i="2" s="1"/>
  <c r="Q632" i="2" a="1"/>
  <c r="Q632" i="2" s="1"/>
  <c r="M632" i="2" a="1"/>
  <c r="M632" i="2" s="1"/>
  <c r="P632" i="2" a="1"/>
  <c r="P632" i="2" s="1"/>
  <c r="O632" i="2" a="1"/>
  <c r="O632" i="2" s="1"/>
  <c r="N632" i="2" a="1"/>
  <c r="N632" i="2" s="1"/>
  <c r="R632" i="2" a="1"/>
  <c r="R632" i="2" s="1"/>
  <c r="Q628" i="2" a="1"/>
  <c r="Q628" i="2" s="1"/>
  <c r="M628" i="2" a="1"/>
  <c r="M628" i="2" s="1"/>
  <c r="N628" i="2" a="1"/>
  <c r="N628" i="2" s="1"/>
  <c r="R628" i="2" a="1"/>
  <c r="R628" i="2" s="1"/>
  <c r="P628" i="2" a="1"/>
  <c r="P628" i="2" s="1"/>
  <c r="O628" i="2" a="1"/>
  <c r="O628" i="2" s="1"/>
  <c r="R624" i="2" a="1"/>
  <c r="R624" i="2" s="1"/>
  <c r="N624" i="2" a="1"/>
  <c r="N624" i="2" s="1"/>
  <c r="Q624" i="2" a="1"/>
  <c r="Q624" i="2" s="1"/>
  <c r="M624" i="2" a="1"/>
  <c r="M624" i="2" s="1"/>
  <c r="P624" i="2" a="1"/>
  <c r="P624" i="2" s="1"/>
  <c r="O624" i="2" a="1"/>
  <c r="O624" i="2" s="1"/>
  <c r="R620" i="2" a="1"/>
  <c r="R620" i="2" s="1"/>
  <c r="N620" i="2" a="1"/>
  <c r="N620" i="2" s="1"/>
  <c r="Q620" i="2" a="1"/>
  <c r="Q620" i="2" s="1"/>
  <c r="M620" i="2" a="1"/>
  <c r="M620" i="2" s="1"/>
  <c r="P620" i="2" a="1"/>
  <c r="P620" i="2" s="1"/>
  <c r="O620" i="2" a="1"/>
  <c r="O620" i="2" s="1"/>
  <c r="P616" i="2" a="1"/>
  <c r="P616" i="2" s="1"/>
  <c r="R616" i="2" a="1"/>
  <c r="R616" i="2" s="1"/>
  <c r="O616" i="2" a="1"/>
  <c r="O616" i="2" s="1"/>
  <c r="Q616" i="2" a="1"/>
  <c r="Q616" i="2" s="1"/>
  <c r="N616" i="2" a="1"/>
  <c r="N616" i="2" s="1"/>
  <c r="M616" i="2" a="1"/>
  <c r="M616" i="2" s="1"/>
  <c r="Q612" i="2" a="1"/>
  <c r="Q612" i="2" s="1"/>
  <c r="M612" i="2" a="1"/>
  <c r="M612" i="2" s="1"/>
  <c r="P612" i="2" a="1"/>
  <c r="P612" i="2" s="1"/>
  <c r="O612" i="2" a="1"/>
  <c r="O612" i="2" s="1"/>
  <c r="R612" i="2" a="1"/>
  <c r="R612" i="2" s="1"/>
  <c r="N612" i="2" a="1"/>
  <c r="N612" i="2" s="1"/>
  <c r="R608" i="2" a="1"/>
  <c r="R608" i="2" s="1"/>
  <c r="N608" i="2" a="1"/>
  <c r="N608" i="2" s="1"/>
  <c r="Q608" i="2" a="1"/>
  <c r="Q608" i="2" s="1"/>
  <c r="M608" i="2" a="1"/>
  <c r="M608" i="2" s="1"/>
  <c r="P608" i="2" a="1"/>
  <c r="P608" i="2" s="1"/>
  <c r="O608" i="2" a="1"/>
  <c r="O608" i="2" s="1"/>
  <c r="R604" i="2" a="1"/>
  <c r="R604" i="2" s="1"/>
  <c r="N604" i="2" a="1"/>
  <c r="N604" i="2" s="1"/>
  <c r="Q604" i="2" a="1"/>
  <c r="Q604" i="2" s="1"/>
  <c r="M604" i="2" a="1"/>
  <c r="M604" i="2" s="1"/>
  <c r="P604" i="2" a="1"/>
  <c r="P604" i="2" s="1"/>
  <c r="O604" i="2" a="1"/>
  <c r="O604" i="2" s="1"/>
  <c r="M600" i="2" a="1"/>
  <c r="M600" i="2" s="1"/>
  <c r="P600" i="2" a="1"/>
  <c r="P600" i="2" s="1"/>
  <c r="R600" i="2" a="1"/>
  <c r="R600" i="2" s="1"/>
  <c r="O600" i="2" a="1"/>
  <c r="O600" i="2" s="1"/>
  <c r="Q600" i="2" a="1"/>
  <c r="Q600" i="2" s="1"/>
  <c r="N600" i="2" a="1"/>
  <c r="N600" i="2" s="1"/>
  <c r="O596" i="2" a="1"/>
  <c r="O596" i="2" s="1"/>
  <c r="R596" i="2" a="1"/>
  <c r="R596" i="2" s="1"/>
  <c r="N596" i="2" a="1"/>
  <c r="N596" i="2" s="1"/>
  <c r="Q596" i="2" a="1"/>
  <c r="Q596" i="2" s="1"/>
  <c r="M596" i="2" a="1"/>
  <c r="M596" i="2" s="1"/>
  <c r="P596" i="2" a="1"/>
  <c r="P596" i="2" s="1"/>
  <c r="P592" i="2" a="1"/>
  <c r="P592" i="2" s="1"/>
  <c r="R592" i="2" a="1"/>
  <c r="R592" i="2" s="1"/>
  <c r="M592" i="2" a="1"/>
  <c r="M592" i="2" s="1"/>
  <c r="O592" i="2" a="1"/>
  <c r="O592" i="2" s="1"/>
  <c r="Q592" i="2" a="1"/>
  <c r="Q592" i="2" s="1"/>
  <c r="N592" i="2" a="1"/>
  <c r="N592" i="2" s="1"/>
  <c r="R588" i="2" a="1"/>
  <c r="R588" i="2" s="1"/>
  <c r="M588" i="2" a="1"/>
  <c r="M588" i="2" s="1"/>
  <c r="O588" i="2" a="1"/>
  <c r="O588" i="2" s="1"/>
  <c r="Q588" i="2" a="1"/>
  <c r="Q588" i="2" s="1"/>
  <c r="N588" i="2" a="1"/>
  <c r="N588" i="2" s="1"/>
  <c r="P588" i="2" a="1"/>
  <c r="P588" i="2" s="1"/>
  <c r="R584" i="2" a="1"/>
  <c r="R584" i="2" s="1"/>
  <c r="M584" i="2" a="1"/>
  <c r="M584" i="2" s="1"/>
  <c r="O584" i="2" a="1"/>
  <c r="O584" i="2" s="1"/>
  <c r="Q584" i="2" a="1"/>
  <c r="Q584" i="2" s="1"/>
  <c r="N584" i="2" a="1"/>
  <c r="N584" i="2" s="1"/>
  <c r="P584" i="2" a="1"/>
  <c r="P584" i="2" s="1"/>
  <c r="R580" i="2" a="1"/>
  <c r="R580" i="2" s="1"/>
  <c r="M580" i="2" a="1"/>
  <c r="M580" i="2" s="1"/>
  <c r="O580" i="2" a="1"/>
  <c r="O580" i="2" s="1"/>
  <c r="Q580" i="2" a="1"/>
  <c r="Q580" i="2" s="1"/>
  <c r="N580" i="2" a="1"/>
  <c r="N580" i="2" s="1"/>
  <c r="P580" i="2" a="1"/>
  <c r="P580" i="2" s="1"/>
  <c r="R576" i="2" a="1"/>
  <c r="R576" i="2" s="1"/>
  <c r="M576" i="2" a="1"/>
  <c r="M576" i="2" s="1"/>
  <c r="O576" i="2" a="1"/>
  <c r="O576" i="2" s="1"/>
  <c r="Q576" i="2" a="1"/>
  <c r="Q576" i="2" s="1"/>
  <c r="N576" i="2" a="1"/>
  <c r="N576" i="2" s="1"/>
  <c r="P576" i="2" a="1"/>
  <c r="P576" i="2" s="1"/>
  <c r="R572" i="2" a="1"/>
  <c r="R572" i="2" s="1"/>
  <c r="M572" i="2" a="1"/>
  <c r="M572" i="2" s="1"/>
  <c r="O572" i="2" a="1"/>
  <c r="O572" i="2" s="1"/>
  <c r="Q572" i="2" a="1"/>
  <c r="Q572" i="2" s="1"/>
  <c r="N572" i="2" a="1"/>
  <c r="N572" i="2" s="1"/>
  <c r="P572" i="2" a="1"/>
  <c r="P572" i="2" s="1"/>
  <c r="R568" i="2" a="1"/>
  <c r="R568" i="2" s="1"/>
  <c r="M568" i="2" a="1"/>
  <c r="M568" i="2" s="1"/>
  <c r="O568" i="2" a="1"/>
  <c r="O568" i="2" s="1"/>
  <c r="Q568" i="2" a="1"/>
  <c r="Q568" i="2" s="1"/>
  <c r="N568" i="2" a="1"/>
  <c r="N568" i="2" s="1"/>
  <c r="P568" i="2" a="1"/>
  <c r="P568" i="2" s="1"/>
  <c r="R564" i="2" a="1"/>
  <c r="R564" i="2" s="1"/>
  <c r="M564" i="2" a="1"/>
  <c r="M564" i="2" s="1"/>
  <c r="O564" i="2" a="1"/>
  <c r="O564" i="2" s="1"/>
  <c r="Q564" i="2" a="1"/>
  <c r="Q564" i="2" s="1"/>
  <c r="N564" i="2" a="1"/>
  <c r="N564" i="2" s="1"/>
  <c r="P564" i="2" a="1"/>
  <c r="P564" i="2" s="1"/>
  <c r="R560" i="2" a="1"/>
  <c r="R560" i="2" s="1"/>
  <c r="M560" i="2" a="1"/>
  <c r="M560" i="2" s="1"/>
  <c r="O560" i="2" a="1"/>
  <c r="O560" i="2" s="1"/>
  <c r="Q560" i="2" a="1"/>
  <c r="Q560" i="2" s="1"/>
  <c r="N560" i="2" a="1"/>
  <c r="N560" i="2" s="1"/>
  <c r="P560" i="2" a="1"/>
  <c r="P560" i="2" s="1"/>
  <c r="R556" i="2" a="1"/>
  <c r="R556" i="2" s="1"/>
  <c r="M556" i="2" a="1"/>
  <c r="M556" i="2" s="1"/>
  <c r="O556" i="2" a="1"/>
  <c r="O556" i="2" s="1"/>
  <c r="Q556" i="2" a="1"/>
  <c r="Q556" i="2" s="1"/>
  <c r="N556" i="2" a="1"/>
  <c r="N556" i="2" s="1"/>
  <c r="P556" i="2" a="1"/>
  <c r="P556" i="2" s="1"/>
  <c r="R552" i="2" a="1"/>
  <c r="R552" i="2" s="1"/>
  <c r="M552" i="2" a="1"/>
  <c r="M552" i="2" s="1"/>
  <c r="O552" i="2" a="1"/>
  <c r="O552" i="2" s="1"/>
  <c r="Q552" i="2" a="1"/>
  <c r="Q552" i="2" s="1"/>
  <c r="N552" i="2" a="1"/>
  <c r="N552" i="2" s="1"/>
  <c r="P552" i="2" a="1"/>
  <c r="P552" i="2" s="1"/>
  <c r="R548" i="2" a="1"/>
  <c r="R548" i="2" s="1"/>
  <c r="M548" i="2" a="1"/>
  <c r="M548" i="2" s="1"/>
  <c r="O548" i="2" a="1"/>
  <c r="O548" i="2" s="1"/>
  <c r="Q548" i="2" a="1"/>
  <c r="Q548" i="2" s="1"/>
  <c r="N548" i="2" a="1"/>
  <c r="N548" i="2" s="1"/>
  <c r="P548" i="2" a="1"/>
  <c r="P548" i="2" s="1"/>
  <c r="R544" i="2" a="1"/>
  <c r="R544" i="2" s="1"/>
  <c r="M544" i="2" a="1"/>
  <c r="M544" i="2" s="1"/>
  <c r="O544" i="2" a="1"/>
  <c r="O544" i="2" s="1"/>
  <c r="Q544" i="2" a="1"/>
  <c r="Q544" i="2" s="1"/>
  <c r="N544" i="2" a="1"/>
  <c r="N544" i="2" s="1"/>
  <c r="P544" i="2" a="1"/>
  <c r="P544" i="2" s="1"/>
  <c r="R540" i="2" a="1"/>
  <c r="R540" i="2" s="1"/>
  <c r="M540" i="2" a="1"/>
  <c r="M540" i="2" s="1"/>
  <c r="O540" i="2" a="1"/>
  <c r="O540" i="2" s="1"/>
  <c r="Q540" i="2" a="1"/>
  <c r="Q540" i="2" s="1"/>
  <c r="N540" i="2" a="1"/>
  <c r="N540" i="2" s="1"/>
  <c r="P540" i="2" a="1"/>
  <c r="P540" i="2" s="1"/>
  <c r="R536" i="2" a="1"/>
  <c r="R536" i="2" s="1"/>
  <c r="M536" i="2" a="1"/>
  <c r="M536" i="2" s="1"/>
  <c r="O536" i="2" a="1"/>
  <c r="O536" i="2" s="1"/>
  <c r="Q536" i="2" a="1"/>
  <c r="Q536" i="2" s="1"/>
  <c r="N536" i="2" a="1"/>
  <c r="N536" i="2" s="1"/>
  <c r="P536" i="2" a="1"/>
  <c r="P536" i="2" s="1"/>
  <c r="R532" i="2" a="1"/>
  <c r="R532" i="2" s="1"/>
  <c r="M532" i="2" a="1"/>
  <c r="M532" i="2" s="1"/>
  <c r="Q532" i="2" a="1"/>
  <c r="Q532" i="2" s="1"/>
  <c r="N532" i="2" a="1"/>
  <c r="N532" i="2" s="1"/>
  <c r="P532" i="2" a="1"/>
  <c r="P532" i="2" s="1"/>
  <c r="O532" i="2" a="1"/>
  <c r="O532" i="2" s="1"/>
  <c r="R528" i="2" a="1"/>
  <c r="R528" i="2" s="1"/>
  <c r="M528" i="2" a="1"/>
  <c r="M528" i="2" s="1"/>
  <c r="Q528" i="2" a="1"/>
  <c r="Q528" i="2" s="1"/>
  <c r="N528" i="2" a="1"/>
  <c r="N528" i="2" s="1"/>
  <c r="P528" i="2" a="1"/>
  <c r="P528" i="2" s="1"/>
  <c r="O528" i="2" a="1"/>
  <c r="O528" i="2" s="1"/>
  <c r="R524" i="2" a="1"/>
  <c r="R524" i="2" s="1"/>
  <c r="M524" i="2" a="1"/>
  <c r="M524" i="2" s="1"/>
  <c r="Q524" i="2" a="1"/>
  <c r="Q524" i="2" s="1"/>
  <c r="N524" i="2" a="1"/>
  <c r="N524" i="2" s="1"/>
  <c r="P524" i="2" a="1"/>
  <c r="P524" i="2" s="1"/>
  <c r="O524" i="2" a="1"/>
  <c r="O524" i="2" s="1"/>
  <c r="R520" i="2" a="1"/>
  <c r="R520" i="2" s="1"/>
  <c r="M520" i="2" a="1"/>
  <c r="M520" i="2" s="1"/>
  <c r="Q520" i="2" a="1"/>
  <c r="Q520" i="2" s="1"/>
  <c r="N520" i="2" a="1"/>
  <c r="N520" i="2" s="1"/>
  <c r="P520" i="2" a="1"/>
  <c r="P520" i="2" s="1"/>
  <c r="O520" i="2" a="1"/>
  <c r="O520" i="2" s="1"/>
  <c r="R516" i="2" a="1"/>
  <c r="R516" i="2" s="1"/>
  <c r="M516" i="2" a="1"/>
  <c r="M516" i="2" s="1"/>
  <c r="P516" i="2" a="1"/>
  <c r="P516" i="2" s="1"/>
  <c r="O516" i="2" a="1"/>
  <c r="O516" i="2" s="1"/>
  <c r="N516" i="2" a="1"/>
  <c r="N516" i="2" s="1"/>
  <c r="Q516" i="2" a="1"/>
  <c r="Q516" i="2" s="1"/>
  <c r="R512" i="2" a="1"/>
  <c r="R512" i="2" s="1"/>
  <c r="M512" i="2" a="1"/>
  <c r="M512" i="2" s="1"/>
  <c r="Q512" i="2" a="1"/>
  <c r="Q512" i="2" s="1"/>
  <c r="P512" i="2" a="1"/>
  <c r="P512" i="2" s="1"/>
  <c r="O512" i="2" a="1"/>
  <c r="O512" i="2" s="1"/>
  <c r="N512" i="2" a="1"/>
  <c r="N512" i="2" s="1"/>
  <c r="R508" i="2" a="1"/>
  <c r="R508" i="2" s="1"/>
  <c r="M508" i="2" a="1"/>
  <c r="M508" i="2" s="1"/>
  <c r="N508" i="2" a="1"/>
  <c r="N508" i="2" s="1"/>
  <c r="Q508" i="2" a="1"/>
  <c r="Q508" i="2" s="1"/>
  <c r="P508" i="2" a="1"/>
  <c r="P508" i="2" s="1"/>
  <c r="O508" i="2" a="1"/>
  <c r="O508" i="2" s="1"/>
  <c r="R504" i="2" a="1"/>
  <c r="R504" i="2" s="1"/>
  <c r="M504" i="2" a="1"/>
  <c r="M504" i="2" s="1"/>
  <c r="O504" i="2" a="1"/>
  <c r="O504" i="2" s="1"/>
  <c r="N504" i="2" a="1"/>
  <c r="N504" i="2" s="1"/>
  <c r="Q504" i="2" a="1"/>
  <c r="Q504" i="2" s="1"/>
  <c r="P504" i="2" a="1"/>
  <c r="P504" i="2" s="1"/>
  <c r="R500" i="2" a="1"/>
  <c r="R500" i="2" s="1"/>
  <c r="M500" i="2" a="1"/>
  <c r="M500" i="2" s="1"/>
  <c r="P500" i="2" a="1"/>
  <c r="P500" i="2" s="1"/>
  <c r="O500" i="2" a="1"/>
  <c r="O500" i="2" s="1"/>
  <c r="N500" i="2" a="1"/>
  <c r="N500" i="2" s="1"/>
  <c r="Q500" i="2" a="1"/>
  <c r="Q500" i="2" s="1"/>
  <c r="R496" i="2" a="1"/>
  <c r="R496" i="2" s="1"/>
  <c r="M496" i="2" a="1"/>
  <c r="M496" i="2" s="1"/>
  <c r="Q496" i="2" a="1"/>
  <c r="Q496" i="2" s="1"/>
  <c r="P496" i="2" a="1"/>
  <c r="P496" i="2" s="1"/>
  <c r="O496" i="2" a="1"/>
  <c r="O496" i="2" s="1"/>
  <c r="N496" i="2" a="1"/>
  <c r="N496" i="2" s="1"/>
  <c r="R492" i="2" a="1"/>
  <c r="R492" i="2" s="1"/>
  <c r="M492" i="2" a="1"/>
  <c r="M492" i="2" s="1"/>
  <c r="N492" i="2" a="1"/>
  <c r="N492" i="2" s="1"/>
  <c r="Q492" i="2" a="1"/>
  <c r="Q492" i="2" s="1"/>
  <c r="P492" i="2" a="1"/>
  <c r="P492" i="2" s="1"/>
  <c r="O492" i="2" a="1"/>
  <c r="O492" i="2" s="1"/>
  <c r="R488" i="2" a="1"/>
  <c r="R488" i="2" s="1"/>
  <c r="M488" i="2" a="1"/>
  <c r="M488" i="2" s="1"/>
  <c r="O488" i="2" a="1"/>
  <c r="O488" i="2" s="1"/>
  <c r="N488" i="2" a="1"/>
  <c r="N488" i="2" s="1"/>
  <c r="Q488" i="2" a="1"/>
  <c r="Q488" i="2" s="1"/>
  <c r="P488" i="2" a="1"/>
  <c r="P488" i="2" s="1"/>
  <c r="R484" i="2" a="1"/>
  <c r="R484" i="2" s="1"/>
  <c r="M484" i="2" a="1"/>
  <c r="M484" i="2" s="1"/>
  <c r="P484" i="2" a="1"/>
  <c r="P484" i="2" s="1"/>
  <c r="O484" i="2" a="1"/>
  <c r="O484" i="2" s="1"/>
  <c r="N484" i="2" a="1"/>
  <c r="N484" i="2" s="1"/>
  <c r="Q484" i="2" a="1"/>
  <c r="Q484" i="2" s="1"/>
  <c r="R480" i="2" a="1"/>
  <c r="R480" i="2" s="1"/>
  <c r="M480" i="2" a="1"/>
  <c r="M480" i="2" s="1"/>
  <c r="Q480" i="2" a="1"/>
  <c r="Q480" i="2" s="1"/>
  <c r="P480" i="2" a="1"/>
  <c r="P480" i="2" s="1"/>
  <c r="O480" i="2" a="1"/>
  <c r="O480" i="2" s="1"/>
  <c r="N480" i="2" a="1"/>
  <c r="N480" i="2" s="1"/>
  <c r="R476" i="2" a="1"/>
  <c r="R476" i="2" s="1"/>
  <c r="M476" i="2" a="1"/>
  <c r="M476" i="2" s="1"/>
  <c r="N476" i="2" a="1"/>
  <c r="N476" i="2" s="1"/>
  <c r="Q476" i="2" a="1"/>
  <c r="Q476" i="2" s="1"/>
  <c r="P476" i="2" a="1"/>
  <c r="P476" i="2" s="1"/>
  <c r="O476" i="2" a="1"/>
  <c r="O476" i="2" s="1"/>
  <c r="R472" i="2" a="1"/>
  <c r="R472" i="2" s="1"/>
  <c r="M472" i="2" a="1"/>
  <c r="M472" i="2" s="1"/>
  <c r="O472" i="2" a="1"/>
  <c r="O472" i="2" s="1"/>
  <c r="N472" i="2" a="1"/>
  <c r="N472" i="2" s="1"/>
  <c r="Q472" i="2" a="1"/>
  <c r="Q472" i="2" s="1"/>
  <c r="P472" i="2" a="1"/>
  <c r="P472" i="2" s="1"/>
  <c r="R468" i="2" a="1"/>
  <c r="R468" i="2" s="1"/>
  <c r="M468" i="2" a="1"/>
  <c r="M468" i="2" s="1"/>
  <c r="P468" i="2" a="1"/>
  <c r="P468" i="2" s="1"/>
  <c r="O468" i="2" a="1"/>
  <c r="O468" i="2" s="1"/>
  <c r="N468" i="2" a="1"/>
  <c r="N468" i="2" s="1"/>
  <c r="Q468" i="2" a="1"/>
  <c r="Q468" i="2" s="1"/>
  <c r="R464" i="2" a="1"/>
  <c r="R464" i="2" s="1"/>
  <c r="M464" i="2" a="1"/>
  <c r="M464" i="2" s="1"/>
  <c r="Q464" i="2" a="1"/>
  <c r="Q464" i="2" s="1"/>
  <c r="P464" i="2" a="1"/>
  <c r="P464" i="2" s="1"/>
  <c r="O464" i="2" a="1"/>
  <c r="O464" i="2" s="1"/>
  <c r="N464" i="2" a="1"/>
  <c r="N464" i="2" s="1"/>
  <c r="N460" i="2" a="1"/>
  <c r="N460" i="2" s="1"/>
  <c r="Q460" i="2" a="1"/>
  <c r="Q460" i="2" s="1"/>
  <c r="M460" i="2" a="1"/>
  <c r="M460" i="2" s="1"/>
  <c r="P460" i="2" a="1"/>
  <c r="P460" i="2" s="1"/>
  <c r="O460" i="2" a="1"/>
  <c r="O460" i="2" s="1"/>
  <c r="R460" i="2" a="1"/>
  <c r="R460" i="2" s="1"/>
  <c r="O456" i="2" a="1"/>
  <c r="O456" i="2" s="1"/>
  <c r="R456" i="2" a="1"/>
  <c r="R456" i="2" s="1"/>
  <c r="N456" i="2" a="1"/>
  <c r="N456" i="2" s="1"/>
  <c r="Q456" i="2" a="1"/>
  <c r="Q456" i="2" s="1"/>
  <c r="M456" i="2" a="1"/>
  <c r="M456" i="2" s="1"/>
  <c r="P456" i="2" a="1"/>
  <c r="P456" i="2" s="1"/>
  <c r="O452" i="2" a="1"/>
  <c r="O452" i="2" s="1"/>
  <c r="Q452" i="2" a="1"/>
  <c r="Q452" i="2" s="1"/>
  <c r="M452" i="2" a="1"/>
  <c r="M452" i="2" s="1"/>
  <c r="P452" i="2" a="1"/>
  <c r="P452" i="2" s="1"/>
  <c r="R452" i="2" a="1"/>
  <c r="R452" i="2" s="1"/>
  <c r="N452" i="2" a="1"/>
  <c r="N452" i="2" s="1"/>
  <c r="O448" i="2" a="1"/>
  <c r="O448" i="2" s="1"/>
  <c r="R448" i="2" a="1"/>
  <c r="R448" i="2" s="1"/>
  <c r="N448" i="2" a="1"/>
  <c r="N448" i="2" s="1"/>
  <c r="Q448" i="2" a="1"/>
  <c r="Q448" i="2" s="1"/>
  <c r="M448" i="2" a="1"/>
  <c r="M448" i="2" s="1"/>
  <c r="P448" i="2" a="1"/>
  <c r="P448" i="2" s="1"/>
  <c r="O444" i="2" a="1"/>
  <c r="O444" i="2" s="1"/>
  <c r="Q444" i="2" a="1"/>
  <c r="Q444" i="2" s="1"/>
  <c r="M444" i="2" a="1"/>
  <c r="M444" i="2" s="1"/>
  <c r="P444" i="2" a="1"/>
  <c r="P444" i="2" s="1"/>
  <c r="R444" i="2" a="1"/>
  <c r="R444" i="2" s="1"/>
  <c r="N444" i="2" a="1"/>
  <c r="N444" i="2" s="1"/>
  <c r="O440" i="2" a="1"/>
  <c r="O440" i="2" s="1"/>
  <c r="R440" i="2" a="1"/>
  <c r="R440" i="2" s="1"/>
  <c r="N440" i="2" a="1"/>
  <c r="N440" i="2" s="1"/>
  <c r="Q440" i="2" a="1"/>
  <c r="Q440" i="2" s="1"/>
  <c r="M440" i="2" a="1"/>
  <c r="M440" i="2" s="1"/>
  <c r="P440" i="2" a="1"/>
  <c r="P440" i="2" s="1"/>
  <c r="O436" i="2" a="1"/>
  <c r="O436" i="2" s="1"/>
  <c r="Q436" i="2" a="1"/>
  <c r="Q436" i="2" s="1"/>
  <c r="M436" i="2" a="1"/>
  <c r="M436" i="2" s="1"/>
  <c r="P436" i="2" a="1"/>
  <c r="P436" i="2" s="1"/>
  <c r="R436" i="2" a="1"/>
  <c r="R436" i="2" s="1"/>
  <c r="N436" i="2" a="1"/>
  <c r="N436" i="2" s="1"/>
  <c r="P432" i="2" a="1"/>
  <c r="P432" i="2" s="1"/>
  <c r="M432" i="2" a="1"/>
  <c r="M432" i="2" s="1"/>
  <c r="R432" i="2" a="1"/>
  <c r="R432" i="2" s="1"/>
  <c r="O432" i="2" a="1"/>
  <c r="O432" i="2" s="1"/>
  <c r="Q432" i="2" a="1"/>
  <c r="Q432" i="2" s="1"/>
  <c r="N432" i="2" a="1"/>
  <c r="N432" i="2" s="1"/>
  <c r="P428" i="2" a="1"/>
  <c r="P428" i="2" s="1"/>
  <c r="M428" i="2" a="1"/>
  <c r="M428" i="2" s="1"/>
  <c r="R428" i="2" a="1"/>
  <c r="R428" i="2" s="1"/>
  <c r="O428" i="2" a="1"/>
  <c r="O428" i="2" s="1"/>
  <c r="Q428" i="2" a="1"/>
  <c r="Q428" i="2" s="1"/>
  <c r="N428" i="2" a="1"/>
  <c r="N428" i="2" s="1"/>
  <c r="P424" i="2" a="1"/>
  <c r="P424" i="2" s="1"/>
  <c r="M424" i="2" a="1"/>
  <c r="M424" i="2" s="1"/>
  <c r="R424" i="2" a="1"/>
  <c r="R424" i="2" s="1"/>
  <c r="O424" i="2" a="1"/>
  <c r="O424" i="2" s="1"/>
  <c r="Q424" i="2" a="1"/>
  <c r="Q424" i="2" s="1"/>
  <c r="N424" i="2" a="1"/>
  <c r="N424" i="2" s="1"/>
  <c r="P420" i="2" a="1"/>
  <c r="P420" i="2" s="1"/>
  <c r="M420" i="2" a="1"/>
  <c r="M420" i="2" s="1"/>
  <c r="R420" i="2" a="1"/>
  <c r="R420" i="2" s="1"/>
  <c r="O420" i="2" a="1"/>
  <c r="O420" i="2" s="1"/>
  <c r="Q420" i="2" a="1"/>
  <c r="Q420" i="2" s="1"/>
  <c r="N420" i="2" a="1"/>
  <c r="N420" i="2" s="1"/>
  <c r="P416" i="2" a="1"/>
  <c r="P416" i="2" s="1"/>
  <c r="M416" i="2" a="1"/>
  <c r="M416" i="2" s="1"/>
  <c r="R416" i="2" a="1"/>
  <c r="R416" i="2" s="1"/>
  <c r="O416" i="2" a="1"/>
  <c r="O416" i="2" s="1"/>
  <c r="Q416" i="2" a="1"/>
  <c r="Q416" i="2" s="1"/>
  <c r="N416" i="2" a="1"/>
  <c r="N416" i="2" s="1"/>
  <c r="P412" i="2" a="1"/>
  <c r="P412" i="2" s="1"/>
  <c r="M412" i="2" a="1"/>
  <c r="M412" i="2" s="1"/>
  <c r="R412" i="2" a="1"/>
  <c r="R412" i="2" s="1"/>
  <c r="O412" i="2" a="1"/>
  <c r="O412" i="2" s="1"/>
  <c r="Q412" i="2" a="1"/>
  <c r="Q412" i="2" s="1"/>
  <c r="N412" i="2" a="1"/>
  <c r="N412" i="2" s="1"/>
  <c r="P408" i="2" a="1"/>
  <c r="P408" i="2" s="1"/>
  <c r="M408" i="2" a="1"/>
  <c r="M408" i="2" s="1"/>
  <c r="R408" i="2" a="1"/>
  <c r="R408" i="2" s="1"/>
  <c r="O408" i="2" a="1"/>
  <c r="O408" i="2" s="1"/>
  <c r="Q408" i="2" a="1"/>
  <c r="Q408" i="2" s="1"/>
  <c r="N408" i="2" a="1"/>
  <c r="N408" i="2" s="1"/>
  <c r="R404" i="2" a="1"/>
  <c r="R404" i="2" s="1"/>
  <c r="M404" i="2" a="1"/>
  <c r="M404" i="2" s="1"/>
  <c r="O404" i="2" a="1"/>
  <c r="O404" i="2" s="1"/>
  <c r="Q404" i="2" a="1"/>
  <c r="Q404" i="2" s="1"/>
  <c r="N404" i="2" a="1"/>
  <c r="N404" i="2" s="1"/>
  <c r="P404" i="2" a="1"/>
  <c r="P404" i="2" s="1"/>
  <c r="P400" i="2" a="1"/>
  <c r="P400" i="2" s="1"/>
  <c r="M400" i="2" a="1"/>
  <c r="M400" i="2" s="1"/>
  <c r="R400" i="2" a="1"/>
  <c r="R400" i="2" s="1"/>
  <c r="O400" i="2" a="1"/>
  <c r="O400" i="2" s="1"/>
  <c r="Q400" i="2" a="1"/>
  <c r="Q400" i="2" s="1"/>
  <c r="N400" i="2" a="1"/>
  <c r="N400" i="2" s="1"/>
  <c r="P396" i="2" a="1"/>
  <c r="P396" i="2" s="1"/>
  <c r="R396" i="2" a="1"/>
  <c r="R396" i="2" s="1"/>
  <c r="O396" i="2" a="1"/>
  <c r="O396" i="2" s="1"/>
  <c r="N396" i="2" a="1"/>
  <c r="N396" i="2" s="1"/>
  <c r="Q396" i="2" a="1"/>
  <c r="Q396" i="2" s="1"/>
  <c r="M396" i="2" a="1"/>
  <c r="M396" i="2" s="1"/>
  <c r="R392" i="2" a="1"/>
  <c r="R392" i="2" s="1"/>
  <c r="O392" i="2" a="1"/>
  <c r="O392" i="2" s="1"/>
  <c r="N392" i="2" a="1"/>
  <c r="N392" i="2" s="1"/>
  <c r="Q392" i="2" a="1"/>
  <c r="Q392" i="2" s="1"/>
  <c r="P392" i="2" a="1"/>
  <c r="P392" i="2" s="1"/>
  <c r="M392" i="2" a="1"/>
  <c r="M392" i="2" s="1"/>
  <c r="O388" i="2" a="1"/>
  <c r="O388" i="2" s="1"/>
  <c r="R388" i="2" a="1"/>
  <c r="R388" i="2" s="1"/>
  <c r="N388" i="2" a="1"/>
  <c r="N388" i="2" s="1"/>
  <c r="Q388" i="2" a="1"/>
  <c r="Q388" i="2" s="1"/>
  <c r="P388" i="2" a="1"/>
  <c r="P388" i="2" s="1"/>
  <c r="M388" i="2" a="1"/>
  <c r="M388" i="2" s="1"/>
  <c r="O384" i="2" a="1"/>
  <c r="O384" i="2" s="1"/>
  <c r="R384" i="2" a="1"/>
  <c r="R384" i="2" s="1"/>
  <c r="N384" i="2" a="1"/>
  <c r="N384" i="2" s="1"/>
  <c r="Q384" i="2" a="1"/>
  <c r="Q384" i="2" s="1"/>
  <c r="P384" i="2" a="1"/>
  <c r="P384" i="2" s="1"/>
  <c r="M384" i="2" a="1"/>
  <c r="M384" i="2" s="1"/>
  <c r="O380" i="2" a="1"/>
  <c r="O380" i="2" s="1"/>
  <c r="R380" i="2" a="1"/>
  <c r="R380" i="2" s="1"/>
  <c r="N380" i="2" a="1"/>
  <c r="N380" i="2" s="1"/>
  <c r="Q380" i="2" a="1"/>
  <c r="Q380" i="2" s="1"/>
  <c r="P380" i="2" a="1"/>
  <c r="P380" i="2" s="1"/>
  <c r="M380" i="2" a="1"/>
  <c r="M380" i="2" s="1"/>
  <c r="O376" i="2" a="1"/>
  <c r="O376" i="2" s="1"/>
  <c r="R376" i="2" a="1"/>
  <c r="R376" i="2" s="1"/>
  <c r="N376" i="2" a="1"/>
  <c r="N376" i="2" s="1"/>
  <c r="Q376" i="2" a="1"/>
  <c r="Q376" i="2" s="1"/>
  <c r="P376" i="2" a="1"/>
  <c r="P376" i="2" s="1"/>
  <c r="M376" i="2" a="1"/>
  <c r="M376" i="2" s="1"/>
  <c r="O372" i="2" a="1"/>
  <c r="O372" i="2" s="1"/>
  <c r="R372" i="2" a="1"/>
  <c r="R372" i="2" s="1"/>
  <c r="N372" i="2" a="1"/>
  <c r="N372" i="2" s="1"/>
  <c r="Q372" i="2" a="1"/>
  <c r="Q372" i="2" s="1"/>
  <c r="P372" i="2" a="1"/>
  <c r="P372" i="2" s="1"/>
  <c r="M372" i="2" a="1"/>
  <c r="M372" i="2" s="1"/>
  <c r="O368" i="2" a="1"/>
  <c r="O368" i="2" s="1"/>
  <c r="R368" i="2" a="1"/>
  <c r="R368" i="2" s="1"/>
  <c r="N368" i="2" a="1"/>
  <c r="N368" i="2" s="1"/>
  <c r="Q368" i="2" a="1"/>
  <c r="Q368" i="2" s="1"/>
  <c r="P368" i="2" a="1"/>
  <c r="P368" i="2" s="1"/>
  <c r="M368" i="2" a="1"/>
  <c r="M368" i="2" s="1"/>
  <c r="O364" i="2" a="1"/>
  <c r="O364" i="2" s="1"/>
  <c r="R364" i="2" a="1"/>
  <c r="R364" i="2" s="1"/>
  <c r="N364" i="2" a="1"/>
  <c r="N364" i="2" s="1"/>
  <c r="Q364" i="2" a="1"/>
  <c r="Q364" i="2" s="1"/>
  <c r="P364" i="2" a="1"/>
  <c r="P364" i="2" s="1"/>
  <c r="M364" i="2" a="1"/>
  <c r="M364" i="2" s="1"/>
  <c r="P360" i="2" a="1"/>
  <c r="P360" i="2" s="1"/>
  <c r="M360" i="2" a="1"/>
  <c r="M360" i="2" s="1"/>
  <c r="R360" i="2" a="1"/>
  <c r="R360" i="2" s="1"/>
  <c r="O360" i="2" a="1"/>
  <c r="O360" i="2" s="1"/>
  <c r="N360" i="2" a="1"/>
  <c r="N360" i="2" s="1"/>
  <c r="Q360" i="2" a="1"/>
  <c r="Q360" i="2" s="1"/>
  <c r="Q356" i="2" a="1"/>
  <c r="Q356" i="2" s="1"/>
  <c r="P356" i="2" a="1"/>
  <c r="P356" i="2" s="1"/>
  <c r="M356" i="2" a="1"/>
  <c r="M356" i="2" s="1"/>
  <c r="R356" i="2" a="1"/>
  <c r="R356" i="2" s="1"/>
  <c r="O356" i="2" a="1"/>
  <c r="O356" i="2" s="1"/>
  <c r="N356" i="2" a="1"/>
  <c r="N356" i="2" s="1"/>
  <c r="N352" i="2" a="1"/>
  <c r="N352" i="2" s="1"/>
  <c r="Q352" i="2" a="1"/>
  <c r="Q352" i="2" s="1"/>
  <c r="P352" i="2" a="1"/>
  <c r="P352" i="2" s="1"/>
  <c r="M352" i="2" a="1"/>
  <c r="M352" i="2" s="1"/>
  <c r="R352" i="2" a="1"/>
  <c r="R352" i="2" s="1"/>
  <c r="O352" i="2" a="1"/>
  <c r="O352" i="2" s="1"/>
  <c r="N348" i="2" a="1"/>
  <c r="N348" i="2" s="1"/>
  <c r="Q348" i="2" a="1"/>
  <c r="Q348" i="2" s="1"/>
  <c r="P348" i="2" a="1"/>
  <c r="P348" i="2" s="1"/>
  <c r="M348" i="2" a="1"/>
  <c r="M348" i="2" s="1"/>
  <c r="R348" i="2" a="1"/>
  <c r="R348" i="2" s="1"/>
  <c r="O348" i="2" a="1"/>
  <c r="O348" i="2" s="1"/>
  <c r="N344" i="2" a="1"/>
  <c r="N344" i="2" s="1"/>
  <c r="Q344" i="2" a="1"/>
  <c r="Q344" i="2" s="1"/>
  <c r="P344" i="2" a="1"/>
  <c r="P344" i="2" s="1"/>
  <c r="M344" i="2" a="1"/>
  <c r="M344" i="2" s="1"/>
  <c r="R344" i="2" a="1"/>
  <c r="R344" i="2" s="1"/>
  <c r="O344" i="2" a="1"/>
  <c r="O344" i="2" s="1"/>
  <c r="N340" i="2" a="1"/>
  <c r="N340" i="2" s="1"/>
  <c r="Q340" i="2" a="1"/>
  <c r="Q340" i="2" s="1"/>
  <c r="P340" i="2" a="1"/>
  <c r="P340" i="2" s="1"/>
  <c r="M340" i="2" a="1"/>
  <c r="M340" i="2" s="1"/>
  <c r="R340" i="2" a="1"/>
  <c r="R340" i="2" s="1"/>
  <c r="O340" i="2" a="1"/>
  <c r="O340" i="2" s="1"/>
  <c r="N336" i="2" a="1"/>
  <c r="N336" i="2" s="1"/>
  <c r="Q336" i="2" a="1"/>
  <c r="Q336" i="2" s="1"/>
  <c r="P336" i="2" a="1"/>
  <c r="P336" i="2" s="1"/>
  <c r="M336" i="2" a="1"/>
  <c r="M336" i="2" s="1"/>
  <c r="R336" i="2" a="1"/>
  <c r="R336" i="2" s="1"/>
  <c r="O336" i="2" a="1"/>
  <c r="O336" i="2" s="1"/>
  <c r="N332" i="2" a="1"/>
  <c r="N332" i="2" s="1"/>
  <c r="Q332" i="2" a="1"/>
  <c r="Q332" i="2" s="1"/>
  <c r="P332" i="2" a="1"/>
  <c r="P332" i="2" s="1"/>
  <c r="M332" i="2" a="1"/>
  <c r="M332" i="2" s="1"/>
  <c r="R332" i="2" a="1"/>
  <c r="R332" i="2" s="1"/>
  <c r="O332" i="2" a="1"/>
  <c r="O332" i="2" s="1"/>
  <c r="N328" i="2" a="1"/>
  <c r="N328" i="2" s="1"/>
  <c r="Q328" i="2" a="1"/>
  <c r="Q328" i="2" s="1"/>
  <c r="P328" i="2" a="1"/>
  <c r="P328" i="2" s="1"/>
  <c r="M328" i="2" a="1"/>
  <c r="M328" i="2" s="1"/>
  <c r="R328" i="2" a="1"/>
  <c r="R328" i="2" s="1"/>
  <c r="O328" i="2" a="1"/>
  <c r="O328" i="2" s="1"/>
  <c r="N324" i="2" a="1"/>
  <c r="N324" i="2" s="1"/>
  <c r="Q324" i="2" a="1"/>
  <c r="Q324" i="2" s="1"/>
  <c r="P324" i="2" a="1"/>
  <c r="P324" i="2" s="1"/>
  <c r="M324" i="2" a="1"/>
  <c r="M324" i="2" s="1"/>
  <c r="R324" i="2" a="1"/>
  <c r="R324" i="2" s="1"/>
  <c r="O324" i="2" a="1"/>
  <c r="O324" i="2" s="1"/>
  <c r="N320" i="2" a="1"/>
  <c r="N320" i="2" s="1"/>
  <c r="Q320" i="2" a="1"/>
  <c r="Q320" i="2" s="1"/>
  <c r="P320" i="2" a="1"/>
  <c r="P320" i="2" s="1"/>
  <c r="M320" i="2" a="1"/>
  <c r="M320" i="2" s="1"/>
  <c r="R320" i="2" a="1"/>
  <c r="R320" i="2" s="1"/>
  <c r="O320" i="2" a="1"/>
  <c r="O320" i="2" s="1"/>
  <c r="N316" i="2" a="1"/>
  <c r="N316" i="2" s="1"/>
  <c r="Q316" i="2" a="1"/>
  <c r="Q316" i="2" s="1"/>
  <c r="P316" i="2" a="1"/>
  <c r="P316" i="2" s="1"/>
  <c r="M316" i="2" a="1"/>
  <c r="M316" i="2" s="1"/>
  <c r="R316" i="2" a="1"/>
  <c r="R316" i="2" s="1"/>
  <c r="O316" i="2" a="1"/>
  <c r="O316" i="2" s="1"/>
  <c r="N312" i="2" a="1"/>
  <c r="N312" i="2" s="1"/>
  <c r="Q312" i="2" a="1"/>
  <c r="Q312" i="2" s="1"/>
  <c r="P312" i="2" a="1"/>
  <c r="P312" i="2" s="1"/>
  <c r="M312" i="2" a="1"/>
  <c r="M312" i="2" s="1"/>
  <c r="R312" i="2" a="1"/>
  <c r="R312" i="2" s="1"/>
  <c r="O312" i="2" a="1"/>
  <c r="O312" i="2" s="1"/>
  <c r="N308" i="2" a="1"/>
  <c r="N308" i="2" s="1"/>
  <c r="P308" i="2" a="1"/>
  <c r="P308" i="2" s="1"/>
  <c r="M308" i="2" a="1"/>
  <c r="M308" i="2" s="1"/>
  <c r="R308" i="2" a="1"/>
  <c r="R308" i="2" s="1"/>
  <c r="O308" i="2" a="1"/>
  <c r="O308" i="2" s="1"/>
  <c r="N304" i="2" a="1"/>
  <c r="N304" i="2" s="1"/>
  <c r="P304" i="2" a="1"/>
  <c r="P304" i="2" s="1"/>
  <c r="M304" i="2" a="1"/>
  <c r="M304" i="2" s="1"/>
  <c r="R304" i="2" a="1"/>
  <c r="R304" i="2" s="1"/>
  <c r="O304" i="2" a="1"/>
  <c r="O304" i="2" s="1"/>
  <c r="N300" i="2" a="1"/>
  <c r="N300" i="2" s="1"/>
  <c r="R300" i="2" a="1"/>
  <c r="R300" i="2" s="1"/>
  <c r="O300" i="2" a="1"/>
  <c r="O300" i="2" s="1"/>
  <c r="N296" i="2" a="1"/>
  <c r="N296" i="2" s="1"/>
  <c r="R296" i="2" a="1"/>
  <c r="R296" i="2" s="1"/>
  <c r="O296" i="2" a="1"/>
  <c r="O296" i="2" s="1"/>
  <c r="N292" i="2" a="1"/>
  <c r="N292" i="2" s="1"/>
  <c r="R292" i="2" a="1"/>
  <c r="R292" i="2" s="1"/>
  <c r="O292" i="2" a="1"/>
  <c r="O292" i="2" s="1"/>
  <c r="N288" i="2" a="1"/>
  <c r="N288" i="2" s="1"/>
  <c r="R288" i="2" a="1"/>
  <c r="R288" i="2" s="1"/>
  <c r="O288" i="2" a="1"/>
  <c r="O288" i="2" s="1"/>
  <c r="N284" i="2" a="1"/>
  <c r="N284" i="2" s="1"/>
  <c r="R284" i="2" a="1"/>
  <c r="R284" i="2" s="1"/>
  <c r="O284" i="2" a="1"/>
  <c r="O284" i="2" s="1"/>
  <c r="N280" i="2" a="1"/>
  <c r="N280" i="2" s="1"/>
  <c r="R280" i="2" a="1"/>
  <c r="R280" i="2" s="1"/>
  <c r="O280" i="2" a="1"/>
  <c r="O280" i="2" s="1"/>
  <c r="N276" i="2" a="1"/>
  <c r="N276" i="2" s="1"/>
  <c r="R276" i="2" a="1"/>
  <c r="R276" i="2" s="1"/>
  <c r="O276" i="2" a="1"/>
  <c r="O276" i="2" s="1"/>
  <c r="N272" i="2" a="1"/>
  <c r="N272" i="2" s="1"/>
  <c r="R272" i="2" a="1"/>
  <c r="R272" i="2" s="1"/>
  <c r="O272" i="2" a="1"/>
  <c r="O272" i="2" s="1"/>
  <c r="N268" i="2" a="1"/>
  <c r="N268" i="2" s="1"/>
  <c r="R268" i="2" a="1"/>
  <c r="R268" i="2" s="1"/>
  <c r="O268" i="2" a="1"/>
  <c r="O268" i="2" s="1"/>
  <c r="N264" i="2" a="1"/>
  <c r="N264" i="2" s="1"/>
  <c r="R264" i="2" a="1"/>
  <c r="R264" i="2" s="1"/>
  <c r="O264" i="2" a="1"/>
  <c r="O264" i="2" s="1"/>
  <c r="N260" i="2" a="1"/>
  <c r="N260" i="2" s="1"/>
  <c r="R260" i="2" a="1"/>
  <c r="R260" i="2" s="1"/>
  <c r="O260" i="2" a="1"/>
  <c r="O260" i="2" s="1"/>
  <c r="N256" i="2" a="1"/>
  <c r="N256" i="2" s="1"/>
  <c r="R256" i="2" a="1"/>
  <c r="R256" i="2" s="1"/>
  <c r="O256" i="2" a="1"/>
  <c r="O256" i="2" s="1"/>
  <c r="N252" i="2" a="1"/>
  <c r="N252" i="2" s="1"/>
  <c r="R252" i="2" a="1"/>
  <c r="R252" i="2" s="1"/>
  <c r="O252" i="2" a="1"/>
  <c r="O252" i="2" s="1"/>
  <c r="N248" i="2" a="1"/>
  <c r="N248" i="2" s="1"/>
  <c r="R248" i="2" a="1"/>
  <c r="R248" i="2" s="1"/>
  <c r="O248" i="2" a="1"/>
  <c r="O248" i="2" s="1"/>
  <c r="J248" i="2" a="1"/>
  <c r="J248" i="2" s="1"/>
  <c r="R1615" i="2" a="1"/>
  <c r="R1615" i="2" s="1"/>
  <c r="Q1615" i="2" a="1"/>
  <c r="Q1615" i="2" s="1"/>
  <c r="P1615" i="2" a="1"/>
  <c r="P1615" i="2" s="1"/>
  <c r="M1615" i="2" a="1"/>
  <c r="M1615" i="2" s="1"/>
  <c r="O1615" i="2" a="1"/>
  <c r="O1615" i="2" s="1"/>
  <c r="N1615" i="2" a="1"/>
  <c r="N1615" i="2" s="1"/>
  <c r="Q1611" i="2" a="1"/>
  <c r="Q1611" i="2" s="1"/>
  <c r="P1611" i="2" a="1"/>
  <c r="P1611" i="2" s="1"/>
  <c r="M1611" i="2" a="1"/>
  <c r="M1611" i="2" s="1"/>
  <c r="O1611" i="2" a="1"/>
  <c r="O1611" i="2" s="1"/>
  <c r="R1611" i="2" a="1"/>
  <c r="R1611" i="2" s="1"/>
  <c r="N1611" i="2" a="1"/>
  <c r="N1611" i="2" s="1"/>
  <c r="R1607" i="2" a="1"/>
  <c r="R1607" i="2" s="1"/>
  <c r="O1607" i="2" a="1"/>
  <c r="O1607" i="2" s="1"/>
  <c r="Q1607" i="2" a="1"/>
  <c r="Q1607" i="2" s="1"/>
  <c r="N1607" i="2" a="1"/>
  <c r="N1607" i="2" s="1"/>
  <c r="P1607" i="2" a="1"/>
  <c r="P1607" i="2" s="1"/>
  <c r="M1607" i="2" a="1"/>
  <c r="M1607" i="2" s="1"/>
  <c r="R1603" i="2" a="1"/>
  <c r="R1603" i="2" s="1"/>
  <c r="O1603" i="2" a="1"/>
  <c r="O1603" i="2" s="1"/>
  <c r="Q1603" i="2" a="1"/>
  <c r="Q1603" i="2" s="1"/>
  <c r="N1603" i="2" a="1"/>
  <c r="N1603" i="2" s="1"/>
  <c r="P1603" i="2" a="1"/>
  <c r="P1603" i="2" s="1"/>
  <c r="M1603" i="2" a="1"/>
  <c r="M1603" i="2" s="1"/>
  <c r="R1599" i="2" a="1"/>
  <c r="R1599" i="2" s="1"/>
  <c r="O1599" i="2" a="1"/>
  <c r="O1599" i="2" s="1"/>
  <c r="Q1599" i="2" a="1"/>
  <c r="Q1599" i="2" s="1"/>
  <c r="N1599" i="2" a="1"/>
  <c r="N1599" i="2" s="1"/>
  <c r="P1599" i="2" a="1"/>
  <c r="P1599" i="2" s="1"/>
  <c r="M1599" i="2" a="1"/>
  <c r="M1599" i="2" s="1"/>
  <c r="Q1595" i="2" a="1"/>
  <c r="Q1595" i="2" s="1"/>
  <c r="N1595" i="2" a="1"/>
  <c r="N1595" i="2" s="1"/>
  <c r="M1595" i="2" a="1"/>
  <c r="M1595" i="2" s="1"/>
  <c r="P1595" i="2" a="1"/>
  <c r="P1595" i="2" s="1"/>
  <c r="R1595" i="2" a="1"/>
  <c r="R1595" i="2" s="1"/>
  <c r="O1595" i="2" a="1"/>
  <c r="O1595" i="2" s="1"/>
  <c r="P1591" i="2" a="1"/>
  <c r="P1591" i="2" s="1"/>
  <c r="R1591" i="2" a="1"/>
  <c r="R1591" i="2" s="1"/>
  <c r="O1591" i="2" a="1"/>
  <c r="O1591" i="2" s="1"/>
  <c r="Q1591" i="2" a="1"/>
  <c r="Q1591" i="2" s="1"/>
  <c r="N1591" i="2" a="1"/>
  <c r="N1591" i="2" s="1"/>
  <c r="M1591" i="2" a="1"/>
  <c r="M1591" i="2" s="1"/>
  <c r="R1587" i="2" a="1"/>
  <c r="R1587" i="2" s="1"/>
  <c r="O1587" i="2" a="1"/>
  <c r="O1587" i="2" s="1"/>
  <c r="Q1587" i="2" a="1"/>
  <c r="Q1587" i="2" s="1"/>
  <c r="N1587" i="2" a="1"/>
  <c r="N1587" i="2" s="1"/>
  <c r="M1587" i="2" a="1"/>
  <c r="M1587" i="2" s="1"/>
  <c r="P1587" i="2" a="1"/>
  <c r="P1587" i="2" s="1"/>
  <c r="M1583" i="2" a="1"/>
  <c r="M1583" i="2" s="1"/>
  <c r="P1583" i="2" a="1"/>
  <c r="P1583" i="2" s="1"/>
  <c r="R1583" i="2" a="1"/>
  <c r="R1583" i="2" s="1"/>
  <c r="O1583" i="2" a="1"/>
  <c r="O1583" i="2" s="1"/>
  <c r="Q1583" i="2" a="1"/>
  <c r="Q1583" i="2" s="1"/>
  <c r="N1583" i="2" a="1"/>
  <c r="N1583" i="2" s="1"/>
  <c r="P1579" i="2" a="1"/>
  <c r="P1579" i="2" s="1"/>
  <c r="R1579" i="2" a="1"/>
  <c r="R1579" i="2" s="1"/>
  <c r="O1579" i="2" a="1"/>
  <c r="O1579" i="2" s="1"/>
  <c r="Q1579" i="2" a="1"/>
  <c r="Q1579" i="2" s="1"/>
  <c r="N1579" i="2" a="1"/>
  <c r="N1579" i="2" s="1"/>
  <c r="M1579" i="2" a="1"/>
  <c r="M1579" i="2" s="1"/>
  <c r="R1575" i="2" a="1"/>
  <c r="R1575" i="2" s="1"/>
  <c r="O1575" i="2" a="1"/>
  <c r="O1575" i="2" s="1"/>
  <c r="Q1575" i="2" a="1"/>
  <c r="Q1575" i="2" s="1"/>
  <c r="N1575" i="2" a="1"/>
  <c r="N1575" i="2" s="1"/>
  <c r="M1575" i="2" a="1"/>
  <c r="M1575" i="2" s="1"/>
  <c r="P1575" i="2" a="1"/>
  <c r="P1575" i="2" s="1"/>
  <c r="Q1571" i="2" a="1"/>
  <c r="Q1571" i="2" s="1"/>
  <c r="N1571" i="2" a="1"/>
  <c r="N1571" i="2" s="1"/>
  <c r="M1571" i="2" a="1"/>
  <c r="M1571" i="2" s="1"/>
  <c r="P1571" i="2" a="1"/>
  <c r="P1571" i="2" s="1"/>
  <c r="R1571" i="2" a="1"/>
  <c r="R1571" i="2" s="1"/>
  <c r="O1571" i="2" a="1"/>
  <c r="O1571" i="2" s="1"/>
  <c r="M1567" i="2" a="1"/>
  <c r="M1567" i="2" s="1"/>
  <c r="P1567" i="2" a="1"/>
  <c r="P1567" i="2" s="1"/>
  <c r="R1567" i="2" a="1"/>
  <c r="R1567" i="2" s="1"/>
  <c r="O1567" i="2" a="1"/>
  <c r="O1567" i="2" s="1"/>
  <c r="Q1567" i="2" a="1"/>
  <c r="Q1567" i="2" s="1"/>
  <c r="N1567" i="2" a="1"/>
  <c r="N1567" i="2" s="1"/>
  <c r="P1563" i="2" a="1"/>
  <c r="P1563" i="2" s="1"/>
  <c r="R1563" i="2" a="1"/>
  <c r="R1563" i="2" s="1"/>
  <c r="O1563" i="2" a="1"/>
  <c r="O1563" i="2" s="1"/>
  <c r="Q1563" i="2" a="1"/>
  <c r="Q1563" i="2" s="1"/>
  <c r="N1563" i="2" a="1"/>
  <c r="N1563" i="2" s="1"/>
  <c r="M1563" i="2" a="1"/>
  <c r="M1563" i="2" s="1"/>
  <c r="R1559" i="2" a="1"/>
  <c r="R1559" i="2" s="1"/>
  <c r="O1559" i="2" a="1"/>
  <c r="O1559" i="2" s="1"/>
  <c r="Q1559" i="2" a="1"/>
  <c r="Q1559" i="2" s="1"/>
  <c r="N1559" i="2" a="1"/>
  <c r="N1559" i="2" s="1"/>
  <c r="M1559" i="2" a="1"/>
  <c r="M1559" i="2" s="1"/>
  <c r="P1559" i="2" a="1"/>
  <c r="P1559" i="2" s="1"/>
  <c r="Q1555" i="2" a="1"/>
  <c r="Q1555" i="2" s="1"/>
  <c r="N1555" i="2" a="1"/>
  <c r="N1555" i="2" s="1"/>
  <c r="M1555" i="2" a="1"/>
  <c r="M1555" i="2" s="1"/>
  <c r="P1555" i="2" a="1"/>
  <c r="P1555" i="2" s="1"/>
  <c r="R1555" i="2" a="1"/>
  <c r="R1555" i="2" s="1"/>
  <c r="O1555" i="2" a="1"/>
  <c r="O1555" i="2" s="1"/>
  <c r="N1551" i="2" a="1"/>
  <c r="N1551" i="2" s="1"/>
  <c r="Q1551" i="2" a="1"/>
  <c r="Q1551" i="2" s="1"/>
  <c r="M1551" i="2" a="1"/>
  <c r="M1551" i="2" s="1"/>
  <c r="P1551" i="2" a="1"/>
  <c r="P1551" i="2" s="1"/>
  <c r="R1551" i="2" a="1"/>
  <c r="R1551" i="2" s="1"/>
  <c r="O1551" i="2" a="1"/>
  <c r="O1551" i="2" s="1"/>
  <c r="N1547" i="2" a="1"/>
  <c r="N1547" i="2" s="1"/>
  <c r="Q1547" i="2" a="1"/>
  <c r="Q1547" i="2" s="1"/>
  <c r="M1547" i="2" a="1"/>
  <c r="M1547" i="2" s="1"/>
  <c r="P1547" i="2" a="1"/>
  <c r="P1547" i="2" s="1"/>
  <c r="R1547" i="2" a="1"/>
  <c r="R1547" i="2" s="1"/>
  <c r="O1547" i="2" a="1"/>
  <c r="O1547" i="2" s="1"/>
  <c r="R1543" i="2" a="1"/>
  <c r="R1543" i="2" s="1"/>
  <c r="O1543" i="2" a="1"/>
  <c r="O1543" i="2" s="1"/>
  <c r="Q1543" i="2" a="1"/>
  <c r="Q1543" i="2" s="1"/>
  <c r="N1543" i="2" a="1"/>
  <c r="N1543" i="2" s="1"/>
  <c r="M1543" i="2" a="1"/>
  <c r="M1543" i="2" s="1"/>
  <c r="P1543" i="2" a="1"/>
  <c r="P1543" i="2" s="1"/>
  <c r="P1539" i="2" a="1"/>
  <c r="P1539" i="2" s="1"/>
  <c r="R1539" i="2" a="1"/>
  <c r="R1539" i="2" s="1"/>
  <c r="O1539" i="2" a="1"/>
  <c r="O1539" i="2" s="1"/>
  <c r="Q1539" i="2" a="1"/>
  <c r="Q1539" i="2" s="1"/>
  <c r="N1539" i="2" a="1"/>
  <c r="N1539" i="2" s="1"/>
  <c r="M1539" i="2" a="1"/>
  <c r="M1539" i="2" s="1"/>
  <c r="M1535" i="2" a="1"/>
  <c r="M1535" i="2" s="1"/>
  <c r="P1535" i="2" a="1"/>
  <c r="P1535" i="2" s="1"/>
  <c r="R1535" i="2" a="1"/>
  <c r="R1535" i="2" s="1"/>
  <c r="O1535" i="2" a="1"/>
  <c r="O1535" i="2" s="1"/>
  <c r="Q1535" i="2" a="1"/>
  <c r="Q1535" i="2" s="1"/>
  <c r="N1535" i="2" a="1"/>
  <c r="N1535" i="2" s="1"/>
  <c r="Q1531" i="2" a="1"/>
  <c r="Q1531" i="2" s="1"/>
  <c r="N1531" i="2" a="1"/>
  <c r="N1531" i="2" s="1"/>
  <c r="M1531" i="2" a="1"/>
  <c r="M1531" i="2" s="1"/>
  <c r="P1531" i="2" a="1"/>
  <c r="P1531" i="2" s="1"/>
  <c r="R1531" i="2" a="1"/>
  <c r="R1531" i="2" s="1"/>
  <c r="O1531" i="2" a="1"/>
  <c r="O1531" i="2" s="1"/>
  <c r="R1527" i="2" a="1"/>
  <c r="R1527" i="2" s="1"/>
  <c r="O1527" i="2" a="1"/>
  <c r="O1527" i="2" s="1"/>
  <c r="Q1527" i="2" a="1"/>
  <c r="Q1527" i="2" s="1"/>
  <c r="N1527" i="2" a="1"/>
  <c r="N1527" i="2" s="1"/>
  <c r="M1527" i="2" a="1"/>
  <c r="M1527" i="2" s="1"/>
  <c r="P1527" i="2" a="1"/>
  <c r="P1527" i="2" s="1"/>
  <c r="P1523" i="2" a="1"/>
  <c r="P1523" i="2" s="1"/>
  <c r="R1523" i="2" a="1"/>
  <c r="R1523" i="2" s="1"/>
  <c r="O1523" i="2" a="1"/>
  <c r="O1523" i="2" s="1"/>
  <c r="Q1523" i="2" a="1"/>
  <c r="Q1523" i="2" s="1"/>
  <c r="N1523" i="2" a="1"/>
  <c r="N1523" i="2" s="1"/>
  <c r="M1523" i="2" a="1"/>
  <c r="M1523" i="2" s="1"/>
  <c r="M1519" i="2" a="1"/>
  <c r="M1519" i="2" s="1"/>
  <c r="P1519" i="2" a="1"/>
  <c r="P1519" i="2" s="1"/>
  <c r="R1519" i="2" a="1"/>
  <c r="R1519" i="2" s="1"/>
  <c r="O1519" i="2" a="1"/>
  <c r="O1519" i="2" s="1"/>
  <c r="Q1519" i="2" a="1"/>
  <c r="Q1519" i="2" s="1"/>
  <c r="N1519" i="2" a="1"/>
  <c r="N1519" i="2" s="1"/>
  <c r="Q1515" i="2" a="1"/>
  <c r="Q1515" i="2" s="1"/>
  <c r="N1515" i="2" a="1"/>
  <c r="N1515" i="2" s="1"/>
  <c r="M1515" i="2" a="1"/>
  <c r="M1515" i="2" s="1"/>
  <c r="P1515" i="2" a="1"/>
  <c r="P1515" i="2" s="1"/>
  <c r="R1515" i="2" a="1"/>
  <c r="R1515" i="2" s="1"/>
  <c r="O1515" i="2" a="1"/>
  <c r="O1515" i="2" s="1"/>
  <c r="Q1511" i="2" a="1"/>
  <c r="Q1511" i="2" s="1"/>
  <c r="P1511" i="2" a="1"/>
  <c r="P1511" i="2" s="1"/>
  <c r="M1511" i="2" a="1"/>
  <c r="M1511" i="2" s="1"/>
  <c r="R1511" i="2" a="1"/>
  <c r="R1511" i="2" s="1"/>
  <c r="N1511" i="2" a="1"/>
  <c r="N1511" i="2" s="1"/>
  <c r="O1511" i="2" a="1"/>
  <c r="O1511" i="2" s="1"/>
  <c r="P1507" i="2" a="1"/>
  <c r="P1507" i="2" s="1"/>
  <c r="M1507" i="2" a="1"/>
  <c r="M1507" i="2" s="1"/>
  <c r="Q1507" i="2" a="1"/>
  <c r="Q1507" i="2" s="1"/>
  <c r="N1507" i="2" a="1"/>
  <c r="N1507" i="2" s="1"/>
  <c r="R1507" i="2" a="1"/>
  <c r="R1507" i="2" s="1"/>
  <c r="O1507" i="2" a="1"/>
  <c r="O1507" i="2" s="1"/>
  <c r="P1503" i="2" a="1"/>
  <c r="P1503" i="2" s="1"/>
  <c r="M1503" i="2" a="1"/>
  <c r="M1503" i="2" s="1"/>
  <c r="O1503" i="2" a="1"/>
  <c r="O1503" i="2" s="1"/>
  <c r="R1503" i="2" a="1"/>
  <c r="R1503" i="2" s="1"/>
  <c r="N1503" i="2" a="1"/>
  <c r="N1503" i="2" s="1"/>
  <c r="Q1503" i="2" a="1"/>
  <c r="Q1503" i="2" s="1"/>
  <c r="P1499" i="2" a="1"/>
  <c r="P1499" i="2" s="1"/>
  <c r="M1499" i="2" a="1"/>
  <c r="M1499" i="2" s="1"/>
  <c r="Q1499" i="2" a="1"/>
  <c r="Q1499" i="2" s="1"/>
  <c r="O1499" i="2" a="1"/>
  <c r="O1499" i="2" s="1"/>
  <c r="R1499" i="2" a="1"/>
  <c r="R1499" i="2" s="1"/>
  <c r="N1499" i="2" a="1"/>
  <c r="N1499" i="2" s="1"/>
  <c r="P1495" i="2" a="1"/>
  <c r="P1495" i="2" s="1"/>
  <c r="M1495" i="2" a="1"/>
  <c r="M1495" i="2" s="1"/>
  <c r="O1495" i="2" a="1"/>
  <c r="O1495" i="2" s="1"/>
  <c r="R1495" i="2" a="1"/>
  <c r="R1495" i="2" s="1"/>
  <c r="N1495" i="2" a="1"/>
  <c r="N1495" i="2" s="1"/>
  <c r="Q1495" i="2" a="1"/>
  <c r="Q1495" i="2" s="1"/>
  <c r="P1491" i="2" a="1"/>
  <c r="P1491" i="2" s="1"/>
  <c r="M1491" i="2" a="1"/>
  <c r="M1491" i="2" s="1"/>
  <c r="Q1491" i="2" a="1"/>
  <c r="Q1491" i="2" s="1"/>
  <c r="O1491" i="2" a="1"/>
  <c r="O1491" i="2" s="1"/>
  <c r="R1491" i="2" a="1"/>
  <c r="R1491" i="2" s="1"/>
  <c r="N1491" i="2" a="1"/>
  <c r="N1491" i="2" s="1"/>
  <c r="P1487" i="2" a="1"/>
  <c r="P1487" i="2" s="1"/>
  <c r="M1487" i="2" a="1"/>
  <c r="M1487" i="2" s="1"/>
  <c r="O1487" i="2" a="1"/>
  <c r="O1487" i="2" s="1"/>
  <c r="R1487" i="2" a="1"/>
  <c r="R1487" i="2" s="1"/>
  <c r="N1487" i="2" a="1"/>
  <c r="N1487" i="2" s="1"/>
  <c r="Q1487" i="2" a="1"/>
  <c r="Q1487" i="2" s="1"/>
  <c r="P1483" i="2" a="1"/>
  <c r="P1483" i="2" s="1"/>
  <c r="M1483" i="2" a="1"/>
  <c r="M1483" i="2" s="1"/>
  <c r="Q1483" i="2" a="1"/>
  <c r="Q1483" i="2" s="1"/>
  <c r="O1483" i="2" a="1"/>
  <c r="O1483" i="2" s="1"/>
  <c r="R1483" i="2" a="1"/>
  <c r="R1483" i="2" s="1"/>
  <c r="N1483" i="2" a="1"/>
  <c r="N1483" i="2" s="1"/>
  <c r="Q1479" i="2" a="1"/>
  <c r="Q1479" i="2" s="1"/>
  <c r="M1479" i="2" a="1"/>
  <c r="M1479" i="2" s="1"/>
  <c r="P1479" i="2" a="1"/>
  <c r="P1479" i="2" s="1"/>
  <c r="O1479" i="2" a="1"/>
  <c r="O1479" i="2" s="1"/>
  <c r="N1479" i="2" a="1"/>
  <c r="N1479" i="2" s="1"/>
  <c r="R1479" i="2" a="1"/>
  <c r="R1479" i="2" s="1"/>
  <c r="P1475" i="2" a="1"/>
  <c r="P1475" i="2" s="1"/>
  <c r="O1475" i="2" a="1"/>
  <c r="O1475" i="2" s="1"/>
  <c r="R1475" i="2" a="1"/>
  <c r="R1475" i="2" s="1"/>
  <c r="N1475" i="2" a="1"/>
  <c r="N1475" i="2" s="1"/>
  <c r="Q1475" i="2" a="1"/>
  <c r="Q1475" i="2" s="1"/>
  <c r="M1475" i="2" a="1"/>
  <c r="M1475" i="2" s="1"/>
  <c r="P1471" i="2" a="1"/>
  <c r="P1471" i="2" s="1"/>
  <c r="O1471" i="2" a="1"/>
  <c r="O1471" i="2" s="1"/>
  <c r="R1471" i="2" a="1"/>
  <c r="R1471" i="2" s="1"/>
  <c r="N1471" i="2" a="1"/>
  <c r="N1471" i="2" s="1"/>
  <c r="Q1471" i="2" a="1"/>
  <c r="Q1471" i="2" s="1"/>
  <c r="M1471" i="2" a="1"/>
  <c r="M1471" i="2" s="1"/>
  <c r="P1467" i="2" a="1"/>
  <c r="P1467" i="2" s="1"/>
  <c r="O1467" i="2" a="1"/>
  <c r="O1467" i="2" s="1"/>
  <c r="R1467" i="2" a="1"/>
  <c r="R1467" i="2" s="1"/>
  <c r="N1467" i="2" a="1"/>
  <c r="N1467" i="2" s="1"/>
  <c r="Q1467" i="2" a="1"/>
  <c r="Q1467" i="2" s="1"/>
  <c r="M1467" i="2" a="1"/>
  <c r="M1467" i="2" s="1"/>
  <c r="P1463" i="2" a="1"/>
  <c r="P1463" i="2" s="1"/>
  <c r="O1463" i="2" a="1"/>
  <c r="O1463" i="2" s="1"/>
  <c r="R1463" i="2" a="1"/>
  <c r="R1463" i="2" s="1"/>
  <c r="N1463" i="2" a="1"/>
  <c r="N1463" i="2" s="1"/>
  <c r="Q1463" i="2" a="1"/>
  <c r="Q1463" i="2" s="1"/>
  <c r="M1463" i="2" a="1"/>
  <c r="M1463" i="2" s="1"/>
  <c r="P1459" i="2" a="1"/>
  <c r="P1459" i="2" s="1"/>
  <c r="O1459" i="2" a="1"/>
  <c r="O1459" i="2" s="1"/>
  <c r="R1459" i="2" a="1"/>
  <c r="R1459" i="2" s="1"/>
  <c r="N1459" i="2" a="1"/>
  <c r="N1459" i="2" s="1"/>
  <c r="Q1459" i="2" a="1"/>
  <c r="Q1459" i="2" s="1"/>
  <c r="M1459" i="2" a="1"/>
  <c r="M1459" i="2" s="1"/>
  <c r="P1455" i="2" a="1"/>
  <c r="P1455" i="2" s="1"/>
  <c r="O1455" i="2" a="1"/>
  <c r="O1455" i="2" s="1"/>
  <c r="R1455" i="2" a="1"/>
  <c r="R1455" i="2" s="1"/>
  <c r="N1455" i="2" a="1"/>
  <c r="N1455" i="2" s="1"/>
  <c r="Q1455" i="2" a="1"/>
  <c r="Q1455" i="2" s="1"/>
  <c r="M1455" i="2" a="1"/>
  <c r="M1455" i="2" s="1"/>
  <c r="P1451" i="2" a="1"/>
  <c r="P1451" i="2" s="1"/>
  <c r="O1451" i="2" a="1"/>
  <c r="O1451" i="2" s="1"/>
  <c r="R1451" i="2" a="1"/>
  <c r="R1451" i="2" s="1"/>
  <c r="N1451" i="2" a="1"/>
  <c r="N1451" i="2" s="1"/>
  <c r="Q1451" i="2" a="1"/>
  <c r="Q1451" i="2" s="1"/>
  <c r="M1451" i="2" a="1"/>
  <c r="M1451" i="2" s="1"/>
  <c r="P1447" i="2" a="1"/>
  <c r="P1447" i="2" s="1"/>
  <c r="O1447" i="2" a="1"/>
  <c r="O1447" i="2" s="1"/>
  <c r="R1447" i="2" a="1"/>
  <c r="R1447" i="2" s="1"/>
  <c r="N1447" i="2" a="1"/>
  <c r="N1447" i="2" s="1"/>
  <c r="Q1447" i="2" a="1"/>
  <c r="Q1447" i="2" s="1"/>
  <c r="M1447" i="2" a="1"/>
  <c r="M1447" i="2" s="1"/>
  <c r="R1443" i="2" a="1"/>
  <c r="R1443" i="2" s="1"/>
  <c r="N1443" i="2" a="1"/>
  <c r="N1443" i="2" s="1"/>
  <c r="Q1443" i="2" a="1"/>
  <c r="Q1443" i="2" s="1"/>
  <c r="M1443" i="2" a="1"/>
  <c r="M1443" i="2" s="1"/>
  <c r="O1443" i="2" a="1"/>
  <c r="O1443" i="2" s="1"/>
  <c r="P1443" i="2" a="1"/>
  <c r="P1443" i="2" s="1"/>
  <c r="R1439" i="2" a="1"/>
  <c r="R1439" i="2" s="1"/>
  <c r="N1439" i="2" a="1"/>
  <c r="N1439" i="2" s="1"/>
  <c r="Q1439" i="2" a="1"/>
  <c r="Q1439" i="2" s="1"/>
  <c r="M1439" i="2" a="1"/>
  <c r="M1439" i="2" s="1"/>
  <c r="O1439" i="2" a="1"/>
  <c r="O1439" i="2" s="1"/>
  <c r="P1439" i="2" a="1"/>
  <c r="P1439" i="2" s="1"/>
  <c r="R1435" i="2" a="1"/>
  <c r="R1435" i="2" s="1"/>
  <c r="N1435" i="2" a="1"/>
  <c r="N1435" i="2" s="1"/>
  <c r="Q1435" i="2" a="1"/>
  <c r="Q1435" i="2" s="1"/>
  <c r="M1435" i="2" a="1"/>
  <c r="M1435" i="2" s="1"/>
  <c r="O1435" i="2" a="1"/>
  <c r="O1435" i="2" s="1"/>
  <c r="P1435" i="2" a="1"/>
  <c r="P1435" i="2" s="1"/>
  <c r="R1431" i="2" a="1"/>
  <c r="R1431" i="2" s="1"/>
  <c r="N1431" i="2" a="1"/>
  <c r="N1431" i="2" s="1"/>
  <c r="Q1431" i="2" a="1"/>
  <c r="Q1431" i="2" s="1"/>
  <c r="M1431" i="2" a="1"/>
  <c r="M1431" i="2" s="1"/>
  <c r="O1431" i="2" a="1"/>
  <c r="O1431" i="2" s="1"/>
  <c r="P1431" i="2" a="1"/>
  <c r="P1431" i="2" s="1"/>
  <c r="R1427" i="2" a="1"/>
  <c r="R1427" i="2" s="1"/>
  <c r="N1427" i="2" a="1"/>
  <c r="N1427" i="2" s="1"/>
  <c r="Q1427" i="2" a="1"/>
  <c r="Q1427" i="2" s="1"/>
  <c r="M1427" i="2" a="1"/>
  <c r="M1427" i="2" s="1"/>
  <c r="O1427" i="2" a="1"/>
  <c r="O1427" i="2" s="1"/>
  <c r="P1427" i="2" a="1"/>
  <c r="P1427" i="2" s="1"/>
  <c r="R1423" i="2" a="1"/>
  <c r="R1423" i="2" s="1"/>
  <c r="N1423" i="2" a="1"/>
  <c r="N1423" i="2" s="1"/>
  <c r="Q1423" i="2" a="1"/>
  <c r="Q1423" i="2" s="1"/>
  <c r="M1423" i="2" a="1"/>
  <c r="M1423" i="2" s="1"/>
  <c r="O1423" i="2" a="1"/>
  <c r="O1423" i="2" s="1"/>
  <c r="P1423" i="2" a="1"/>
  <c r="P1423" i="2" s="1"/>
  <c r="R1419" i="2" a="1"/>
  <c r="R1419" i="2" s="1"/>
  <c r="O1419" i="2" a="1"/>
  <c r="O1419" i="2" s="1"/>
  <c r="Q1419" i="2" a="1"/>
  <c r="Q1419" i="2" s="1"/>
  <c r="N1419" i="2" a="1"/>
  <c r="N1419" i="2" s="1"/>
  <c r="P1419" i="2" a="1"/>
  <c r="P1419" i="2" s="1"/>
  <c r="M1419" i="2" a="1"/>
  <c r="M1419" i="2" s="1"/>
  <c r="P1415" i="2" a="1"/>
  <c r="P1415" i="2" s="1"/>
  <c r="M1415" i="2" a="1"/>
  <c r="M1415" i="2" s="1"/>
  <c r="Q1415" i="2" a="1"/>
  <c r="Q1415" i="2" s="1"/>
  <c r="O1415" i="2" a="1"/>
  <c r="O1415" i="2" s="1"/>
  <c r="N1415" i="2" a="1"/>
  <c r="N1415" i="2" s="1"/>
  <c r="R1415" i="2" a="1"/>
  <c r="R1415" i="2" s="1"/>
  <c r="Q1411" i="2" a="1"/>
  <c r="Q1411" i="2" s="1"/>
  <c r="N1411" i="2" a="1"/>
  <c r="N1411" i="2" s="1"/>
  <c r="P1411" i="2" a="1"/>
  <c r="P1411" i="2" s="1"/>
  <c r="M1411" i="2" a="1"/>
  <c r="M1411" i="2" s="1"/>
  <c r="O1411" i="2" a="1"/>
  <c r="O1411" i="2" s="1"/>
  <c r="R1411" i="2" a="1"/>
  <c r="R1411" i="2" s="1"/>
  <c r="R1407" i="2" a="1"/>
  <c r="R1407" i="2" s="1"/>
  <c r="O1407" i="2" a="1"/>
  <c r="O1407" i="2" s="1"/>
  <c r="Q1407" i="2" a="1"/>
  <c r="Q1407" i="2" s="1"/>
  <c r="N1407" i="2" a="1"/>
  <c r="N1407" i="2" s="1"/>
  <c r="P1407" i="2" a="1"/>
  <c r="P1407" i="2" s="1"/>
  <c r="M1407" i="2" a="1"/>
  <c r="M1407" i="2" s="1"/>
  <c r="R1403" i="2" a="1"/>
  <c r="R1403" i="2" s="1"/>
  <c r="O1403" i="2" a="1"/>
  <c r="O1403" i="2" s="1"/>
  <c r="P1403" i="2" a="1"/>
  <c r="P1403" i="2" s="1"/>
  <c r="N1403" i="2" a="1"/>
  <c r="N1403" i="2" s="1"/>
  <c r="M1403" i="2" a="1"/>
  <c r="M1403" i="2" s="1"/>
  <c r="Q1403" i="2" a="1"/>
  <c r="Q1403" i="2" s="1"/>
  <c r="Q1399" i="2" a="1"/>
  <c r="Q1399" i="2" s="1"/>
  <c r="N1399" i="2" a="1"/>
  <c r="N1399" i="2" s="1"/>
  <c r="P1399" i="2" a="1"/>
  <c r="P1399" i="2" s="1"/>
  <c r="M1399" i="2" a="1"/>
  <c r="M1399" i="2" s="1"/>
  <c r="O1399" i="2" a="1"/>
  <c r="O1399" i="2" s="1"/>
  <c r="R1399" i="2" a="1"/>
  <c r="R1399" i="2" s="1"/>
  <c r="R1395" i="2" a="1"/>
  <c r="R1395" i="2" s="1"/>
  <c r="O1395" i="2" a="1"/>
  <c r="O1395" i="2" s="1"/>
  <c r="M1395" i="2" a="1"/>
  <c r="M1395" i="2" s="1"/>
  <c r="Q1395" i="2" a="1"/>
  <c r="Q1395" i="2" s="1"/>
  <c r="P1395" i="2" a="1"/>
  <c r="P1395" i="2" s="1"/>
  <c r="N1395" i="2" a="1"/>
  <c r="N1395" i="2" s="1"/>
  <c r="Q1391" i="2" a="1"/>
  <c r="Q1391" i="2" s="1"/>
  <c r="N1391" i="2" a="1"/>
  <c r="N1391" i="2" s="1"/>
  <c r="P1391" i="2" a="1"/>
  <c r="P1391" i="2" s="1"/>
  <c r="M1391" i="2" a="1"/>
  <c r="M1391" i="2" s="1"/>
  <c r="R1391" i="2" a="1"/>
  <c r="R1391" i="2" s="1"/>
  <c r="O1391" i="2" a="1"/>
  <c r="O1391" i="2" s="1"/>
  <c r="R1387" i="2" a="1"/>
  <c r="R1387" i="2" s="1"/>
  <c r="O1387" i="2" a="1"/>
  <c r="O1387" i="2" s="1"/>
  <c r="P1387" i="2" a="1"/>
  <c r="P1387" i="2" s="1"/>
  <c r="N1387" i="2" a="1"/>
  <c r="N1387" i="2" s="1"/>
  <c r="M1387" i="2" a="1"/>
  <c r="M1387" i="2" s="1"/>
  <c r="Q1387" i="2" a="1"/>
  <c r="Q1387" i="2" s="1"/>
  <c r="R1383" i="2" a="1"/>
  <c r="R1383" i="2" s="1"/>
  <c r="O1383" i="2" a="1"/>
  <c r="O1383" i="2" s="1"/>
  <c r="P1383" i="2" a="1"/>
  <c r="P1383" i="2" s="1"/>
  <c r="N1383" i="2" a="1"/>
  <c r="N1383" i="2" s="1"/>
  <c r="M1383" i="2" a="1"/>
  <c r="M1383" i="2" s="1"/>
  <c r="Q1383" i="2" a="1"/>
  <c r="Q1383" i="2" s="1"/>
  <c r="R1379" i="2" a="1"/>
  <c r="R1379" i="2" s="1"/>
  <c r="O1379" i="2" a="1"/>
  <c r="O1379" i="2" s="1"/>
  <c r="P1379" i="2" a="1"/>
  <c r="P1379" i="2" s="1"/>
  <c r="N1379" i="2" a="1"/>
  <c r="N1379" i="2" s="1"/>
  <c r="M1379" i="2" a="1"/>
  <c r="M1379" i="2" s="1"/>
  <c r="Q1379" i="2" a="1"/>
  <c r="Q1379" i="2" s="1"/>
  <c r="R1375" i="2" a="1"/>
  <c r="R1375" i="2" s="1"/>
  <c r="O1375" i="2" a="1"/>
  <c r="O1375" i="2" s="1"/>
  <c r="P1375" i="2" a="1"/>
  <c r="P1375" i="2" s="1"/>
  <c r="N1375" i="2" a="1"/>
  <c r="N1375" i="2" s="1"/>
  <c r="M1375" i="2" a="1"/>
  <c r="M1375" i="2" s="1"/>
  <c r="Q1375" i="2" a="1"/>
  <c r="Q1375" i="2" s="1"/>
  <c r="O1371" i="2" a="1"/>
  <c r="O1371" i="2" s="1"/>
  <c r="R1371" i="2" a="1"/>
  <c r="R1371" i="2" s="1"/>
  <c r="N1371" i="2" a="1"/>
  <c r="N1371" i="2" s="1"/>
  <c r="Q1371" i="2" a="1"/>
  <c r="Q1371" i="2" s="1"/>
  <c r="M1371" i="2" a="1"/>
  <c r="M1371" i="2" s="1"/>
  <c r="P1371" i="2" a="1"/>
  <c r="P1371" i="2" s="1"/>
  <c r="O1367" i="2" a="1"/>
  <c r="O1367" i="2" s="1"/>
  <c r="P1367" i="2" a="1"/>
  <c r="P1367" i="2" s="1"/>
  <c r="R1367" i="2" a="1"/>
  <c r="R1367" i="2" s="1"/>
  <c r="N1367" i="2" a="1"/>
  <c r="N1367" i="2" s="1"/>
  <c r="Q1367" i="2" a="1"/>
  <c r="Q1367" i="2" s="1"/>
  <c r="M1367" i="2" a="1"/>
  <c r="M1367" i="2" s="1"/>
  <c r="O1363" i="2" a="1"/>
  <c r="O1363" i="2" s="1"/>
  <c r="R1363" i="2" a="1"/>
  <c r="R1363" i="2" s="1"/>
  <c r="N1363" i="2" a="1"/>
  <c r="N1363" i="2" s="1"/>
  <c r="Q1363" i="2" a="1"/>
  <c r="Q1363" i="2" s="1"/>
  <c r="M1363" i="2" a="1"/>
  <c r="M1363" i="2" s="1"/>
  <c r="P1363" i="2" a="1"/>
  <c r="P1363" i="2" s="1"/>
  <c r="O1359" i="2" a="1"/>
  <c r="O1359" i="2" s="1"/>
  <c r="P1359" i="2" a="1"/>
  <c r="P1359" i="2" s="1"/>
  <c r="R1359" i="2" a="1"/>
  <c r="R1359" i="2" s="1"/>
  <c r="N1359" i="2" a="1"/>
  <c r="N1359" i="2" s="1"/>
  <c r="Q1359" i="2" a="1"/>
  <c r="Q1359" i="2" s="1"/>
  <c r="M1359" i="2" a="1"/>
  <c r="M1359" i="2" s="1"/>
  <c r="O1355" i="2" a="1"/>
  <c r="O1355" i="2" s="1"/>
  <c r="R1355" i="2" a="1"/>
  <c r="R1355" i="2" s="1"/>
  <c r="N1355" i="2" a="1"/>
  <c r="N1355" i="2" s="1"/>
  <c r="Q1355" i="2" a="1"/>
  <c r="Q1355" i="2" s="1"/>
  <c r="M1355" i="2" a="1"/>
  <c r="M1355" i="2" s="1"/>
  <c r="P1355" i="2" a="1"/>
  <c r="P1355" i="2" s="1"/>
  <c r="R1351" i="2" a="1"/>
  <c r="R1351" i="2" s="1"/>
  <c r="O1351" i="2" a="1"/>
  <c r="O1351" i="2" s="1"/>
  <c r="M1351" i="2" a="1"/>
  <c r="M1351" i="2" s="1"/>
  <c r="P1351" i="2" a="1"/>
  <c r="P1351" i="2" s="1"/>
  <c r="Q1351" i="2" a="1"/>
  <c r="Q1351" i="2" s="1"/>
  <c r="N1351" i="2" a="1"/>
  <c r="N1351" i="2" s="1"/>
  <c r="Q1347" i="2" a="1"/>
  <c r="Q1347" i="2" s="1"/>
  <c r="N1347" i="2" a="1"/>
  <c r="N1347" i="2" s="1"/>
  <c r="P1347" i="2" a="1"/>
  <c r="P1347" i="2" s="1"/>
  <c r="M1347" i="2" a="1"/>
  <c r="M1347" i="2" s="1"/>
  <c r="R1347" i="2" a="1"/>
  <c r="R1347" i="2" s="1"/>
  <c r="O1347" i="2" a="1"/>
  <c r="O1347" i="2" s="1"/>
  <c r="Q1343" i="2" a="1"/>
  <c r="Q1343" i="2" s="1"/>
  <c r="N1343" i="2" a="1"/>
  <c r="N1343" i="2" s="1"/>
  <c r="P1343" i="2" a="1"/>
  <c r="P1343" i="2" s="1"/>
  <c r="M1343" i="2" a="1"/>
  <c r="M1343" i="2" s="1"/>
  <c r="R1343" i="2" a="1"/>
  <c r="R1343" i="2" s="1"/>
  <c r="O1343" i="2" a="1"/>
  <c r="O1343" i="2" s="1"/>
  <c r="Q1339" i="2" a="1"/>
  <c r="Q1339" i="2" s="1"/>
  <c r="N1339" i="2" a="1"/>
  <c r="N1339" i="2" s="1"/>
  <c r="P1339" i="2" a="1"/>
  <c r="P1339" i="2" s="1"/>
  <c r="M1339" i="2" a="1"/>
  <c r="M1339" i="2" s="1"/>
  <c r="R1339" i="2" a="1"/>
  <c r="R1339" i="2" s="1"/>
  <c r="O1339" i="2" a="1"/>
  <c r="O1339" i="2" s="1"/>
  <c r="Q1335" i="2" a="1"/>
  <c r="Q1335" i="2" s="1"/>
  <c r="P1335" i="2" a="1"/>
  <c r="P1335" i="2" s="1"/>
  <c r="M1335" i="2" a="1"/>
  <c r="M1335" i="2" s="1"/>
  <c r="R1335" i="2" a="1"/>
  <c r="R1335" i="2" s="1"/>
  <c r="O1335" i="2" a="1"/>
  <c r="O1335" i="2" s="1"/>
  <c r="N1335" i="2" a="1"/>
  <c r="N1335" i="2" s="1"/>
  <c r="Q1331" i="2" a="1"/>
  <c r="Q1331" i="2" s="1"/>
  <c r="P1331" i="2" a="1"/>
  <c r="P1331" i="2" s="1"/>
  <c r="M1331" i="2" a="1"/>
  <c r="M1331" i="2" s="1"/>
  <c r="R1331" i="2" a="1"/>
  <c r="R1331" i="2" s="1"/>
  <c r="O1331" i="2" a="1"/>
  <c r="O1331" i="2" s="1"/>
  <c r="N1331" i="2" a="1"/>
  <c r="N1331" i="2" s="1"/>
  <c r="Q1327" i="2" a="1"/>
  <c r="Q1327" i="2" s="1"/>
  <c r="R1327" i="2" a="1"/>
  <c r="R1327" i="2" s="1"/>
  <c r="O1327" i="2" a="1"/>
  <c r="O1327" i="2" s="1"/>
  <c r="M1327" i="2" a="1"/>
  <c r="M1327" i="2" s="1"/>
  <c r="P1327" i="2" a="1"/>
  <c r="P1327" i="2" s="1"/>
  <c r="N1327" i="2" a="1"/>
  <c r="N1327" i="2" s="1"/>
  <c r="Q1323" i="2" a="1"/>
  <c r="Q1323" i="2" s="1"/>
  <c r="R1323" i="2" a="1"/>
  <c r="R1323" i="2" s="1"/>
  <c r="O1323" i="2" a="1"/>
  <c r="O1323" i="2" s="1"/>
  <c r="M1323" i="2" a="1"/>
  <c r="M1323" i="2" s="1"/>
  <c r="P1323" i="2" a="1"/>
  <c r="P1323" i="2" s="1"/>
  <c r="N1323" i="2" a="1"/>
  <c r="N1323" i="2" s="1"/>
  <c r="Q1319" i="2" a="1"/>
  <c r="Q1319" i="2" s="1"/>
  <c r="R1319" i="2" a="1"/>
  <c r="R1319" i="2" s="1"/>
  <c r="O1319" i="2" a="1"/>
  <c r="O1319" i="2" s="1"/>
  <c r="M1319" i="2" a="1"/>
  <c r="M1319" i="2" s="1"/>
  <c r="P1319" i="2" a="1"/>
  <c r="P1319" i="2" s="1"/>
  <c r="N1319" i="2" a="1"/>
  <c r="N1319" i="2" s="1"/>
  <c r="Q1315" i="2" a="1"/>
  <c r="Q1315" i="2" s="1"/>
  <c r="R1315" i="2" a="1"/>
  <c r="R1315" i="2" s="1"/>
  <c r="O1315" i="2" a="1"/>
  <c r="O1315" i="2" s="1"/>
  <c r="M1315" i="2" a="1"/>
  <c r="M1315" i="2" s="1"/>
  <c r="P1315" i="2" a="1"/>
  <c r="P1315" i="2" s="1"/>
  <c r="N1315" i="2" a="1"/>
  <c r="N1315" i="2" s="1"/>
  <c r="Q1311" i="2" a="1"/>
  <c r="Q1311" i="2" s="1"/>
  <c r="R1311" i="2" a="1"/>
  <c r="R1311" i="2" s="1"/>
  <c r="O1311" i="2" a="1"/>
  <c r="O1311" i="2" s="1"/>
  <c r="M1311" i="2" a="1"/>
  <c r="M1311" i="2" s="1"/>
  <c r="P1311" i="2" a="1"/>
  <c r="P1311" i="2" s="1"/>
  <c r="N1311" i="2" a="1"/>
  <c r="N1311" i="2" s="1"/>
  <c r="Q1307" i="2" a="1"/>
  <c r="Q1307" i="2" s="1"/>
  <c r="O1307" i="2" a="1"/>
  <c r="O1307" i="2" s="1"/>
  <c r="R1307" i="2" a="1"/>
  <c r="R1307" i="2" s="1"/>
  <c r="N1307" i="2" a="1"/>
  <c r="N1307" i="2" s="1"/>
  <c r="M1307" i="2" a="1"/>
  <c r="M1307" i="2" s="1"/>
  <c r="P1307" i="2" a="1"/>
  <c r="P1307" i="2" s="1"/>
  <c r="Q1303" i="2" a="1"/>
  <c r="Q1303" i="2" s="1"/>
  <c r="M1303" i="2" a="1"/>
  <c r="M1303" i="2" s="1"/>
  <c r="P1303" i="2" a="1"/>
  <c r="P1303" i="2" s="1"/>
  <c r="O1303" i="2" a="1"/>
  <c r="O1303" i="2" s="1"/>
  <c r="R1303" i="2" a="1"/>
  <c r="R1303" i="2" s="1"/>
  <c r="N1303" i="2" a="1"/>
  <c r="N1303" i="2" s="1"/>
  <c r="Q1299" i="2" a="1"/>
  <c r="Q1299" i="2" s="1"/>
  <c r="O1299" i="2" a="1"/>
  <c r="O1299" i="2" s="1"/>
  <c r="R1299" i="2" a="1"/>
  <c r="R1299" i="2" s="1"/>
  <c r="N1299" i="2" a="1"/>
  <c r="N1299" i="2" s="1"/>
  <c r="M1299" i="2" a="1"/>
  <c r="M1299" i="2" s="1"/>
  <c r="P1299" i="2" a="1"/>
  <c r="P1299" i="2" s="1"/>
  <c r="N1295" i="2" a="1"/>
  <c r="N1295" i="2" s="1"/>
  <c r="O1295" i="2" a="1"/>
  <c r="O1295" i="2" s="1"/>
  <c r="R1295" i="2" a="1"/>
  <c r="R1295" i="2" s="1"/>
  <c r="Q1295" i="2" a="1"/>
  <c r="Q1295" i="2" s="1"/>
  <c r="M1295" i="2" a="1"/>
  <c r="M1295" i="2" s="1"/>
  <c r="P1295" i="2" a="1"/>
  <c r="P1295" i="2" s="1"/>
  <c r="Q1291" i="2" a="1"/>
  <c r="Q1291" i="2" s="1"/>
  <c r="N1291" i="2" a="1"/>
  <c r="N1291" i="2" s="1"/>
  <c r="R1291" i="2" a="1"/>
  <c r="R1291" i="2" s="1"/>
  <c r="M1291" i="2" a="1"/>
  <c r="M1291" i="2" s="1"/>
  <c r="P1291" i="2" a="1"/>
  <c r="P1291" i="2" s="1"/>
  <c r="O1291" i="2" a="1"/>
  <c r="O1291" i="2" s="1"/>
  <c r="Q1287" i="2" a="1"/>
  <c r="Q1287" i="2" s="1"/>
  <c r="N1287" i="2" a="1"/>
  <c r="N1287" i="2" s="1"/>
  <c r="O1287" i="2" a="1"/>
  <c r="O1287" i="2" s="1"/>
  <c r="R1287" i="2" a="1"/>
  <c r="R1287" i="2" s="1"/>
  <c r="M1287" i="2" a="1"/>
  <c r="M1287" i="2" s="1"/>
  <c r="P1287" i="2" a="1"/>
  <c r="P1287" i="2" s="1"/>
  <c r="Q1283" i="2" a="1"/>
  <c r="Q1283" i="2" s="1"/>
  <c r="N1283" i="2" a="1"/>
  <c r="N1283" i="2" s="1"/>
  <c r="R1283" i="2" a="1"/>
  <c r="R1283" i="2" s="1"/>
  <c r="M1283" i="2" a="1"/>
  <c r="M1283" i="2" s="1"/>
  <c r="P1283" i="2" a="1"/>
  <c r="P1283" i="2" s="1"/>
  <c r="O1283" i="2" a="1"/>
  <c r="O1283" i="2" s="1"/>
  <c r="Q1279" i="2" a="1"/>
  <c r="Q1279" i="2" s="1"/>
  <c r="N1279" i="2" a="1"/>
  <c r="N1279" i="2" s="1"/>
  <c r="O1279" i="2" a="1"/>
  <c r="O1279" i="2" s="1"/>
  <c r="R1279" i="2" a="1"/>
  <c r="R1279" i="2" s="1"/>
  <c r="M1279" i="2" a="1"/>
  <c r="M1279" i="2" s="1"/>
  <c r="P1279" i="2" a="1"/>
  <c r="P1279" i="2" s="1"/>
  <c r="P1275" i="2" a="1"/>
  <c r="P1275" i="2" s="1"/>
  <c r="Q1275" i="2" a="1"/>
  <c r="Q1275" i="2" s="1"/>
  <c r="O1275" i="2" a="1"/>
  <c r="O1275" i="2" s="1"/>
  <c r="N1275" i="2" a="1"/>
  <c r="N1275" i="2" s="1"/>
  <c r="R1275" i="2" a="1"/>
  <c r="R1275" i="2" s="1"/>
  <c r="M1275" i="2" a="1"/>
  <c r="M1275" i="2" s="1"/>
  <c r="P1271" i="2" a="1"/>
  <c r="P1271" i="2" s="1"/>
  <c r="O1271" i="2" a="1"/>
  <c r="O1271" i="2" s="1"/>
  <c r="N1271" i="2" a="1"/>
  <c r="N1271" i="2" s="1"/>
  <c r="R1271" i="2" a="1"/>
  <c r="R1271" i="2" s="1"/>
  <c r="M1271" i="2" a="1"/>
  <c r="M1271" i="2" s="1"/>
  <c r="Q1271" i="2" a="1"/>
  <c r="Q1271" i="2" s="1"/>
  <c r="P1267" i="2" a="1"/>
  <c r="P1267" i="2" s="1"/>
  <c r="N1267" i="2" a="1"/>
  <c r="N1267" i="2" s="1"/>
  <c r="R1267" i="2" a="1"/>
  <c r="R1267" i="2" s="1"/>
  <c r="M1267" i="2" a="1"/>
  <c r="M1267" i="2" s="1"/>
  <c r="Q1267" i="2" a="1"/>
  <c r="Q1267" i="2" s="1"/>
  <c r="O1267" i="2" a="1"/>
  <c r="O1267" i="2" s="1"/>
  <c r="P1263" i="2" a="1"/>
  <c r="P1263" i="2" s="1"/>
  <c r="R1263" i="2" a="1"/>
  <c r="R1263" i="2" s="1"/>
  <c r="M1263" i="2" a="1"/>
  <c r="M1263" i="2" s="1"/>
  <c r="Q1263" i="2" a="1"/>
  <c r="Q1263" i="2" s="1"/>
  <c r="O1263" i="2" a="1"/>
  <c r="O1263" i="2" s="1"/>
  <c r="N1263" i="2" a="1"/>
  <c r="N1263" i="2" s="1"/>
  <c r="O1259" i="2" a="1"/>
  <c r="O1259" i="2" s="1"/>
  <c r="R1259" i="2" a="1"/>
  <c r="R1259" i="2" s="1"/>
  <c r="N1259" i="2" a="1"/>
  <c r="N1259" i="2" s="1"/>
  <c r="Q1259" i="2" a="1"/>
  <c r="Q1259" i="2" s="1"/>
  <c r="M1259" i="2" a="1"/>
  <c r="M1259" i="2" s="1"/>
  <c r="P1259" i="2" a="1"/>
  <c r="P1259" i="2" s="1"/>
  <c r="O1255" i="2" a="1"/>
  <c r="O1255" i="2" s="1"/>
  <c r="R1255" i="2" a="1"/>
  <c r="R1255" i="2" s="1"/>
  <c r="N1255" i="2" a="1"/>
  <c r="N1255" i="2" s="1"/>
  <c r="Q1255" i="2" a="1"/>
  <c r="Q1255" i="2" s="1"/>
  <c r="M1255" i="2" a="1"/>
  <c r="M1255" i="2" s="1"/>
  <c r="P1255" i="2" a="1"/>
  <c r="P1255" i="2" s="1"/>
  <c r="O1251" i="2" a="1"/>
  <c r="O1251" i="2" s="1"/>
  <c r="R1251" i="2" a="1"/>
  <c r="R1251" i="2" s="1"/>
  <c r="N1251" i="2" a="1"/>
  <c r="N1251" i="2" s="1"/>
  <c r="Q1251" i="2" a="1"/>
  <c r="Q1251" i="2" s="1"/>
  <c r="M1251" i="2" a="1"/>
  <c r="M1251" i="2" s="1"/>
  <c r="P1251" i="2" a="1"/>
  <c r="P1251" i="2" s="1"/>
  <c r="O1247" i="2" a="1"/>
  <c r="O1247" i="2" s="1"/>
  <c r="R1247" i="2" a="1"/>
  <c r="R1247" i="2" s="1"/>
  <c r="N1247" i="2" a="1"/>
  <c r="N1247" i="2" s="1"/>
  <c r="Q1247" i="2" a="1"/>
  <c r="Q1247" i="2" s="1"/>
  <c r="M1247" i="2" a="1"/>
  <c r="M1247" i="2" s="1"/>
  <c r="P1247" i="2" a="1"/>
  <c r="P1247" i="2" s="1"/>
  <c r="O1243" i="2" a="1"/>
  <c r="O1243" i="2" s="1"/>
  <c r="R1243" i="2" a="1"/>
  <c r="R1243" i="2" s="1"/>
  <c r="N1243" i="2" a="1"/>
  <c r="N1243" i="2" s="1"/>
  <c r="Q1243" i="2" a="1"/>
  <c r="Q1243" i="2" s="1"/>
  <c r="M1243" i="2" a="1"/>
  <c r="M1243" i="2" s="1"/>
  <c r="P1243" i="2" a="1"/>
  <c r="P1243" i="2" s="1"/>
  <c r="O1239" i="2" a="1"/>
  <c r="O1239" i="2" s="1"/>
  <c r="R1239" i="2" a="1"/>
  <c r="R1239" i="2" s="1"/>
  <c r="N1239" i="2" a="1"/>
  <c r="N1239" i="2" s="1"/>
  <c r="Q1239" i="2" a="1"/>
  <c r="Q1239" i="2" s="1"/>
  <c r="M1239" i="2" a="1"/>
  <c r="M1239" i="2" s="1"/>
  <c r="P1239" i="2" a="1"/>
  <c r="P1239" i="2" s="1"/>
  <c r="O1235" i="2" a="1"/>
  <c r="O1235" i="2" s="1"/>
  <c r="R1235" i="2" a="1"/>
  <c r="R1235" i="2" s="1"/>
  <c r="N1235" i="2" a="1"/>
  <c r="N1235" i="2" s="1"/>
  <c r="Q1235" i="2" a="1"/>
  <c r="Q1235" i="2" s="1"/>
  <c r="M1235" i="2" a="1"/>
  <c r="M1235" i="2" s="1"/>
  <c r="P1235" i="2" a="1"/>
  <c r="P1235" i="2" s="1"/>
  <c r="O1231" i="2" a="1"/>
  <c r="O1231" i="2" s="1"/>
  <c r="R1231" i="2" a="1"/>
  <c r="R1231" i="2" s="1"/>
  <c r="N1231" i="2" a="1"/>
  <c r="N1231" i="2" s="1"/>
  <c r="Q1231" i="2" a="1"/>
  <c r="Q1231" i="2" s="1"/>
  <c r="M1231" i="2" a="1"/>
  <c r="M1231" i="2" s="1"/>
  <c r="P1231" i="2" a="1"/>
  <c r="P1231" i="2" s="1"/>
  <c r="Q1227" i="2" a="1"/>
  <c r="Q1227" i="2" s="1"/>
  <c r="P1227" i="2" a="1"/>
  <c r="P1227" i="2" s="1"/>
  <c r="M1227" i="2" a="1"/>
  <c r="M1227" i="2" s="1"/>
  <c r="R1227" i="2" a="1"/>
  <c r="R1227" i="2" s="1"/>
  <c r="O1227" i="2" a="1"/>
  <c r="O1227" i="2" s="1"/>
  <c r="N1227" i="2" a="1"/>
  <c r="N1227" i="2" s="1"/>
  <c r="N1223" i="2" a="1"/>
  <c r="N1223" i="2" s="1"/>
  <c r="Q1223" i="2" a="1"/>
  <c r="Q1223" i="2" s="1"/>
  <c r="P1223" i="2" a="1"/>
  <c r="P1223" i="2" s="1"/>
  <c r="M1223" i="2" a="1"/>
  <c r="M1223" i="2" s="1"/>
  <c r="R1223" i="2" a="1"/>
  <c r="R1223" i="2" s="1"/>
  <c r="O1223" i="2" a="1"/>
  <c r="O1223" i="2" s="1"/>
  <c r="R1219" i="2" a="1"/>
  <c r="R1219" i="2" s="1"/>
  <c r="O1219" i="2" a="1"/>
  <c r="O1219" i="2" s="1"/>
  <c r="N1219" i="2" a="1"/>
  <c r="N1219" i="2" s="1"/>
  <c r="Q1219" i="2" a="1"/>
  <c r="Q1219" i="2" s="1"/>
  <c r="P1219" i="2" a="1"/>
  <c r="P1219" i="2" s="1"/>
  <c r="M1219" i="2" a="1"/>
  <c r="M1219" i="2" s="1"/>
  <c r="P1215" i="2" a="1"/>
  <c r="P1215" i="2" s="1"/>
  <c r="M1215" i="2" a="1"/>
  <c r="M1215" i="2" s="1"/>
  <c r="R1215" i="2" a="1"/>
  <c r="R1215" i="2" s="1"/>
  <c r="O1215" i="2" a="1"/>
  <c r="O1215" i="2" s="1"/>
  <c r="N1215" i="2" a="1"/>
  <c r="N1215" i="2" s="1"/>
  <c r="Q1215" i="2" a="1"/>
  <c r="Q1215" i="2" s="1"/>
  <c r="Q1211" i="2" a="1"/>
  <c r="Q1211" i="2" s="1"/>
  <c r="P1211" i="2" a="1"/>
  <c r="P1211" i="2" s="1"/>
  <c r="M1211" i="2" a="1"/>
  <c r="M1211" i="2" s="1"/>
  <c r="R1211" i="2" a="1"/>
  <c r="R1211" i="2" s="1"/>
  <c r="O1211" i="2" a="1"/>
  <c r="O1211" i="2" s="1"/>
  <c r="N1211" i="2" a="1"/>
  <c r="N1211" i="2" s="1"/>
  <c r="N1207" i="2" a="1"/>
  <c r="N1207" i="2" s="1"/>
  <c r="Q1207" i="2" a="1"/>
  <c r="Q1207" i="2" s="1"/>
  <c r="P1207" i="2" a="1"/>
  <c r="P1207" i="2" s="1"/>
  <c r="M1207" i="2" a="1"/>
  <c r="M1207" i="2" s="1"/>
  <c r="R1207" i="2" a="1"/>
  <c r="R1207" i="2" s="1"/>
  <c r="O1207" i="2" a="1"/>
  <c r="O1207" i="2" s="1"/>
  <c r="R1203" i="2" a="1"/>
  <c r="R1203" i="2" s="1"/>
  <c r="O1203" i="2" a="1"/>
  <c r="O1203" i="2" s="1"/>
  <c r="N1203" i="2" a="1"/>
  <c r="N1203" i="2" s="1"/>
  <c r="Q1203" i="2" a="1"/>
  <c r="Q1203" i="2" s="1"/>
  <c r="P1203" i="2" a="1"/>
  <c r="P1203" i="2" s="1"/>
  <c r="M1203" i="2" a="1"/>
  <c r="M1203" i="2" s="1"/>
  <c r="P1199" i="2" a="1"/>
  <c r="P1199" i="2" s="1"/>
  <c r="R1199" i="2" a="1"/>
  <c r="R1199" i="2" s="1"/>
  <c r="O1199" i="2" a="1"/>
  <c r="O1199" i="2" s="1"/>
  <c r="N1199" i="2" a="1"/>
  <c r="N1199" i="2" s="1"/>
  <c r="Q1199" i="2" a="1"/>
  <c r="Q1199" i="2" s="1"/>
  <c r="M1199" i="2" a="1"/>
  <c r="M1199" i="2" s="1"/>
  <c r="P1195" i="2" a="1"/>
  <c r="P1195" i="2" s="1"/>
  <c r="R1195" i="2" a="1"/>
  <c r="R1195" i="2" s="1"/>
  <c r="O1195" i="2" a="1"/>
  <c r="O1195" i="2" s="1"/>
  <c r="N1195" i="2" a="1"/>
  <c r="N1195" i="2" s="1"/>
  <c r="Q1195" i="2" a="1"/>
  <c r="Q1195" i="2" s="1"/>
  <c r="M1195" i="2" a="1"/>
  <c r="M1195" i="2" s="1"/>
  <c r="P1191" i="2" a="1"/>
  <c r="P1191" i="2" s="1"/>
  <c r="R1191" i="2" a="1"/>
  <c r="R1191" i="2" s="1"/>
  <c r="O1191" i="2" a="1"/>
  <c r="O1191" i="2" s="1"/>
  <c r="N1191" i="2" a="1"/>
  <c r="N1191" i="2" s="1"/>
  <c r="Q1191" i="2" a="1"/>
  <c r="Q1191" i="2" s="1"/>
  <c r="M1191" i="2" a="1"/>
  <c r="M1191" i="2" s="1"/>
  <c r="P1187" i="2" a="1"/>
  <c r="P1187" i="2" s="1"/>
  <c r="R1187" i="2" a="1"/>
  <c r="R1187" i="2" s="1"/>
  <c r="O1187" i="2" a="1"/>
  <c r="O1187" i="2" s="1"/>
  <c r="N1187" i="2" a="1"/>
  <c r="N1187" i="2" s="1"/>
  <c r="Q1187" i="2" a="1"/>
  <c r="Q1187" i="2" s="1"/>
  <c r="M1187" i="2" a="1"/>
  <c r="M1187" i="2" s="1"/>
  <c r="R1183" i="2" a="1"/>
  <c r="R1183" i="2" s="1"/>
  <c r="O1183" i="2" a="1"/>
  <c r="O1183" i="2" s="1"/>
  <c r="N1183" i="2" a="1"/>
  <c r="N1183" i="2" s="1"/>
  <c r="M1183" i="2" a="1"/>
  <c r="M1183" i="2" s="1"/>
  <c r="Q1183" i="2" a="1"/>
  <c r="Q1183" i="2" s="1"/>
  <c r="P1183" i="2" a="1"/>
  <c r="P1183" i="2" s="1"/>
  <c r="R1179" i="2" a="1"/>
  <c r="R1179" i="2" s="1"/>
  <c r="O1179" i="2" a="1"/>
  <c r="O1179" i="2" s="1"/>
  <c r="N1179" i="2" a="1"/>
  <c r="N1179" i="2" s="1"/>
  <c r="Q1179" i="2" a="1"/>
  <c r="Q1179" i="2" s="1"/>
  <c r="P1179" i="2" a="1"/>
  <c r="P1179" i="2" s="1"/>
  <c r="M1179" i="2" a="1"/>
  <c r="M1179" i="2" s="1"/>
  <c r="P1175" i="2" a="1"/>
  <c r="P1175" i="2" s="1"/>
  <c r="O1175" i="2" a="1"/>
  <c r="O1175" i="2" s="1"/>
  <c r="R1175" i="2" a="1"/>
  <c r="R1175" i="2" s="1"/>
  <c r="Q1175" i="2" a="1"/>
  <c r="Q1175" i="2" s="1"/>
  <c r="N1175" i="2" a="1"/>
  <c r="N1175" i="2" s="1"/>
  <c r="M1175" i="2" a="1"/>
  <c r="M1175" i="2" s="1"/>
  <c r="Q1171" i="2" a="1"/>
  <c r="Q1171" i="2" s="1"/>
  <c r="P1171" i="2" a="1"/>
  <c r="P1171" i="2" s="1"/>
  <c r="M1171" i="2" a="1"/>
  <c r="M1171" i="2" s="1"/>
  <c r="O1171" i="2" a="1"/>
  <c r="O1171" i="2" s="1"/>
  <c r="N1171" i="2" a="1"/>
  <c r="N1171" i="2" s="1"/>
  <c r="R1171" i="2" a="1"/>
  <c r="R1171" i="2" s="1"/>
  <c r="R1167" i="2" a="1"/>
  <c r="R1167" i="2" s="1"/>
  <c r="O1167" i="2" a="1"/>
  <c r="O1167" i="2" s="1"/>
  <c r="N1167" i="2" a="1"/>
  <c r="N1167" i="2" s="1"/>
  <c r="M1167" i="2" a="1"/>
  <c r="M1167" i="2" s="1"/>
  <c r="Q1167" i="2" a="1"/>
  <c r="Q1167" i="2" s="1"/>
  <c r="P1167" i="2" a="1"/>
  <c r="P1167" i="2" s="1"/>
  <c r="N1163" i="2" a="1"/>
  <c r="N1163" i="2" s="1"/>
  <c r="Q1163" i="2" a="1"/>
  <c r="Q1163" i="2" s="1"/>
  <c r="M1163" i="2" a="1"/>
  <c r="M1163" i="2" s="1"/>
  <c r="R1163" i="2" a="1"/>
  <c r="R1163" i="2" s="1"/>
  <c r="P1163" i="2" a="1"/>
  <c r="P1163" i="2" s="1"/>
  <c r="O1163" i="2" a="1"/>
  <c r="O1163" i="2" s="1"/>
  <c r="P1159" i="2" a="1"/>
  <c r="P1159" i="2" s="1"/>
  <c r="M1159" i="2" a="1"/>
  <c r="M1159" i="2" s="1"/>
  <c r="Q1159" i="2" a="1"/>
  <c r="Q1159" i="2" s="1"/>
  <c r="O1159" i="2" a="1"/>
  <c r="O1159" i="2" s="1"/>
  <c r="R1159" i="2" a="1"/>
  <c r="R1159" i="2" s="1"/>
  <c r="N1159" i="2" a="1"/>
  <c r="N1159" i="2" s="1"/>
  <c r="N1155" i="2" a="1"/>
  <c r="N1155" i="2" s="1"/>
  <c r="Q1155" i="2" a="1"/>
  <c r="Q1155" i="2" s="1"/>
  <c r="P1155" i="2" a="1"/>
  <c r="P1155" i="2" s="1"/>
  <c r="M1155" i="2" a="1"/>
  <c r="M1155" i="2" s="1"/>
  <c r="R1155" i="2" a="1"/>
  <c r="R1155" i="2" s="1"/>
  <c r="O1155" i="2" a="1"/>
  <c r="O1155" i="2" s="1"/>
  <c r="P1151" i="2" a="1"/>
  <c r="P1151" i="2" s="1"/>
  <c r="M1151" i="2" a="1"/>
  <c r="M1151" i="2" s="1"/>
  <c r="R1151" i="2" a="1"/>
  <c r="R1151" i="2" s="1"/>
  <c r="O1151" i="2" a="1"/>
  <c r="O1151" i="2" s="1"/>
  <c r="N1151" i="2" a="1"/>
  <c r="N1151" i="2" s="1"/>
  <c r="Q1151" i="2" a="1"/>
  <c r="Q1151" i="2" s="1"/>
  <c r="N1147" i="2" a="1"/>
  <c r="N1147" i="2" s="1"/>
  <c r="Q1147" i="2" a="1"/>
  <c r="Q1147" i="2" s="1"/>
  <c r="P1147" i="2" a="1"/>
  <c r="P1147" i="2" s="1"/>
  <c r="M1147" i="2" a="1"/>
  <c r="M1147" i="2" s="1"/>
  <c r="R1147" i="2" a="1"/>
  <c r="R1147" i="2" s="1"/>
  <c r="O1147" i="2" a="1"/>
  <c r="O1147" i="2" s="1"/>
  <c r="Q1143" i="2" a="1"/>
  <c r="Q1143" i="2" s="1"/>
  <c r="P1143" i="2" a="1"/>
  <c r="P1143" i="2" s="1"/>
  <c r="M1143" i="2" a="1"/>
  <c r="M1143" i="2" s="1"/>
  <c r="R1143" i="2" a="1"/>
  <c r="R1143" i="2" s="1"/>
  <c r="O1143" i="2" a="1"/>
  <c r="O1143" i="2" s="1"/>
  <c r="N1143" i="2" a="1"/>
  <c r="N1143" i="2" s="1"/>
  <c r="P1139" i="2" a="1"/>
  <c r="P1139" i="2" s="1"/>
  <c r="M1139" i="2" a="1"/>
  <c r="M1139" i="2" s="1"/>
  <c r="R1139" i="2" a="1"/>
  <c r="R1139" i="2" s="1"/>
  <c r="O1139" i="2" a="1"/>
  <c r="O1139" i="2" s="1"/>
  <c r="N1139" i="2" a="1"/>
  <c r="N1139" i="2" s="1"/>
  <c r="Q1139" i="2" a="1"/>
  <c r="Q1139" i="2" s="1"/>
  <c r="R1135" i="2" a="1"/>
  <c r="R1135" i="2" s="1"/>
  <c r="O1135" i="2" a="1"/>
  <c r="O1135" i="2" s="1"/>
  <c r="N1135" i="2" a="1"/>
  <c r="N1135" i="2" s="1"/>
  <c r="Q1135" i="2" a="1"/>
  <c r="Q1135" i="2" s="1"/>
  <c r="P1135" i="2" a="1"/>
  <c r="P1135" i="2" s="1"/>
  <c r="M1135" i="2" a="1"/>
  <c r="M1135" i="2" s="1"/>
  <c r="N1131" i="2" a="1"/>
  <c r="N1131" i="2" s="1"/>
  <c r="Q1131" i="2" a="1"/>
  <c r="Q1131" i="2" s="1"/>
  <c r="P1131" i="2" a="1"/>
  <c r="P1131" i="2" s="1"/>
  <c r="M1131" i="2" a="1"/>
  <c r="M1131" i="2" s="1"/>
  <c r="R1131" i="2" a="1"/>
  <c r="R1131" i="2" s="1"/>
  <c r="O1131" i="2" a="1"/>
  <c r="O1131" i="2" s="1"/>
  <c r="Q1127" i="2" a="1"/>
  <c r="Q1127" i="2" s="1"/>
  <c r="P1127" i="2" a="1"/>
  <c r="P1127" i="2" s="1"/>
  <c r="M1127" i="2" a="1"/>
  <c r="M1127" i="2" s="1"/>
  <c r="R1127" i="2" a="1"/>
  <c r="R1127" i="2" s="1"/>
  <c r="O1127" i="2" a="1"/>
  <c r="O1127" i="2" s="1"/>
  <c r="N1127" i="2" a="1"/>
  <c r="N1127" i="2" s="1"/>
  <c r="P1123" i="2" a="1"/>
  <c r="P1123" i="2" s="1"/>
  <c r="M1123" i="2" a="1"/>
  <c r="M1123" i="2" s="1"/>
  <c r="R1123" i="2" a="1"/>
  <c r="R1123" i="2" s="1"/>
  <c r="O1123" i="2" a="1"/>
  <c r="O1123" i="2" s="1"/>
  <c r="N1123" i="2" a="1"/>
  <c r="N1123" i="2" s="1"/>
  <c r="Q1123" i="2" a="1"/>
  <c r="Q1123" i="2" s="1"/>
  <c r="R1119" i="2" a="1"/>
  <c r="R1119" i="2" s="1"/>
  <c r="O1119" i="2" a="1"/>
  <c r="O1119" i="2" s="1"/>
  <c r="N1119" i="2" a="1"/>
  <c r="N1119" i="2" s="1"/>
  <c r="Q1119" i="2" a="1"/>
  <c r="Q1119" i="2" s="1"/>
  <c r="P1119" i="2" a="1"/>
  <c r="P1119" i="2" s="1"/>
  <c r="M1119" i="2" a="1"/>
  <c r="M1119" i="2" s="1"/>
  <c r="Q1115" i="2" a="1"/>
  <c r="Q1115" i="2" s="1"/>
  <c r="P1115" i="2" a="1"/>
  <c r="P1115" i="2" s="1"/>
  <c r="M1115" i="2" a="1"/>
  <c r="M1115" i="2" s="1"/>
  <c r="R1115" i="2" a="1"/>
  <c r="R1115" i="2" s="1"/>
  <c r="O1115" i="2" a="1"/>
  <c r="O1115" i="2" s="1"/>
  <c r="N1115" i="2" a="1"/>
  <c r="N1115" i="2" s="1"/>
  <c r="R1111" i="2" a="1"/>
  <c r="R1111" i="2" s="1"/>
  <c r="O1111" i="2" a="1"/>
  <c r="O1111" i="2" s="1"/>
  <c r="N1111" i="2" a="1"/>
  <c r="N1111" i="2" s="1"/>
  <c r="Q1111" i="2" a="1"/>
  <c r="Q1111" i="2" s="1"/>
  <c r="P1111" i="2" a="1"/>
  <c r="P1111" i="2" s="1"/>
  <c r="M1111" i="2" a="1"/>
  <c r="M1111" i="2" s="1"/>
  <c r="N1107" i="2" a="1"/>
  <c r="N1107" i="2" s="1"/>
  <c r="Q1107" i="2" a="1"/>
  <c r="Q1107" i="2" s="1"/>
  <c r="P1107" i="2" a="1"/>
  <c r="P1107" i="2" s="1"/>
  <c r="M1107" i="2" a="1"/>
  <c r="M1107" i="2" s="1"/>
  <c r="R1107" i="2" a="1"/>
  <c r="R1107" i="2" s="1"/>
  <c r="O1107" i="2" a="1"/>
  <c r="O1107" i="2" s="1"/>
  <c r="Q1103" i="2" a="1"/>
  <c r="Q1103" i="2" s="1"/>
  <c r="P1103" i="2" a="1"/>
  <c r="P1103" i="2" s="1"/>
  <c r="M1103" i="2" a="1"/>
  <c r="M1103" i="2" s="1"/>
  <c r="R1103" i="2" a="1"/>
  <c r="R1103" i="2" s="1"/>
  <c r="O1103" i="2" a="1"/>
  <c r="O1103" i="2" s="1"/>
  <c r="N1103" i="2" a="1"/>
  <c r="N1103" i="2" s="1"/>
  <c r="P1099" i="2" a="1"/>
  <c r="P1099" i="2" s="1"/>
  <c r="M1099" i="2" a="1"/>
  <c r="M1099" i="2" s="1"/>
  <c r="R1099" i="2" a="1"/>
  <c r="R1099" i="2" s="1"/>
  <c r="O1099" i="2" a="1"/>
  <c r="O1099" i="2" s="1"/>
  <c r="N1099" i="2" a="1"/>
  <c r="N1099" i="2" s="1"/>
  <c r="Q1099" i="2" a="1"/>
  <c r="Q1099" i="2" s="1"/>
  <c r="R1095" i="2" a="1"/>
  <c r="R1095" i="2" s="1"/>
  <c r="O1095" i="2" a="1"/>
  <c r="O1095" i="2" s="1"/>
  <c r="N1095" i="2" a="1"/>
  <c r="N1095" i="2" s="1"/>
  <c r="Q1095" i="2" a="1"/>
  <c r="Q1095" i="2" s="1"/>
  <c r="P1095" i="2" a="1"/>
  <c r="P1095" i="2" s="1"/>
  <c r="M1095" i="2" a="1"/>
  <c r="M1095" i="2" s="1"/>
  <c r="O1091" i="2" a="1"/>
  <c r="O1091" i="2" s="1"/>
  <c r="Q1091" i="2" a="1"/>
  <c r="Q1091" i="2" s="1"/>
  <c r="N1091" i="2" a="1"/>
  <c r="N1091" i="2" s="1"/>
  <c r="R1091" i="2" a="1"/>
  <c r="R1091" i="2" s="1"/>
  <c r="P1091" i="2" a="1"/>
  <c r="P1091" i="2" s="1"/>
  <c r="M1091" i="2" a="1"/>
  <c r="M1091" i="2" s="1"/>
  <c r="P1087" i="2" a="1"/>
  <c r="P1087" i="2" s="1"/>
  <c r="O1087" i="2" a="1"/>
  <c r="O1087" i="2" s="1"/>
  <c r="R1087" i="2" a="1"/>
  <c r="R1087" i="2" s="1"/>
  <c r="N1087" i="2" a="1"/>
  <c r="N1087" i="2" s="1"/>
  <c r="Q1087" i="2" a="1"/>
  <c r="Q1087" i="2" s="1"/>
  <c r="M1087" i="2" a="1"/>
  <c r="M1087" i="2" s="1"/>
  <c r="P1083" i="2" a="1"/>
  <c r="P1083" i="2" s="1"/>
  <c r="O1083" i="2" a="1"/>
  <c r="O1083" i="2" s="1"/>
  <c r="R1083" i="2" a="1"/>
  <c r="R1083" i="2" s="1"/>
  <c r="N1083" i="2" a="1"/>
  <c r="N1083" i="2" s="1"/>
  <c r="Q1083" i="2" a="1"/>
  <c r="Q1083" i="2" s="1"/>
  <c r="M1083" i="2" a="1"/>
  <c r="M1083" i="2" s="1"/>
  <c r="P1079" i="2" a="1"/>
  <c r="P1079" i="2" s="1"/>
  <c r="O1079" i="2" a="1"/>
  <c r="O1079" i="2" s="1"/>
  <c r="R1079" i="2" a="1"/>
  <c r="R1079" i="2" s="1"/>
  <c r="N1079" i="2" a="1"/>
  <c r="N1079" i="2" s="1"/>
  <c r="Q1079" i="2" a="1"/>
  <c r="Q1079" i="2" s="1"/>
  <c r="M1079" i="2" a="1"/>
  <c r="M1079" i="2" s="1"/>
  <c r="P1075" i="2" a="1"/>
  <c r="P1075" i="2" s="1"/>
  <c r="O1075" i="2" a="1"/>
  <c r="O1075" i="2" s="1"/>
  <c r="R1075" i="2" a="1"/>
  <c r="R1075" i="2" s="1"/>
  <c r="N1075" i="2" a="1"/>
  <c r="N1075" i="2" s="1"/>
  <c r="Q1075" i="2" a="1"/>
  <c r="Q1075" i="2" s="1"/>
  <c r="M1075" i="2" a="1"/>
  <c r="M1075" i="2" s="1"/>
  <c r="P1071" i="2" a="1"/>
  <c r="P1071" i="2" s="1"/>
  <c r="O1071" i="2" a="1"/>
  <c r="O1071" i="2" s="1"/>
  <c r="R1071" i="2" a="1"/>
  <c r="R1071" i="2" s="1"/>
  <c r="N1071" i="2" a="1"/>
  <c r="N1071" i="2" s="1"/>
  <c r="Q1071" i="2" a="1"/>
  <c r="Q1071" i="2" s="1"/>
  <c r="M1071" i="2" a="1"/>
  <c r="M1071" i="2" s="1"/>
  <c r="P1067" i="2" a="1"/>
  <c r="P1067" i="2" s="1"/>
  <c r="O1067" i="2" a="1"/>
  <c r="O1067" i="2" s="1"/>
  <c r="R1067" i="2" a="1"/>
  <c r="R1067" i="2" s="1"/>
  <c r="N1067" i="2" a="1"/>
  <c r="N1067" i="2" s="1"/>
  <c r="Q1067" i="2" a="1"/>
  <c r="Q1067" i="2" s="1"/>
  <c r="M1067" i="2" a="1"/>
  <c r="M1067" i="2" s="1"/>
  <c r="R1063" i="2" a="1"/>
  <c r="R1063" i="2" s="1"/>
  <c r="N1063" i="2" a="1"/>
  <c r="N1063" i="2" s="1"/>
  <c r="Q1063" i="2" a="1"/>
  <c r="Q1063" i="2" s="1"/>
  <c r="M1063" i="2" a="1"/>
  <c r="M1063" i="2" s="1"/>
  <c r="P1063" i="2" a="1"/>
  <c r="P1063" i="2" s="1"/>
  <c r="O1063" i="2" a="1"/>
  <c r="O1063" i="2" s="1"/>
  <c r="R1059" i="2" a="1"/>
  <c r="R1059" i="2" s="1"/>
  <c r="N1059" i="2" a="1"/>
  <c r="N1059" i="2" s="1"/>
  <c r="Q1059" i="2" a="1"/>
  <c r="Q1059" i="2" s="1"/>
  <c r="M1059" i="2" a="1"/>
  <c r="M1059" i="2" s="1"/>
  <c r="P1059" i="2" a="1"/>
  <c r="P1059" i="2" s="1"/>
  <c r="O1059" i="2" a="1"/>
  <c r="O1059" i="2" s="1"/>
  <c r="Q1055" i="2" a="1"/>
  <c r="Q1055" i="2" s="1"/>
  <c r="N1055" i="2" a="1"/>
  <c r="N1055" i="2" s="1"/>
  <c r="M1055" i="2" a="1"/>
  <c r="M1055" i="2" s="1"/>
  <c r="O1055" i="2" a="1"/>
  <c r="O1055" i="2" s="1"/>
  <c r="R1055" i="2" a="1"/>
  <c r="R1055" i="2" s="1"/>
  <c r="P1055" i="2" a="1"/>
  <c r="P1055" i="2" s="1"/>
  <c r="P1051" i="2" a="1"/>
  <c r="P1051" i="2" s="1"/>
  <c r="O1051" i="2" a="1"/>
  <c r="O1051" i="2" s="1"/>
  <c r="M1051" i="2" a="1"/>
  <c r="M1051" i="2" s="1"/>
  <c r="R1051" i="2" a="1"/>
  <c r="R1051" i="2" s="1"/>
  <c r="Q1051" i="2" a="1"/>
  <c r="Q1051" i="2" s="1"/>
  <c r="N1051" i="2" a="1"/>
  <c r="N1051" i="2" s="1"/>
  <c r="R1047" i="2" a="1"/>
  <c r="R1047" i="2" s="1"/>
  <c r="N1047" i="2" a="1"/>
  <c r="N1047" i="2" s="1"/>
  <c r="Q1047" i="2" a="1"/>
  <c r="Q1047" i="2" s="1"/>
  <c r="M1047" i="2" a="1"/>
  <c r="M1047" i="2" s="1"/>
  <c r="P1047" i="2" a="1"/>
  <c r="P1047" i="2" s="1"/>
  <c r="O1047" i="2" a="1"/>
  <c r="O1047" i="2" s="1"/>
  <c r="P1043" i="2" a="1"/>
  <c r="P1043" i="2" s="1"/>
  <c r="M1043" i="2" a="1"/>
  <c r="M1043" i="2" s="1"/>
  <c r="O1043" i="2" a="1"/>
  <c r="O1043" i="2" s="1"/>
  <c r="Q1043" i="2" a="1"/>
  <c r="Q1043" i="2" s="1"/>
  <c r="N1043" i="2" a="1"/>
  <c r="N1043" i="2" s="1"/>
  <c r="R1043" i="2" a="1"/>
  <c r="R1043" i="2" s="1"/>
  <c r="O1039" i="2" a="1"/>
  <c r="O1039" i="2" s="1"/>
  <c r="R1039" i="2" a="1"/>
  <c r="R1039" i="2" s="1"/>
  <c r="P1039" i="2" a="1"/>
  <c r="P1039" i="2" s="1"/>
  <c r="N1039" i="2" a="1"/>
  <c r="N1039" i="2" s="1"/>
  <c r="M1039" i="2" a="1"/>
  <c r="M1039" i="2" s="1"/>
  <c r="Q1039" i="2" a="1"/>
  <c r="Q1039" i="2" s="1"/>
  <c r="R1035" i="2" a="1"/>
  <c r="R1035" i="2" s="1"/>
  <c r="Q1035" i="2" a="1"/>
  <c r="Q1035" i="2" s="1"/>
  <c r="N1035" i="2" a="1"/>
  <c r="N1035" i="2" s="1"/>
  <c r="O1035" i="2" a="1"/>
  <c r="O1035" i="2" s="1"/>
  <c r="M1035" i="2" a="1"/>
  <c r="M1035" i="2" s="1"/>
  <c r="P1035" i="2" a="1"/>
  <c r="P1035" i="2" s="1"/>
  <c r="Q1031" i="2" a="1"/>
  <c r="Q1031" i="2" s="1"/>
  <c r="N1031" i="2" a="1"/>
  <c r="N1031" i="2" s="1"/>
  <c r="P1031" i="2" a="1"/>
  <c r="P1031" i="2" s="1"/>
  <c r="M1031" i="2" a="1"/>
  <c r="M1031" i="2" s="1"/>
  <c r="R1031" i="2" a="1"/>
  <c r="R1031" i="2" s="1"/>
  <c r="O1031" i="2" a="1"/>
  <c r="O1031" i="2" s="1"/>
  <c r="P1027" i="2" a="1"/>
  <c r="P1027" i="2" s="1"/>
  <c r="M1027" i="2" a="1"/>
  <c r="M1027" i="2" s="1"/>
  <c r="O1027" i="2" a="1"/>
  <c r="O1027" i="2" s="1"/>
  <c r="N1027" i="2" a="1"/>
  <c r="N1027" i="2" s="1"/>
  <c r="R1027" i="2" a="1"/>
  <c r="R1027" i="2" s="1"/>
  <c r="Q1027" i="2" a="1"/>
  <c r="Q1027" i="2" s="1"/>
  <c r="O1023" i="2" a="1"/>
  <c r="O1023" i="2" s="1"/>
  <c r="R1023" i="2" a="1"/>
  <c r="R1023" i="2" s="1"/>
  <c r="M1023" i="2" a="1"/>
  <c r="M1023" i="2" s="1"/>
  <c r="Q1023" i="2" a="1"/>
  <c r="Q1023" i="2" s="1"/>
  <c r="P1023" i="2" a="1"/>
  <c r="P1023" i="2" s="1"/>
  <c r="N1023" i="2" a="1"/>
  <c r="N1023" i="2" s="1"/>
  <c r="R1019" i="2" a="1"/>
  <c r="R1019" i="2" s="1"/>
  <c r="Q1019" i="2" a="1"/>
  <c r="Q1019" i="2" s="1"/>
  <c r="N1019" i="2" a="1"/>
  <c r="N1019" i="2" s="1"/>
  <c r="P1019" i="2" a="1"/>
  <c r="P1019" i="2" s="1"/>
  <c r="O1019" i="2" a="1"/>
  <c r="O1019" i="2" s="1"/>
  <c r="M1019" i="2" a="1"/>
  <c r="M1019" i="2" s="1"/>
  <c r="Q1015" i="2" a="1"/>
  <c r="Q1015" i="2" s="1"/>
  <c r="N1015" i="2" a="1"/>
  <c r="N1015" i="2" s="1"/>
  <c r="P1015" i="2" a="1"/>
  <c r="P1015" i="2" s="1"/>
  <c r="M1015" i="2" a="1"/>
  <c r="M1015" i="2" s="1"/>
  <c r="R1015" i="2" a="1"/>
  <c r="R1015" i="2" s="1"/>
  <c r="O1015" i="2" a="1"/>
  <c r="O1015" i="2" s="1"/>
  <c r="O1011" i="2" a="1"/>
  <c r="O1011" i="2" s="1"/>
  <c r="R1011" i="2" a="1"/>
  <c r="R1011" i="2" s="1"/>
  <c r="P1011" i="2" a="1"/>
  <c r="P1011" i="2" s="1"/>
  <c r="N1011" i="2" a="1"/>
  <c r="N1011" i="2" s="1"/>
  <c r="M1011" i="2" a="1"/>
  <c r="M1011" i="2" s="1"/>
  <c r="Q1011" i="2" a="1"/>
  <c r="Q1011" i="2" s="1"/>
  <c r="R1007" i="2" a="1"/>
  <c r="R1007" i="2" s="1"/>
  <c r="Q1007" i="2" a="1"/>
  <c r="Q1007" i="2" s="1"/>
  <c r="N1007" i="2" a="1"/>
  <c r="N1007" i="2" s="1"/>
  <c r="O1007" i="2" a="1"/>
  <c r="O1007" i="2" s="1"/>
  <c r="M1007" i="2" a="1"/>
  <c r="M1007" i="2" s="1"/>
  <c r="P1007" i="2" a="1"/>
  <c r="P1007" i="2" s="1"/>
  <c r="Q1003" i="2" a="1"/>
  <c r="Q1003" i="2" s="1"/>
  <c r="N1003" i="2" a="1"/>
  <c r="N1003" i="2" s="1"/>
  <c r="P1003" i="2" a="1"/>
  <c r="P1003" i="2" s="1"/>
  <c r="M1003" i="2" a="1"/>
  <c r="M1003" i="2" s="1"/>
  <c r="R1003" i="2" a="1"/>
  <c r="R1003" i="2" s="1"/>
  <c r="O1003" i="2" a="1"/>
  <c r="O1003" i="2" s="1"/>
  <c r="Q999" i="2" a="1"/>
  <c r="Q999" i="2" s="1"/>
  <c r="M999" i="2" a="1"/>
  <c r="M999" i="2" s="1"/>
  <c r="R999" i="2" a="1"/>
  <c r="R999" i="2" s="1"/>
  <c r="P999" i="2" a="1"/>
  <c r="P999" i="2" s="1"/>
  <c r="O999" i="2" a="1"/>
  <c r="O999" i="2" s="1"/>
  <c r="N999" i="2" a="1"/>
  <c r="N999" i="2" s="1"/>
  <c r="Q995" i="2" a="1"/>
  <c r="Q995" i="2" s="1"/>
  <c r="M995" i="2" a="1"/>
  <c r="M995" i="2" s="1"/>
  <c r="R995" i="2" a="1"/>
  <c r="R995" i="2" s="1"/>
  <c r="P995" i="2" a="1"/>
  <c r="P995" i="2" s="1"/>
  <c r="O995" i="2" a="1"/>
  <c r="O995" i="2" s="1"/>
  <c r="N995" i="2" a="1"/>
  <c r="N995" i="2" s="1"/>
  <c r="Q991" i="2" a="1"/>
  <c r="Q991" i="2" s="1"/>
  <c r="M991" i="2" a="1"/>
  <c r="M991" i="2" s="1"/>
  <c r="R991" i="2" a="1"/>
  <c r="R991" i="2" s="1"/>
  <c r="P991" i="2" a="1"/>
  <c r="P991" i="2" s="1"/>
  <c r="O991" i="2" a="1"/>
  <c r="O991" i="2" s="1"/>
  <c r="N991" i="2" a="1"/>
  <c r="N991" i="2" s="1"/>
  <c r="Q987" i="2" a="1"/>
  <c r="Q987" i="2" s="1"/>
  <c r="M987" i="2" a="1"/>
  <c r="M987" i="2" s="1"/>
  <c r="R987" i="2" a="1"/>
  <c r="R987" i="2" s="1"/>
  <c r="P987" i="2" a="1"/>
  <c r="P987" i="2" s="1"/>
  <c r="O987" i="2" a="1"/>
  <c r="O987" i="2" s="1"/>
  <c r="N987" i="2" a="1"/>
  <c r="N987" i="2" s="1"/>
  <c r="Q983" i="2" a="1"/>
  <c r="Q983" i="2" s="1"/>
  <c r="M983" i="2" a="1"/>
  <c r="M983" i="2" s="1"/>
  <c r="R983" i="2" a="1"/>
  <c r="R983" i="2" s="1"/>
  <c r="P983" i="2" a="1"/>
  <c r="P983" i="2" s="1"/>
  <c r="O983" i="2" a="1"/>
  <c r="O983" i="2" s="1"/>
  <c r="N983" i="2" a="1"/>
  <c r="N983" i="2" s="1"/>
  <c r="Q979" i="2" a="1"/>
  <c r="Q979" i="2" s="1"/>
  <c r="M979" i="2" a="1"/>
  <c r="M979" i="2" s="1"/>
  <c r="R979" i="2" a="1"/>
  <c r="R979" i="2" s="1"/>
  <c r="P979" i="2" a="1"/>
  <c r="P979" i="2" s="1"/>
  <c r="O979" i="2" a="1"/>
  <c r="O979" i="2" s="1"/>
  <c r="N979" i="2" a="1"/>
  <c r="N979" i="2" s="1"/>
  <c r="Q975" i="2" a="1"/>
  <c r="Q975" i="2" s="1"/>
  <c r="M975" i="2" a="1"/>
  <c r="M975" i="2" s="1"/>
  <c r="R975" i="2" a="1"/>
  <c r="R975" i="2" s="1"/>
  <c r="P975" i="2" a="1"/>
  <c r="P975" i="2" s="1"/>
  <c r="O975" i="2" a="1"/>
  <c r="O975" i="2" s="1"/>
  <c r="N975" i="2" a="1"/>
  <c r="N975" i="2" s="1"/>
  <c r="Q971" i="2" a="1"/>
  <c r="Q971" i="2" s="1"/>
  <c r="M971" i="2" a="1"/>
  <c r="M971" i="2" s="1"/>
  <c r="R971" i="2" a="1"/>
  <c r="R971" i="2" s="1"/>
  <c r="P971" i="2" a="1"/>
  <c r="P971" i="2" s="1"/>
  <c r="O971" i="2" a="1"/>
  <c r="O971" i="2" s="1"/>
  <c r="N971" i="2" a="1"/>
  <c r="N971" i="2" s="1"/>
  <c r="Q967" i="2" a="1"/>
  <c r="Q967" i="2" s="1"/>
  <c r="M967" i="2" a="1"/>
  <c r="M967" i="2" s="1"/>
  <c r="R967" i="2" a="1"/>
  <c r="R967" i="2" s="1"/>
  <c r="P967" i="2" a="1"/>
  <c r="P967" i="2" s="1"/>
  <c r="O967" i="2" a="1"/>
  <c r="O967" i="2" s="1"/>
  <c r="N967" i="2" a="1"/>
  <c r="N967" i="2" s="1"/>
  <c r="Q963" i="2" a="1"/>
  <c r="Q963" i="2" s="1"/>
  <c r="M963" i="2" a="1"/>
  <c r="M963" i="2" s="1"/>
  <c r="R963" i="2" a="1"/>
  <c r="R963" i="2" s="1"/>
  <c r="P963" i="2" a="1"/>
  <c r="P963" i="2" s="1"/>
  <c r="O963" i="2" a="1"/>
  <c r="O963" i="2" s="1"/>
  <c r="N963" i="2" a="1"/>
  <c r="N963" i="2" s="1"/>
  <c r="Q959" i="2" a="1"/>
  <c r="Q959" i="2" s="1"/>
  <c r="M959" i="2" a="1"/>
  <c r="M959" i="2" s="1"/>
  <c r="R959" i="2" a="1"/>
  <c r="R959" i="2" s="1"/>
  <c r="P959" i="2" a="1"/>
  <c r="P959" i="2" s="1"/>
  <c r="O959" i="2" a="1"/>
  <c r="O959" i="2" s="1"/>
  <c r="N959" i="2" a="1"/>
  <c r="N959" i="2" s="1"/>
  <c r="Q955" i="2" a="1"/>
  <c r="Q955" i="2" s="1"/>
  <c r="M955" i="2" a="1"/>
  <c r="M955" i="2" s="1"/>
  <c r="R955" i="2" a="1"/>
  <c r="R955" i="2" s="1"/>
  <c r="P955" i="2" a="1"/>
  <c r="P955" i="2" s="1"/>
  <c r="O955" i="2" a="1"/>
  <c r="O955" i="2" s="1"/>
  <c r="N955" i="2" a="1"/>
  <c r="N955" i="2" s="1"/>
  <c r="Q951" i="2" a="1"/>
  <c r="Q951" i="2" s="1"/>
  <c r="M951" i="2" a="1"/>
  <c r="M951" i="2" s="1"/>
  <c r="R951" i="2" a="1"/>
  <c r="R951" i="2" s="1"/>
  <c r="P951" i="2" a="1"/>
  <c r="P951" i="2" s="1"/>
  <c r="O951" i="2" a="1"/>
  <c r="O951" i="2" s="1"/>
  <c r="N951" i="2" a="1"/>
  <c r="N951" i="2" s="1"/>
  <c r="Q947" i="2" a="1"/>
  <c r="Q947" i="2" s="1"/>
  <c r="M947" i="2" a="1"/>
  <c r="M947" i="2" s="1"/>
  <c r="R947" i="2" a="1"/>
  <c r="R947" i="2" s="1"/>
  <c r="P947" i="2" a="1"/>
  <c r="P947" i="2" s="1"/>
  <c r="O947" i="2" a="1"/>
  <c r="O947" i="2" s="1"/>
  <c r="N947" i="2" a="1"/>
  <c r="N947" i="2" s="1"/>
  <c r="Q943" i="2" a="1"/>
  <c r="Q943" i="2" s="1"/>
  <c r="M943" i="2" a="1"/>
  <c r="M943" i="2" s="1"/>
  <c r="R943" i="2" a="1"/>
  <c r="R943" i="2" s="1"/>
  <c r="P943" i="2" a="1"/>
  <c r="P943" i="2" s="1"/>
  <c r="O943" i="2" a="1"/>
  <c r="O943" i="2" s="1"/>
  <c r="N943" i="2" a="1"/>
  <c r="N943" i="2" s="1"/>
  <c r="Q939" i="2" a="1"/>
  <c r="Q939" i="2" s="1"/>
  <c r="M939" i="2" a="1"/>
  <c r="M939" i="2" s="1"/>
  <c r="R939" i="2" a="1"/>
  <c r="R939" i="2" s="1"/>
  <c r="P939" i="2" a="1"/>
  <c r="P939" i="2" s="1"/>
  <c r="O939" i="2" a="1"/>
  <c r="O939" i="2" s="1"/>
  <c r="N939" i="2" a="1"/>
  <c r="N939" i="2" s="1"/>
  <c r="Q935" i="2" a="1"/>
  <c r="Q935" i="2" s="1"/>
  <c r="M935" i="2" a="1"/>
  <c r="M935" i="2" s="1"/>
  <c r="R935" i="2" a="1"/>
  <c r="R935" i="2" s="1"/>
  <c r="P935" i="2" a="1"/>
  <c r="P935" i="2" s="1"/>
  <c r="O935" i="2" a="1"/>
  <c r="O935" i="2" s="1"/>
  <c r="N935" i="2" a="1"/>
  <c r="N935" i="2" s="1"/>
  <c r="Q931" i="2" a="1"/>
  <c r="Q931" i="2" s="1"/>
  <c r="M931" i="2" a="1"/>
  <c r="M931" i="2" s="1"/>
  <c r="R931" i="2" a="1"/>
  <c r="R931" i="2" s="1"/>
  <c r="P931" i="2" a="1"/>
  <c r="P931" i="2" s="1"/>
  <c r="O931" i="2" a="1"/>
  <c r="O931" i="2" s="1"/>
  <c r="N931" i="2" a="1"/>
  <c r="N931" i="2" s="1"/>
  <c r="Q927" i="2" a="1"/>
  <c r="Q927" i="2" s="1"/>
  <c r="M927" i="2" a="1"/>
  <c r="M927" i="2" s="1"/>
  <c r="R927" i="2" a="1"/>
  <c r="R927" i="2" s="1"/>
  <c r="P927" i="2" a="1"/>
  <c r="P927" i="2" s="1"/>
  <c r="O927" i="2" a="1"/>
  <c r="O927" i="2" s="1"/>
  <c r="N927" i="2" a="1"/>
  <c r="N927" i="2" s="1"/>
  <c r="Q923" i="2" a="1"/>
  <c r="Q923" i="2" s="1"/>
  <c r="M923" i="2" a="1"/>
  <c r="M923" i="2" s="1"/>
  <c r="R923" i="2" a="1"/>
  <c r="R923" i="2" s="1"/>
  <c r="P923" i="2" a="1"/>
  <c r="P923" i="2" s="1"/>
  <c r="O923" i="2" a="1"/>
  <c r="O923" i="2" s="1"/>
  <c r="N923" i="2" a="1"/>
  <c r="N923" i="2" s="1"/>
  <c r="Q919" i="2" a="1"/>
  <c r="Q919" i="2" s="1"/>
  <c r="M919" i="2" a="1"/>
  <c r="M919" i="2" s="1"/>
  <c r="R919" i="2" a="1"/>
  <c r="R919" i="2" s="1"/>
  <c r="P919" i="2" a="1"/>
  <c r="P919" i="2" s="1"/>
  <c r="O919" i="2" a="1"/>
  <c r="O919" i="2" s="1"/>
  <c r="N919" i="2" a="1"/>
  <c r="N919" i="2" s="1"/>
  <c r="Q915" i="2" a="1"/>
  <c r="Q915" i="2" s="1"/>
  <c r="M915" i="2" a="1"/>
  <c r="M915" i="2" s="1"/>
  <c r="R915" i="2" a="1"/>
  <c r="R915" i="2" s="1"/>
  <c r="P915" i="2" a="1"/>
  <c r="P915" i="2" s="1"/>
  <c r="O915" i="2" a="1"/>
  <c r="O915" i="2" s="1"/>
  <c r="N915" i="2" a="1"/>
  <c r="N915" i="2" s="1"/>
  <c r="Q911" i="2" a="1"/>
  <c r="Q911" i="2" s="1"/>
  <c r="M911" i="2" a="1"/>
  <c r="M911" i="2" s="1"/>
  <c r="R911" i="2" a="1"/>
  <c r="R911" i="2" s="1"/>
  <c r="P911" i="2" a="1"/>
  <c r="P911" i="2" s="1"/>
  <c r="O911" i="2" a="1"/>
  <c r="O911" i="2" s="1"/>
  <c r="N911" i="2" a="1"/>
  <c r="N911" i="2" s="1"/>
  <c r="Q907" i="2" a="1"/>
  <c r="Q907" i="2" s="1"/>
  <c r="M907" i="2" a="1"/>
  <c r="M907" i="2" s="1"/>
  <c r="R907" i="2" a="1"/>
  <c r="R907" i="2" s="1"/>
  <c r="P907" i="2" a="1"/>
  <c r="P907" i="2" s="1"/>
  <c r="O907" i="2" a="1"/>
  <c r="O907" i="2" s="1"/>
  <c r="N907" i="2" a="1"/>
  <c r="N907" i="2" s="1"/>
  <c r="Q903" i="2" a="1"/>
  <c r="Q903" i="2" s="1"/>
  <c r="M903" i="2" a="1"/>
  <c r="M903" i="2" s="1"/>
  <c r="R903" i="2" a="1"/>
  <c r="R903" i="2" s="1"/>
  <c r="P903" i="2" a="1"/>
  <c r="P903" i="2" s="1"/>
  <c r="O903" i="2" a="1"/>
  <c r="O903" i="2" s="1"/>
  <c r="N903" i="2" a="1"/>
  <c r="N903" i="2" s="1"/>
  <c r="Q899" i="2" a="1"/>
  <c r="Q899" i="2" s="1"/>
  <c r="M899" i="2" a="1"/>
  <c r="M899" i="2" s="1"/>
  <c r="R899" i="2" a="1"/>
  <c r="R899" i="2" s="1"/>
  <c r="P899" i="2" a="1"/>
  <c r="P899" i="2" s="1"/>
  <c r="O899" i="2" a="1"/>
  <c r="O899" i="2" s="1"/>
  <c r="N899" i="2" a="1"/>
  <c r="N899" i="2" s="1"/>
  <c r="Q895" i="2" a="1"/>
  <c r="Q895" i="2" s="1"/>
  <c r="M895" i="2" a="1"/>
  <c r="M895" i="2" s="1"/>
  <c r="R895" i="2" a="1"/>
  <c r="R895" i="2" s="1"/>
  <c r="P895" i="2" a="1"/>
  <c r="P895" i="2" s="1"/>
  <c r="O895" i="2" a="1"/>
  <c r="O895" i="2" s="1"/>
  <c r="N895" i="2" a="1"/>
  <c r="N895" i="2" s="1"/>
  <c r="Q891" i="2" a="1"/>
  <c r="Q891" i="2" s="1"/>
  <c r="M891" i="2" a="1"/>
  <c r="M891" i="2" s="1"/>
  <c r="R891" i="2" a="1"/>
  <c r="R891" i="2" s="1"/>
  <c r="P891" i="2" a="1"/>
  <c r="P891" i="2" s="1"/>
  <c r="O891" i="2" a="1"/>
  <c r="O891" i="2" s="1"/>
  <c r="N891" i="2" a="1"/>
  <c r="N891" i="2" s="1"/>
  <c r="Q887" i="2" a="1"/>
  <c r="Q887" i="2" s="1"/>
  <c r="M887" i="2" a="1"/>
  <c r="M887" i="2" s="1"/>
  <c r="R887" i="2" a="1"/>
  <c r="R887" i="2" s="1"/>
  <c r="P887" i="2" a="1"/>
  <c r="P887" i="2" s="1"/>
  <c r="O887" i="2" a="1"/>
  <c r="O887" i="2" s="1"/>
  <c r="N887" i="2" a="1"/>
  <c r="N887" i="2" s="1"/>
  <c r="Q883" i="2" a="1"/>
  <c r="Q883" i="2" s="1"/>
  <c r="M883" i="2" a="1"/>
  <c r="M883" i="2" s="1"/>
  <c r="R883" i="2" a="1"/>
  <c r="R883" i="2" s="1"/>
  <c r="P883" i="2" a="1"/>
  <c r="P883" i="2" s="1"/>
  <c r="O883" i="2" a="1"/>
  <c r="O883" i="2" s="1"/>
  <c r="N883" i="2" a="1"/>
  <c r="N883" i="2" s="1"/>
  <c r="Q879" i="2" a="1"/>
  <c r="Q879" i="2" s="1"/>
  <c r="M879" i="2" a="1"/>
  <c r="M879" i="2" s="1"/>
  <c r="R879" i="2" a="1"/>
  <c r="R879" i="2" s="1"/>
  <c r="P879" i="2" a="1"/>
  <c r="P879" i="2" s="1"/>
  <c r="O879" i="2" a="1"/>
  <c r="O879" i="2" s="1"/>
  <c r="N879" i="2" a="1"/>
  <c r="N879" i="2" s="1"/>
  <c r="Q875" i="2" a="1"/>
  <c r="Q875" i="2" s="1"/>
  <c r="M875" i="2" a="1"/>
  <c r="M875" i="2" s="1"/>
  <c r="R875" i="2" a="1"/>
  <c r="R875" i="2" s="1"/>
  <c r="P875" i="2" a="1"/>
  <c r="P875" i="2" s="1"/>
  <c r="O875" i="2" a="1"/>
  <c r="O875" i="2" s="1"/>
  <c r="N875" i="2" a="1"/>
  <c r="N875" i="2" s="1"/>
  <c r="Q871" i="2" a="1"/>
  <c r="Q871" i="2" s="1"/>
  <c r="M871" i="2" a="1"/>
  <c r="M871" i="2" s="1"/>
  <c r="R871" i="2" a="1"/>
  <c r="R871" i="2" s="1"/>
  <c r="P871" i="2" a="1"/>
  <c r="P871" i="2" s="1"/>
  <c r="O871" i="2" a="1"/>
  <c r="O871" i="2" s="1"/>
  <c r="N871" i="2" a="1"/>
  <c r="N871" i="2" s="1"/>
  <c r="R867" i="2" a="1"/>
  <c r="R867" i="2" s="1"/>
  <c r="M867" i="2" a="1"/>
  <c r="M867" i="2" s="1"/>
  <c r="P867" i="2" a="1"/>
  <c r="P867" i="2" s="1"/>
  <c r="O867" i="2" a="1"/>
  <c r="O867" i="2" s="1"/>
  <c r="N867" i="2" a="1"/>
  <c r="N867" i="2" s="1"/>
  <c r="Q867" i="2" a="1"/>
  <c r="Q867" i="2" s="1"/>
  <c r="Q863" i="2" a="1"/>
  <c r="Q863" i="2" s="1"/>
  <c r="M863" i="2" a="1"/>
  <c r="M863" i="2" s="1"/>
  <c r="P863" i="2" a="1"/>
  <c r="P863" i="2" s="1"/>
  <c r="O863" i="2" a="1"/>
  <c r="O863" i="2" s="1"/>
  <c r="N863" i="2" a="1"/>
  <c r="N863" i="2" s="1"/>
  <c r="R863" i="2" a="1"/>
  <c r="R863" i="2" s="1"/>
  <c r="O859" i="2" a="1"/>
  <c r="O859" i="2" s="1"/>
  <c r="R859" i="2" a="1"/>
  <c r="R859" i="2" s="1"/>
  <c r="N859" i="2" a="1"/>
  <c r="N859" i="2" s="1"/>
  <c r="Q859" i="2" a="1"/>
  <c r="Q859" i="2" s="1"/>
  <c r="M859" i="2" a="1"/>
  <c r="M859" i="2" s="1"/>
  <c r="P859" i="2" a="1"/>
  <c r="P859" i="2" s="1"/>
  <c r="O855" i="2" a="1"/>
  <c r="O855" i="2" s="1"/>
  <c r="R855" i="2" a="1"/>
  <c r="R855" i="2" s="1"/>
  <c r="N855" i="2" a="1"/>
  <c r="N855" i="2" s="1"/>
  <c r="Q855" i="2" a="1"/>
  <c r="Q855" i="2" s="1"/>
  <c r="M855" i="2" a="1"/>
  <c r="M855" i="2" s="1"/>
  <c r="P855" i="2" a="1"/>
  <c r="P855" i="2" s="1"/>
  <c r="O851" i="2" a="1"/>
  <c r="O851" i="2" s="1"/>
  <c r="R851" i="2" a="1"/>
  <c r="R851" i="2" s="1"/>
  <c r="N851" i="2" a="1"/>
  <c r="N851" i="2" s="1"/>
  <c r="Q851" i="2" a="1"/>
  <c r="Q851" i="2" s="1"/>
  <c r="M851" i="2" a="1"/>
  <c r="M851" i="2" s="1"/>
  <c r="P851" i="2" a="1"/>
  <c r="P851" i="2" s="1"/>
  <c r="O847" i="2" a="1"/>
  <c r="O847" i="2" s="1"/>
  <c r="R847" i="2" a="1"/>
  <c r="R847" i="2" s="1"/>
  <c r="N847" i="2" a="1"/>
  <c r="N847" i="2" s="1"/>
  <c r="Q847" i="2" a="1"/>
  <c r="Q847" i="2" s="1"/>
  <c r="M847" i="2" a="1"/>
  <c r="M847" i="2" s="1"/>
  <c r="P847" i="2" a="1"/>
  <c r="P847" i="2" s="1"/>
  <c r="O843" i="2" a="1"/>
  <c r="O843" i="2" s="1"/>
  <c r="R843" i="2" a="1"/>
  <c r="R843" i="2" s="1"/>
  <c r="N843" i="2" a="1"/>
  <c r="N843" i="2" s="1"/>
  <c r="Q843" i="2" a="1"/>
  <c r="Q843" i="2" s="1"/>
  <c r="M843" i="2" a="1"/>
  <c r="M843" i="2" s="1"/>
  <c r="P843" i="2" a="1"/>
  <c r="P843" i="2" s="1"/>
  <c r="O839" i="2" a="1"/>
  <c r="O839" i="2" s="1"/>
  <c r="R839" i="2" a="1"/>
  <c r="R839" i="2" s="1"/>
  <c r="N839" i="2" a="1"/>
  <c r="N839" i="2" s="1"/>
  <c r="Q839" i="2" a="1"/>
  <c r="Q839" i="2" s="1"/>
  <c r="M839" i="2" a="1"/>
  <c r="M839" i="2" s="1"/>
  <c r="P839" i="2" a="1"/>
  <c r="P839" i="2" s="1"/>
  <c r="O835" i="2" a="1"/>
  <c r="O835" i="2" s="1"/>
  <c r="R835" i="2" a="1"/>
  <c r="R835" i="2" s="1"/>
  <c r="N835" i="2" a="1"/>
  <c r="N835" i="2" s="1"/>
  <c r="Q835" i="2" a="1"/>
  <c r="Q835" i="2" s="1"/>
  <c r="M835" i="2" a="1"/>
  <c r="M835" i="2" s="1"/>
  <c r="P835" i="2" a="1"/>
  <c r="P835" i="2" s="1"/>
  <c r="O831" i="2" a="1"/>
  <c r="O831" i="2" s="1"/>
  <c r="R831" i="2" a="1"/>
  <c r="R831" i="2" s="1"/>
  <c r="N831" i="2" a="1"/>
  <c r="N831" i="2" s="1"/>
  <c r="Q831" i="2" a="1"/>
  <c r="Q831" i="2" s="1"/>
  <c r="M831" i="2" a="1"/>
  <c r="M831" i="2" s="1"/>
  <c r="P831" i="2" a="1"/>
  <c r="P831" i="2" s="1"/>
  <c r="O827" i="2" a="1"/>
  <c r="O827" i="2" s="1"/>
  <c r="R827" i="2" a="1"/>
  <c r="R827" i="2" s="1"/>
  <c r="N827" i="2" a="1"/>
  <c r="N827" i="2" s="1"/>
  <c r="Q827" i="2" a="1"/>
  <c r="Q827" i="2" s="1"/>
  <c r="M827" i="2" a="1"/>
  <c r="M827" i="2" s="1"/>
  <c r="P827" i="2" a="1"/>
  <c r="P827" i="2" s="1"/>
  <c r="O823" i="2" a="1"/>
  <c r="O823" i="2" s="1"/>
  <c r="R823" i="2" a="1"/>
  <c r="R823" i="2" s="1"/>
  <c r="N823" i="2" a="1"/>
  <c r="N823" i="2" s="1"/>
  <c r="Q823" i="2" a="1"/>
  <c r="Q823" i="2" s="1"/>
  <c r="M823" i="2" a="1"/>
  <c r="M823" i="2" s="1"/>
  <c r="P823" i="2" a="1"/>
  <c r="P823" i="2" s="1"/>
  <c r="O819" i="2" a="1"/>
  <c r="O819" i="2" s="1"/>
  <c r="R819" i="2" a="1"/>
  <c r="R819" i="2" s="1"/>
  <c r="N819" i="2" a="1"/>
  <c r="N819" i="2" s="1"/>
  <c r="Q819" i="2" a="1"/>
  <c r="Q819" i="2" s="1"/>
  <c r="M819" i="2" a="1"/>
  <c r="M819" i="2" s="1"/>
  <c r="P819" i="2" a="1"/>
  <c r="P819" i="2" s="1"/>
  <c r="O815" i="2" a="1"/>
  <c r="O815" i="2" s="1"/>
  <c r="R815" i="2" a="1"/>
  <c r="R815" i="2" s="1"/>
  <c r="N815" i="2" a="1"/>
  <c r="N815" i="2" s="1"/>
  <c r="Q815" i="2" a="1"/>
  <c r="Q815" i="2" s="1"/>
  <c r="M815" i="2" a="1"/>
  <c r="M815" i="2" s="1"/>
  <c r="P815" i="2" a="1"/>
  <c r="P815" i="2" s="1"/>
  <c r="O811" i="2" a="1"/>
  <c r="O811" i="2" s="1"/>
  <c r="R811" i="2" a="1"/>
  <c r="R811" i="2" s="1"/>
  <c r="N811" i="2" a="1"/>
  <c r="N811" i="2" s="1"/>
  <c r="Q811" i="2" a="1"/>
  <c r="Q811" i="2" s="1"/>
  <c r="M811" i="2" a="1"/>
  <c r="M811" i="2" s="1"/>
  <c r="P811" i="2" a="1"/>
  <c r="P811" i="2" s="1"/>
  <c r="O807" i="2" a="1"/>
  <c r="O807" i="2" s="1"/>
  <c r="R807" i="2" a="1"/>
  <c r="R807" i="2" s="1"/>
  <c r="N807" i="2" a="1"/>
  <c r="N807" i="2" s="1"/>
  <c r="Q807" i="2" a="1"/>
  <c r="Q807" i="2" s="1"/>
  <c r="M807" i="2" a="1"/>
  <c r="M807" i="2" s="1"/>
  <c r="P807" i="2" a="1"/>
  <c r="P807" i="2" s="1"/>
  <c r="O803" i="2" a="1"/>
  <c r="O803" i="2" s="1"/>
  <c r="R803" i="2" a="1"/>
  <c r="R803" i="2" s="1"/>
  <c r="N803" i="2" a="1"/>
  <c r="N803" i="2" s="1"/>
  <c r="Q803" i="2" a="1"/>
  <c r="Q803" i="2" s="1"/>
  <c r="M803" i="2" a="1"/>
  <c r="M803" i="2" s="1"/>
  <c r="P803" i="2" a="1"/>
  <c r="P803" i="2" s="1"/>
  <c r="O799" i="2" a="1"/>
  <c r="O799" i="2" s="1"/>
  <c r="R799" i="2" a="1"/>
  <c r="R799" i="2" s="1"/>
  <c r="N799" i="2" a="1"/>
  <c r="N799" i="2" s="1"/>
  <c r="Q799" i="2" a="1"/>
  <c r="Q799" i="2" s="1"/>
  <c r="M799" i="2" a="1"/>
  <c r="M799" i="2" s="1"/>
  <c r="P799" i="2" a="1"/>
  <c r="P799" i="2" s="1"/>
  <c r="O795" i="2" a="1"/>
  <c r="O795" i="2" s="1"/>
  <c r="R795" i="2" a="1"/>
  <c r="R795" i="2" s="1"/>
  <c r="N795" i="2" a="1"/>
  <c r="N795" i="2" s="1"/>
  <c r="Q795" i="2" a="1"/>
  <c r="Q795" i="2" s="1"/>
  <c r="M795" i="2" a="1"/>
  <c r="M795" i="2" s="1"/>
  <c r="P795" i="2" a="1"/>
  <c r="P795" i="2" s="1"/>
  <c r="O791" i="2" a="1"/>
  <c r="O791" i="2" s="1"/>
  <c r="R791" i="2" a="1"/>
  <c r="R791" i="2" s="1"/>
  <c r="N791" i="2" a="1"/>
  <c r="N791" i="2" s="1"/>
  <c r="Q791" i="2" a="1"/>
  <c r="Q791" i="2" s="1"/>
  <c r="M791" i="2" a="1"/>
  <c r="M791" i="2" s="1"/>
  <c r="P791" i="2" a="1"/>
  <c r="P791" i="2" s="1"/>
  <c r="O787" i="2" a="1"/>
  <c r="O787" i="2" s="1"/>
  <c r="R787" i="2" a="1"/>
  <c r="R787" i="2" s="1"/>
  <c r="N787" i="2" a="1"/>
  <c r="N787" i="2" s="1"/>
  <c r="Q787" i="2" a="1"/>
  <c r="Q787" i="2" s="1"/>
  <c r="M787" i="2" a="1"/>
  <c r="M787" i="2" s="1"/>
  <c r="P787" i="2" a="1"/>
  <c r="P787" i="2" s="1"/>
  <c r="O783" i="2" a="1"/>
  <c r="O783" i="2" s="1"/>
  <c r="R783" i="2" a="1"/>
  <c r="R783" i="2" s="1"/>
  <c r="N783" i="2" a="1"/>
  <c r="N783" i="2" s="1"/>
  <c r="Q783" i="2" a="1"/>
  <c r="Q783" i="2" s="1"/>
  <c r="M783" i="2" a="1"/>
  <c r="M783" i="2" s="1"/>
  <c r="P783" i="2" a="1"/>
  <c r="P783" i="2" s="1"/>
  <c r="O779" i="2" a="1"/>
  <c r="O779" i="2" s="1"/>
  <c r="R779" i="2" a="1"/>
  <c r="R779" i="2" s="1"/>
  <c r="N779" i="2" a="1"/>
  <c r="N779" i="2" s="1"/>
  <c r="Q779" i="2" a="1"/>
  <c r="Q779" i="2" s="1"/>
  <c r="M779" i="2" a="1"/>
  <c r="M779" i="2" s="1"/>
  <c r="P779" i="2" a="1"/>
  <c r="P779" i="2" s="1"/>
  <c r="O775" i="2" a="1"/>
  <c r="O775" i="2" s="1"/>
  <c r="R775" i="2" a="1"/>
  <c r="R775" i="2" s="1"/>
  <c r="N775" i="2" a="1"/>
  <c r="N775" i="2" s="1"/>
  <c r="Q775" i="2" a="1"/>
  <c r="Q775" i="2" s="1"/>
  <c r="M775" i="2" a="1"/>
  <c r="M775" i="2" s="1"/>
  <c r="P775" i="2" a="1"/>
  <c r="P775" i="2" s="1"/>
  <c r="O771" i="2" a="1"/>
  <c r="O771" i="2" s="1"/>
  <c r="R771" i="2" a="1"/>
  <c r="R771" i="2" s="1"/>
  <c r="N771" i="2" a="1"/>
  <c r="N771" i="2" s="1"/>
  <c r="Q771" i="2" a="1"/>
  <c r="Q771" i="2" s="1"/>
  <c r="M771" i="2" a="1"/>
  <c r="M771" i="2" s="1"/>
  <c r="P771" i="2" a="1"/>
  <c r="P771" i="2" s="1"/>
  <c r="O767" i="2" a="1"/>
  <c r="O767" i="2" s="1"/>
  <c r="R767" i="2" a="1"/>
  <c r="R767" i="2" s="1"/>
  <c r="N767" i="2" a="1"/>
  <c r="N767" i="2" s="1"/>
  <c r="Q767" i="2" a="1"/>
  <c r="Q767" i="2" s="1"/>
  <c r="M767" i="2" a="1"/>
  <c r="M767" i="2" s="1"/>
  <c r="P767" i="2" a="1"/>
  <c r="P767" i="2" s="1"/>
  <c r="O763" i="2" a="1"/>
  <c r="O763" i="2" s="1"/>
  <c r="R763" i="2" a="1"/>
  <c r="R763" i="2" s="1"/>
  <c r="N763" i="2" a="1"/>
  <c r="N763" i="2" s="1"/>
  <c r="Q763" i="2" a="1"/>
  <c r="Q763" i="2" s="1"/>
  <c r="M763" i="2" a="1"/>
  <c r="M763" i="2" s="1"/>
  <c r="P763" i="2" a="1"/>
  <c r="P763" i="2" s="1"/>
  <c r="R759" i="2" a="1"/>
  <c r="R759" i="2" s="1"/>
  <c r="N759" i="2" a="1"/>
  <c r="N759" i="2" s="1"/>
  <c r="Q759" i="2" a="1"/>
  <c r="Q759" i="2" s="1"/>
  <c r="M759" i="2" a="1"/>
  <c r="M759" i="2" s="1"/>
  <c r="P759" i="2" a="1"/>
  <c r="P759" i="2" s="1"/>
  <c r="O759" i="2" a="1"/>
  <c r="O759" i="2" s="1"/>
  <c r="R755" i="2" a="1"/>
  <c r="R755" i="2" s="1"/>
  <c r="N755" i="2" a="1"/>
  <c r="N755" i="2" s="1"/>
  <c r="Q755" i="2" a="1"/>
  <c r="Q755" i="2" s="1"/>
  <c r="M755" i="2" a="1"/>
  <c r="M755" i="2" s="1"/>
  <c r="P755" i="2" a="1"/>
  <c r="P755" i="2" s="1"/>
  <c r="O755" i="2" a="1"/>
  <c r="O755" i="2" s="1"/>
  <c r="R751" i="2" a="1"/>
  <c r="R751" i="2" s="1"/>
  <c r="N751" i="2" a="1"/>
  <c r="N751" i="2" s="1"/>
  <c r="Q751" i="2" a="1"/>
  <c r="Q751" i="2" s="1"/>
  <c r="M751" i="2" a="1"/>
  <c r="M751" i="2" s="1"/>
  <c r="P751" i="2" a="1"/>
  <c r="P751" i="2" s="1"/>
  <c r="O751" i="2" a="1"/>
  <c r="O751" i="2" s="1"/>
  <c r="R747" i="2" a="1"/>
  <c r="R747" i="2" s="1"/>
  <c r="N747" i="2" a="1"/>
  <c r="N747" i="2" s="1"/>
  <c r="Q747" i="2" a="1"/>
  <c r="Q747" i="2" s="1"/>
  <c r="M747" i="2" a="1"/>
  <c r="M747" i="2" s="1"/>
  <c r="P747" i="2" a="1"/>
  <c r="P747" i="2" s="1"/>
  <c r="O747" i="2" a="1"/>
  <c r="O747" i="2" s="1"/>
  <c r="R743" i="2" a="1"/>
  <c r="R743" i="2" s="1"/>
  <c r="N743" i="2" a="1"/>
  <c r="N743" i="2" s="1"/>
  <c r="Q743" i="2" a="1"/>
  <c r="Q743" i="2" s="1"/>
  <c r="M743" i="2" a="1"/>
  <c r="M743" i="2" s="1"/>
  <c r="P743" i="2" a="1"/>
  <c r="P743" i="2" s="1"/>
  <c r="O743" i="2" a="1"/>
  <c r="O743" i="2" s="1"/>
  <c r="R739" i="2" a="1"/>
  <c r="R739" i="2" s="1"/>
  <c r="N739" i="2" a="1"/>
  <c r="N739" i="2" s="1"/>
  <c r="Q739" i="2" a="1"/>
  <c r="Q739" i="2" s="1"/>
  <c r="M739" i="2" a="1"/>
  <c r="M739" i="2" s="1"/>
  <c r="P739" i="2" a="1"/>
  <c r="P739" i="2" s="1"/>
  <c r="O739" i="2" a="1"/>
  <c r="O739" i="2" s="1"/>
  <c r="R735" i="2" a="1"/>
  <c r="R735" i="2" s="1"/>
  <c r="N735" i="2" a="1"/>
  <c r="N735" i="2" s="1"/>
  <c r="Q735" i="2" a="1"/>
  <c r="Q735" i="2" s="1"/>
  <c r="M735" i="2" a="1"/>
  <c r="M735" i="2" s="1"/>
  <c r="P735" i="2" a="1"/>
  <c r="P735" i="2" s="1"/>
  <c r="O735" i="2" a="1"/>
  <c r="O735" i="2" s="1"/>
  <c r="O731" i="2" a="1"/>
  <c r="O731" i="2" s="1"/>
  <c r="R731" i="2" a="1"/>
  <c r="R731" i="2" s="1"/>
  <c r="Q731" i="2" a="1"/>
  <c r="Q731" i="2" s="1"/>
  <c r="N731" i="2" a="1"/>
  <c r="N731" i="2" s="1"/>
  <c r="P731" i="2" a="1"/>
  <c r="P731" i="2" s="1"/>
  <c r="M731" i="2" a="1"/>
  <c r="M731" i="2" s="1"/>
  <c r="O727" i="2" a="1"/>
  <c r="O727" i="2" s="1"/>
  <c r="R727" i="2" a="1"/>
  <c r="R727" i="2" s="1"/>
  <c r="Q727" i="2" a="1"/>
  <c r="Q727" i="2" s="1"/>
  <c r="N727" i="2" a="1"/>
  <c r="N727" i="2" s="1"/>
  <c r="M727" i="2" a="1"/>
  <c r="M727" i="2" s="1"/>
  <c r="P727" i="2" a="1"/>
  <c r="P727" i="2" s="1"/>
  <c r="O723" i="2" a="1"/>
  <c r="O723" i="2" s="1"/>
  <c r="R723" i="2" a="1"/>
  <c r="R723" i="2" s="1"/>
  <c r="Q723" i="2" a="1"/>
  <c r="Q723" i="2" s="1"/>
  <c r="N723" i="2" a="1"/>
  <c r="N723" i="2" s="1"/>
  <c r="P723" i="2" a="1"/>
  <c r="P723" i="2" s="1"/>
  <c r="M723" i="2" a="1"/>
  <c r="M723" i="2" s="1"/>
  <c r="O719" i="2" a="1"/>
  <c r="O719" i="2" s="1"/>
  <c r="R719" i="2" a="1"/>
  <c r="R719" i="2" s="1"/>
  <c r="Q719" i="2" a="1"/>
  <c r="Q719" i="2" s="1"/>
  <c r="N719" i="2" a="1"/>
  <c r="N719" i="2" s="1"/>
  <c r="M719" i="2" a="1"/>
  <c r="M719" i="2" s="1"/>
  <c r="P719" i="2" a="1"/>
  <c r="P719" i="2" s="1"/>
  <c r="O715" i="2" a="1"/>
  <c r="O715" i="2" s="1"/>
  <c r="R715" i="2" a="1"/>
  <c r="R715" i="2" s="1"/>
  <c r="Q715" i="2" a="1"/>
  <c r="Q715" i="2" s="1"/>
  <c r="N715" i="2" a="1"/>
  <c r="N715" i="2" s="1"/>
  <c r="P715" i="2" a="1"/>
  <c r="P715" i="2" s="1"/>
  <c r="M715" i="2" a="1"/>
  <c r="M715" i="2" s="1"/>
  <c r="O711" i="2" a="1"/>
  <c r="O711" i="2" s="1"/>
  <c r="R711" i="2" a="1"/>
  <c r="R711" i="2" s="1"/>
  <c r="Q711" i="2" a="1"/>
  <c r="Q711" i="2" s="1"/>
  <c r="N711" i="2" a="1"/>
  <c r="N711" i="2" s="1"/>
  <c r="M711" i="2" a="1"/>
  <c r="M711" i="2" s="1"/>
  <c r="P711" i="2" a="1"/>
  <c r="P711" i="2" s="1"/>
  <c r="O707" i="2" a="1"/>
  <c r="O707" i="2" s="1"/>
  <c r="R707" i="2" a="1"/>
  <c r="R707" i="2" s="1"/>
  <c r="Q707" i="2" a="1"/>
  <c r="Q707" i="2" s="1"/>
  <c r="N707" i="2" a="1"/>
  <c r="N707" i="2" s="1"/>
  <c r="P707" i="2" a="1"/>
  <c r="P707" i="2" s="1"/>
  <c r="M707" i="2" a="1"/>
  <c r="M707" i="2" s="1"/>
  <c r="O703" i="2" a="1"/>
  <c r="O703" i="2" s="1"/>
  <c r="R703" i="2" a="1"/>
  <c r="R703" i="2" s="1"/>
  <c r="Q703" i="2" a="1"/>
  <c r="Q703" i="2" s="1"/>
  <c r="N703" i="2" a="1"/>
  <c r="N703" i="2" s="1"/>
  <c r="M703" i="2" a="1"/>
  <c r="M703" i="2" s="1"/>
  <c r="P703" i="2" a="1"/>
  <c r="P703" i="2" s="1"/>
  <c r="O699" i="2" a="1"/>
  <c r="O699" i="2" s="1"/>
  <c r="R699" i="2" a="1"/>
  <c r="R699" i="2" s="1"/>
  <c r="Q699" i="2" a="1"/>
  <c r="Q699" i="2" s="1"/>
  <c r="N699" i="2" a="1"/>
  <c r="N699" i="2" s="1"/>
  <c r="P699" i="2" a="1"/>
  <c r="P699" i="2" s="1"/>
  <c r="M699" i="2" a="1"/>
  <c r="M699" i="2" s="1"/>
  <c r="O695" i="2" a="1"/>
  <c r="O695" i="2" s="1"/>
  <c r="R695" i="2" a="1"/>
  <c r="R695" i="2" s="1"/>
  <c r="Q695" i="2" a="1"/>
  <c r="Q695" i="2" s="1"/>
  <c r="P695" i="2" a="1"/>
  <c r="P695" i="2" s="1"/>
  <c r="N695" i="2" a="1"/>
  <c r="N695" i="2" s="1"/>
  <c r="M695" i="2" a="1"/>
  <c r="M695" i="2" s="1"/>
  <c r="R691" i="2" a="1"/>
  <c r="R691" i="2" s="1"/>
  <c r="Q691" i="2" a="1"/>
  <c r="Q691" i="2" s="1"/>
  <c r="M691" i="2" a="1"/>
  <c r="M691" i="2" s="1"/>
  <c r="P691" i="2" a="1"/>
  <c r="P691" i="2" s="1"/>
  <c r="O691" i="2" a="1"/>
  <c r="O691" i="2" s="1"/>
  <c r="N691" i="2" a="1"/>
  <c r="N691" i="2" s="1"/>
  <c r="R687" i="2" a="1"/>
  <c r="R687" i="2" s="1"/>
  <c r="O687" i="2" a="1"/>
  <c r="O687" i="2" s="1"/>
  <c r="N687" i="2" a="1"/>
  <c r="N687" i="2" s="1"/>
  <c r="Q687" i="2" a="1"/>
  <c r="Q687" i="2" s="1"/>
  <c r="M687" i="2" a="1"/>
  <c r="M687" i="2" s="1"/>
  <c r="P687" i="2" a="1"/>
  <c r="P687" i="2" s="1"/>
  <c r="R683" i="2" a="1"/>
  <c r="R683" i="2" s="1"/>
  <c r="Q683" i="2" a="1"/>
  <c r="Q683" i="2" s="1"/>
  <c r="M683" i="2" a="1"/>
  <c r="M683" i="2" s="1"/>
  <c r="P683" i="2" a="1"/>
  <c r="P683" i="2" s="1"/>
  <c r="O683" i="2" a="1"/>
  <c r="O683" i="2" s="1"/>
  <c r="N683" i="2" a="1"/>
  <c r="N683" i="2" s="1"/>
  <c r="R679" i="2" a="1"/>
  <c r="R679" i="2" s="1"/>
  <c r="O679" i="2" a="1"/>
  <c r="O679" i="2" s="1"/>
  <c r="N679" i="2" a="1"/>
  <c r="N679" i="2" s="1"/>
  <c r="Q679" i="2" a="1"/>
  <c r="Q679" i="2" s="1"/>
  <c r="M679" i="2" a="1"/>
  <c r="M679" i="2" s="1"/>
  <c r="P679" i="2" a="1"/>
  <c r="P679" i="2" s="1"/>
  <c r="R675" i="2" a="1"/>
  <c r="R675" i="2" s="1"/>
  <c r="Q675" i="2" a="1"/>
  <c r="Q675" i="2" s="1"/>
  <c r="M675" i="2" a="1"/>
  <c r="M675" i="2" s="1"/>
  <c r="P675" i="2" a="1"/>
  <c r="P675" i="2" s="1"/>
  <c r="O675" i="2" a="1"/>
  <c r="O675" i="2" s="1"/>
  <c r="N675" i="2" a="1"/>
  <c r="N675" i="2" s="1"/>
  <c r="R671" i="2" a="1"/>
  <c r="R671" i="2" s="1"/>
  <c r="O671" i="2" a="1"/>
  <c r="O671" i="2" s="1"/>
  <c r="N671" i="2" a="1"/>
  <c r="N671" i="2" s="1"/>
  <c r="Q671" i="2" a="1"/>
  <c r="Q671" i="2" s="1"/>
  <c r="M671" i="2" a="1"/>
  <c r="M671" i="2" s="1"/>
  <c r="P671" i="2" a="1"/>
  <c r="P671" i="2" s="1"/>
  <c r="R667" i="2" a="1"/>
  <c r="R667" i="2" s="1"/>
  <c r="Q667" i="2" a="1"/>
  <c r="Q667" i="2" s="1"/>
  <c r="M667" i="2" a="1"/>
  <c r="M667" i="2" s="1"/>
  <c r="P667" i="2" a="1"/>
  <c r="P667" i="2" s="1"/>
  <c r="O667" i="2" a="1"/>
  <c r="O667" i="2" s="1"/>
  <c r="N667" i="2" a="1"/>
  <c r="N667" i="2" s="1"/>
  <c r="R663" i="2" a="1"/>
  <c r="R663" i="2" s="1"/>
  <c r="O663" i="2" a="1"/>
  <c r="O663" i="2" s="1"/>
  <c r="N663" i="2" a="1"/>
  <c r="N663" i="2" s="1"/>
  <c r="Q663" i="2" a="1"/>
  <c r="Q663" i="2" s="1"/>
  <c r="M663" i="2" a="1"/>
  <c r="M663" i="2" s="1"/>
  <c r="P663" i="2" a="1"/>
  <c r="P663" i="2" s="1"/>
  <c r="R659" i="2" a="1"/>
  <c r="R659" i="2" s="1"/>
  <c r="Q659" i="2" a="1"/>
  <c r="Q659" i="2" s="1"/>
  <c r="M659" i="2" a="1"/>
  <c r="M659" i="2" s="1"/>
  <c r="P659" i="2" a="1"/>
  <c r="P659" i="2" s="1"/>
  <c r="O659" i="2" a="1"/>
  <c r="O659" i="2" s="1"/>
  <c r="N659" i="2" a="1"/>
  <c r="N659" i="2" s="1"/>
  <c r="R655" i="2" a="1"/>
  <c r="R655" i="2" s="1"/>
  <c r="O655" i="2" a="1"/>
  <c r="O655" i="2" s="1"/>
  <c r="N655" i="2" a="1"/>
  <c r="N655" i="2" s="1"/>
  <c r="Q655" i="2" a="1"/>
  <c r="Q655" i="2" s="1"/>
  <c r="M655" i="2" a="1"/>
  <c r="M655" i="2" s="1"/>
  <c r="P655" i="2" a="1"/>
  <c r="P655" i="2" s="1"/>
  <c r="R651" i="2" a="1"/>
  <c r="R651" i="2" s="1"/>
  <c r="Q651" i="2" a="1"/>
  <c r="Q651" i="2" s="1"/>
  <c r="M651" i="2" a="1"/>
  <c r="M651" i="2" s="1"/>
  <c r="P651" i="2" a="1"/>
  <c r="P651" i="2" s="1"/>
  <c r="O651" i="2" a="1"/>
  <c r="O651" i="2" s="1"/>
  <c r="N651" i="2" a="1"/>
  <c r="N651" i="2" s="1"/>
  <c r="R647" i="2" a="1"/>
  <c r="R647" i="2" s="1"/>
  <c r="O647" i="2" a="1"/>
  <c r="O647" i="2" s="1"/>
  <c r="N647" i="2" a="1"/>
  <c r="N647" i="2" s="1"/>
  <c r="Q647" i="2" a="1"/>
  <c r="Q647" i="2" s="1"/>
  <c r="M647" i="2" a="1"/>
  <c r="M647" i="2" s="1"/>
  <c r="P647" i="2" a="1"/>
  <c r="P647" i="2" s="1"/>
  <c r="R643" i="2" a="1"/>
  <c r="R643" i="2" s="1"/>
  <c r="Q643" i="2" a="1"/>
  <c r="Q643" i="2" s="1"/>
  <c r="M643" i="2" a="1"/>
  <c r="M643" i="2" s="1"/>
  <c r="P643" i="2" a="1"/>
  <c r="P643" i="2" s="1"/>
  <c r="O643" i="2" a="1"/>
  <c r="O643" i="2" s="1"/>
  <c r="N643" i="2" a="1"/>
  <c r="N643" i="2" s="1"/>
  <c r="R639" i="2" a="1"/>
  <c r="R639" i="2" s="1"/>
  <c r="O639" i="2" a="1"/>
  <c r="O639" i="2" s="1"/>
  <c r="N639" i="2" a="1"/>
  <c r="N639" i="2" s="1"/>
  <c r="Q639" i="2" a="1"/>
  <c r="Q639" i="2" s="1"/>
  <c r="M639" i="2" a="1"/>
  <c r="M639" i="2" s="1"/>
  <c r="P639" i="2" a="1"/>
  <c r="P639" i="2" s="1"/>
  <c r="R635" i="2" a="1"/>
  <c r="R635" i="2" s="1"/>
  <c r="Q635" i="2" a="1"/>
  <c r="Q635" i="2" s="1"/>
  <c r="M635" i="2" a="1"/>
  <c r="M635" i="2" s="1"/>
  <c r="P635" i="2" a="1"/>
  <c r="P635" i="2" s="1"/>
  <c r="O635" i="2" a="1"/>
  <c r="O635" i="2" s="1"/>
  <c r="N635" i="2" a="1"/>
  <c r="N635" i="2" s="1"/>
  <c r="R631" i="2" a="1"/>
  <c r="R631" i="2" s="1"/>
  <c r="O631" i="2" a="1"/>
  <c r="O631" i="2" s="1"/>
  <c r="N631" i="2" a="1"/>
  <c r="N631" i="2" s="1"/>
  <c r="Q631" i="2" a="1"/>
  <c r="Q631" i="2" s="1"/>
  <c r="M631" i="2" a="1"/>
  <c r="M631" i="2" s="1"/>
  <c r="P631" i="2" a="1"/>
  <c r="P631" i="2" s="1"/>
  <c r="R627" i="2" a="1"/>
  <c r="R627" i="2" s="1"/>
  <c r="Q627" i="2" a="1"/>
  <c r="Q627" i="2" s="1"/>
  <c r="M627" i="2" a="1"/>
  <c r="M627" i="2" s="1"/>
  <c r="P627" i="2" a="1"/>
  <c r="P627" i="2" s="1"/>
  <c r="O627" i="2" a="1"/>
  <c r="O627" i="2" s="1"/>
  <c r="N627" i="2" a="1"/>
  <c r="N627" i="2" s="1"/>
  <c r="O623" i="2" a="1"/>
  <c r="O623" i="2" s="1"/>
  <c r="R623" i="2" a="1"/>
  <c r="R623" i="2" s="1"/>
  <c r="Q623" i="2" a="1"/>
  <c r="Q623" i="2" s="1"/>
  <c r="N623" i="2" a="1"/>
  <c r="N623" i="2" s="1"/>
  <c r="P623" i="2" a="1"/>
  <c r="P623" i="2" s="1"/>
  <c r="M623" i="2" a="1"/>
  <c r="M623" i="2" s="1"/>
  <c r="O619" i="2" a="1"/>
  <c r="O619" i="2" s="1"/>
  <c r="R619" i="2" a="1"/>
  <c r="R619" i="2" s="1"/>
  <c r="Q619" i="2" a="1"/>
  <c r="Q619" i="2" s="1"/>
  <c r="N619" i="2" a="1"/>
  <c r="N619" i="2" s="1"/>
  <c r="P619" i="2" a="1"/>
  <c r="P619" i="2" s="1"/>
  <c r="M619" i="2" a="1"/>
  <c r="M619" i="2" s="1"/>
  <c r="Q615" i="2" a="1"/>
  <c r="Q615" i="2" s="1"/>
  <c r="N615" i="2" a="1"/>
  <c r="N615" i="2" s="1"/>
  <c r="P615" i="2" a="1"/>
  <c r="P615" i="2" s="1"/>
  <c r="M615" i="2" a="1"/>
  <c r="M615" i="2" s="1"/>
  <c r="O615" i="2" a="1"/>
  <c r="O615" i="2" s="1"/>
  <c r="R615" i="2" a="1"/>
  <c r="R615" i="2" s="1"/>
  <c r="R611" i="2" a="1"/>
  <c r="R611" i="2" s="1"/>
  <c r="Q611" i="2" a="1"/>
  <c r="Q611" i="2" s="1"/>
  <c r="N611" i="2" a="1"/>
  <c r="N611" i="2" s="1"/>
  <c r="P611" i="2" a="1"/>
  <c r="P611" i="2" s="1"/>
  <c r="M611" i="2" a="1"/>
  <c r="M611" i="2" s="1"/>
  <c r="O611" i="2" a="1"/>
  <c r="O611" i="2" s="1"/>
  <c r="O607" i="2" a="1"/>
  <c r="O607" i="2" s="1"/>
  <c r="R607" i="2" a="1"/>
  <c r="R607" i="2" s="1"/>
  <c r="Q607" i="2" a="1"/>
  <c r="Q607" i="2" s="1"/>
  <c r="N607" i="2" a="1"/>
  <c r="N607" i="2" s="1"/>
  <c r="P607" i="2" a="1"/>
  <c r="P607" i="2" s="1"/>
  <c r="M607" i="2" a="1"/>
  <c r="M607" i="2" s="1"/>
  <c r="O603" i="2" a="1"/>
  <c r="O603" i="2" s="1"/>
  <c r="R603" i="2" a="1"/>
  <c r="R603" i="2" s="1"/>
  <c r="Q603" i="2" a="1"/>
  <c r="Q603" i="2" s="1"/>
  <c r="N603" i="2" a="1"/>
  <c r="N603" i="2" s="1"/>
  <c r="P603" i="2" a="1"/>
  <c r="P603" i="2" s="1"/>
  <c r="M603" i="2" a="1"/>
  <c r="M603" i="2" s="1"/>
  <c r="R599" i="2" a="1"/>
  <c r="R599" i="2" s="1"/>
  <c r="Q599" i="2" a="1"/>
  <c r="Q599" i="2" s="1"/>
  <c r="N599" i="2" a="1"/>
  <c r="N599" i="2" s="1"/>
  <c r="P599" i="2" a="1"/>
  <c r="P599" i="2" s="1"/>
  <c r="M599" i="2" a="1"/>
  <c r="M599" i="2" s="1"/>
  <c r="O599" i="2" a="1"/>
  <c r="O599" i="2" s="1"/>
  <c r="P595" i="2" a="1"/>
  <c r="P595" i="2" s="1"/>
  <c r="M595" i="2" a="1"/>
  <c r="M595" i="2" s="1"/>
  <c r="O595" i="2" a="1"/>
  <c r="O595" i="2" s="1"/>
  <c r="R595" i="2" a="1"/>
  <c r="R595" i="2" s="1"/>
  <c r="Q595" i="2" a="1"/>
  <c r="Q595" i="2" s="1"/>
  <c r="N595" i="2" a="1"/>
  <c r="N595" i="2" s="1"/>
  <c r="R591" i="2" a="1"/>
  <c r="R591" i="2" s="1"/>
  <c r="O591" i="2" a="1"/>
  <c r="O591" i="2" s="1"/>
  <c r="Q591" i="2" a="1"/>
  <c r="Q591" i="2" s="1"/>
  <c r="N591" i="2" a="1"/>
  <c r="N591" i="2" s="1"/>
  <c r="P591" i="2" a="1"/>
  <c r="P591" i="2" s="1"/>
  <c r="M591" i="2" a="1"/>
  <c r="M591" i="2" s="1"/>
  <c r="R587" i="2" a="1"/>
  <c r="R587" i="2" s="1"/>
  <c r="O587" i="2" a="1"/>
  <c r="O587" i="2" s="1"/>
  <c r="Q587" i="2" a="1"/>
  <c r="Q587" i="2" s="1"/>
  <c r="N587" i="2" a="1"/>
  <c r="N587" i="2" s="1"/>
  <c r="P587" i="2" a="1"/>
  <c r="P587" i="2" s="1"/>
  <c r="M587" i="2" a="1"/>
  <c r="M587" i="2" s="1"/>
  <c r="R583" i="2" a="1"/>
  <c r="R583" i="2" s="1"/>
  <c r="O583" i="2" a="1"/>
  <c r="O583" i="2" s="1"/>
  <c r="Q583" i="2" a="1"/>
  <c r="Q583" i="2" s="1"/>
  <c r="N583" i="2" a="1"/>
  <c r="N583" i="2" s="1"/>
  <c r="P583" i="2" a="1"/>
  <c r="P583" i="2" s="1"/>
  <c r="M583" i="2" a="1"/>
  <c r="M583" i="2" s="1"/>
  <c r="R579" i="2" a="1"/>
  <c r="R579" i="2" s="1"/>
  <c r="O579" i="2" a="1"/>
  <c r="O579" i="2" s="1"/>
  <c r="Q579" i="2" a="1"/>
  <c r="Q579" i="2" s="1"/>
  <c r="N579" i="2" a="1"/>
  <c r="N579" i="2" s="1"/>
  <c r="P579" i="2" a="1"/>
  <c r="P579" i="2" s="1"/>
  <c r="M579" i="2" a="1"/>
  <c r="M579" i="2" s="1"/>
  <c r="R575" i="2" a="1"/>
  <c r="R575" i="2" s="1"/>
  <c r="O575" i="2" a="1"/>
  <c r="O575" i="2" s="1"/>
  <c r="Q575" i="2" a="1"/>
  <c r="Q575" i="2" s="1"/>
  <c r="N575" i="2" a="1"/>
  <c r="N575" i="2" s="1"/>
  <c r="P575" i="2" a="1"/>
  <c r="P575" i="2" s="1"/>
  <c r="M575" i="2" a="1"/>
  <c r="M575" i="2" s="1"/>
  <c r="R571" i="2" a="1"/>
  <c r="R571" i="2" s="1"/>
  <c r="O571" i="2" a="1"/>
  <c r="O571" i="2" s="1"/>
  <c r="Q571" i="2" a="1"/>
  <c r="Q571" i="2" s="1"/>
  <c r="N571" i="2" a="1"/>
  <c r="N571" i="2" s="1"/>
  <c r="P571" i="2" a="1"/>
  <c r="P571" i="2" s="1"/>
  <c r="M571" i="2" a="1"/>
  <c r="M571" i="2" s="1"/>
  <c r="R567" i="2" a="1"/>
  <c r="R567" i="2" s="1"/>
  <c r="O567" i="2" a="1"/>
  <c r="O567" i="2" s="1"/>
  <c r="Q567" i="2" a="1"/>
  <c r="Q567" i="2" s="1"/>
  <c r="N567" i="2" a="1"/>
  <c r="N567" i="2" s="1"/>
  <c r="P567" i="2" a="1"/>
  <c r="P567" i="2" s="1"/>
  <c r="M567" i="2" a="1"/>
  <c r="M567" i="2" s="1"/>
  <c r="R563" i="2" a="1"/>
  <c r="R563" i="2" s="1"/>
  <c r="O563" i="2" a="1"/>
  <c r="O563" i="2" s="1"/>
  <c r="Q563" i="2" a="1"/>
  <c r="Q563" i="2" s="1"/>
  <c r="N563" i="2" a="1"/>
  <c r="N563" i="2" s="1"/>
  <c r="P563" i="2" a="1"/>
  <c r="P563" i="2" s="1"/>
  <c r="M563" i="2" a="1"/>
  <c r="M563" i="2" s="1"/>
  <c r="R559" i="2" a="1"/>
  <c r="R559" i="2" s="1"/>
  <c r="O559" i="2" a="1"/>
  <c r="O559" i="2" s="1"/>
  <c r="Q559" i="2" a="1"/>
  <c r="Q559" i="2" s="1"/>
  <c r="N559" i="2" a="1"/>
  <c r="N559" i="2" s="1"/>
  <c r="M559" i="2" a="1"/>
  <c r="M559" i="2" s="1"/>
  <c r="P559" i="2" a="1"/>
  <c r="P559" i="2" s="1"/>
  <c r="R555" i="2" a="1"/>
  <c r="R555" i="2" s="1"/>
  <c r="O555" i="2" a="1"/>
  <c r="O555" i="2" s="1"/>
  <c r="Q555" i="2" a="1"/>
  <c r="Q555" i="2" s="1"/>
  <c r="N555" i="2" a="1"/>
  <c r="N555" i="2" s="1"/>
  <c r="P555" i="2" a="1"/>
  <c r="P555" i="2" s="1"/>
  <c r="M555" i="2" a="1"/>
  <c r="M555" i="2" s="1"/>
  <c r="R551" i="2" a="1"/>
  <c r="R551" i="2" s="1"/>
  <c r="O551" i="2" a="1"/>
  <c r="O551" i="2" s="1"/>
  <c r="Q551" i="2" a="1"/>
  <c r="Q551" i="2" s="1"/>
  <c r="N551" i="2" a="1"/>
  <c r="N551" i="2" s="1"/>
  <c r="P551" i="2" a="1"/>
  <c r="P551" i="2" s="1"/>
  <c r="M551" i="2" a="1"/>
  <c r="M551" i="2" s="1"/>
  <c r="R547" i="2" a="1"/>
  <c r="R547" i="2" s="1"/>
  <c r="O547" i="2" a="1"/>
  <c r="O547" i="2" s="1"/>
  <c r="Q547" i="2" a="1"/>
  <c r="Q547" i="2" s="1"/>
  <c r="N547" i="2" a="1"/>
  <c r="N547" i="2" s="1"/>
  <c r="P547" i="2" a="1"/>
  <c r="P547" i="2" s="1"/>
  <c r="M547" i="2" a="1"/>
  <c r="M547" i="2" s="1"/>
  <c r="R543" i="2" a="1"/>
  <c r="R543" i="2" s="1"/>
  <c r="O543" i="2" a="1"/>
  <c r="O543" i="2" s="1"/>
  <c r="Q543" i="2" a="1"/>
  <c r="Q543" i="2" s="1"/>
  <c r="N543" i="2" a="1"/>
  <c r="N543" i="2" s="1"/>
  <c r="M543" i="2" a="1"/>
  <c r="M543" i="2" s="1"/>
  <c r="P543" i="2" a="1"/>
  <c r="P543" i="2" s="1"/>
  <c r="R539" i="2" a="1"/>
  <c r="R539" i="2" s="1"/>
  <c r="O539" i="2" a="1"/>
  <c r="O539" i="2" s="1"/>
  <c r="Q539" i="2" a="1"/>
  <c r="Q539" i="2" s="1"/>
  <c r="N539" i="2" a="1"/>
  <c r="N539" i="2" s="1"/>
  <c r="P539" i="2" a="1"/>
  <c r="P539" i="2" s="1"/>
  <c r="M539" i="2" a="1"/>
  <c r="M539" i="2" s="1"/>
  <c r="R535" i="2" a="1"/>
  <c r="R535" i="2" s="1"/>
  <c r="Q535" i="2" a="1"/>
  <c r="Q535" i="2" s="1"/>
  <c r="N535" i="2" a="1"/>
  <c r="N535" i="2" s="1"/>
  <c r="M535" i="2" a="1"/>
  <c r="M535" i="2" s="1"/>
  <c r="P535" i="2" a="1"/>
  <c r="P535" i="2" s="1"/>
  <c r="O535" i="2" a="1"/>
  <c r="O535" i="2" s="1"/>
  <c r="R531" i="2" a="1"/>
  <c r="R531" i="2" s="1"/>
  <c r="Q531" i="2" a="1"/>
  <c r="Q531" i="2" s="1"/>
  <c r="N531" i="2" a="1"/>
  <c r="N531" i="2" s="1"/>
  <c r="P531" i="2" a="1"/>
  <c r="P531" i="2" s="1"/>
  <c r="O531" i="2" a="1"/>
  <c r="O531" i="2" s="1"/>
  <c r="M531" i="2" a="1"/>
  <c r="M531" i="2" s="1"/>
  <c r="R527" i="2" a="1"/>
  <c r="R527" i="2" s="1"/>
  <c r="Q527" i="2" a="1"/>
  <c r="Q527" i="2" s="1"/>
  <c r="N527" i="2" a="1"/>
  <c r="N527" i="2" s="1"/>
  <c r="M527" i="2" a="1"/>
  <c r="M527" i="2" s="1"/>
  <c r="P527" i="2" a="1"/>
  <c r="P527" i="2" s="1"/>
  <c r="O527" i="2" a="1"/>
  <c r="O527" i="2" s="1"/>
  <c r="R523" i="2" a="1"/>
  <c r="R523" i="2" s="1"/>
  <c r="Q523" i="2" a="1"/>
  <c r="Q523" i="2" s="1"/>
  <c r="N523" i="2" a="1"/>
  <c r="N523" i="2" s="1"/>
  <c r="P523" i="2" a="1"/>
  <c r="P523" i="2" s="1"/>
  <c r="O523" i="2" a="1"/>
  <c r="O523" i="2" s="1"/>
  <c r="M523" i="2" a="1"/>
  <c r="M523" i="2" s="1"/>
  <c r="R519" i="2" a="1"/>
  <c r="R519" i="2" s="1"/>
  <c r="Q519" i="2" a="1"/>
  <c r="Q519" i="2" s="1"/>
  <c r="N519" i="2" a="1"/>
  <c r="N519" i="2" s="1"/>
  <c r="M519" i="2" a="1"/>
  <c r="M519" i="2" s="1"/>
  <c r="P519" i="2" a="1"/>
  <c r="P519" i="2" s="1"/>
  <c r="O519" i="2" a="1"/>
  <c r="O519" i="2" s="1"/>
  <c r="R515" i="2" a="1"/>
  <c r="R515" i="2" s="1"/>
  <c r="Q515" i="2" a="1"/>
  <c r="Q515" i="2" s="1"/>
  <c r="M515" i="2" a="1"/>
  <c r="M515" i="2" s="1"/>
  <c r="P515" i="2" a="1"/>
  <c r="P515" i="2" s="1"/>
  <c r="O515" i="2" a="1"/>
  <c r="O515" i="2" s="1"/>
  <c r="N515" i="2" a="1"/>
  <c r="N515" i="2" s="1"/>
  <c r="R511" i="2" a="1"/>
  <c r="R511" i="2" s="1"/>
  <c r="N511" i="2" a="1"/>
  <c r="N511" i="2" s="1"/>
  <c r="Q511" i="2" a="1"/>
  <c r="Q511" i="2" s="1"/>
  <c r="M511" i="2" a="1"/>
  <c r="M511" i="2" s="1"/>
  <c r="P511" i="2" a="1"/>
  <c r="P511" i="2" s="1"/>
  <c r="O511" i="2" a="1"/>
  <c r="O511" i="2" s="1"/>
  <c r="R507" i="2" a="1"/>
  <c r="R507" i="2" s="1"/>
  <c r="O507" i="2" a="1"/>
  <c r="O507" i="2" s="1"/>
  <c r="N507" i="2" a="1"/>
  <c r="N507" i="2" s="1"/>
  <c r="Q507" i="2" a="1"/>
  <c r="Q507" i="2" s="1"/>
  <c r="M507" i="2" a="1"/>
  <c r="M507" i="2" s="1"/>
  <c r="P507" i="2" a="1"/>
  <c r="P507" i="2" s="1"/>
  <c r="R503" i="2" a="1"/>
  <c r="R503" i="2" s="1"/>
  <c r="P503" i="2" a="1"/>
  <c r="P503" i="2" s="1"/>
  <c r="O503" i="2" a="1"/>
  <c r="O503" i="2" s="1"/>
  <c r="N503" i="2" a="1"/>
  <c r="N503" i="2" s="1"/>
  <c r="Q503" i="2" a="1"/>
  <c r="Q503" i="2" s="1"/>
  <c r="M503" i="2" a="1"/>
  <c r="M503" i="2" s="1"/>
  <c r="R499" i="2" a="1"/>
  <c r="R499" i="2" s="1"/>
  <c r="Q499" i="2" a="1"/>
  <c r="Q499" i="2" s="1"/>
  <c r="M499" i="2" a="1"/>
  <c r="M499" i="2" s="1"/>
  <c r="P499" i="2" a="1"/>
  <c r="P499" i="2" s="1"/>
  <c r="O499" i="2" a="1"/>
  <c r="O499" i="2" s="1"/>
  <c r="N499" i="2" a="1"/>
  <c r="N499" i="2" s="1"/>
  <c r="R495" i="2" a="1"/>
  <c r="R495" i="2" s="1"/>
  <c r="N495" i="2" a="1"/>
  <c r="N495" i="2" s="1"/>
  <c r="Q495" i="2" a="1"/>
  <c r="Q495" i="2" s="1"/>
  <c r="M495" i="2" a="1"/>
  <c r="M495" i="2" s="1"/>
  <c r="P495" i="2" a="1"/>
  <c r="P495" i="2" s="1"/>
  <c r="O495" i="2" a="1"/>
  <c r="O495" i="2" s="1"/>
  <c r="R491" i="2" a="1"/>
  <c r="R491" i="2" s="1"/>
  <c r="O491" i="2" a="1"/>
  <c r="O491" i="2" s="1"/>
  <c r="N491" i="2" a="1"/>
  <c r="N491" i="2" s="1"/>
  <c r="Q491" i="2" a="1"/>
  <c r="Q491" i="2" s="1"/>
  <c r="M491" i="2" a="1"/>
  <c r="M491" i="2" s="1"/>
  <c r="P491" i="2" a="1"/>
  <c r="P491" i="2" s="1"/>
  <c r="R487" i="2" a="1"/>
  <c r="R487" i="2" s="1"/>
  <c r="P487" i="2" a="1"/>
  <c r="P487" i="2" s="1"/>
  <c r="O487" i="2" a="1"/>
  <c r="O487" i="2" s="1"/>
  <c r="N487" i="2" a="1"/>
  <c r="N487" i="2" s="1"/>
  <c r="Q487" i="2" a="1"/>
  <c r="Q487" i="2" s="1"/>
  <c r="M487" i="2" a="1"/>
  <c r="M487" i="2" s="1"/>
  <c r="R483" i="2" a="1"/>
  <c r="R483" i="2" s="1"/>
  <c r="Q483" i="2" a="1"/>
  <c r="Q483" i="2" s="1"/>
  <c r="M483" i="2" a="1"/>
  <c r="M483" i="2" s="1"/>
  <c r="P483" i="2" a="1"/>
  <c r="P483" i="2" s="1"/>
  <c r="O483" i="2" a="1"/>
  <c r="O483" i="2" s="1"/>
  <c r="N483" i="2" a="1"/>
  <c r="N483" i="2" s="1"/>
  <c r="R479" i="2" a="1"/>
  <c r="R479" i="2" s="1"/>
  <c r="N479" i="2" a="1"/>
  <c r="N479" i="2" s="1"/>
  <c r="Q479" i="2" a="1"/>
  <c r="Q479" i="2" s="1"/>
  <c r="M479" i="2" a="1"/>
  <c r="M479" i="2" s="1"/>
  <c r="P479" i="2" a="1"/>
  <c r="P479" i="2" s="1"/>
  <c r="O479" i="2" a="1"/>
  <c r="O479" i="2" s="1"/>
  <c r="R475" i="2" a="1"/>
  <c r="R475" i="2" s="1"/>
  <c r="O475" i="2" a="1"/>
  <c r="O475" i="2" s="1"/>
  <c r="N475" i="2" a="1"/>
  <c r="N475" i="2" s="1"/>
  <c r="Q475" i="2" a="1"/>
  <c r="Q475" i="2" s="1"/>
  <c r="M475" i="2" a="1"/>
  <c r="M475" i="2" s="1"/>
  <c r="P475" i="2" a="1"/>
  <c r="P475" i="2" s="1"/>
  <c r="R471" i="2" a="1"/>
  <c r="R471" i="2" s="1"/>
  <c r="P471" i="2" a="1"/>
  <c r="P471" i="2" s="1"/>
  <c r="O471" i="2" a="1"/>
  <c r="O471" i="2" s="1"/>
  <c r="N471" i="2" a="1"/>
  <c r="N471" i="2" s="1"/>
  <c r="Q471" i="2" a="1"/>
  <c r="Q471" i="2" s="1"/>
  <c r="M471" i="2" a="1"/>
  <c r="M471" i="2" s="1"/>
  <c r="R467" i="2" a="1"/>
  <c r="R467" i="2" s="1"/>
  <c r="Q467" i="2" a="1"/>
  <c r="Q467" i="2" s="1"/>
  <c r="M467" i="2" a="1"/>
  <c r="M467" i="2" s="1"/>
  <c r="P467" i="2" a="1"/>
  <c r="P467" i="2" s="1"/>
  <c r="O467" i="2" a="1"/>
  <c r="O467" i="2" s="1"/>
  <c r="N467" i="2" a="1"/>
  <c r="N467" i="2" s="1"/>
  <c r="R463" i="2" a="1"/>
  <c r="R463" i="2" s="1"/>
  <c r="N463" i="2" a="1"/>
  <c r="N463" i="2" s="1"/>
  <c r="Q463" i="2" a="1"/>
  <c r="Q463" i="2" s="1"/>
  <c r="M463" i="2" a="1"/>
  <c r="M463" i="2" s="1"/>
  <c r="P463" i="2" a="1"/>
  <c r="P463" i="2" s="1"/>
  <c r="O463" i="2" a="1"/>
  <c r="O463" i="2" s="1"/>
  <c r="Q459" i="2" a="1"/>
  <c r="Q459" i="2" s="1"/>
  <c r="M459" i="2" a="1"/>
  <c r="M459" i="2" s="1"/>
  <c r="P459" i="2" a="1"/>
  <c r="P459" i="2" s="1"/>
  <c r="O459" i="2" a="1"/>
  <c r="O459" i="2" s="1"/>
  <c r="R459" i="2" a="1"/>
  <c r="R459" i="2" s="1"/>
  <c r="N459" i="2" a="1"/>
  <c r="N459" i="2" s="1"/>
  <c r="Q455" i="2" a="1"/>
  <c r="Q455" i="2" s="1"/>
  <c r="M455" i="2" a="1"/>
  <c r="M455" i="2" s="1"/>
  <c r="O455" i="2" a="1"/>
  <c r="O455" i="2" s="1"/>
  <c r="R455" i="2" a="1"/>
  <c r="R455" i="2" s="1"/>
  <c r="N455" i="2" a="1"/>
  <c r="N455" i="2" s="1"/>
  <c r="P455" i="2" a="1"/>
  <c r="P455" i="2" s="1"/>
  <c r="Q451" i="2" a="1"/>
  <c r="Q451" i="2" s="1"/>
  <c r="M451" i="2" a="1"/>
  <c r="M451" i="2" s="1"/>
  <c r="P451" i="2" a="1"/>
  <c r="P451" i="2" s="1"/>
  <c r="O451" i="2" a="1"/>
  <c r="O451" i="2" s="1"/>
  <c r="R451" i="2" a="1"/>
  <c r="R451" i="2" s="1"/>
  <c r="N451" i="2" a="1"/>
  <c r="N451" i="2" s="1"/>
  <c r="Q447" i="2" a="1"/>
  <c r="Q447" i="2" s="1"/>
  <c r="M447" i="2" a="1"/>
  <c r="M447" i="2" s="1"/>
  <c r="O447" i="2" a="1"/>
  <c r="O447" i="2" s="1"/>
  <c r="R447" i="2" a="1"/>
  <c r="R447" i="2" s="1"/>
  <c r="N447" i="2" a="1"/>
  <c r="N447" i="2" s="1"/>
  <c r="P447" i="2" a="1"/>
  <c r="P447" i="2" s="1"/>
  <c r="Q443" i="2" a="1"/>
  <c r="Q443" i="2" s="1"/>
  <c r="M443" i="2" a="1"/>
  <c r="M443" i="2" s="1"/>
  <c r="P443" i="2" a="1"/>
  <c r="P443" i="2" s="1"/>
  <c r="O443" i="2" a="1"/>
  <c r="O443" i="2" s="1"/>
  <c r="R443" i="2" a="1"/>
  <c r="R443" i="2" s="1"/>
  <c r="N443" i="2" a="1"/>
  <c r="N443" i="2" s="1"/>
  <c r="Q439" i="2" a="1"/>
  <c r="Q439" i="2" s="1"/>
  <c r="M439" i="2" a="1"/>
  <c r="M439" i="2" s="1"/>
  <c r="O439" i="2" a="1"/>
  <c r="O439" i="2" s="1"/>
  <c r="R439" i="2" a="1"/>
  <c r="R439" i="2" s="1"/>
  <c r="N439" i="2" a="1"/>
  <c r="N439" i="2" s="1"/>
  <c r="P439" i="2" a="1"/>
  <c r="P439" i="2" s="1"/>
  <c r="Q435" i="2" a="1"/>
  <c r="Q435" i="2" s="1"/>
  <c r="M435" i="2" a="1"/>
  <c r="M435" i="2" s="1"/>
  <c r="P435" i="2" a="1"/>
  <c r="P435" i="2" s="1"/>
  <c r="O435" i="2" a="1"/>
  <c r="O435" i="2" s="1"/>
  <c r="R435" i="2" a="1"/>
  <c r="R435" i="2" s="1"/>
  <c r="N435" i="2" a="1"/>
  <c r="N435" i="2" s="1"/>
  <c r="R431" i="2" a="1"/>
  <c r="R431" i="2" s="1"/>
  <c r="O431" i="2" a="1"/>
  <c r="O431" i="2" s="1"/>
  <c r="N431" i="2" a="1"/>
  <c r="N431" i="2" s="1"/>
  <c r="Q431" i="2" a="1"/>
  <c r="Q431" i="2" s="1"/>
  <c r="M431" i="2" a="1"/>
  <c r="M431" i="2" s="1"/>
  <c r="P431" i="2" a="1"/>
  <c r="P431" i="2" s="1"/>
  <c r="R427" i="2" a="1"/>
  <c r="R427" i="2" s="1"/>
  <c r="O427" i="2" a="1"/>
  <c r="O427" i="2" s="1"/>
  <c r="N427" i="2" a="1"/>
  <c r="N427" i="2" s="1"/>
  <c r="Q427" i="2" a="1"/>
  <c r="Q427" i="2" s="1"/>
  <c r="M427" i="2" a="1"/>
  <c r="M427" i="2" s="1"/>
  <c r="P427" i="2" a="1"/>
  <c r="P427" i="2" s="1"/>
  <c r="R423" i="2" a="1"/>
  <c r="R423" i="2" s="1"/>
  <c r="O423" i="2" a="1"/>
  <c r="O423" i="2" s="1"/>
  <c r="N423" i="2" a="1"/>
  <c r="N423" i="2" s="1"/>
  <c r="Q423" i="2" a="1"/>
  <c r="Q423" i="2" s="1"/>
  <c r="M423" i="2" a="1"/>
  <c r="M423" i="2" s="1"/>
  <c r="P423" i="2" a="1"/>
  <c r="P423" i="2" s="1"/>
  <c r="R419" i="2" a="1"/>
  <c r="R419" i="2" s="1"/>
  <c r="O419" i="2" a="1"/>
  <c r="O419" i="2" s="1"/>
  <c r="N419" i="2" a="1"/>
  <c r="N419" i="2" s="1"/>
  <c r="Q419" i="2" a="1"/>
  <c r="Q419" i="2" s="1"/>
  <c r="M419" i="2" a="1"/>
  <c r="M419" i="2" s="1"/>
  <c r="P419" i="2" a="1"/>
  <c r="P419" i="2" s="1"/>
  <c r="R415" i="2" a="1"/>
  <c r="R415" i="2" s="1"/>
  <c r="O415" i="2" a="1"/>
  <c r="O415" i="2" s="1"/>
  <c r="N415" i="2" a="1"/>
  <c r="N415" i="2" s="1"/>
  <c r="Q415" i="2" a="1"/>
  <c r="Q415" i="2" s="1"/>
  <c r="M415" i="2" a="1"/>
  <c r="M415" i="2" s="1"/>
  <c r="P415" i="2" a="1"/>
  <c r="P415" i="2" s="1"/>
  <c r="R411" i="2" a="1"/>
  <c r="R411" i="2" s="1"/>
  <c r="O411" i="2" a="1"/>
  <c r="O411" i="2" s="1"/>
  <c r="N411" i="2" a="1"/>
  <c r="N411" i="2" s="1"/>
  <c r="Q411" i="2" a="1"/>
  <c r="Q411" i="2" s="1"/>
  <c r="M411" i="2" a="1"/>
  <c r="M411" i="2" s="1"/>
  <c r="P411" i="2" a="1"/>
  <c r="P411" i="2" s="1"/>
  <c r="R407" i="2" a="1"/>
  <c r="R407" i="2" s="1"/>
  <c r="O407" i="2" a="1"/>
  <c r="O407" i="2" s="1"/>
  <c r="N407" i="2" a="1"/>
  <c r="N407" i="2" s="1"/>
  <c r="Q407" i="2" a="1"/>
  <c r="Q407" i="2" s="1"/>
  <c r="M407" i="2" a="1"/>
  <c r="M407" i="2" s="1"/>
  <c r="P407" i="2" a="1"/>
  <c r="P407" i="2" s="1"/>
  <c r="R403" i="2" a="1"/>
  <c r="R403" i="2" s="1"/>
  <c r="O403" i="2" a="1"/>
  <c r="O403" i="2" s="1"/>
  <c r="N403" i="2" a="1"/>
  <c r="N403" i="2" s="1"/>
  <c r="Q403" i="2" a="1"/>
  <c r="Q403" i="2" s="1"/>
  <c r="M403" i="2" a="1"/>
  <c r="M403" i="2" s="1"/>
  <c r="P403" i="2" a="1"/>
  <c r="P403" i="2" s="1"/>
  <c r="R399" i="2" a="1"/>
  <c r="R399" i="2" s="1"/>
  <c r="N399" i="2" a="1"/>
  <c r="N399" i="2" s="1"/>
  <c r="Q399" i="2" a="1"/>
  <c r="Q399" i="2" s="1"/>
  <c r="M399" i="2" a="1"/>
  <c r="M399" i="2" s="1"/>
  <c r="P399" i="2" a="1"/>
  <c r="P399" i="2" s="1"/>
  <c r="O399" i="2" a="1"/>
  <c r="O399" i="2" s="1"/>
  <c r="Q395" i="2" a="1"/>
  <c r="Q395" i="2" s="1"/>
  <c r="N395" i="2" a="1"/>
  <c r="N395" i="2" s="1"/>
  <c r="P395" i="2" a="1"/>
  <c r="P395" i="2" s="1"/>
  <c r="M395" i="2" a="1"/>
  <c r="M395" i="2" s="1"/>
  <c r="R395" i="2" a="1"/>
  <c r="R395" i="2" s="1"/>
  <c r="O395" i="2" a="1"/>
  <c r="O395" i="2" s="1"/>
  <c r="O391" i="2" a="1"/>
  <c r="O391" i="2" s="1"/>
  <c r="Q391" i="2" a="1"/>
  <c r="Q391" i="2" s="1"/>
  <c r="N391" i="2" a="1"/>
  <c r="N391" i="2" s="1"/>
  <c r="P391" i="2" a="1"/>
  <c r="P391" i="2" s="1"/>
  <c r="M391" i="2" a="1"/>
  <c r="M391" i="2" s="1"/>
  <c r="R391" i="2" a="1"/>
  <c r="R391" i="2" s="1"/>
  <c r="P387" i="2" a="1"/>
  <c r="P387" i="2" s="1"/>
  <c r="M387" i="2" a="1"/>
  <c r="M387" i="2" s="1"/>
  <c r="R387" i="2" a="1"/>
  <c r="R387" i="2" s="1"/>
  <c r="O387" i="2" a="1"/>
  <c r="O387" i="2" s="1"/>
  <c r="Q387" i="2" a="1"/>
  <c r="Q387" i="2" s="1"/>
  <c r="N387" i="2" a="1"/>
  <c r="N387" i="2" s="1"/>
  <c r="P383" i="2" a="1"/>
  <c r="P383" i="2" s="1"/>
  <c r="M383" i="2" a="1"/>
  <c r="M383" i="2" s="1"/>
  <c r="R383" i="2" a="1"/>
  <c r="R383" i="2" s="1"/>
  <c r="O383" i="2" a="1"/>
  <c r="O383" i="2" s="1"/>
  <c r="Q383" i="2" a="1"/>
  <c r="Q383" i="2" s="1"/>
  <c r="N383" i="2" a="1"/>
  <c r="N383" i="2" s="1"/>
  <c r="P379" i="2" a="1"/>
  <c r="P379" i="2" s="1"/>
  <c r="M379" i="2" a="1"/>
  <c r="M379" i="2" s="1"/>
  <c r="R379" i="2" a="1"/>
  <c r="R379" i="2" s="1"/>
  <c r="O379" i="2" a="1"/>
  <c r="O379" i="2" s="1"/>
  <c r="Q379" i="2" a="1"/>
  <c r="Q379" i="2" s="1"/>
  <c r="N379" i="2" a="1"/>
  <c r="N379" i="2" s="1"/>
  <c r="P375" i="2" a="1"/>
  <c r="P375" i="2" s="1"/>
  <c r="M375" i="2" a="1"/>
  <c r="M375" i="2" s="1"/>
  <c r="R375" i="2" a="1"/>
  <c r="R375" i="2" s="1"/>
  <c r="O375" i="2" a="1"/>
  <c r="O375" i="2" s="1"/>
  <c r="Q375" i="2" a="1"/>
  <c r="Q375" i="2" s="1"/>
  <c r="N375" i="2" a="1"/>
  <c r="N375" i="2" s="1"/>
  <c r="P371" i="2" a="1"/>
  <c r="P371" i="2" s="1"/>
  <c r="M371" i="2" a="1"/>
  <c r="M371" i="2" s="1"/>
  <c r="R371" i="2" a="1"/>
  <c r="R371" i="2" s="1"/>
  <c r="O371" i="2" a="1"/>
  <c r="O371" i="2" s="1"/>
  <c r="Q371" i="2" a="1"/>
  <c r="Q371" i="2" s="1"/>
  <c r="N371" i="2" a="1"/>
  <c r="N371" i="2" s="1"/>
  <c r="P367" i="2" a="1"/>
  <c r="P367" i="2" s="1"/>
  <c r="M367" i="2" a="1"/>
  <c r="M367" i="2" s="1"/>
  <c r="R367" i="2" a="1"/>
  <c r="R367" i="2" s="1"/>
  <c r="O367" i="2" a="1"/>
  <c r="O367" i="2" s="1"/>
  <c r="Q367" i="2" a="1"/>
  <c r="Q367" i="2" s="1"/>
  <c r="N367" i="2" a="1"/>
  <c r="N367" i="2" s="1"/>
  <c r="P363" i="2" a="1"/>
  <c r="P363" i="2" s="1"/>
  <c r="M363" i="2" a="1"/>
  <c r="M363" i="2" s="1"/>
  <c r="R363" i="2" a="1"/>
  <c r="R363" i="2" s="1"/>
  <c r="O363" i="2" a="1"/>
  <c r="O363" i="2" s="1"/>
  <c r="Q363" i="2" a="1"/>
  <c r="Q363" i="2" s="1"/>
  <c r="N363" i="2" a="1"/>
  <c r="N363" i="2" s="1"/>
  <c r="R359" i="2" a="1"/>
  <c r="R359" i="2" s="1"/>
  <c r="O359" i="2" a="1"/>
  <c r="O359" i="2" s="1"/>
  <c r="Q359" i="2" a="1"/>
  <c r="Q359" i="2" s="1"/>
  <c r="N359" i="2" a="1"/>
  <c r="N359" i="2" s="1"/>
  <c r="P359" i="2" a="1"/>
  <c r="P359" i="2" s="1"/>
  <c r="M359" i="2" a="1"/>
  <c r="M359" i="2" s="1"/>
  <c r="M355" i="2" a="1"/>
  <c r="M355" i="2" s="1"/>
  <c r="R355" i="2" a="1"/>
  <c r="R355" i="2" s="1"/>
  <c r="O355" i="2" a="1"/>
  <c r="O355" i="2" s="1"/>
  <c r="Q355" i="2" a="1"/>
  <c r="Q355" i="2" s="1"/>
  <c r="N355" i="2" a="1"/>
  <c r="N355" i="2" s="1"/>
  <c r="P355" i="2" a="1"/>
  <c r="P355" i="2" s="1"/>
  <c r="P351" i="2" a="1"/>
  <c r="P351" i="2" s="1"/>
  <c r="M351" i="2" a="1"/>
  <c r="M351" i="2" s="1"/>
  <c r="R351" i="2" a="1"/>
  <c r="R351" i="2" s="1"/>
  <c r="O351" i="2" a="1"/>
  <c r="O351" i="2" s="1"/>
  <c r="Q351" i="2" a="1"/>
  <c r="Q351" i="2" s="1"/>
  <c r="N351" i="2" a="1"/>
  <c r="N351" i="2" s="1"/>
  <c r="P347" i="2" a="1"/>
  <c r="P347" i="2" s="1"/>
  <c r="M347" i="2" a="1"/>
  <c r="M347" i="2" s="1"/>
  <c r="R347" i="2" a="1"/>
  <c r="R347" i="2" s="1"/>
  <c r="O347" i="2" a="1"/>
  <c r="O347" i="2" s="1"/>
  <c r="Q347" i="2" a="1"/>
  <c r="Q347" i="2" s="1"/>
  <c r="N347" i="2" a="1"/>
  <c r="N347" i="2" s="1"/>
  <c r="P343" i="2" a="1"/>
  <c r="P343" i="2" s="1"/>
  <c r="M343" i="2" a="1"/>
  <c r="M343" i="2" s="1"/>
  <c r="R343" i="2" a="1"/>
  <c r="R343" i="2" s="1"/>
  <c r="O343" i="2" a="1"/>
  <c r="O343" i="2" s="1"/>
  <c r="Q343" i="2" a="1"/>
  <c r="Q343" i="2" s="1"/>
  <c r="N343" i="2" a="1"/>
  <c r="N343" i="2" s="1"/>
  <c r="P339" i="2" a="1"/>
  <c r="P339" i="2" s="1"/>
  <c r="M339" i="2" a="1"/>
  <c r="M339" i="2" s="1"/>
  <c r="R339" i="2" a="1"/>
  <c r="R339" i="2" s="1"/>
  <c r="O339" i="2" a="1"/>
  <c r="O339" i="2" s="1"/>
  <c r="Q339" i="2" a="1"/>
  <c r="Q339" i="2" s="1"/>
  <c r="N339" i="2" a="1"/>
  <c r="N339" i="2" s="1"/>
  <c r="P335" i="2" a="1"/>
  <c r="P335" i="2" s="1"/>
  <c r="M335" i="2" a="1"/>
  <c r="M335" i="2" s="1"/>
  <c r="R335" i="2" a="1"/>
  <c r="R335" i="2" s="1"/>
  <c r="O335" i="2" a="1"/>
  <c r="O335" i="2" s="1"/>
  <c r="Q335" i="2" a="1"/>
  <c r="Q335" i="2" s="1"/>
  <c r="N335" i="2" a="1"/>
  <c r="N335" i="2" s="1"/>
  <c r="P331" i="2" a="1"/>
  <c r="P331" i="2" s="1"/>
  <c r="M331" i="2" a="1"/>
  <c r="M331" i="2" s="1"/>
  <c r="R331" i="2" a="1"/>
  <c r="R331" i="2" s="1"/>
  <c r="O331" i="2" a="1"/>
  <c r="O331" i="2" s="1"/>
  <c r="Q331" i="2" a="1"/>
  <c r="Q331" i="2" s="1"/>
  <c r="N331" i="2" a="1"/>
  <c r="N331" i="2" s="1"/>
  <c r="P327" i="2" a="1"/>
  <c r="P327" i="2" s="1"/>
  <c r="M327" i="2" a="1"/>
  <c r="M327" i="2" s="1"/>
  <c r="R327" i="2" a="1"/>
  <c r="R327" i="2" s="1"/>
  <c r="O327" i="2" a="1"/>
  <c r="O327" i="2" s="1"/>
  <c r="Q327" i="2" a="1"/>
  <c r="Q327" i="2" s="1"/>
  <c r="N327" i="2" a="1"/>
  <c r="N327" i="2" s="1"/>
  <c r="P323" i="2" a="1"/>
  <c r="P323" i="2" s="1"/>
  <c r="M323" i="2" a="1"/>
  <c r="M323" i="2" s="1"/>
  <c r="R323" i="2" a="1"/>
  <c r="R323" i="2" s="1"/>
  <c r="O323" i="2" a="1"/>
  <c r="O323" i="2" s="1"/>
  <c r="Q323" i="2" a="1"/>
  <c r="Q323" i="2" s="1"/>
  <c r="N323" i="2" a="1"/>
  <c r="N323" i="2" s="1"/>
  <c r="P319" i="2" a="1"/>
  <c r="P319" i="2" s="1"/>
  <c r="M319" i="2" a="1"/>
  <c r="M319" i="2" s="1"/>
  <c r="R319" i="2" a="1"/>
  <c r="R319" i="2" s="1"/>
  <c r="O319" i="2" a="1"/>
  <c r="O319" i="2" s="1"/>
  <c r="Q319" i="2" a="1"/>
  <c r="Q319" i="2" s="1"/>
  <c r="N319" i="2" a="1"/>
  <c r="N319" i="2" s="1"/>
  <c r="P315" i="2" a="1"/>
  <c r="P315" i="2" s="1"/>
  <c r="M315" i="2" a="1"/>
  <c r="M315" i="2" s="1"/>
  <c r="R315" i="2" a="1"/>
  <c r="R315" i="2" s="1"/>
  <c r="O315" i="2" a="1"/>
  <c r="O315" i="2" s="1"/>
  <c r="Q315" i="2" a="1"/>
  <c r="Q315" i="2" s="1"/>
  <c r="N315" i="2" a="1"/>
  <c r="N315" i="2" s="1"/>
  <c r="P311" i="2" a="1"/>
  <c r="P311" i="2" s="1"/>
  <c r="M311" i="2" a="1"/>
  <c r="M311" i="2" s="1"/>
  <c r="R311" i="2" a="1"/>
  <c r="R311" i="2" s="1"/>
  <c r="O311" i="2" a="1"/>
  <c r="O311" i="2" s="1"/>
  <c r="Q311" i="2" a="1"/>
  <c r="Q311" i="2" s="1"/>
  <c r="N311" i="2" a="1"/>
  <c r="N311" i="2" s="1"/>
  <c r="P307" i="2" a="1"/>
  <c r="P307" i="2" s="1"/>
  <c r="M307" i="2" a="1"/>
  <c r="M307" i="2" s="1"/>
  <c r="R307" i="2" a="1"/>
  <c r="R307" i="2" s="1"/>
  <c r="O307" i="2" a="1"/>
  <c r="O307" i="2" s="1"/>
  <c r="Q307" i="2" a="1"/>
  <c r="Q307" i="2" s="1"/>
  <c r="N307" i="2" a="1"/>
  <c r="N307" i="2" s="1"/>
  <c r="P303" i="2" a="1"/>
  <c r="P303" i="2" s="1"/>
  <c r="M303" i="2" a="1"/>
  <c r="M303" i="2" s="1"/>
  <c r="R303" i="2" a="1"/>
  <c r="R303" i="2" s="1"/>
  <c r="O303" i="2" a="1"/>
  <c r="O303" i="2" s="1"/>
  <c r="Q303" i="2" a="1"/>
  <c r="Q303" i="2" s="1"/>
  <c r="N303" i="2" a="1"/>
  <c r="N303" i="2" s="1"/>
  <c r="P299" i="2" a="1"/>
  <c r="P299" i="2" s="1"/>
  <c r="M299" i="2" a="1"/>
  <c r="M299" i="2" s="1"/>
  <c r="Q299" i="2" a="1"/>
  <c r="Q299" i="2" s="1"/>
  <c r="N299" i="2" a="1"/>
  <c r="N299" i="2" s="1"/>
  <c r="P295" i="2" a="1"/>
  <c r="P295" i="2" s="1"/>
  <c r="M295" i="2" a="1"/>
  <c r="M295" i="2" s="1"/>
  <c r="Q295" i="2" a="1"/>
  <c r="Q295" i="2" s="1"/>
  <c r="N295" i="2" a="1"/>
  <c r="N295" i="2" s="1"/>
  <c r="P291" i="2" a="1"/>
  <c r="P291" i="2" s="1"/>
  <c r="M291" i="2" a="1"/>
  <c r="M291" i="2" s="1"/>
  <c r="Q291" i="2" a="1"/>
  <c r="Q291" i="2" s="1"/>
  <c r="N291" i="2" a="1"/>
  <c r="N291" i="2" s="1"/>
  <c r="P287" i="2" a="1"/>
  <c r="P287" i="2" s="1"/>
  <c r="M287" i="2" a="1"/>
  <c r="M287" i="2" s="1"/>
  <c r="Q287" i="2" a="1"/>
  <c r="Q287" i="2" s="1"/>
  <c r="N287" i="2" a="1"/>
  <c r="N287" i="2" s="1"/>
  <c r="P283" i="2" a="1"/>
  <c r="P283" i="2" s="1"/>
  <c r="M283" i="2" a="1"/>
  <c r="M283" i="2" s="1"/>
  <c r="Q283" i="2" a="1"/>
  <c r="Q283" i="2" s="1"/>
  <c r="N283" i="2" a="1"/>
  <c r="N283" i="2" s="1"/>
  <c r="P279" i="2" a="1"/>
  <c r="P279" i="2" s="1"/>
  <c r="M279" i="2" a="1"/>
  <c r="M279" i="2" s="1"/>
  <c r="Q279" i="2" a="1"/>
  <c r="Q279" i="2" s="1"/>
  <c r="N279" i="2" a="1"/>
  <c r="N279" i="2" s="1"/>
  <c r="P275" i="2" a="1"/>
  <c r="P275" i="2" s="1"/>
  <c r="M275" i="2" a="1"/>
  <c r="M275" i="2" s="1"/>
  <c r="Q275" i="2" a="1"/>
  <c r="Q275" i="2" s="1"/>
  <c r="N275" i="2" a="1"/>
  <c r="N275" i="2" s="1"/>
  <c r="P271" i="2" a="1"/>
  <c r="P271" i="2" s="1"/>
  <c r="M271" i="2" a="1"/>
  <c r="M271" i="2" s="1"/>
  <c r="Q271" i="2" a="1"/>
  <c r="Q271" i="2" s="1"/>
  <c r="N271" i="2" a="1"/>
  <c r="N271" i="2" s="1"/>
  <c r="P267" i="2" a="1"/>
  <c r="P267" i="2" s="1"/>
  <c r="M267" i="2" a="1"/>
  <c r="M267" i="2" s="1"/>
  <c r="Q267" i="2" a="1"/>
  <c r="Q267" i="2" s="1"/>
  <c r="N267" i="2" a="1"/>
  <c r="N267" i="2" s="1"/>
  <c r="P263" i="2" a="1"/>
  <c r="P263" i="2" s="1"/>
  <c r="M263" i="2" a="1"/>
  <c r="M263" i="2" s="1"/>
  <c r="Q263" i="2" a="1"/>
  <c r="Q263" i="2" s="1"/>
  <c r="N263" i="2" a="1"/>
  <c r="N263" i="2" s="1"/>
  <c r="P259" i="2" a="1"/>
  <c r="P259" i="2" s="1"/>
  <c r="M259" i="2" a="1"/>
  <c r="M259" i="2" s="1"/>
  <c r="Q259" i="2" a="1"/>
  <c r="Q259" i="2" s="1"/>
  <c r="N259" i="2" a="1"/>
  <c r="N259" i="2" s="1"/>
  <c r="P255" i="2" a="1"/>
  <c r="P255" i="2" s="1"/>
  <c r="M255" i="2" a="1"/>
  <c r="M255" i="2" s="1"/>
  <c r="Q255" i="2" a="1"/>
  <c r="Q255" i="2" s="1"/>
  <c r="N255" i="2" a="1"/>
  <c r="N255" i="2" s="1"/>
  <c r="P251" i="2" a="1"/>
  <c r="P251" i="2" s="1"/>
  <c r="M251" i="2" a="1"/>
  <c r="M251" i="2" s="1"/>
  <c r="Q251" i="2" a="1"/>
  <c r="Q251" i="2" s="1"/>
  <c r="N251" i="2" a="1"/>
  <c r="N251" i="2" s="1"/>
  <c r="P247" i="2" a="1"/>
  <c r="P247" i="2" s="1"/>
  <c r="M247" i="2" a="1"/>
  <c r="M247" i="2" s="1"/>
  <c r="Q247" i="2" a="1"/>
  <c r="Q247" i="2" s="1"/>
  <c r="P243" i="2" a="1"/>
  <c r="P243" i="2" s="1"/>
  <c r="M243" i="2" a="1"/>
  <c r="M243" i="2" s="1"/>
  <c r="P239" i="2" a="1"/>
  <c r="P239" i="2" s="1"/>
  <c r="M239" i="2" a="1"/>
  <c r="M239" i="2" s="1"/>
  <c r="P235" i="2" a="1"/>
  <c r="P235" i="2" s="1"/>
  <c r="M235" i="2" a="1"/>
  <c r="M235" i="2" s="1"/>
  <c r="P231" i="2" a="1"/>
  <c r="P231" i="2" s="1"/>
  <c r="M231" i="2" a="1"/>
  <c r="M231" i="2" s="1"/>
  <c r="P227" i="2" a="1"/>
  <c r="P227" i="2" s="1"/>
  <c r="M227" i="2" a="1"/>
  <c r="M227" i="2" s="1"/>
  <c r="P223" i="2" a="1"/>
  <c r="P223" i="2" s="1"/>
  <c r="M223" i="2" a="1"/>
  <c r="M223" i="2" s="1"/>
  <c r="P219" i="2" a="1"/>
  <c r="P219" i="2" s="1"/>
  <c r="M219" i="2" a="1"/>
  <c r="M219" i="2" s="1"/>
  <c r="P215" i="2" a="1"/>
  <c r="P215" i="2" s="1"/>
  <c r="M215" i="2" a="1"/>
  <c r="M215" i="2" s="1"/>
  <c r="P211" i="2" a="1"/>
  <c r="P211" i="2" s="1"/>
  <c r="M211" i="2" a="1"/>
  <c r="M211" i="2" s="1"/>
  <c r="P207" i="2" a="1"/>
  <c r="P207" i="2" s="1"/>
  <c r="M207" i="2" a="1"/>
  <c r="M207" i="2" s="1"/>
  <c r="P203" i="2" a="1"/>
  <c r="P203" i="2" s="1"/>
  <c r="M203" i="2" a="1"/>
  <c r="M203" i="2" s="1"/>
  <c r="P199" i="2" a="1"/>
  <c r="P199" i="2" s="1"/>
  <c r="M199" i="2" a="1"/>
  <c r="M199" i="2" s="1"/>
  <c r="P195" i="2" a="1"/>
  <c r="P195" i="2" s="1"/>
  <c r="M195" i="2" a="1"/>
  <c r="M195" i="2" s="1"/>
  <c r="P191" i="2" a="1"/>
  <c r="P191" i="2" s="1"/>
  <c r="M191" i="2" a="1"/>
  <c r="M191" i="2" s="1"/>
  <c r="P187" i="2" a="1"/>
  <c r="P187" i="2" s="1"/>
  <c r="M187" i="2" a="1"/>
  <c r="M187" i="2" s="1"/>
  <c r="P183" i="2" a="1"/>
  <c r="P183" i="2" s="1"/>
  <c r="M183" i="2" a="1"/>
  <c r="M183" i="2" s="1"/>
  <c r="P179" i="2" a="1"/>
  <c r="P179" i="2" s="1"/>
  <c r="M179" i="2" a="1"/>
  <c r="M179" i="2" s="1"/>
  <c r="P175" i="2" a="1"/>
  <c r="P175" i="2" s="1"/>
  <c r="M175" i="2" a="1"/>
  <c r="M175" i="2" s="1"/>
  <c r="P171" i="2" a="1"/>
  <c r="P171" i="2" s="1"/>
  <c r="M171" i="2" a="1"/>
  <c r="M171" i="2" s="1"/>
  <c r="R147" i="2" a="1"/>
  <c r="R147" i="2" s="1"/>
  <c r="N147" i="2" a="1"/>
  <c r="N147" i="2" s="1"/>
  <c r="R143" i="2" a="1"/>
  <c r="R143" i="2" s="1"/>
  <c r="N143" i="2" a="1"/>
  <c r="N143" i="2" s="1"/>
  <c r="R139" i="2" a="1"/>
  <c r="R139" i="2" s="1"/>
  <c r="N139" i="2" a="1"/>
  <c r="N139" i="2" s="1"/>
  <c r="R135" i="2" a="1"/>
  <c r="R135" i="2" s="1"/>
  <c r="N135" i="2" a="1"/>
  <c r="N135" i="2" s="1"/>
  <c r="R131" i="2" a="1"/>
  <c r="R131" i="2" s="1"/>
  <c r="N131" i="2" a="1"/>
  <c r="N131" i="2" s="1"/>
  <c r="R127" i="2" a="1"/>
  <c r="R127" i="2" s="1"/>
  <c r="N127" i="2" a="1"/>
  <c r="N127" i="2" s="1"/>
  <c r="R123" i="2" a="1"/>
  <c r="R123" i="2" s="1"/>
  <c r="N123" i="2" a="1"/>
  <c r="N123" i="2" s="1"/>
  <c r="R119" i="2" a="1"/>
  <c r="R119" i="2" s="1"/>
  <c r="N119" i="2" a="1"/>
  <c r="N119" i="2" s="1"/>
  <c r="R115" i="2" a="1"/>
  <c r="R115" i="2" s="1"/>
  <c r="N115" i="2" a="1"/>
  <c r="N115" i="2" s="1"/>
  <c r="R111" i="2" a="1"/>
  <c r="R111" i="2" s="1"/>
  <c r="N111" i="2" a="1"/>
  <c r="N111" i="2" s="1"/>
  <c r="R107" i="2" a="1"/>
  <c r="R107" i="2" s="1"/>
  <c r="N107" i="2" a="1"/>
  <c r="N107" i="2" s="1"/>
  <c r="R103" i="2" a="1"/>
  <c r="R103" i="2" s="1"/>
  <c r="N103" i="2" a="1"/>
  <c r="N103" i="2" s="1"/>
  <c r="R99" i="2" a="1"/>
  <c r="R99" i="2" s="1"/>
  <c r="N99" i="2" a="1"/>
  <c r="N99" i="2" s="1"/>
  <c r="R95" i="2" a="1"/>
  <c r="R95" i="2" s="1"/>
  <c r="N95" i="2" a="1"/>
  <c r="N95" i="2" s="1"/>
  <c r="R91" i="2" a="1"/>
  <c r="R91" i="2" s="1"/>
  <c r="N91" i="2" a="1"/>
  <c r="N91" i="2" s="1"/>
  <c r="R87" i="2" a="1"/>
  <c r="R87" i="2" s="1"/>
  <c r="N87" i="2" a="1"/>
  <c r="N87" i="2" s="1"/>
  <c r="R83" i="2" a="1"/>
  <c r="R83" i="2" s="1"/>
  <c r="N83" i="2" a="1"/>
  <c r="N83" i="2" s="1"/>
  <c r="R79" i="2" a="1"/>
  <c r="R79" i="2" s="1"/>
  <c r="N79" i="2" a="1"/>
  <c r="N79" i="2" s="1"/>
  <c r="R75" i="2" a="1"/>
  <c r="R75" i="2" s="1"/>
  <c r="N75" i="2" a="1"/>
  <c r="N75" i="2" s="1"/>
  <c r="R71" i="2" a="1"/>
  <c r="R71" i="2" s="1"/>
  <c r="N71" i="2" a="1"/>
  <c r="N71" i="2" s="1"/>
  <c r="R67" i="2" a="1"/>
  <c r="R67" i="2" s="1"/>
  <c r="N67" i="2" a="1"/>
  <c r="N67" i="2" s="1"/>
  <c r="R63" i="2" a="1"/>
  <c r="R63" i="2" s="1"/>
  <c r="N63" i="2" a="1"/>
  <c r="N63" i="2" s="1"/>
  <c r="R59" i="2" a="1"/>
  <c r="R59" i="2" s="1"/>
  <c r="N59" i="2" a="1"/>
  <c r="N59" i="2" s="1"/>
  <c r="R55" i="2" a="1"/>
  <c r="R55" i="2" s="1"/>
  <c r="N55" i="2" a="1"/>
  <c r="N55" i="2" s="1"/>
  <c r="R51" i="2" a="1"/>
  <c r="R51" i="2" s="1"/>
  <c r="N51" i="2" a="1"/>
  <c r="N51" i="2" s="1"/>
  <c r="R47" i="2" a="1"/>
  <c r="R47" i="2" s="1"/>
  <c r="N47" i="2" a="1"/>
  <c r="N47" i="2" s="1"/>
  <c r="R43" i="2" a="1"/>
  <c r="R43" i="2" s="1"/>
  <c r="N43" i="2" a="1"/>
  <c r="N43" i="2" s="1"/>
  <c r="R39" i="2" a="1"/>
  <c r="R39" i="2" s="1"/>
  <c r="N39" i="2" a="1"/>
  <c r="N39" i="2" s="1"/>
  <c r="R35" i="2" a="1"/>
  <c r="R35" i="2" s="1"/>
  <c r="N35" i="2" a="1"/>
  <c r="N35" i="2" s="1"/>
  <c r="R31" i="2" a="1"/>
  <c r="R31" i="2" s="1"/>
  <c r="N31" i="2" a="1"/>
  <c r="N31" i="2" s="1"/>
  <c r="R27" i="2" a="1"/>
  <c r="R27" i="2" s="1"/>
  <c r="N27" i="2" a="1"/>
  <c r="N27" i="2" s="1"/>
  <c r="R23" i="2" a="1"/>
  <c r="R23" i="2" s="1"/>
  <c r="N23" i="2" a="1"/>
  <c r="N23" i="2" s="1"/>
  <c r="K1614" i="2" a="1"/>
  <c r="K1614" i="2" s="1"/>
  <c r="L1614" i="2" a="1"/>
  <c r="L1614" i="2" s="1"/>
  <c r="J1614" i="2" a="1"/>
  <c r="J1614" i="2" s="1"/>
  <c r="I1614" i="2" a="1"/>
  <c r="I1614" i="2" s="1"/>
  <c r="L1610" i="2" a="1"/>
  <c r="L1610" i="2" s="1"/>
  <c r="K1610" i="2" a="1"/>
  <c r="K1610" i="2" s="1"/>
  <c r="I1610" i="2" a="1"/>
  <c r="I1610" i="2" s="1"/>
  <c r="J1610" i="2" a="1"/>
  <c r="J1610" i="2" s="1"/>
  <c r="L1606" i="2" a="1"/>
  <c r="L1606" i="2" s="1"/>
  <c r="K1606" i="2" a="1"/>
  <c r="K1606" i="2" s="1"/>
  <c r="I1606" i="2" a="1"/>
  <c r="I1606" i="2" s="1"/>
  <c r="J1606" i="2" a="1"/>
  <c r="J1606" i="2" s="1"/>
  <c r="K1602" i="2" a="1"/>
  <c r="K1602" i="2" s="1"/>
  <c r="L1602" i="2" a="1"/>
  <c r="L1602" i="2" s="1"/>
  <c r="J1602" i="2" a="1"/>
  <c r="J1602" i="2" s="1"/>
  <c r="I1602" i="2" a="1"/>
  <c r="I1602" i="2" s="1"/>
  <c r="K1598" i="2" a="1"/>
  <c r="K1598" i="2" s="1"/>
  <c r="L1598" i="2" a="1"/>
  <c r="L1598" i="2" s="1"/>
  <c r="J1598" i="2" a="1"/>
  <c r="J1598" i="2" s="1"/>
  <c r="I1598" i="2" a="1"/>
  <c r="I1598" i="2" s="1"/>
  <c r="L1594" i="2" a="1"/>
  <c r="L1594" i="2" s="1"/>
  <c r="K1594" i="2" a="1"/>
  <c r="K1594" i="2" s="1"/>
  <c r="J1594" i="2" a="1"/>
  <c r="J1594" i="2" s="1"/>
  <c r="I1594" i="2" a="1"/>
  <c r="I1594" i="2" s="1"/>
  <c r="K1590" i="2" a="1"/>
  <c r="K1590" i="2" s="1"/>
  <c r="L1590" i="2" a="1"/>
  <c r="L1590" i="2" s="1"/>
  <c r="I1590" i="2" a="1"/>
  <c r="I1590" i="2" s="1"/>
  <c r="J1590" i="2" a="1"/>
  <c r="J1590" i="2" s="1"/>
  <c r="L1586" i="2" a="1"/>
  <c r="L1586" i="2" s="1"/>
  <c r="K1586" i="2" a="1"/>
  <c r="K1586" i="2" s="1"/>
  <c r="J1586" i="2" a="1"/>
  <c r="J1586" i="2" s="1"/>
  <c r="I1586" i="2" a="1"/>
  <c r="I1586" i="2" s="1"/>
  <c r="L1582" i="2" a="1"/>
  <c r="L1582" i="2" s="1"/>
  <c r="K1582" i="2" a="1"/>
  <c r="K1582" i="2" s="1"/>
  <c r="I1582" i="2" a="1"/>
  <c r="I1582" i="2" s="1"/>
  <c r="J1582" i="2" a="1"/>
  <c r="J1582" i="2" s="1"/>
  <c r="K1578" i="2" a="1"/>
  <c r="K1578" i="2" s="1"/>
  <c r="L1578" i="2" a="1"/>
  <c r="L1578" i="2" s="1"/>
  <c r="J1578" i="2" a="1"/>
  <c r="J1578" i="2" s="1"/>
  <c r="I1578" i="2" a="1"/>
  <c r="I1578" i="2" s="1"/>
  <c r="L1574" i="2" a="1"/>
  <c r="L1574" i="2" s="1"/>
  <c r="K1574" i="2" a="1"/>
  <c r="K1574" i="2" s="1"/>
  <c r="J1574" i="2" a="1"/>
  <c r="J1574" i="2" s="1"/>
  <c r="I1574" i="2" a="1"/>
  <c r="I1574" i="2" s="1"/>
  <c r="L1570" i="2" a="1"/>
  <c r="L1570" i="2" s="1"/>
  <c r="K1570" i="2" a="1"/>
  <c r="K1570" i="2" s="1"/>
  <c r="J1570" i="2" a="1"/>
  <c r="J1570" i="2" s="1"/>
  <c r="I1570" i="2" a="1"/>
  <c r="I1570" i="2" s="1"/>
  <c r="K1566" i="2" a="1"/>
  <c r="K1566" i="2" s="1"/>
  <c r="L1566" i="2" a="1"/>
  <c r="L1566" i="2" s="1"/>
  <c r="I1566" i="2" a="1"/>
  <c r="I1566" i="2" s="1"/>
  <c r="J1566" i="2" a="1"/>
  <c r="J1566" i="2" s="1"/>
  <c r="L1562" i="2" a="1"/>
  <c r="L1562" i="2" s="1"/>
  <c r="K1562" i="2" a="1"/>
  <c r="K1562" i="2" s="1"/>
  <c r="J1562" i="2" a="1"/>
  <c r="J1562" i="2" s="1"/>
  <c r="I1562" i="2" a="1"/>
  <c r="I1562" i="2" s="1"/>
  <c r="L1558" i="2" a="1"/>
  <c r="L1558" i="2" s="1"/>
  <c r="K1558" i="2" a="1"/>
  <c r="K1558" i="2" s="1"/>
  <c r="J1558" i="2" a="1"/>
  <c r="J1558" i="2" s="1"/>
  <c r="I1558" i="2" a="1"/>
  <c r="I1558" i="2" s="1"/>
  <c r="L1554" i="2" a="1"/>
  <c r="L1554" i="2" s="1"/>
  <c r="K1554" i="2" a="1"/>
  <c r="K1554" i="2" s="1"/>
  <c r="J1554" i="2" a="1"/>
  <c r="J1554" i="2" s="1"/>
  <c r="I1554" i="2" a="1"/>
  <c r="I1554" i="2" s="1"/>
  <c r="L1550" i="2" a="1"/>
  <c r="L1550" i="2" s="1"/>
  <c r="K1550" i="2" a="1"/>
  <c r="K1550" i="2" s="1"/>
  <c r="J1550" i="2" a="1"/>
  <c r="J1550" i="2" s="1"/>
  <c r="I1550" i="2" a="1"/>
  <c r="I1550" i="2" s="1"/>
  <c r="K1546" i="2" a="1"/>
  <c r="K1546" i="2" s="1"/>
  <c r="L1546" i="2" a="1"/>
  <c r="L1546" i="2" s="1"/>
  <c r="I1546" i="2" a="1"/>
  <c r="I1546" i="2" s="1"/>
  <c r="J1546" i="2" a="1"/>
  <c r="J1546" i="2" s="1"/>
  <c r="L1542" i="2" a="1"/>
  <c r="L1542" i="2" s="1"/>
  <c r="K1542" i="2" a="1"/>
  <c r="K1542" i="2" s="1"/>
  <c r="J1542" i="2" a="1"/>
  <c r="J1542" i="2" s="1"/>
  <c r="I1542" i="2" a="1"/>
  <c r="I1542" i="2" s="1"/>
  <c r="L1538" i="2" a="1"/>
  <c r="L1538" i="2" s="1"/>
  <c r="K1538" i="2" a="1"/>
  <c r="K1538" i="2" s="1"/>
  <c r="I1538" i="2" a="1"/>
  <c r="I1538" i="2" s="1"/>
  <c r="J1538" i="2" a="1"/>
  <c r="J1538" i="2" s="1"/>
  <c r="K1534" i="2" a="1"/>
  <c r="K1534" i="2" s="1"/>
  <c r="L1534" i="2" a="1"/>
  <c r="L1534" i="2" s="1"/>
  <c r="J1534" i="2" a="1"/>
  <c r="J1534" i="2" s="1"/>
  <c r="I1534" i="2" a="1"/>
  <c r="I1534" i="2" s="1"/>
  <c r="L1530" i="2" a="1"/>
  <c r="L1530" i="2" s="1"/>
  <c r="K1530" i="2" a="1"/>
  <c r="K1530" i="2" s="1"/>
  <c r="J1530" i="2" a="1"/>
  <c r="J1530" i="2" s="1"/>
  <c r="I1530" i="2" a="1"/>
  <c r="I1530" i="2" s="1"/>
  <c r="K1526" i="2" a="1"/>
  <c r="K1526" i="2" s="1"/>
  <c r="L1526" i="2" a="1"/>
  <c r="L1526" i="2" s="1"/>
  <c r="J1526" i="2" a="1"/>
  <c r="J1526" i="2" s="1"/>
  <c r="I1526" i="2" a="1"/>
  <c r="I1526" i="2" s="1"/>
  <c r="L1522" i="2" a="1"/>
  <c r="L1522" i="2" s="1"/>
  <c r="K1522" i="2" a="1"/>
  <c r="K1522" i="2" s="1"/>
  <c r="I1522" i="2" a="1"/>
  <c r="I1522" i="2" s="1"/>
  <c r="J1522" i="2" a="1"/>
  <c r="J1522" i="2" s="1"/>
  <c r="L1518" i="2" a="1"/>
  <c r="L1518" i="2" s="1"/>
  <c r="K1518" i="2" a="1"/>
  <c r="K1518" i="2" s="1"/>
  <c r="J1518" i="2" a="1"/>
  <c r="J1518" i="2" s="1"/>
  <c r="I1518" i="2" a="1"/>
  <c r="I1518" i="2" s="1"/>
  <c r="L1514" i="2" a="1"/>
  <c r="L1514" i="2" s="1"/>
  <c r="K1514" i="2" a="1"/>
  <c r="K1514" i="2" s="1"/>
  <c r="J1514" i="2" a="1"/>
  <c r="J1514" i="2" s="1"/>
  <c r="I1514" i="2" a="1"/>
  <c r="I1514" i="2" s="1"/>
  <c r="L1510" i="2" a="1"/>
  <c r="L1510" i="2" s="1"/>
  <c r="K1510" i="2" a="1"/>
  <c r="K1510" i="2" s="1"/>
  <c r="I1510" i="2" a="1"/>
  <c r="I1510" i="2" s="1"/>
  <c r="J1510" i="2" a="1"/>
  <c r="J1510" i="2" s="1"/>
  <c r="L1506" i="2" a="1"/>
  <c r="L1506" i="2" s="1"/>
  <c r="K1506" i="2" a="1"/>
  <c r="K1506" i="2" s="1"/>
  <c r="J1506" i="2" a="1"/>
  <c r="J1506" i="2" s="1"/>
  <c r="I1506" i="2" a="1"/>
  <c r="I1506" i="2" s="1"/>
  <c r="L1502" i="2" a="1"/>
  <c r="L1502" i="2" s="1"/>
  <c r="K1502" i="2" a="1"/>
  <c r="K1502" i="2" s="1"/>
  <c r="J1502" i="2" a="1"/>
  <c r="J1502" i="2" s="1"/>
  <c r="I1502" i="2" a="1"/>
  <c r="I1502" i="2" s="1"/>
  <c r="L1498" i="2" a="1"/>
  <c r="L1498" i="2" s="1"/>
  <c r="K1498" i="2" a="1"/>
  <c r="K1498" i="2" s="1"/>
  <c r="J1498" i="2" a="1"/>
  <c r="J1498" i="2" s="1"/>
  <c r="I1498" i="2" a="1"/>
  <c r="I1498" i="2" s="1"/>
  <c r="K1494" i="2" a="1"/>
  <c r="K1494" i="2" s="1"/>
  <c r="L1494" i="2" a="1"/>
  <c r="L1494" i="2" s="1"/>
  <c r="J1494" i="2" a="1"/>
  <c r="J1494" i="2" s="1"/>
  <c r="I1494" i="2" a="1"/>
  <c r="I1494" i="2" s="1"/>
  <c r="L1490" i="2" a="1"/>
  <c r="L1490" i="2" s="1"/>
  <c r="K1490" i="2" a="1"/>
  <c r="K1490" i="2" s="1"/>
  <c r="J1490" i="2" a="1"/>
  <c r="J1490" i="2" s="1"/>
  <c r="I1490" i="2" a="1"/>
  <c r="I1490" i="2" s="1"/>
  <c r="L1486" i="2" a="1"/>
  <c r="L1486" i="2" s="1"/>
  <c r="K1486" i="2" a="1"/>
  <c r="K1486" i="2" s="1"/>
  <c r="J1486" i="2" a="1"/>
  <c r="J1486" i="2" s="1"/>
  <c r="I1486" i="2" a="1"/>
  <c r="I1486" i="2" s="1"/>
  <c r="L1482" i="2" a="1"/>
  <c r="L1482" i="2" s="1"/>
  <c r="K1482" i="2" a="1"/>
  <c r="K1482" i="2" s="1"/>
  <c r="J1482" i="2" a="1"/>
  <c r="J1482" i="2" s="1"/>
  <c r="I1482" i="2" a="1"/>
  <c r="I1482" i="2" s="1"/>
  <c r="K1478" i="2" a="1"/>
  <c r="K1478" i="2" s="1"/>
  <c r="L1478" i="2" a="1"/>
  <c r="L1478" i="2" s="1"/>
  <c r="J1478" i="2" a="1"/>
  <c r="J1478" i="2" s="1"/>
  <c r="I1478" i="2" a="1"/>
  <c r="I1478" i="2" s="1"/>
  <c r="L1474" i="2" a="1"/>
  <c r="L1474" i="2" s="1"/>
  <c r="K1474" i="2" a="1"/>
  <c r="K1474" i="2" s="1"/>
  <c r="J1474" i="2" a="1"/>
  <c r="J1474" i="2" s="1"/>
  <c r="I1474" i="2" a="1"/>
  <c r="I1474" i="2" s="1"/>
  <c r="K1470" i="2" a="1"/>
  <c r="K1470" i="2" s="1"/>
  <c r="L1470" i="2" a="1"/>
  <c r="L1470" i="2" s="1"/>
  <c r="J1470" i="2" a="1"/>
  <c r="J1470" i="2" s="1"/>
  <c r="I1470" i="2" a="1"/>
  <c r="I1470" i="2" s="1"/>
  <c r="L1466" i="2" a="1"/>
  <c r="L1466" i="2" s="1"/>
  <c r="K1466" i="2" a="1"/>
  <c r="K1466" i="2" s="1"/>
  <c r="J1466" i="2" a="1"/>
  <c r="J1466" i="2" s="1"/>
  <c r="I1466" i="2" a="1"/>
  <c r="I1466" i="2" s="1"/>
  <c r="L1462" i="2" a="1"/>
  <c r="L1462" i="2" s="1"/>
  <c r="K1462" i="2" a="1"/>
  <c r="K1462" i="2" s="1"/>
  <c r="J1462" i="2" a="1"/>
  <c r="J1462" i="2" s="1"/>
  <c r="I1462" i="2" a="1"/>
  <c r="I1462" i="2" s="1"/>
  <c r="L1458" i="2" a="1"/>
  <c r="L1458" i="2" s="1"/>
  <c r="K1458" i="2" a="1"/>
  <c r="K1458" i="2" s="1"/>
  <c r="J1458" i="2" a="1"/>
  <c r="J1458" i="2" s="1"/>
  <c r="I1458" i="2" a="1"/>
  <c r="I1458" i="2" s="1"/>
  <c r="L1454" i="2" a="1"/>
  <c r="L1454" i="2" s="1"/>
  <c r="K1454" i="2" a="1"/>
  <c r="K1454" i="2" s="1"/>
  <c r="J1454" i="2" a="1"/>
  <c r="J1454" i="2" s="1"/>
  <c r="I1454" i="2" a="1"/>
  <c r="I1454" i="2" s="1"/>
  <c r="K1450" i="2" a="1"/>
  <c r="K1450" i="2" s="1"/>
  <c r="L1450" i="2" a="1"/>
  <c r="L1450" i="2" s="1"/>
  <c r="J1450" i="2" a="1"/>
  <c r="J1450" i="2" s="1"/>
  <c r="I1450" i="2" a="1"/>
  <c r="I1450" i="2" s="1"/>
  <c r="L1446" i="2" a="1"/>
  <c r="L1446" i="2" s="1"/>
  <c r="K1446" i="2" a="1"/>
  <c r="K1446" i="2" s="1"/>
  <c r="J1446" i="2" a="1"/>
  <c r="J1446" i="2" s="1"/>
  <c r="I1446" i="2" a="1"/>
  <c r="I1446" i="2" s="1"/>
  <c r="L1442" i="2" a="1"/>
  <c r="L1442" i="2" s="1"/>
  <c r="K1442" i="2" a="1"/>
  <c r="K1442" i="2" s="1"/>
  <c r="J1442" i="2" a="1"/>
  <c r="J1442" i="2" s="1"/>
  <c r="I1442" i="2" a="1"/>
  <c r="I1442" i="2" s="1"/>
  <c r="K1438" i="2" a="1"/>
  <c r="K1438" i="2" s="1"/>
  <c r="L1438" i="2" a="1"/>
  <c r="L1438" i="2" s="1"/>
  <c r="J1438" i="2" a="1"/>
  <c r="J1438" i="2" s="1"/>
  <c r="I1438" i="2" a="1"/>
  <c r="I1438" i="2" s="1"/>
  <c r="L1434" i="2" a="1"/>
  <c r="L1434" i="2" s="1"/>
  <c r="K1434" i="2" a="1"/>
  <c r="K1434" i="2" s="1"/>
  <c r="J1434" i="2" a="1"/>
  <c r="J1434" i="2" s="1"/>
  <c r="I1434" i="2" a="1"/>
  <c r="I1434" i="2" s="1"/>
  <c r="K1430" i="2" a="1"/>
  <c r="K1430" i="2" s="1"/>
  <c r="L1430" i="2" a="1"/>
  <c r="L1430" i="2" s="1"/>
  <c r="J1430" i="2" a="1"/>
  <c r="J1430" i="2" s="1"/>
  <c r="I1430" i="2" a="1"/>
  <c r="I1430" i="2" s="1"/>
  <c r="L1426" i="2" a="1"/>
  <c r="L1426" i="2" s="1"/>
  <c r="K1426" i="2" a="1"/>
  <c r="K1426" i="2" s="1"/>
  <c r="J1426" i="2" a="1"/>
  <c r="J1426" i="2" s="1"/>
  <c r="I1426" i="2" a="1"/>
  <c r="I1426" i="2" s="1"/>
  <c r="L1422" i="2" a="1"/>
  <c r="L1422" i="2" s="1"/>
  <c r="K1422" i="2" a="1"/>
  <c r="K1422" i="2" s="1"/>
  <c r="J1422" i="2" a="1"/>
  <c r="J1422" i="2" s="1"/>
  <c r="I1422" i="2" a="1"/>
  <c r="I1422" i="2" s="1"/>
  <c r="K1418" i="2" a="1"/>
  <c r="K1418" i="2" s="1"/>
  <c r="L1418" i="2" a="1"/>
  <c r="L1418" i="2" s="1"/>
  <c r="J1418" i="2" a="1"/>
  <c r="J1418" i="2" s="1"/>
  <c r="I1418" i="2" a="1"/>
  <c r="I1418" i="2" s="1"/>
  <c r="L1414" i="2" a="1"/>
  <c r="L1414" i="2" s="1"/>
  <c r="K1414" i="2" a="1"/>
  <c r="K1414" i="2" s="1"/>
  <c r="I1414" i="2" a="1"/>
  <c r="I1414" i="2" s="1"/>
  <c r="J1414" i="2" a="1"/>
  <c r="J1414" i="2" s="1"/>
  <c r="K1410" i="2" a="1"/>
  <c r="K1410" i="2" s="1"/>
  <c r="L1410" i="2" a="1"/>
  <c r="L1410" i="2" s="1"/>
  <c r="J1410" i="2" a="1"/>
  <c r="J1410" i="2" s="1"/>
  <c r="I1410" i="2" a="1"/>
  <c r="I1410" i="2" s="1"/>
  <c r="L1406" i="2" a="1"/>
  <c r="L1406" i="2" s="1"/>
  <c r="K1406" i="2" a="1"/>
  <c r="K1406" i="2" s="1"/>
  <c r="J1406" i="2" a="1"/>
  <c r="J1406" i="2" s="1"/>
  <c r="I1406" i="2" a="1"/>
  <c r="I1406" i="2" s="1"/>
  <c r="K1402" i="2" a="1"/>
  <c r="K1402" i="2" s="1"/>
  <c r="L1402" i="2" a="1"/>
  <c r="L1402" i="2" s="1"/>
  <c r="I1402" i="2" a="1"/>
  <c r="I1402" i="2" s="1"/>
  <c r="J1402" i="2" a="1"/>
  <c r="J1402" i="2" s="1"/>
  <c r="L1398" i="2" a="1"/>
  <c r="L1398" i="2" s="1"/>
  <c r="K1398" i="2" a="1"/>
  <c r="K1398" i="2" s="1"/>
  <c r="J1398" i="2" a="1"/>
  <c r="J1398" i="2" s="1"/>
  <c r="I1398" i="2" a="1"/>
  <c r="I1398" i="2" s="1"/>
  <c r="L1394" i="2" a="1"/>
  <c r="L1394" i="2" s="1"/>
  <c r="K1394" i="2" a="1"/>
  <c r="K1394" i="2" s="1"/>
  <c r="I1394" i="2" a="1"/>
  <c r="I1394" i="2" s="1"/>
  <c r="J1394" i="2" a="1"/>
  <c r="J1394" i="2" s="1"/>
  <c r="K1390" i="2" a="1"/>
  <c r="K1390" i="2" s="1"/>
  <c r="L1390" i="2" a="1"/>
  <c r="L1390" i="2" s="1"/>
  <c r="J1390" i="2" a="1"/>
  <c r="J1390" i="2" s="1"/>
  <c r="I1390" i="2" a="1"/>
  <c r="I1390" i="2" s="1"/>
  <c r="L1386" i="2" a="1"/>
  <c r="L1386" i="2" s="1"/>
  <c r="K1386" i="2" a="1"/>
  <c r="K1386" i="2" s="1"/>
  <c r="I1386" i="2" a="1"/>
  <c r="I1386" i="2" s="1"/>
  <c r="J1386" i="2" a="1"/>
  <c r="J1386" i="2" s="1"/>
  <c r="K1382" i="2" a="1"/>
  <c r="K1382" i="2" s="1"/>
  <c r="L1382" i="2" a="1"/>
  <c r="L1382" i="2" s="1"/>
  <c r="I1382" i="2" a="1"/>
  <c r="I1382" i="2" s="1"/>
  <c r="J1382" i="2" a="1"/>
  <c r="J1382" i="2" s="1"/>
  <c r="K1378" i="2" a="1"/>
  <c r="K1378" i="2" s="1"/>
  <c r="L1378" i="2" a="1"/>
  <c r="L1378" i="2" s="1"/>
  <c r="I1378" i="2" a="1"/>
  <c r="I1378" i="2" s="1"/>
  <c r="J1378" i="2" a="1"/>
  <c r="J1378" i="2" s="1"/>
  <c r="L1374" i="2" a="1"/>
  <c r="L1374" i="2" s="1"/>
  <c r="K1374" i="2" a="1"/>
  <c r="K1374" i="2" s="1"/>
  <c r="I1374" i="2" a="1"/>
  <c r="I1374" i="2" s="1"/>
  <c r="J1374" i="2" a="1"/>
  <c r="J1374" i="2" s="1"/>
  <c r="L1370" i="2" a="1"/>
  <c r="L1370" i="2" s="1"/>
  <c r="K1370" i="2" a="1"/>
  <c r="K1370" i="2" s="1"/>
  <c r="J1370" i="2" a="1"/>
  <c r="J1370" i="2" s="1"/>
  <c r="I1370" i="2" a="1"/>
  <c r="I1370" i="2" s="1"/>
  <c r="L1366" i="2" a="1"/>
  <c r="L1366" i="2" s="1"/>
  <c r="K1366" i="2" a="1"/>
  <c r="K1366" i="2" s="1"/>
  <c r="I1366" i="2" a="1"/>
  <c r="I1366" i="2" s="1"/>
  <c r="J1366" i="2" a="1"/>
  <c r="J1366" i="2" s="1"/>
  <c r="K1362" i="2" a="1"/>
  <c r="K1362" i="2" s="1"/>
  <c r="L1362" i="2" a="1"/>
  <c r="L1362" i="2" s="1"/>
  <c r="J1362" i="2" a="1"/>
  <c r="J1362" i="2" s="1"/>
  <c r="I1362" i="2" a="1"/>
  <c r="I1362" i="2" s="1"/>
  <c r="L1358" i="2" a="1"/>
  <c r="L1358" i="2" s="1"/>
  <c r="K1358" i="2" a="1"/>
  <c r="K1358" i="2" s="1"/>
  <c r="I1358" i="2" a="1"/>
  <c r="I1358" i="2" s="1"/>
  <c r="J1358" i="2" a="1"/>
  <c r="J1358" i="2" s="1"/>
  <c r="K1354" i="2" a="1"/>
  <c r="K1354" i="2" s="1"/>
  <c r="L1354" i="2" a="1"/>
  <c r="L1354" i="2" s="1"/>
  <c r="J1354" i="2" a="1"/>
  <c r="J1354" i="2" s="1"/>
  <c r="I1354" i="2" a="1"/>
  <c r="I1354" i="2" s="1"/>
  <c r="L1350" i="2" a="1"/>
  <c r="L1350" i="2" s="1"/>
  <c r="K1350" i="2" a="1"/>
  <c r="K1350" i="2" s="1"/>
  <c r="J1350" i="2" a="1"/>
  <c r="J1350" i="2" s="1"/>
  <c r="I1350" i="2" a="1"/>
  <c r="I1350" i="2" s="1"/>
  <c r="K1346" i="2" a="1"/>
  <c r="K1346" i="2" s="1"/>
  <c r="L1346" i="2" a="1"/>
  <c r="L1346" i="2" s="1"/>
  <c r="J1346" i="2" a="1"/>
  <c r="J1346" i="2" s="1"/>
  <c r="I1346" i="2" a="1"/>
  <c r="I1346" i="2" s="1"/>
  <c r="L1342" i="2" a="1"/>
  <c r="L1342" i="2" s="1"/>
  <c r="K1342" i="2" a="1"/>
  <c r="K1342" i="2" s="1"/>
  <c r="J1342" i="2" a="1"/>
  <c r="J1342" i="2" s="1"/>
  <c r="I1342" i="2" a="1"/>
  <c r="I1342" i="2" s="1"/>
  <c r="K1338" i="2" a="1"/>
  <c r="K1338" i="2" s="1"/>
  <c r="L1338" i="2" a="1"/>
  <c r="L1338" i="2" s="1"/>
  <c r="J1338" i="2" a="1"/>
  <c r="J1338" i="2" s="1"/>
  <c r="I1338" i="2" a="1"/>
  <c r="I1338" i="2" s="1"/>
  <c r="L1334" i="2" a="1"/>
  <c r="L1334" i="2" s="1"/>
  <c r="K1334" i="2" a="1"/>
  <c r="K1334" i="2" s="1"/>
  <c r="J1334" i="2" a="1"/>
  <c r="J1334" i="2" s="1"/>
  <c r="I1334" i="2" a="1"/>
  <c r="I1334" i="2" s="1"/>
  <c r="L1330" i="2" a="1"/>
  <c r="L1330" i="2" s="1"/>
  <c r="K1330" i="2" a="1"/>
  <c r="K1330" i="2" s="1"/>
  <c r="J1330" i="2" a="1"/>
  <c r="J1330" i="2" s="1"/>
  <c r="I1330" i="2" a="1"/>
  <c r="I1330" i="2" s="1"/>
  <c r="K1326" i="2" a="1"/>
  <c r="K1326" i="2" s="1"/>
  <c r="L1326" i="2" a="1"/>
  <c r="L1326" i="2" s="1"/>
  <c r="I1326" i="2" a="1"/>
  <c r="I1326" i="2" s="1"/>
  <c r="J1326" i="2" a="1"/>
  <c r="J1326" i="2" s="1"/>
  <c r="L1322" i="2" a="1"/>
  <c r="L1322" i="2" s="1"/>
  <c r="K1322" i="2" a="1"/>
  <c r="K1322" i="2" s="1"/>
  <c r="I1322" i="2" a="1"/>
  <c r="I1322" i="2" s="1"/>
  <c r="J1322" i="2" a="1"/>
  <c r="J1322" i="2" s="1"/>
  <c r="K1318" i="2" a="1"/>
  <c r="K1318" i="2" s="1"/>
  <c r="L1318" i="2" a="1"/>
  <c r="L1318" i="2" s="1"/>
  <c r="I1318" i="2" a="1"/>
  <c r="I1318" i="2" s="1"/>
  <c r="J1318" i="2" a="1"/>
  <c r="J1318" i="2" s="1"/>
  <c r="L1314" i="2" a="1"/>
  <c r="L1314" i="2" s="1"/>
  <c r="K1314" i="2" a="1"/>
  <c r="K1314" i="2" s="1"/>
  <c r="I1314" i="2" a="1"/>
  <c r="I1314" i="2" s="1"/>
  <c r="J1314" i="2" a="1"/>
  <c r="J1314" i="2" s="1"/>
  <c r="K1310" i="2" a="1"/>
  <c r="K1310" i="2" s="1"/>
  <c r="L1310" i="2" a="1"/>
  <c r="L1310" i="2" s="1"/>
  <c r="I1310" i="2" a="1"/>
  <c r="I1310" i="2" s="1"/>
  <c r="J1310" i="2" a="1"/>
  <c r="J1310" i="2" s="1"/>
  <c r="L1306" i="2" a="1"/>
  <c r="L1306" i="2" s="1"/>
  <c r="K1306" i="2" a="1"/>
  <c r="K1306" i="2" s="1"/>
  <c r="I1306" i="2" a="1"/>
  <c r="I1306" i="2" s="1"/>
  <c r="J1306" i="2" a="1"/>
  <c r="J1306" i="2" s="1"/>
  <c r="K1302" i="2" a="1"/>
  <c r="K1302" i="2" s="1"/>
  <c r="L1302" i="2" a="1"/>
  <c r="L1302" i="2" s="1"/>
  <c r="J1302" i="2" a="1"/>
  <c r="J1302" i="2" s="1"/>
  <c r="I1302" i="2" a="1"/>
  <c r="I1302" i="2" s="1"/>
  <c r="L1298" i="2" a="1"/>
  <c r="L1298" i="2" s="1"/>
  <c r="K1298" i="2" a="1"/>
  <c r="K1298" i="2" s="1"/>
  <c r="I1298" i="2" a="1"/>
  <c r="I1298" i="2" s="1"/>
  <c r="J1298" i="2" a="1"/>
  <c r="J1298" i="2" s="1"/>
  <c r="K1294" i="2" a="1"/>
  <c r="K1294" i="2" s="1"/>
  <c r="L1294" i="2" a="1"/>
  <c r="L1294" i="2" s="1"/>
  <c r="J1294" i="2" a="1"/>
  <c r="J1294" i="2" s="1"/>
  <c r="I1294" i="2" a="1"/>
  <c r="I1294" i="2" s="1"/>
  <c r="L1290" i="2" a="1"/>
  <c r="L1290" i="2" s="1"/>
  <c r="K1290" i="2" a="1"/>
  <c r="K1290" i="2" s="1"/>
  <c r="J1290" i="2" a="1"/>
  <c r="J1290" i="2" s="1"/>
  <c r="I1290" i="2" a="1"/>
  <c r="I1290" i="2" s="1"/>
  <c r="K1286" i="2" a="1"/>
  <c r="K1286" i="2" s="1"/>
  <c r="L1286" i="2" a="1"/>
  <c r="L1286" i="2" s="1"/>
  <c r="J1286" i="2" a="1"/>
  <c r="J1286" i="2" s="1"/>
  <c r="I1286" i="2" a="1"/>
  <c r="I1286" i="2" s="1"/>
  <c r="L1282" i="2" a="1"/>
  <c r="L1282" i="2" s="1"/>
  <c r="K1282" i="2" a="1"/>
  <c r="K1282" i="2" s="1"/>
  <c r="J1282" i="2" a="1"/>
  <c r="J1282" i="2" s="1"/>
  <c r="I1282" i="2" a="1"/>
  <c r="I1282" i="2" s="1"/>
  <c r="K1278" i="2" a="1"/>
  <c r="K1278" i="2" s="1"/>
  <c r="L1278" i="2" a="1"/>
  <c r="L1278" i="2" s="1"/>
  <c r="J1278" i="2" a="1"/>
  <c r="J1278" i="2" s="1"/>
  <c r="I1278" i="2" a="1"/>
  <c r="I1278" i="2" s="1"/>
  <c r="L1274" i="2" a="1"/>
  <c r="L1274" i="2" s="1"/>
  <c r="K1274" i="2" a="1"/>
  <c r="K1274" i="2" s="1"/>
  <c r="J1274" i="2" a="1"/>
  <c r="J1274" i="2" s="1"/>
  <c r="I1274" i="2" a="1"/>
  <c r="I1274" i="2" s="1"/>
  <c r="L1270" i="2" a="1"/>
  <c r="L1270" i="2" s="1"/>
  <c r="K1270" i="2" a="1"/>
  <c r="K1270" i="2" s="1"/>
  <c r="J1270" i="2" a="1"/>
  <c r="J1270" i="2" s="1"/>
  <c r="I1270" i="2" a="1"/>
  <c r="I1270" i="2" s="1"/>
  <c r="L1266" i="2" a="1"/>
  <c r="L1266" i="2" s="1"/>
  <c r="K1266" i="2" a="1"/>
  <c r="K1266" i="2" s="1"/>
  <c r="J1266" i="2" a="1"/>
  <c r="J1266" i="2" s="1"/>
  <c r="I1266" i="2" a="1"/>
  <c r="I1266" i="2" s="1"/>
  <c r="K1262" i="2" a="1"/>
  <c r="K1262" i="2" s="1"/>
  <c r="L1262" i="2" a="1"/>
  <c r="L1262" i="2" s="1"/>
  <c r="J1262" i="2" a="1"/>
  <c r="J1262" i="2" s="1"/>
  <c r="I1262" i="2" a="1"/>
  <c r="I1262" i="2" s="1"/>
  <c r="L1258" i="2" a="1"/>
  <c r="L1258" i="2" s="1"/>
  <c r="K1258" i="2" a="1"/>
  <c r="K1258" i="2" s="1"/>
  <c r="J1258" i="2" a="1"/>
  <c r="J1258" i="2" s="1"/>
  <c r="I1258" i="2" a="1"/>
  <c r="I1258" i="2" s="1"/>
  <c r="K1254" i="2" a="1"/>
  <c r="K1254" i="2" s="1"/>
  <c r="L1254" i="2" a="1"/>
  <c r="L1254" i="2" s="1"/>
  <c r="J1254" i="2" a="1"/>
  <c r="J1254" i="2" s="1"/>
  <c r="I1254" i="2" a="1"/>
  <c r="I1254" i="2" s="1"/>
  <c r="L1250" i="2" a="1"/>
  <c r="L1250" i="2" s="1"/>
  <c r="K1250" i="2" a="1"/>
  <c r="K1250" i="2" s="1"/>
  <c r="J1250" i="2" a="1"/>
  <c r="J1250" i="2" s="1"/>
  <c r="I1250" i="2" a="1"/>
  <c r="I1250" i="2" s="1"/>
  <c r="K1246" i="2" a="1"/>
  <c r="K1246" i="2" s="1"/>
  <c r="L1246" i="2" a="1"/>
  <c r="L1246" i="2" s="1"/>
  <c r="J1246" i="2" a="1"/>
  <c r="J1246" i="2" s="1"/>
  <c r="I1246" i="2" a="1"/>
  <c r="I1246" i="2" s="1"/>
  <c r="L1242" i="2" a="1"/>
  <c r="L1242" i="2" s="1"/>
  <c r="K1242" i="2" a="1"/>
  <c r="K1242" i="2" s="1"/>
  <c r="J1242" i="2" a="1"/>
  <c r="J1242" i="2" s="1"/>
  <c r="I1242" i="2" a="1"/>
  <c r="I1242" i="2" s="1"/>
  <c r="K1238" i="2" a="1"/>
  <c r="K1238" i="2" s="1"/>
  <c r="L1238" i="2" a="1"/>
  <c r="L1238" i="2" s="1"/>
  <c r="J1238" i="2" a="1"/>
  <c r="J1238" i="2" s="1"/>
  <c r="I1238" i="2" a="1"/>
  <c r="I1238" i="2" s="1"/>
  <c r="L1234" i="2" a="1"/>
  <c r="L1234" i="2" s="1"/>
  <c r="K1234" i="2" a="1"/>
  <c r="K1234" i="2" s="1"/>
  <c r="J1234" i="2" a="1"/>
  <c r="J1234" i="2" s="1"/>
  <c r="I1234" i="2" a="1"/>
  <c r="I1234" i="2" s="1"/>
  <c r="K1230" i="2" a="1"/>
  <c r="K1230" i="2" s="1"/>
  <c r="L1230" i="2" a="1"/>
  <c r="L1230" i="2" s="1"/>
  <c r="J1230" i="2" a="1"/>
  <c r="J1230" i="2" s="1"/>
  <c r="I1230" i="2" a="1"/>
  <c r="I1230" i="2" s="1"/>
  <c r="L1226" i="2" a="1"/>
  <c r="L1226" i="2" s="1"/>
  <c r="K1226" i="2" a="1"/>
  <c r="K1226" i="2" s="1"/>
  <c r="I1226" i="2" a="1"/>
  <c r="I1226" i="2" s="1"/>
  <c r="J1226" i="2" a="1"/>
  <c r="J1226" i="2" s="1"/>
  <c r="K1222" i="2" a="1"/>
  <c r="K1222" i="2" s="1"/>
  <c r="L1222" i="2" a="1"/>
  <c r="L1222" i="2" s="1"/>
  <c r="J1222" i="2" a="1"/>
  <c r="J1222" i="2" s="1"/>
  <c r="I1222" i="2" a="1"/>
  <c r="I1222" i="2" s="1"/>
  <c r="K1218" i="2" a="1"/>
  <c r="K1218" i="2" s="1"/>
  <c r="L1218" i="2" a="1"/>
  <c r="L1218" i="2" s="1"/>
  <c r="J1218" i="2" a="1"/>
  <c r="J1218" i="2" s="1"/>
  <c r="I1218" i="2" a="1"/>
  <c r="I1218" i="2" s="1"/>
  <c r="L1214" i="2" a="1"/>
  <c r="L1214" i="2" s="1"/>
  <c r="K1214" i="2" a="1"/>
  <c r="K1214" i="2" s="1"/>
  <c r="J1214" i="2" a="1"/>
  <c r="J1214" i="2" s="1"/>
  <c r="I1214" i="2" a="1"/>
  <c r="I1214" i="2" s="1"/>
  <c r="K1210" i="2" a="1"/>
  <c r="K1210" i="2" s="1"/>
  <c r="L1210" i="2" a="1"/>
  <c r="L1210" i="2" s="1"/>
  <c r="I1210" i="2" a="1"/>
  <c r="I1210" i="2" s="1"/>
  <c r="J1210" i="2" a="1"/>
  <c r="J1210" i="2" s="1"/>
  <c r="L1206" i="2" a="1"/>
  <c r="L1206" i="2" s="1"/>
  <c r="K1206" i="2" a="1"/>
  <c r="K1206" i="2" s="1"/>
  <c r="J1206" i="2" a="1"/>
  <c r="J1206" i="2" s="1"/>
  <c r="I1206" i="2" a="1"/>
  <c r="I1206" i="2" s="1"/>
  <c r="L1202" i="2" a="1"/>
  <c r="L1202" i="2" s="1"/>
  <c r="K1202" i="2" a="1"/>
  <c r="K1202" i="2" s="1"/>
  <c r="J1202" i="2" a="1"/>
  <c r="J1202" i="2" s="1"/>
  <c r="I1202" i="2" a="1"/>
  <c r="I1202" i="2" s="1"/>
  <c r="L1198" i="2" a="1"/>
  <c r="L1198" i="2" s="1"/>
  <c r="K1198" i="2" a="1"/>
  <c r="K1198" i="2" s="1"/>
  <c r="J1198" i="2" a="1"/>
  <c r="J1198" i="2" s="1"/>
  <c r="I1198" i="2" a="1"/>
  <c r="I1198" i="2" s="1"/>
  <c r="L1194" i="2" a="1"/>
  <c r="L1194" i="2" s="1"/>
  <c r="K1194" i="2" a="1"/>
  <c r="K1194" i="2" s="1"/>
  <c r="J1194" i="2" a="1"/>
  <c r="J1194" i="2" s="1"/>
  <c r="I1194" i="2" a="1"/>
  <c r="I1194" i="2" s="1"/>
  <c r="L1190" i="2" a="1"/>
  <c r="L1190" i="2" s="1"/>
  <c r="K1190" i="2" a="1"/>
  <c r="K1190" i="2" s="1"/>
  <c r="J1190" i="2" a="1"/>
  <c r="J1190" i="2" s="1"/>
  <c r="I1190" i="2" a="1"/>
  <c r="I1190" i="2" s="1"/>
  <c r="L1186" i="2" a="1"/>
  <c r="L1186" i="2" s="1"/>
  <c r="K1186" i="2" a="1"/>
  <c r="K1186" i="2" s="1"/>
  <c r="J1186" i="2" a="1"/>
  <c r="J1186" i="2" s="1"/>
  <c r="I1186" i="2" a="1"/>
  <c r="I1186" i="2" s="1"/>
  <c r="L1182" i="2" a="1"/>
  <c r="L1182" i="2" s="1"/>
  <c r="K1182" i="2" a="1"/>
  <c r="K1182" i="2" s="1"/>
  <c r="J1182" i="2" a="1"/>
  <c r="J1182" i="2" s="1"/>
  <c r="I1182" i="2" a="1"/>
  <c r="I1182" i="2" s="1"/>
  <c r="L1178" i="2" a="1"/>
  <c r="L1178" i="2" s="1"/>
  <c r="K1178" i="2" a="1"/>
  <c r="K1178" i="2" s="1"/>
  <c r="J1178" i="2" a="1"/>
  <c r="J1178" i="2" s="1"/>
  <c r="I1178" i="2" a="1"/>
  <c r="I1178" i="2" s="1"/>
  <c r="L1174" i="2" a="1"/>
  <c r="L1174" i="2" s="1"/>
  <c r="K1174" i="2" a="1"/>
  <c r="K1174" i="2" s="1"/>
  <c r="J1174" i="2" a="1"/>
  <c r="J1174" i="2" s="1"/>
  <c r="I1174" i="2" a="1"/>
  <c r="I1174" i="2" s="1"/>
  <c r="L1170" i="2" a="1"/>
  <c r="L1170" i="2" s="1"/>
  <c r="K1170" i="2" a="1"/>
  <c r="K1170" i="2" s="1"/>
  <c r="I1170" i="2" a="1"/>
  <c r="I1170" i="2" s="1"/>
  <c r="J1170" i="2" a="1"/>
  <c r="J1170" i="2" s="1"/>
  <c r="K1166" i="2" a="1"/>
  <c r="K1166" i="2" s="1"/>
  <c r="L1166" i="2" a="1"/>
  <c r="L1166" i="2" s="1"/>
  <c r="J1166" i="2" a="1"/>
  <c r="J1166" i="2" s="1"/>
  <c r="I1166" i="2" a="1"/>
  <c r="I1166" i="2" s="1"/>
  <c r="L1162" i="2" a="1"/>
  <c r="L1162" i="2" s="1"/>
  <c r="K1162" i="2" a="1"/>
  <c r="K1162" i="2" s="1"/>
  <c r="J1162" i="2" a="1"/>
  <c r="J1162" i="2" s="1"/>
  <c r="I1162" i="2" a="1"/>
  <c r="I1162" i="2" s="1"/>
  <c r="K1158" i="2" a="1"/>
  <c r="K1158" i="2" s="1"/>
  <c r="L1158" i="2" a="1"/>
  <c r="L1158" i="2" s="1"/>
  <c r="J1158" i="2" a="1"/>
  <c r="J1158" i="2" s="1"/>
  <c r="I1158" i="2" a="1"/>
  <c r="I1158" i="2" s="1"/>
  <c r="L1154" i="2" a="1"/>
  <c r="L1154" i="2" s="1"/>
  <c r="K1154" i="2" a="1"/>
  <c r="K1154" i="2" s="1"/>
  <c r="J1154" i="2" a="1"/>
  <c r="J1154" i="2" s="1"/>
  <c r="I1154" i="2" a="1"/>
  <c r="I1154" i="2" s="1"/>
  <c r="K1150" i="2" a="1"/>
  <c r="K1150" i="2" s="1"/>
  <c r="L1150" i="2" a="1"/>
  <c r="L1150" i="2" s="1"/>
  <c r="J1150" i="2" a="1"/>
  <c r="J1150" i="2" s="1"/>
  <c r="I1150" i="2" a="1"/>
  <c r="I1150" i="2" s="1"/>
  <c r="L1146" i="2" a="1"/>
  <c r="L1146" i="2" s="1"/>
  <c r="K1146" i="2" a="1"/>
  <c r="K1146" i="2" s="1"/>
  <c r="J1146" i="2" a="1"/>
  <c r="J1146" i="2" s="1"/>
  <c r="I1146" i="2" a="1"/>
  <c r="I1146" i="2" s="1"/>
  <c r="L1142" i="2" a="1"/>
  <c r="L1142" i="2" s="1"/>
  <c r="K1142" i="2" a="1"/>
  <c r="K1142" i="2" s="1"/>
  <c r="I1142" i="2" a="1"/>
  <c r="I1142" i="2" s="1"/>
  <c r="J1142" i="2" a="1"/>
  <c r="J1142" i="2" s="1"/>
  <c r="L1138" i="2" a="1"/>
  <c r="L1138" i="2" s="1"/>
  <c r="K1138" i="2" a="1"/>
  <c r="K1138" i="2" s="1"/>
  <c r="J1138" i="2" a="1"/>
  <c r="J1138" i="2" s="1"/>
  <c r="I1138" i="2" a="1"/>
  <c r="I1138" i="2" s="1"/>
  <c r="L1134" i="2" a="1"/>
  <c r="L1134" i="2" s="1"/>
  <c r="K1134" i="2" a="1"/>
  <c r="K1134" i="2" s="1"/>
  <c r="J1134" i="2" a="1"/>
  <c r="J1134" i="2" s="1"/>
  <c r="I1134" i="2" a="1"/>
  <c r="I1134" i="2" s="1"/>
  <c r="L1130" i="2" a="1"/>
  <c r="L1130" i="2" s="1"/>
  <c r="K1130" i="2" a="1"/>
  <c r="K1130" i="2" s="1"/>
  <c r="J1130" i="2" a="1"/>
  <c r="J1130" i="2" s="1"/>
  <c r="I1130" i="2" a="1"/>
  <c r="I1130" i="2" s="1"/>
  <c r="L1126" i="2" a="1"/>
  <c r="L1126" i="2" s="1"/>
  <c r="K1126" i="2" a="1"/>
  <c r="K1126" i="2" s="1"/>
  <c r="I1126" i="2" a="1"/>
  <c r="I1126" i="2" s="1"/>
  <c r="J1126" i="2" a="1"/>
  <c r="J1126" i="2" s="1"/>
  <c r="L1122" i="2" a="1"/>
  <c r="L1122" i="2" s="1"/>
  <c r="K1122" i="2" a="1"/>
  <c r="K1122" i="2" s="1"/>
  <c r="J1122" i="2" a="1"/>
  <c r="J1122" i="2" s="1"/>
  <c r="I1122" i="2" a="1"/>
  <c r="I1122" i="2" s="1"/>
  <c r="L1118" i="2" a="1"/>
  <c r="L1118" i="2" s="1"/>
  <c r="K1118" i="2" a="1"/>
  <c r="K1118" i="2" s="1"/>
  <c r="J1118" i="2" a="1"/>
  <c r="J1118" i="2" s="1"/>
  <c r="I1118" i="2" a="1"/>
  <c r="I1118" i="2" s="1"/>
  <c r="L1114" i="2" a="1"/>
  <c r="L1114" i="2" s="1"/>
  <c r="K1114" i="2" a="1"/>
  <c r="K1114" i="2" s="1"/>
  <c r="I1114" i="2" a="1"/>
  <c r="I1114" i="2" s="1"/>
  <c r="J1114" i="2" a="1"/>
  <c r="J1114" i="2" s="1"/>
  <c r="L1110" i="2" a="1"/>
  <c r="L1110" i="2" s="1"/>
  <c r="K1110" i="2" a="1"/>
  <c r="K1110" i="2" s="1"/>
  <c r="J1110" i="2" a="1"/>
  <c r="J1110" i="2" s="1"/>
  <c r="I1110" i="2" a="1"/>
  <c r="I1110" i="2" s="1"/>
  <c r="L1106" i="2" a="1"/>
  <c r="L1106" i="2" s="1"/>
  <c r="K1106" i="2" a="1"/>
  <c r="K1106" i="2" s="1"/>
  <c r="J1106" i="2" a="1"/>
  <c r="J1106" i="2" s="1"/>
  <c r="I1106" i="2" a="1"/>
  <c r="I1106" i="2" s="1"/>
  <c r="L1102" i="2" a="1"/>
  <c r="L1102" i="2" s="1"/>
  <c r="K1102" i="2" a="1"/>
  <c r="K1102" i="2" s="1"/>
  <c r="I1102" i="2" a="1"/>
  <c r="I1102" i="2" s="1"/>
  <c r="J1102" i="2" a="1"/>
  <c r="J1102" i="2" s="1"/>
  <c r="L1098" i="2" a="1"/>
  <c r="L1098" i="2" s="1"/>
  <c r="K1098" i="2" a="1"/>
  <c r="K1098" i="2" s="1"/>
  <c r="J1098" i="2" a="1"/>
  <c r="J1098" i="2" s="1"/>
  <c r="I1098" i="2" a="1"/>
  <c r="I1098" i="2" s="1"/>
  <c r="L1094" i="2" a="1"/>
  <c r="L1094" i="2" s="1"/>
  <c r="K1094" i="2" a="1"/>
  <c r="K1094" i="2" s="1"/>
  <c r="J1094" i="2" a="1"/>
  <c r="J1094" i="2" s="1"/>
  <c r="I1094" i="2" a="1"/>
  <c r="I1094" i="2" s="1"/>
  <c r="L1090" i="2" a="1"/>
  <c r="L1090" i="2" s="1"/>
  <c r="K1090" i="2" a="1"/>
  <c r="K1090" i="2" s="1"/>
  <c r="J1090" i="2" a="1"/>
  <c r="J1090" i="2" s="1"/>
  <c r="I1090" i="2" a="1"/>
  <c r="I1090" i="2" s="1"/>
  <c r="L1086" i="2" a="1"/>
  <c r="L1086" i="2" s="1"/>
  <c r="K1086" i="2" a="1"/>
  <c r="K1086" i="2" s="1"/>
  <c r="J1086" i="2" a="1"/>
  <c r="J1086" i="2" s="1"/>
  <c r="I1086" i="2" a="1"/>
  <c r="I1086" i="2" s="1"/>
  <c r="L1082" i="2" a="1"/>
  <c r="L1082" i="2" s="1"/>
  <c r="K1082" i="2" a="1"/>
  <c r="K1082" i="2" s="1"/>
  <c r="J1082" i="2" a="1"/>
  <c r="J1082" i="2" s="1"/>
  <c r="I1082" i="2" a="1"/>
  <c r="I1082" i="2" s="1"/>
  <c r="L1078" i="2" a="1"/>
  <c r="L1078" i="2" s="1"/>
  <c r="K1078" i="2" a="1"/>
  <c r="K1078" i="2" s="1"/>
  <c r="J1078" i="2" a="1"/>
  <c r="J1078" i="2" s="1"/>
  <c r="I1078" i="2" a="1"/>
  <c r="I1078" i="2" s="1"/>
  <c r="L1074" i="2" a="1"/>
  <c r="L1074" i="2" s="1"/>
  <c r="K1074" i="2" a="1"/>
  <c r="K1074" i="2" s="1"/>
  <c r="J1074" i="2" a="1"/>
  <c r="J1074" i="2" s="1"/>
  <c r="I1074" i="2" a="1"/>
  <c r="I1074" i="2" s="1"/>
  <c r="L1070" i="2" a="1"/>
  <c r="L1070" i="2" s="1"/>
  <c r="K1070" i="2" a="1"/>
  <c r="K1070" i="2" s="1"/>
  <c r="J1070" i="2" a="1"/>
  <c r="J1070" i="2" s="1"/>
  <c r="I1070" i="2" a="1"/>
  <c r="I1070" i="2" s="1"/>
  <c r="L1066" i="2" a="1"/>
  <c r="L1066" i="2" s="1"/>
  <c r="K1066" i="2" a="1"/>
  <c r="K1066" i="2" s="1"/>
  <c r="J1066" i="2" a="1"/>
  <c r="J1066" i="2" s="1"/>
  <c r="I1066" i="2" a="1"/>
  <c r="I1066" i="2" s="1"/>
  <c r="L1062" i="2" a="1"/>
  <c r="L1062" i="2" s="1"/>
  <c r="K1062" i="2" a="1"/>
  <c r="K1062" i="2" s="1"/>
  <c r="I1062" i="2" a="1"/>
  <c r="I1062" i="2" s="1"/>
  <c r="J1062" i="2" a="1"/>
  <c r="J1062" i="2" s="1"/>
  <c r="L1058" i="2" a="1"/>
  <c r="L1058" i="2" s="1"/>
  <c r="K1058" i="2" a="1"/>
  <c r="K1058" i="2" s="1"/>
  <c r="I1058" i="2" a="1"/>
  <c r="I1058" i="2" s="1"/>
  <c r="J1058" i="2" a="1"/>
  <c r="J1058" i="2" s="1"/>
  <c r="L1054" i="2" a="1"/>
  <c r="L1054" i="2" s="1"/>
  <c r="K1054" i="2" a="1"/>
  <c r="K1054" i="2" s="1"/>
  <c r="I1054" i="2" a="1"/>
  <c r="I1054" i="2" s="1"/>
  <c r="J1054" i="2" a="1"/>
  <c r="J1054" i="2" s="1"/>
  <c r="L1050" i="2" a="1"/>
  <c r="L1050" i="2" s="1"/>
  <c r="K1050" i="2" a="1"/>
  <c r="K1050" i="2" s="1"/>
  <c r="J1050" i="2" a="1"/>
  <c r="J1050" i="2" s="1"/>
  <c r="I1050" i="2" a="1"/>
  <c r="I1050" i="2" s="1"/>
  <c r="K1046" i="2" a="1"/>
  <c r="K1046" i="2" s="1"/>
  <c r="L1046" i="2" a="1"/>
  <c r="L1046" i="2" s="1"/>
  <c r="I1046" i="2" a="1"/>
  <c r="I1046" i="2" s="1"/>
  <c r="J1046" i="2" a="1"/>
  <c r="J1046" i="2" s="1"/>
  <c r="L1042" i="2" a="1"/>
  <c r="L1042" i="2" s="1"/>
  <c r="K1042" i="2" a="1"/>
  <c r="K1042" i="2" s="1"/>
  <c r="I1042" i="2" a="1"/>
  <c r="I1042" i="2" s="1"/>
  <c r="J1042" i="2" a="1"/>
  <c r="J1042" i="2" s="1"/>
  <c r="K1038" i="2" a="1"/>
  <c r="K1038" i="2" s="1"/>
  <c r="L1038" i="2" a="1"/>
  <c r="L1038" i="2" s="1"/>
  <c r="J1038" i="2" a="1"/>
  <c r="J1038" i="2" s="1"/>
  <c r="I1038" i="2" a="1"/>
  <c r="I1038" i="2" s="1"/>
  <c r="L1034" i="2" a="1"/>
  <c r="L1034" i="2" s="1"/>
  <c r="K1034" i="2" a="1"/>
  <c r="K1034" i="2" s="1"/>
  <c r="J1034" i="2" a="1"/>
  <c r="J1034" i="2" s="1"/>
  <c r="I1034" i="2" a="1"/>
  <c r="I1034" i="2" s="1"/>
  <c r="K1030" i="2" a="1"/>
  <c r="K1030" i="2" s="1"/>
  <c r="L1030" i="2" a="1"/>
  <c r="L1030" i="2" s="1"/>
  <c r="I1030" i="2" a="1"/>
  <c r="I1030" i="2" s="1"/>
  <c r="J1030" i="2" a="1"/>
  <c r="J1030" i="2" s="1"/>
  <c r="L1026" i="2" a="1"/>
  <c r="L1026" i="2" s="1"/>
  <c r="K1026" i="2" a="1"/>
  <c r="K1026" i="2" s="1"/>
  <c r="J1026" i="2" a="1"/>
  <c r="J1026" i="2" s="1"/>
  <c r="I1026" i="2" a="1"/>
  <c r="I1026" i="2" s="1"/>
  <c r="K1022" i="2" a="1"/>
  <c r="K1022" i="2" s="1"/>
  <c r="L1022" i="2" a="1"/>
  <c r="L1022" i="2" s="1"/>
  <c r="J1022" i="2" a="1"/>
  <c r="J1022" i="2" s="1"/>
  <c r="I1022" i="2" a="1"/>
  <c r="I1022" i="2" s="1"/>
  <c r="L1018" i="2" a="1"/>
  <c r="L1018" i="2" s="1"/>
  <c r="K1018" i="2" a="1"/>
  <c r="K1018" i="2" s="1"/>
  <c r="J1018" i="2" a="1"/>
  <c r="J1018" i="2" s="1"/>
  <c r="I1018" i="2" a="1"/>
  <c r="I1018" i="2" s="1"/>
  <c r="K1014" i="2" a="1"/>
  <c r="K1014" i="2" s="1"/>
  <c r="L1014" i="2" a="1"/>
  <c r="L1014" i="2" s="1"/>
  <c r="I1014" i="2" a="1"/>
  <c r="I1014" i="2" s="1"/>
  <c r="J1014" i="2" a="1"/>
  <c r="J1014" i="2" s="1"/>
  <c r="L1010" i="2" a="1"/>
  <c r="L1010" i="2" s="1"/>
  <c r="K1010" i="2" a="1"/>
  <c r="K1010" i="2" s="1"/>
  <c r="J1010" i="2" a="1"/>
  <c r="J1010" i="2" s="1"/>
  <c r="I1010" i="2" a="1"/>
  <c r="I1010" i="2" s="1"/>
  <c r="K1006" i="2" a="1"/>
  <c r="K1006" i="2" s="1"/>
  <c r="L1006" i="2" a="1"/>
  <c r="L1006" i="2" s="1"/>
  <c r="J1006" i="2" a="1"/>
  <c r="J1006" i="2" s="1"/>
  <c r="I1006" i="2" a="1"/>
  <c r="I1006" i="2" s="1"/>
  <c r="L1002" i="2" a="1"/>
  <c r="L1002" i="2" s="1"/>
  <c r="K1002" i="2" a="1"/>
  <c r="K1002" i="2" s="1"/>
  <c r="I1002" i="2" a="1"/>
  <c r="I1002" i="2" s="1"/>
  <c r="J1002" i="2" a="1"/>
  <c r="J1002" i="2" s="1"/>
  <c r="K998" i="2" a="1"/>
  <c r="K998" i="2" s="1"/>
  <c r="L998" i="2" a="1"/>
  <c r="L998" i="2" s="1"/>
  <c r="J998" i="2" a="1"/>
  <c r="J998" i="2" s="1"/>
  <c r="I998" i="2" a="1"/>
  <c r="I998" i="2" s="1"/>
  <c r="L994" i="2" a="1"/>
  <c r="L994" i="2" s="1"/>
  <c r="K994" i="2" a="1"/>
  <c r="K994" i="2" s="1"/>
  <c r="J994" i="2" a="1"/>
  <c r="J994" i="2" s="1"/>
  <c r="I994" i="2" a="1"/>
  <c r="I994" i="2" s="1"/>
  <c r="K990" i="2" a="1"/>
  <c r="K990" i="2" s="1"/>
  <c r="L990" i="2" a="1"/>
  <c r="L990" i="2" s="1"/>
  <c r="J990" i="2" a="1"/>
  <c r="J990" i="2" s="1"/>
  <c r="I990" i="2" a="1"/>
  <c r="I990" i="2" s="1"/>
  <c r="L986" i="2" a="1"/>
  <c r="L986" i="2" s="1"/>
  <c r="K986" i="2" a="1"/>
  <c r="K986" i="2" s="1"/>
  <c r="J986" i="2" a="1"/>
  <c r="J986" i="2" s="1"/>
  <c r="I986" i="2" a="1"/>
  <c r="I986" i="2" s="1"/>
  <c r="K982" i="2" a="1"/>
  <c r="K982" i="2" s="1"/>
  <c r="L982" i="2" a="1"/>
  <c r="L982" i="2" s="1"/>
  <c r="J982" i="2" a="1"/>
  <c r="J982" i="2" s="1"/>
  <c r="I982" i="2" a="1"/>
  <c r="I982" i="2" s="1"/>
  <c r="L978" i="2" a="1"/>
  <c r="L978" i="2" s="1"/>
  <c r="K978" i="2" a="1"/>
  <c r="K978" i="2" s="1"/>
  <c r="J978" i="2" a="1"/>
  <c r="J978" i="2" s="1"/>
  <c r="I978" i="2" a="1"/>
  <c r="I978" i="2" s="1"/>
  <c r="K974" i="2" a="1"/>
  <c r="K974" i="2" s="1"/>
  <c r="L974" i="2" a="1"/>
  <c r="L974" i="2" s="1"/>
  <c r="J974" i="2" a="1"/>
  <c r="J974" i="2" s="1"/>
  <c r="I974" i="2" a="1"/>
  <c r="I974" i="2" s="1"/>
  <c r="L970" i="2" a="1"/>
  <c r="L970" i="2" s="1"/>
  <c r="K970" i="2" a="1"/>
  <c r="K970" i="2" s="1"/>
  <c r="J970" i="2" a="1"/>
  <c r="J970" i="2" s="1"/>
  <c r="I970" i="2" a="1"/>
  <c r="I970" i="2" s="1"/>
  <c r="K966" i="2" a="1"/>
  <c r="K966" i="2" s="1"/>
  <c r="L966" i="2" a="1"/>
  <c r="L966" i="2" s="1"/>
  <c r="J966" i="2" a="1"/>
  <c r="J966" i="2" s="1"/>
  <c r="I966" i="2" a="1"/>
  <c r="I966" i="2" s="1"/>
  <c r="L962" i="2" a="1"/>
  <c r="L962" i="2" s="1"/>
  <c r="K962" i="2" a="1"/>
  <c r="K962" i="2" s="1"/>
  <c r="J962" i="2" a="1"/>
  <c r="J962" i="2" s="1"/>
  <c r="I962" i="2" a="1"/>
  <c r="I962" i="2" s="1"/>
  <c r="L958" i="2" a="1"/>
  <c r="L958" i="2" s="1"/>
  <c r="K958" i="2" a="1"/>
  <c r="K958" i="2" s="1"/>
  <c r="J958" i="2" a="1"/>
  <c r="J958" i="2" s="1"/>
  <c r="I958" i="2" a="1"/>
  <c r="I958" i="2" s="1"/>
  <c r="K954" i="2" a="1"/>
  <c r="K954" i="2" s="1"/>
  <c r="L954" i="2" a="1"/>
  <c r="L954" i="2" s="1"/>
  <c r="J954" i="2" a="1"/>
  <c r="J954" i="2" s="1"/>
  <c r="I954" i="2" a="1"/>
  <c r="I954" i="2" s="1"/>
  <c r="L950" i="2" a="1"/>
  <c r="L950" i="2" s="1"/>
  <c r="K950" i="2" a="1"/>
  <c r="K950" i="2" s="1"/>
  <c r="J950" i="2" a="1"/>
  <c r="J950" i="2" s="1"/>
  <c r="I950" i="2" a="1"/>
  <c r="I950" i="2" s="1"/>
  <c r="K946" i="2" a="1"/>
  <c r="K946" i="2" s="1"/>
  <c r="L946" i="2" a="1"/>
  <c r="L946" i="2" s="1"/>
  <c r="J946" i="2" a="1"/>
  <c r="J946" i="2" s="1"/>
  <c r="I946" i="2" a="1"/>
  <c r="I946" i="2" s="1"/>
  <c r="L942" i="2" a="1"/>
  <c r="L942" i="2" s="1"/>
  <c r="K942" i="2" a="1"/>
  <c r="K942" i="2" s="1"/>
  <c r="J942" i="2" a="1"/>
  <c r="J942" i="2" s="1"/>
  <c r="I942" i="2" a="1"/>
  <c r="I942" i="2" s="1"/>
  <c r="K938" i="2" a="1"/>
  <c r="K938" i="2" s="1"/>
  <c r="L938" i="2" a="1"/>
  <c r="L938" i="2" s="1"/>
  <c r="J938" i="2" a="1"/>
  <c r="J938" i="2" s="1"/>
  <c r="I938" i="2" a="1"/>
  <c r="I938" i="2" s="1"/>
  <c r="L934" i="2" a="1"/>
  <c r="L934" i="2" s="1"/>
  <c r="K934" i="2" a="1"/>
  <c r="K934" i="2" s="1"/>
  <c r="J934" i="2" a="1"/>
  <c r="J934" i="2" s="1"/>
  <c r="I934" i="2" a="1"/>
  <c r="I934" i="2" s="1"/>
  <c r="K930" i="2" a="1"/>
  <c r="K930" i="2" s="1"/>
  <c r="L930" i="2" a="1"/>
  <c r="L930" i="2" s="1"/>
  <c r="J930" i="2" a="1"/>
  <c r="J930" i="2" s="1"/>
  <c r="I930" i="2" a="1"/>
  <c r="I930" i="2" s="1"/>
  <c r="L926" i="2" a="1"/>
  <c r="L926" i="2" s="1"/>
  <c r="K926" i="2" a="1"/>
  <c r="K926" i="2" s="1"/>
  <c r="J926" i="2" a="1"/>
  <c r="J926" i="2" s="1"/>
  <c r="I926" i="2" a="1"/>
  <c r="I926" i="2" s="1"/>
  <c r="K922" i="2" a="1"/>
  <c r="K922" i="2" s="1"/>
  <c r="L922" i="2" a="1"/>
  <c r="L922" i="2" s="1"/>
  <c r="J922" i="2" a="1"/>
  <c r="J922" i="2" s="1"/>
  <c r="I922" i="2" a="1"/>
  <c r="I922" i="2" s="1"/>
  <c r="L918" i="2" a="1"/>
  <c r="L918" i="2" s="1"/>
  <c r="K918" i="2" a="1"/>
  <c r="K918" i="2" s="1"/>
  <c r="J918" i="2" a="1"/>
  <c r="J918" i="2" s="1"/>
  <c r="I918" i="2" a="1"/>
  <c r="I918" i="2" s="1"/>
  <c r="K914" i="2" a="1"/>
  <c r="K914" i="2" s="1"/>
  <c r="L914" i="2" a="1"/>
  <c r="L914" i="2" s="1"/>
  <c r="J914" i="2" a="1"/>
  <c r="J914" i="2" s="1"/>
  <c r="I914" i="2" a="1"/>
  <c r="I914" i="2" s="1"/>
  <c r="L910" i="2" a="1"/>
  <c r="L910" i="2" s="1"/>
  <c r="K910" i="2" a="1"/>
  <c r="K910" i="2" s="1"/>
  <c r="J910" i="2" a="1"/>
  <c r="J910" i="2" s="1"/>
  <c r="I910" i="2" a="1"/>
  <c r="I910" i="2" s="1"/>
  <c r="K906" i="2" a="1"/>
  <c r="K906" i="2" s="1"/>
  <c r="L906" i="2" a="1"/>
  <c r="L906" i="2" s="1"/>
  <c r="J906" i="2" a="1"/>
  <c r="J906" i="2" s="1"/>
  <c r="I906" i="2" a="1"/>
  <c r="I906" i="2" s="1"/>
  <c r="L902" i="2" a="1"/>
  <c r="L902" i="2" s="1"/>
  <c r="K902" i="2" a="1"/>
  <c r="K902" i="2" s="1"/>
  <c r="J902" i="2" a="1"/>
  <c r="J902" i="2" s="1"/>
  <c r="I902" i="2" a="1"/>
  <c r="I902" i="2" s="1"/>
  <c r="K898" i="2" a="1"/>
  <c r="K898" i="2" s="1"/>
  <c r="L898" i="2" a="1"/>
  <c r="L898" i="2" s="1"/>
  <c r="J898" i="2" a="1"/>
  <c r="J898" i="2" s="1"/>
  <c r="I898" i="2" a="1"/>
  <c r="I898" i="2" s="1"/>
  <c r="K894" i="2" a="1"/>
  <c r="K894" i="2" s="1"/>
  <c r="L894" i="2" a="1"/>
  <c r="L894" i="2" s="1"/>
  <c r="J894" i="2" a="1"/>
  <c r="J894" i="2" s="1"/>
  <c r="I894" i="2" a="1"/>
  <c r="I894" i="2" s="1"/>
  <c r="L890" i="2" a="1"/>
  <c r="L890" i="2" s="1"/>
  <c r="K890" i="2" a="1"/>
  <c r="K890" i="2" s="1"/>
  <c r="J890" i="2" a="1"/>
  <c r="J890" i="2" s="1"/>
  <c r="I890" i="2" a="1"/>
  <c r="I890" i="2" s="1"/>
  <c r="K886" i="2" a="1"/>
  <c r="K886" i="2" s="1"/>
  <c r="L886" i="2" a="1"/>
  <c r="L886" i="2" s="1"/>
  <c r="J886" i="2" a="1"/>
  <c r="J886" i="2" s="1"/>
  <c r="I886" i="2" a="1"/>
  <c r="I886" i="2" s="1"/>
  <c r="L882" i="2" a="1"/>
  <c r="L882" i="2" s="1"/>
  <c r="K882" i="2" a="1"/>
  <c r="K882" i="2" s="1"/>
  <c r="J882" i="2" a="1"/>
  <c r="J882" i="2" s="1"/>
  <c r="I882" i="2" a="1"/>
  <c r="I882" i="2" s="1"/>
  <c r="K878" i="2" a="1"/>
  <c r="K878" i="2" s="1"/>
  <c r="L878" i="2" a="1"/>
  <c r="L878" i="2" s="1"/>
  <c r="J878" i="2" a="1"/>
  <c r="J878" i="2" s="1"/>
  <c r="I878" i="2" a="1"/>
  <c r="I878" i="2" s="1"/>
  <c r="L874" i="2" a="1"/>
  <c r="L874" i="2" s="1"/>
  <c r="K874" i="2" a="1"/>
  <c r="K874" i="2" s="1"/>
  <c r="J874" i="2" a="1"/>
  <c r="J874" i="2" s="1"/>
  <c r="I874" i="2" a="1"/>
  <c r="I874" i="2" s="1"/>
  <c r="K870" i="2" a="1"/>
  <c r="K870" i="2" s="1"/>
  <c r="L870" i="2" a="1"/>
  <c r="L870" i="2" s="1"/>
  <c r="J870" i="2" a="1"/>
  <c r="J870" i="2" s="1"/>
  <c r="I870" i="2" a="1"/>
  <c r="I870" i="2" s="1"/>
  <c r="L866" i="2" a="1"/>
  <c r="L866" i="2" s="1"/>
  <c r="K866" i="2" a="1"/>
  <c r="K866" i="2" s="1"/>
  <c r="I866" i="2" a="1"/>
  <c r="I866" i="2" s="1"/>
  <c r="J866" i="2" a="1"/>
  <c r="J866" i="2" s="1"/>
  <c r="K862" i="2" a="1"/>
  <c r="K862" i="2" s="1"/>
  <c r="L862" i="2" a="1"/>
  <c r="L862" i="2" s="1"/>
  <c r="J862" i="2" a="1"/>
  <c r="J862" i="2" s="1"/>
  <c r="I862" i="2" a="1"/>
  <c r="I862" i="2" s="1"/>
  <c r="L858" i="2" a="1"/>
  <c r="L858" i="2" s="1"/>
  <c r="K858" i="2" a="1"/>
  <c r="K858" i="2" s="1"/>
  <c r="J858" i="2" a="1"/>
  <c r="J858" i="2" s="1"/>
  <c r="I858" i="2" a="1"/>
  <c r="I858" i="2" s="1"/>
  <c r="K854" i="2" a="1"/>
  <c r="K854" i="2" s="1"/>
  <c r="L854" i="2" a="1"/>
  <c r="L854" i="2" s="1"/>
  <c r="J854" i="2" a="1"/>
  <c r="J854" i="2" s="1"/>
  <c r="I854" i="2" a="1"/>
  <c r="I854" i="2" s="1"/>
  <c r="L850" i="2" a="1"/>
  <c r="L850" i="2" s="1"/>
  <c r="K850" i="2" a="1"/>
  <c r="K850" i="2" s="1"/>
  <c r="J850" i="2" a="1"/>
  <c r="J850" i="2" s="1"/>
  <c r="I850" i="2" a="1"/>
  <c r="I850" i="2" s="1"/>
  <c r="K846" i="2" a="1"/>
  <c r="K846" i="2" s="1"/>
  <c r="L846" i="2" a="1"/>
  <c r="L846" i="2" s="1"/>
  <c r="J846" i="2" a="1"/>
  <c r="J846" i="2" s="1"/>
  <c r="I846" i="2" a="1"/>
  <c r="I846" i="2" s="1"/>
  <c r="L842" i="2" a="1"/>
  <c r="L842" i="2" s="1"/>
  <c r="K842" i="2" a="1"/>
  <c r="K842" i="2" s="1"/>
  <c r="J842" i="2" a="1"/>
  <c r="J842" i="2" s="1"/>
  <c r="I842" i="2" a="1"/>
  <c r="I842" i="2" s="1"/>
  <c r="K838" i="2" a="1"/>
  <c r="K838" i="2" s="1"/>
  <c r="L838" i="2" a="1"/>
  <c r="L838" i="2" s="1"/>
  <c r="J838" i="2" a="1"/>
  <c r="J838" i="2" s="1"/>
  <c r="I838" i="2" a="1"/>
  <c r="I838" i="2" s="1"/>
  <c r="L834" i="2" a="1"/>
  <c r="L834" i="2" s="1"/>
  <c r="K834" i="2" a="1"/>
  <c r="K834" i="2" s="1"/>
  <c r="J834" i="2" a="1"/>
  <c r="J834" i="2" s="1"/>
  <c r="I834" i="2" a="1"/>
  <c r="I834" i="2" s="1"/>
  <c r="K830" i="2" a="1"/>
  <c r="K830" i="2" s="1"/>
  <c r="L830" i="2" a="1"/>
  <c r="L830" i="2" s="1"/>
  <c r="J830" i="2" a="1"/>
  <c r="J830" i="2" s="1"/>
  <c r="I830" i="2" a="1"/>
  <c r="I830" i="2" s="1"/>
  <c r="L826" i="2" a="1"/>
  <c r="L826" i="2" s="1"/>
  <c r="K826" i="2" a="1"/>
  <c r="K826" i="2" s="1"/>
  <c r="J826" i="2" a="1"/>
  <c r="J826" i="2" s="1"/>
  <c r="I826" i="2" a="1"/>
  <c r="I826" i="2" s="1"/>
  <c r="K822" i="2" a="1"/>
  <c r="K822" i="2" s="1"/>
  <c r="L822" i="2" a="1"/>
  <c r="L822" i="2" s="1"/>
  <c r="J822" i="2" a="1"/>
  <c r="J822" i="2" s="1"/>
  <c r="I822" i="2" a="1"/>
  <c r="I822" i="2" s="1"/>
  <c r="L818" i="2" a="1"/>
  <c r="L818" i="2" s="1"/>
  <c r="K818" i="2" a="1"/>
  <c r="K818" i="2" s="1"/>
  <c r="J818" i="2" a="1"/>
  <c r="J818" i="2" s="1"/>
  <c r="I818" i="2" a="1"/>
  <c r="I818" i="2" s="1"/>
  <c r="K814" i="2" a="1"/>
  <c r="K814" i="2" s="1"/>
  <c r="L814" i="2" a="1"/>
  <c r="L814" i="2" s="1"/>
  <c r="J814" i="2" a="1"/>
  <c r="J814" i="2" s="1"/>
  <c r="I814" i="2" a="1"/>
  <c r="I814" i="2" s="1"/>
  <c r="L810" i="2" a="1"/>
  <c r="L810" i="2" s="1"/>
  <c r="K810" i="2" a="1"/>
  <c r="K810" i="2" s="1"/>
  <c r="J810" i="2" a="1"/>
  <c r="J810" i="2" s="1"/>
  <c r="I810" i="2" a="1"/>
  <c r="I810" i="2" s="1"/>
  <c r="K806" i="2" a="1"/>
  <c r="K806" i="2" s="1"/>
  <c r="L806" i="2" a="1"/>
  <c r="L806" i="2" s="1"/>
  <c r="J806" i="2" a="1"/>
  <c r="J806" i="2" s="1"/>
  <c r="I806" i="2" a="1"/>
  <c r="I806" i="2" s="1"/>
  <c r="L802" i="2" a="1"/>
  <c r="L802" i="2" s="1"/>
  <c r="K802" i="2" a="1"/>
  <c r="K802" i="2" s="1"/>
  <c r="J802" i="2" a="1"/>
  <c r="J802" i="2" s="1"/>
  <c r="I802" i="2" a="1"/>
  <c r="I802" i="2" s="1"/>
  <c r="K798" i="2" a="1"/>
  <c r="K798" i="2" s="1"/>
  <c r="L798" i="2" a="1"/>
  <c r="L798" i="2" s="1"/>
  <c r="J798" i="2" a="1"/>
  <c r="J798" i="2" s="1"/>
  <c r="I798" i="2" a="1"/>
  <c r="I798" i="2" s="1"/>
  <c r="L794" i="2" a="1"/>
  <c r="L794" i="2" s="1"/>
  <c r="K794" i="2" a="1"/>
  <c r="K794" i="2" s="1"/>
  <c r="J794" i="2" a="1"/>
  <c r="J794" i="2" s="1"/>
  <c r="I794" i="2" a="1"/>
  <c r="I794" i="2" s="1"/>
  <c r="K790" i="2" a="1"/>
  <c r="K790" i="2" s="1"/>
  <c r="L790" i="2" a="1"/>
  <c r="L790" i="2" s="1"/>
  <c r="J790" i="2" a="1"/>
  <c r="J790" i="2" s="1"/>
  <c r="I790" i="2" a="1"/>
  <c r="I790" i="2" s="1"/>
  <c r="L786" i="2" a="1"/>
  <c r="L786" i="2" s="1"/>
  <c r="K786" i="2" a="1"/>
  <c r="K786" i="2" s="1"/>
  <c r="J786" i="2" a="1"/>
  <c r="J786" i="2" s="1"/>
  <c r="I786" i="2" a="1"/>
  <c r="I786" i="2" s="1"/>
  <c r="K782" i="2" a="1"/>
  <c r="K782" i="2" s="1"/>
  <c r="L782" i="2" a="1"/>
  <c r="L782" i="2" s="1"/>
  <c r="J782" i="2" a="1"/>
  <c r="J782" i="2" s="1"/>
  <c r="I782" i="2" a="1"/>
  <c r="I782" i="2" s="1"/>
  <c r="L778" i="2" a="1"/>
  <c r="L778" i="2" s="1"/>
  <c r="K778" i="2" a="1"/>
  <c r="K778" i="2" s="1"/>
  <c r="J778" i="2" a="1"/>
  <c r="J778" i="2" s="1"/>
  <c r="I778" i="2" a="1"/>
  <c r="I778" i="2" s="1"/>
  <c r="K774" i="2" a="1"/>
  <c r="K774" i="2" s="1"/>
  <c r="L774" i="2" a="1"/>
  <c r="L774" i="2" s="1"/>
  <c r="J774" i="2" a="1"/>
  <c r="J774" i="2" s="1"/>
  <c r="I774" i="2" a="1"/>
  <c r="I774" i="2" s="1"/>
  <c r="L770" i="2" a="1"/>
  <c r="L770" i="2" s="1"/>
  <c r="K770" i="2" a="1"/>
  <c r="K770" i="2" s="1"/>
  <c r="J770" i="2" a="1"/>
  <c r="J770" i="2" s="1"/>
  <c r="I770" i="2" a="1"/>
  <c r="I770" i="2" s="1"/>
  <c r="K766" i="2" a="1"/>
  <c r="K766" i="2" s="1"/>
  <c r="L766" i="2" a="1"/>
  <c r="L766" i="2" s="1"/>
  <c r="J766" i="2" a="1"/>
  <c r="J766" i="2" s="1"/>
  <c r="I766" i="2" a="1"/>
  <c r="I766" i="2" s="1"/>
  <c r="L762" i="2" a="1"/>
  <c r="L762" i="2" s="1"/>
  <c r="K762" i="2" a="1"/>
  <c r="K762" i="2" s="1"/>
  <c r="J762" i="2" a="1"/>
  <c r="J762" i="2" s="1"/>
  <c r="I762" i="2" a="1"/>
  <c r="I762" i="2" s="1"/>
  <c r="K758" i="2" a="1"/>
  <c r="K758" i="2" s="1"/>
  <c r="L758" i="2" a="1"/>
  <c r="L758" i="2" s="1"/>
  <c r="I758" i="2" a="1"/>
  <c r="I758" i="2" s="1"/>
  <c r="J758" i="2" a="1"/>
  <c r="J758" i="2" s="1"/>
  <c r="L754" i="2" a="1"/>
  <c r="L754" i="2" s="1"/>
  <c r="K754" i="2" a="1"/>
  <c r="K754" i="2" s="1"/>
  <c r="I754" i="2" a="1"/>
  <c r="I754" i="2" s="1"/>
  <c r="J754" i="2" a="1"/>
  <c r="J754" i="2" s="1"/>
  <c r="L750" i="2" a="1"/>
  <c r="L750" i="2" s="1"/>
  <c r="K750" i="2" a="1"/>
  <c r="K750" i="2" s="1"/>
  <c r="I750" i="2" a="1"/>
  <c r="I750" i="2" s="1"/>
  <c r="J750" i="2" a="1"/>
  <c r="J750" i="2" s="1"/>
  <c r="L746" i="2" a="1"/>
  <c r="L746" i="2" s="1"/>
  <c r="K746" i="2" a="1"/>
  <c r="K746" i="2" s="1"/>
  <c r="I746" i="2" a="1"/>
  <c r="I746" i="2" s="1"/>
  <c r="J746" i="2" a="1"/>
  <c r="J746" i="2" s="1"/>
  <c r="L742" i="2" a="1"/>
  <c r="L742" i="2" s="1"/>
  <c r="K742" i="2" a="1"/>
  <c r="K742" i="2" s="1"/>
  <c r="I742" i="2" a="1"/>
  <c r="I742" i="2" s="1"/>
  <c r="J742" i="2" a="1"/>
  <c r="J742" i="2" s="1"/>
  <c r="L738" i="2" a="1"/>
  <c r="L738" i="2" s="1"/>
  <c r="K738" i="2" a="1"/>
  <c r="K738" i="2" s="1"/>
  <c r="I738" i="2" a="1"/>
  <c r="I738" i="2" s="1"/>
  <c r="J738" i="2" a="1"/>
  <c r="J738" i="2" s="1"/>
  <c r="L734" i="2" a="1"/>
  <c r="L734" i="2" s="1"/>
  <c r="K734" i="2" a="1"/>
  <c r="K734" i="2" s="1"/>
  <c r="J734" i="2" a="1"/>
  <c r="J734" i="2" s="1"/>
  <c r="I734" i="2" a="1"/>
  <c r="I734" i="2" s="1"/>
  <c r="L730" i="2" a="1"/>
  <c r="L730" i="2" s="1"/>
  <c r="K730" i="2" a="1"/>
  <c r="K730" i="2" s="1"/>
  <c r="J730" i="2" a="1"/>
  <c r="J730" i="2" s="1"/>
  <c r="I730" i="2" a="1"/>
  <c r="I730" i="2" s="1"/>
  <c r="L726" i="2" a="1"/>
  <c r="L726" i="2" s="1"/>
  <c r="K726" i="2" a="1"/>
  <c r="K726" i="2" s="1"/>
  <c r="J726" i="2" a="1"/>
  <c r="J726" i="2" s="1"/>
  <c r="I726" i="2" a="1"/>
  <c r="I726" i="2" s="1"/>
  <c r="L722" i="2" a="1"/>
  <c r="L722" i="2" s="1"/>
  <c r="K722" i="2" a="1"/>
  <c r="K722" i="2" s="1"/>
  <c r="J722" i="2" a="1"/>
  <c r="J722" i="2" s="1"/>
  <c r="I722" i="2" a="1"/>
  <c r="I722" i="2" s="1"/>
  <c r="L718" i="2" a="1"/>
  <c r="L718" i="2" s="1"/>
  <c r="K718" i="2" a="1"/>
  <c r="K718" i="2" s="1"/>
  <c r="J718" i="2" a="1"/>
  <c r="J718" i="2" s="1"/>
  <c r="I718" i="2" a="1"/>
  <c r="I718" i="2" s="1"/>
  <c r="L714" i="2" a="1"/>
  <c r="L714" i="2" s="1"/>
  <c r="K714" i="2" a="1"/>
  <c r="K714" i="2" s="1"/>
  <c r="J714" i="2" a="1"/>
  <c r="J714" i="2" s="1"/>
  <c r="I714" i="2" a="1"/>
  <c r="I714" i="2" s="1"/>
  <c r="L710" i="2" a="1"/>
  <c r="L710" i="2" s="1"/>
  <c r="K710" i="2" a="1"/>
  <c r="K710" i="2" s="1"/>
  <c r="J710" i="2" a="1"/>
  <c r="J710" i="2" s="1"/>
  <c r="I710" i="2" a="1"/>
  <c r="I710" i="2" s="1"/>
  <c r="L706" i="2" a="1"/>
  <c r="L706" i="2" s="1"/>
  <c r="K706" i="2" a="1"/>
  <c r="K706" i="2" s="1"/>
  <c r="J706" i="2" a="1"/>
  <c r="J706" i="2" s="1"/>
  <c r="I706" i="2" a="1"/>
  <c r="I706" i="2" s="1"/>
  <c r="L702" i="2" a="1"/>
  <c r="L702" i="2" s="1"/>
  <c r="K702" i="2" a="1"/>
  <c r="K702" i="2" s="1"/>
  <c r="J702" i="2" a="1"/>
  <c r="J702" i="2" s="1"/>
  <c r="I702" i="2" a="1"/>
  <c r="I702" i="2" s="1"/>
  <c r="L698" i="2" a="1"/>
  <c r="L698" i="2" s="1"/>
  <c r="K698" i="2" a="1"/>
  <c r="K698" i="2" s="1"/>
  <c r="J698" i="2" a="1"/>
  <c r="J698" i="2" s="1"/>
  <c r="I698" i="2" a="1"/>
  <c r="I698" i="2" s="1"/>
  <c r="L694" i="2" a="1"/>
  <c r="L694" i="2" s="1"/>
  <c r="K694" i="2" a="1"/>
  <c r="K694" i="2" s="1"/>
  <c r="J694" i="2" a="1"/>
  <c r="J694" i="2" s="1"/>
  <c r="I694" i="2" a="1"/>
  <c r="I694" i="2" s="1"/>
  <c r="L690" i="2" a="1"/>
  <c r="L690" i="2" s="1"/>
  <c r="K690" i="2" a="1"/>
  <c r="K690" i="2" s="1"/>
  <c r="J690" i="2" a="1"/>
  <c r="J690" i="2" s="1"/>
  <c r="I690" i="2" a="1"/>
  <c r="I690" i="2" s="1"/>
  <c r="L686" i="2" a="1"/>
  <c r="L686" i="2" s="1"/>
  <c r="K686" i="2" a="1"/>
  <c r="K686" i="2" s="1"/>
  <c r="J686" i="2" a="1"/>
  <c r="J686" i="2" s="1"/>
  <c r="I686" i="2" a="1"/>
  <c r="I686" i="2" s="1"/>
  <c r="L682" i="2" a="1"/>
  <c r="L682" i="2" s="1"/>
  <c r="K682" i="2" a="1"/>
  <c r="K682" i="2" s="1"/>
  <c r="J682" i="2" a="1"/>
  <c r="J682" i="2" s="1"/>
  <c r="I682" i="2" a="1"/>
  <c r="I682" i="2" s="1"/>
  <c r="L678" i="2" a="1"/>
  <c r="L678" i="2" s="1"/>
  <c r="K678" i="2" a="1"/>
  <c r="K678" i="2" s="1"/>
  <c r="J678" i="2" a="1"/>
  <c r="J678" i="2" s="1"/>
  <c r="I678" i="2" a="1"/>
  <c r="I678" i="2" s="1"/>
  <c r="L674" i="2" a="1"/>
  <c r="L674" i="2" s="1"/>
  <c r="K674" i="2" a="1"/>
  <c r="K674" i="2" s="1"/>
  <c r="J674" i="2" a="1"/>
  <c r="J674" i="2" s="1"/>
  <c r="I674" i="2" a="1"/>
  <c r="I674" i="2" s="1"/>
  <c r="L670" i="2" a="1"/>
  <c r="L670" i="2" s="1"/>
  <c r="K670" i="2" a="1"/>
  <c r="K670" i="2" s="1"/>
  <c r="J670" i="2" a="1"/>
  <c r="J670" i="2" s="1"/>
  <c r="I670" i="2" a="1"/>
  <c r="I670" i="2" s="1"/>
  <c r="L666" i="2" a="1"/>
  <c r="L666" i="2" s="1"/>
  <c r="K666" i="2" a="1"/>
  <c r="K666" i="2" s="1"/>
  <c r="J666" i="2" a="1"/>
  <c r="J666" i="2" s="1"/>
  <c r="I666" i="2" a="1"/>
  <c r="I666" i="2" s="1"/>
  <c r="L662" i="2" a="1"/>
  <c r="L662" i="2" s="1"/>
  <c r="K662" i="2" a="1"/>
  <c r="K662" i="2" s="1"/>
  <c r="J662" i="2" a="1"/>
  <c r="J662" i="2" s="1"/>
  <c r="I662" i="2" a="1"/>
  <c r="I662" i="2" s="1"/>
  <c r="L658" i="2" a="1"/>
  <c r="L658" i="2" s="1"/>
  <c r="K658" i="2" a="1"/>
  <c r="K658" i="2" s="1"/>
  <c r="J658" i="2" a="1"/>
  <c r="J658" i="2" s="1"/>
  <c r="I658" i="2" a="1"/>
  <c r="I658" i="2" s="1"/>
  <c r="L654" i="2" a="1"/>
  <c r="L654" i="2" s="1"/>
  <c r="K654" i="2" a="1"/>
  <c r="K654" i="2" s="1"/>
  <c r="J654" i="2" a="1"/>
  <c r="J654" i="2" s="1"/>
  <c r="I654" i="2" a="1"/>
  <c r="I654" i="2" s="1"/>
  <c r="L650" i="2" a="1"/>
  <c r="L650" i="2" s="1"/>
  <c r="K650" i="2" a="1"/>
  <c r="K650" i="2" s="1"/>
  <c r="J650" i="2" a="1"/>
  <c r="J650" i="2" s="1"/>
  <c r="I650" i="2" a="1"/>
  <c r="I650" i="2" s="1"/>
  <c r="L646" i="2" a="1"/>
  <c r="L646" i="2" s="1"/>
  <c r="K646" i="2" a="1"/>
  <c r="K646" i="2" s="1"/>
  <c r="J646" i="2" a="1"/>
  <c r="J646" i="2" s="1"/>
  <c r="I646" i="2" a="1"/>
  <c r="I646" i="2" s="1"/>
  <c r="L642" i="2" a="1"/>
  <c r="L642" i="2" s="1"/>
  <c r="K642" i="2" a="1"/>
  <c r="K642" i="2" s="1"/>
  <c r="J642" i="2" a="1"/>
  <c r="J642" i="2" s="1"/>
  <c r="I642" i="2" a="1"/>
  <c r="I642" i="2" s="1"/>
  <c r="L638" i="2" a="1"/>
  <c r="L638" i="2" s="1"/>
  <c r="K638" i="2" a="1"/>
  <c r="K638" i="2" s="1"/>
  <c r="J638" i="2" a="1"/>
  <c r="J638" i="2" s="1"/>
  <c r="I638" i="2" a="1"/>
  <c r="I638" i="2" s="1"/>
  <c r="L634" i="2" a="1"/>
  <c r="L634" i="2" s="1"/>
  <c r="K634" i="2" a="1"/>
  <c r="K634" i="2" s="1"/>
  <c r="J634" i="2" a="1"/>
  <c r="J634" i="2" s="1"/>
  <c r="I634" i="2" a="1"/>
  <c r="I634" i="2" s="1"/>
  <c r="L630" i="2" a="1"/>
  <c r="L630" i="2" s="1"/>
  <c r="K630" i="2" a="1"/>
  <c r="K630" i="2" s="1"/>
  <c r="J630" i="2" a="1"/>
  <c r="J630" i="2" s="1"/>
  <c r="I630" i="2" a="1"/>
  <c r="I630" i="2" s="1"/>
  <c r="L626" i="2" a="1"/>
  <c r="L626" i="2" s="1"/>
  <c r="K626" i="2" a="1"/>
  <c r="K626" i="2" s="1"/>
  <c r="J626" i="2" a="1"/>
  <c r="J626" i="2" s="1"/>
  <c r="I626" i="2" a="1"/>
  <c r="I626" i="2" s="1"/>
  <c r="K622" i="2" a="1"/>
  <c r="K622" i="2" s="1"/>
  <c r="L622" i="2" a="1"/>
  <c r="L622" i="2" s="1"/>
  <c r="J622" i="2" a="1"/>
  <c r="J622" i="2" s="1"/>
  <c r="I622" i="2" a="1"/>
  <c r="I622" i="2" s="1"/>
  <c r="K618" i="2" a="1"/>
  <c r="K618" i="2" s="1"/>
  <c r="L618" i="2" a="1"/>
  <c r="L618" i="2" s="1"/>
  <c r="J618" i="2" a="1"/>
  <c r="J618" i="2" s="1"/>
  <c r="I618" i="2" a="1"/>
  <c r="I618" i="2" s="1"/>
  <c r="K614" i="2" a="1"/>
  <c r="K614" i="2" s="1"/>
  <c r="L614" i="2" a="1"/>
  <c r="L614" i="2" s="1"/>
  <c r="J614" i="2" a="1"/>
  <c r="J614" i="2" s="1"/>
  <c r="I614" i="2" a="1"/>
  <c r="I614" i="2" s="1"/>
  <c r="K610" i="2" a="1"/>
  <c r="K610" i="2" s="1"/>
  <c r="L610" i="2" a="1"/>
  <c r="L610" i="2" s="1"/>
  <c r="J610" i="2" a="1"/>
  <c r="J610" i="2" s="1"/>
  <c r="I610" i="2" a="1"/>
  <c r="I610" i="2" s="1"/>
  <c r="K606" i="2" a="1"/>
  <c r="K606" i="2" s="1"/>
  <c r="L606" i="2" a="1"/>
  <c r="L606" i="2" s="1"/>
  <c r="I606" i="2" a="1"/>
  <c r="I606" i="2" s="1"/>
  <c r="J606" i="2" a="1"/>
  <c r="J606" i="2" s="1"/>
  <c r="K602" i="2" a="1"/>
  <c r="K602" i="2" s="1"/>
  <c r="L602" i="2" a="1"/>
  <c r="L602" i="2" s="1"/>
  <c r="J602" i="2" a="1"/>
  <c r="J602" i="2" s="1"/>
  <c r="I602" i="2" a="1"/>
  <c r="I602" i="2" s="1"/>
  <c r="K598" i="2" a="1"/>
  <c r="K598" i="2" s="1"/>
  <c r="L598" i="2" a="1"/>
  <c r="L598" i="2" s="1"/>
  <c r="J598" i="2" a="1"/>
  <c r="J598" i="2" s="1"/>
  <c r="I598" i="2" a="1"/>
  <c r="I598" i="2" s="1"/>
  <c r="K594" i="2" a="1"/>
  <c r="K594" i="2" s="1"/>
  <c r="L594" i="2" a="1"/>
  <c r="L594" i="2" s="1"/>
  <c r="J594" i="2" a="1"/>
  <c r="J594" i="2" s="1"/>
  <c r="I594" i="2" a="1"/>
  <c r="I594" i="2" s="1"/>
  <c r="K590" i="2" a="1"/>
  <c r="K590" i="2" s="1"/>
  <c r="L590" i="2" a="1"/>
  <c r="L590" i="2" s="1"/>
  <c r="I590" i="2" a="1"/>
  <c r="I590" i="2" s="1"/>
  <c r="J590" i="2" a="1"/>
  <c r="J590" i="2" s="1"/>
  <c r="K586" i="2" a="1"/>
  <c r="K586" i="2" s="1"/>
  <c r="L586" i="2" a="1"/>
  <c r="L586" i="2" s="1"/>
  <c r="I586" i="2" a="1"/>
  <c r="I586" i="2" s="1"/>
  <c r="J586" i="2" a="1"/>
  <c r="J586" i="2" s="1"/>
  <c r="K582" i="2" a="1"/>
  <c r="K582" i="2" s="1"/>
  <c r="L582" i="2" a="1"/>
  <c r="L582" i="2" s="1"/>
  <c r="I582" i="2" a="1"/>
  <c r="I582" i="2" s="1"/>
  <c r="J582" i="2" a="1"/>
  <c r="J582" i="2" s="1"/>
  <c r="K578" i="2" a="1"/>
  <c r="K578" i="2" s="1"/>
  <c r="L578" i="2" a="1"/>
  <c r="L578" i="2" s="1"/>
  <c r="I578" i="2" a="1"/>
  <c r="I578" i="2" s="1"/>
  <c r="J578" i="2" a="1"/>
  <c r="J578" i="2" s="1"/>
  <c r="K574" i="2" a="1"/>
  <c r="K574" i="2" s="1"/>
  <c r="L574" i="2" a="1"/>
  <c r="L574" i="2" s="1"/>
  <c r="I574" i="2" a="1"/>
  <c r="I574" i="2" s="1"/>
  <c r="J574" i="2" a="1"/>
  <c r="J574" i="2" s="1"/>
  <c r="K570" i="2" a="1"/>
  <c r="K570" i="2" s="1"/>
  <c r="L570" i="2" a="1"/>
  <c r="L570" i="2" s="1"/>
  <c r="I570" i="2" a="1"/>
  <c r="I570" i="2" s="1"/>
  <c r="J570" i="2" a="1"/>
  <c r="J570" i="2" s="1"/>
  <c r="K566" i="2" a="1"/>
  <c r="K566" i="2" s="1"/>
  <c r="L566" i="2" a="1"/>
  <c r="L566" i="2" s="1"/>
  <c r="I566" i="2" a="1"/>
  <c r="I566" i="2" s="1"/>
  <c r="J566" i="2" a="1"/>
  <c r="J566" i="2" s="1"/>
  <c r="K562" i="2" a="1"/>
  <c r="K562" i="2" s="1"/>
  <c r="L562" i="2" a="1"/>
  <c r="L562" i="2" s="1"/>
  <c r="I562" i="2" a="1"/>
  <c r="I562" i="2" s="1"/>
  <c r="J562" i="2" a="1"/>
  <c r="J562" i="2" s="1"/>
  <c r="K558" i="2" a="1"/>
  <c r="K558" i="2" s="1"/>
  <c r="L558" i="2" a="1"/>
  <c r="L558" i="2" s="1"/>
  <c r="I558" i="2" a="1"/>
  <c r="I558" i="2" s="1"/>
  <c r="J558" i="2" a="1"/>
  <c r="J558" i="2" s="1"/>
  <c r="K554" i="2" a="1"/>
  <c r="K554" i="2" s="1"/>
  <c r="L554" i="2" a="1"/>
  <c r="L554" i="2" s="1"/>
  <c r="I554" i="2" a="1"/>
  <c r="I554" i="2" s="1"/>
  <c r="J554" i="2" a="1"/>
  <c r="J554" i="2" s="1"/>
  <c r="K550" i="2" a="1"/>
  <c r="K550" i="2" s="1"/>
  <c r="L550" i="2" a="1"/>
  <c r="L550" i="2" s="1"/>
  <c r="I550" i="2" a="1"/>
  <c r="I550" i="2" s="1"/>
  <c r="J550" i="2" a="1"/>
  <c r="J550" i="2" s="1"/>
  <c r="K546" i="2" a="1"/>
  <c r="K546" i="2" s="1"/>
  <c r="L546" i="2" a="1"/>
  <c r="L546" i="2" s="1"/>
  <c r="I546" i="2" a="1"/>
  <c r="I546" i="2" s="1"/>
  <c r="J546" i="2" a="1"/>
  <c r="J546" i="2" s="1"/>
  <c r="K542" i="2" a="1"/>
  <c r="K542" i="2" s="1"/>
  <c r="L542" i="2" a="1"/>
  <c r="L542" i="2" s="1"/>
  <c r="I542" i="2" a="1"/>
  <c r="I542" i="2" s="1"/>
  <c r="J542" i="2" a="1"/>
  <c r="J542" i="2" s="1"/>
  <c r="K538" i="2" a="1"/>
  <c r="K538" i="2" s="1"/>
  <c r="L538" i="2" a="1"/>
  <c r="L538" i="2" s="1"/>
  <c r="I538" i="2" a="1"/>
  <c r="I538" i="2" s="1"/>
  <c r="J538" i="2" a="1"/>
  <c r="J538" i="2" s="1"/>
  <c r="K534" i="2" a="1"/>
  <c r="K534" i="2" s="1"/>
  <c r="L534" i="2" a="1"/>
  <c r="L534" i="2" s="1"/>
  <c r="J534" i="2" a="1"/>
  <c r="J534" i="2" s="1"/>
  <c r="I534" i="2" a="1"/>
  <c r="I534" i="2" s="1"/>
  <c r="K530" i="2" a="1"/>
  <c r="K530" i="2" s="1"/>
  <c r="L530" i="2" a="1"/>
  <c r="L530" i="2" s="1"/>
  <c r="J530" i="2" a="1"/>
  <c r="J530" i="2" s="1"/>
  <c r="I530" i="2" a="1"/>
  <c r="I530" i="2" s="1"/>
  <c r="K526" i="2" a="1"/>
  <c r="K526" i="2" s="1"/>
  <c r="L526" i="2" a="1"/>
  <c r="L526" i="2" s="1"/>
  <c r="J526" i="2" a="1"/>
  <c r="J526" i="2" s="1"/>
  <c r="I526" i="2" a="1"/>
  <c r="I526" i="2" s="1"/>
  <c r="K522" i="2" a="1"/>
  <c r="K522" i="2" s="1"/>
  <c r="L522" i="2" a="1"/>
  <c r="L522" i="2" s="1"/>
  <c r="J522" i="2" a="1"/>
  <c r="J522" i="2" s="1"/>
  <c r="I522" i="2" a="1"/>
  <c r="I522" i="2" s="1"/>
  <c r="K518" i="2" a="1"/>
  <c r="K518" i="2" s="1"/>
  <c r="L518" i="2" a="1"/>
  <c r="L518" i="2" s="1"/>
  <c r="J518" i="2" a="1"/>
  <c r="J518" i="2" s="1"/>
  <c r="I518" i="2" a="1"/>
  <c r="I518" i="2" s="1"/>
  <c r="K514" i="2" a="1"/>
  <c r="K514" i="2" s="1"/>
  <c r="L514" i="2" a="1"/>
  <c r="L514" i="2" s="1"/>
  <c r="J514" i="2" a="1"/>
  <c r="J514" i="2" s="1"/>
  <c r="I514" i="2" a="1"/>
  <c r="I514" i="2" s="1"/>
  <c r="K510" i="2" a="1"/>
  <c r="K510" i="2" s="1"/>
  <c r="L510" i="2" a="1"/>
  <c r="L510" i="2" s="1"/>
  <c r="J510" i="2" a="1"/>
  <c r="J510" i="2" s="1"/>
  <c r="I510" i="2" a="1"/>
  <c r="I510" i="2" s="1"/>
  <c r="K506" i="2" a="1"/>
  <c r="K506" i="2" s="1"/>
  <c r="L506" i="2" a="1"/>
  <c r="L506" i="2" s="1"/>
  <c r="I506" i="2" a="1"/>
  <c r="I506" i="2" s="1"/>
  <c r="J506" i="2" a="1"/>
  <c r="J506" i="2" s="1"/>
  <c r="K502" i="2" a="1"/>
  <c r="K502" i="2" s="1"/>
  <c r="L502" i="2" a="1"/>
  <c r="L502" i="2" s="1"/>
  <c r="J502" i="2" a="1"/>
  <c r="J502" i="2" s="1"/>
  <c r="I502" i="2" a="1"/>
  <c r="I502" i="2" s="1"/>
  <c r="K498" i="2" a="1"/>
  <c r="K498" i="2" s="1"/>
  <c r="L498" i="2" a="1"/>
  <c r="L498" i="2" s="1"/>
  <c r="J498" i="2" a="1"/>
  <c r="J498" i="2" s="1"/>
  <c r="I498" i="2" a="1"/>
  <c r="I498" i="2" s="1"/>
  <c r="K494" i="2" a="1"/>
  <c r="K494" i="2" s="1"/>
  <c r="L494" i="2" a="1"/>
  <c r="L494" i="2" s="1"/>
  <c r="J494" i="2" a="1"/>
  <c r="J494" i="2" s="1"/>
  <c r="I494" i="2" a="1"/>
  <c r="I494" i="2" s="1"/>
  <c r="K490" i="2" a="1"/>
  <c r="K490" i="2" s="1"/>
  <c r="L490" i="2" a="1"/>
  <c r="L490" i="2" s="1"/>
  <c r="I490" i="2" a="1"/>
  <c r="I490" i="2" s="1"/>
  <c r="J490" i="2" a="1"/>
  <c r="J490" i="2" s="1"/>
  <c r="K486" i="2" a="1"/>
  <c r="K486" i="2" s="1"/>
  <c r="L486" i="2" a="1"/>
  <c r="L486" i="2" s="1"/>
  <c r="J486" i="2" a="1"/>
  <c r="J486" i="2" s="1"/>
  <c r="I486" i="2" a="1"/>
  <c r="I486" i="2" s="1"/>
  <c r="K482" i="2" a="1"/>
  <c r="K482" i="2" s="1"/>
  <c r="L482" i="2" a="1"/>
  <c r="L482" i="2" s="1"/>
  <c r="J482" i="2" a="1"/>
  <c r="J482" i="2" s="1"/>
  <c r="I482" i="2" a="1"/>
  <c r="I482" i="2" s="1"/>
  <c r="K478" i="2" a="1"/>
  <c r="K478" i="2" s="1"/>
  <c r="L478" i="2" a="1"/>
  <c r="L478" i="2" s="1"/>
  <c r="J478" i="2" a="1"/>
  <c r="J478" i="2" s="1"/>
  <c r="I478" i="2" a="1"/>
  <c r="I478" i="2" s="1"/>
  <c r="K474" i="2" a="1"/>
  <c r="K474" i="2" s="1"/>
  <c r="L474" i="2" a="1"/>
  <c r="L474" i="2" s="1"/>
  <c r="I474" i="2" a="1"/>
  <c r="I474" i="2" s="1"/>
  <c r="J474" i="2" a="1"/>
  <c r="J474" i="2" s="1"/>
  <c r="K470" i="2" a="1"/>
  <c r="K470" i="2" s="1"/>
  <c r="L470" i="2" a="1"/>
  <c r="L470" i="2" s="1"/>
  <c r="J470" i="2" a="1"/>
  <c r="J470" i="2" s="1"/>
  <c r="I470" i="2" a="1"/>
  <c r="I470" i="2" s="1"/>
  <c r="K466" i="2" a="1"/>
  <c r="K466" i="2" s="1"/>
  <c r="L466" i="2" a="1"/>
  <c r="L466" i="2" s="1"/>
  <c r="J466" i="2" a="1"/>
  <c r="J466" i="2" s="1"/>
  <c r="I466" i="2" a="1"/>
  <c r="I466" i="2" s="1"/>
  <c r="K462" i="2" a="1"/>
  <c r="K462" i="2" s="1"/>
  <c r="L462" i="2" a="1"/>
  <c r="L462" i="2" s="1"/>
  <c r="J462" i="2" a="1"/>
  <c r="J462" i="2" s="1"/>
  <c r="I462" i="2" a="1"/>
  <c r="I462" i="2" s="1"/>
  <c r="K458" i="2" a="1"/>
  <c r="K458" i="2" s="1"/>
  <c r="L458" i="2" a="1"/>
  <c r="L458" i="2" s="1"/>
  <c r="I458" i="2" a="1"/>
  <c r="I458" i="2" s="1"/>
  <c r="J458" i="2" a="1"/>
  <c r="J458" i="2" s="1"/>
  <c r="L454" i="2" a="1"/>
  <c r="L454" i="2" s="1"/>
  <c r="K454" i="2" a="1"/>
  <c r="K454" i="2" s="1"/>
  <c r="I454" i="2" a="1"/>
  <c r="I454" i="2" s="1"/>
  <c r="J454" i="2" a="1"/>
  <c r="J454" i="2" s="1"/>
  <c r="K450" i="2" a="1"/>
  <c r="K450" i="2" s="1"/>
  <c r="L450" i="2" a="1"/>
  <c r="L450" i="2" s="1"/>
  <c r="I450" i="2" a="1"/>
  <c r="I450" i="2" s="1"/>
  <c r="J450" i="2" a="1"/>
  <c r="J450" i="2" s="1"/>
  <c r="L446" i="2" a="1"/>
  <c r="L446" i="2" s="1"/>
  <c r="K446" i="2" a="1"/>
  <c r="K446" i="2" s="1"/>
  <c r="I446" i="2" a="1"/>
  <c r="I446" i="2" s="1"/>
  <c r="J446" i="2" a="1"/>
  <c r="J446" i="2" s="1"/>
  <c r="K442" i="2" a="1"/>
  <c r="K442" i="2" s="1"/>
  <c r="L442" i="2" a="1"/>
  <c r="L442" i="2" s="1"/>
  <c r="I442" i="2" a="1"/>
  <c r="I442" i="2" s="1"/>
  <c r="J442" i="2" a="1"/>
  <c r="J442" i="2" s="1"/>
  <c r="L438" i="2" a="1"/>
  <c r="L438" i="2" s="1"/>
  <c r="K438" i="2" a="1"/>
  <c r="K438" i="2" s="1"/>
  <c r="I438" i="2" a="1"/>
  <c r="I438" i="2" s="1"/>
  <c r="J438" i="2" a="1"/>
  <c r="J438" i="2" s="1"/>
  <c r="K434" i="2" a="1"/>
  <c r="K434" i="2" s="1"/>
  <c r="L434" i="2" a="1"/>
  <c r="L434" i="2" s="1"/>
  <c r="J434" i="2" a="1"/>
  <c r="J434" i="2" s="1"/>
  <c r="I434" i="2" a="1"/>
  <c r="I434" i="2" s="1"/>
  <c r="L430" i="2" a="1"/>
  <c r="L430" i="2" s="1"/>
  <c r="K430" i="2" a="1"/>
  <c r="K430" i="2" s="1"/>
  <c r="J430" i="2" a="1"/>
  <c r="J430" i="2" s="1"/>
  <c r="I430" i="2" a="1"/>
  <c r="I430" i="2" s="1"/>
  <c r="K426" i="2" a="1"/>
  <c r="K426" i="2" s="1"/>
  <c r="L426" i="2" a="1"/>
  <c r="L426" i="2" s="1"/>
  <c r="J426" i="2" a="1"/>
  <c r="J426" i="2" s="1"/>
  <c r="I426" i="2" a="1"/>
  <c r="I426" i="2" s="1"/>
  <c r="L422" i="2" a="1"/>
  <c r="L422" i="2" s="1"/>
  <c r="K422" i="2" a="1"/>
  <c r="K422" i="2" s="1"/>
  <c r="J422" i="2" a="1"/>
  <c r="J422" i="2" s="1"/>
  <c r="I422" i="2" a="1"/>
  <c r="I422" i="2" s="1"/>
  <c r="K418" i="2" a="1"/>
  <c r="K418" i="2" s="1"/>
  <c r="L418" i="2" a="1"/>
  <c r="L418" i="2" s="1"/>
  <c r="J418" i="2" a="1"/>
  <c r="J418" i="2" s="1"/>
  <c r="I418" i="2" a="1"/>
  <c r="I418" i="2" s="1"/>
  <c r="L414" i="2" a="1"/>
  <c r="L414" i="2" s="1"/>
  <c r="K414" i="2" a="1"/>
  <c r="K414" i="2" s="1"/>
  <c r="J414" i="2" a="1"/>
  <c r="J414" i="2" s="1"/>
  <c r="I414" i="2" a="1"/>
  <c r="I414" i="2" s="1"/>
  <c r="K410" i="2" a="1"/>
  <c r="K410" i="2" s="1"/>
  <c r="L410" i="2" a="1"/>
  <c r="L410" i="2" s="1"/>
  <c r="J410" i="2" a="1"/>
  <c r="J410" i="2" s="1"/>
  <c r="I410" i="2" a="1"/>
  <c r="I410" i="2" s="1"/>
  <c r="L406" i="2" a="1"/>
  <c r="L406" i="2" s="1"/>
  <c r="K406" i="2" a="1"/>
  <c r="K406" i="2" s="1"/>
  <c r="J406" i="2" a="1"/>
  <c r="J406" i="2" s="1"/>
  <c r="I406" i="2" a="1"/>
  <c r="I406" i="2" s="1"/>
  <c r="K402" i="2" a="1"/>
  <c r="K402" i="2" s="1"/>
  <c r="L402" i="2" a="1"/>
  <c r="L402" i="2" s="1"/>
  <c r="J402" i="2" a="1"/>
  <c r="J402" i="2" s="1"/>
  <c r="I402" i="2" a="1"/>
  <c r="I402" i="2" s="1"/>
  <c r="L398" i="2" a="1"/>
  <c r="L398" i="2" s="1"/>
  <c r="K398" i="2" a="1"/>
  <c r="K398" i="2" s="1"/>
  <c r="J398" i="2" a="1"/>
  <c r="J398" i="2" s="1"/>
  <c r="I398" i="2" a="1"/>
  <c r="I398" i="2" s="1"/>
  <c r="K394" i="2" a="1"/>
  <c r="K394" i="2" s="1"/>
  <c r="L394" i="2" a="1"/>
  <c r="L394" i="2" s="1"/>
  <c r="J394" i="2" a="1"/>
  <c r="J394" i="2" s="1"/>
  <c r="I394" i="2" a="1"/>
  <c r="I394" i="2" s="1"/>
  <c r="L390" i="2" a="1"/>
  <c r="L390" i="2" s="1"/>
  <c r="K390" i="2" a="1"/>
  <c r="K390" i="2" s="1"/>
  <c r="J390" i="2" a="1"/>
  <c r="J390" i="2" s="1"/>
  <c r="I390" i="2" a="1"/>
  <c r="I390" i="2" s="1"/>
  <c r="K386" i="2" a="1"/>
  <c r="K386" i="2" s="1"/>
  <c r="L386" i="2" a="1"/>
  <c r="L386" i="2" s="1"/>
  <c r="J386" i="2" a="1"/>
  <c r="J386" i="2" s="1"/>
  <c r="I386" i="2" a="1"/>
  <c r="I386" i="2" s="1"/>
  <c r="L382" i="2" a="1"/>
  <c r="L382" i="2" s="1"/>
  <c r="K382" i="2" a="1"/>
  <c r="K382" i="2" s="1"/>
  <c r="J382" i="2" a="1"/>
  <c r="J382" i="2" s="1"/>
  <c r="I382" i="2" a="1"/>
  <c r="I382" i="2" s="1"/>
  <c r="K378" i="2" a="1"/>
  <c r="K378" i="2" s="1"/>
  <c r="L378" i="2" a="1"/>
  <c r="L378" i="2" s="1"/>
  <c r="J378" i="2" a="1"/>
  <c r="J378" i="2" s="1"/>
  <c r="I378" i="2" a="1"/>
  <c r="I378" i="2" s="1"/>
  <c r="L374" i="2" a="1"/>
  <c r="L374" i="2" s="1"/>
  <c r="K374" i="2" a="1"/>
  <c r="K374" i="2" s="1"/>
  <c r="J374" i="2" a="1"/>
  <c r="J374" i="2" s="1"/>
  <c r="I374" i="2" a="1"/>
  <c r="I374" i="2" s="1"/>
  <c r="K370" i="2" a="1"/>
  <c r="K370" i="2" s="1"/>
  <c r="L370" i="2" a="1"/>
  <c r="L370" i="2" s="1"/>
  <c r="J370" i="2" a="1"/>
  <c r="J370" i="2" s="1"/>
  <c r="I370" i="2" a="1"/>
  <c r="I370" i="2" s="1"/>
  <c r="L366" i="2" a="1"/>
  <c r="L366" i="2" s="1"/>
  <c r="K366" i="2" a="1"/>
  <c r="K366" i="2" s="1"/>
  <c r="J366" i="2" a="1"/>
  <c r="J366" i="2" s="1"/>
  <c r="I366" i="2" a="1"/>
  <c r="I366" i="2" s="1"/>
  <c r="K362" i="2" a="1"/>
  <c r="K362" i="2" s="1"/>
  <c r="L362" i="2" a="1"/>
  <c r="L362" i="2" s="1"/>
  <c r="J362" i="2" a="1"/>
  <c r="J362" i="2" s="1"/>
  <c r="I362" i="2" a="1"/>
  <c r="I362" i="2" s="1"/>
  <c r="L358" i="2" a="1"/>
  <c r="L358" i="2" s="1"/>
  <c r="K358" i="2" a="1"/>
  <c r="K358" i="2" s="1"/>
  <c r="I358" i="2" a="1"/>
  <c r="I358" i="2" s="1"/>
  <c r="J358" i="2" a="1"/>
  <c r="J358" i="2" s="1"/>
  <c r="L354" i="2" a="1"/>
  <c r="L354" i="2" s="1"/>
  <c r="K354" i="2" a="1"/>
  <c r="K354" i="2" s="1"/>
  <c r="I354" i="2" a="1"/>
  <c r="I354" i="2" s="1"/>
  <c r="J354" i="2" a="1"/>
  <c r="J354" i="2" s="1"/>
  <c r="K350" i="2" a="1"/>
  <c r="K350" i="2" s="1"/>
  <c r="L350" i="2" a="1"/>
  <c r="L350" i="2" s="1"/>
  <c r="I350" i="2" a="1"/>
  <c r="I350" i="2" s="1"/>
  <c r="J350" i="2" a="1"/>
  <c r="J350" i="2" s="1"/>
  <c r="L346" i="2" a="1"/>
  <c r="L346" i="2" s="1"/>
  <c r="K346" i="2" a="1"/>
  <c r="K346" i="2" s="1"/>
  <c r="I346" i="2" a="1"/>
  <c r="I346" i="2" s="1"/>
  <c r="J346" i="2" a="1"/>
  <c r="J346" i="2" s="1"/>
  <c r="K342" i="2" a="1"/>
  <c r="K342" i="2" s="1"/>
  <c r="L342" i="2" a="1"/>
  <c r="L342" i="2" s="1"/>
  <c r="I342" i="2" a="1"/>
  <c r="I342" i="2" s="1"/>
  <c r="J342" i="2" a="1"/>
  <c r="J342" i="2" s="1"/>
  <c r="L338" i="2" a="1"/>
  <c r="L338" i="2" s="1"/>
  <c r="K338" i="2" a="1"/>
  <c r="K338" i="2" s="1"/>
  <c r="I338" i="2" a="1"/>
  <c r="I338" i="2" s="1"/>
  <c r="J338" i="2" a="1"/>
  <c r="J338" i="2" s="1"/>
  <c r="L334" i="2" a="1"/>
  <c r="L334" i="2" s="1"/>
  <c r="K334" i="2" a="1"/>
  <c r="K334" i="2" s="1"/>
  <c r="I334" i="2" a="1"/>
  <c r="I334" i="2" s="1"/>
  <c r="J334" i="2" a="1"/>
  <c r="J334" i="2" s="1"/>
  <c r="K330" i="2" a="1"/>
  <c r="K330" i="2" s="1"/>
  <c r="L330" i="2" a="1"/>
  <c r="L330" i="2" s="1"/>
  <c r="I330" i="2" a="1"/>
  <c r="I330" i="2" s="1"/>
  <c r="J330" i="2" a="1"/>
  <c r="J330" i="2" s="1"/>
  <c r="L326" i="2" a="1"/>
  <c r="L326" i="2" s="1"/>
  <c r="K326" i="2" a="1"/>
  <c r="K326" i="2" s="1"/>
  <c r="I326" i="2" a="1"/>
  <c r="I326" i="2" s="1"/>
  <c r="J326" i="2" a="1"/>
  <c r="J326" i="2" s="1"/>
  <c r="L322" i="2" a="1"/>
  <c r="L322" i="2" s="1"/>
  <c r="K322" i="2" a="1"/>
  <c r="K322" i="2" s="1"/>
  <c r="I322" i="2" a="1"/>
  <c r="I322" i="2" s="1"/>
  <c r="J322" i="2" a="1"/>
  <c r="J322" i="2" s="1"/>
  <c r="L318" i="2" a="1"/>
  <c r="L318" i="2" s="1"/>
  <c r="K318" i="2" a="1"/>
  <c r="K318" i="2" s="1"/>
  <c r="I318" i="2" a="1"/>
  <c r="I318" i="2" s="1"/>
  <c r="J318" i="2" a="1"/>
  <c r="J318" i="2" s="1"/>
  <c r="K314" i="2" a="1"/>
  <c r="K314" i="2" s="1"/>
  <c r="L314" i="2" a="1"/>
  <c r="L314" i="2" s="1"/>
  <c r="I314" i="2" a="1"/>
  <c r="I314" i="2" s="1"/>
  <c r="J314" i="2" a="1"/>
  <c r="J314" i="2" s="1"/>
  <c r="L310" i="2" a="1"/>
  <c r="L310" i="2" s="1"/>
  <c r="K310" i="2" a="1"/>
  <c r="K310" i="2" s="1"/>
  <c r="I310" i="2" a="1"/>
  <c r="I310" i="2" s="1"/>
  <c r="J310" i="2" a="1"/>
  <c r="J310" i="2" s="1"/>
  <c r="L306" i="2" a="1"/>
  <c r="L306" i="2" s="1"/>
  <c r="K306" i="2" a="1"/>
  <c r="K306" i="2" s="1"/>
  <c r="J306" i="2" a="1"/>
  <c r="J306" i="2" s="1"/>
  <c r="L302" i="2" a="1"/>
  <c r="L302" i="2" s="1"/>
  <c r="K302" i="2" a="1"/>
  <c r="K302" i="2" s="1"/>
  <c r="J302" i="2" a="1"/>
  <c r="J302" i="2" s="1"/>
  <c r="K298" i="2" a="1"/>
  <c r="K298" i="2" s="1"/>
  <c r="L298" i="2" a="1"/>
  <c r="L298" i="2" s="1"/>
  <c r="J298" i="2" a="1"/>
  <c r="J298" i="2" s="1"/>
  <c r="L294" i="2" a="1"/>
  <c r="L294" i="2" s="1"/>
  <c r="K294" i="2" a="1"/>
  <c r="K294" i="2" s="1"/>
  <c r="J294" i="2" a="1"/>
  <c r="J294" i="2" s="1"/>
  <c r="L290" i="2" a="1"/>
  <c r="L290" i="2" s="1"/>
  <c r="K290" i="2" a="1"/>
  <c r="K290" i="2" s="1"/>
  <c r="J290" i="2" a="1"/>
  <c r="J290" i="2" s="1"/>
  <c r="L286" i="2" a="1"/>
  <c r="L286" i="2" s="1"/>
  <c r="K286" i="2" a="1"/>
  <c r="K286" i="2" s="1"/>
  <c r="J286" i="2" a="1"/>
  <c r="J286" i="2" s="1"/>
  <c r="L282" i="2" a="1"/>
  <c r="L282" i="2" s="1"/>
  <c r="K282" i="2" a="1"/>
  <c r="K282" i="2" s="1"/>
  <c r="J282" i="2" a="1"/>
  <c r="J282" i="2" s="1"/>
  <c r="L278" i="2" a="1"/>
  <c r="L278" i="2" s="1"/>
  <c r="K278" i="2" a="1"/>
  <c r="K278" i="2" s="1"/>
  <c r="J278" i="2" a="1"/>
  <c r="J278" i="2" s="1"/>
  <c r="L274" i="2" a="1"/>
  <c r="L274" i="2" s="1"/>
  <c r="K274" i="2" a="1"/>
  <c r="K274" i="2" s="1"/>
  <c r="J274" i="2" a="1"/>
  <c r="J274" i="2" s="1"/>
  <c r="L270" i="2" a="1"/>
  <c r="L270" i="2" s="1"/>
  <c r="K270" i="2" a="1"/>
  <c r="K270" i="2" s="1"/>
  <c r="J270" i="2" a="1"/>
  <c r="J270" i="2" s="1"/>
  <c r="L266" i="2" a="1"/>
  <c r="L266" i="2" s="1"/>
  <c r="K266" i="2" a="1"/>
  <c r="K266" i="2" s="1"/>
  <c r="J266" i="2" a="1"/>
  <c r="J266" i="2" s="1"/>
  <c r="L262" i="2" a="1"/>
  <c r="L262" i="2" s="1"/>
  <c r="K262" i="2" a="1"/>
  <c r="K262" i="2" s="1"/>
  <c r="J262" i="2" a="1"/>
  <c r="J262" i="2" s="1"/>
  <c r="L258" i="2" a="1"/>
  <c r="L258" i="2" s="1"/>
  <c r="K258" i="2" a="1"/>
  <c r="K258" i="2" s="1"/>
  <c r="J258" i="2" a="1"/>
  <c r="J258" i="2" s="1"/>
  <c r="L254" i="2" a="1"/>
  <c r="L254" i="2" s="1"/>
  <c r="K254" i="2" a="1"/>
  <c r="K254" i="2" s="1"/>
  <c r="J254" i="2" a="1"/>
  <c r="J254" i="2" s="1"/>
  <c r="L250" i="2" a="1"/>
  <c r="L250" i="2" s="1"/>
  <c r="K250" i="2" a="1"/>
  <c r="K250" i="2" s="1"/>
  <c r="J250" i="2" a="1"/>
  <c r="J250" i="2" s="1"/>
  <c r="L246" i="2" a="1"/>
  <c r="L246" i="2" s="1"/>
  <c r="K246" i="2" a="1"/>
  <c r="K246" i="2" s="1"/>
  <c r="L242" i="2" a="1"/>
  <c r="L242" i="2" s="1"/>
  <c r="K242" i="2" a="1"/>
  <c r="K242" i="2" s="1"/>
  <c r="L238" i="2" a="1"/>
  <c r="L238" i="2" s="1"/>
  <c r="K238" i="2" a="1"/>
  <c r="K238" i="2" s="1"/>
  <c r="L234" i="2" a="1"/>
  <c r="L234" i="2" s="1"/>
  <c r="K234" i="2" a="1"/>
  <c r="K234" i="2" s="1"/>
  <c r="L230" i="2" a="1"/>
  <c r="L230" i="2" s="1"/>
  <c r="K230" i="2" a="1"/>
  <c r="K230" i="2" s="1"/>
  <c r="L226" i="2" a="1"/>
  <c r="L226" i="2" s="1"/>
  <c r="K226" i="2" a="1"/>
  <c r="K226" i="2" s="1"/>
  <c r="L222" i="2" a="1"/>
  <c r="L222" i="2" s="1"/>
  <c r="K222" i="2" a="1"/>
  <c r="K222" i="2" s="1"/>
  <c r="L218" i="2" a="1"/>
  <c r="L218" i="2" s="1"/>
  <c r="K218" i="2" a="1"/>
  <c r="K218" i="2" s="1"/>
  <c r="L214" i="2" a="1"/>
  <c r="L214" i="2" s="1"/>
  <c r="K214" i="2" a="1"/>
  <c r="K214" i="2" s="1"/>
  <c r="L210" i="2" a="1"/>
  <c r="L210" i="2" s="1"/>
  <c r="K210" i="2" a="1"/>
  <c r="K210" i="2" s="1"/>
  <c r="L206" i="2" a="1"/>
  <c r="L206" i="2" s="1"/>
  <c r="K206" i="2" a="1"/>
  <c r="K206" i="2" s="1"/>
  <c r="L202" i="2" a="1"/>
  <c r="L202" i="2" s="1"/>
  <c r="K202" i="2" a="1"/>
  <c r="K202" i="2" s="1"/>
  <c r="L198" i="2" a="1"/>
  <c r="L198" i="2" s="1"/>
  <c r="K198" i="2" a="1"/>
  <c r="K198" i="2" s="1"/>
  <c r="L194" i="2" a="1"/>
  <c r="L194" i="2" s="1"/>
  <c r="K194" i="2" a="1"/>
  <c r="K194" i="2" s="1"/>
  <c r="L190" i="2" a="1"/>
  <c r="L190" i="2" s="1"/>
  <c r="K190" i="2" a="1"/>
  <c r="K190" i="2" s="1"/>
  <c r="L186" i="2" a="1"/>
  <c r="L186" i="2" s="1"/>
  <c r="K186" i="2" a="1"/>
  <c r="K186" i="2" s="1"/>
  <c r="L182" i="2" a="1"/>
  <c r="L182" i="2" s="1"/>
  <c r="K182" i="2" a="1"/>
  <c r="K182" i="2" s="1"/>
  <c r="L178" i="2" a="1"/>
  <c r="L178" i="2" s="1"/>
  <c r="K178" i="2" a="1"/>
  <c r="K178" i="2" s="1"/>
  <c r="L174" i="2" a="1"/>
  <c r="L174" i="2" s="1"/>
  <c r="K174" i="2" a="1"/>
  <c r="K174" i="2" s="1"/>
  <c r="L170" i="2" a="1"/>
  <c r="L170" i="2" s="1"/>
  <c r="K170" i="2" a="1"/>
  <c r="K170" i="2" s="1"/>
  <c r="L166" i="2" a="1"/>
  <c r="L166" i="2" s="1"/>
  <c r="K166" i="2" a="1"/>
  <c r="K166" i="2" s="1"/>
  <c r="L162" i="2" a="1"/>
  <c r="L162" i="2" s="1"/>
  <c r="K162" i="2" a="1"/>
  <c r="K162" i="2" s="1"/>
  <c r="I162" i="2" a="1"/>
  <c r="I162" i="2" s="1"/>
  <c r="L158" i="2" a="1"/>
  <c r="L158" i="2" s="1"/>
  <c r="K158" i="2" a="1"/>
  <c r="K158" i="2" s="1"/>
  <c r="I158" i="2" a="1"/>
  <c r="I158" i="2" s="1"/>
  <c r="L154" i="2" a="1"/>
  <c r="L154" i="2" s="1"/>
  <c r="K154" i="2" a="1"/>
  <c r="K154" i="2" s="1"/>
  <c r="I154" i="2" a="1"/>
  <c r="I154" i="2" s="1"/>
  <c r="L150" i="2" a="1"/>
  <c r="L150" i="2" s="1"/>
  <c r="K150" i="2" a="1"/>
  <c r="K150" i="2" s="1"/>
  <c r="L146" i="2" a="1"/>
  <c r="L146" i="2" s="1"/>
  <c r="K146" i="2" a="1"/>
  <c r="K146" i="2" s="1"/>
  <c r="L142" i="2" a="1"/>
  <c r="L142" i="2" s="1"/>
  <c r="K142" i="2" a="1"/>
  <c r="K142" i="2" s="1"/>
  <c r="L138" i="2" a="1"/>
  <c r="L138" i="2" s="1"/>
  <c r="K138" i="2" a="1"/>
  <c r="K138" i="2" s="1"/>
  <c r="L134" i="2" a="1"/>
  <c r="L134" i="2" s="1"/>
  <c r="K134" i="2" a="1"/>
  <c r="K134" i="2" s="1"/>
  <c r="L130" i="2" a="1"/>
  <c r="L130" i="2" s="1"/>
  <c r="K130" i="2" a="1"/>
  <c r="K130" i="2" s="1"/>
  <c r="L126" i="2" a="1"/>
  <c r="L126" i="2" s="1"/>
  <c r="K126" i="2" a="1"/>
  <c r="K126" i="2" s="1"/>
  <c r="L122" i="2" a="1"/>
  <c r="L122" i="2" s="1"/>
  <c r="K122" i="2" a="1"/>
  <c r="K122" i="2" s="1"/>
  <c r="L118" i="2" a="1"/>
  <c r="L118" i="2" s="1"/>
  <c r="K118" i="2" a="1"/>
  <c r="K118" i="2" s="1"/>
  <c r="L114" i="2" a="1"/>
  <c r="L114" i="2" s="1"/>
  <c r="K114" i="2" a="1"/>
  <c r="K114" i="2" s="1"/>
  <c r="L110" i="2" a="1"/>
  <c r="L110" i="2" s="1"/>
  <c r="K110" i="2" a="1"/>
  <c r="K110" i="2" s="1"/>
  <c r="L106" i="2" a="1"/>
  <c r="L106" i="2" s="1"/>
  <c r="K106" i="2" a="1"/>
  <c r="K106" i="2" s="1"/>
  <c r="L102" i="2" a="1"/>
  <c r="L102" i="2" s="1"/>
  <c r="K102" i="2" a="1"/>
  <c r="K102" i="2" s="1"/>
  <c r="L98" i="2" a="1"/>
  <c r="L98" i="2" s="1"/>
  <c r="K98" i="2" a="1"/>
  <c r="K98" i="2" s="1"/>
  <c r="L94" i="2" a="1"/>
  <c r="L94" i="2" s="1"/>
  <c r="K94" i="2" a="1"/>
  <c r="K94" i="2" s="1"/>
  <c r="L90" i="2" a="1"/>
  <c r="L90" i="2" s="1"/>
  <c r="K90" i="2" a="1"/>
  <c r="K90" i="2" s="1"/>
  <c r="L86" i="2" a="1"/>
  <c r="L86" i="2" s="1"/>
  <c r="K86" i="2" a="1"/>
  <c r="K86" i="2" s="1"/>
  <c r="L82" i="2" a="1"/>
  <c r="L82" i="2" s="1"/>
  <c r="K82" i="2" a="1"/>
  <c r="K82" i="2" s="1"/>
  <c r="L78" i="2" a="1"/>
  <c r="L78" i="2" s="1"/>
  <c r="K78" i="2" a="1"/>
  <c r="K78" i="2" s="1"/>
  <c r="L74" i="2" a="1"/>
  <c r="L74" i="2" s="1"/>
  <c r="K74" i="2" a="1"/>
  <c r="K74" i="2" s="1"/>
  <c r="L70" i="2" a="1"/>
  <c r="L70" i="2" s="1"/>
  <c r="K70" i="2" a="1"/>
  <c r="K70" i="2" s="1"/>
  <c r="L66" i="2" a="1"/>
  <c r="L66" i="2" s="1"/>
  <c r="K66" i="2" a="1"/>
  <c r="K66" i="2" s="1"/>
  <c r="L62" i="2" a="1"/>
  <c r="L62" i="2" s="1"/>
  <c r="K62" i="2" a="1"/>
  <c r="K62" i="2" s="1"/>
  <c r="L58" i="2" a="1"/>
  <c r="L58" i="2" s="1"/>
  <c r="K58" i="2" a="1"/>
  <c r="K58" i="2" s="1"/>
  <c r="L54" i="2" a="1"/>
  <c r="L54" i="2" s="1"/>
  <c r="K54" i="2" a="1"/>
  <c r="K54" i="2" s="1"/>
  <c r="L50" i="2" a="1"/>
  <c r="L50" i="2" s="1"/>
  <c r="K50" i="2" a="1"/>
  <c r="K50" i="2" s="1"/>
  <c r="L46" i="2" a="1"/>
  <c r="L46" i="2" s="1"/>
  <c r="K46" i="2" a="1"/>
  <c r="K46" i="2" s="1"/>
  <c r="L42" i="2" a="1"/>
  <c r="L42" i="2" s="1"/>
  <c r="K42" i="2" a="1"/>
  <c r="K42" i="2" s="1"/>
  <c r="L38" i="2" a="1"/>
  <c r="L38" i="2" s="1"/>
  <c r="K38" i="2" a="1"/>
  <c r="K38" i="2" s="1"/>
  <c r="L34" i="2" a="1"/>
  <c r="L34" i="2" s="1"/>
  <c r="K34" i="2" a="1"/>
  <c r="K34" i="2" s="1"/>
  <c r="L30" i="2" a="1"/>
  <c r="L30" i="2" s="1"/>
  <c r="K30" i="2" a="1"/>
  <c r="K30" i="2" s="1"/>
  <c r="L26" i="2" a="1"/>
  <c r="L26" i="2" s="1"/>
  <c r="K26" i="2" a="1"/>
  <c r="K26" i="2" s="1"/>
  <c r="M23" i="2" a="1"/>
  <c r="M23" i="2" s="1"/>
  <c r="I24" i="2" a="1"/>
  <c r="I24" i="2" s="1"/>
  <c r="P24" i="2" a="1"/>
  <c r="P24" i="2" s="1"/>
  <c r="I26" i="2" a="1"/>
  <c r="I26" i="2" s="1"/>
  <c r="M27" i="2" a="1"/>
  <c r="M27" i="2" s="1"/>
  <c r="I28" i="2" a="1"/>
  <c r="I28" i="2" s="1"/>
  <c r="P28" i="2" a="1"/>
  <c r="P28" i="2" s="1"/>
  <c r="I30" i="2" a="1"/>
  <c r="I30" i="2" s="1"/>
  <c r="M31" i="2" a="1"/>
  <c r="M31" i="2" s="1"/>
  <c r="I32" i="2" a="1"/>
  <c r="I32" i="2" s="1"/>
  <c r="P32" i="2" a="1"/>
  <c r="P32" i="2" s="1"/>
  <c r="I34" i="2" a="1"/>
  <c r="I34" i="2" s="1"/>
  <c r="M35" i="2" a="1"/>
  <c r="M35" i="2" s="1"/>
  <c r="I36" i="2" a="1"/>
  <c r="I36" i="2" s="1"/>
  <c r="P36" i="2" a="1"/>
  <c r="P36" i="2" s="1"/>
  <c r="I38" i="2" a="1"/>
  <c r="I38" i="2" s="1"/>
  <c r="M39" i="2" a="1"/>
  <c r="M39" i="2" s="1"/>
  <c r="I40" i="2" a="1"/>
  <c r="I40" i="2" s="1"/>
  <c r="P40" i="2" a="1"/>
  <c r="P40" i="2" s="1"/>
  <c r="I42" i="2" a="1"/>
  <c r="I42" i="2" s="1"/>
  <c r="M43" i="2" a="1"/>
  <c r="M43" i="2" s="1"/>
  <c r="I44" i="2" a="1"/>
  <c r="I44" i="2" s="1"/>
  <c r="P44" i="2" a="1"/>
  <c r="P44" i="2" s="1"/>
  <c r="I46" i="2" a="1"/>
  <c r="I46" i="2" s="1"/>
  <c r="M47" i="2" a="1"/>
  <c r="M47" i="2" s="1"/>
  <c r="I48" i="2" a="1"/>
  <c r="I48" i="2" s="1"/>
  <c r="P48" i="2" a="1"/>
  <c r="P48" i="2" s="1"/>
  <c r="I50" i="2" a="1"/>
  <c r="I50" i="2" s="1"/>
  <c r="M51" i="2" a="1"/>
  <c r="M51" i="2" s="1"/>
  <c r="I52" i="2" a="1"/>
  <c r="I52" i="2" s="1"/>
  <c r="P52" i="2" a="1"/>
  <c r="P52" i="2" s="1"/>
  <c r="I54" i="2" a="1"/>
  <c r="I54" i="2" s="1"/>
  <c r="M55" i="2" a="1"/>
  <c r="M55" i="2" s="1"/>
  <c r="I56" i="2" a="1"/>
  <c r="I56" i="2" s="1"/>
  <c r="P56" i="2" a="1"/>
  <c r="P56" i="2" s="1"/>
  <c r="I58" i="2" a="1"/>
  <c r="I58" i="2" s="1"/>
  <c r="M59" i="2" a="1"/>
  <c r="M59" i="2" s="1"/>
  <c r="I60" i="2" a="1"/>
  <c r="I60" i="2" s="1"/>
  <c r="P60" i="2" a="1"/>
  <c r="P60" i="2" s="1"/>
  <c r="I62" i="2" a="1"/>
  <c r="I62" i="2" s="1"/>
  <c r="M63" i="2" a="1"/>
  <c r="M63" i="2" s="1"/>
  <c r="I64" i="2" a="1"/>
  <c r="I64" i="2" s="1"/>
  <c r="P64" i="2" a="1"/>
  <c r="P64" i="2" s="1"/>
  <c r="I66" i="2" a="1"/>
  <c r="I66" i="2" s="1"/>
  <c r="M67" i="2" a="1"/>
  <c r="M67" i="2" s="1"/>
  <c r="I68" i="2" a="1"/>
  <c r="I68" i="2" s="1"/>
  <c r="P68" i="2" a="1"/>
  <c r="P68" i="2" s="1"/>
  <c r="I70" i="2" a="1"/>
  <c r="I70" i="2" s="1"/>
  <c r="M71" i="2" a="1"/>
  <c r="M71" i="2" s="1"/>
  <c r="I72" i="2" a="1"/>
  <c r="I72" i="2" s="1"/>
  <c r="P72" i="2" a="1"/>
  <c r="P72" i="2" s="1"/>
  <c r="I74" i="2" a="1"/>
  <c r="I74" i="2" s="1"/>
  <c r="M75" i="2" a="1"/>
  <c r="M75" i="2" s="1"/>
  <c r="I76" i="2" a="1"/>
  <c r="I76" i="2" s="1"/>
  <c r="P76" i="2" a="1"/>
  <c r="P76" i="2" s="1"/>
  <c r="I78" i="2" a="1"/>
  <c r="I78" i="2" s="1"/>
  <c r="M79" i="2" a="1"/>
  <c r="M79" i="2" s="1"/>
  <c r="I80" i="2" a="1"/>
  <c r="I80" i="2" s="1"/>
  <c r="P80" i="2" a="1"/>
  <c r="P80" i="2" s="1"/>
  <c r="I82" i="2" a="1"/>
  <c r="I82" i="2" s="1"/>
  <c r="M83" i="2" a="1"/>
  <c r="M83" i="2" s="1"/>
  <c r="I84" i="2" a="1"/>
  <c r="I84" i="2" s="1"/>
  <c r="P84" i="2" a="1"/>
  <c r="P84" i="2" s="1"/>
  <c r="I86" i="2" a="1"/>
  <c r="I86" i="2" s="1"/>
  <c r="M87" i="2" a="1"/>
  <c r="M87" i="2" s="1"/>
  <c r="I88" i="2" a="1"/>
  <c r="I88" i="2" s="1"/>
  <c r="P88" i="2" a="1"/>
  <c r="P88" i="2" s="1"/>
  <c r="I90" i="2" a="1"/>
  <c r="I90" i="2" s="1"/>
  <c r="M91" i="2" a="1"/>
  <c r="M91" i="2" s="1"/>
  <c r="I92" i="2" a="1"/>
  <c r="I92" i="2" s="1"/>
  <c r="P92" i="2" a="1"/>
  <c r="P92" i="2" s="1"/>
  <c r="I94" i="2" a="1"/>
  <c r="I94" i="2" s="1"/>
  <c r="M95" i="2" a="1"/>
  <c r="M95" i="2" s="1"/>
  <c r="I96" i="2" a="1"/>
  <c r="I96" i="2" s="1"/>
  <c r="P96" i="2" a="1"/>
  <c r="P96" i="2" s="1"/>
  <c r="I98" i="2" a="1"/>
  <c r="I98" i="2" s="1"/>
  <c r="M99" i="2" a="1"/>
  <c r="M99" i="2" s="1"/>
  <c r="I100" i="2" a="1"/>
  <c r="I100" i="2" s="1"/>
  <c r="P100" i="2" a="1"/>
  <c r="P100" i="2" s="1"/>
  <c r="I102" i="2" a="1"/>
  <c r="I102" i="2" s="1"/>
  <c r="M103" i="2" a="1"/>
  <c r="M103" i="2" s="1"/>
  <c r="I104" i="2" a="1"/>
  <c r="I104" i="2" s="1"/>
  <c r="P104" i="2" a="1"/>
  <c r="P104" i="2" s="1"/>
  <c r="J106" i="2" a="1"/>
  <c r="J106" i="2" s="1"/>
  <c r="O107" i="2" a="1"/>
  <c r="O107" i="2" s="1"/>
  <c r="J108" i="2" a="1"/>
  <c r="J108" i="2" s="1"/>
  <c r="Q108" i="2" a="1"/>
  <c r="Q108" i="2" s="1"/>
  <c r="J110" i="2" a="1"/>
  <c r="J110" i="2" s="1"/>
  <c r="O111" i="2" a="1"/>
  <c r="O111" i="2" s="1"/>
  <c r="J112" i="2" a="1"/>
  <c r="J112" i="2" s="1"/>
  <c r="Q112" i="2" a="1"/>
  <c r="Q112" i="2" s="1"/>
  <c r="J114" i="2" a="1"/>
  <c r="J114" i="2" s="1"/>
  <c r="O115" i="2" a="1"/>
  <c r="O115" i="2" s="1"/>
  <c r="J116" i="2" a="1"/>
  <c r="J116" i="2" s="1"/>
  <c r="Q116" i="2" a="1"/>
  <c r="Q116" i="2" s="1"/>
  <c r="J118" i="2" a="1"/>
  <c r="J118" i="2" s="1"/>
  <c r="O119" i="2" a="1"/>
  <c r="O119" i="2" s="1"/>
  <c r="J120" i="2" a="1"/>
  <c r="J120" i="2" s="1"/>
  <c r="Q120" i="2" a="1"/>
  <c r="Q120" i="2" s="1"/>
  <c r="J122" i="2" a="1"/>
  <c r="J122" i="2" s="1"/>
  <c r="O123" i="2" a="1"/>
  <c r="O123" i="2" s="1"/>
  <c r="J124" i="2" a="1"/>
  <c r="J124" i="2" s="1"/>
  <c r="Q124" i="2" a="1"/>
  <c r="Q124" i="2" s="1"/>
  <c r="J126" i="2" a="1"/>
  <c r="J126" i="2" s="1"/>
  <c r="O127" i="2" a="1"/>
  <c r="O127" i="2" s="1"/>
  <c r="J128" i="2" a="1"/>
  <c r="J128" i="2" s="1"/>
  <c r="Q128" i="2" a="1"/>
  <c r="Q128" i="2" s="1"/>
  <c r="J130" i="2" a="1"/>
  <c r="J130" i="2" s="1"/>
  <c r="O131" i="2" a="1"/>
  <c r="O131" i="2" s="1"/>
  <c r="J132" i="2" a="1"/>
  <c r="J132" i="2" s="1"/>
  <c r="Q132" i="2" a="1"/>
  <c r="Q132" i="2" s="1"/>
  <c r="J134" i="2" a="1"/>
  <c r="J134" i="2" s="1"/>
  <c r="O135" i="2" a="1"/>
  <c r="O135" i="2" s="1"/>
  <c r="J136" i="2" a="1"/>
  <c r="J136" i="2" s="1"/>
  <c r="Q136" i="2" a="1"/>
  <c r="Q136" i="2" s="1"/>
  <c r="J138" i="2" a="1"/>
  <c r="J138" i="2" s="1"/>
  <c r="O139" i="2" a="1"/>
  <c r="O139" i="2" s="1"/>
  <c r="J140" i="2" a="1"/>
  <c r="J140" i="2" s="1"/>
  <c r="Q140" i="2" a="1"/>
  <c r="Q140" i="2" s="1"/>
  <c r="J142" i="2" a="1"/>
  <c r="J142" i="2" s="1"/>
  <c r="O143" i="2" a="1"/>
  <c r="O143" i="2" s="1"/>
  <c r="J144" i="2" a="1"/>
  <c r="J144" i="2" s="1"/>
  <c r="Q144" i="2" a="1"/>
  <c r="Q144" i="2" s="1"/>
  <c r="J146" i="2" a="1"/>
  <c r="J146" i="2" s="1"/>
  <c r="O147" i="2" a="1"/>
  <c r="O147" i="2" s="1"/>
  <c r="J148" i="2" a="1"/>
  <c r="J148" i="2" s="1"/>
  <c r="Q148" i="2" a="1"/>
  <c r="Q148" i="2" s="1"/>
  <c r="J150" i="2" a="1"/>
  <c r="J150" i="2" s="1"/>
  <c r="O151" i="2" a="1"/>
  <c r="O151" i="2" s="1"/>
  <c r="R151" i="2" a="1"/>
  <c r="R151" i="2" s="1"/>
  <c r="N152" i="2" a="1"/>
  <c r="N152" i="2" s="1"/>
  <c r="J154" i="2" a="1"/>
  <c r="J154" i="2" s="1"/>
  <c r="O155" i="2" a="1"/>
  <c r="O155" i="2" s="1"/>
  <c r="R155" i="2" a="1"/>
  <c r="R155" i="2" s="1"/>
  <c r="N156" i="2" a="1"/>
  <c r="N156" i="2" s="1"/>
  <c r="J158" i="2" a="1"/>
  <c r="J158" i="2" s="1"/>
  <c r="O159" i="2" a="1"/>
  <c r="O159" i="2" s="1"/>
  <c r="R159" i="2" a="1"/>
  <c r="R159" i="2" s="1"/>
  <c r="N160" i="2" a="1"/>
  <c r="N160" i="2" s="1"/>
  <c r="J162" i="2" a="1"/>
  <c r="J162" i="2" s="1"/>
  <c r="O163" i="2" a="1"/>
  <c r="O163" i="2" s="1"/>
  <c r="R163" i="2" a="1"/>
  <c r="R163" i="2" s="1"/>
  <c r="N164" i="2" a="1"/>
  <c r="N164" i="2" s="1"/>
  <c r="M166" i="2" a="1"/>
  <c r="M166" i="2" s="1"/>
  <c r="P166" i="2" a="1"/>
  <c r="P166" i="2" s="1"/>
  <c r="M167" i="2" a="1"/>
  <c r="M167" i="2" s="1"/>
  <c r="P167" i="2" a="1"/>
  <c r="P167" i="2" s="1"/>
  <c r="M168" i="2" a="1"/>
  <c r="M168" i="2" s="1"/>
  <c r="P168" i="2" a="1"/>
  <c r="P168" i="2" s="1"/>
  <c r="R170" i="2" a="1"/>
  <c r="R170" i="2" s="1"/>
  <c r="O171" i="2" a="1"/>
  <c r="O171" i="2" s="1"/>
  <c r="I172" i="2" a="1"/>
  <c r="I172" i="2" s="1"/>
  <c r="O172" i="2" a="1"/>
  <c r="O172" i="2" s="1"/>
  <c r="J174" i="2" a="1"/>
  <c r="J174" i="2" s="1"/>
  <c r="P174" i="2" a="1"/>
  <c r="P174" i="2" s="1"/>
  <c r="J175" i="2" a="1"/>
  <c r="J175" i="2" s="1"/>
  <c r="Q175" i="2" a="1"/>
  <c r="Q175" i="2" s="1"/>
  <c r="M176" i="2" a="1"/>
  <c r="M176" i="2" s="1"/>
  <c r="Q176" i="2" a="1"/>
  <c r="Q176" i="2" s="1"/>
  <c r="R178" i="2" a="1"/>
  <c r="R178" i="2" s="1"/>
  <c r="O179" i="2" a="1"/>
  <c r="O179" i="2" s="1"/>
  <c r="I180" i="2" a="1"/>
  <c r="I180" i="2" s="1"/>
  <c r="O180" i="2" a="1"/>
  <c r="O180" i="2" s="1"/>
  <c r="J182" i="2" a="1"/>
  <c r="J182" i="2" s="1"/>
  <c r="P182" i="2" a="1"/>
  <c r="P182" i="2" s="1"/>
  <c r="J183" i="2" a="1"/>
  <c r="J183" i="2" s="1"/>
  <c r="Q183" i="2" a="1"/>
  <c r="Q183" i="2" s="1"/>
  <c r="M184" i="2" a="1"/>
  <c r="M184" i="2" s="1"/>
  <c r="Q184" i="2" a="1"/>
  <c r="Q184" i="2" s="1"/>
  <c r="R186" i="2" a="1"/>
  <c r="R186" i="2" s="1"/>
  <c r="O187" i="2" a="1"/>
  <c r="O187" i="2" s="1"/>
  <c r="I188" i="2" a="1"/>
  <c r="I188" i="2" s="1"/>
  <c r="O188" i="2" a="1"/>
  <c r="O188" i="2" s="1"/>
  <c r="J190" i="2" a="1"/>
  <c r="J190" i="2" s="1"/>
  <c r="P190" i="2" a="1"/>
  <c r="P190" i="2" s="1"/>
  <c r="J191" i="2" a="1"/>
  <c r="J191" i="2" s="1"/>
  <c r="Q191" i="2" a="1"/>
  <c r="Q191" i="2" s="1"/>
  <c r="M192" i="2" a="1"/>
  <c r="M192" i="2" s="1"/>
  <c r="Q192" i="2" a="1"/>
  <c r="Q192" i="2" s="1"/>
  <c r="R194" i="2" a="1"/>
  <c r="R194" i="2" s="1"/>
  <c r="O195" i="2" a="1"/>
  <c r="O195" i="2" s="1"/>
  <c r="I196" i="2" a="1"/>
  <c r="I196" i="2" s="1"/>
  <c r="O196" i="2" a="1"/>
  <c r="O196" i="2" s="1"/>
  <c r="J198" i="2" a="1"/>
  <c r="J198" i="2" s="1"/>
  <c r="P198" i="2" a="1"/>
  <c r="P198" i="2" s="1"/>
  <c r="J199" i="2" a="1"/>
  <c r="J199" i="2" s="1"/>
  <c r="Q199" i="2" a="1"/>
  <c r="Q199" i="2" s="1"/>
  <c r="M200" i="2" a="1"/>
  <c r="M200" i="2" s="1"/>
  <c r="Q200" i="2" a="1"/>
  <c r="Q200" i="2" s="1"/>
  <c r="R202" i="2" a="1"/>
  <c r="R202" i="2" s="1"/>
  <c r="O203" i="2" a="1"/>
  <c r="O203" i="2" s="1"/>
  <c r="I204" i="2" a="1"/>
  <c r="I204" i="2" s="1"/>
  <c r="O204" i="2" a="1"/>
  <c r="O204" i="2" s="1"/>
  <c r="J206" i="2" a="1"/>
  <c r="J206" i="2" s="1"/>
  <c r="P206" i="2" a="1"/>
  <c r="P206" i="2" s="1"/>
  <c r="J207" i="2" a="1"/>
  <c r="J207" i="2" s="1"/>
  <c r="Q207" i="2" a="1"/>
  <c r="Q207" i="2" s="1"/>
  <c r="M208" i="2" a="1"/>
  <c r="M208" i="2" s="1"/>
  <c r="Q208" i="2" a="1"/>
  <c r="Q208" i="2" s="1"/>
  <c r="R210" i="2" a="1"/>
  <c r="R210" i="2" s="1"/>
  <c r="O211" i="2" a="1"/>
  <c r="O211" i="2" s="1"/>
  <c r="I212" i="2" a="1"/>
  <c r="I212" i="2" s="1"/>
  <c r="O212" i="2" a="1"/>
  <c r="O212" i="2" s="1"/>
  <c r="J214" i="2" a="1"/>
  <c r="J214" i="2" s="1"/>
  <c r="P214" i="2" a="1"/>
  <c r="P214" i="2" s="1"/>
  <c r="J215" i="2" a="1"/>
  <c r="J215" i="2" s="1"/>
  <c r="Q215" i="2" a="1"/>
  <c r="Q215" i="2" s="1"/>
  <c r="M216" i="2" a="1"/>
  <c r="M216" i="2" s="1"/>
  <c r="Q216" i="2" a="1"/>
  <c r="Q216" i="2" s="1"/>
  <c r="R218" i="2" a="1"/>
  <c r="R218" i="2" s="1"/>
  <c r="O219" i="2" a="1"/>
  <c r="O219" i="2" s="1"/>
  <c r="I220" i="2" a="1"/>
  <c r="I220" i="2" s="1"/>
  <c r="O220" i="2" a="1"/>
  <c r="O220" i="2" s="1"/>
  <c r="J222" i="2" a="1"/>
  <c r="J222" i="2" s="1"/>
  <c r="P222" i="2" a="1"/>
  <c r="P222" i="2" s="1"/>
  <c r="J223" i="2" a="1"/>
  <c r="J223" i="2" s="1"/>
  <c r="Q223" i="2" a="1"/>
  <c r="Q223" i="2" s="1"/>
  <c r="M224" i="2" a="1"/>
  <c r="M224" i="2" s="1"/>
  <c r="Q224" i="2" a="1"/>
  <c r="Q224" i="2" s="1"/>
  <c r="R226" i="2" a="1"/>
  <c r="R226" i="2" s="1"/>
  <c r="O227" i="2" a="1"/>
  <c r="O227" i="2" s="1"/>
  <c r="I228" i="2" a="1"/>
  <c r="I228" i="2" s="1"/>
  <c r="O228" i="2" a="1"/>
  <c r="O228" i="2" s="1"/>
  <c r="J230" i="2" a="1"/>
  <c r="J230" i="2" s="1"/>
  <c r="P230" i="2" a="1"/>
  <c r="P230" i="2" s="1"/>
  <c r="J231" i="2" a="1"/>
  <c r="J231" i="2" s="1"/>
  <c r="Q231" i="2" a="1"/>
  <c r="Q231" i="2" s="1"/>
  <c r="M232" i="2" a="1"/>
  <c r="M232" i="2" s="1"/>
  <c r="Q232" i="2" a="1"/>
  <c r="Q232" i="2" s="1"/>
  <c r="R234" i="2" a="1"/>
  <c r="R234" i="2" s="1"/>
  <c r="O235" i="2" a="1"/>
  <c r="O235" i="2" s="1"/>
  <c r="I236" i="2" a="1"/>
  <c r="I236" i="2" s="1"/>
  <c r="O236" i="2" a="1"/>
  <c r="O236" i="2" s="1"/>
  <c r="J238" i="2" a="1"/>
  <c r="J238" i="2" s="1"/>
  <c r="P238" i="2" a="1"/>
  <c r="P238" i="2" s="1"/>
  <c r="J239" i="2" a="1"/>
  <c r="J239" i="2" s="1"/>
  <c r="Q239" i="2" a="1"/>
  <c r="Q239" i="2" s="1"/>
  <c r="M240" i="2" a="1"/>
  <c r="M240" i="2" s="1"/>
  <c r="Q240" i="2" a="1"/>
  <c r="Q240" i="2" s="1"/>
  <c r="R242" i="2" a="1"/>
  <c r="R242" i="2" s="1"/>
  <c r="O243" i="2" a="1"/>
  <c r="O243" i="2" s="1"/>
  <c r="I244" i="2" a="1"/>
  <c r="I244" i="2" s="1"/>
  <c r="O244" i="2" a="1"/>
  <c r="O244" i="2" s="1"/>
  <c r="J246" i="2" a="1"/>
  <c r="J246" i="2" s="1"/>
  <c r="P246" i="2" a="1"/>
  <c r="P246" i="2" s="1"/>
  <c r="J247" i="2" a="1"/>
  <c r="J247" i="2" s="1"/>
  <c r="R247" i="2" a="1"/>
  <c r="R247" i="2" s="1"/>
  <c r="P248" i="2" a="1"/>
  <c r="P248" i="2" s="1"/>
  <c r="I251" i="2" a="1"/>
  <c r="I251" i="2" s="1"/>
  <c r="R251" i="2" a="1"/>
  <c r="R251" i="2" s="1"/>
  <c r="P252" i="2" a="1"/>
  <c r="P252" i="2" s="1"/>
  <c r="I255" i="2" a="1"/>
  <c r="I255" i="2" s="1"/>
  <c r="R255" i="2" a="1"/>
  <c r="R255" i="2" s="1"/>
  <c r="P256" i="2" a="1"/>
  <c r="P256" i="2" s="1"/>
  <c r="I259" i="2" a="1"/>
  <c r="I259" i="2" s="1"/>
  <c r="R259" i="2" a="1"/>
  <c r="R259" i="2" s="1"/>
  <c r="P260" i="2" a="1"/>
  <c r="P260" i="2" s="1"/>
  <c r="I263" i="2" a="1"/>
  <c r="I263" i="2" s="1"/>
  <c r="R263" i="2" a="1"/>
  <c r="R263" i="2" s="1"/>
  <c r="P264" i="2" a="1"/>
  <c r="P264" i="2" s="1"/>
  <c r="I267" i="2" a="1"/>
  <c r="I267" i="2" s="1"/>
  <c r="R267" i="2" a="1"/>
  <c r="R267" i="2" s="1"/>
  <c r="P268" i="2" a="1"/>
  <c r="P268" i="2" s="1"/>
  <c r="I271" i="2" a="1"/>
  <c r="I271" i="2" s="1"/>
  <c r="R271" i="2" a="1"/>
  <c r="R271" i="2" s="1"/>
  <c r="P272" i="2" a="1"/>
  <c r="P272" i="2" s="1"/>
  <c r="I275" i="2" a="1"/>
  <c r="I275" i="2" s="1"/>
  <c r="R275" i="2" a="1"/>
  <c r="R275" i="2" s="1"/>
  <c r="P276" i="2" a="1"/>
  <c r="P276" i="2" s="1"/>
  <c r="I279" i="2" a="1"/>
  <c r="I279" i="2" s="1"/>
  <c r="R279" i="2" a="1"/>
  <c r="R279" i="2" s="1"/>
  <c r="P280" i="2" a="1"/>
  <c r="P280" i="2" s="1"/>
  <c r="I283" i="2" a="1"/>
  <c r="I283" i="2" s="1"/>
  <c r="R283" i="2" a="1"/>
  <c r="R283" i="2" s="1"/>
  <c r="P284" i="2" a="1"/>
  <c r="P284" i="2" s="1"/>
  <c r="I287" i="2" a="1"/>
  <c r="I287" i="2" s="1"/>
  <c r="R287" i="2" a="1"/>
  <c r="R287" i="2" s="1"/>
  <c r="P288" i="2" a="1"/>
  <c r="P288" i="2" s="1"/>
  <c r="I291" i="2" a="1"/>
  <c r="I291" i="2" s="1"/>
  <c r="R291" i="2" a="1"/>
  <c r="R291" i="2" s="1"/>
  <c r="P292" i="2" a="1"/>
  <c r="P292" i="2" s="1"/>
  <c r="I295" i="2" a="1"/>
  <c r="I295" i="2" s="1"/>
  <c r="R295" i="2" a="1"/>
  <c r="R295" i="2" s="1"/>
  <c r="P296" i="2" a="1"/>
  <c r="P296" i="2" s="1"/>
  <c r="I299" i="2" a="1"/>
  <c r="I299" i="2" s="1"/>
  <c r="R299" i="2" a="1"/>
  <c r="R299" i="2" s="1"/>
  <c r="P300" i="2" a="1"/>
  <c r="P300" i="2" s="1"/>
  <c r="I302" i="2" a="1"/>
  <c r="I302" i="2" s="1"/>
  <c r="R1613" i="2" a="1"/>
  <c r="R1613" i="2" s="1"/>
  <c r="O1613" i="2" a="1"/>
  <c r="O1613" i="2" s="1"/>
  <c r="N1613" i="2" a="1"/>
  <c r="N1613" i="2" s="1"/>
  <c r="Q1613" i="2" a="1"/>
  <c r="Q1613" i="2" s="1"/>
  <c r="M1613" i="2" a="1"/>
  <c r="M1613" i="2" s="1"/>
  <c r="P1613" i="2" a="1"/>
  <c r="P1613" i="2" s="1"/>
  <c r="P1605" i="2" a="1"/>
  <c r="P1605" i="2" s="1"/>
  <c r="R1605" i="2" a="1"/>
  <c r="R1605" i="2" s="1"/>
  <c r="O1605" i="2" a="1"/>
  <c r="O1605" i="2" s="1"/>
  <c r="N1605" i="2" a="1"/>
  <c r="N1605" i="2" s="1"/>
  <c r="Q1605" i="2" a="1"/>
  <c r="Q1605" i="2" s="1"/>
  <c r="M1605" i="2" a="1"/>
  <c r="M1605" i="2" s="1"/>
  <c r="M1593" i="2" a="1"/>
  <c r="M1593" i="2" s="1"/>
  <c r="P1593" i="2" a="1"/>
  <c r="P1593" i="2" s="1"/>
  <c r="R1593" i="2" a="1"/>
  <c r="R1593" i="2" s="1"/>
  <c r="O1593" i="2" a="1"/>
  <c r="O1593" i="2" s="1"/>
  <c r="Q1593" i="2" a="1"/>
  <c r="Q1593" i="2" s="1"/>
  <c r="N1593" i="2" a="1"/>
  <c r="N1593" i="2" s="1"/>
  <c r="R1585" i="2" a="1"/>
  <c r="R1585" i="2" s="1"/>
  <c r="O1585" i="2" a="1"/>
  <c r="O1585" i="2" s="1"/>
  <c r="Q1585" i="2" a="1"/>
  <c r="Q1585" i="2" s="1"/>
  <c r="N1585" i="2" a="1"/>
  <c r="N1585" i="2" s="1"/>
  <c r="P1585" i="2" a="1"/>
  <c r="P1585" i="2" s="1"/>
  <c r="M1585" i="2" a="1"/>
  <c r="M1585" i="2" s="1"/>
  <c r="R1577" i="2" a="1"/>
  <c r="R1577" i="2" s="1"/>
  <c r="O1577" i="2" a="1"/>
  <c r="O1577" i="2" s="1"/>
  <c r="Q1577" i="2" a="1"/>
  <c r="Q1577" i="2" s="1"/>
  <c r="N1577" i="2" a="1"/>
  <c r="N1577" i="2" s="1"/>
  <c r="M1577" i="2" a="1"/>
  <c r="M1577" i="2" s="1"/>
  <c r="P1577" i="2" a="1"/>
  <c r="P1577" i="2" s="1"/>
  <c r="P1565" i="2" a="1"/>
  <c r="P1565" i="2" s="1"/>
  <c r="R1565" i="2" a="1"/>
  <c r="R1565" i="2" s="1"/>
  <c r="O1565" i="2" a="1"/>
  <c r="O1565" i="2" s="1"/>
  <c r="Q1565" i="2" a="1"/>
  <c r="Q1565" i="2" s="1"/>
  <c r="N1565" i="2" a="1"/>
  <c r="N1565" i="2" s="1"/>
  <c r="M1565" i="2" a="1"/>
  <c r="M1565" i="2" s="1"/>
  <c r="Q1557" i="2" a="1"/>
  <c r="Q1557" i="2" s="1"/>
  <c r="N1557" i="2" a="1"/>
  <c r="N1557" i="2" s="1"/>
  <c r="M1557" i="2" a="1"/>
  <c r="M1557" i="2" s="1"/>
  <c r="P1557" i="2" a="1"/>
  <c r="P1557" i="2" s="1"/>
  <c r="R1557" i="2" a="1"/>
  <c r="R1557" i="2" s="1"/>
  <c r="O1557" i="2" a="1"/>
  <c r="O1557" i="2" s="1"/>
  <c r="P1549" i="2" a="1"/>
  <c r="P1549" i="2" s="1"/>
  <c r="M1549" i="2" a="1"/>
  <c r="M1549" i="2" s="1"/>
  <c r="R1549" i="2" a="1"/>
  <c r="R1549" i="2" s="1"/>
  <c r="O1549" i="2" a="1"/>
  <c r="O1549" i="2" s="1"/>
  <c r="Q1549" i="2" a="1"/>
  <c r="Q1549" i="2" s="1"/>
  <c r="N1549" i="2" a="1"/>
  <c r="N1549" i="2" s="1"/>
  <c r="R1541" i="2" a="1"/>
  <c r="R1541" i="2" s="1"/>
  <c r="O1541" i="2" a="1"/>
  <c r="O1541" i="2" s="1"/>
  <c r="Q1541" i="2" a="1"/>
  <c r="Q1541" i="2" s="1"/>
  <c r="N1541" i="2" a="1"/>
  <c r="N1541" i="2" s="1"/>
  <c r="M1541" i="2" a="1"/>
  <c r="M1541" i="2" s="1"/>
  <c r="P1541" i="2" a="1"/>
  <c r="P1541" i="2" s="1"/>
  <c r="P1537" i="2" a="1"/>
  <c r="P1537" i="2" s="1"/>
  <c r="R1537" i="2" a="1"/>
  <c r="R1537" i="2" s="1"/>
  <c r="O1537" i="2" a="1"/>
  <c r="O1537" i="2" s="1"/>
  <c r="Q1537" i="2" a="1"/>
  <c r="Q1537" i="2" s="1"/>
  <c r="N1537" i="2" a="1"/>
  <c r="N1537" i="2" s="1"/>
  <c r="M1537" i="2" a="1"/>
  <c r="M1537" i="2" s="1"/>
  <c r="Q1529" i="2" a="1"/>
  <c r="Q1529" i="2" s="1"/>
  <c r="N1529" i="2" a="1"/>
  <c r="N1529" i="2" s="1"/>
  <c r="M1529" i="2" a="1"/>
  <c r="M1529" i="2" s="1"/>
  <c r="P1529" i="2" a="1"/>
  <c r="P1529" i="2" s="1"/>
  <c r="R1529" i="2" a="1"/>
  <c r="R1529" i="2" s="1"/>
  <c r="O1529" i="2" a="1"/>
  <c r="O1529" i="2" s="1"/>
  <c r="P1521" i="2" a="1"/>
  <c r="P1521" i="2" s="1"/>
  <c r="R1521" i="2" a="1"/>
  <c r="R1521" i="2" s="1"/>
  <c r="O1521" i="2" a="1"/>
  <c r="O1521" i="2" s="1"/>
  <c r="Q1521" i="2" a="1"/>
  <c r="Q1521" i="2" s="1"/>
  <c r="N1521" i="2" a="1"/>
  <c r="N1521" i="2" s="1"/>
  <c r="M1521" i="2" a="1"/>
  <c r="M1521" i="2" s="1"/>
  <c r="Q1513" i="2" a="1"/>
  <c r="Q1513" i="2" s="1"/>
  <c r="N1513" i="2" a="1"/>
  <c r="N1513" i="2" s="1"/>
  <c r="M1513" i="2" a="1"/>
  <c r="M1513" i="2" s="1"/>
  <c r="P1513" i="2" a="1"/>
  <c r="P1513" i="2" s="1"/>
  <c r="R1513" i="2" a="1"/>
  <c r="R1513" i="2" s="1"/>
  <c r="O1513" i="2" a="1"/>
  <c r="O1513" i="2" s="1"/>
  <c r="P1505" i="2" a="1"/>
  <c r="P1505" i="2" s="1"/>
  <c r="M1505" i="2" a="1"/>
  <c r="M1505" i="2" s="1"/>
  <c r="O1505" i="2" a="1"/>
  <c r="O1505" i="2" s="1"/>
  <c r="R1505" i="2" a="1"/>
  <c r="R1505" i="2" s="1"/>
  <c r="N1505" i="2" a="1"/>
  <c r="N1505" i="2" s="1"/>
  <c r="Q1505" i="2" a="1"/>
  <c r="Q1505" i="2" s="1"/>
  <c r="P1497" i="2" a="1"/>
  <c r="P1497" i="2" s="1"/>
  <c r="M1497" i="2" a="1"/>
  <c r="M1497" i="2" s="1"/>
  <c r="O1497" i="2" a="1"/>
  <c r="O1497" i="2" s="1"/>
  <c r="R1497" i="2" a="1"/>
  <c r="R1497" i="2" s="1"/>
  <c r="N1497" i="2" a="1"/>
  <c r="N1497" i="2" s="1"/>
  <c r="Q1497" i="2" a="1"/>
  <c r="Q1497" i="2" s="1"/>
  <c r="P1489" i="2" a="1"/>
  <c r="P1489" i="2" s="1"/>
  <c r="M1489" i="2" a="1"/>
  <c r="M1489" i="2" s="1"/>
  <c r="O1489" i="2" a="1"/>
  <c r="O1489" i="2" s="1"/>
  <c r="R1489" i="2" a="1"/>
  <c r="R1489" i="2" s="1"/>
  <c r="N1489" i="2" a="1"/>
  <c r="N1489" i="2" s="1"/>
  <c r="Q1489" i="2" a="1"/>
  <c r="Q1489" i="2" s="1"/>
  <c r="P1481" i="2" a="1"/>
  <c r="P1481" i="2" s="1"/>
  <c r="M1481" i="2" a="1"/>
  <c r="M1481" i="2" s="1"/>
  <c r="O1481" i="2" a="1"/>
  <c r="O1481" i="2" s="1"/>
  <c r="R1481" i="2" a="1"/>
  <c r="R1481" i="2" s="1"/>
  <c r="N1481" i="2" a="1"/>
  <c r="N1481" i="2" s="1"/>
  <c r="Q1481" i="2" a="1"/>
  <c r="Q1481" i="2" s="1"/>
  <c r="P1473" i="2" a="1"/>
  <c r="P1473" i="2" s="1"/>
  <c r="O1473" i="2" a="1"/>
  <c r="O1473" i="2" s="1"/>
  <c r="R1473" i="2" a="1"/>
  <c r="R1473" i="2" s="1"/>
  <c r="N1473" i="2" a="1"/>
  <c r="N1473" i="2" s="1"/>
  <c r="Q1473" i="2" a="1"/>
  <c r="Q1473" i="2" s="1"/>
  <c r="M1473" i="2" a="1"/>
  <c r="M1473" i="2" s="1"/>
  <c r="P1465" i="2" a="1"/>
  <c r="P1465" i="2" s="1"/>
  <c r="O1465" i="2" a="1"/>
  <c r="O1465" i="2" s="1"/>
  <c r="R1465" i="2" a="1"/>
  <c r="R1465" i="2" s="1"/>
  <c r="N1465" i="2" a="1"/>
  <c r="N1465" i="2" s="1"/>
  <c r="Q1465" i="2" a="1"/>
  <c r="Q1465" i="2" s="1"/>
  <c r="M1465" i="2" a="1"/>
  <c r="M1465" i="2" s="1"/>
  <c r="P1457" i="2" a="1"/>
  <c r="P1457" i="2" s="1"/>
  <c r="O1457" i="2" a="1"/>
  <c r="O1457" i="2" s="1"/>
  <c r="R1457" i="2" a="1"/>
  <c r="R1457" i="2" s="1"/>
  <c r="N1457" i="2" a="1"/>
  <c r="N1457" i="2" s="1"/>
  <c r="Q1457" i="2" a="1"/>
  <c r="Q1457" i="2" s="1"/>
  <c r="M1457" i="2" a="1"/>
  <c r="M1457" i="2" s="1"/>
  <c r="P1449" i="2" a="1"/>
  <c r="P1449" i="2" s="1"/>
  <c r="O1449" i="2" a="1"/>
  <c r="O1449" i="2" s="1"/>
  <c r="R1449" i="2" a="1"/>
  <c r="R1449" i="2" s="1"/>
  <c r="N1449" i="2" a="1"/>
  <c r="N1449" i="2" s="1"/>
  <c r="Q1449" i="2" a="1"/>
  <c r="Q1449" i="2" s="1"/>
  <c r="M1449" i="2" a="1"/>
  <c r="M1449" i="2" s="1"/>
  <c r="O1445" i="2" a="1"/>
  <c r="O1445" i="2" s="1"/>
  <c r="R1445" i="2" a="1"/>
  <c r="R1445" i="2" s="1"/>
  <c r="N1445" i="2" a="1"/>
  <c r="N1445" i="2" s="1"/>
  <c r="Q1445" i="2" a="1"/>
  <c r="Q1445" i="2" s="1"/>
  <c r="M1445" i="2" a="1"/>
  <c r="M1445" i="2" s="1"/>
  <c r="P1445" i="2" a="1"/>
  <c r="P1445" i="2" s="1"/>
  <c r="R1437" i="2" a="1"/>
  <c r="R1437" i="2" s="1"/>
  <c r="N1437" i="2" a="1"/>
  <c r="N1437" i="2" s="1"/>
  <c r="Q1437" i="2" a="1"/>
  <c r="Q1437" i="2" s="1"/>
  <c r="M1437" i="2" a="1"/>
  <c r="M1437" i="2" s="1"/>
  <c r="O1437" i="2" a="1"/>
  <c r="O1437" i="2" s="1"/>
  <c r="P1437" i="2" a="1"/>
  <c r="P1437" i="2" s="1"/>
  <c r="R1429" i="2" a="1"/>
  <c r="R1429" i="2" s="1"/>
  <c r="N1429" i="2" a="1"/>
  <c r="N1429" i="2" s="1"/>
  <c r="Q1429" i="2" a="1"/>
  <c r="Q1429" i="2" s="1"/>
  <c r="M1429" i="2" a="1"/>
  <c r="M1429" i="2" s="1"/>
  <c r="O1429" i="2" a="1"/>
  <c r="O1429" i="2" s="1"/>
  <c r="P1429" i="2" a="1"/>
  <c r="P1429" i="2" s="1"/>
  <c r="R1421" i="2" a="1"/>
  <c r="R1421" i="2" s="1"/>
  <c r="N1421" i="2" a="1"/>
  <c r="N1421" i="2" s="1"/>
  <c r="Q1421" i="2" a="1"/>
  <c r="Q1421" i="2" s="1"/>
  <c r="M1421" i="2" a="1"/>
  <c r="M1421" i="2" s="1"/>
  <c r="O1421" i="2" a="1"/>
  <c r="O1421" i="2" s="1"/>
  <c r="P1421" i="2" a="1"/>
  <c r="P1421" i="2" s="1"/>
  <c r="P1413" i="2" a="1"/>
  <c r="P1413" i="2" s="1"/>
  <c r="O1413" i="2" a="1"/>
  <c r="O1413" i="2" s="1"/>
  <c r="M1413" i="2" a="1"/>
  <c r="M1413" i="2" s="1"/>
  <c r="R1413" i="2" a="1"/>
  <c r="R1413" i="2" s="1"/>
  <c r="Q1413" i="2" a="1"/>
  <c r="Q1413" i="2" s="1"/>
  <c r="N1413" i="2" a="1"/>
  <c r="N1413" i="2" s="1"/>
  <c r="Q1409" i="2" a="1"/>
  <c r="Q1409" i="2" s="1"/>
  <c r="M1409" i="2" a="1"/>
  <c r="M1409" i="2" s="1"/>
  <c r="P1409" i="2" a="1"/>
  <c r="P1409" i="2" s="1"/>
  <c r="R1409" i="2" a="1"/>
  <c r="R1409" i="2" s="1"/>
  <c r="O1409" i="2" a="1"/>
  <c r="O1409" i="2" s="1"/>
  <c r="N1409" i="2" a="1"/>
  <c r="N1409" i="2" s="1"/>
  <c r="O1401" i="2" a="1"/>
  <c r="O1401" i="2" s="1"/>
  <c r="R1401" i="2" a="1"/>
  <c r="R1401" i="2" s="1"/>
  <c r="N1401" i="2" a="1"/>
  <c r="N1401" i="2" s="1"/>
  <c r="Q1401" i="2" a="1"/>
  <c r="Q1401" i="2" s="1"/>
  <c r="P1401" i="2" a="1"/>
  <c r="P1401" i="2" s="1"/>
  <c r="M1401" i="2" a="1"/>
  <c r="M1401" i="2" s="1"/>
  <c r="O1393" i="2" a="1"/>
  <c r="O1393" i="2" s="1"/>
  <c r="R1393" i="2" a="1"/>
  <c r="R1393" i="2" s="1"/>
  <c r="N1393" i="2" a="1"/>
  <c r="N1393" i="2" s="1"/>
  <c r="P1393" i="2" a="1"/>
  <c r="P1393" i="2" s="1"/>
  <c r="M1393" i="2" a="1"/>
  <c r="M1393" i="2" s="1"/>
  <c r="Q1393" i="2" a="1"/>
  <c r="Q1393" i="2" s="1"/>
  <c r="O1385" i="2" a="1"/>
  <c r="O1385" i="2" s="1"/>
  <c r="R1385" i="2" a="1"/>
  <c r="R1385" i="2" s="1"/>
  <c r="N1385" i="2" a="1"/>
  <c r="N1385" i="2" s="1"/>
  <c r="M1385" i="2" a="1"/>
  <c r="M1385" i="2" s="1"/>
  <c r="Q1385" i="2" a="1"/>
  <c r="Q1385" i="2" s="1"/>
  <c r="P1385" i="2" a="1"/>
  <c r="P1385" i="2" s="1"/>
  <c r="O1377" i="2" a="1"/>
  <c r="O1377" i="2" s="1"/>
  <c r="R1377" i="2" a="1"/>
  <c r="R1377" i="2" s="1"/>
  <c r="N1377" i="2" a="1"/>
  <c r="N1377" i="2" s="1"/>
  <c r="M1377" i="2" a="1"/>
  <c r="M1377" i="2" s="1"/>
  <c r="Q1377" i="2" a="1"/>
  <c r="Q1377" i="2" s="1"/>
  <c r="P1377" i="2" a="1"/>
  <c r="P1377" i="2" s="1"/>
  <c r="R1369" i="2" a="1"/>
  <c r="R1369" i="2" s="1"/>
  <c r="N1369" i="2" a="1"/>
  <c r="N1369" i="2" s="1"/>
  <c r="Q1369" i="2" a="1"/>
  <c r="Q1369" i="2" s="1"/>
  <c r="M1369" i="2" a="1"/>
  <c r="M1369" i="2" s="1"/>
  <c r="P1369" i="2" a="1"/>
  <c r="P1369" i="2" s="1"/>
  <c r="O1369" i="2" a="1"/>
  <c r="O1369" i="2" s="1"/>
  <c r="R1361" i="2" a="1"/>
  <c r="R1361" i="2" s="1"/>
  <c r="N1361" i="2" a="1"/>
  <c r="N1361" i="2" s="1"/>
  <c r="Q1361" i="2" a="1"/>
  <c r="Q1361" i="2" s="1"/>
  <c r="M1361" i="2" a="1"/>
  <c r="M1361" i="2" s="1"/>
  <c r="P1361" i="2" a="1"/>
  <c r="P1361" i="2" s="1"/>
  <c r="O1361" i="2" a="1"/>
  <c r="O1361" i="2" s="1"/>
  <c r="O1349" i="2" a="1"/>
  <c r="O1349" i="2" s="1"/>
  <c r="R1349" i="2" a="1"/>
  <c r="R1349" i="2" s="1"/>
  <c r="N1349" i="2" a="1"/>
  <c r="N1349" i="2" s="1"/>
  <c r="Q1349" i="2" a="1"/>
  <c r="Q1349" i="2" s="1"/>
  <c r="M1349" i="2" a="1"/>
  <c r="M1349" i="2" s="1"/>
  <c r="P1349" i="2" a="1"/>
  <c r="P1349" i="2" s="1"/>
  <c r="O1341" i="2" a="1"/>
  <c r="O1341" i="2" s="1"/>
  <c r="R1341" i="2" a="1"/>
  <c r="R1341" i="2" s="1"/>
  <c r="N1341" i="2" a="1"/>
  <c r="N1341" i="2" s="1"/>
  <c r="Q1341" i="2" a="1"/>
  <c r="Q1341" i="2" s="1"/>
  <c r="M1341" i="2" a="1"/>
  <c r="M1341" i="2" s="1"/>
  <c r="P1341" i="2" a="1"/>
  <c r="P1341" i="2" s="1"/>
  <c r="O1333" i="2" a="1"/>
  <c r="O1333" i="2" s="1"/>
  <c r="Q1333" i="2" a="1"/>
  <c r="Q1333" i="2" s="1"/>
  <c r="M1333" i="2" a="1"/>
  <c r="M1333" i="2" s="1"/>
  <c r="P1333" i="2" a="1"/>
  <c r="P1333" i="2" s="1"/>
  <c r="R1333" i="2" a="1"/>
  <c r="R1333" i="2" s="1"/>
  <c r="N1333" i="2" a="1"/>
  <c r="N1333" i="2" s="1"/>
  <c r="O1325" i="2" a="1"/>
  <c r="O1325" i="2" s="1"/>
  <c r="P1325" i="2" a="1"/>
  <c r="P1325" i="2" s="1"/>
  <c r="Q1325" i="2" a="1"/>
  <c r="Q1325" i="2" s="1"/>
  <c r="N1325" i="2" a="1"/>
  <c r="N1325" i="2" s="1"/>
  <c r="M1325" i="2" a="1"/>
  <c r="M1325" i="2" s="1"/>
  <c r="R1325" i="2" a="1"/>
  <c r="R1325" i="2" s="1"/>
  <c r="O1317" i="2" a="1"/>
  <c r="O1317" i="2" s="1"/>
  <c r="P1317" i="2" a="1"/>
  <c r="P1317" i="2" s="1"/>
  <c r="Q1317" i="2" a="1"/>
  <c r="Q1317" i="2" s="1"/>
  <c r="N1317" i="2" a="1"/>
  <c r="N1317" i="2" s="1"/>
  <c r="M1317" i="2" a="1"/>
  <c r="M1317" i="2" s="1"/>
  <c r="R1317" i="2" a="1"/>
  <c r="R1317" i="2" s="1"/>
  <c r="O1309" i="2" a="1"/>
  <c r="O1309" i="2" s="1"/>
  <c r="Q1309" i="2" a="1"/>
  <c r="Q1309" i="2" s="1"/>
  <c r="P1309" i="2" a="1"/>
  <c r="P1309" i="2" s="1"/>
  <c r="N1309" i="2" a="1"/>
  <c r="N1309" i="2" s="1"/>
  <c r="R1309" i="2" a="1"/>
  <c r="R1309" i="2" s="1"/>
  <c r="M1309" i="2" a="1"/>
  <c r="M1309" i="2" s="1"/>
  <c r="O1301" i="2" a="1"/>
  <c r="O1301" i="2" s="1"/>
  <c r="Q1301" i="2" a="1"/>
  <c r="Q1301" i="2" s="1"/>
  <c r="P1301" i="2" a="1"/>
  <c r="P1301" i="2" s="1"/>
  <c r="N1301" i="2" a="1"/>
  <c r="N1301" i="2" s="1"/>
  <c r="R1301" i="2" a="1"/>
  <c r="R1301" i="2" s="1"/>
  <c r="M1301" i="2" a="1"/>
  <c r="M1301" i="2" s="1"/>
  <c r="Q1293" i="2" a="1"/>
  <c r="Q1293" i="2" s="1"/>
  <c r="N1293" i="2" a="1"/>
  <c r="N1293" i="2" s="1"/>
  <c r="O1293" i="2" a="1"/>
  <c r="O1293" i="2" s="1"/>
  <c r="R1293" i="2" a="1"/>
  <c r="R1293" i="2" s="1"/>
  <c r="M1293" i="2" a="1"/>
  <c r="M1293" i="2" s="1"/>
  <c r="P1293" i="2" a="1"/>
  <c r="P1293" i="2" s="1"/>
  <c r="Q1285" i="2" a="1"/>
  <c r="Q1285" i="2" s="1"/>
  <c r="N1285" i="2" a="1"/>
  <c r="N1285" i="2" s="1"/>
  <c r="O1285" i="2" a="1"/>
  <c r="O1285" i="2" s="1"/>
  <c r="R1285" i="2" a="1"/>
  <c r="R1285" i="2" s="1"/>
  <c r="M1285" i="2" a="1"/>
  <c r="M1285" i="2" s="1"/>
  <c r="P1285" i="2" a="1"/>
  <c r="P1285" i="2" s="1"/>
  <c r="Q1277" i="2" a="1"/>
  <c r="Q1277" i="2" s="1"/>
  <c r="N1277" i="2" a="1"/>
  <c r="N1277" i="2" s="1"/>
  <c r="O1277" i="2" a="1"/>
  <c r="O1277" i="2" s="1"/>
  <c r="R1277" i="2" a="1"/>
  <c r="R1277" i="2" s="1"/>
  <c r="M1277" i="2" a="1"/>
  <c r="M1277" i="2" s="1"/>
  <c r="P1277" i="2" a="1"/>
  <c r="P1277" i="2" s="1"/>
  <c r="Q1269" i="2" a="1"/>
  <c r="Q1269" i="2" s="1"/>
  <c r="N1269" i="2" a="1"/>
  <c r="N1269" i="2" s="1"/>
  <c r="P1269" i="2" a="1"/>
  <c r="P1269" i="2" s="1"/>
  <c r="O1269" i="2" a="1"/>
  <c r="O1269" i="2" s="1"/>
  <c r="R1269" i="2" a="1"/>
  <c r="R1269" i="2" s="1"/>
  <c r="M1269" i="2" a="1"/>
  <c r="M1269" i="2" s="1"/>
  <c r="M1261" i="2" a="1"/>
  <c r="M1261" i="2" s="1"/>
  <c r="P1261" i="2" a="1"/>
  <c r="P1261" i="2" s="1"/>
  <c r="R1261" i="2" a="1"/>
  <c r="R1261" i="2" s="1"/>
  <c r="O1261" i="2" a="1"/>
  <c r="O1261" i="2" s="1"/>
  <c r="Q1261" i="2" a="1"/>
  <c r="Q1261" i="2" s="1"/>
  <c r="N1261" i="2" a="1"/>
  <c r="N1261" i="2" s="1"/>
  <c r="M1257" i="2" a="1"/>
  <c r="M1257" i="2" s="1"/>
  <c r="P1257" i="2" a="1"/>
  <c r="P1257" i="2" s="1"/>
  <c r="R1257" i="2" a="1"/>
  <c r="R1257" i="2" s="1"/>
  <c r="O1257" i="2" a="1"/>
  <c r="O1257" i="2" s="1"/>
  <c r="Q1257" i="2" a="1"/>
  <c r="Q1257" i="2" s="1"/>
  <c r="N1257" i="2" a="1"/>
  <c r="N1257" i="2" s="1"/>
  <c r="M1249" i="2" a="1"/>
  <c r="M1249" i="2" s="1"/>
  <c r="P1249" i="2" a="1"/>
  <c r="P1249" i="2" s="1"/>
  <c r="R1249" i="2" a="1"/>
  <c r="R1249" i="2" s="1"/>
  <c r="O1249" i="2" a="1"/>
  <c r="O1249" i="2" s="1"/>
  <c r="Q1249" i="2" a="1"/>
  <c r="Q1249" i="2" s="1"/>
  <c r="N1249" i="2" a="1"/>
  <c r="N1249" i="2" s="1"/>
  <c r="M1245" i="2" a="1"/>
  <c r="M1245" i="2" s="1"/>
  <c r="P1245" i="2" a="1"/>
  <c r="P1245" i="2" s="1"/>
  <c r="R1245" i="2" a="1"/>
  <c r="R1245" i="2" s="1"/>
  <c r="O1245" i="2" a="1"/>
  <c r="O1245" i="2" s="1"/>
  <c r="Q1245" i="2" a="1"/>
  <c r="Q1245" i="2" s="1"/>
  <c r="N1245" i="2" a="1"/>
  <c r="N1245" i="2" s="1"/>
  <c r="M1237" i="2" a="1"/>
  <c r="M1237" i="2" s="1"/>
  <c r="P1237" i="2" a="1"/>
  <c r="P1237" i="2" s="1"/>
  <c r="R1237" i="2" a="1"/>
  <c r="R1237" i="2" s="1"/>
  <c r="O1237" i="2" a="1"/>
  <c r="O1237" i="2" s="1"/>
  <c r="Q1237" i="2" a="1"/>
  <c r="Q1237" i="2" s="1"/>
  <c r="N1237" i="2" a="1"/>
  <c r="N1237" i="2" s="1"/>
  <c r="R1229" i="2" a="1"/>
  <c r="R1229" i="2" s="1"/>
  <c r="N1229" i="2" a="1"/>
  <c r="N1229" i="2" s="1"/>
  <c r="Q1229" i="2" a="1"/>
  <c r="Q1229" i="2" s="1"/>
  <c r="P1229" i="2" a="1"/>
  <c r="P1229" i="2" s="1"/>
  <c r="M1229" i="2" a="1"/>
  <c r="M1229" i="2" s="1"/>
  <c r="O1229" i="2" a="1"/>
  <c r="O1229" i="2" s="1"/>
  <c r="P1221" i="2" a="1"/>
  <c r="P1221" i="2" s="1"/>
  <c r="M1221" i="2" a="1"/>
  <c r="M1221" i="2" s="1"/>
  <c r="O1221" i="2" a="1"/>
  <c r="O1221" i="2" s="1"/>
  <c r="R1221" i="2" a="1"/>
  <c r="R1221" i="2" s="1"/>
  <c r="N1221" i="2" a="1"/>
  <c r="N1221" i="2" s="1"/>
  <c r="Q1221" i="2" a="1"/>
  <c r="Q1221" i="2" s="1"/>
  <c r="R1213" i="2" a="1"/>
  <c r="R1213" i="2" s="1"/>
  <c r="N1213" i="2" a="1"/>
  <c r="N1213" i="2" s="1"/>
  <c r="Q1213" i="2" a="1"/>
  <c r="Q1213" i="2" s="1"/>
  <c r="P1213" i="2" a="1"/>
  <c r="P1213" i="2" s="1"/>
  <c r="M1213" i="2" a="1"/>
  <c r="M1213" i="2" s="1"/>
  <c r="O1213" i="2" a="1"/>
  <c r="O1213" i="2" s="1"/>
  <c r="P1205" i="2" a="1"/>
  <c r="P1205" i="2" s="1"/>
  <c r="M1205" i="2" a="1"/>
  <c r="M1205" i="2" s="1"/>
  <c r="O1205" i="2" a="1"/>
  <c r="O1205" i="2" s="1"/>
  <c r="R1205" i="2" a="1"/>
  <c r="R1205" i="2" s="1"/>
  <c r="N1205" i="2" a="1"/>
  <c r="N1205" i="2" s="1"/>
  <c r="Q1205" i="2" a="1"/>
  <c r="Q1205" i="2" s="1"/>
  <c r="Q1197" i="2" a="1"/>
  <c r="Q1197" i="2" s="1"/>
  <c r="P1197" i="2" a="1"/>
  <c r="P1197" i="2" s="1"/>
  <c r="M1197" i="2" a="1"/>
  <c r="M1197" i="2" s="1"/>
  <c r="O1197" i="2" a="1"/>
  <c r="O1197" i="2" s="1"/>
  <c r="R1197" i="2" a="1"/>
  <c r="R1197" i="2" s="1"/>
  <c r="N1197" i="2" a="1"/>
  <c r="N1197" i="2" s="1"/>
  <c r="Q1189" i="2" a="1"/>
  <c r="Q1189" i="2" s="1"/>
  <c r="P1189" i="2" a="1"/>
  <c r="P1189" i="2" s="1"/>
  <c r="M1189" i="2" a="1"/>
  <c r="M1189" i="2" s="1"/>
  <c r="O1189" i="2" a="1"/>
  <c r="O1189" i="2" s="1"/>
  <c r="R1189" i="2" a="1"/>
  <c r="R1189" i="2" s="1"/>
  <c r="N1189" i="2" a="1"/>
  <c r="N1189" i="2" s="1"/>
  <c r="P1181" i="2" a="1"/>
  <c r="P1181" i="2" s="1"/>
  <c r="M1181" i="2" a="1"/>
  <c r="M1181" i="2" s="1"/>
  <c r="O1181" i="2" a="1"/>
  <c r="O1181" i="2" s="1"/>
  <c r="N1181" i="2" a="1"/>
  <c r="N1181" i="2" s="1"/>
  <c r="R1181" i="2" a="1"/>
  <c r="R1181" i="2" s="1"/>
  <c r="Q1181" i="2" a="1"/>
  <c r="Q1181" i="2" s="1"/>
  <c r="N1173" i="2" a="1"/>
  <c r="N1173" i="2" s="1"/>
  <c r="Q1173" i="2" a="1"/>
  <c r="Q1173" i="2" s="1"/>
  <c r="M1173" i="2" a="1"/>
  <c r="M1173" i="2" s="1"/>
  <c r="R1173" i="2" a="1"/>
  <c r="R1173" i="2" s="1"/>
  <c r="P1173" i="2" a="1"/>
  <c r="P1173" i="2" s="1"/>
  <c r="O1173" i="2" a="1"/>
  <c r="O1173" i="2" s="1"/>
  <c r="N1165" i="2" a="1"/>
  <c r="N1165" i="2" s="1"/>
  <c r="Q1165" i="2" a="1"/>
  <c r="Q1165" i="2" s="1"/>
  <c r="P1165" i="2" a="1"/>
  <c r="P1165" i="2" s="1"/>
  <c r="O1165" i="2" a="1"/>
  <c r="O1165" i="2" s="1"/>
  <c r="M1165" i="2" a="1"/>
  <c r="M1165" i="2" s="1"/>
  <c r="R1165" i="2" a="1"/>
  <c r="R1165" i="2" s="1"/>
  <c r="R1157" i="2" a="1"/>
  <c r="R1157" i="2" s="1"/>
  <c r="O1157" i="2" a="1"/>
  <c r="O1157" i="2" s="1"/>
  <c r="P1157" i="2" a="1"/>
  <c r="P1157" i="2" s="1"/>
  <c r="N1157" i="2" a="1"/>
  <c r="N1157" i="2" s="1"/>
  <c r="Q1157" i="2" a="1"/>
  <c r="Q1157" i="2" s="1"/>
  <c r="M1157" i="2" a="1"/>
  <c r="M1157" i="2" s="1"/>
  <c r="R1149" i="2" a="1"/>
  <c r="R1149" i="2" s="1"/>
  <c r="O1149" i="2" a="1"/>
  <c r="O1149" i="2" s="1"/>
  <c r="N1149" i="2" a="1"/>
  <c r="N1149" i="2" s="1"/>
  <c r="Q1149" i="2" a="1"/>
  <c r="Q1149" i="2" s="1"/>
  <c r="P1149" i="2" a="1"/>
  <c r="P1149" i="2" s="1"/>
  <c r="M1149" i="2" a="1"/>
  <c r="M1149" i="2" s="1"/>
  <c r="P1141" i="2" a="1"/>
  <c r="P1141" i="2" s="1"/>
  <c r="M1141" i="2" a="1"/>
  <c r="M1141" i="2" s="1"/>
  <c r="R1141" i="2" a="1"/>
  <c r="R1141" i="2" s="1"/>
  <c r="O1141" i="2" a="1"/>
  <c r="O1141" i="2" s="1"/>
  <c r="N1141" i="2" a="1"/>
  <c r="N1141" i="2" s="1"/>
  <c r="Q1141" i="2" a="1"/>
  <c r="Q1141" i="2" s="1"/>
  <c r="N1133" i="2" a="1"/>
  <c r="N1133" i="2" s="1"/>
  <c r="Q1133" i="2" a="1"/>
  <c r="Q1133" i="2" s="1"/>
  <c r="P1133" i="2" a="1"/>
  <c r="P1133" i="2" s="1"/>
  <c r="M1133" i="2" a="1"/>
  <c r="M1133" i="2" s="1"/>
  <c r="R1133" i="2" a="1"/>
  <c r="R1133" i="2" s="1"/>
  <c r="O1133" i="2" a="1"/>
  <c r="O1133" i="2" s="1"/>
  <c r="P1125" i="2" a="1"/>
  <c r="P1125" i="2" s="1"/>
  <c r="M1125" i="2" a="1"/>
  <c r="M1125" i="2" s="1"/>
  <c r="R1125" i="2" a="1"/>
  <c r="R1125" i="2" s="1"/>
  <c r="O1125" i="2" a="1"/>
  <c r="O1125" i="2" s="1"/>
  <c r="N1125" i="2" a="1"/>
  <c r="N1125" i="2" s="1"/>
  <c r="Q1125" i="2" a="1"/>
  <c r="Q1125" i="2" s="1"/>
  <c r="N1117" i="2" a="1"/>
  <c r="N1117" i="2" s="1"/>
  <c r="Q1117" i="2" a="1"/>
  <c r="Q1117" i="2" s="1"/>
  <c r="P1117" i="2" a="1"/>
  <c r="P1117" i="2" s="1"/>
  <c r="M1117" i="2" a="1"/>
  <c r="M1117" i="2" s="1"/>
  <c r="R1117" i="2" a="1"/>
  <c r="R1117" i="2" s="1"/>
  <c r="O1117" i="2" a="1"/>
  <c r="O1117" i="2" s="1"/>
  <c r="N1109" i="2" a="1"/>
  <c r="N1109" i="2" s="1"/>
  <c r="Q1109" i="2" a="1"/>
  <c r="Q1109" i="2" s="1"/>
  <c r="P1109" i="2" a="1"/>
  <c r="P1109" i="2" s="1"/>
  <c r="M1109" i="2" a="1"/>
  <c r="M1109" i="2" s="1"/>
  <c r="R1109" i="2" a="1"/>
  <c r="R1109" i="2" s="1"/>
  <c r="O1109" i="2" a="1"/>
  <c r="O1109" i="2" s="1"/>
  <c r="P1101" i="2" a="1"/>
  <c r="P1101" i="2" s="1"/>
  <c r="M1101" i="2" a="1"/>
  <c r="M1101" i="2" s="1"/>
  <c r="R1101" i="2" a="1"/>
  <c r="R1101" i="2" s="1"/>
  <c r="O1101" i="2" a="1"/>
  <c r="O1101" i="2" s="1"/>
  <c r="N1101" i="2" a="1"/>
  <c r="N1101" i="2" s="1"/>
  <c r="Q1101" i="2" a="1"/>
  <c r="Q1101" i="2" s="1"/>
  <c r="P1089" i="2" a="1"/>
  <c r="P1089" i="2" s="1"/>
  <c r="O1089" i="2" a="1"/>
  <c r="O1089" i="2" s="1"/>
  <c r="R1089" i="2" a="1"/>
  <c r="R1089" i="2" s="1"/>
  <c r="N1089" i="2" a="1"/>
  <c r="N1089" i="2" s="1"/>
  <c r="Q1089" i="2" a="1"/>
  <c r="Q1089" i="2" s="1"/>
  <c r="M1089" i="2" a="1"/>
  <c r="M1089" i="2" s="1"/>
  <c r="P1077" i="2" a="1"/>
  <c r="P1077" i="2" s="1"/>
  <c r="O1077" i="2" a="1"/>
  <c r="O1077" i="2" s="1"/>
  <c r="R1077" i="2" a="1"/>
  <c r="R1077" i="2" s="1"/>
  <c r="N1077" i="2" a="1"/>
  <c r="N1077" i="2" s="1"/>
  <c r="Q1077" i="2" a="1"/>
  <c r="Q1077" i="2" s="1"/>
  <c r="M1077" i="2" a="1"/>
  <c r="M1077" i="2" s="1"/>
  <c r="P1069" i="2" a="1"/>
  <c r="P1069" i="2" s="1"/>
  <c r="O1069" i="2" a="1"/>
  <c r="O1069" i="2" s="1"/>
  <c r="R1069" i="2" a="1"/>
  <c r="R1069" i="2" s="1"/>
  <c r="N1069" i="2" a="1"/>
  <c r="N1069" i="2" s="1"/>
  <c r="Q1069" i="2" a="1"/>
  <c r="Q1069" i="2" s="1"/>
  <c r="M1069" i="2" a="1"/>
  <c r="M1069" i="2" s="1"/>
  <c r="R1061" i="2" a="1"/>
  <c r="R1061" i="2" s="1"/>
  <c r="N1061" i="2" a="1"/>
  <c r="N1061" i="2" s="1"/>
  <c r="Q1061" i="2" a="1"/>
  <c r="Q1061" i="2" s="1"/>
  <c r="M1061" i="2" a="1"/>
  <c r="M1061" i="2" s="1"/>
  <c r="P1061" i="2" a="1"/>
  <c r="P1061" i="2" s="1"/>
  <c r="O1061" i="2" a="1"/>
  <c r="O1061" i="2" s="1"/>
  <c r="N1053" i="2" a="1"/>
  <c r="N1053" i="2" s="1"/>
  <c r="P1053" i="2" a="1"/>
  <c r="P1053" i="2" s="1"/>
  <c r="M1053" i="2" a="1"/>
  <c r="M1053" i="2" s="1"/>
  <c r="Q1053" i="2" a="1"/>
  <c r="Q1053" i="2" s="1"/>
  <c r="O1053" i="2" a="1"/>
  <c r="O1053" i="2" s="1"/>
  <c r="R1053" i="2" a="1"/>
  <c r="R1053" i="2" s="1"/>
  <c r="N1045" i="2" a="1"/>
  <c r="N1045" i="2" s="1"/>
  <c r="P1045" i="2" a="1"/>
  <c r="P1045" i="2" s="1"/>
  <c r="M1045" i="2" a="1"/>
  <c r="M1045" i="2" s="1"/>
  <c r="R1045" i="2" a="1"/>
  <c r="R1045" i="2" s="1"/>
  <c r="Q1045" i="2" a="1"/>
  <c r="Q1045" i="2" s="1"/>
  <c r="O1045" i="2" a="1"/>
  <c r="O1045" i="2" s="1"/>
  <c r="R1037" i="2" a="1"/>
  <c r="R1037" i="2" s="1"/>
  <c r="O1037" i="2" a="1"/>
  <c r="O1037" i="2" s="1"/>
  <c r="Q1037" i="2" a="1"/>
  <c r="Q1037" i="2" s="1"/>
  <c r="M1037" i="2" a="1"/>
  <c r="M1037" i="2" s="1"/>
  <c r="P1037" i="2" a="1"/>
  <c r="P1037" i="2" s="1"/>
  <c r="N1037" i="2" a="1"/>
  <c r="N1037" i="2" s="1"/>
  <c r="N1029" i="2" a="1"/>
  <c r="N1029" i="2" s="1"/>
  <c r="P1029" i="2" a="1"/>
  <c r="P1029" i="2" s="1"/>
  <c r="M1029" i="2" a="1"/>
  <c r="M1029" i="2" s="1"/>
  <c r="Q1029" i="2" a="1"/>
  <c r="Q1029" i="2" s="1"/>
  <c r="O1029" i="2" a="1"/>
  <c r="O1029" i="2" s="1"/>
  <c r="R1029" i="2" a="1"/>
  <c r="R1029" i="2" s="1"/>
  <c r="R1021" i="2" a="1"/>
  <c r="R1021" i="2" s="1"/>
  <c r="O1021" i="2" a="1"/>
  <c r="O1021" i="2" s="1"/>
  <c r="Q1021" i="2" a="1"/>
  <c r="Q1021" i="2" s="1"/>
  <c r="P1021" i="2" a="1"/>
  <c r="P1021" i="2" s="1"/>
  <c r="N1021" i="2" a="1"/>
  <c r="N1021" i="2" s="1"/>
  <c r="M1021" i="2" a="1"/>
  <c r="M1021" i="2" s="1"/>
  <c r="M1013" i="2" a="1"/>
  <c r="M1013" i="2" s="1"/>
  <c r="P1013" i="2" a="1"/>
  <c r="P1013" i="2" s="1"/>
  <c r="N1013" i="2" a="1"/>
  <c r="N1013" i="2" s="1"/>
  <c r="R1013" i="2" a="1"/>
  <c r="R1013" i="2" s="1"/>
  <c r="Q1013" i="2" a="1"/>
  <c r="Q1013" i="2" s="1"/>
  <c r="O1013" i="2" a="1"/>
  <c r="O1013" i="2" s="1"/>
  <c r="Q1005" i="2" a="1"/>
  <c r="Q1005" i="2" s="1"/>
  <c r="N1005" i="2" a="1"/>
  <c r="N1005" i="2" s="1"/>
  <c r="R1005" i="2" a="1"/>
  <c r="R1005" i="2" s="1"/>
  <c r="P1005" i="2" a="1"/>
  <c r="P1005" i="2" s="1"/>
  <c r="O1005" i="2" a="1"/>
  <c r="O1005" i="2" s="1"/>
  <c r="M1005" i="2" a="1"/>
  <c r="M1005" i="2" s="1"/>
  <c r="Q997" i="2" a="1"/>
  <c r="Q997" i="2" s="1"/>
  <c r="M997" i="2" a="1"/>
  <c r="M997" i="2" s="1"/>
  <c r="R997" i="2" a="1"/>
  <c r="R997" i="2" s="1"/>
  <c r="P997" i="2" a="1"/>
  <c r="P997" i="2" s="1"/>
  <c r="O997" i="2" a="1"/>
  <c r="O997" i="2" s="1"/>
  <c r="N997" i="2" a="1"/>
  <c r="N997" i="2" s="1"/>
  <c r="Q989" i="2" a="1"/>
  <c r="Q989" i="2" s="1"/>
  <c r="M989" i="2" a="1"/>
  <c r="M989" i="2" s="1"/>
  <c r="R989" i="2" a="1"/>
  <c r="R989" i="2" s="1"/>
  <c r="P989" i="2" a="1"/>
  <c r="P989" i="2" s="1"/>
  <c r="O989" i="2" a="1"/>
  <c r="O989" i="2" s="1"/>
  <c r="N989" i="2" a="1"/>
  <c r="N989" i="2" s="1"/>
  <c r="Q981" i="2" a="1"/>
  <c r="Q981" i="2" s="1"/>
  <c r="M981" i="2" a="1"/>
  <c r="M981" i="2" s="1"/>
  <c r="R981" i="2" a="1"/>
  <c r="R981" i="2" s="1"/>
  <c r="P981" i="2" a="1"/>
  <c r="P981" i="2" s="1"/>
  <c r="O981" i="2" a="1"/>
  <c r="O981" i="2" s="1"/>
  <c r="N981" i="2" a="1"/>
  <c r="N981" i="2" s="1"/>
  <c r="Q973" i="2" a="1"/>
  <c r="Q973" i="2" s="1"/>
  <c r="M973" i="2" a="1"/>
  <c r="M973" i="2" s="1"/>
  <c r="R973" i="2" a="1"/>
  <c r="R973" i="2" s="1"/>
  <c r="P973" i="2" a="1"/>
  <c r="P973" i="2" s="1"/>
  <c r="O973" i="2" a="1"/>
  <c r="O973" i="2" s="1"/>
  <c r="N973" i="2" a="1"/>
  <c r="N973" i="2" s="1"/>
  <c r="Q965" i="2" a="1"/>
  <c r="Q965" i="2" s="1"/>
  <c r="M965" i="2" a="1"/>
  <c r="M965" i="2" s="1"/>
  <c r="R965" i="2" a="1"/>
  <c r="R965" i="2" s="1"/>
  <c r="P965" i="2" a="1"/>
  <c r="P965" i="2" s="1"/>
  <c r="O965" i="2" a="1"/>
  <c r="O965" i="2" s="1"/>
  <c r="N965" i="2" a="1"/>
  <c r="N965" i="2" s="1"/>
  <c r="Q957" i="2" a="1"/>
  <c r="Q957" i="2" s="1"/>
  <c r="M957" i="2" a="1"/>
  <c r="M957" i="2" s="1"/>
  <c r="R957" i="2" a="1"/>
  <c r="R957" i="2" s="1"/>
  <c r="P957" i="2" a="1"/>
  <c r="P957" i="2" s="1"/>
  <c r="O957" i="2" a="1"/>
  <c r="O957" i="2" s="1"/>
  <c r="N957" i="2" a="1"/>
  <c r="N957" i="2" s="1"/>
  <c r="Q949" i="2" a="1"/>
  <c r="Q949" i="2" s="1"/>
  <c r="M949" i="2" a="1"/>
  <c r="M949" i="2" s="1"/>
  <c r="R949" i="2" a="1"/>
  <c r="R949" i="2" s="1"/>
  <c r="P949" i="2" a="1"/>
  <c r="P949" i="2" s="1"/>
  <c r="O949" i="2" a="1"/>
  <c r="O949" i="2" s="1"/>
  <c r="N949" i="2" a="1"/>
  <c r="N949" i="2" s="1"/>
  <c r="Q941" i="2" a="1"/>
  <c r="Q941" i="2" s="1"/>
  <c r="M941" i="2" a="1"/>
  <c r="M941" i="2" s="1"/>
  <c r="R941" i="2" a="1"/>
  <c r="R941" i="2" s="1"/>
  <c r="P941" i="2" a="1"/>
  <c r="P941" i="2" s="1"/>
  <c r="O941" i="2" a="1"/>
  <c r="O941" i="2" s="1"/>
  <c r="N941" i="2" a="1"/>
  <c r="N941" i="2" s="1"/>
  <c r="Q933" i="2" a="1"/>
  <c r="Q933" i="2" s="1"/>
  <c r="M933" i="2" a="1"/>
  <c r="M933" i="2" s="1"/>
  <c r="R933" i="2" a="1"/>
  <c r="R933" i="2" s="1"/>
  <c r="P933" i="2" a="1"/>
  <c r="P933" i="2" s="1"/>
  <c r="O933" i="2" a="1"/>
  <c r="O933" i="2" s="1"/>
  <c r="N933" i="2" a="1"/>
  <c r="N933" i="2" s="1"/>
  <c r="Q925" i="2" a="1"/>
  <c r="Q925" i="2" s="1"/>
  <c r="M925" i="2" a="1"/>
  <c r="M925" i="2" s="1"/>
  <c r="R925" i="2" a="1"/>
  <c r="R925" i="2" s="1"/>
  <c r="P925" i="2" a="1"/>
  <c r="P925" i="2" s="1"/>
  <c r="O925" i="2" a="1"/>
  <c r="O925" i="2" s="1"/>
  <c r="N925" i="2" a="1"/>
  <c r="N925" i="2" s="1"/>
  <c r="Q917" i="2" a="1"/>
  <c r="Q917" i="2" s="1"/>
  <c r="M917" i="2" a="1"/>
  <c r="M917" i="2" s="1"/>
  <c r="R917" i="2" a="1"/>
  <c r="R917" i="2" s="1"/>
  <c r="P917" i="2" a="1"/>
  <c r="P917" i="2" s="1"/>
  <c r="O917" i="2" a="1"/>
  <c r="O917" i="2" s="1"/>
  <c r="N917" i="2" a="1"/>
  <c r="N917" i="2" s="1"/>
  <c r="Q909" i="2" a="1"/>
  <c r="Q909" i="2" s="1"/>
  <c r="M909" i="2" a="1"/>
  <c r="M909" i="2" s="1"/>
  <c r="R909" i="2" a="1"/>
  <c r="R909" i="2" s="1"/>
  <c r="P909" i="2" a="1"/>
  <c r="P909" i="2" s="1"/>
  <c r="O909" i="2" a="1"/>
  <c r="O909" i="2" s="1"/>
  <c r="N909" i="2" a="1"/>
  <c r="N909" i="2" s="1"/>
  <c r="Q901" i="2" a="1"/>
  <c r="Q901" i="2" s="1"/>
  <c r="M901" i="2" a="1"/>
  <c r="M901" i="2" s="1"/>
  <c r="R901" i="2" a="1"/>
  <c r="R901" i="2" s="1"/>
  <c r="P901" i="2" a="1"/>
  <c r="P901" i="2" s="1"/>
  <c r="O901" i="2" a="1"/>
  <c r="O901" i="2" s="1"/>
  <c r="N901" i="2" a="1"/>
  <c r="N901" i="2" s="1"/>
  <c r="Q893" i="2" a="1"/>
  <c r="Q893" i="2" s="1"/>
  <c r="M893" i="2" a="1"/>
  <c r="M893" i="2" s="1"/>
  <c r="R893" i="2" a="1"/>
  <c r="R893" i="2" s="1"/>
  <c r="P893" i="2" a="1"/>
  <c r="P893" i="2" s="1"/>
  <c r="O893" i="2" a="1"/>
  <c r="O893" i="2" s="1"/>
  <c r="N893" i="2" a="1"/>
  <c r="N893" i="2" s="1"/>
  <c r="Q885" i="2" a="1"/>
  <c r="Q885" i="2" s="1"/>
  <c r="M885" i="2" a="1"/>
  <c r="M885" i="2" s="1"/>
  <c r="R885" i="2" a="1"/>
  <c r="R885" i="2" s="1"/>
  <c r="P885" i="2" a="1"/>
  <c r="P885" i="2" s="1"/>
  <c r="O885" i="2" a="1"/>
  <c r="O885" i="2" s="1"/>
  <c r="N885" i="2" a="1"/>
  <c r="N885" i="2" s="1"/>
  <c r="Q877" i="2" a="1"/>
  <c r="Q877" i="2" s="1"/>
  <c r="M877" i="2" a="1"/>
  <c r="M877" i="2" s="1"/>
  <c r="R877" i="2" a="1"/>
  <c r="R877" i="2" s="1"/>
  <c r="P877" i="2" a="1"/>
  <c r="P877" i="2" s="1"/>
  <c r="O877" i="2" a="1"/>
  <c r="O877" i="2" s="1"/>
  <c r="N877" i="2" a="1"/>
  <c r="N877" i="2" s="1"/>
  <c r="R869" i="2" a="1"/>
  <c r="R869" i="2" s="1"/>
  <c r="M869" i="2" a="1"/>
  <c r="M869" i="2" s="1"/>
  <c r="N869" i="2" a="1"/>
  <c r="N869" i="2" s="1"/>
  <c r="Q869" i="2" a="1"/>
  <c r="Q869" i="2" s="1"/>
  <c r="P869" i="2" a="1"/>
  <c r="P869" i="2" s="1"/>
  <c r="O869" i="2" a="1"/>
  <c r="O869" i="2" s="1"/>
  <c r="M861" i="2" a="1"/>
  <c r="M861" i="2" s="1"/>
  <c r="P861" i="2" a="1"/>
  <c r="P861" i="2" s="1"/>
  <c r="R861" i="2" a="1"/>
  <c r="R861" i="2" s="1"/>
  <c r="O861" i="2" a="1"/>
  <c r="O861" i="2" s="1"/>
  <c r="Q861" i="2" a="1"/>
  <c r="Q861" i="2" s="1"/>
  <c r="N861" i="2" a="1"/>
  <c r="N861" i="2" s="1"/>
  <c r="M853" i="2" a="1"/>
  <c r="M853" i="2" s="1"/>
  <c r="P853" i="2" a="1"/>
  <c r="P853" i="2" s="1"/>
  <c r="R853" i="2" a="1"/>
  <c r="R853" i="2" s="1"/>
  <c r="O853" i="2" a="1"/>
  <c r="O853" i="2" s="1"/>
  <c r="Q853" i="2" a="1"/>
  <c r="Q853" i="2" s="1"/>
  <c r="N853" i="2" a="1"/>
  <c r="N853" i="2" s="1"/>
  <c r="M845" i="2" a="1"/>
  <c r="M845" i="2" s="1"/>
  <c r="P845" i="2" a="1"/>
  <c r="P845" i="2" s="1"/>
  <c r="R845" i="2" a="1"/>
  <c r="R845" i="2" s="1"/>
  <c r="O845" i="2" a="1"/>
  <c r="O845" i="2" s="1"/>
  <c r="Q845" i="2" a="1"/>
  <c r="Q845" i="2" s="1"/>
  <c r="N845" i="2" a="1"/>
  <c r="N845" i="2" s="1"/>
  <c r="M837" i="2" a="1"/>
  <c r="M837" i="2" s="1"/>
  <c r="P837" i="2" a="1"/>
  <c r="P837" i="2" s="1"/>
  <c r="R837" i="2" a="1"/>
  <c r="R837" i="2" s="1"/>
  <c r="O837" i="2" a="1"/>
  <c r="O837" i="2" s="1"/>
  <c r="Q837" i="2" a="1"/>
  <c r="Q837" i="2" s="1"/>
  <c r="N837" i="2" a="1"/>
  <c r="N837" i="2" s="1"/>
  <c r="M829" i="2" a="1"/>
  <c r="M829" i="2" s="1"/>
  <c r="P829" i="2" a="1"/>
  <c r="P829" i="2" s="1"/>
  <c r="R829" i="2" a="1"/>
  <c r="R829" i="2" s="1"/>
  <c r="O829" i="2" a="1"/>
  <c r="O829" i="2" s="1"/>
  <c r="Q829" i="2" a="1"/>
  <c r="Q829" i="2" s="1"/>
  <c r="N829" i="2" a="1"/>
  <c r="N829" i="2" s="1"/>
  <c r="M821" i="2" a="1"/>
  <c r="M821" i="2" s="1"/>
  <c r="P821" i="2" a="1"/>
  <c r="P821" i="2" s="1"/>
  <c r="R821" i="2" a="1"/>
  <c r="R821" i="2" s="1"/>
  <c r="O821" i="2" a="1"/>
  <c r="O821" i="2" s="1"/>
  <c r="Q821" i="2" a="1"/>
  <c r="Q821" i="2" s="1"/>
  <c r="N821" i="2" a="1"/>
  <c r="N821" i="2" s="1"/>
  <c r="M817" i="2" a="1"/>
  <c r="M817" i="2" s="1"/>
  <c r="P817" i="2" a="1"/>
  <c r="P817" i="2" s="1"/>
  <c r="R817" i="2" a="1"/>
  <c r="R817" i="2" s="1"/>
  <c r="O817" i="2" a="1"/>
  <c r="O817" i="2" s="1"/>
  <c r="Q817" i="2" a="1"/>
  <c r="Q817" i="2" s="1"/>
  <c r="N817" i="2" a="1"/>
  <c r="N817" i="2" s="1"/>
  <c r="M809" i="2" a="1"/>
  <c r="M809" i="2" s="1"/>
  <c r="P809" i="2" a="1"/>
  <c r="P809" i="2" s="1"/>
  <c r="R809" i="2" a="1"/>
  <c r="R809" i="2" s="1"/>
  <c r="O809" i="2" a="1"/>
  <c r="O809" i="2" s="1"/>
  <c r="Q809" i="2" a="1"/>
  <c r="Q809" i="2" s="1"/>
  <c r="N809" i="2" a="1"/>
  <c r="N809" i="2" s="1"/>
  <c r="M801" i="2" a="1"/>
  <c r="M801" i="2" s="1"/>
  <c r="P801" i="2" a="1"/>
  <c r="P801" i="2" s="1"/>
  <c r="R801" i="2" a="1"/>
  <c r="R801" i="2" s="1"/>
  <c r="O801" i="2" a="1"/>
  <c r="O801" i="2" s="1"/>
  <c r="Q801" i="2" a="1"/>
  <c r="Q801" i="2" s="1"/>
  <c r="N801" i="2" a="1"/>
  <c r="N801" i="2" s="1"/>
  <c r="M793" i="2" a="1"/>
  <c r="M793" i="2" s="1"/>
  <c r="P793" i="2" a="1"/>
  <c r="P793" i="2" s="1"/>
  <c r="R793" i="2" a="1"/>
  <c r="R793" i="2" s="1"/>
  <c r="O793" i="2" a="1"/>
  <c r="O793" i="2" s="1"/>
  <c r="Q793" i="2" a="1"/>
  <c r="Q793" i="2" s="1"/>
  <c r="N793" i="2" a="1"/>
  <c r="N793" i="2" s="1"/>
  <c r="M785" i="2" a="1"/>
  <c r="M785" i="2" s="1"/>
  <c r="P785" i="2" a="1"/>
  <c r="P785" i="2" s="1"/>
  <c r="R785" i="2" a="1"/>
  <c r="R785" i="2" s="1"/>
  <c r="O785" i="2" a="1"/>
  <c r="O785" i="2" s="1"/>
  <c r="Q785" i="2" a="1"/>
  <c r="Q785" i="2" s="1"/>
  <c r="N785" i="2" a="1"/>
  <c r="N785" i="2" s="1"/>
  <c r="M777" i="2" a="1"/>
  <c r="M777" i="2" s="1"/>
  <c r="P777" i="2" a="1"/>
  <c r="P777" i="2" s="1"/>
  <c r="R777" i="2" a="1"/>
  <c r="R777" i="2" s="1"/>
  <c r="O777" i="2" a="1"/>
  <c r="O777" i="2" s="1"/>
  <c r="Q777" i="2" a="1"/>
  <c r="Q777" i="2" s="1"/>
  <c r="N777" i="2" a="1"/>
  <c r="N777" i="2" s="1"/>
  <c r="M773" i="2" a="1"/>
  <c r="M773" i="2" s="1"/>
  <c r="P773" i="2" a="1"/>
  <c r="P773" i="2" s="1"/>
  <c r="R773" i="2" a="1"/>
  <c r="R773" i="2" s="1"/>
  <c r="O773" i="2" a="1"/>
  <c r="O773" i="2" s="1"/>
  <c r="Q773" i="2" a="1"/>
  <c r="Q773" i="2" s="1"/>
  <c r="N773" i="2" a="1"/>
  <c r="N773" i="2" s="1"/>
  <c r="M765" i="2" a="1"/>
  <c r="M765" i="2" s="1"/>
  <c r="P765" i="2" a="1"/>
  <c r="P765" i="2" s="1"/>
  <c r="R765" i="2" a="1"/>
  <c r="R765" i="2" s="1"/>
  <c r="O765" i="2" a="1"/>
  <c r="O765" i="2" s="1"/>
  <c r="Q765" i="2" a="1"/>
  <c r="Q765" i="2" s="1"/>
  <c r="N765" i="2" a="1"/>
  <c r="N765" i="2" s="1"/>
  <c r="P761" i="2" a="1"/>
  <c r="P761" i="2" s="1"/>
  <c r="R761" i="2" a="1"/>
  <c r="R761" i="2" s="1"/>
  <c r="O761" i="2" a="1"/>
  <c r="O761" i="2" s="1"/>
  <c r="Q761" i="2" a="1"/>
  <c r="Q761" i="2" s="1"/>
  <c r="N761" i="2" a="1"/>
  <c r="N761" i="2" s="1"/>
  <c r="M761" i="2" a="1"/>
  <c r="M761" i="2" s="1"/>
  <c r="P757" i="2" a="1"/>
  <c r="P757" i="2" s="1"/>
  <c r="R757" i="2" a="1"/>
  <c r="R757" i="2" s="1"/>
  <c r="O757" i="2" a="1"/>
  <c r="O757" i="2" s="1"/>
  <c r="Q757" i="2" a="1"/>
  <c r="Q757" i="2" s="1"/>
  <c r="N757" i="2" a="1"/>
  <c r="N757" i="2" s="1"/>
  <c r="M757" i="2" a="1"/>
  <c r="M757" i="2" s="1"/>
  <c r="P753" i="2" a="1"/>
  <c r="P753" i="2" s="1"/>
  <c r="R753" i="2" a="1"/>
  <c r="R753" i="2" s="1"/>
  <c r="O753" i="2" a="1"/>
  <c r="O753" i="2" s="1"/>
  <c r="Q753" i="2" a="1"/>
  <c r="Q753" i="2" s="1"/>
  <c r="N753" i="2" a="1"/>
  <c r="N753" i="2" s="1"/>
  <c r="M753" i="2" a="1"/>
  <c r="M753" i="2" s="1"/>
  <c r="P749" i="2" a="1"/>
  <c r="P749" i="2" s="1"/>
  <c r="R749" i="2" a="1"/>
  <c r="R749" i="2" s="1"/>
  <c r="O749" i="2" a="1"/>
  <c r="O749" i="2" s="1"/>
  <c r="Q749" i="2" a="1"/>
  <c r="Q749" i="2" s="1"/>
  <c r="N749" i="2" a="1"/>
  <c r="N749" i="2" s="1"/>
  <c r="M749" i="2" a="1"/>
  <c r="M749" i="2" s="1"/>
  <c r="P741" i="2" a="1"/>
  <c r="P741" i="2" s="1"/>
  <c r="R741" i="2" a="1"/>
  <c r="R741" i="2" s="1"/>
  <c r="O741" i="2" a="1"/>
  <c r="O741" i="2" s="1"/>
  <c r="Q741" i="2" a="1"/>
  <c r="Q741" i="2" s="1"/>
  <c r="N741" i="2" a="1"/>
  <c r="N741" i="2" s="1"/>
  <c r="M741" i="2" a="1"/>
  <c r="M741" i="2" s="1"/>
  <c r="P737" i="2" a="1"/>
  <c r="P737" i="2" s="1"/>
  <c r="R737" i="2" a="1"/>
  <c r="R737" i="2" s="1"/>
  <c r="O737" i="2" a="1"/>
  <c r="O737" i="2" s="1"/>
  <c r="Q737" i="2" a="1"/>
  <c r="Q737" i="2" s="1"/>
  <c r="N737" i="2" a="1"/>
  <c r="N737" i="2" s="1"/>
  <c r="M737" i="2" a="1"/>
  <c r="M737" i="2" s="1"/>
  <c r="M733" i="2" a="1"/>
  <c r="M733" i="2" s="1"/>
  <c r="P733" i="2" a="1"/>
  <c r="P733" i="2" s="1"/>
  <c r="R733" i="2" a="1"/>
  <c r="R733" i="2" s="1"/>
  <c r="O733" i="2" a="1"/>
  <c r="O733" i="2" s="1"/>
  <c r="Q733" i="2" a="1"/>
  <c r="Q733" i="2" s="1"/>
  <c r="N733" i="2" a="1"/>
  <c r="N733" i="2" s="1"/>
  <c r="P729" i="2" a="1"/>
  <c r="P729" i="2" s="1"/>
  <c r="R729" i="2" a="1"/>
  <c r="R729" i="2" s="1"/>
  <c r="O729" i="2" a="1"/>
  <c r="O729" i="2" s="1"/>
  <c r="Q729" i="2" a="1"/>
  <c r="Q729" i="2" s="1"/>
  <c r="N729" i="2" a="1"/>
  <c r="N729" i="2" s="1"/>
  <c r="M729" i="2" a="1"/>
  <c r="M729" i="2" s="1"/>
  <c r="P725" i="2" a="1"/>
  <c r="P725" i="2" s="1"/>
  <c r="R725" i="2" a="1"/>
  <c r="R725" i="2" s="1"/>
  <c r="O725" i="2" a="1"/>
  <c r="O725" i="2" s="1"/>
  <c r="Q725" i="2" a="1"/>
  <c r="Q725" i="2" s="1"/>
  <c r="N725" i="2" a="1"/>
  <c r="N725" i="2" s="1"/>
  <c r="M725" i="2" a="1"/>
  <c r="M725" i="2" s="1"/>
  <c r="P721" i="2" a="1"/>
  <c r="P721" i="2" s="1"/>
  <c r="R721" i="2" a="1"/>
  <c r="R721" i="2" s="1"/>
  <c r="O721" i="2" a="1"/>
  <c r="O721" i="2" s="1"/>
  <c r="Q721" i="2" a="1"/>
  <c r="Q721" i="2" s="1"/>
  <c r="N721" i="2" a="1"/>
  <c r="N721" i="2" s="1"/>
  <c r="M721" i="2" a="1"/>
  <c r="M721" i="2" s="1"/>
  <c r="P717" i="2" a="1"/>
  <c r="P717" i="2" s="1"/>
  <c r="R717" i="2" a="1"/>
  <c r="R717" i="2" s="1"/>
  <c r="O717" i="2" a="1"/>
  <c r="O717" i="2" s="1"/>
  <c r="Q717" i="2" a="1"/>
  <c r="Q717" i="2" s="1"/>
  <c r="N717" i="2" a="1"/>
  <c r="N717" i="2" s="1"/>
  <c r="M717" i="2" a="1"/>
  <c r="M717" i="2" s="1"/>
  <c r="P713" i="2" a="1"/>
  <c r="P713" i="2" s="1"/>
  <c r="R713" i="2" a="1"/>
  <c r="R713" i="2" s="1"/>
  <c r="O713" i="2" a="1"/>
  <c r="O713" i="2" s="1"/>
  <c r="Q713" i="2" a="1"/>
  <c r="Q713" i="2" s="1"/>
  <c r="N713" i="2" a="1"/>
  <c r="N713" i="2" s="1"/>
  <c r="M713" i="2" a="1"/>
  <c r="M713" i="2" s="1"/>
  <c r="P709" i="2" a="1"/>
  <c r="P709" i="2" s="1"/>
  <c r="R709" i="2" a="1"/>
  <c r="R709" i="2" s="1"/>
  <c r="O709" i="2" a="1"/>
  <c r="O709" i="2" s="1"/>
  <c r="Q709" i="2" a="1"/>
  <c r="Q709" i="2" s="1"/>
  <c r="N709" i="2" a="1"/>
  <c r="N709" i="2" s="1"/>
  <c r="M709" i="2" a="1"/>
  <c r="M709" i="2" s="1"/>
  <c r="P705" i="2" a="1"/>
  <c r="P705" i="2" s="1"/>
  <c r="R705" i="2" a="1"/>
  <c r="R705" i="2" s="1"/>
  <c r="O705" i="2" a="1"/>
  <c r="O705" i="2" s="1"/>
  <c r="Q705" i="2" a="1"/>
  <c r="Q705" i="2" s="1"/>
  <c r="N705" i="2" a="1"/>
  <c r="N705" i="2" s="1"/>
  <c r="M705" i="2" a="1"/>
  <c r="M705" i="2" s="1"/>
  <c r="P701" i="2" a="1"/>
  <c r="P701" i="2" s="1"/>
  <c r="R701" i="2" a="1"/>
  <c r="R701" i="2" s="1"/>
  <c r="O701" i="2" a="1"/>
  <c r="O701" i="2" s="1"/>
  <c r="Q701" i="2" a="1"/>
  <c r="Q701" i="2" s="1"/>
  <c r="N701" i="2" a="1"/>
  <c r="N701" i="2" s="1"/>
  <c r="M701" i="2" a="1"/>
  <c r="M701" i="2" s="1"/>
  <c r="P697" i="2" a="1"/>
  <c r="P697" i="2" s="1"/>
  <c r="R697" i="2" a="1"/>
  <c r="R697" i="2" s="1"/>
  <c r="O697" i="2" a="1"/>
  <c r="O697" i="2" s="1"/>
  <c r="N697" i="2" a="1"/>
  <c r="N697" i="2" s="1"/>
  <c r="M697" i="2" a="1"/>
  <c r="M697" i="2" s="1"/>
  <c r="Q697" i="2" a="1"/>
  <c r="Q697" i="2" s="1"/>
  <c r="P693" i="2" a="1"/>
  <c r="P693" i="2" s="1"/>
  <c r="R693" i="2" a="1"/>
  <c r="R693" i="2" s="1"/>
  <c r="O693" i="2" a="1"/>
  <c r="O693" i="2" s="1"/>
  <c r="N693" i="2" a="1"/>
  <c r="N693" i="2" s="1"/>
  <c r="M693" i="2" a="1"/>
  <c r="M693" i="2" s="1"/>
  <c r="Q693" i="2" a="1"/>
  <c r="Q693" i="2" s="1"/>
  <c r="R689" i="2" a="1"/>
  <c r="R689" i="2" s="1"/>
  <c r="O689" i="2" a="1"/>
  <c r="O689" i="2" s="1"/>
  <c r="P689" i="2" a="1"/>
  <c r="P689" i="2" s="1"/>
  <c r="N689" i="2" a="1"/>
  <c r="N689" i="2" s="1"/>
  <c r="Q689" i="2" a="1"/>
  <c r="Q689" i="2" s="1"/>
  <c r="M689" i="2" a="1"/>
  <c r="M689" i="2" s="1"/>
  <c r="R685" i="2" a="1"/>
  <c r="R685" i="2" s="1"/>
  <c r="O685" i="2" a="1"/>
  <c r="O685" i="2" s="1"/>
  <c r="N685" i="2" a="1"/>
  <c r="N685" i="2" s="1"/>
  <c r="Q685" i="2" a="1"/>
  <c r="Q685" i="2" s="1"/>
  <c r="M685" i="2" a="1"/>
  <c r="M685" i="2" s="1"/>
  <c r="P685" i="2" a="1"/>
  <c r="P685" i="2" s="1"/>
  <c r="R681" i="2" a="1"/>
  <c r="R681" i="2" s="1"/>
  <c r="O681" i="2" a="1"/>
  <c r="O681" i="2" s="1"/>
  <c r="P681" i="2" a="1"/>
  <c r="P681" i="2" s="1"/>
  <c r="N681" i="2" a="1"/>
  <c r="N681" i="2" s="1"/>
  <c r="Q681" i="2" a="1"/>
  <c r="Q681" i="2" s="1"/>
  <c r="M681" i="2" a="1"/>
  <c r="M681" i="2" s="1"/>
  <c r="R673" i="2" a="1"/>
  <c r="R673" i="2" s="1"/>
  <c r="O673" i="2" a="1"/>
  <c r="O673" i="2" s="1"/>
  <c r="P673" i="2" a="1"/>
  <c r="P673" i="2" s="1"/>
  <c r="N673" i="2" a="1"/>
  <c r="N673" i="2" s="1"/>
  <c r="Q673" i="2" a="1"/>
  <c r="Q673" i="2" s="1"/>
  <c r="M673" i="2" a="1"/>
  <c r="M673" i="2" s="1"/>
  <c r="R669" i="2" a="1"/>
  <c r="R669" i="2" s="1"/>
  <c r="O669" i="2" a="1"/>
  <c r="O669" i="2" s="1"/>
  <c r="N669" i="2" a="1"/>
  <c r="N669" i="2" s="1"/>
  <c r="Q669" i="2" a="1"/>
  <c r="Q669" i="2" s="1"/>
  <c r="M669" i="2" a="1"/>
  <c r="M669" i="2" s="1"/>
  <c r="P669" i="2" a="1"/>
  <c r="P669" i="2" s="1"/>
  <c r="R665" i="2" a="1"/>
  <c r="R665" i="2" s="1"/>
  <c r="O665" i="2" a="1"/>
  <c r="O665" i="2" s="1"/>
  <c r="P665" i="2" a="1"/>
  <c r="P665" i="2" s="1"/>
  <c r="N665" i="2" a="1"/>
  <c r="N665" i="2" s="1"/>
  <c r="Q665" i="2" a="1"/>
  <c r="Q665" i="2" s="1"/>
  <c r="M665" i="2" a="1"/>
  <c r="M665" i="2" s="1"/>
  <c r="R661" i="2" a="1"/>
  <c r="R661" i="2" s="1"/>
  <c r="O661" i="2" a="1"/>
  <c r="O661" i="2" s="1"/>
  <c r="N661" i="2" a="1"/>
  <c r="N661" i="2" s="1"/>
  <c r="Q661" i="2" a="1"/>
  <c r="Q661" i="2" s="1"/>
  <c r="M661" i="2" a="1"/>
  <c r="M661" i="2" s="1"/>
  <c r="P661" i="2" a="1"/>
  <c r="P661" i="2" s="1"/>
  <c r="R657" i="2" a="1"/>
  <c r="R657" i="2" s="1"/>
  <c r="O657" i="2" a="1"/>
  <c r="O657" i="2" s="1"/>
  <c r="P657" i="2" a="1"/>
  <c r="P657" i="2" s="1"/>
  <c r="N657" i="2" a="1"/>
  <c r="N657" i="2" s="1"/>
  <c r="Q657" i="2" a="1"/>
  <c r="Q657" i="2" s="1"/>
  <c r="M657" i="2" a="1"/>
  <c r="M657" i="2" s="1"/>
  <c r="R653" i="2" a="1"/>
  <c r="R653" i="2" s="1"/>
  <c r="O653" i="2" a="1"/>
  <c r="O653" i="2" s="1"/>
  <c r="N653" i="2" a="1"/>
  <c r="N653" i="2" s="1"/>
  <c r="Q653" i="2" a="1"/>
  <c r="Q653" i="2" s="1"/>
  <c r="M653" i="2" a="1"/>
  <c r="M653" i="2" s="1"/>
  <c r="P653" i="2" a="1"/>
  <c r="P653" i="2" s="1"/>
  <c r="R649" i="2" a="1"/>
  <c r="R649" i="2" s="1"/>
  <c r="O649" i="2" a="1"/>
  <c r="O649" i="2" s="1"/>
  <c r="P649" i="2" a="1"/>
  <c r="P649" i="2" s="1"/>
  <c r="N649" i="2" a="1"/>
  <c r="N649" i="2" s="1"/>
  <c r="Q649" i="2" a="1"/>
  <c r="Q649" i="2" s="1"/>
  <c r="M649" i="2" a="1"/>
  <c r="M649" i="2" s="1"/>
  <c r="R645" i="2" a="1"/>
  <c r="R645" i="2" s="1"/>
  <c r="O645" i="2" a="1"/>
  <c r="O645" i="2" s="1"/>
  <c r="N645" i="2" a="1"/>
  <c r="N645" i="2" s="1"/>
  <c r="Q645" i="2" a="1"/>
  <c r="Q645" i="2" s="1"/>
  <c r="M645" i="2" a="1"/>
  <c r="M645" i="2" s="1"/>
  <c r="P645" i="2" a="1"/>
  <c r="P645" i="2" s="1"/>
  <c r="R641" i="2" a="1"/>
  <c r="R641" i="2" s="1"/>
  <c r="O641" i="2" a="1"/>
  <c r="O641" i="2" s="1"/>
  <c r="P641" i="2" a="1"/>
  <c r="P641" i="2" s="1"/>
  <c r="N641" i="2" a="1"/>
  <c r="N641" i="2" s="1"/>
  <c r="Q641" i="2" a="1"/>
  <c r="Q641" i="2" s="1"/>
  <c r="M641" i="2" a="1"/>
  <c r="M641" i="2" s="1"/>
  <c r="R637" i="2" a="1"/>
  <c r="R637" i="2" s="1"/>
  <c r="O637" i="2" a="1"/>
  <c r="O637" i="2" s="1"/>
  <c r="N637" i="2" a="1"/>
  <c r="N637" i="2" s="1"/>
  <c r="Q637" i="2" a="1"/>
  <c r="Q637" i="2" s="1"/>
  <c r="M637" i="2" a="1"/>
  <c r="M637" i="2" s="1"/>
  <c r="P637" i="2" a="1"/>
  <c r="P637" i="2" s="1"/>
  <c r="R633" i="2" a="1"/>
  <c r="R633" i="2" s="1"/>
  <c r="O633" i="2" a="1"/>
  <c r="O633" i="2" s="1"/>
  <c r="P633" i="2" a="1"/>
  <c r="P633" i="2" s="1"/>
  <c r="N633" i="2" a="1"/>
  <c r="N633" i="2" s="1"/>
  <c r="Q633" i="2" a="1"/>
  <c r="Q633" i="2" s="1"/>
  <c r="M633" i="2" a="1"/>
  <c r="M633" i="2" s="1"/>
  <c r="R629" i="2" a="1"/>
  <c r="R629" i="2" s="1"/>
  <c r="O629" i="2" a="1"/>
  <c r="O629" i="2" s="1"/>
  <c r="N629" i="2" a="1"/>
  <c r="N629" i="2" s="1"/>
  <c r="Q629" i="2" a="1"/>
  <c r="Q629" i="2" s="1"/>
  <c r="M629" i="2" a="1"/>
  <c r="M629" i="2" s="1"/>
  <c r="P629" i="2" a="1"/>
  <c r="P629" i="2" s="1"/>
  <c r="P625" i="2" a="1"/>
  <c r="P625" i="2" s="1"/>
  <c r="R625" i="2" a="1"/>
  <c r="R625" i="2" s="1"/>
  <c r="O625" i="2" a="1"/>
  <c r="O625" i="2" s="1"/>
  <c r="Q625" i="2" a="1"/>
  <c r="Q625" i="2" s="1"/>
  <c r="N625" i="2" a="1"/>
  <c r="N625" i="2" s="1"/>
  <c r="M625" i="2" a="1"/>
  <c r="M625" i="2" s="1"/>
  <c r="P621" i="2" a="1"/>
  <c r="P621" i="2" s="1"/>
  <c r="R621" i="2" a="1"/>
  <c r="R621" i="2" s="1"/>
  <c r="O621" i="2" a="1"/>
  <c r="O621" i="2" s="1"/>
  <c r="Q621" i="2" a="1"/>
  <c r="Q621" i="2" s="1"/>
  <c r="N621" i="2" a="1"/>
  <c r="N621" i="2" s="1"/>
  <c r="M621" i="2" a="1"/>
  <c r="M621" i="2" s="1"/>
  <c r="P617" i="2" a="1"/>
  <c r="P617" i="2" s="1"/>
  <c r="M617" i="2" a="1"/>
  <c r="M617" i="2" s="1"/>
  <c r="R617" i="2" a="1"/>
  <c r="R617" i="2" s="1"/>
  <c r="O617" i="2" a="1"/>
  <c r="O617" i="2" s="1"/>
  <c r="Q617" i="2" a="1"/>
  <c r="Q617" i="2" s="1"/>
  <c r="N617" i="2" a="1"/>
  <c r="N617" i="2" s="1"/>
  <c r="Q613" i="2" a="1"/>
  <c r="Q613" i="2" s="1"/>
  <c r="N613" i="2" a="1"/>
  <c r="N613" i="2" s="1"/>
  <c r="P613" i="2" a="1"/>
  <c r="P613" i="2" s="1"/>
  <c r="M613" i="2" a="1"/>
  <c r="M613" i="2" s="1"/>
  <c r="R613" i="2" a="1"/>
  <c r="R613" i="2" s="1"/>
  <c r="O613" i="2" a="1"/>
  <c r="O613" i="2" s="1"/>
  <c r="P609" i="2" a="1"/>
  <c r="P609" i="2" s="1"/>
  <c r="R609" i="2" a="1"/>
  <c r="R609" i="2" s="1"/>
  <c r="O609" i="2" a="1"/>
  <c r="O609" i="2" s="1"/>
  <c r="Q609" i="2" a="1"/>
  <c r="Q609" i="2" s="1"/>
  <c r="N609" i="2" a="1"/>
  <c r="N609" i="2" s="1"/>
  <c r="M609" i="2" a="1"/>
  <c r="M609" i="2" s="1"/>
  <c r="P605" i="2" a="1"/>
  <c r="P605" i="2" s="1"/>
  <c r="M605" i="2" a="1"/>
  <c r="M605" i="2" s="1"/>
  <c r="O605" i="2" a="1"/>
  <c r="O605" i="2" s="1"/>
  <c r="R605" i="2" a="1"/>
  <c r="R605" i="2" s="1"/>
  <c r="Q605" i="2" a="1"/>
  <c r="Q605" i="2" s="1"/>
  <c r="N605" i="2" a="1"/>
  <c r="N605" i="2" s="1"/>
  <c r="R601" i="2" a="1"/>
  <c r="R601" i="2" s="1"/>
  <c r="O601" i="2" a="1"/>
  <c r="O601" i="2" s="1"/>
  <c r="Q601" i="2" a="1"/>
  <c r="Q601" i="2" s="1"/>
  <c r="N601" i="2" a="1"/>
  <c r="N601" i="2" s="1"/>
  <c r="M601" i="2" a="1"/>
  <c r="M601" i="2" s="1"/>
  <c r="P601" i="2" a="1"/>
  <c r="P601" i="2" s="1"/>
  <c r="P597" i="2" a="1"/>
  <c r="P597" i="2" s="1"/>
  <c r="M597" i="2" a="1"/>
  <c r="M597" i="2" s="1"/>
  <c r="R597" i="2" a="1"/>
  <c r="R597" i="2" s="1"/>
  <c r="O597" i="2" a="1"/>
  <c r="O597" i="2" s="1"/>
  <c r="Q597" i="2" a="1"/>
  <c r="Q597" i="2" s="1"/>
  <c r="N597" i="2" a="1"/>
  <c r="N597" i="2" s="1"/>
  <c r="Q593" i="2" a="1"/>
  <c r="Q593" i="2" s="1"/>
  <c r="N593" i="2" a="1"/>
  <c r="N593" i="2" s="1"/>
  <c r="P593" i="2" a="1"/>
  <c r="P593" i="2" s="1"/>
  <c r="M593" i="2" a="1"/>
  <c r="M593" i="2" s="1"/>
  <c r="R593" i="2" a="1"/>
  <c r="R593" i="2" s="1"/>
  <c r="O593" i="2" a="1"/>
  <c r="O593" i="2" s="1"/>
  <c r="P589" i="2" a="1"/>
  <c r="P589" i="2" s="1"/>
  <c r="M589" i="2" a="1"/>
  <c r="M589" i="2" s="1"/>
  <c r="R589" i="2" a="1"/>
  <c r="R589" i="2" s="1"/>
  <c r="O589" i="2" a="1"/>
  <c r="O589" i="2" s="1"/>
  <c r="Q589" i="2" a="1"/>
  <c r="Q589" i="2" s="1"/>
  <c r="N589" i="2" a="1"/>
  <c r="N589" i="2" s="1"/>
  <c r="P585" i="2" a="1"/>
  <c r="P585" i="2" s="1"/>
  <c r="M585" i="2" a="1"/>
  <c r="M585" i="2" s="1"/>
  <c r="R585" i="2" a="1"/>
  <c r="R585" i="2" s="1"/>
  <c r="O585" i="2" a="1"/>
  <c r="O585" i="2" s="1"/>
  <c r="Q585" i="2" a="1"/>
  <c r="Q585" i="2" s="1"/>
  <c r="N585" i="2" a="1"/>
  <c r="N585" i="2" s="1"/>
  <c r="P581" i="2" a="1"/>
  <c r="P581" i="2" s="1"/>
  <c r="M581" i="2" a="1"/>
  <c r="M581" i="2" s="1"/>
  <c r="R581" i="2" a="1"/>
  <c r="R581" i="2" s="1"/>
  <c r="O581" i="2" a="1"/>
  <c r="O581" i="2" s="1"/>
  <c r="Q581" i="2" a="1"/>
  <c r="Q581" i="2" s="1"/>
  <c r="N581" i="2" a="1"/>
  <c r="N581" i="2" s="1"/>
  <c r="P577" i="2" a="1"/>
  <c r="P577" i="2" s="1"/>
  <c r="M577" i="2" a="1"/>
  <c r="M577" i="2" s="1"/>
  <c r="R577" i="2" a="1"/>
  <c r="R577" i="2" s="1"/>
  <c r="O577" i="2" a="1"/>
  <c r="O577" i="2" s="1"/>
  <c r="Q577" i="2" a="1"/>
  <c r="Q577" i="2" s="1"/>
  <c r="N577" i="2" a="1"/>
  <c r="N577" i="2" s="1"/>
  <c r="P573" i="2" a="1"/>
  <c r="P573" i="2" s="1"/>
  <c r="M573" i="2" a="1"/>
  <c r="M573" i="2" s="1"/>
  <c r="R573" i="2" a="1"/>
  <c r="R573" i="2" s="1"/>
  <c r="O573" i="2" a="1"/>
  <c r="O573" i="2" s="1"/>
  <c r="Q573" i="2" a="1"/>
  <c r="Q573" i="2" s="1"/>
  <c r="N573" i="2" a="1"/>
  <c r="N573" i="2" s="1"/>
  <c r="P569" i="2" a="1"/>
  <c r="P569" i="2" s="1"/>
  <c r="M569" i="2" a="1"/>
  <c r="M569" i="2" s="1"/>
  <c r="R569" i="2" a="1"/>
  <c r="R569" i="2" s="1"/>
  <c r="O569" i="2" a="1"/>
  <c r="O569" i="2" s="1"/>
  <c r="Q569" i="2" a="1"/>
  <c r="Q569" i="2" s="1"/>
  <c r="N569" i="2" a="1"/>
  <c r="N569" i="2" s="1"/>
  <c r="P565" i="2" a="1"/>
  <c r="P565" i="2" s="1"/>
  <c r="M565" i="2" a="1"/>
  <c r="M565" i="2" s="1"/>
  <c r="R565" i="2" a="1"/>
  <c r="R565" i="2" s="1"/>
  <c r="O565" i="2" a="1"/>
  <c r="O565" i="2" s="1"/>
  <c r="Q565" i="2" a="1"/>
  <c r="Q565" i="2" s="1"/>
  <c r="N565" i="2" a="1"/>
  <c r="N565" i="2" s="1"/>
  <c r="P561" i="2" a="1"/>
  <c r="P561" i="2" s="1"/>
  <c r="M561" i="2" a="1"/>
  <c r="M561" i="2" s="1"/>
  <c r="R561" i="2" a="1"/>
  <c r="R561" i="2" s="1"/>
  <c r="O561" i="2" a="1"/>
  <c r="O561" i="2" s="1"/>
  <c r="Q561" i="2" a="1"/>
  <c r="Q561" i="2" s="1"/>
  <c r="N561" i="2" a="1"/>
  <c r="N561" i="2" s="1"/>
  <c r="P557" i="2" a="1"/>
  <c r="P557" i="2" s="1"/>
  <c r="M557" i="2" a="1"/>
  <c r="M557" i="2" s="1"/>
  <c r="R557" i="2" a="1"/>
  <c r="R557" i="2" s="1"/>
  <c r="O557" i="2" a="1"/>
  <c r="O557" i="2" s="1"/>
  <c r="Q557" i="2" a="1"/>
  <c r="Q557" i="2" s="1"/>
  <c r="N557" i="2" a="1"/>
  <c r="N557" i="2" s="1"/>
  <c r="P553" i="2" a="1"/>
  <c r="P553" i="2" s="1"/>
  <c r="M553" i="2" a="1"/>
  <c r="M553" i="2" s="1"/>
  <c r="R553" i="2" a="1"/>
  <c r="R553" i="2" s="1"/>
  <c r="O553" i="2" a="1"/>
  <c r="O553" i="2" s="1"/>
  <c r="N553" i="2" a="1"/>
  <c r="N553" i="2" s="1"/>
  <c r="Q553" i="2" a="1"/>
  <c r="Q553" i="2" s="1"/>
  <c r="P549" i="2" a="1"/>
  <c r="P549" i="2" s="1"/>
  <c r="M549" i="2" a="1"/>
  <c r="M549" i="2" s="1"/>
  <c r="R549" i="2" a="1"/>
  <c r="R549" i="2" s="1"/>
  <c r="O549" i="2" a="1"/>
  <c r="O549" i="2" s="1"/>
  <c r="Q549" i="2" a="1"/>
  <c r="Q549" i="2" s="1"/>
  <c r="N549" i="2" a="1"/>
  <c r="N549" i="2" s="1"/>
  <c r="P545" i="2" a="1"/>
  <c r="P545" i="2" s="1"/>
  <c r="M545" i="2" a="1"/>
  <c r="M545" i="2" s="1"/>
  <c r="R545" i="2" a="1"/>
  <c r="R545" i="2" s="1"/>
  <c r="O545" i="2" a="1"/>
  <c r="O545" i="2" s="1"/>
  <c r="Q545" i="2" a="1"/>
  <c r="Q545" i="2" s="1"/>
  <c r="N545" i="2" a="1"/>
  <c r="N545" i="2" s="1"/>
  <c r="P541" i="2" a="1"/>
  <c r="P541" i="2" s="1"/>
  <c r="M541" i="2" a="1"/>
  <c r="M541" i="2" s="1"/>
  <c r="R541" i="2" a="1"/>
  <c r="R541" i="2" s="1"/>
  <c r="O541" i="2" a="1"/>
  <c r="O541" i="2" s="1"/>
  <c r="Q541" i="2" a="1"/>
  <c r="Q541" i="2" s="1"/>
  <c r="N541" i="2" a="1"/>
  <c r="N541" i="2" s="1"/>
  <c r="P537" i="2" a="1"/>
  <c r="P537" i="2" s="1"/>
  <c r="M537" i="2" a="1"/>
  <c r="M537" i="2" s="1"/>
  <c r="R537" i="2" a="1"/>
  <c r="R537" i="2" s="1"/>
  <c r="O537" i="2" a="1"/>
  <c r="O537" i="2" s="1"/>
  <c r="N537" i="2" a="1"/>
  <c r="N537" i="2" s="1"/>
  <c r="Q537" i="2" a="1"/>
  <c r="Q537" i="2" s="1"/>
  <c r="P533" i="2" a="1"/>
  <c r="P533" i="2" s="1"/>
  <c r="R533" i="2" a="1"/>
  <c r="R533" i="2" s="1"/>
  <c r="O533" i="2" a="1"/>
  <c r="O533" i="2" s="1"/>
  <c r="Q533" i="2" a="1"/>
  <c r="Q533" i="2" s="1"/>
  <c r="N533" i="2" a="1"/>
  <c r="N533" i="2" s="1"/>
  <c r="M533" i="2" a="1"/>
  <c r="M533" i="2" s="1"/>
  <c r="P529" i="2" a="1"/>
  <c r="P529" i="2" s="1"/>
  <c r="R529" i="2" a="1"/>
  <c r="R529" i="2" s="1"/>
  <c r="O529" i="2" a="1"/>
  <c r="O529" i="2" s="1"/>
  <c r="N529" i="2" a="1"/>
  <c r="N529" i="2" s="1"/>
  <c r="M529" i="2" a="1"/>
  <c r="M529" i="2" s="1"/>
  <c r="Q529" i="2" a="1"/>
  <c r="Q529" i="2" s="1"/>
  <c r="P525" i="2" a="1"/>
  <c r="P525" i="2" s="1"/>
  <c r="R525" i="2" a="1"/>
  <c r="R525" i="2" s="1"/>
  <c r="O525" i="2" a="1"/>
  <c r="O525" i="2" s="1"/>
  <c r="Q525" i="2" a="1"/>
  <c r="Q525" i="2" s="1"/>
  <c r="N525" i="2" a="1"/>
  <c r="N525" i="2" s="1"/>
  <c r="M525" i="2" a="1"/>
  <c r="M525" i="2" s="1"/>
  <c r="P521" i="2" a="1"/>
  <c r="P521" i="2" s="1"/>
  <c r="R521" i="2" a="1"/>
  <c r="R521" i="2" s="1"/>
  <c r="O521" i="2" a="1"/>
  <c r="O521" i="2" s="1"/>
  <c r="N521" i="2" a="1"/>
  <c r="N521" i="2" s="1"/>
  <c r="M521" i="2" a="1"/>
  <c r="M521" i="2" s="1"/>
  <c r="Q521" i="2" a="1"/>
  <c r="Q521" i="2" s="1"/>
  <c r="P517" i="2" a="1"/>
  <c r="P517" i="2" s="1"/>
  <c r="O517" i="2" a="1"/>
  <c r="O517" i="2" s="1"/>
  <c r="R517" i="2" a="1"/>
  <c r="R517" i="2" s="1"/>
  <c r="N517" i="2" a="1"/>
  <c r="N517" i="2" s="1"/>
  <c r="Q517" i="2" a="1"/>
  <c r="Q517" i="2" s="1"/>
  <c r="M517" i="2" a="1"/>
  <c r="M517" i="2" s="1"/>
  <c r="P513" i="2" a="1"/>
  <c r="P513" i="2" s="1"/>
  <c r="Q513" i="2" a="1"/>
  <c r="Q513" i="2" s="1"/>
  <c r="M513" i="2" a="1"/>
  <c r="M513" i="2" s="1"/>
  <c r="O513" i="2" a="1"/>
  <c r="O513" i="2" s="1"/>
  <c r="R513" i="2" a="1"/>
  <c r="R513" i="2" s="1"/>
  <c r="N513" i="2" a="1"/>
  <c r="N513" i="2" s="1"/>
  <c r="P509" i="2" a="1"/>
  <c r="P509" i="2" s="1"/>
  <c r="R509" i="2" a="1"/>
  <c r="R509" i="2" s="1"/>
  <c r="N509" i="2" a="1"/>
  <c r="N509" i="2" s="1"/>
  <c r="Q509" i="2" a="1"/>
  <c r="Q509" i="2" s="1"/>
  <c r="M509" i="2" a="1"/>
  <c r="M509" i="2" s="1"/>
  <c r="O509" i="2" a="1"/>
  <c r="O509" i="2" s="1"/>
  <c r="P505" i="2" a="1"/>
  <c r="P505" i="2" s="1"/>
  <c r="O505" i="2" a="1"/>
  <c r="O505" i="2" s="1"/>
  <c r="R505" i="2" a="1"/>
  <c r="R505" i="2" s="1"/>
  <c r="N505" i="2" a="1"/>
  <c r="N505" i="2" s="1"/>
  <c r="Q505" i="2" a="1"/>
  <c r="Q505" i="2" s="1"/>
  <c r="M505" i="2" a="1"/>
  <c r="M505" i="2" s="1"/>
  <c r="P501" i="2" a="1"/>
  <c r="P501" i="2" s="1"/>
  <c r="O501" i="2" a="1"/>
  <c r="O501" i="2" s="1"/>
  <c r="R501" i="2" a="1"/>
  <c r="R501" i="2" s="1"/>
  <c r="N501" i="2" a="1"/>
  <c r="N501" i="2" s="1"/>
  <c r="Q501" i="2" a="1"/>
  <c r="Q501" i="2" s="1"/>
  <c r="M501" i="2" a="1"/>
  <c r="M501" i="2" s="1"/>
  <c r="P497" i="2" a="1"/>
  <c r="P497" i="2" s="1"/>
  <c r="Q497" i="2" a="1"/>
  <c r="Q497" i="2" s="1"/>
  <c r="M497" i="2" a="1"/>
  <c r="M497" i="2" s="1"/>
  <c r="O497" i="2" a="1"/>
  <c r="O497" i="2" s="1"/>
  <c r="R497" i="2" a="1"/>
  <c r="R497" i="2" s="1"/>
  <c r="N497" i="2" a="1"/>
  <c r="N497" i="2" s="1"/>
  <c r="P493" i="2" a="1"/>
  <c r="P493" i="2" s="1"/>
  <c r="R493" i="2" a="1"/>
  <c r="R493" i="2" s="1"/>
  <c r="N493" i="2" a="1"/>
  <c r="N493" i="2" s="1"/>
  <c r="Q493" i="2" a="1"/>
  <c r="Q493" i="2" s="1"/>
  <c r="M493" i="2" a="1"/>
  <c r="M493" i="2" s="1"/>
  <c r="O493" i="2" a="1"/>
  <c r="O493" i="2" s="1"/>
  <c r="P489" i="2" a="1"/>
  <c r="P489" i="2" s="1"/>
  <c r="O489" i="2" a="1"/>
  <c r="O489" i="2" s="1"/>
  <c r="R489" i="2" a="1"/>
  <c r="R489" i="2" s="1"/>
  <c r="N489" i="2" a="1"/>
  <c r="N489" i="2" s="1"/>
  <c r="Q489" i="2" a="1"/>
  <c r="Q489" i="2" s="1"/>
  <c r="M489" i="2" a="1"/>
  <c r="M489" i="2" s="1"/>
  <c r="P485" i="2" a="1"/>
  <c r="P485" i="2" s="1"/>
  <c r="O485" i="2" a="1"/>
  <c r="O485" i="2" s="1"/>
  <c r="R485" i="2" a="1"/>
  <c r="R485" i="2" s="1"/>
  <c r="N485" i="2" a="1"/>
  <c r="N485" i="2" s="1"/>
  <c r="Q485" i="2" a="1"/>
  <c r="Q485" i="2" s="1"/>
  <c r="M485" i="2" a="1"/>
  <c r="M485" i="2" s="1"/>
  <c r="P481" i="2" a="1"/>
  <c r="P481" i="2" s="1"/>
  <c r="Q481" i="2" a="1"/>
  <c r="Q481" i="2" s="1"/>
  <c r="M481" i="2" a="1"/>
  <c r="M481" i="2" s="1"/>
  <c r="O481" i="2" a="1"/>
  <c r="O481" i="2" s="1"/>
  <c r="R481" i="2" a="1"/>
  <c r="R481" i="2" s="1"/>
  <c r="N481" i="2" a="1"/>
  <c r="N481" i="2" s="1"/>
  <c r="P477" i="2" a="1"/>
  <c r="P477" i="2" s="1"/>
  <c r="R477" i="2" a="1"/>
  <c r="R477" i="2" s="1"/>
  <c r="N477" i="2" a="1"/>
  <c r="N477" i="2" s="1"/>
  <c r="Q477" i="2" a="1"/>
  <c r="Q477" i="2" s="1"/>
  <c r="M477" i="2" a="1"/>
  <c r="M477" i="2" s="1"/>
  <c r="O477" i="2" a="1"/>
  <c r="O477" i="2" s="1"/>
  <c r="P473" i="2" a="1"/>
  <c r="P473" i="2" s="1"/>
  <c r="O473" i="2" a="1"/>
  <c r="O473" i="2" s="1"/>
  <c r="R473" i="2" a="1"/>
  <c r="R473" i="2" s="1"/>
  <c r="N473" i="2" a="1"/>
  <c r="N473" i="2" s="1"/>
  <c r="Q473" i="2" a="1"/>
  <c r="Q473" i="2" s="1"/>
  <c r="M473" i="2" a="1"/>
  <c r="M473" i="2" s="1"/>
  <c r="P469" i="2" a="1"/>
  <c r="P469" i="2" s="1"/>
  <c r="O469" i="2" a="1"/>
  <c r="O469" i="2" s="1"/>
  <c r="R469" i="2" a="1"/>
  <c r="R469" i="2" s="1"/>
  <c r="N469" i="2" a="1"/>
  <c r="N469" i="2" s="1"/>
  <c r="Q469" i="2" a="1"/>
  <c r="Q469" i="2" s="1"/>
  <c r="M469" i="2" a="1"/>
  <c r="M469" i="2" s="1"/>
  <c r="P465" i="2" a="1"/>
  <c r="P465" i="2" s="1"/>
  <c r="Q465" i="2" a="1"/>
  <c r="Q465" i="2" s="1"/>
  <c r="M465" i="2" a="1"/>
  <c r="M465" i="2" s="1"/>
  <c r="O465" i="2" a="1"/>
  <c r="O465" i="2" s="1"/>
  <c r="R465" i="2" a="1"/>
  <c r="R465" i="2" s="1"/>
  <c r="N465" i="2" a="1"/>
  <c r="N465" i="2" s="1"/>
  <c r="P461" i="2" a="1"/>
  <c r="P461" i="2" s="1"/>
  <c r="M461" i="2" a="1"/>
  <c r="M461" i="2" s="1"/>
  <c r="R461" i="2" a="1"/>
  <c r="R461" i="2" s="1"/>
  <c r="N461" i="2" a="1"/>
  <c r="N461" i="2" s="1"/>
  <c r="Q461" i="2" a="1"/>
  <c r="Q461" i="2" s="1"/>
  <c r="O461" i="2" a="1"/>
  <c r="O461" i="2" s="1"/>
  <c r="M457" i="2" a="1"/>
  <c r="M457" i="2" s="1"/>
  <c r="O457" i="2" a="1"/>
  <c r="O457" i="2" s="1"/>
  <c r="R457" i="2" a="1"/>
  <c r="R457" i="2" s="1"/>
  <c r="N457" i="2" a="1"/>
  <c r="N457" i="2" s="1"/>
  <c r="Q457" i="2" a="1"/>
  <c r="Q457" i="2" s="1"/>
  <c r="P457" i="2" a="1"/>
  <c r="P457" i="2" s="1"/>
  <c r="M453" i="2" a="1"/>
  <c r="M453" i="2" s="1"/>
  <c r="Q453" i="2" a="1"/>
  <c r="Q453" i="2" s="1"/>
  <c r="P453" i="2" a="1"/>
  <c r="P453" i="2" s="1"/>
  <c r="O453" i="2" a="1"/>
  <c r="O453" i="2" s="1"/>
  <c r="R453" i="2" a="1"/>
  <c r="R453" i="2" s="1"/>
  <c r="N453" i="2" a="1"/>
  <c r="N453" i="2" s="1"/>
  <c r="M449" i="2" a="1"/>
  <c r="M449" i="2" s="1"/>
  <c r="O449" i="2" a="1"/>
  <c r="O449" i="2" s="1"/>
  <c r="R449" i="2" a="1"/>
  <c r="R449" i="2" s="1"/>
  <c r="N449" i="2" a="1"/>
  <c r="N449" i="2" s="1"/>
  <c r="Q449" i="2" a="1"/>
  <c r="Q449" i="2" s="1"/>
  <c r="P449" i="2" a="1"/>
  <c r="P449" i="2" s="1"/>
  <c r="M445" i="2" a="1"/>
  <c r="M445" i="2" s="1"/>
  <c r="Q445" i="2" a="1"/>
  <c r="Q445" i="2" s="1"/>
  <c r="P445" i="2" a="1"/>
  <c r="P445" i="2" s="1"/>
  <c r="O445" i="2" a="1"/>
  <c r="O445" i="2" s="1"/>
  <c r="R445" i="2" a="1"/>
  <c r="R445" i="2" s="1"/>
  <c r="N445" i="2" a="1"/>
  <c r="N445" i="2" s="1"/>
  <c r="M441" i="2" a="1"/>
  <c r="M441" i="2" s="1"/>
  <c r="O441" i="2" a="1"/>
  <c r="O441" i="2" s="1"/>
  <c r="R441" i="2" a="1"/>
  <c r="R441" i="2" s="1"/>
  <c r="N441" i="2" a="1"/>
  <c r="N441" i="2" s="1"/>
  <c r="Q441" i="2" a="1"/>
  <c r="Q441" i="2" s="1"/>
  <c r="P441" i="2" a="1"/>
  <c r="P441" i="2" s="1"/>
  <c r="Q1614" i="2" a="1"/>
  <c r="Q1614" i="2" s="1"/>
  <c r="N1614" i="2" a="1"/>
  <c r="N1614" i="2" s="1"/>
  <c r="P1614" i="2" a="1"/>
  <c r="P1614" i="2" s="1"/>
  <c r="M1614" i="2" a="1"/>
  <c r="M1614" i="2" s="1"/>
  <c r="R1614" i="2" a="1"/>
  <c r="R1614" i="2" s="1"/>
  <c r="O1614" i="2" a="1"/>
  <c r="O1614" i="2" s="1"/>
  <c r="R1610" i="2" a="1"/>
  <c r="R1610" i="2" s="1"/>
  <c r="O1610" i="2" a="1"/>
  <c r="O1610" i="2" s="1"/>
  <c r="Q1610" i="2" a="1"/>
  <c r="Q1610" i="2" s="1"/>
  <c r="N1610" i="2" a="1"/>
  <c r="N1610" i="2" s="1"/>
  <c r="P1610" i="2" a="1"/>
  <c r="P1610" i="2" s="1"/>
  <c r="M1610" i="2" a="1"/>
  <c r="M1610" i="2" s="1"/>
  <c r="Q1606" i="2" a="1"/>
  <c r="Q1606" i="2" s="1"/>
  <c r="N1606" i="2" a="1"/>
  <c r="N1606" i="2" s="1"/>
  <c r="P1606" i="2" a="1"/>
  <c r="P1606" i="2" s="1"/>
  <c r="M1606" i="2" a="1"/>
  <c r="M1606" i="2" s="1"/>
  <c r="R1606" i="2" a="1"/>
  <c r="R1606" i="2" s="1"/>
  <c r="O1606" i="2" a="1"/>
  <c r="O1606" i="2" s="1"/>
  <c r="Q1602" i="2" a="1"/>
  <c r="Q1602" i="2" s="1"/>
  <c r="M1602" i="2" a="1"/>
  <c r="M1602" i="2" s="1"/>
  <c r="P1602" i="2" a="1"/>
  <c r="P1602" i="2" s="1"/>
  <c r="R1602" i="2" a="1"/>
  <c r="R1602" i="2" s="1"/>
  <c r="O1602" i="2" a="1"/>
  <c r="O1602" i="2" s="1"/>
  <c r="N1602" i="2" a="1"/>
  <c r="N1602" i="2" s="1"/>
  <c r="Q1598" i="2" a="1"/>
  <c r="Q1598" i="2" s="1"/>
  <c r="M1598" i="2" a="1"/>
  <c r="M1598" i="2" s="1"/>
  <c r="P1598" i="2" a="1"/>
  <c r="P1598" i="2" s="1"/>
  <c r="O1598" i="2" a="1"/>
  <c r="O1598" i="2" s="1"/>
  <c r="R1598" i="2" a="1"/>
  <c r="R1598" i="2" s="1"/>
  <c r="N1598" i="2" a="1"/>
  <c r="N1598" i="2" s="1"/>
  <c r="O1594" i="2" a="1"/>
  <c r="O1594" i="2" s="1"/>
  <c r="R1594" i="2" a="1"/>
  <c r="R1594" i="2" s="1"/>
  <c r="N1594" i="2" a="1"/>
  <c r="N1594" i="2" s="1"/>
  <c r="Q1594" i="2" a="1"/>
  <c r="Q1594" i="2" s="1"/>
  <c r="M1594" i="2" a="1"/>
  <c r="M1594" i="2" s="1"/>
  <c r="P1594" i="2" a="1"/>
  <c r="P1594" i="2" s="1"/>
  <c r="Q1590" i="2" a="1"/>
  <c r="Q1590" i="2" s="1"/>
  <c r="N1590" i="2" a="1"/>
  <c r="N1590" i="2" s="1"/>
  <c r="P1590" i="2" a="1"/>
  <c r="P1590" i="2" s="1"/>
  <c r="M1590" i="2" a="1"/>
  <c r="M1590" i="2" s="1"/>
  <c r="O1590" i="2" a="1"/>
  <c r="O1590" i="2" s="1"/>
  <c r="R1590" i="2" a="1"/>
  <c r="R1590" i="2" s="1"/>
  <c r="P1586" i="2" a="1"/>
  <c r="P1586" i="2" s="1"/>
  <c r="O1586" i="2" a="1"/>
  <c r="O1586" i="2" s="1"/>
  <c r="R1586" i="2" a="1"/>
  <c r="R1586" i="2" s="1"/>
  <c r="N1586" i="2" a="1"/>
  <c r="N1586" i="2" s="1"/>
  <c r="Q1586" i="2" a="1"/>
  <c r="Q1586" i="2" s="1"/>
  <c r="M1586" i="2" a="1"/>
  <c r="M1586" i="2" s="1"/>
  <c r="R1582" i="2" a="1"/>
  <c r="R1582" i="2" s="1"/>
  <c r="Q1582" i="2" a="1"/>
  <c r="Q1582" i="2" s="1"/>
  <c r="N1582" i="2" a="1"/>
  <c r="N1582" i="2" s="1"/>
  <c r="P1582" i="2" a="1"/>
  <c r="P1582" i="2" s="1"/>
  <c r="M1582" i="2" a="1"/>
  <c r="M1582" i="2" s="1"/>
  <c r="O1582" i="2" a="1"/>
  <c r="O1582" i="2" s="1"/>
  <c r="Q1578" i="2" a="1"/>
  <c r="Q1578" i="2" s="1"/>
  <c r="N1578" i="2" a="1"/>
  <c r="N1578" i="2" s="1"/>
  <c r="P1578" i="2" a="1"/>
  <c r="P1578" i="2" s="1"/>
  <c r="M1578" i="2" a="1"/>
  <c r="M1578" i="2" s="1"/>
  <c r="O1578" i="2" a="1"/>
  <c r="O1578" i="2" s="1"/>
  <c r="R1578" i="2" a="1"/>
  <c r="R1578" i="2" s="1"/>
  <c r="P1574" i="2" a="1"/>
  <c r="P1574" i="2" s="1"/>
  <c r="M1574" i="2" a="1"/>
  <c r="M1574" i="2" s="1"/>
  <c r="O1574" i="2" a="1"/>
  <c r="O1574" i="2" s="1"/>
  <c r="R1574" i="2" a="1"/>
  <c r="R1574" i="2" s="1"/>
  <c r="Q1574" i="2" a="1"/>
  <c r="Q1574" i="2" s="1"/>
  <c r="N1574" i="2" a="1"/>
  <c r="N1574" i="2" s="1"/>
  <c r="O1570" i="2" a="1"/>
  <c r="O1570" i="2" s="1"/>
  <c r="R1570" i="2" a="1"/>
  <c r="R1570" i="2" s="1"/>
  <c r="Q1570" i="2" a="1"/>
  <c r="Q1570" i="2" s="1"/>
  <c r="N1570" i="2" a="1"/>
  <c r="N1570" i="2" s="1"/>
  <c r="P1570" i="2" a="1"/>
  <c r="P1570" i="2" s="1"/>
  <c r="M1570" i="2" a="1"/>
  <c r="M1570" i="2" s="1"/>
  <c r="R1566" i="2" a="1"/>
  <c r="R1566" i="2" s="1"/>
  <c r="Q1566" i="2" a="1"/>
  <c r="Q1566" i="2" s="1"/>
  <c r="N1566" i="2" a="1"/>
  <c r="N1566" i="2" s="1"/>
  <c r="P1566" i="2" a="1"/>
  <c r="P1566" i="2" s="1"/>
  <c r="M1566" i="2" a="1"/>
  <c r="M1566" i="2" s="1"/>
  <c r="O1566" i="2" a="1"/>
  <c r="O1566" i="2" s="1"/>
  <c r="Q1562" i="2" a="1"/>
  <c r="Q1562" i="2" s="1"/>
  <c r="N1562" i="2" a="1"/>
  <c r="N1562" i="2" s="1"/>
  <c r="P1562" i="2" a="1"/>
  <c r="P1562" i="2" s="1"/>
  <c r="M1562" i="2" a="1"/>
  <c r="M1562" i="2" s="1"/>
  <c r="O1562" i="2" a="1"/>
  <c r="O1562" i="2" s="1"/>
  <c r="R1562" i="2" a="1"/>
  <c r="R1562" i="2" s="1"/>
  <c r="P1558" i="2" a="1"/>
  <c r="P1558" i="2" s="1"/>
  <c r="M1558" i="2" a="1"/>
  <c r="M1558" i="2" s="1"/>
  <c r="O1558" i="2" a="1"/>
  <c r="O1558" i="2" s="1"/>
  <c r="R1558" i="2" a="1"/>
  <c r="R1558" i="2" s="1"/>
  <c r="Q1558" i="2" a="1"/>
  <c r="Q1558" i="2" s="1"/>
  <c r="N1558" i="2" a="1"/>
  <c r="N1558" i="2" s="1"/>
  <c r="O1554" i="2" a="1"/>
  <c r="O1554" i="2" s="1"/>
  <c r="R1554" i="2" a="1"/>
  <c r="R1554" i="2" s="1"/>
  <c r="Q1554" i="2" a="1"/>
  <c r="Q1554" i="2" s="1"/>
  <c r="N1554" i="2" a="1"/>
  <c r="N1554" i="2" s="1"/>
  <c r="P1554" i="2" a="1"/>
  <c r="P1554" i="2" s="1"/>
  <c r="M1554" i="2" a="1"/>
  <c r="M1554" i="2" s="1"/>
  <c r="O1550" i="2" a="1"/>
  <c r="O1550" i="2" s="1"/>
  <c r="R1550" i="2" a="1"/>
  <c r="R1550" i="2" s="1"/>
  <c r="N1550" i="2" a="1"/>
  <c r="N1550" i="2" s="1"/>
  <c r="Q1550" i="2" a="1"/>
  <c r="Q1550" i="2" s="1"/>
  <c r="P1550" i="2" a="1"/>
  <c r="P1550" i="2" s="1"/>
  <c r="M1550" i="2" a="1"/>
  <c r="M1550" i="2" s="1"/>
  <c r="R1546" i="2" a="1"/>
  <c r="R1546" i="2" s="1"/>
  <c r="N1546" i="2" a="1"/>
  <c r="N1546" i="2" s="1"/>
  <c r="Q1546" i="2" a="1"/>
  <c r="Q1546" i="2" s="1"/>
  <c r="P1546" i="2" a="1"/>
  <c r="P1546" i="2" s="1"/>
  <c r="M1546" i="2" a="1"/>
  <c r="M1546" i="2" s="1"/>
  <c r="O1546" i="2" a="1"/>
  <c r="O1546" i="2" s="1"/>
  <c r="P1542" i="2" a="1"/>
  <c r="P1542" i="2" s="1"/>
  <c r="M1542" i="2" a="1"/>
  <c r="M1542" i="2" s="1"/>
  <c r="O1542" i="2" a="1"/>
  <c r="O1542" i="2" s="1"/>
  <c r="R1542" i="2" a="1"/>
  <c r="R1542" i="2" s="1"/>
  <c r="Q1542" i="2" a="1"/>
  <c r="Q1542" i="2" s="1"/>
  <c r="N1542" i="2" a="1"/>
  <c r="N1542" i="2" s="1"/>
  <c r="Q1538" i="2" a="1"/>
  <c r="Q1538" i="2" s="1"/>
  <c r="N1538" i="2" a="1"/>
  <c r="N1538" i="2" s="1"/>
  <c r="P1538" i="2" a="1"/>
  <c r="P1538" i="2" s="1"/>
  <c r="M1538" i="2" a="1"/>
  <c r="M1538" i="2" s="1"/>
  <c r="O1538" i="2" a="1"/>
  <c r="O1538" i="2" s="1"/>
  <c r="R1538" i="2" a="1"/>
  <c r="R1538" i="2" s="1"/>
  <c r="R1534" i="2" a="1"/>
  <c r="R1534" i="2" s="1"/>
  <c r="Q1534" i="2" a="1"/>
  <c r="Q1534" i="2" s="1"/>
  <c r="N1534" i="2" a="1"/>
  <c r="N1534" i="2" s="1"/>
  <c r="P1534" i="2" a="1"/>
  <c r="P1534" i="2" s="1"/>
  <c r="M1534" i="2" a="1"/>
  <c r="M1534" i="2" s="1"/>
  <c r="O1534" i="2" a="1"/>
  <c r="O1534" i="2" s="1"/>
  <c r="O1530" i="2" a="1"/>
  <c r="O1530" i="2" s="1"/>
  <c r="R1530" i="2" a="1"/>
  <c r="R1530" i="2" s="1"/>
  <c r="Q1530" i="2" a="1"/>
  <c r="Q1530" i="2" s="1"/>
  <c r="N1530" i="2" a="1"/>
  <c r="N1530" i="2" s="1"/>
  <c r="P1530" i="2" a="1"/>
  <c r="P1530" i="2" s="1"/>
  <c r="M1530" i="2" a="1"/>
  <c r="M1530" i="2" s="1"/>
  <c r="P1526" i="2" a="1"/>
  <c r="P1526" i="2" s="1"/>
  <c r="M1526" i="2" a="1"/>
  <c r="M1526" i="2" s="1"/>
  <c r="O1526" i="2" a="1"/>
  <c r="O1526" i="2" s="1"/>
  <c r="R1526" i="2" a="1"/>
  <c r="R1526" i="2" s="1"/>
  <c r="Q1526" i="2" a="1"/>
  <c r="Q1526" i="2" s="1"/>
  <c r="N1526" i="2" a="1"/>
  <c r="N1526" i="2" s="1"/>
  <c r="Q1522" i="2" a="1"/>
  <c r="Q1522" i="2" s="1"/>
  <c r="N1522" i="2" a="1"/>
  <c r="N1522" i="2" s="1"/>
  <c r="P1522" i="2" a="1"/>
  <c r="P1522" i="2" s="1"/>
  <c r="M1522" i="2" a="1"/>
  <c r="M1522" i="2" s="1"/>
  <c r="O1522" i="2" a="1"/>
  <c r="O1522" i="2" s="1"/>
  <c r="R1522" i="2" a="1"/>
  <c r="R1522" i="2" s="1"/>
  <c r="R1518" i="2" a="1"/>
  <c r="R1518" i="2" s="1"/>
  <c r="Q1518" i="2" a="1"/>
  <c r="Q1518" i="2" s="1"/>
  <c r="N1518" i="2" a="1"/>
  <c r="N1518" i="2" s="1"/>
  <c r="P1518" i="2" a="1"/>
  <c r="P1518" i="2" s="1"/>
  <c r="M1518" i="2" a="1"/>
  <c r="M1518" i="2" s="1"/>
  <c r="O1518" i="2" a="1"/>
  <c r="O1518" i="2" s="1"/>
  <c r="O1514" i="2" a="1"/>
  <c r="O1514" i="2" s="1"/>
  <c r="R1514" i="2" a="1"/>
  <c r="R1514" i="2" s="1"/>
  <c r="Q1514" i="2" a="1"/>
  <c r="Q1514" i="2" s="1"/>
  <c r="N1514" i="2" a="1"/>
  <c r="N1514" i="2" s="1"/>
  <c r="P1514" i="2" a="1"/>
  <c r="P1514" i="2" s="1"/>
  <c r="M1514" i="2" a="1"/>
  <c r="M1514" i="2" s="1"/>
  <c r="R1510" i="2" a="1"/>
  <c r="R1510" i="2" s="1"/>
  <c r="N1510" i="2" a="1"/>
  <c r="N1510" i="2" s="1"/>
  <c r="Q1510" i="2" a="1"/>
  <c r="Q1510" i="2" s="1"/>
  <c r="O1510" i="2" a="1"/>
  <c r="O1510" i="2" s="1"/>
  <c r="M1510" i="2" a="1"/>
  <c r="M1510" i="2" s="1"/>
  <c r="P1510" i="2" a="1"/>
  <c r="P1510" i="2" s="1"/>
  <c r="R1506" i="2" a="1"/>
  <c r="R1506" i="2" s="1"/>
  <c r="O1506" i="2" a="1"/>
  <c r="O1506" i="2" s="1"/>
  <c r="N1506" i="2" a="1"/>
  <c r="N1506" i="2" s="1"/>
  <c r="M1506" i="2" a="1"/>
  <c r="M1506" i="2" s="1"/>
  <c r="Q1506" i="2" a="1"/>
  <c r="Q1506" i="2" s="1"/>
  <c r="P1506" i="2" a="1"/>
  <c r="P1506" i="2" s="1"/>
  <c r="N1502" i="2" a="1"/>
  <c r="N1502" i="2" s="1"/>
  <c r="R1502" i="2" a="1"/>
  <c r="R1502" i="2" s="1"/>
  <c r="Q1502" i="2" a="1"/>
  <c r="Q1502" i="2" s="1"/>
  <c r="M1502" i="2" a="1"/>
  <c r="M1502" i="2" s="1"/>
  <c r="P1502" i="2" a="1"/>
  <c r="P1502" i="2" s="1"/>
  <c r="O1502" i="2" a="1"/>
  <c r="O1502" i="2" s="1"/>
  <c r="N1498" i="2" a="1"/>
  <c r="N1498" i="2" s="1"/>
  <c r="P1498" i="2" a="1"/>
  <c r="P1498" i="2" s="1"/>
  <c r="O1498" i="2" a="1"/>
  <c r="O1498" i="2" s="1"/>
  <c r="R1498" i="2" a="1"/>
  <c r="R1498" i="2" s="1"/>
  <c r="Q1498" i="2" a="1"/>
  <c r="Q1498" i="2" s="1"/>
  <c r="M1498" i="2" a="1"/>
  <c r="M1498" i="2" s="1"/>
  <c r="N1494" i="2" a="1"/>
  <c r="N1494" i="2" s="1"/>
  <c r="R1494" i="2" a="1"/>
  <c r="R1494" i="2" s="1"/>
  <c r="Q1494" i="2" a="1"/>
  <c r="Q1494" i="2" s="1"/>
  <c r="M1494" i="2" a="1"/>
  <c r="M1494" i="2" s="1"/>
  <c r="P1494" i="2" a="1"/>
  <c r="P1494" i="2" s="1"/>
  <c r="O1494" i="2" a="1"/>
  <c r="O1494" i="2" s="1"/>
  <c r="N1490" i="2" a="1"/>
  <c r="N1490" i="2" s="1"/>
  <c r="P1490" i="2" a="1"/>
  <c r="P1490" i="2" s="1"/>
  <c r="O1490" i="2" a="1"/>
  <c r="O1490" i="2" s="1"/>
  <c r="R1490" i="2" a="1"/>
  <c r="R1490" i="2" s="1"/>
  <c r="Q1490" i="2" a="1"/>
  <c r="Q1490" i="2" s="1"/>
  <c r="M1490" i="2" a="1"/>
  <c r="M1490" i="2" s="1"/>
  <c r="N1486" i="2" a="1"/>
  <c r="N1486" i="2" s="1"/>
  <c r="R1486" i="2" a="1"/>
  <c r="R1486" i="2" s="1"/>
  <c r="Q1486" i="2" a="1"/>
  <c r="Q1486" i="2" s="1"/>
  <c r="M1486" i="2" a="1"/>
  <c r="M1486" i="2" s="1"/>
  <c r="P1486" i="2" a="1"/>
  <c r="P1486" i="2" s="1"/>
  <c r="O1486" i="2" a="1"/>
  <c r="O1486" i="2" s="1"/>
  <c r="N1482" i="2" a="1"/>
  <c r="N1482" i="2" s="1"/>
  <c r="P1482" i="2" a="1"/>
  <c r="P1482" i="2" s="1"/>
  <c r="O1482" i="2" a="1"/>
  <c r="O1482" i="2" s="1"/>
  <c r="R1482" i="2" a="1"/>
  <c r="R1482" i="2" s="1"/>
  <c r="Q1482" i="2" a="1"/>
  <c r="Q1482" i="2" s="1"/>
  <c r="M1482" i="2" a="1"/>
  <c r="M1482" i="2" s="1"/>
  <c r="Q1478" i="2" a="1"/>
  <c r="Q1478" i="2" s="1"/>
  <c r="M1478" i="2" a="1"/>
  <c r="M1478" i="2" s="1"/>
  <c r="N1478" i="2" a="1"/>
  <c r="N1478" i="2" s="1"/>
  <c r="R1478" i="2" a="1"/>
  <c r="R1478" i="2" s="1"/>
  <c r="P1478" i="2" a="1"/>
  <c r="P1478" i="2" s="1"/>
  <c r="O1478" i="2" a="1"/>
  <c r="O1478" i="2" s="1"/>
  <c r="P1474" i="2" a="1"/>
  <c r="P1474" i="2" s="1"/>
  <c r="O1474" i="2" a="1"/>
  <c r="O1474" i="2" s="1"/>
  <c r="R1474" i="2" a="1"/>
  <c r="R1474" i="2" s="1"/>
  <c r="N1474" i="2" a="1"/>
  <c r="N1474" i="2" s="1"/>
  <c r="Q1474" i="2" a="1"/>
  <c r="Q1474" i="2" s="1"/>
  <c r="M1474" i="2" a="1"/>
  <c r="M1474" i="2" s="1"/>
  <c r="P1470" i="2" a="1"/>
  <c r="P1470" i="2" s="1"/>
  <c r="O1470" i="2" a="1"/>
  <c r="O1470" i="2" s="1"/>
  <c r="R1470" i="2" a="1"/>
  <c r="R1470" i="2" s="1"/>
  <c r="N1470" i="2" a="1"/>
  <c r="N1470" i="2" s="1"/>
  <c r="Q1470" i="2" a="1"/>
  <c r="Q1470" i="2" s="1"/>
  <c r="M1470" i="2" a="1"/>
  <c r="M1470" i="2" s="1"/>
  <c r="P1466" i="2" a="1"/>
  <c r="P1466" i="2" s="1"/>
  <c r="O1466" i="2" a="1"/>
  <c r="O1466" i="2" s="1"/>
  <c r="R1466" i="2" a="1"/>
  <c r="R1466" i="2" s="1"/>
  <c r="N1466" i="2" a="1"/>
  <c r="N1466" i="2" s="1"/>
  <c r="Q1466" i="2" a="1"/>
  <c r="Q1466" i="2" s="1"/>
  <c r="M1466" i="2" a="1"/>
  <c r="M1466" i="2" s="1"/>
  <c r="P1462" i="2" a="1"/>
  <c r="P1462" i="2" s="1"/>
  <c r="O1462" i="2" a="1"/>
  <c r="O1462" i="2" s="1"/>
  <c r="R1462" i="2" a="1"/>
  <c r="R1462" i="2" s="1"/>
  <c r="N1462" i="2" a="1"/>
  <c r="N1462" i="2" s="1"/>
  <c r="Q1462" i="2" a="1"/>
  <c r="Q1462" i="2" s="1"/>
  <c r="M1462" i="2" a="1"/>
  <c r="M1462" i="2" s="1"/>
  <c r="P1458" i="2" a="1"/>
  <c r="P1458" i="2" s="1"/>
  <c r="O1458" i="2" a="1"/>
  <c r="O1458" i="2" s="1"/>
  <c r="R1458" i="2" a="1"/>
  <c r="R1458" i="2" s="1"/>
  <c r="N1458" i="2" a="1"/>
  <c r="N1458" i="2" s="1"/>
  <c r="Q1458" i="2" a="1"/>
  <c r="Q1458" i="2" s="1"/>
  <c r="M1458" i="2" a="1"/>
  <c r="M1458" i="2" s="1"/>
  <c r="P1454" i="2" a="1"/>
  <c r="P1454" i="2" s="1"/>
  <c r="O1454" i="2" a="1"/>
  <c r="O1454" i="2" s="1"/>
  <c r="R1454" i="2" a="1"/>
  <c r="R1454" i="2" s="1"/>
  <c r="N1454" i="2" a="1"/>
  <c r="N1454" i="2" s="1"/>
  <c r="Q1454" i="2" a="1"/>
  <c r="Q1454" i="2" s="1"/>
  <c r="M1454" i="2" a="1"/>
  <c r="M1454" i="2" s="1"/>
  <c r="P1450" i="2" a="1"/>
  <c r="P1450" i="2" s="1"/>
  <c r="O1450" i="2" a="1"/>
  <c r="O1450" i="2" s="1"/>
  <c r="R1450" i="2" a="1"/>
  <c r="R1450" i="2" s="1"/>
  <c r="N1450" i="2" a="1"/>
  <c r="N1450" i="2" s="1"/>
  <c r="Q1450" i="2" a="1"/>
  <c r="Q1450" i="2" s="1"/>
  <c r="M1450" i="2" a="1"/>
  <c r="M1450" i="2" s="1"/>
  <c r="P1446" i="2" a="1"/>
  <c r="P1446" i="2" s="1"/>
  <c r="O1446" i="2" a="1"/>
  <c r="O1446" i="2" s="1"/>
  <c r="R1446" i="2" a="1"/>
  <c r="R1446" i="2" s="1"/>
  <c r="N1446" i="2" a="1"/>
  <c r="N1446" i="2" s="1"/>
  <c r="Q1446" i="2" a="1"/>
  <c r="Q1446" i="2" s="1"/>
  <c r="M1446" i="2" a="1"/>
  <c r="M1446" i="2" s="1"/>
  <c r="R1442" i="2" a="1"/>
  <c r="R1442" i="2" s="1"/>
  <c r="N1442" i="2" a="1"/>
  <c r="N1442" i="2" s="1"/>
  <c r="Q1442" i="2" a="1"/>
  <c r="Q1442" i="2" s="1"/>
  <c r="M1442" i="2" a="1"/>
  <c r="M1442" i="2" s="1"/>
  <c r="O1442" i="2" a="1"/>
  <c r="O1442" i="2" s="1"/>
  <c r="P1442" i="2" a="1"/>
  <c r="P1442" i="2" s="1"/>
  <c r="R1438" i="2" a="1"/>
  <c r="R1438" i="2" s="1"/>
  <c r="N1438" i="2" a="1"/>
  <c r="N1438" i="2" s="1"/>
  <c r="Q1438" i="2" a="1"/>
  <c r="Q1438" i="2" s="1"/>
  <c r="M1438" i="2" a="1"/>
  <c r="M1438" i="2" s="1"/>
  <c r="O1438" i="2" a="1"/>
  <c r="O1438" i="2" s="1"/>
  <c r="P1438" i="2" a="1"/>
  <c r="P1438" i="2" s="1"/>
  <c r="R1434" i="2" a="1"/>
  <c r="R1434" i="2" s="1"/>
  <c r="N1434" i="2" a="1"/>
  <c r="N1434" i="2" s="1"/>
  <c r="Q1434" i="2" a="1"/>
  <c r="Q1434" i="2" s="1"/>
  <c r="M1434" i="2" a="1"/>
  <c r="M1434" i="2" s="1"/>
  <c r="O1434" i="2" a="1"/>
  <c r="O1434" i="2" s="1"/>
  <c r="P1434" i="2" a="1"/>
  <c r="P1434" i="2" s="1"/>
  <c r="R1430" i="2" a="1"/>
  <c r="R1430" i="2" s="1"/>
  <c r="N1430" i="2" a="1"/>
  <c r="N1430" i="2" s="1"/>
  <c r="Q1430" i="2" a="1"/>
  <c r="Q1430" i="2" s="1"/>
  <c r="M1430" i="2" a="1"/>
  <c r="M1430" i="2" s="1"/>
  <c r="O1430" i="2" a="1"/>
  <c r="O1430" i="2" s="1"/>
  <c r="P1430" i="2" a="1"/>
  <c r="P1430" i="2" s="1"/>
  <c r="R1426" i="2" a="1"/>
  <c r="R1426" i="2" s="1"/>
  <c r="N1426" i="2" a="1"/>
  <c r="N1426" i="2" s="1"/>
  <c r="Q1426" i="2" a="1"/>
  <c r="Q1426" i="2" s="1"/>
  <c r="M1426" i="2" a="1"/>
  <c r="M1426" i="2" s="1"/>
  <c r="O1426" i="2" a="1"/>
  <c r="O1426" i="2" s="1"/>
  <c r="P1426" i="2" a="1"/>
  <c r="P1426" i="2" s="1"/>
  <c r="R1422" i="2" a="1"/>
  <c r="R1422" i="2" s="1"/>
  <c r="N1422" i="2" a="1"/>
  <c r="N1422" i="2" s="1"/>
  <c r="Q1422" i="2" a="1"/>
  <c r="Q1422" i="2" s="1"/>
  <c r="M1422" i="2" a="1"/>
  <c r="M1422" i="2" s="1"/>
  <c r="O1422" i="2" a="1"/>
  <c r="O1422" i="2" s="1"/>
  <c r="P1422" i="2" a="1"/>
  <c r="P1422" i="2" s="1"/>
  <c r="P1418" i="2" a="1"/>
  <c r="P1418" i="2" s="1"/>
  <c r="M1418" i="2" a="1"/>
  <c r="M1418" i="2" s="1"/>
  <c r="R1418" i="2" a="1"/>
  <c r="R1418" i="2" s="1"/>
  <c r="O1418" i="2" a="1"/>
  <c r="O1418" i="2" s="1"/>
  <c r="Q1418" i="2" a="1"/>
  <c r="Q1418" i="2" s="1"/>
  <c r="N1418" i="2" a="1"/>
  <c r="N1418" i="2" s="1"/>
  <c r="N1414" i="2" a="1"/>
  <c r="N1414" i="2" s="1"/>
  <c r="Q1414" i="2" a="1"/>
  <c r="Q1414" i="2" s="1"/>
  <c r="R1414" i="2" a="1"/>
  <c r="R1414" i="2" s="1"/>
  <c r="P1414" i="2" a="1"/>
  <c r="P1414" i="2" s="1"/>
  <c r="O1414" i="2" a="1"/>
  <c r="O1414" i="2" s="1"/>
  <c r="M1414" i="2" a="1"/>
  <c r="M1414" i="2" s="1"/>
  <c r="R1410" i="2" a="1"/>
  <c r="R1410" i="2" s="1"/>
  <c r="O1410" i="2" a="1"/>
  <c r="O1410" i="2" s="1"/>
  <c r="N1410" i="2" a="1"/>
  <c r="N1410" i="2" s="1"/>
  <c r="P1410" i="2" a="1"/>
  <c r="P1410" i="2" s="1"/>
  <c r="M1410" i="2" a="1"/>
  <c r="M1410" i="2" s="1"/>
  <c r="Q1410" i="2" a="1"/>
  <c r="Q1410" i="2" s="1"/>
  <c r="P1406" i="2" a="1"/>
  <c r="P1406" i="2" s="1"/>
  <c r="M1406" i="2" a="1"/>
  <c r="M1406" i="2" s="1"/>
  <c r="R1406" i="2" a="1"/>
  <c r="R1406" i="2" s="1"/>
  <c r="O1406" i="2" a="1"/>
  <c r="O1406" i="2" s="1"/>
  <c r="Q1406" i="2" a="1"/>
  <c r="Q1406" i="2" s="1"/>
  <c r="N1406" i="2" a="1"/>
  <c r="N1406" i="2" s="1"/>
  <c r="Q1402" i="2" a="1"/>
  <c r="Q1402" i="2" s="1"/>
  <c r="P1402" i="2" a="1"/>
  <c r="P1402" i="2" s="1"/>
  <c r="M1402" i="2" a="1"/>
  <c r="M1402" i="2" s="1"/>
  <c r="O1402" i="2" a="1"/>
  <c r="O1402" i="2" s="1"/>
  <c r="N1402" i="2" a="1"/>
  <c r="N1402" i="2" s="1"/>
  <c r="R1402" i="2" a="1"/>
  <c r="R1402" i="2" s="1"/>
  <c r="R1398" i="2" a="1"/>
  <c r="R1398" i="2" s="1"/>
  <c r="O1398" i="2" a="1"/>
  <c r="O1398" i="2" s="1"/>
  <c r="N1398" i="2" a="1"/>
  <c r="N1398" i="2" s="1"/>
  <c r="P1398" i="2" a="1"/>
  <c r="P1398" i="2" s="1"/>
  <c r="M1398" i="2" a="1"/>
  <c r="M1398" i="2" s="1"/>
  <c r="Q1398" i="2" a="1"/>
  <c r="Q1398" i="2" s="1"/>
  <c r="Q1394" i="2" a="1"/>
  <c r="Q1394" i="2" s="1"/>
  <c r="P1394" i="2" a="1"/>
  <c r="P1394" i="2" s="1"/>
  <c r="M1394" i="2" a="1"/>
  <c r="M1394" i="2" s="1"/>
  <c r="N1394" i="2" a="1"/>
  <c r="N1394" i="2" s="1"/>
  <c r="R1394" i="2" a="1"/>
  <c r="R1394" i="2" s="1"/>
  <c r="O1394" i="2" a="1"/>
  <c r="O1394" i="2" s="1"/>
  <c r="R1390" i="2" a="1"/>
  <c r="R1390" i="2" s="1"/>
  <c r="O1390" i="2" a="1"/>
  <c r="O1390" i="2" s="1"/>
  <c r="N1390" i="2" a="1"/>
  <c r="N1390" i="2" s="1"/>
  <c r="M1390" i="2" a="1"/>
  <c r="M1390" i="2" s="1"/>
  <c r="Q1390" i="2" a="1"/>
  <c r="Q1390" i="2" s="1"/>
  <c r="P1390" i="2" a="1"/>
  <c r="P1390" i="2" s="1"/>
  <c r="N1386" i="2" a="1"/>
  <c r="N1386" i="2" s="1"/>
  <c r="Q1386" i="2" a="1"/>
  <c r="Q1386" i="2" s="1"/>
  <c r="M1386" i="2" a="1"/>
  <c r="M1386" i="2" s="1"/>
  <c r="R1386" i="2" a="1"/>
  <c r="R1386" i="2" s="1"/>
  <c r="P1386" i="2" a="1"/>
  <c r="P1386" i="2" s="1"/>
  <c r="O1386" i="2" a="1"/>
  <c r="O1386" i="2" s="1"/>
  <c r="N1382" i="2" a="1"/>
  <c r="N1382" i="2" s="1"/>
  <c r="Q1382" i="2" a="1"/>
  <c r="Q1382" i="2" s="1"/>
  <c r="M1382" i="2" a="1"/>
  <c r="M1382" i="2" s="1"/>
  <c r="R1382" i="2" a="1"/>
  <c r="R1382" i="2" s="1"/>
  <c r="P1382" i="2" a="1"/>
  <c r="P1382" i="2" s="1"/>
  <c r="O1382" i="2" a="1"/>
  <c r="O1382" i="2" s="1"/>
  <c r="N1378" i="2" a="1"/>
  <c r="N1378" i="2" s="1"/>
  <c r="Q1378" i="2" a="1"/>
  <c r="Q1378" i="2" s="1"/>
  <c r="M1378" i="2" a="1"/>
  <c r="M1378" i="2" s="1"/>
  <c r="R1378" i="2" a="1"/>
  <c r="R1378" i="2" s="1"/>
  <c r="P1378" i="2" a="1"/>
  <c r="P1378" i="2" s="1"/>
  <c r="O1378" i="2" a="1"/>
  <c r="O1378" i="2" s="1"/>
  <c r="N1374" i="2" a="1"/>
  <c r="N1374" i="2" s="1"/>
  <c r="Q1374" i="2" a="1"/>
  <c r="Q1374" i="2" s="1"/>
  <c r="M1374" i="2" a="1"/>
  <c r="M1374" i="2" s="1"/>
  <c r="R1374" i="2" a="1"/>
  <c r="R1374" i="2" s="1"/>
  <c r="P1374" i="2" a="1"/>
  <c r="P1374" i="2" s="1"/>
  <c r="O1374" i="2" a="1"/>
  <c r="O1374" i="2" s="1"/>
  <c r="Q1370" i="2" a="1"/>
  <c r="Q1370" i="2" s="1"/>
  <c r="M1370" i="2" a="1"/>
  <c r="M1370" i="2" s="1"/>
  <c r="R1370" i="2" a="1"/>
  <c r="R1370" i="2" s="1"/>
  <c r="N1370" i="2" a="1"/>
  <c r="N1370" i="2" s="1"/>
  <c r="P1370" i="2" a="1"/>
  <c r="P1370" i="2" s="1"/>
  <c r="O1370" i="2" a="1"/>
  <c r="O1370" i="2" s="1"/>
  <c r="Q1366" i="2" a="1"/>
  <c r="Q1366" i="2" s="1"/>
  <c r="M1366" i="2" a="1"/>
  <c r="M1366" i="2" s="1"/>
  <c r="P1366" i="2" a="1"/>
  <c r="P1366" i="2" s="1"/>
  <c r="O1366" i="2" a="1"/>
  <c r="O1366" i="2" s="1"/>
  <c r="R1366" i="2" a="1"/>
  <c r="R1366" i="2" s="1"/>
  <c r="N1366" i="2" a="1"/>
  <c r="N1366" i="2" s="1"/>
  <c r="Q1362" i="2" a="1"/>
  <c r="Q1362" i="2" s="1"/>
  <c r="M1362" i="2" a="1"/>
  <c r="M1362" i="2" s="1"/>
  <c r="R1362" i="2" a="1"/>
  <c r="R1362" i="2" s="1"/>
  <c r="N1362" i="2" a="1"/>
  <c r="N1362" i="2" s="1"/>
  <c r="P1362" i="2" a="1"/>
  <c r="P1362" i="2" s="1"/>
  <c r="O1362" i="2" a="1"/>
  <c r="O1362" i="2" s="1"/>
  <c r="Q1358" i="2" a="1"/>
  <c r="Q1358" i="2" s="1"/>
  <c r="M1358" i="2" a="1"/>
  <c r="M1358" i="2" s="1"/>
  <c r="P1358" i="2" a="1"/>
  <c r="P1358" i="2" s="1"/>
  <c r="O1358" i="2" a="1"/>
  <c r="O1358" i="2" s="1"/>
  <c r="R1358" i="2" a="1"/>
  <c r="R1358" i="2" s="1"/>
  <c r="N1358" i="2" a="1"/>
  <c r="N1358" i="2" s="1"/>
  <c r="Q1354" i="2" a="1"/>
  <c r="Q1354" i="2" s="1"/>
  <c r="M1354" i="2" a="1"/>
  <c r="M1354" i="2" s="1"/>
  <c r="R1354" i="2" a="1"/>
  <c r="R1354" i="2" s="1"/>
  <c r="N1354" i="2" a="1"/>
  <c r="N1354" i="2" s="1"/>
  <c r="P1354" i="2" a="1"/>
  <c r="P1354" i="2" s="1"/>
  <c r="O1354" i="2" a="1"/>
  <c r="O1354" i="2" s="1"/>
  <c r="Q1350" i="2" a="1"/>
  <c r="Q1350" i="2" s="1"/>
  <c r="M1350" i="2" a="1"/>
  <c r="M1350" i="2" s="1"/>
  <c r="P1350" i="2" a="1"/>
  <c r="P1350" i="2" s="1"/>
  <c r="O1350" i="2" a="1"/>
  <c r="O1350" i="2" s="1"/>
  <c r="R1350" i="2" a="1"/>
  <c r="R1350" i="2" s="1"/>
  <c r="N1350" i="2" a="1"/>
  <c r="N1350" i="2" s="1"/>
  <c r="M1346" i="2" a="1"/>
  <c r="M1346" i="2" s="1"/>
  <c r="P1346" i="2" a="1"/>
  <c r="P1346" i="2" s="1"/>
  <c r="R1346" i="2" a="1"/>
  <c r="R1346" i="2" s="1"/>
  <c r="O1346" i="2" a="1"/>
  <c r="O1346" i="2" s="1"/>
  <c r="Q1346" i="2" a="1"/>
  <c r="Q1346" i="2" s="1"/>
  <c r="N1346" i="2" a="1"/>
  <c r="N1346" i="2" s="1"/>
  <c r="M1342" i="2" a="1"/>
  <c r="M1342" i="2" s="1"/>
  <c r="P1342" i="2" a="1"/>
  <c r="P1342" i="2" s="1"/>
  <c r="R1342" i="2" a="1"/>
  <c r="R1342" i="2" s="1"/>
  <c r="O1342" i="2" a="1"/>
  <c r="O1342" i="2" s="1"/>
  <c r="Q1342" i="2" a="1"/>
  <c r="Q1342" i="2" s="1"/>
  <c r="N1342" i="2" a="1"/>
  <c r="N1342" i="2" s="1"/>
  <c r="M1338" i="2" a="1"/>
  <c r="M1338" i="2" s="1"/>
  <c r="P1338" i="2" a="1"/>
  <c r="P1338" i="2" s="1"/>
  <c r="R1338" i="2" a="1"/>
  <c r="R1338" i="2" s="1"/>
  <c r="O1338" i="2" a="1"/>
  <c r="O1338" i="2" s="1"/>
  <c r="Q1338" i="2" a="1"/>
  <c r="Q1338" i="2" s="1"/>
  <c r="N1338" i="2" a="1"/>
  <c r="N1338" i="2" s="1"/>
  <c r="M1334" i="2" a="1"/>
  <c r="M1334" i="2" s="1"/>
  <c r="R1334" i="2" a="1"/>
  <c r="R1334" i="2" s="1"/>
  <c r="O1334" i="2" a="1"/>
  <c r="O1334" i="2" s="1"/>
  <c r="Q1334" i="2" a="1"/>
  <c r="Q1334" i="2" s="1"/>
  <c r="N1334" i="2" a="1"/>
  <c r="N1334" i="2" s="1"/>
  <c r="P1334" i="2" a="1"/>
  <c r="P1334" i="2" s="1"/>
  <c r="M1330" i="2" a="1"/>
  <c r="M1330" i="2" s="1"/>
  <c r="R1330" i="2" a="1"/>
  <c r="R1330" i="2" s="1"/>
  <c r="O1330" i="2" a="1"/>
  <c r="O1330" i="2" s="1"/>
  <c r="Q1330" i="2" a="1"/>
  <c r="Q1330" i="2" s="1"/>
  <c r="N1330" i="2" a="1"/>
  <c r="N1330" i="2" s="1"/>
  <c r="P1330" i="2" a="1"/>
  <c r="P1330" i="2" s="1"/>
  <c r="M1326" i="2" a="1"/>
  <c r="M1326" i="2" s="1"/>
  <c r="Q1326" i="2" a="1"/>
  <c r="Q1326" i="2" s="1"/>
  <c r="N1326" i="2" a="1"/>
  <c r="N1326" i="2" s="1"/>
  <c r="O1326" i="2" a="1"/>
  <c r="O1326" i="2" s="1"/>
  <c r="R1326" i="2" a="1"/>
  <c r="R1326" i="2" s="1"/>
  <c r="P1326" i="2" a="1"/>
  <c r="P1326" i="2" s="1"/>
  <c r="M1322" i="2" a="1"/>
  <c r="M1322" i="2" s="1"/>
  <c r="Q1322" i="2" a="1"/>
  <c r="Q1322" i="2" s="1"/>
  <c r="N1322" i="2" a="1"/>
  <c r="N1322" i="2" s="1"/>
  <c r="O1322" i="2" a="1"/>
  <c r="O1322" i="2" s="1"/>
  <c r="R1322" i="2" a="1"/>
  <c r="R1322" i="2" s="1"/>
  <c r="P1322" i="2" a="1"/>
  <c r="P1322" i="2" s="1"/>
  <c r="M1318" i="2" a="1"/>
  <c r="M1318" i="2" s="1"/>
  <c r="Q1318" i="2" a="1"/>
  <c r="Q1318" i="2" s="1"/>
  <c r="N1318" i="2" a="1"/>
  <c r="N1318" i="2" s="1"/>
  <c r="O1318" i="2" a="1"/>
  <c r="O1318" i="2" s="1"/>
  <c r="R1318" i="2" a="1"/>
  <c r="R1318" i="2" s="1"/>
  <c r="P1318" i="2" a="1"/>
  <c r="P1318" i="2" s="1"/>
  <c r="M1314" i="2" a="1"/>
  <c r="M1314" i="2" s="1"/>
  <c r="Q1314" i="2" a="1"/>
  <c r="Q1314" i="2" s="1"/>
  <c r="N1314" i="2" a="1"/>
  <c r="N1314" i="2" s="1"/>
  <c r="O1314" i="2" a="1"/>
  <c r="O1314" i="2" s="1"/>
  <c r="R1314" i="2" a="1"/>
  <c r="R1314" i="2" s="1"/>
  <c r="P1314" i="2" a="1"/>
  <c r="P1314" i="2" s="1"/>
  <c r="M1310" i="2" a="1"/>
  <c r="M1310" i="2" s="1"/>
  <c r="Q1310" i="2" a="1"/>
  <c r="Q1310" i="2" s="1"/>
  <c r="N1310" i="2" a="1"/>
  <c r="N1310" i="2" s="1"/>
  <c r="O1310" i="2" a="1"/>
  <c r="O1310" i="2" s="1"/>
  <c r="R1310" i="2" a="1"/>
  <c r="R1310" i="2" s="1"/>
  <c r="P1310" i="2" a="1"/>
  <c r="P1310" i="2" s="1"/>
  <c r="M1306" i="2" a="1"/>
  <c r="M1306" i="2" s="1"/>
  <c r="O1306" i="2" a="1"/>
  <c r="O1306" i="2" s="1"/>
  <c r="R1306" i="2" a="1"/>
  <c r="R1306" i="2" s="1"/>
  <c r="N1306" i="2" a="1"/>
  <c r="N1306" i="2" s="1"/>
  <c r="Q1306" i="2" a="1"/>
  <c r="Q1306" i="2" s="1"/>
  <c r="P1306" i="2" a="1"/>
  <c r="P1306" i="2" s="1"/>
  <c r="M1302" i="2" a="1"/>
  <c r="M1302" i="2" s="1"/>
  <c r="Q1302" i="2" a="1"/>
  <c r="Q1302" i="2" s="1"/>
  <c r="P1302" i="2" a="1"/>
  <c r="P1302" i="2" s="1"/>
  <c r="O1302" i="2" a="1"/>
  <c r="O1302" i="2" s="1"/>
  <c r="R1302" i="2" a="1"/>
  <c r="R1302" i="2" s="1"/>
  <c r="N1302" i="2" a="1"/>
  <c r="N1302" i="2" s="1"/>
  <c r="M1298" i="2" a="1"/>
  <c r="M1298" i="2" s="1"/>
  <c r="O1298" i="2" a="1"/>
  <c r="O1298" i="2" s="1"/>
  <c r="R1298" i="2" a="1"/>
  <c r="R1298" i="2" s="1"/>
  <c r="N1298" i="2" a="1"/>
  <c r="N1298" i="2" s="1"/>
  <c r="Q1298" i="2" a="1"/>
  <c r="Q1298" i="2" s="1"/>
  <c r="P1298" i="2" a="1"/>
  <c r="P1298" i="2" s="1"/>
  <c r="R1294" i="2" a="1"/>
  <c r="R1294" i="2" s="1"/>
  <c r="O1294" i="2" a="1"/>
  <c r="O1294" i="2" s="1"/>
  <c r="Q1294" i="2" a="1"/>
  <c r="Q1294" i="2" s="1"/>
  <c r="N1294" i="2" a="1"/>
  <c r="N1294" i="2" s="1"/>
  <c r="M1294" i="2" a="1"/>
  <c r="M1294" i="2" s="1"/>
  <c r="P1294" i="2" a="1"/>
  <c r="P1294" i="2" s="1"/>
  <c r="R1290" i="2" a="1"/>
  <c r="R1290" i="2" s="1"/>
  <c r="O1290" i="2" a="1"/>
  <c r="O1290" i="2" s="1"/>
  <c r="M1290" i="2" a="1"/>
  <c r="M1290" i="2" s="1"/>
  <c r="P1290" i="2" a="1"/>
  <c r="P1290" i="2" s="1"/>
  <c r="Q1290" i="2" a="1"/>
  <c r="Q1290" i="2" s="1"/>
  <c r="N1290" i="2" a="1"/>
  <c r="N1290" i="2" s="1"/>
  <c r="R1286" i="2" a="1"/>
  <c r="R1286" i="2" s="1"/>
  <c r="O1286" i="2" a="1"/>
  <c r="O1286" i="2" s="1"/>
  <c r="Q1286" i="2" a="1"/>
  <c r="Q1286" i="2" s="1"/>
  <c r="N1286" i="2" a="1"/>
  <c r="N1286" i="2" s="1"/>
  <c r="M1286" i="2" a="1"/>
  <c r="M1286" i="2" s="1"/>
  <c r="P1286" i="2" a="1"/>
  <c r="P1286" i="2" s="1"/>
  <c r="R1282" i="2" a="1"/>
  <c r="R1282" i="2" s="1"/>
  <c r="O1282" i="2" a="1"/>
  <c r="O1282" i="2" s="1"/>
  <c r="M1282" i="2" a="1"/>
  <c r="M1282" i="2" s="1"/>
  <c r="P1282" i="2" a="1"/>
  <c r="P1282" i="2" s="1"/>
  <c r="Q1282" i="2" a="1"/>
  <c r="Q1282" i="2" s="1"/>
  <c r="N1282" i="2" a="1"/>
  <c r="N1282" i="2" s="1"/>
  <c r="R1278" i="2" a="1"/>
  <c r="R1278" i="2" s="1"/>
  <c r="O1278" i="2" a="1"/>
  <c r="O1278" i="2" s="1"/>
  <c r="Q1278" i="2" a="1"/>
  <c r="Q1278" i="2" s="1"/>
  <c r="N1278" i="2" a="1"/>
  <c r="N1278" i="2" s="1"/>
  <c r="M1278" i="2" a="1"/>
  <c r="M1278" i="2" s="1"/>
  <c r="P1278" i="2" a="1"/>
  <c r="P1278" i="2" s="1"/>
  <c r="P1274" i="2" a="1"/>
  <c r="P1274" i="2" s="1"/>
  <c r="M1274" i="2" a="1"/>
  <c r="M1274" i="2" s="1"/>
  <c r="R1274" i="2" a="1"/>
  <c r="R1274" i="2" s="1"/>
  <c r="N1274" i="2" a="1"/>
  <c r="N1274" i="2" s="1"/>
  <c r="Q1274" i="2" a="1"/>
  <c r="Q1274" i="2" s="1"/>
  <c r="O1274" i="2" a="1"/>
  <c r="O1274" i="2" s="1"/>
  <c r="P1270" i="2" a="1"/>
  <c r="P1270" i="2" s="1"/>
  <c r="M1270" i="2" a="1"/>
  <c r="M1270" i="2" s="1"/>
  <c r="R1270" i="2" a="1"/>
  <c r="R1270" i="2" s="1"/>
  <c r="N1270" i="2" a="1"/>
  <c r="N1270" i="2" s="1"/>
  <c r="Q1270" i="2" a="1"/>
  <c r="Q1270" i="2" s="1"/>
  <c r="O1270" i="2" a="1"/>
  <c r="O1270" i="2" s="1"/>
  <c r="P1266" i="2" a="1"/>
  <c r="P1266" i="2" s="1"/>
  <c r="M1266" i="2" a="1"/>
  <c r="M1266" i="2" s="1"/>
  <c r="Q1266" i="2" a="1"/>
  <c r="Q1266" i="2" s="1"/>
  <c r="O1266" i="2" a="1"/>
  <c r="O1266" i="2" s="1"/>
  <c r="R1266" i="2" a="1"/>
  <c r="R1266" i="2" s="1"/>
  <c r="N1266" i="2" a="1"/>
  <c r="N1266" i="2" s="1"/>
  <c r="P1262" i="2" a="1"/>
  <c r="P1262" i="2" s="1"/>
  <c r="O1262" i="2" a="1"/>
  <c r="O1262" i="2" s="1"/>
  <c r="R1262" i="2" a="1"/>
  <c r="R1262" i="2" s="1"/>
  <c r="N1262" i="2" a="1"/>
  <c r="N1262" i="2" s="1"/>
  <c r="Q1262" i="2" a="1"/>
  <c r="Q1262" i="2" s="1"/>
  <c r="M1262" i="2" a="1"/>
  <c r="M1262" i="2" s="1"/>
  <c r="O1258" i="2" a="1"/>
  <c r="O1258" i="2" s="1"/>
  <c r="R1258" i="2" a="1"/>
  <c r="R1258" i="2" s="1"/>
  <c r="Q1258" i="2" a="1"/>
  <c r="Q1258" i="2" s="1"/>
  <c r="N1258" i="2" a="1"/>
  <c r="N1258" i="2" s="1"/>
  <c r="P1258" i="2" a="1"/>
  <c r="P1258" i="2" s="1"/>
  <c r="M1258" i="2" a="1"/>
  <c r="M1258" i="2" s="1"/>
  <c r="O1254" i="2" a="1"/>
  <c r="O1254" i="2" s="1"/>
  <c r="R1254" i="2" a="1"/>
  <c r="R1254" i="2" s="1"/>
  <c r="Q1254" i="2" a="1"/>
  <c r="Q1254" i="2" s="1"/>
  <c r="N1254" i="2" a="1"/>
  <c r="N1254" i="2" s="1"/>
  <c r="P1254" i="2" a="1"/>
  <c r="P1254" i="2" s="1"/>
  <c r="M1254" i="2" a="1"/>
  <c r="M1254" i="2" s="1"/>
  <c r="O1250" i="2" a="1"/>
  <c r="O1250" i="2" s="1"/>
  <c r="R1250" i="2" a="1"/>
  <c r="R1250" i="2" s="1"/>
  <c r="Q1250" i="2" a="1"/>
  <c r="Q1250" i="2" s="1"/>
  <c r="N1250" i="2" a="1"/>
  <c r="N1250" i="2" s="1"/>
  <c r="P1250" i="2" a="1"/>
  <c r="P1250" i="2" s="1"/>
  <c r="M1250" i="2" a="1"/>
  <c r="M1250" i="2" s="1"/>
  <c r="O1246" i="2" a="1"/>
  <c r="O1246" i="2" s="1"/>
  <c r="R1246" i="2" a="1"/>
  <c r="R1246" i="2" s="1"/>
  <c r="Q1246" i="2" a="1"/>
  <c r="Q1246" i="2" s="1"/>
  <c r="N1246" i="2" a="1"/>
  <c r="N1246" i="2" s="1"/>
  <c r="P1246" i="2" a="1"/>
  <c r="P1246" i="2" s="1"/>
  <c r="M1246" i="2" a="1"/>
  <c r="M1246" i="2" s="1"/>
  <c r="O1242" i="2" a="1"/>
  <c r="O1242" i="2" s="1"/>
  <c r="R1242" i="2" a="1"/>
  <c r="R1242" i="2" s="1"/>
  <c r="Q1242" i="2" a="1"/>
  <c r="Q1242" i="2" s="1"/>
  <c r="N1242" i="2" a="1"/>
  <c r="N1242" i="2" s="1"/>
  <c r="P1242" i="2" a="1"/>
  <c r="P1242" i="2" s="1"/>
  <c r="M1242" i="2" a="1"/>
  <c r="M1242" i="2" s="1"/>
  <c r="O1238" i="2" a="1"/>
  <c r="O1238" i="2" s="1"/>
  <c r="R1238" i="2" a="1"/>
  <c r="R1238" i="2" s="1"/>
  <c r="Q1238" i="2" a="1"/>
  <c r="Q1238" i="2" s="1"/>
  <c r="N1238" i="2" a="1"/>
  <c r="N1238" i="2" s="1"/>
  <c r="P1238" i="2" a="1"/>
  <c r="P1238" i="2" s="1"/>
  <c r="M1238" i="2" a="1"/>
  <c r="M1238" i="2" s="1"/>
  <c r="O1234" i="2" a="1"/>
  <c r="O1234" i="2" s="1"/>
  <c r="R1234" i="2" a="1"/>
  <c r="R1234" i="2" s="1"/>
  <c r="Q1234" i="2" a="1"/>
  <c r="Q1234" i="2" s="1"/>
  <c r="N1234" i="2" a="1"/>
  <c r="N1234" i="2" s="1"/>
  <c r="P1234" i="2" a="1"/>
  <c r="P1234" i="2" s="1"/>
  <c r="M1234" i="2" a="1"/>
  <c r="M1234" i="2" s="1"/>
  <c r="P1230" i="2" a="1"/>
  <c r="P1230" i="2" s="1"/>
  <c r="R1230" i="2" a="1"/>
  <c r="R1230" i="2" s="1"/>
  <c r="M1230" i="2" a="1"/>
  <c r="M1230" i="2" s="1"/>
  <c r="O1230" i="2" a="1"/>
  <c r="O1230" i="2" s="1"/>
  <c r="Q1230" i="2" a="1"/>
  <c r="Q1230" i="2" s="1"/>
  <c r="N1230" i="2" a="1"/>
  <c r="N1230" i="2" s="1"/>
  <c r="O1226" i="2" a="1"/>
  <c r="O1226" i="2" s="1"/>
  <c r="R1226" i="2" a="1"/>
  <c r="R1226" i="2" s="1"/>
  <c r="N1226" i="2" a="1"/>
  <c r="N1226" i="2" s="1"/>
  <c r="Q1226" i="2" a="1"/>
  <c r="Q1226" i="2" s="1"/>
  <c r="M1226" i="2" a="1"/>
  <c r="M1226" i="2" s="1"/>
  <c r="P1226" i="2" a="1"/>
  <c r="P1226" i="2" s="1"/>
  <c r="P1222" i="2" a="1"/>
  <c r="P1222" i="2" s="1"/>
  <c r="O1222" i="2" a="1"/>
  <c r="O1222" i="2" s="1"/>
  <c r="R1222" i="2" a="1"/>
  <c r="R1222" i="2" s="1"/>
  <c r="N1222" i="2" a="1"/>
  <c r="N1222" i="2" s="1"/>
  <c r="Q1222" i="2" a="1"/>
  <c r="Q1222" i="2" s="1"/>
  <c r="M1222" i="2" a="1"/>
  <c r="M1222" i="2" s="1"/>
  <c r="Q1218" i="2" a="1"/>
  <c r="Q1218" i="2" s="1"/>
  <c r="M1218" i="2" a="1"/>
  <c r="M1218" i="2" s="1"/>
  <c r="P1218" i="2" a="1"/>
  <c r="P1218" i="2" s="1"/>
  <c r="O1218" i="2" a="1"/>
  <c r="O1218" i="2" s="1"/>
  <c r="R1218" i="2" a="1"/>
  <c r="R1218" i="2" s="1"/>
  <c r="N1218" i="2" a="1"/>
  <c r="N1218" i="2" s="1"/>
  <c r="R1214" i="2" a="1"/>
  <c r="R1214" i="2" s="1"/>
  <c r="N1214" i="2" a="1"/>
  <c r="N1214" i="2" s="1"/>
  <c r="Q1214" i="2" a="1"/>
  <c r="Q1214" i="2" s="1"/>
  <c r="M1214" i="2" a="1"/>
  <c r="M1214" i="2" s="1"/>
  <c r="P1214" i="2" a="1"/>
  <c r="P1214" i="2" s="1"/>
  <c r="O1214" i="2" a="1"/>
  <c r="O1214" i="2" s="1"/>
  <c r="O1210" i="2" a="1"/>
  <c r="O1210" i="2" s="1"/>
  <c r="R1210" i="2" a="1"/>
  <c r="R1210" i="2" s="1"/>
  <c r="N1210" i="2" a="1"/>
  <c r="N1210" i="2" s="1"/>
  <c r="Q1210" i="2" a="1"/>
  <c r="Q1210" i="2" s="1"/>
  <c r="M1210" i="2" a="1"/>
  <c r="M1210" i="2" s="1"/>
  <c r="P1210" i="2" a="1"/>
  <c r="P1210" i="2" s="1"/>
  <c r="P1206" i="2" a="1"/>
  <c r="P1206" i="2" s="1"/>
  <c r="O1206" i="2" a="1"/>
  <c r="O1206" i="2" s="1"/>
  <c r="R1206" i="2" a="1"/>
  <c r="R1206" i="2" s="1"/>
  <c r="N1206" i="2" a="1"/>
  <c r="N1206" i="2" s="1"/>
  <c r="Q1206" i="2" a="1"/>
  <c r="Q1206" i="2" s="1"/>
  <c r="M1206" i="2" a="1"/>
  <c r="M1206" i="2" s="1"/>
  <c r="Q1202" i="2" a="1"/>
  <c r="Q1202" i="2" s="1"/>
  <c r="M1202" i="2" a="1"/>
  <c r="M1202" i="2" s="1"/>
  <c r="P1202" i="2" a="1"/>
  <c r="P1202" i="2" s="1"/>
  <c r="O1202" i="2" a="1"/>
  <c r="O1202" i="2" s="1"/>
  <c r="R1202" i="2" a="1"/>
  <c r="R1202" i="2" s="1"/>
  <c r="N1202" i="2" a="1"/>
  <c r="N1202" i="2" s="1"/>
  <c r="Q1198" i="2" a="1"/>
  <c r="Q1198" i="2" s="1"/>
  <c r="M1198" i="2" a="1"/>
  <c r="M1198" i="2" s="1"/>
  <c r="P1198" i="2" a="1"/>
  <c r="P1198" i="2" s="1"/>
  <c r="O1198" i="2" a="1"/>
  <c r="O1198" i="2" s="1"/>
  <c r="R1198" i="2" a="1"/>
  <c r="R1198" i="2" s="1"/>
  <c r="N1198" i="2" a="1"/>
  <c r="N1198" i="2" s="1"/>
  <c r="Q1194" i="2" a="1"/>
  <c r="Q1194" i="2" s="1"/>
  <c r="M1194" i="2" a="1"/>
  <c r="M1194" i="2" s="1"/>
  <c r="P1194" i="2" a="1"/>
  <c r="P1194" i="2" s="1"/>
  <c r="O1194" i="2" a="1"/>
  <c r="O1194" i="2" s="1"/>
  <c r="R1194" i="2" a="1"/>
  <c r="R1194" i="2" s="1"/>
  <c r="N1194" i="2" a="1"/>
  <c r="N1194" i="2" s="1"/>
  <c r="Q1190" i="2" a="1"/>
  <c r="Q1190" i="2" s="1"/>
  <c r="M1190" i="2" a="1"/>
  <c r="M1190" i="2" s="1"/>
  <c r="P1190" i="2" a="1"/>
  <c r="P1190" i="2" s="1"/>
  <c r="O1190" i="2" a="1"/>
  <c r="O1190" i="2" s="1"/>
  <c r="R1190" i="2" a="1"/>
  <c r="R1190" i="2" s="1"/>
  <c r="N1190" i="2" a="1"/>
  <c r="N1190" i="2" s="1"/>
  <c r="Q1186" i="2" a="1"/>
  <c r="Q1186" i="2" s="1"/>
  <c r="M1186" i="2" a="1"/>
  <c r="M1186" i="2" s="1"/>
  <c r="P1186" i="2" a="1"/>
  <c r="P1186" i="2" s="1"/>
  <c r="O1186" i="2" a="1"/>
  <c r="O1186" i="2" s="1"/>
  <c r="N1186" i="2" a="1"/>
  <c r="N1186" i="2" s="1"/>
  <c r="R1186" i="2" a="1"/>
  <c r="R1186" i="2" s="1"/>
  <c r="P1182" i="2" a="1"/>
  <c r="P1182" i="2" s="1"/>
  <c r="O1182" i="2" a="1"/>
  <c r="O1182" i="2" s="1"/>
  <c r="N1182" i="2" a="1"/>
  <c r="N1182" i="2" s="1"/>
  <c r="M1182" i="2" a="1"/>
  <c r="M1182" i="2" s="1"/>
  <c r="R1182" i="2" a="1"/>
  <c r="R1182" i="2" s="1"/>
  <c r="Q1182" i="2" a="1"/>
  <c r="Q1182" i="2" s="1"/>
  <c r="P1178" i="2" a="1"/>
  <c r="P1178" i="2" s="1"/>
  <c r="O1178" i="2" a="1"/>
  <c r="O1178" i="2" s="1"/>
  <c r="R1178" i="2" a="1"/>
  <c r="R1178" i="2" s="1"/>
  <c r="Q1178" i="2" a="1"/>
  <c r="Q1178" i="2" s="1"/>
  <c r="N1178" i="2" a="1"/>
  <c r="N1178" i="2" s="1"/>
  <c r="M1178" i="2" a="1"/>
  <c r="M1178" i="2" s="1"/>
  <c r="P1174" i="2" a="1"/>
  <c r="P1174" i="2" s="1"/>
  <c r="M1174" i="2" a="1"/>
  <c r="M1174" i="2" s="1"/>
  <c r="R1174" i="2" a="1"/>
  <c r="R1174" i="2" s="1"/>
  <c r="Q1174" i="2" a="1"/>
  <c r="Q1174" i="2" s="1"/>
  <c r="O1174" i="2" a="1"/>
  <c r="O1174" i="2" s="1"/>
  <c r="N1174" i="2" a="1"/>
  <c r="N1174" i="2" s="1"/>
  <c r="R1170" i="2" a="1"/>
  <c r="R1170" i="2" s="1"/>
  <c r="O1170" i="2" a="1"/>
  <c r="O1170" i="2" s="1"/>
  <c r="Q1170" i="2" a="1"/>
  <c r="Q1170" i="2" s="1"/>
  <c r="N1170" i="2" a="1"/>
  <c r="N1170" i="2" s="1"/>
  <c r="P1170" i="2" a="1"/>
  <c r="P1170" i="2" s="1"/>
  <c r="M1170" i="2" a="1"/>
  <c r="M1170" i="2" s="1"/>
  <c r="P1166" i="2" a="1"/>
  <c r="P1166" i="2" s="1"/>
  <c r="M1166" i="2" a="1"/>
  <c r="M1166" i="2" s="1"/>
  <c r="O1166" i="2" a="1"/>
  <c r="O1166" i="2" s="1"/>
  <c r="N1166" i="2" a="1"/>
  <c r="N1166" i="2" s="1"/>
  <c r="R1166" i="2" a="1"/>
  <c r="R1166" i="2" s="1"/>
  <c r="Q1166" i="2" a="1"/>
  <c r="Q1166" i="2" s="1"/>
  <c r="P1162" i="2" a="1"/>
  <c r="P1162" i="2" s="1"/>
  <c r="O1162" i="2" a="1"/>
  <c r="O1162" i="2" s="1"/>
  <c r="R1162" i="2" a="1"/>
  <c r="R1162" i="2" s="1"/>
  <c r="N1162" i="2" a="1"/>
  <c r="N1162" i="2" s="1"/>
  <c r="Q1162" i="2" a="1"/>
  <c r="Q1162" i="2" s="1"/>
  <c r="M1162" i="2" a="1"/>
  <c r="M1162" i="2" s="1"/>
  <c r="Q1158" i="2" a="1"/>
  <c r="Q1158" i="2" s="1"/>
  <c r="N1158" i="2" a="1"/>
  <c r="N1158" i="2" s="1"/>
  <c r="P1158" i="2" a="1"/>
  <c r="P1158" i="2" s="1"/>
  <c r="O1158" i="2" a="1"/>
  <c r="O1158" i="2" s="1"/>
  <c r="R1158" i="2" a="1"/>
  <c r="R1158" i="2" s="1"/>
  <c r="M1158" i="2" a="1"/>
  <c r="M1158" i="2" s="1"/>
  <c r="R1154" i="2" a="1"/>
  <c r="R1154" i="2" s="1"/>
  <c r="O1154" i="2" a="1"/>
  <c r="O1154" i="2" s="1"/>
  <c r="Q1154" i="2" a="1"/>
  <c r="Q1154" i="2" s="1"/>
  <c r="N1154" i="2" a="1"/>
  <c r="N1154" i="2" s="1"/>
  <c r="P1154" i="2" a="1"/>
  <c r="P1154" i="2" s="1"/>
  <c r="M1154" i="2" a="1"/>
  <c r="M1154" i="2" s="1"/>
  <c r="Q1150" i="2" a="1"/>
  <c r="Q1150" i="2" s="1"/>
  <c r="N1150" i="2" a="1"/>
  <c r="N1150" i="2" s="1"/>
  <c r="P1150" i="2" a="1"/>
  <c r="P1150" i="2" s="1"/>
  <c r="M1150" i="2" a="1"/>
  <c r="M1150" i="2" s="1"/>
  <c r="R1150" i="2" a="1"/>
  <c r="R1150" i="2" s="1"/>
  <c r="O1150" i="2" a="1"/>
  <c r="O1150" i="2" s="1"/>
  <c r="R1146" i="2" a="1"/>
  <c r="R1146" i="2" s="1"/>
  <c r="O1146" i="2" a="1"/>
  <c r="O1146" i="2" s="1"/>
  <c r="Q1146" i="2" a="1"/>
  <c r="Q1146" i="2" s="1"/>
  <c r="N1146" i="2" a="1"/>
  <c r="N1146" i="2" s="1"/>
  <c r="P1146" i="2" a="1"/>
  <c r="P1146" i="2" s="1"/>
  <c r="M1146" i="2" a="1"/>
  <c r="M1146" i="2" s="1"/>
  <c r="R1142" i="2" a="1"/>
  <c r="R1142" i="2" s="1"/>
  <c r="O1142" i="2" a="1"/>
  <c r="O1142" i="2" s="1"/>
  <c r="Q1142" i="2" a="1"/>
  <c r="Q1142" i="2" s="1"/>
  <c r="N1142" i="2" a="1"/>
  <c r="N1142" i="2" s="1"/>
  <c r="P1142" i="2" a="1"/>
  <c r="P1142" i="2" s="1"/>
  <c r="M1142" i="2" a="1"/>
  <c r="M1142" i="2" s="1"/>
  <c r="Q1138" i="2" a="1"/>
  <c r="Q1138" i="2" s="1"/>
  <c r="N1138" i="2" a="1"/>
  <c r="N1138" i="2" s="1"/>
  <c r="P1138" i="2" a="1"/>
  <c r="P1138" i="2" s="1"/>
  <c r="M1138" i="2" a="1"/>
  <c r="M1138" i="2" s="1"/>
  <c r="R1138" i="2" a="1"/>
  <c r="R1138" i="2" s="1"/>
  <c r="O1138" i="2" a="1"/>
  <c r="O1138" i="2" s="1"/>
  <c r="P1134" i="2" a="1"/>
  <c r="P1134" i="2" s="1"/>
  <c r="M1134" i="2" a="1"/>
  <c r="M1134" i="2" s="1"/>
  <c r="R1134" i="2" a="1"/>
  <c r="R1134" i="2" s="1"/>
  <c r="O1134" i="2" a="1"/>
  <c r="O1134" i="2" s="1"/>
  <c r="Q1134" i="2" a="1"/>
  <c r="Q1134" i="2" s="1"/>
  <c r="N1134" i="2" a="1"/>
  <c r="N1134" i="2" s="1"/>
  <c r="R1130" i="2" a="1"/>
  <c r="R1130" i="2" s="1"/>
  <c r="O1130" i="2" a="1"/>
  <c r="O1130" i="2" s="1"/>
  <c r="Q1130" i="2" a="1"/>
  <c r="Q1130" i="2" s="1"/>
  <c r="N1130" i="2" a="1"/>
  <c r="N1130" i="2" s="1"/>
  <c r="P1130" i="2" a="1"/>
  <c r="P1130" i="2" s="1"/>
  <c r="M1130" i="2" a="1"/>
  <c r="M1130" i="2" s="1"/>
  <c r="R1126" i="2" a="1"/>
  <c r="R1126" i="2" s="1"/>
  <c r="O1126" i="2" a="1"/>
  <c r="O1126" i="2" s="1"/>
  <c r="Q1126" i="2" a="1"/>
  <c r="Q1126" i="2" s="1"/>
  <c r="N1126" i="2" a="1"/>
  <c r="N1126" i="2" s="1"/>
  <c r="P1126" i="2" a="1"/>
  <c r="P1126" i="2" s="1"/>
  <c r="M1126" i="2" a="1"/>
  <c r="M1126" i="2" s="1"/>
  <c r="Q1122" i="2" a="1"/>
  <c r="Q1122" i="2" s="1"/>
  <c r="N1122" i="2" a="1"/>
  <c r="N1122" i="2" s="1"/>
  <c r="P1122" i="2" a="1"/>
  <c r="P1122" i="2" s="1"/>
  <c r="M1122" i="2" a="1"/>
  <c r="M1122" i="2" s="1"/>
  <c r="R1122" i="2" a="1"/>
  <c r="R1122" i="2" s="1"/>
  <c r="O1122" i="2" a="1"/>
  <c r="O1122" i="2" s="1"/>
  <c r="P1118" i="2" a="1"/>
  <c r="P1118" i="2" s="1"/>
  <c r="M1118" i="2" a="1"/>
  <c r="M1118" i="2" s="1"/>
  <c r="R1118" i="2" a="1"/>
  <c r="R1118" i="2" s="1"/>
  <c r="O1118" i="2" a="1"/>
  <c r="O1118" i="2" s="1"/>
  <c r="Q1118" i="2" a="1"/>
  <c r="Q1118" i="2" s="1"/>
  <c r="N1118" i="2" a="1"/>
  <c r="N1118" i="2" s="1"/>
  <c r="R1114" i="2" a="1"/>
  <c r="R1114" i="2" s="1"/>
  <c r="O1114" i="2" a="1"/>
  <c r="O1114" i="2" s="1"/>
  <c r="Q1114" i="2" a="1"/>
  <c r="Q1114" i="2" s="1"/>
  <c r="N1114" i="2" a="1"/>
  <c r="N1114" i="2" s="1"/>
  <c r="P1114" i="2" a="1"/>
  <c r="P1114" i="2" s="1"/>
  <c r="M1114" i="2" a="1"/>
  <c r="M1114" i="2" s="1"/>
  <c r="P1110" i="2" a="1"/>
  <c r="P1110" i="2" s="1"/>
  <c r="M1110" i="2" a="1"/>
  <c r="M1110" i="2" s="1"/>
  <c r="R1110" i="2" a="1"/>
  <c r="R1110" i="2" s="1"/>
  <c r="O1110" i="2" a="1"/>
  <c r="O1110" i="2" s="1"/>
  <c r="Q1110" i="2" a="1"/>
  <c r="Q1110" i="2" s="1"/>
  <c r="N1110" i="2" a="1"/>
  <c r="N1110" i="2" s="1"/>
  <c r="R1106" i="2" a="1"/>
  <c r="R1106" i="2" s="1"/>
  <c r="O1106" i="2" a="1"/>
  <c r="O1106" i="2" s="1"/>
  <c r="Q1106" i="2" a="1"/>
  <c r="Q1106" i="2" s="1"/>
  <c r="N1106" i="2" a="1"/>
  <c r="N1106" i="2" s="1"/>
  <c r="P1106" i="2" a="1"/>
  <c r="P1106" i="2" s="1"/>
  <c r="M1106" i="2" a="1"/>
  <c r="M1106" i="2" s="1"/>
  <c r="R1102" i="2" a="1"/>
  <c r="R1102" i="2" s="1"/>
  <c r="O1102" i="2" a="1"/>
  <c r="O1102" i="2" s="1"/>
  <c r="Q1102" i="2" a="1"/>
  <c r="Q1102" i="2" s="1"/>
  <c r="N1102" i="2" a="1"/>
  <c r="N1102" i="2" s="1"/>
  <c r="P1102" i="2" a="1"/>
  <c r="P1102" i="2" s="1"/>
  <c r="M1102" i="2" a="1"/>
  <c r="M1102" i="2" s="1"/>
  <c r="Q1098" i="2" a="1"/>
  <c r="Q1098" i="2" s="1"/>
  <c r="N1098" i="2" a="1"/>
  <c r="N1098" i="2" s="1"/>
  <c r="P1098" i="2" a="1"/>
  <c r="P1098" i="2" s="1"/>
  <c r="M1098" i="2" a="1"/>
  <c r="M1098" i="2" s="1"/>
  <c r="R1098" i="2" a="1"/>
  <c r="R1098" i="2" s="1"/>
  <c r="O1098" i="2" a="1"/>
  <c r="O1098" i="2" s="1"/>
  <c r="P1094" i="2" a="1"/>
  <c r="P1094" i="2" s="1"/>
  <c r="M1094" i="2" a="1"/>
  <c r="M1094" i="2" s="1"/>
  <c r="R1094" i="2" a="1"/>
  <c r="R1094" i="2" s="1"/>
  <c r="O1094" i="2" a="1"/>
  <c r="O1094" i="2" s="1"/>
  <c r="Q1094" i="2" a="1"/>
  <c r="Q1094" i="2" s="1"/>
  <c r="N1094" i="2" a="1"/>
  <c r="N1094" i="2" s="1"/>
  <c r="P1090" i="2" a="1"/>
  <c r="P1090" i="2" s="1"/>
  <c r="O1090" i="2" a="1"/>
  <c r="O1090" i="2" s="1"/>
  <c r="R1090" i="2" a="1"/>
  <c r="R1090" i="2" s="1"/>
  <c r="N1090" i="2" a="1"/>
  <c r="N1090" i="2" s="1"/>
  <c r="Q1090" i="2" a="1"/>
  <c r="Q1090" i="2" s="1"/>
  <c r="M1090" i="2" a="1"/>
  <c r="M1090" i="2" s="1"/>
  <c r="P1086" i="2" a="1"/>
  <c r="P1086" i="2" s="1"/>
  <c r="O1086" i="2" a="1"/>
  <c r="O1086" i="2" s="1"/>
  <c r="R1086" i="2" a="1"/>
  <c r="R1086" i="2" s="1"/>
  <c r="N1086" i="2" a="1"/>
  <c r="N1086" i="2" s="1"/>
  <c r="Q1086" i="2" a="1"/>
  <c r="Q1086" i="2" s="1"/>
  <c r="M1086" i="2" a="1"/>
  <c r="M1086" i="2" s="1"/>
  <c r="P1082" i="2" a="1"/>
  <c r="P1082" i="2" s="1"/>
  <c r="O1082" i="2" a="1"/>
  <c r="O1082" i="2" s="1"/>
  <c r="R1082" i="2" a="1"/>
  <c r="R1082" i="2" s="1"/>
  <c r="N1082" i="2" a="1"/>
  <c r="N1082" i="2" s="1"/>
  <c r="Q1082" i="2" a="1"/>
  <c r="Q1082" i="2" s="1"/>
  <c r="M1082" i="2" a="1"/>
  <c r="M1082" i="2" s="1"/>
  <c r="P1078" i="2" a="1"/>
  <c r="P1078" i="2" s="1"/>
  <c r="O1078" i="2" a="1"/>
  <c r="O1078" i="2" s="1"/>
  <c r="R1078" i="2" a="1"/>
  <c r="R1078" i="2" s="1"/>
  <c r="N1078" i="2" a="1"/>
  <c r="N1078" i="2" s="1"/>
  <c r="Q1078" i="2" a="1"/>
  <c r="Q1078" i="2" s="1"/>
  <c r="M1078" i="2" a="1"/>
  <c r="M1078" i="2" s="1"/>
  <c r="P1074" i="2" a="1"/>
  <c r="P1074" i="2" s="1"/>
  <c r="O1074" i="2" a="1"/>
  <c r="O1074" i="2" s="1"/>
  <c r="R1074" i="2" a="1"/>
  <c r="R1074" i="2" s="1"/>
  <c r="N1074" i="2" a="1"/>
  <c r="N1074" i="2" s="1"/>
  <c r="Q1074" i="2" a="1"/>
  <c r="Q1074" i="2" s="1"/>
  <c r="M1074" i="2" a="1"/>
  <c r="M1074" i="2" s="1"/>
  <c r="P1070" i="2" a="1"/>
  <c r="P1070" i="2" s="1"/>
  <c r="O1070" i="2" a="1"/>
  <c r="O1070" i="2" s="1"/>
  <c r="R1070" i="2" a="1"/>
  <c r="R1070" i="2" s="1"/>
  <c r="N1070" i="2" a="1"/>
  <c r="N1070" i="2" s="1"/>
  <c r="Q1070" i="2" a="1"/>
  <c r="Q1070" i="2" s="1"/>
  <c r="M1070" i="2" a="1"/>
  <c r="M1070" i="2" s="1"/>
  <c r="P1066" i="2" a="1"/>
  <c r="P1066" i="2" s="1"/>
  <c r="O1066" i="2" a="1"/>
  <c r="O1066" i="2" s="1"/>
  <c r="R1066" i="2" a="1"/>
  <c r="R1066" i="2" s="1"/>
  <c r="N1066" i="2" a="1"/>
  <c r="N1066" i="2" s="1"/>
  <c r="Q1066" i="2" a="1"/>
  <c r="Q1066" i="2" s="1"/>
  <c r="M1066" i="2" a="1"/>
  <c r="M1066" i="2" s="1"/>
  <c r="R1062" i="2" a="1"/>
  <c r="R1062" i="2" s="1"/>
  <c r="N1062" i="2" a="1"/>
  <c r="N1062" i="2" s="1"/>
  <c r="Q1062" i="2" a="1"/>
  <c r="Q1062" i="2" s="1"/>
  <c r="M1062" i="2" a="1"/>
  <c r="M1062" i="2" s="1"/>
  <c r="P1062" i="2" a="1"/>
  <c r="P1062" i="2" s="1"/>
  <c r="O1062" i="2" a="1"/>
  <c r="O1062" i="2" s="1"/>
  <c r="R1058" i="2" a="1"/>
  <c r="R1058" i="2" s="1"/>
  <c r="N1058" i="2" a="1"/>
  <c r="N1058" i="2" s="1"/>
  <c r="Q1058" i="2" a="1"/>
  <c r="Q1058" i="2" s="1"/>
  <c r="M1058" i="2" a="1"/>
  <c r="M1058" i="2" s="1"/>
  <c r="P1058" i="2" a="1"/>
  <c r="P1058" i="2" s="1"/>
  <c r="O1058" i="2" a="1"/>
  <c r="O1058" i="2" s="1"/>
  <c r="R1054" i="2" a="1"/>
  <c r="R1054" i="2" s="1"/>
  <c r="O1054" i="2" a="1"/>
  <c r="O1054" i="2" s="1"/>
  <c r="Q1054" i="2" a="1"/>
  <c r="Q1054" i="2" s="1"/>
  <c r="N1054" i="2" a="1"/>
  <c r="N1054" i="2" s="1"/>
  <c r="P1054" i="2" a="1"/>
  <c r="P1054" i="2" s="1"/>
  <c r="M1054" i="2" a="1"/>
  <c r="M1054" i="2" s="1"/>
  <c r="M1050" i="2" a="1"/>
  <c r="M1050" i="2" s="1"/>
  <c r="P1050" i="2" a="1"/>
  <c r="P1050" i="2" s="1"/>
  <c r="N1050" i="2" a="1"/>
  <c r="N1050" i="2" s="1"/>
  <c r="R1050" i="2" a="1"/>
  <c r="R1050" i="2" s="1"/>
  <c r="Q1050" i="2" a="1"/>
  <c r="Q1050" i="2" s="1"/>
  <c r="O1050" i="2" a="1"/>
  <c r="O1050" i="2" s="1"/>
  <c r="R1046" i="2" a="1"/>
  <c r="R1046" i="2" s="1"/>
  <c r="O1046" i="2" a="1"/>
  <c r="O1046" i="2" s="1"/>
  <c r="Q1046" i="2" a="1"/>
  <c r="Q1046" i="2" s="1"/>
  <c r="N1046" i="2" a="1"/>
  <c r="N1046" i="2" s="1"/>
  <c r="P1046" i="2" a="1"/>
  <c r="P1046" i="2" s="1"/>
  <c r="M1046" i="2" a="1"/>
  <c r="M1046" i="2" s="1"/>
  <c r="Q1042" i="2" a="1"/>
  <c r="Q1042" i="2" s="1"/>
  <c r="N1042" i="2" a="1"/>
  <c r="N1042" i="2" s="1"/>
  <c r="M1042" i="2" a="1"/>
  <c r="M1042" i="2" s="1"/>
  <c r="R1042" i="2" a="1"/>
  <c r="R1042" i="2" s="1"/>
  <c r="P1042" i="2" a="1"/>
  <c r="P1042" i="2" s="1"/>
  <c r="O1042" i="2" a="1"/>
  <c r="O1042" i="2" s="1"/>
  <c r="M1038" i="2" a="1"/>
  <c r="M1038" i="2" s="1"/>
  <c r="P1038" i="2" a="1"/>
  <c r="P1038" i="2" s="1"/>
  <c r="Q1038" i="2" a="1"/>
  <c r="Q1038" i="2" s="1"/>
  <c r="O1038" i="2" a="1"/>
  <c r="O1038" i="2" s="1"/>
  <c r="N1038" i="2" a="1"/>
  <c r="N1038" i="2" s="1"/>
  <c r="R1038" i="2" a="1"/>
  <c r="R1038" i="2" s="1"/>
  <c r="P1034" i="2" a="1"/>
  <c r="P1034" i="2" s="1"/>
  <c r="R1034" i="2" a="1"/>
  <c r="R1034" i="2" s="1"/>
  <c r="O1034" i="2" a="1"/>
  <c r="O1034" i="2" s="1"/>
  <c r="N1034" i="2" a="1"/>
  <c r="N1034" i="2" s="1"/>
  <c r="M1034" i="2" a="1"/>
  <c r="M1034" i="2" s="1"/>
  <c r="Q1034" i="2" a="1"/>
  <c r="Q1034" i="2" s="1"/>
  <c r="R1030" i="2" a="1"/>
  <c r="R1030" i="2" s="1"/>
  <c r="O1030" i="2" a="1"/>
  <c r="O1030" i="2" s="1"/>
  <c r="Q1030" i="2" a="1"/>
  <c r="Q1030" i="2" s="1"/>
  <c r="N1030" i="2" a="1"/>
  <c r="N1030" i="2" s="1"/>
  <c r="P1030" i="2" a="1"/>
  <c r="P1030" i="2" s="1"/>
  <c r="M1030" i="2" a="1"/>
  <c r="M1030" i="2" s="1"/>
  <c r="Q1026" i="2" a="1"/>
  <c r="Q1026" i="2" s="1"/>
  <c r="N1026" i="2" a="1"/>
  <c r="N1026" i="2" s="1"/>
  <c r="M1026" i="2" a="1"/>
  <c r="M1026" i="2" s="1"/>
  <c r="O1026" i="2" a="1"/>
  <c r="O1026" i="2" s="1"/>
  <c r="R1026" i="2" a="1"/>
  <c r="R1026" i="2" s="1"/>
  <c r="P1026" i="2" a="1"/>
  <c r="P1026" i="2" s="1"/>
  <c r="M1022" i="2" a="1"/>
  <c r="M1022" i="2" s="1"/>
  <c r="P1022" i="2" a="1"/>
  <c r="P1022" i="2" s="1"/>
  <c r="N1022" i="2" a="1"/>
  <c r="N1022" i="2" s="1"/>
  <c r="R1022" i="2" a="1"/>
  <c r="R1022" i="2" s="1"/>
  <c r="Q1022" i="2" a="1"/>
  <c r="Q1022" i="2" s="1"/>
  <c r="O1022" i="2" a="1"/>
  <c r="O1022" i="2" s="1"/>
  <c r="P1018" i="2" a="1"/>
  <c r="P1018" i="2" s="1"/>
  <c r="R1018" i="2" a="1"/>
  <c r="R1018" i="2" s="1"/>
  <c r="O1018" i="2" a="1"/>
  <c r="O1018" i="2" s="1"/>
  <c r="M1018" i="2" a="1"/>
  <c r="M1018" i="2" s="1"/>
  <c r="Q1018" i="2" a="1"/>
  <c r="Q1018" i="2" s="1"/>
  <c r="N1018" i="2" a="1"/>
  <c r="N1018" i="2" s="1"/>
  <c r="R1014" i="2" a="1"/>
  <c r="R1014" i="2" s="1"/>
  <c r="O1014" i="2" a="1"/>
  <c r="O1014" i="2" s="1"/>
  <c r="Q1014" i="2" a="1"/>
  <c r="Q1014" i="2" s="1"/>
  <c r="N1014" i="2" a="1"/>
  <c r="N1014" i="2" s="1"/>
  <c r="P1014" i="2" a="1"/>
  <c r="P1014" i="2" s="1"/>
  <c r="M1014" i="2" a="1"/>
  <c r="M1014" i="2" s="1"/>
  <c r="M1010" i="2" a="1"/>
  <c r="M1010" i="2" s="1"/>
  <c r="P1010" i="2" a="1"/>
  <c r="P1010" i="2" s="1"/>
  <c r="Q1010" i="2" a="1"/>
  <c r="Q1010" i="2" s="1"/>
  <c r="O1010" i="2" a="1"/>
  <c r="O1010" i="2" s="1"/>
  <c r="N1010" i="2" a="1"/>
  <c r="N1010" i="2" s="1"/>
  <c r="R1010" i="2" a="1"/>
  <c r="R1010" i="2" s="1"/>
  <c r="P1006" i="2" a="1"/>
  <c r="P1006" i="2" s="1"/>
  <c r="R1006" i="2" a="1"/>
  <c r="R1006" i="2" s="1"/>
  <c r="O1006" i="2" a="1"/>
  <c r="O1006" i="2" s="1"/>
  <c r="N1006" i="2" a="1"/>
  <c r="N1006" i="2" s="1"/>
  <c r="M1006" i="2" a="1"/>
  <c r="M1006" i="2" s="1"/>
  <c r="Q1006" i="2" a="1"/>
  <c r="Q1006" i="2" s="1"/>
  <c r="R1002" i="2" a="1"/>
  <c r="R1002" i="2" s="1"/>
  <c r="O1002" i="2" a="1"/>
  <c r="O1002" i="2" s="1"/>
  <c r="Q1002" i="2" a="1"/>
  <c r="Q1002" i="2" s="1"/>
  <c r="N1002" i="2" a="1"/>
  <c r="N1002" i="2" s="1"/>
  <c r="P1002" i="2" a="1"/>
  <c r="P1002" i="2" s="1"/>
  <c r="M1002" i="2" a="1"/>
  <c r="M1002" i="2" s="1"/>
  <c r="Q998" i="2" a="1"/>
  <c r="Q998" i="2" s="1"/>
  <c r="M998" i="2" a="1"/>
  <c r="M998" i="2" s="1"/>
  <c r="O998" i="2" a="1"/>
  <c r="O998" i="2" s="1"/>
  <c r="N998" i="2" a="1"/>
  <c r="N998" i="2" s="1"/>
  <c r="R998" i="2" a="1"/>
  <c r="R998" i="2" s="1"/>
  <c r="P998" i="2" a="1"/>
  <c r="P998" i="2" s="1"/>
  <c r="Q994" i="2" a="1"/>
  <c r="Q994" i="2" s="1"/>
  <c r="M994" i="2" a="1"/>
  <c r="M994" i="2" s="1"/>
  <c r="O994" i="2" a="1"/>
  <c r="O994" i="2" s="1"/>
  <c r="N994" i="2" a="1"/>
  <c r="N994" i="2" s="1"/>
  <c r="R994" i="2" a="1"/>
  <c r="R994" i="2" s="1"/>
  <c r="P994" i="2" a="1"/>
  <c r="P994" i="2" s="1"/>
  <c r="Q990" i="2" a="1"/>
  <c r="Q990" i="2" s="1"/>
  <c r="M990" i="2" a="1"/>
  <c r="M990" i="2" s="1"/>
  <c r="O990" i="2" a="1"/>
  <c r="O990" i="2" s="1"/>
  <c r="N990" i="2" a="1"/>
  <c r="N990" i="2" s="1"/>
  <c r="R990" i="2" a="1"/>
  <c r="R990" i="2" s="1"/>
  <c r="P990" i="2" a="1"/>
  <c r="P990" i="2" s="1"/>
  <c r="Q986" i="2" a="1"/>
  <c r="Q986" i="2" s="1"/>
  <c r="M986" i="2" a="1"/>
  <c r="M986" i="2" s="1"/>
  <c r="O986" i="2" a="1"/>
  <c r="O986" i="2" s="1"/>
  <c r="N986" i="2" a="1"/>
  <c r="N986" i="2" s="1"/>
  <c r="R986" i="2" a="1"/>
  <c r="R986" i="2" s="1"/>
  <c r="P986" i="2" a="1"/>
  <c r="P986" i="2" s="1"/>
  <c r="Q982" i="2" a="1"/>
  <c r="Q982" i="2" s="1"/>
  <c r="M982" i="2" a="1"/>
  <c r="M982" i="2" s="1"/>
  <c r="O982" i="2" a="1"/>
  <c r="O982" i="2" s="1"/>
  <c r="N982" i="2" a="1"/>
  <c r="N982" i="2" s="1"/>
  <c r="R982" i="2" a="1"/>
  <c r="R982" i="2" s="1"/>
  <c r="P982" i="2" a="1"/>
  <c r="P982" i="2" s="1"/>
  <c r="Q978" i="2" a="1"/>
  <c r="Q978" i="2" s="1"/>
  <c r="M978" i="2" a="1"/>
  <c r="M978" i="2" s="1"/>
  <c r="O978" i="2" a="1"/>
  <c r="O978" i="2" s="1"/>
  <c r="N978" i="2" a="1"/>
  <c r="N978" i="2" s="1"/>
  <c r="R978" i="2" a="1"/>
  <c r="R978" i="2" s="1"/>
  <c r="P978" i="2" a="1"/>
  <c r="P978" i="2" s="1"/>
  <c r="Q974" i="2" a="1"/>
  <c r="Q974" i="2" s="1"/>
  <c r="M974" i="2" a="1"/>
  <c r="M974" i="2" s="1"/>
  <c r="O974" i="2" a="1"/>
  <c r="O974" i="2" s="1"/>
  <c r="N974" i="2" a="1"/>
  <c r="N974" i="2" s="1"/>
  <c r="R974" i="2" a="1"/>
  <c r="R974" i="2" s="1"/>
  <c r="P974" i="2" a="1"/>
  <c r="P974" i="2" s="1"/>
  <c r="Q970" i="2" a="1"/>
  <c r="Q970" i="2" s="1"/>
  <c r="M970" i="2" a="1"/>
  <c r="M970" i="2" s="1"/>
  <c r="O970" i="2" a="1"/>
  <c r="O970" i="2" s="1"/>
  <c r="N970" i="2" a="1"/>
  <c r="N970" i="2" s="1"/>
  <c r="R970" i="2" a="1"/>
  <c r="R970" i="2" s="1"/>
  <c r="P970" i="2" a="1"/>
  <c r="P970" i="2" s="1"/>
  <c r="Q966" i="2" a="1"/>
  <c r="Q966" i="2" s="1"/>
  <c r="M966" i="2" a="1"/>
  <c r="M966" i="2" s="1"/>
  <c r="O966" i="2" a="1"/>
  <c r="O966" i="2" s="1"/>
  <c r="N966" i="2" a="1"/>
  <c r="N966" i="2" s="1"/>
  <c r="R966" i="2" a="1"/>
  <c r="R966" i="2" s="1"/>
  <c r="P966" i="2" a="1"/>
  <c r="P966" i="2" s="1"/>
  <c r="Q962" i="2" a="1"/>
  <c r="Q962" i="2" s="1"/>
  <c r="M962" i="2" a="1"/>
  <c r="M962" i="2" s="1"/>
  <c r="O962" i="2" a="1"/>
  <c r="O962" i="2" s="1"/>
  <c r="N962" i="2" a="1"/>
  <c r="N962" i="2" s="1"/>
  <c r="R962" i="2" a="1"/>
  <c r="R962" i="2" s="1"/>
  <c r="P962" i="2" a="1"/>
  <c r="P962" i="2" s="1"/>
  <c r="Q958" i="2" a="1"/>
  <c r="Q958" i="2" s="1"/>
  <c r="M958" i="2" a="1"/>
  <c r="M958" i="2" s="1"/>
  <c r="O958" i="2" a="1"/>
  <c r="O958" i="2" s="1"/>
  <c r="N958" i="2" a="1"/>
  <c r="N958" i="2" s="1"/>
  <c r="R958" i="2" a="1"/>
  <c r="R958" i="2" s="1"/>
  <c r="P958" i="2" a="1"/>
  <c r="P958" i="2" s="1"/>
  <c r="Q954" i="2" a="1"/>
  <c r="Q954" i="2" s="1"/>
  <c r="M954" i="2" a="1"/>
  <c r="M954" i="2" s="1"/>
  <c r="O954" i="2" a="1"/>
  <c r="O954" i="2" s="1"/>
  <c r="N954" i="2" a="1"/>
  <c r="N954" i="2" s="1"/>
  <c r="R954" i="2" a="1"/>
  <c r="R954" i="2" s="1"/>
  <c r="P954" i="2" a="1"/>
  <c r="P954" i="2" s="1"/>
  <c r="Q950" i="2" a="1"/>
  <c r="Q950" i="2" s="1"/>
  <c r="M950" i="2" a="1"/>
  <c r="M950" i="2" s="1"/>
  <c r="O950" i="2" a="1"/>
  <c r="O950" i="2" s="1"/>
  <c r="N950" i="2" a="1"/>
  <c r="N950" i="2" s="1"/>
  <c r="R950" i="2" a="1"/>
  <c r="R950" i="2" s="1"/>
  <c r="P950" i="2" a="1"/>
  <c r="P950" i="2" s="1"/>
  <c r="Q946" i="2" a="1"/>
  <c r="Q946" i="2" s="1"/>
  <c r="M946" i="2" a="1"/>
  <c r="M946" i="2" s="1"/>
  <c r="O946" i="2" a="1"/>
  <c r="O946" i="2" s="1"/>
  <c r="N946" i="2" a="1"/>
  <c r="N946" i="2" s="1"/>
  <c r="R946" i="2" a="1"/>
  <c r="R946" i="2" s="1"/>
  <c r="P946" i="2" a="1"/>
  <c r="P946" i="2" s="1"/>
  <c r="Q942" i="2" a="1"/>
  <c r="Q942" i="2" s="1"/>
  <c r="M942" i="2" a="1"/>
  <c r="M942" i="2" s="1"/>
  <c r="O942" i="2" a="1"/>
  <c r="O942" i="2" s="1"/>
  <c r="N942" i="2" a="1"/>
  <c r="N942" i="2" s="1"/>
  <c r="R942" i="2" a="1"/>
  <c r="R942" i="2" s="1"/>
  <c r="P942" i="2" a="1"/>
  <c r="P942" i="2" s="1"/>
  <c r="Q938" i="2" a="1"/>
  <c r="Q938" i="2" s="1"/>
  <c r="M938" i="2" a="1"/>
  <c r="M938" i="2" s="1"/>
  <c r="O938" i="2" a="1"/>
  <c r="O938" i="2" s="1"/>
  <c r="N938" i="2" a="1"/>
  <c r="N938" i="2" s="1"/>
  <c r="R938" i="2" a="1"/>
  <c r="R938" i="2" s="1"/>
  <c r="P938" i="2" a="1"/>
  <c r="P938" i="2" s="1"/>
  <c r="Q934" i="2" a="1"/>
  <c r="Q934" i="2" s="1"/>
  <c r="M934" i="2" a="1"/>
  <c r="M934" i="2" s="1"/>
  <c r="O934" i="2" a="1"/>
  <c r="O934" i="2" s="1"/>
  <c r="N934" i="2" a="1"/>
  <c r="N934" i="2" s="1"/>
  <c r="R934" i="2" a="1"/>
  <c r="R934" i="2" s="1"/>
  <c r="P934" i="2" a="1"/>
  <c r="P934" i="2" s="1"/>
  <c r="Q930" i="2" a="1"/>
  <c r="Q930" i="2" s="1"/>
  <c r="M930" i="2" a="1"/>
  <c r="M930" i="2" s="1"/>
  <c r="O930" i="2" a="1"/>
  <c r="O930" i="2" s="1"/>
  <c r="N930" i="2" a="1"/>
  <c r="N930" i="2" s="1"/>
  <c r="R930" i="2" a="1"/>
  <c r="R930" i="2" s="1"/>
  <c r="P930" i="2" a="1"/>
  <c r="P930" i="2" s="1"/>
  <c r="Q926" i="2" a="1"/>
  <c r="Q926" i="2" s="1"/>
  <c r="M926" i="2" a="1"/>
  <c r="M926" i="2" s="1"/>
  <c r="O926" i="2" a="1"/>
  <c r="O926" i="2" s="1"/>
  <c r="N926" i="2" a="1"/>
  <c r="N926" i="2" s="1"/>
  <c r="R926" i="2" a="1"/>
  <c r="R926" i="2" s="1"/>
  <c r="P926" i="2" a="1"/>
  <c r="P926" i="2" s="1"/>
  <c r="Q922" i="2" a="1"/>
  <c r="Q922" i="2" s="1"/>
  <c r="M922" i="2" a="1"/>
  <c r="M922" i="2" s="1"/>
  <c r="O922" i="2" a="1"/>
  <c r="O922" i="2" s="1"/>
  <c r="N922" i="2" a="1"/>
  <c r="N922" i="2" s="1"/>
  <c r="R922" i="2" a="1"/>
  <c r="R922" i="2" s="1"/>
  <c r="P922" i="2" a="1"/>
  <c r="P922" i="2" s="1"/>
  <c r="Q918" i="2" a="1"/>
  <c r="Q918" i="2" s="1"/>
  <c r="M918" i="2" a="1"/>
  <c r="M918" i="2" s="1"/>
  <c r="O918" i="2" a="1"/>
  <c r="O918" i="2" s="1"/>
  <c r="N918" i="2" a="1"/>
  <c r="N918" i="2" s="1"/>
  <c r="R918" i="2" a="1"/>
  <c r="R918" i="2" s="1"/>
  <c r="P918" i="2" a="1"/>
  <c r="P918" i="2" s="1"/>
  <c r="Q914" i="2" a="1"/>
  <c r="Q914" i="2" s="1"/>
  <c r="M914" i="2" a="1"/>
  <c r="M914" i="2" s="1"/>
  <c r="O914" i="2" a="1"/>
  <c r="O914" i="2" s="1"/>
  <c r="N914" i="2" a="1"/>
  <c r="N914" i="2" s="1"/>
  <c r="R914" i="2" a="1"/>
  <c r="R914" i="2" s="1"/>
  <c r="P914" i="2" a="1"/>
  <c r="P914" i="2" s="1"/>
  <c r="Q910" i="2" a="1"/>
  <c r="Q910" i="2" s="1"/>
  <c r="M910" i="2" a="1"/>
  <c r="M910" i="2" s="1"/>
  <c r="O910" i="2" a="1"/>
  <c r="O910" i="2" s="1"/>
  <c r="N910" i="2" a="1"/>
  <c r="N910" i="2" s="1"/>
  <c r="R910" i="2" a="1"/>
  <c r="R910" i="2" s="1"/>
  <c r="P910" i="2" a="1"/>
  <c r="P910" i="2" s="1"/>
  <c r="Q906" i="2" a="1"/>
  <c r="Q906" i="2" s="1"/>
  <c r="M906" i="2" a="1"/>
  <c r="M906" i="2" s="1"/>
  <c r="O906" i="2" a="1"/>
  <c r="O906" i="2" s="1"/>
  <c r="N906" i="2" a="1"/>
  <c r="N906" i="2" s="1"/>
  <c r="R906" i="2" a="1"/>
  <c r="R906" i="2" s="1"/>
  <c r="P906" i="2" a="1"/>
  <c r="P906" i="2" s="1"/>
  <c r="Q902" i="2" a="1"/>
  <c r="Q902" i="2" s="1"/>
  <c r="M902" i="2" a="1"/>
  <c r="M902" i="2" s="1"/>
  <c r="O902" i="2" a="1"/>
  <c r="O902" i="2" s="1"/>
  <c r="N902" i="2" a="1"/>
  <c r="N902" i="2" s="1"/>
  <c r="R902" i="2" a="1"/>
  <c r="R902" i="2" s="1"/>
  <c r="P902" i="2" a="1"/>
  <c r="P902" i="2" s="1"/>
  <c r="Q898" i="2" a="1"/>
  <c r="Q898" i="2" s="1"/>
  <c r="M898" i="2" a="1"/>
  <c r="M898" i="2" s="1"/>
  <c r="O898" i="2" a="1"/>
  <c r="O898" i="2" s="1"/>
  <c r="N898" i="2" a="1"/>
  <c r="N898" i="2" s="1"/>
  <c r="R898" i="2" a="1"/>
  <c r="R898" i="2" s="1"/>
  <c r="P898" i="2" a="1"/>
  <c r="P898" i="2" s="1"/>
  <c r="Q894" i="2" a="1"/>
  <c r="Q894" i="2" s="1"/>
  <c r="M894" i="2" a="1"/>
  <c r="M894" i="2" s="1"/>
  <c r="O894" i="2" a="1"/>
  <c r="O894" i="2" s="1"/>
  <c r="N894" i="2" a="1"/>
  <c r="N894" i="2" s="1"/>
  <c r="R894" i="2" a="1"/>
  <c r="R894" i="2" s="1"/>
  <c r="P894" i="2" a="1"/>
  <c r="P894" i="2" s="1"/>
  <c r="Q890" i="2" a="1"/>
  <c r="Q890" i="2" s="1"/>
  <c r="M890" i="2" a="1"/>
  <c r="M890" i="2" s="1"/>
  <c r="O890" i="2" a="1"/>
  <c r="O890" i="2" s="1"/>
  <c r="N890" i="2" a="1"/>
  <c r="N890" i="2" s="1"/>
  <c r="R890" i="2" a="1"/>
  <c r="R890" i="2" s="1"/>
  <c r="P890" i="2" a="1"/>
  <c r="P890" i="2" s="1"/>
  <c r="Q886" i="2" a="1"/>
  <c r="Q886" i="2" s="1"/>
  <c r="M886" i="2" a="1"/>
  <c r="M886" i="2" s="1"/>
  <c r="O886" i="2" a="1"/>
  <c r="O886" i="2" s="1"/>
  <c r="N886" i="2" a="1"/>
  <c r="N886" i="2" s="1"/>
  <c r="R886" i="2" a="1"/>
  <c r="R886" i="2" s="1"/>
  <c r="P886" i="2" a="1"/>
  <c r="P886" i="2" s="1"/>
  <c r="Q882" i="2" a="1"/>
  <c r="Q882" i="2" s="1"/>
  <c r="M882" i="2" a="1"/>
  <c r="M882" i="2" s="1"/>
  <c r="O882" i="2" a="1"/>
  <c r="O882" i="2" s="1"/>
  <c r="N882" i="2" a="1"/>
  <c r="N882" i="2" s="1"/>
  <c r="R882" i="2" a="1"/>
  <c r="R882" i="2" s="1"/>
  <c r="P882" i="2" a="1"/>
  <c r="P882" i="2" s="1"/>
  <c r="Q878" i="2" a="1"/>
  <c r="Q878" i="2" s="1"/>
  <c r="M878" i="2" a="1"/>
  <c r="M878" i="2" s="1"/>
  <c r="O878" i="2" a="1"/>
  <c r="O878" i="2" s="1"/>
  <c r="N878" i="2" a="1"/>
  <c r="N878" i="2" s="1"/>
  <c r="R878" i="2" a="1"/>
  <c r="R878" i="2" s="1"/>
  <c r="P878" i="2" a="1"/>
  <c r="P878" i="2" s="1"/>
  <c r="Q874" i="2" a="1"/>
  <c r="Q874" i="2" s="1"/>
  <c r="M874" i="2" a="1"/>
  <c r="M874" i="2" s="1"/>
  <c r="O874" i="2" a="1"/>
  <c r="O874" i="2" s="1"/>
  <c r="N874" i="2" a="1"/>
  <c r="N874" i="2" s="1"/>
  <c r="R874" i="2" a="1"/>
  <c r="R874" i="2" s="1"/>
  <c r="P874" i="2" a="1"/>
  <c r="P874" i="2" s="1"/>
  <c r="R870" i="2" a="1"/>
  <c r="R870" i="2" s="1"/>
  <c r="M870" i="2" a="1"/>
  <c r="M870" i="2" s="1"/>
  <c r="Q870" i="2" a="1"/>
  <c r="Q870" i="2" s="1"/>
  <c r="P870" i="2" a="1"/>
  <c r="P870" i="2" s="1"/>
  <c r="O870" i="2" a="1"/>
  <c r="O870" i="2" s="1"/>
  <c r="N870" i="2" a="1"/>
  <c r="N870" i="2" s="1"/>
  <c r="Q866" i="2" a="1"/>
  <c r="Q866" i="2" s="1"/>
  <c r="N866" i="2" a="1"/>
  <c r="N866" i="2" s="1"/>
  <c r="O866" i="2" a="1"/>
  <c r="O866" i="2" s="1"/>
  <c r="R866" i="2" a="1"/>
  <c r="R866" i="2" s="1"/>
  <c r="M866" i="2" a="1"/>
  <c r="M866" i="2" s="1"/>
  <c r="P866" i="2" a="1"/>
  <c r="P866" i="2" s="1"/>
  <c r="O862" i="2" a="1"/>
  <c r="O862" i="2" s="1"/>
  <c r="R862" i="2" a="1"/>
  <c r="R862" i="2" s="1"/>
  <c r="Q862" i="2" a="1"/>
  <c r="Q862" i="2" s="1"/>
  <c r="N862" i="2" a="1"/>
  <c r="N862" i="2" s="1"/>
  <c r="P862" i="2" a="1"/>
  <c r="P862" i="2" s="1"/>
  <c r="M862" i="2" a="1"/>
  <c r="M862" i="2" s="1"/>
  <c r="O858" i="2" a="1"/>
  <c r="O858" i="2" s="1"/>
  <c r="R858" i="2" a="1"/>
  <c r="R858" i="2" s="1"/>
  <c r="Q858" i="2" a="1"/>
  <c r="Q858" i="2" s="1"/>
  <c r="N858" i="2" a="1"/>
  <c r="N858" i="2" s="1"/>
  <c r="P858" i="2" a="1"/>
  <c r="P858" i="2" s="1"/>
  <c r="M858" i="2" a="1"/>
  <c r="M858" i="2" s="1"/>
  <c r="O854" i="2" a="1"/>
  <c r="O854" i="2" s="1"/>
  <c r="R854" i="2" a="1"/>
  <c r="R854" i="2" s="1"/>
  <c r="Q854" i="2" a="1"/>
  <c r="Q854" i="2" s="1"/>
  <c r="N854" i="2" a="1"/>
  <c r="N854" i="2" s="1"/>
  <c r="P854" i="2" a="1"/>
  <c r="P854" i="2" s="1"/>
  <c r="M854" i="2" a="1"/>
  <c r="M854" i="2" s="1"/>
  <c r="O850" i="2" a="1"/>
  <c r="O850" i="2" s="1"/>
  <c r="R850" i="2" a="1"/>
  <c r="R850" i="2" s="1"/>
  <c r="Q850" i="2" a="1"/>
  <c r="Q850" i="2" s="1"/>
  <c r="N850" i="2" a="1"/>
  <c r="N850" i="2" s="1"/>
  <c r="P850" i="2" a="1"/>
  <c r="P850" i="2" s="1"/>
  <c r="M850" i="2" a="1"/>
  <c r="M850" i="2" s="1"/>
  <c r="O846" i="2" a="1"/>
  <c r="O846" i="2" s="1"/>
  <c r="R846" i="2" a="1"/>
  <c r="R846" i="2" s="1"/>
  <c r="Q846" i="2" a="1"/>
  <c r="Q846" i="2" s="1"/>
  <c r="N846" i="2" a="1"/>
  <c r="N846" i="2" s="1"/>
  <c r="P846" i="2" a="1"/>
  <c r="P846" i="2" s="1"/>
  <c r="M846" i="2" a="1"/>
  <c r="M846" i="2" s="1"/>
  <c r="O842" i="2" a="1"/>
  <c r="O842" i="2" s="1"/>
  <c r="R842" i="2" a="1"/>
  <c r="R842" i="2" s="1"/>
  <c r="Q842" i="2" a="1"/>
  <c r="Q842" i="2" s="1"/>
  <c r="N842" i="2" a="1"/>
  <c r="N842" i="2" s="1"/>
  <c r="P842" i="2" a="1"/>
  <c r="P842" i="2" s="1"/>
  <c r="M842" i="2" a="1"/>
  <c r="M842" i="2" s="1"/>
  <c r="O838" i="2" a="1"/>
  <c r="O838" i="2" s="1"/>
  <c r="R838" i="2" a="1"/>
  <c r="R838" i="2" s="1"/>
  <c r="Q838" i="2" a="1"/>
  <c r="Q838" i="2" s="1"/>
  <c r="N838" i="2" a="1"/>
  <c r="N838" i="2" s="1"/>
  <c r="P838" i="2" a="1"/>
  <c r="P838" i="2" s="1"/>
  <c r="M838" i="2" a="1"/>
  <c r="M838" i="2" s="1"/>
  <c r="O834" i="2" a="1"/>
  <c r="O834" i="2" s="1"/>
  <c r="R834" i="2" a="1"/>
  <c r="R834" i="2" s="1"/>
  <c r="Q834" i="2" a="1"/>
  <c r="Q834" i="2" s="1"/>
  <c r="N834" i="2" a="1"/>
  <c r="N834" i="2" s="1"/>
  <c r="P834" i="2" a="1"/>
  <c r="P834" i="2" s="1"/>
  <c r="M834" i="2" a="1"/>
  <c r="M834" i="2" s="1"/>
  <c r="O830" i="2" a="1"/>
  <c r="O830" i="2" s="1"/>
  <c r="R830" i="2" a="1"/>
  <c r="R830" i="2" s="1"/>
  <c r="Q830" i="2" a="1"/>
  <c r="Q830" i="2" s="1"/>
  <c r="N830" i="2" a="1"/>
  <c r="N830" i="2" s="1"/>
  <c r="P830" i="2" a="1"/>
  <c r="P830" i="2" s="1"/>
  <c r="M830" i="2" a="1"/>
  <c r="M830" i="2" s="1"/>
  <c r="O826" i="2" a="1"/>
  <c r="O826" i="2" s="1"/>
  <c r="R826" i="2" a="1"/>
  <c r="R826" i="2" s="1"/>
  <c r="Q826" i="2" a="1"/>
  <c r="Q826" i="2" s="1"/>
  <c r="N826" i="2" a="1"/>
  <c r="N826" i="2" s="1"/>
  <c r="P826" i="2" a="1"/>
  <c r="P826" i="2" s="1"/>
  <c r="M826" i="2" a="1"/>
  <c r="M826" i="2" s="1"/>
  <c r="O822" i="2" a="1"/>
  <c r="O822" i="2" s="1"/>
  <c r="R822" i="2" a="1"/>
  <c r="R822" i="2" s="1"/>
  <c r="Q822" i="2" a="1"/>
  <c r="Q822" i="2" s="1"/>
  <c r="N822" i="2" a="1"/>
  <c r="N822" i="2" s="1"/>
  <c r="P822" i="2" a="1"/>
  <c r="P822" i="2" s="1"/>
  <c r="M822" i="2" a="1"/>
  <c r="M822" i="2" s="1"/>
  <c r="O818" i="2" a="1"/>
  <c r="O818" i="2" s="1"/>
  <c r="R818" i="2" a="1"/>
  <c r="R818" i="2" s="1"/>
  <c r="Q818" i="2" a="1"/>
  <c r="Q818" i="2" s="1"/>
  <c r="N818" i="2" a="1"/>
  <c r="N818" i="2" s="1"/>
  <c r="P818" i="2" a="1"/>
  <c r="P818" i="2" s="1"/>
  <c r="M818" i="2" a="1"/>
  <c r="M818" i="2" s="1"/>
  <c r="O814" i="2" a="1"/>
  <c r="O814" i="2" s="1"/>
  <c r="R814" i="2" a="1"/>
  <c r="R814" i="2" s="1"/>
  <c r="Q814" i="2" a="1"/>
  <c r="Q814" i="2" s="1"/>
  <c r="N814" i="2" a="1"/>
  <c r="N814" i="2" s="1"/>
  <c r="P814" i="2" a="1"/>
  <c r="P814" i="2" s="1"/>
  <c r="M814" i="2" a="1"/>
  <c r="M814" i="2" s="1"/>
  <c r="O810" i="2" a="1"/>
  <c r="O810" i="2" s="1"/>
  <c r="R810" i="2" a="1"/>
  <c r="R810" i="2" s="1"/>
  <c r="Q810" i="2" a="1"/>
  <c r="Q810" i="2" s="1"/>
  <c r="N810" i="2" a="1"/>
  <c r="N810" i="2" s="1"/>
  <c r="P810" i="2" a="1"/>
  <c r="P810" i="2" s="1"/>
  <c r="M810" i="2" a="1"/>
  <c r="M810" i="2" s="1"/>
  <c r="O806" i="2" a="1"/>
  <c r="O806" i="2" s="1"/>
  <c r="R806" i="2" a="1"/>
  <c r="R806" i="2" s="1"/>
  <c r="Q806" i="2" a="1"/>
  <c r="Q806" i="2" s="1"/>
  <c r="N806" i="2" a="1"/>
  <c r="N806" i="2" s="1"/>
  <c r="P806" i="2" a="1"/>
  <c r="P806" i="2" s="1"/>
  <c r="M806" i="2" a="1"/>
  <c r="M806" i="2" s="1"/>
  <c r="O802" i="2" a="1"/>
  <c r="O802" i="2" s="1"/>
  <c r="R802" i="2" a="1"/>
  <c r="R802" i="2" s="1"/>
  <c r="Q802" i="2" a="1"/>
  <c r="Q802" i="2" s="1"/>
  <c r="N802" i="2" a="1"/>
  <c r="N802" i="2" s="1"/>
  <c r="P802" i="2" a="1"/>
  <c r="P802" i="2" s="1"/>
  <c r="M802" i="2" a="1"/>
  <c r="M802" i="2" s="1"/>
  <c r="O798" i="2" a="1"/>
  <c r="O798" i="2" s="1"/>
  <c r="R798" i="2" a="1"/>
  <c r="R798" i="2" s="1"/>
  <c r="Q798" i="2" a="1"/>
  <c r="Q798" i="2" s="1"/>
  <c r="N798" i="2" a="1"/>
  <c r="N798" i="2" s="1"/>
  <c r="P798" i="2" a="1"/>
  <c r="P798" i="2" s="1"/>
  <c r="M798" i="2" a="1"/>
  <c r="M798" i="2" s="1"/>
  <c r="O794" i="2" a="1"/>
  <c r="O794" i="2" s="1"/>
  <c r="R794" i="2" a="1"/>
  <c r="R794" i="2" s="1"/>
  <c r="Q794" i="2" a="1"/>
  <c r="Q794" i="2" s="1"/>
  <c r="N794" i="2" a="1"/>
  <c r="N794" i="2" s="1"/>
  <c r="P794" i="2" a="1"/>
  <c r="P794" i="2" s="1"/>
  <c r="M794" i="2" a="1"/>
  <c r="M794" i="2" s="1"/>
  <c r="O790" i="2" a="1"/>
  <c r="O790" i="2" s="1"/>
  <c r="R790" i="2" a="1"/>
  <c r="R790" i="2" s="1"/>
  <c r="Q790" i="2" a="1"/>
  <c r="Q790" i="2" s="1"/>
  <c r="N790" i="2" a="1"/>
  <c r="N790" i="2" s="1"/>
  <c r="P790" i="2" a="1"/>
  <c r="P790" i="2" s="1"/>
  <c r="M790" i="2" a="1"/>
  <c r="M790" i="2" s="1"/>
  <c r="O786" i="2" a="1"/>
  <c r="O786" i="2" s="1"/>
  <c r="R786" i="2" a="1"/>
  <c r="R786" i="2" s="1"/>
  <c r="Q786" i="2" a="1"/>
  <c r="Q786" i="2" s="1"/>
  <c r="N786" i="2" a="1"/>
  <c r="N786" i="2" s="1"/>
  <c r="P786" i="2" a="1"/>
  <c r="P786" i="2" s="1"/>
  <c r="M786" i="2" a="1"/>
  <c r="M786" i="2" s="1"/>
  <c r="O782" i="2" a="1"/>
  <c r="O782" i="2" s="1"/>
  <c r="R782" i="2" a="1"/>
  <c r="R782" i="2" s="1"/>
  <c r="Q782" i="2" a="1"/>
  <c r="Q782" i="2" s="1"/>
  <c r="N782" i="2" a="1"/>
  <c r="N782" i="2" s="1"/>
  <c r="P782" i="2" a="1"/>
  <c r="P782" i="2" s="1"/>
  <c r="M782" i="2" a="1"/>
  <c r="M782" i="2" s="1"/>
  <c r="O778" i="2" a="1"/>
  <c r="O778" i="2" s="1"/>
  <c r="R778" i="2" a="1"/>
  <c r="R778" i="2" s="1"/>
  <c r="Q778" i="2" a="1"/>
  <c r="Q778" i="2" s="1"/>
  <c r="N778" i="2" a="1"/>
  <c r="N778" i="2" s="1"/>
  <c r="P778" i="2" a="1"/>
  <c r="P778" i="2" s="1"/>
  <c r="M778" i="2" a="1"/>
  <c r="M778" i="2" s="1"/>
  <c r="O774" i="2" a="1"/>
  <c r="O774" i="2" s="1"/>
  <c r="R774" i="2" a="1"/>
  <c r="R774" i="2" s="1"/>
  <c r="Q774" i="2" a="1"/>
  <c r="Q774" i="2" s="1"/>
  <c r="N774" i="2" a="1"/>
  <c r="N774" i="2" s="1"/>
  <c r="P774" i="2" a="1"/>
  <c r="P774" i="2" s="1"/>
  <c r="M774" i="2" a="1"/>
  <c r="M774" i="2" s="1"/>
  <c r="O770" i="2" a="1"/>
  <c r="O770" i="2" s="1"/>
  <c r="R770" i="2" a="1"/>
  <c r="R770" i="2" s="1"/>
  <c r="Q770" i="2" a="1"/>
  <c r="Q770" i="2" s="1"/>
  <c r="N770" i="2" a="1"/>
  <c r="N770" i="2" s="1"/>
  <c r="P770" i="2" a="1"/>
  <c r="P770" i="2" s="1"/>
  <c r="M770" i="2" a="1"/>
  <c r="M770" i="2" s="1"/>
  <c r="O766" i="2" a="1"/>
  <c r="O766" i="2" s="1"/>
  <c r="R766" i="2" a="1"/>
  <c r="R766" i="2" s="1"/>
  <c r="Q766" i="2" a="1"/>
  <c r="Q766" i="2" s="1"/>
  <c r="N766" i="2" a="1"/>
  <c r="N766" i="2" s="1"/>
  <c r="P766" i="2" a="1"/>
  <c r="P766" i="2" s="1"/>
  <c r="M766" i="2" a="1"/>
  <c r="M766" i="2" s="1"/>
  <c r="O762" i="2" a="1"/>
  <c r="O762" i="2" s="1"/>
  <c r="R762" i="2" a="1"/>
  <c r="R762" i="2" s="1"/>
  <c r="Q762" i="2" a="1"/>
  <c r="Q762" i="2" s="1"/>
  <c r="N762" i="2" a="1"/>
  <c r="N762" i="2" s="1"/>
  <c r="P762" i="2" a="1"/>
  <c r="P762" i="2" s="1"/>
  <c r="M762" i="2" a="1"/>
  <c r="M762" i="2" s="1"/>
  <c r="R758" i="2" a="1"/>
  <c r="R758" i="2" s="1"/>
  <c r="Q758" i="2" a="1"/>
  <c r="Q758" i="2" s="1"/>
  <c r="N758" i="2" a="1"/>
  <c r="N758" i="2" s="1"/>
  <c r="P758" i="2" a="1"/>
  <c r="P758" i="2" s="1"/>
  <c r="M758" i="2" a="1"/>
  <c r="M758" i="2" s="1"/>
  <c r="O758" i="2" a="1"/>
  <c r="O758" i="2" s="1"/>
  <c r="R754" i="2" a="1"/>
  <c r="R754" i="2" s="1"/>
  <c r="Q754" i="2" a="1"/>
  <c r="Q754" i="2" s="1"/>
  <c r="N754" i="2" a="1"/>
  <c r="N754" i="2" s="1"/>
  <c r="P754" i="2" a="1"/>
  <c r="P754" i="2" s="1"/>
  <c r="M754" i="2" a="1"/>
  <c r="M754" i="2" s="1"/>
  <c r="O754" i="2" a="1"/>
  <c r="O754" i="2" s="1"/>
  <c r="R750" i="2" a="1"/>
  <c r="R750" i="2" s="1"/>
  <c r="Q750" i="2" a="1"/>
  <c r="Q750" i="2" s="1"/>
  <c r="N750" i="2" a="1"/>
  <c r="N750" i="2" s="1"/>
  <c r="P750" i="2" a="1"/>
  <c r="P750" i="2" s="1"/>
  <c r="M750" i="2" a="1"/>
  <c r="M750" i="2" s="1"/>
  <c r="O750" i="2" a="1"/>
  <c r="O750" i="2" s="1"/>
  <c r="R746" i="2" a="1"/>
  <c r="R746" i="2" s="1"/>
  <c r="Q746" i="2" a="1"/>
  <c r="Q746" i="2" s="1"/>
  <c r="N746" i="2" a="1"/>
  <c r="N746" i="2" s="1"/>
  <c r="P746" i="2" a="1"/>
  <c r="P746" i="2" s="1"/>
  <c r="M746" i="2" a="1"/>
  <c r="M746" i="2" s="1"/>
  <c r="O746" i="2" a="1"/>
  <c r="O746" i="2" s="1"/>
  <c r="R742" i="2" a="1"/>
  <c r="R742" i="2" s="1"/>
  <c r="Q742" i="2" a="1"/>
  <c r="Q742" i="2" s="1"/>
  <c r="N742" i="2" a="1"/>
  <c r="N742" i="2" s="1"/>
  <c r="P742" i="2" a="1"/>
  <c r="P742" i="2" s="1"/>
  <c r="M742" i="2" a="1"/>
  <c r="M742" i="2" s="1"/>
  <c r="O742" i="2" a="1"/>
  <c r="O742" i="2" s="1"/>
  <c r="R738" i="2" a="1"/>
  <c r="R738" i="2" s="1"/>
  <c r="Q738" i="2" a="1"/>
  <c r="Q738" i="2" s="1"/>
  <c r="N738" i="2" a="1"/>
  <c r="N738" i="2" s="1"/>
  <c r="P738" i="2" a="1"/>
  <c r="P738" i="2" s="1"/>
  <c r="M738" i="2" a="1"/>
  <c r="M738" i="2" s="1"/>
  <c r="O738" i="2" a="1"/>
  <c r="O738" i="2" s="1"/>
  <c r="R734" i="2" a="1"/>
  <c r="R734" i="2" s="1"/>
  <c r="O734" i="2" a="1"/>
  <c r="O734" i="2" s="1"/>
  <c r="Q734" i="2" a="1"/>
  <c r="Q734" i="2" s="1"/>
  <c r="N734" i="2" a="1"/>
  <c r="N734" i="2" s="1"/>
  <c r="P734" i="2" a="1"/>
  <c r="P734" i="2" s="1"/>
  <c r="M734" i="2" a="1"/>
  <c r="M734" i="2" s="1"/>
  <c r="N730" i="2" a="1"/>
  <c r="N730" i="2" s="1"/>
  <c r="P730" i="2" a="1"/>
  <c r="P730" i="2" s="1"/>
  <c r="M730" i="2" a="1"/>
  <c r="M730" i="2" s="1"/>
  <c r="R730" i="2" a="1"/>
  <c r="R730" i="2" s="1"/>
  <c r="O730" i="2" a="1"/>
  <c r="O730" i="2" s="1"/>
  <c r="Q730" i="2" a="1"/>
  <c r="Q730" i="2" s="1"/>
  <c r="N726" i="2" a="1"/>
  <c r="N726" i="2" s="1"/>
  <c r="P726" i="2" a="1"/>
  <c r="P726" i="2" s="1"/>
  <c r="M726" i="2" a="1"/>
  <c r="M726" i="2" s="1"/>
  <c r="R726" i="2" a="1"/>
  <c r="R726" i="2" s="1"/>
  <c r="O726" i="2" a="1"/>
  <c r="O726" i="2" s="1"/>
  <c r="Q726" i="2" a="1"/>
  <c r="Q726" i="2" s="1"/>
  <c r="N722" i="2" a="1"/>
  <c r="N722" i="2" s="1"/>
  <c r="P722" i="2" a="1"/>
  <c r="P722" i="2" s="1"/>
  <c r="M722" i="2" a="1"/>
  <c r="M722" i="2" s="1"/>
  <c r="R722" i="2" a="1"/>
  <c r="R722" i="2" s="1"/>
  <c r="O722" i="2" a="1"/>
  <c r="O722" i="2" s="1"/>
  <c r="Q722" i="2" a="1"/>
  <c r="Q722" i="2" s="1"/>
  <c r="N718" i="2" a="1"/>
  <c r="N718" i="2" s="1"/>
  <c r="P718" i="2" a="1"/>
  <c r="P718" i="2" s="1"/>
  <c r="M718" i="2" a="1"/>
  <c r="M718" i="2" s="1"/>
  <c r="R718" i="2" a="1"/>
  <c r="R718" i="2" s="1"/>
  <c r="O718" i="2" a="1"/>
  <c r="O718" i="2" s="1"/>
  <c r="Q718" i="2" a="1"/>
  <c r="Q718" i="2" s="1"/>
  <c r="N714" i="2" a="1"/>
  <c r="N714" i="2" s="1"/>
  <c r="P714" i="2" a="1"/>
  <c r="P714" i="2" s="1"/>
  <c r="M714" i="2" a="1"/>
  <c r="M714" i="2" s="1"/>
  <c r="R714" i="2" a="1"/>
  <c r="R714" i="2" s="1"/>
  <c r="O714" i="2" a="1"/>
  <c r="O714" i="2" s="1"/>
  <c r="Q714" i="2" a="1"/>
  <c r="Q714" i="2" s="1"/>
  <c r="N710" i="2" a="1"/>
  <c r="N710" i="2" s="1"/>
  <c r="P710" i="2" a="1"/>
  <c r="P710" i="2" s="1"/>
  <c r="M710" i="2" a="1"/>
  <c r="M710" i="2" s="1"/>
  <c r="R710" i="2" a="1"/>
  <c r="R710" i="2" s="1"/>
  <c r="O710" i="2" a="1"/>
  <c r="O710" i="2" s="1"/>
  <c r="Q710" i="2" a="1"/>
  <c r="Q710" i="2" s="1"/>
  <c r="N706" i="2" a="1"/>
  <c r="N706" i="2" s="1"/>
  <c r="P706" i="2" a="1"/>
  <c r="P706" i="2" s="1"/>
  <c r="M706" i="2" a="1"/>
  <c r="M706" i="2" s="1"/>
  <c r="R706" i="2" a="1"/>
  <c r="R706" i="2" s="1"/>
  <c r="O706" i="2" a="1"/>
  <c r="O706" i="2" s="1"/>
  <c r="Q706" i="2" a="1"/>
  <c r="Q706" i="2" s="1"/>
  <c r="N702" i="2" a="1"/>
  <c r="N702" i="2" s="1"/>
  <c r="P702" i="2" a="1"/>
  <c r="P702" i="2" s="1"/>
  <c r="M702" i="2" a="1"/>
  <c r="M702" i="2" s="1"/>
  <c r="R702" i="2" a="1"/>
  <c r="R702" i="2" s="1"/>
  <c r="O702" i="2" a="1"/>
  <c r="O702" i="2" s="1"/>
  <c r="Q702" i="2" a="1"/>
  <c r="Q702" i="2" s="1"/>
  <c r="N698" i="2" a="1"/>
  <c r="N698" i="2" s="1"/>
  <c r="P698" i="2" a="1"/>
  <c r="P698" i="2" s="1"/>
  <c r="M698" i="2" a="1"/>
  <c r="M698" i="2" s="1"/>
  <c r="R698" i="2" a="1"/>
  <c r="R698" i="2" s="1"/>
  <c r="O698" i="2" a="1"/>
  <c r="O698" i="2" s="1"/>
  <c r="Q698" i="2" a="1"/>
  <c r="Q698" i="2" s="1"/>
  <c r="N694" i="2" a="1"/>
  <c r="N694" i="2" s="1"/>
  <c r="P694" i="2" a="1"/>
  <c r="P694" i="2" s="1"/>
  <c r="M694" i="2" a="1"/>
  <c r="M694" i="2" s="1"/>
  <c r="R694" i="2" a="1"/>
  <c r="R694" i="2" s="1"/>
  <c r="Q694" i="2" a="1"/>
  <c r="Q694" i="2" s="1"/>
  <c r="O694" i="2" a="1"/>
  <c r="O694" i="2" s="1"/>
  <c r="P690" i="2" a="1"/>
  <c r="P690" i="2" s="1"/>
  <c r="M690" i="2" a="1"/>
  <c r="M690" i="2" s="1"/>
  <c r="O690" i="2" a="1"/>
  <c r="O690" i="2" s="1"/>
  <c r="R690" i="2" a="1"/>
  <c r="R690" i="2" s="1"/>
  <c r="Q690" i="2" a="1"/>
  <c r="Q690" i="2" s="1"/>
  <c r="N690" i="2" a="1"/>
  <c r="N690" i="2" s="1"/>
  <c r="P686" i="2" a="1"/>
  <c r="P686" i="2" s="1"/>
  <c r="M686" i="2" a="1"/>
  <c r="M686" i="2" s="1"/>
  <c r="R686" i="2" a="1"/>
  <c r="R686" i="2" s="1"/>
  <c r="Q686" i="2" a="1"/>
  <c r="Q686" i="2" s="1"/>
  <c r="N686" i="2" a="1"/>
  <c r="N686" i="2" s="1"/>
  <c r="O686" i="2" a="1"/>
  <c r="O686" i="2" s="1"/>
  <c r="P682" i="2" a="1"/>
  <c r="P682" i="2" s="1"/>
  <c r="M682" i="2" a="1"/>
  <c r="M682" i="2" s="1"/>
  <c r="O682" i="2" a="1"/>
  <c r="O682" i="2" s="1"/>
  <c r="R682" i="2" a="1"/>
  <c r="R682" i="2" s="1"/>
  <c r="Q682" i="2" a="1"/>
  <c r="Q682" i="2" s="1"/>
  <c r="N682" i="2" a="1"/>
  <c r="N682" i="2" s="1"/>
  <c r="P678" i="2" a="1"/>
  <c r="P678" i="2" s="1"/>
  <c r="M678" i="2" a="1"/>
  <c r="M678" i="2" s="1"/>
  <c r="R678" i="2" a="1"/>
  <c r="R678" i="2" s="1"/>
  <c r="Q678" i="2" a="1"/>
  <c r="Q678" i="2" s="1"/>
  <c r="N678" i="2" a="1"/>
  <c r="N678" i="2" s="1"/>
  <c r="O678" i="2" a="1"/>
  <c r="O678" i="2" s="1"/>
  <c r="P674" i="2" a="1"/>
  <c r="P674" i="2" s="1"/>
  <c r="M674" i="2" a="1"/>
  <c r="M674" i="2" s="1"/>
  <c r="O674" i="2" a="1"/>
  <c r="O674" i="2" s="1"/>
  <c r="R674" i="2" a="1"/>
  <c r="R674" i="2" s="1"/>
  <c r="Q674" i="2" a="1"/>
  <c r="Q674" i="2" s="1"/>
  <c r="N674" i="2" a="1"/>
  <c r="N674" i="2" s="1"/>
  <c r="P670" i="2" a="1"/>
  <c r="P670" i="2" s="1"/>
  <c r="M670" i="2" a="1"/>
  <c r="M670" i="2" s="1"/>
  <c r="R670" i="2" a="1"/>
  <c r="R670" i="2" s="1"/>
  <c r="Q670" i="2" a="1"/>
  <c r="Q670" i="2" s="1"/>
  <c r="N670" i="2" a="1"/>
  <c r="N670" i="2" s="1"/>
  <c r="O670" i="2" a="1"/>
  <c r="O670" i="2" s="1"/>
  <c r="P666" i="2" a="1"/>
  <c r="P666" i="2" s="1"/>
  <c r="M666" i="2" a="1"/>
  <c r="M666" i="2" s="1"/>
  <c r="O666" i="2" a="1"/>
  <c r="O666" i="2" s="1"/>
  <c r="R666" i="2" a="1"/>
  <c r="R666" i="2" s="1"/>
  <c r="Q666" i="2" a="1"/>
  <c r="Q666" i="2" s="1"/>
  <c r="N666" i="2" a="1"/>
  <c r="N666" i="2" s="1"/>
  <c r="P662" i="2" a="1"/>
  <c r="P662" i="2" s="1"/>
  <c r="M662" i="2" a="1"/>
  <c r="M662" i="2" s="1"/>
  <c r="R662" i="2" a="1"/>
  <c r="R662" i="2" s="1"/>
  <c r="Q662" i="2" a="1"/>
  <c r="Q662" i="2" s="1"/>
  <c r="N662" i="2" a="1"/>
  <c r="N662" i="2" s="1"/>
  <c r="O662" i="2" a="1"/>
  <c r="O662" i="2" s="1"/>
  <c r="P658" i="2" a="1"/>
  <c r="P658" i="2" s="1"/>
  <c r="M658" i="2" a="1"/>
  <c r="M658" i="2" s="1"/>
  <c r="O658" i="2" a="1"/>
  <c r="O658" i="2" s="1"/>
  <c r="R658" i="2" a="1"/>
  <c r="R658" i="2" s="1"/>
  <c r="Q658" i="2" a="1"/>
  <c r="Q658" i="2" s="1"/>
  <c r="N658" i="2" a="1"/>
  <c r="N658" i="2" s="1"/>
  <c r="P654" i="2" a="1"/>
  <c r="P654" i="2" s="1"/>
  <c r="M654" i="2" a="1"/>
  <c r="M654" i="2" s="1"/>
  <c r="R654" i="2" a="1"/>
  <c r="R654" i="2" s="1"/>
  <c r="Q654" i="2" a="1"/>
  <c r="Q654" i="2" s="1"/>
  <c r="N654" i="2" a="1"/>
  <c r="N654" i="2" s="1"/>
  <c r="O654" i="2" a="1"/>
  <c r="O654" i="2" s="1"/>
  <c r="P650" i="2" a="1"/>
  <c r="P650" i="2" s="1"/>
  <c r="M650" i="2" a="1"/>
  <c r="M650" i="2" s="1"/>
  <c r="O650" i="2" a="1"/>
  <c r="O650" i="2" s="1"/>
  <c r="R650" i="2" a="1"/>
  <c r="R650" i="2" s="1"/>
  <c r="Q650" i="2" a="1"/>
  <c r="Q650" i="2" s="1"/>
  <c r="N650" i="2" a="1"/>
  <c r="N650" i="2" s="1"/>
  <c r="P646" i="2" a="1"/>
  <c r="P646" i="2" s="1"/>
  <c r="M646" i="2" a="1"/>
  <c r="M646" i="2" s="1"/>
  <c r="R646" i="2" a="1"/>
  <c r="R646" i="2" s="1"/>
  <c r="Q646" i="2" a="1"/>
  <c r="Q646" i="2" s="1"/>
  <c r="N646" i="2" a="1"/>
  <c r="N646" i="2" s="1"/>
  <c r="O646" i="2" a="1"/>
  <c r="O646" i="2" s="1"/>
  <c r="P642" i="2" a="1"/>
  <c r="P642" i="2" s="1"/>
  <c r="M642" i="2" a="1"/>
  <c r="M642" i="2" s="1"/>
  <c r="O642" i="2" a="1"/>
  <c r="O642" i="2" s="1"/>
  <c r="R642" i="2" a="1"/>
  <c r="R642" i="2" s="1"/>
  <c r="Q642" i="2" a="1"/>
  <c r="Q642" i="2" s="1"/>
  <c r="N642" i="2" a="1"/>
  <c r="N642" i="2" s="1"/>
  <c r="P638" i="2" a="1"/>
  <c r="P638" i="2" s="1"/>
  <c r="M638" i="2" a="1"/>
  <c r="M638" i="2" s="1"/>
  <c r="R638" i="2" a="1"/>
  <c r="R638" i="2" s="1"/>
  <c r="Q638" i="2" a="1"/>
  <c r="Q638" i="2" s="1"/>
  <c r="N638" i="2" a="1"/>
  <c r="N638" i="2" s="1"/>
  <c r="O638" i="2" a="1"/>
  <c r="O638" i="2" s="1"/>
  <c r="P634" i="2" a="1"/>
  <c r="P634" i="2" s="1"/>
  <c r="M634" i="2" a="1"/>
  <c r="M634" i="2" s="1"/>
  <c r="O634" i="2" a="1"/>
  <c r="O634" i="2" s="1"/>
  <c r="R634" i="2" a="1"/>
  <c r="R634" i="2" s="1"/>
  <c r="Q634" i="2" a="1"/>
  <c r="Q634" i="2" s="1"/>
  <c r="N634" i="2" a="1"/>
  <c r="N634" i="2" s="1"/>
  <c r="P630" i="2" a="1"/>
  <c r="P630" i="2" s="1"/>
  <c r="M630" i="2" a="1"/>
  <c r="M630" i="2" s="1"/>
  <c r="R630" i="2" a="1"/>
  <c r="R630" i="2" s="1"/>
  <c r="Q630" i="2" a="1"/>
  <c r="Q630" i="2" s="1"/>
  <c r="N630" i="2" a="1"/>
  <c r="N630" i="2" s="1"/>
  <c r="O630" i="2" a="1"/>
  <c r="O630" i="2" s="1"/>
  <c r="N626" i="2" a="1"/>
  <c r="N626" i="2" s="1"/>
  <c r="P626" i="2" a="1"/>
  <c r="P626" i="2" s="1"/>
  <c r="M626" i="2" a="1"/>
  <c r="M626" i="2" s="1"/>
  <c r="R626" i="2" a="1"/>
  <c r="R626" i="2" s="1"/>
  <c r="O626" i="2" a="1"/>
  <c r="O626" i="2" s="1"/>
  <c r="Q626" i="2" a="1"/>
  <c r="Q626" i="2" s="1"/>
  <c r="N622" i="2" a="1"/>
  <c r="N622" i="2" s="1"/>
  <c r="P622" i="2" a="1"/>
  <c r="P622" i="2" s="1"/>
  <c r="M622" i="2" a="1"/>
  <c r="M622" i="2" s="1"/>
  <c r="R622" i="2" a="1"/>
  <c r="R622" i="2" s="1"/>
  <c r="O622" i="2" a="1"/>
  <c r="O622" i="2" s="1"/>
  <c r="Q622" i="2" a="1"/>
  <c r="Q622" i="2" s="1"/>
  <c r="N618" i="2" a="1"/>
  <c r="N618" i="2" s="1"/>
  <c r="P618" i="2" a="1"/>
  <c r="P618" i="2" s="1"/>
  <c r="M618" i="2" a="1"/>
  <c r="M618" i="2" s="1"/>
  <c r="R618" i="2" a="1"/>
  <c r="R618" i="2" s="1"/>
  <c r="O618" i="2" a="1"/>
  <c r="O618" i="2" s="1"/>
  <c r="Q618" i="2" a="1"/>
  <c r="Q618" i="2" s="1"/>
  <c r="R614" i="2" a="1"/>
  <c r="R614" i="2" s="1"/>
  <c r="O614" i="2" a="1"/>
  <c r="O614" i="2" s="1"/>
  <c r="Q614" i="2" a="1"/>
  <c r="Q614" i="2" s="1"/>
  <c r="N614" i="2" a="1"/>
  <c r="N614" i="2" s="1"/>
  <c r="P614" i="2" a="1"/>
  <c r="P614" i="2" s="1"/>
  <c r="M614" i="2" a="1"/>
  <c r="M614" i="2" s="1"/>
  <c r="N610" i="2" a="1"/>
  <c r="N610" i="2" s="1"/>
  <c r="P610" i="2" a="1"/>
  <c r="P610" i="2" s="1"/>
  <c r="M610" i="2" a="1"/>
  <c r="M610" i="2" s="1"/>
  <c r="R610" i="2" a="1"/>
  <c r="R610" i="2" s="1"/>
  <c r="O610" i="2" a="1"/>
  <c r="O610" i="2" s="1"/>
  <c r="Q610" i="2" a="1"/>
  <c r="Q610" i="2" s="1"/>
  <c r="Q606" i="2" a="1"/>
  <c r="Q606" i="2" s="1"/>
  <c r="N606" i="2" a="1"/>
  <c r="N606" i="2" s="1"/>
  <c r="P606" i="2" a="1"/>
  <c r="P606" i="2" s="1"/>
  <c r="M606" i="2" a="1"/>
  <c r="M606" i="2" s="1"/>
  <c r="R606" i="2" a="1"/>
  <c r="R606" i="2" s="1"/>
  <c r="O606" i="2" a="1"/>
  <c r="O606" i="2" s="1"/>
  <c r="M602" i="2" a="1"/>
  <c r="M602" i="2" s="1"/>
  <c r="P602" i="2" a="1"/>
  <c r="P602" i="2" s="1"/>
  <c r="R602" i="2" a="1"/>
  <c r="R602" i="2" s="1"/>
  <c r="O602" i="2" a="1"/>
  <c r="O602" i="2" s="1"/>
  <c r="Q602" i="2" a="1"/>
  <c r="Q602" i="2" s="1"/>
  <c r="N602" i="2" a="1"/>
  <c r="N602" i="2" s="1"/>
  <c r="N598" i="2" a="1"/>
  <c r="N598" i="2" s="1"/>
  <c r="P598" i="2" a="1"/>
  <c r="P598" i="2" s="1"/>
  <c r="M598" i="2" a="1"/>
  <c r="M598" i="2" s="1"/>
  <c r="R598" i="2" a="1"/>
  <c r="R598" i="2" s="1"/>
  <c r="O598" i="2" a="1"/>
  <c r="O598" i="2" s="1"/>
  <c r="Q598" i="2" a="1"/>
  <c r="Q598" i="2" s="1"/>
  <c r="R594" i="2" a="1"/>
  <c r="R594" i="2" s="1"/>
  <c r="O594" i="2" a="1"/>
  <c r="O594" i="2" s="1"/>
  <c r="Q594" i="2" a="1"/>
  <c r="Q594" i="2" s="1"/>
  <c r="N594" i="2" a="1"/>
  <c r="N594" i="2" s="1"/>
  <c r="P594" i="2" a="1"/>
  <c r="P594" i="2" s="1"/>
  <c r="M594" i="2" a="1"/>
  <c r="M594" i="2" s="1"/>
  <c r="N590" i="2" a="1"/>
  <c r="N590" i="2" s="1"/>
  <c r="Q590" i="2" a="1"/>
  <c r="Q590" i="2" s="1"/>
  <c r="P590" i="2" a="1"/>
  <c r="P590" i="2" s="1"/>
  <c r="M590" i="2" a="1"/>
  <c r="M590" i="2" s="1"/>
  <c r="R590" i="2" a="1"/>
  <c r="R590" i="2" s="1"/>
  <c r="O590" i="2" a="1"/>
  <c r="O590" i="2" s="1"/>
  <c r="N586" i="2" a="1"/>
  <c r="N586" i="2" s="1"/>
  <c r="Q586" i="2" a="1"/>
  <c r="Q586" i="2" s="1"/>
  <c r="P586" i="2" a="1"/>
  <c r="P586" i="2" s="1"/>
  <c r="M586" i="2" a="1"/>
  <c r="M586" i="2" s="1"/>
  <c r="R586" i="2" a="1"/>
  <c r="R586" i="2" s="1"/>
  <c r="O586" i="2" a="1"/>
  <c r="O586" i="2" s="1"/>
  <c r="N582" i="2" a="1"/>
  <c r="N582" i="2" s="1"/>
  <c r="Q582" i="2" a="1"/>
  <c r="Q582" i="2" s="1"/>
  <c r="P582" i="2" a="1"/>
  <c r="P582" i="2" s="1"/>
  <c r="M582" i="2" a="1"/>
  <c r="M582" i="2" s="1"/>
  <c r="R582" i="2" a="1"/>
  <c r="R582" i="2" s="1"/>
  <c r="O582" i="2" a="1"/>
  <c r="O582" i="2" s="1"/>
  <c r="N578" i="2" a="1"/>
  <c r="N578" i="2" s="1"/>
  <c r="Q578" i="2" a="1"/>
  <c r="Q578" i="2" s="1"/>
  <c r="P578" i="2" a="1"/>
  <c r="P578" i="2" s="1"/>
  <c r="M578" i="2" a="1"/>
  <c r="M578" i="2" s="1"/>
  <c r="R578" i="2" a="1"/>
  <c r="R578" i="2" s="1"/>
  <c r="O578" i="2" a="1"/>
  <c r="O578" i="2" s="1"/>
  <c r="N574" i="2" a="1"/>
  <c r="N574" i="2" s="1"/>
  <c r="Q574" i="2" a="1"/>
  <c r="Q574" i="2" s="1"/>
  <c r="P574" i="2" a="1"/>
  <c r="P574" i="2" s="1"/>
  <c r="M574" i="2" a="1"/>
  <c r="M574" i="2" s="1"/>
  <c r="R574" i="2" a="1"/>
  <c r="R574" i="2" s="1"/>
  <c r="O574" i="2" a="1"/>
  <c r="O574" i="2" s="1"/>
  <c r="N570" i="2" a="1"/>
  <c r="N570" i="2" s="1"/>
  <c r="Q570" i="2" a="1"/>
  <c r="Q570" i="2" s="1"/>
  <c r="P570" i="2" a="1"/>
  <c r="P570" i="2" s="1"/>
  <c r="M570" i="2" a="1"/>
  <c r="M570" i="2" s="1"/>
  <c r="R570" i="2" a="1"/>
  <c r="R570" i="2" s="1"/>
  <c r="O570" i="2" a="1"/>
  <c r="O570" i="2" s="1"/>
  <c r="N566" i="2" a="1"/>
  <c r="N566" i="2" s="1"/>
  <c r="Q566" i="2" a="1"/>
  <c r="Q566" i="2" s="1"/>
  <c r="P566" i="2" a="1"/>
  <c r="P566" i="2" s="1"/>
  <c r="M566" i="2" a="1"/>
  <c r="M566" i="2" s="1"/>
  <c r="O566" i="2" a="1"/>
  <c r="O566" i="2" s="1"/>
  <c r="R566" i="2" a="1"/>
  <c r="R566" i="2" s="1"/>
  <c r="N562" i="2" a="1"/>
  <c r="N562" i="2" s="1"/>
  <c r="Q562" i="2" a="1"/>
  <c r="Q562" i="2" s="1"/>
  <c r="P562" i="2" a="1"/>
  <c r="P562" i="2" s="1"/>
  <c r="M562" i="2" a="1"/>
  <c r="M562" i="2" s="1"/>
  <c r="R562" i="2" a="1"/>
  <c r="R562" i="2" s="1"/>
  <c r="O562" i="2" a="1"/>
  <c r="O562" i="2" s="1"/>
  <c r="N558" i="2" a="1"/>
  <c r="N558" i="2" s="1"/>
  <c r="Q558" i="2" a="1"/>
  <c r="Q558" i="2" s="1"/>
  <c r="P558" i="2" a="1"/>
  <c r="P558" i="2" s="1"/>
  <c r="M558" i="2" a="1"/>
  <c r="M558" i="2" s="1"/>
  <c r="R558" i="2" a="1"/>
  <c r="R558" i="2" s="1"/>
  <c r="O558" i="2" a="1"/>
  <c r="O558" i="2" s="1"/>
  <c r="N554" i="2" a="1"/>
  <c r="N554" i="2" s="1"/>
  <c r="Q554" i="2" a="1"/>
  <c r="Q554" i="2" s="1"/>
  <c r="P554" i="2" a="1"/>
  <c r="P554" i="2" s="1"/>
  <c r="M554" i="2" a="1"/>
  <c r="M554" i="2" s="1"/>
  <c r="R554" i="2" a="1"/>
  <c r="R554" i="2" s="1"/>
  <c r="O554" i="2" a="1"/>
  <c r="O554" i="2" s="1"/>
  <c r="N550" i="2" a="1"/>
  <c r="N550" i="2" s="1"/>
  <c r="Q550" i="2" a="1"/>
  <c r="Q550" i="2" s="1"/>
  <c r="P550" i="2" a="1"/>
  <c r="P550" i="2" s="1"/>
  <c r="M550" i="2" a="1"/>
  <c r="M550" i="2" s="1"/>
  <c r="O550" i="2" a="1"/>
  <c r="O550" i="2" s="1"/>
  <c r="R550" i="2" a="1"/>
  <c r="R550" i="2" s="1"/>
  <c r="N546" i="2" a="1"/>
  <c r="N546" i="2" s="1"/>
  <c r="Q546" i="2" a="1"/>
  <c r="Q546" i="2" s="1"/>
  <c r="P546" i="2" a="1"/>
  <c r="P546" i="2" s="1"/>
  <c r="M546" i="2" a="1"/>
  <c r="M546" i="2" s="1"/>
  <c r="R546" i="2" a="1"/>
  <c r="R546" i="2" s="1"/>
  <c r="O546" i="2" a="1"/>
  <c r="O546" i="2" s="1"/>
  <c r="N542" i="2" a="1"/>
  <c r="N542" i="2" s="1"/>
  <c r="Q542" i="2" a="1"/>
  <c r="Q542" i="2" s="1"/>
  <c r="P542" i="2" a="1"/>
  <c r="P542" i="2" s="1"/>
  <c r="M542" i="2" a="1"/>
  <c r="M542" i="2" s="1"/>
  <c r="R542" i="2" a="1"/>
  <c r="R542" i="2" s="1"/>
  <c r="O542" i="2" a="1"/>
  <c r="O542" i="2" s="1"/>
  <c r="N538" i="2" a="1"/>
  <c r="N538" i="2" s="1"/>
  <c r="Q538" i="2" a="1"/>
  <c r="Q538" i="2" s="1"/>
  <c r="P538" i="2" a="1"/>
  <c r="P538" i="2" s="1"/>
  <c r="M538" i="2" a="1"/>
  <c r="M538" i="2" s="1"/>
  <c r="R538" i="2" a="1"/>
  <c r="R538" i="2" s="1"/>
  <c r="O538" i="2" a="1"/>
  <c r="O538" i="2" s="1"/>
  <c r="N534" i="2" a="1"/>
  <c r="N534" i="2" s="1"/>
  <c r="P534" i="2" a="1"/>
  <c r="P534" i="2" s="1"/>
  <c r="M534" i="2" a="1"/>
  <c r="M534" i="2" s="1"/>
  <c r="O534" i="2" a="1"/>
  <c r="O534" i="2" s="1"/>
  <c r="R534" i="2" a="1"/>
  <c r="R534" i="2" s="1"/>
  <c r="Q534" i="2" a="1"/>
  <c r="Q534" i="2" s="1"/>
  <c r="N530" i="2" a="1"/>
  <c r="N530" i="2" s="1"/>
  <c r="P530" i="2" a="1"/>
  <c r="P530" i="2" s="1"/>
  <c r="M530" i="2" a="1"/>
  <c r="M530" i="2" s="1"/>
  <c r="R530" i="2" a="1"/>
  <c r="R530" i="2" s="1"/>
  <c r="Q530" i="2" a="1"/>
  <c r="Q530" i="2" s="1"/>
  <c r="O530" i="2" a="1"/>
  <c r="O530" i="2" s="1"/>
  <c r="N526" i="2" a="1"/>
  <c r="N526" i="2" s="1"/>
  <c r="P526" i="2" a="1"/>
  <c r="P526" i="2" s="1"/>
  <c r="M526" i="2" a="1"/>
  <c r="M526" i="2" s="1"/>
  <c r="O526" i="2" a="1"/>
  <c r="O526" i="2" s="1"/>
  <c r="R526" i="2" a="1"/>
  <c r="R526" i="2" s="1"/>
  <c r="Q526" i="2" a="1"/>
  <c r="Q526" i="2" s="1"/>
  <c r="N522" i="2" a="1"/>
  <c r="N522" i="2" s="1"/>
  <c r="P522" i="2" a="1"/>
  <c r="P522" i="2" s="1"/>
  <c r="M522" i="2" a="1"/>
  <c r="M522" i="2" s="1"/>
  <c r="R522" i="2" a="1"/>
  <c r="R522" i="2" s="1"/>
  <c r="Q522" i="2" a="1"/>
  <c r="Q522" i="2" s="1"/>
  <c r="O522" i="2" a="1"/>
  <c r="O522" i="2" s="1"/>
  <c r="N518" i="2" a="1"/>
  <c r="N518" i="2" s="1"/>
  <c r="P518" i="2" a="1"/>
  <c r="P518" i="2" s="1"/>
  <c r="O518" i="2" a="1"/>
  <c r="O518" i="2" s="1"/>
  <c r="R518" i="2" a="1"/>
  <c r="R518" i="2" s="1"/>
  <c r="Q518" i="2" a="1"/>
  <c r="Q518" i="2" s="1"/>
  <c r="M518" i="2" a="1"/>
  <c r="M518" i="2" s="1"/>
  <c r="N514" i="2" a="1"/>
  <c r="N514" i="2" s="1"/>
  <c r="Q514" i="2" a="1"/>
  <c r="Q514" i="2" s="1"/>
  <c r="M514" i="2" a="1"/>
  <c r="M514" i="2" s="1"/>
  <c r="P514" i="2" a="1"/>
  <c r="P514" i="2" s="1"/>
  <c r="O514" i="2" a="1"/>
  <c r="O514" i="2" s="1"/>
  <c r="R514" i="2" a="1"/>
  <c r="R514" i="2" s="1"/>
  <c r="N510" i="2" a="1"/>
  <c r="N510" i="2" s="1"/>
  <c r="R510" i="2" a="1"/>
  <c r="R510" i="2" s="1"/>
  <c r="Q510" i="2" a="1"/>
  <c r="Q510" i="2" s="1"/>
  <c r="M510" i="2" a="1"/>
  <c r="M510" i="2" s="1"/>
  <c r="P510" i="2" a="1"/>
  <c r="P510" i="2" s="1"/>
  <c r="O510" i="2" a="1"/>
  <c r="O510" i="2" s="1"/>
  <c r="N506" i="2" a="1"/>
  <c r="N506" i="2" s="1"/>
  <c r="O506" i="2" a="1"/>
  <c r="O506" i="2" s="1"/>
  <c r="R506" i="2" a="1"/>
  <c r="R506" i="2" s="1"/>
  <c r="Q506" i="2" a="1"/>
  <c r="Q506" i="2" s="1"/>
  <c r="M506" i="2" a="1"/>
  <c r="M506" i="2" s="1"/>
  <c r="P506" i="2" a="1"/>
  <c r="P506" i="2" s="1"/>
  <c r="N502" i="2" a="1"/>
  <c r="N502" i="2" s="1"/>
  <c r="P502" i="2" a="1"/>
  <c r="P502" i="2" s="1"/>
  <c r="O502" i="2" a="1"/>
  <c r="O502" i="2" s="1"/>
  <c r="R502" i="2" a="1"/>
  <c r="R502" i="2" s="1"/>
  <c r="Q502" i="2" a="1"/>
  <c r="Q502" i="2" s="1"/>
  <c r="M502" i="2" a="1"/>
  <c r="M502" i="2" s="1"/>
  <c r="N498" i="2" a="1"/>
  <c r="N498" i="2" s="1"/>
  <c r="Q498" i="2" a="1"/>
  <c r="Q498" i="2" s="1"/>
  <c r="M498" i="2" a="1"/>
  <c r="M498" i="2" s="1"/>
  <c r="P498" i="2" a="1"/>
  <c r="P498" i="2" s="1"/>
  <c r="O498" i="2" a="1"/>
  <c r="O498" i="2" s="1"/>
  <c r="R498" i="2" a="1"/>
  <c r="R498" i="2" s="1"/>
  <c r="N494" i="2" a="1"/>
  <c r="N494" i="2" s="1"/>
  <c r="R494" i="2" a="1"/>
  <c r="R494" i="2" s="1"/>
  <c r="Q494" i="2" a="1"/>
  <c r="Q494" i="2" s="1"/>
  <c r="M494" i="2" a="1"/>
  <c r="M494" i="2" s="1"/>
  <c r="P494" i="2" a="1"/>
  <c r="P494" i="2" s="1"/>
  <c r="O494" i="2" a="1"/>
  <c r="O494" i="2" s="1"/>
  <c r="N490" i="2" a="1"/>
  <c r="N490" i="2" s="1"/>
  <c r="O490" i="2" a="1"/>
  <c r="O490" i="2" s="1"/>
  <c r="R490" i="2" a="1"/>
  <c r="R490" i="2" s="1"/>
  <c r="Q490" i="2" a="1"/>
  <c r="Q490" i="2" s="1"/>
  <c r="M490" i="2" a="1"/>
  <c r="M490" i="2" s="1"/>
  <c r="P490" i="2" a="1"/>
  <c r="P490" i="2" s="1"/>
  <c r="N486" i="2" a="1"/>
  <c r="N486" i="2" s="1"/>
  <c r="P486" i="2" a="1"/>
  <c r="P486" i="2" s="1"/>
  <c r="O486" i="2" a="1"/>
  <c r="O486" i="2" s="1"/>
  <c r="R486" i="2" a="1"/>
  <c r="R486" i="2" s="1"/>
  <c r="Q486" i="2" a="1"/>
  <c r="Q486" i="2" s="1"/>
  <c r="M486" i="2" a="1"/>
  <c r="M486" i="2" s="1"/>
  <c r="N482" i="2" a="1"/>
  <c r="N482" i="2" s="1"/>
  <c r="Q482" i="2" a="1"/>
  <c r="Q482" i="2" s="1"/>
  <c r="M482" i="2" a="1"/>
  <c r="M482" i="2" s="1"/>
  <c r="P482" i="2" a="1"/>
  <c r="P482" i="2" s="1"/>
  <c r="O482" i="2" a="1"/>
  <c r="O482" i="2" s="1"/>
  <c r="R482" i="2" a="1"/>
  <c r="R482" i="2" s="1"/>
  <c r="N478" i="2" a="1"/>
  <c r="N478" i="2" s="1"/>
  <c r="R478" i="2" a="1"/>
  <c r="R478" i="2" s="1"/>
  <c r="Q478" i="2" a="1"/>
  <c r="Q478" i="2" s="1"/>
  <c r="M478" i="2" a="1"/>
  <c r="M478" i="2" s="1"/>
  <c r="P478" i="2" a="1"/>
  <c r="P478" i="2" s="1"/>
  <c r="O478" i="2" a="1"/>
  <c r="O478" i="2" s="1"/>
  <c r="N474" i="2" a="1"/>
  <c r="N474" i="2" s="1"/>
  <c r="O474" i="2" a="1"/>
  <c r="O474" i="2" s="1"/>
  <c r="R474" i="2" a="1"/>
  <c r="R474" i="2" s="1"/>
  <c r="Q474" i="2" a="1"/>
  <c r="Q474" i="2" s="1"/>
  <c r="M474" i="2" a="1"/>
  <c r="M474" i="2" s="1"/>
  <c r="P474" i="2" a="1"/>
  <c r="P474" i="2" s="1"/>
  <c r="N470" i="2" a="1"/>
  <c r="N470" i="2" s="1"/>
  <c r="P470" i="2" a="1"/>
  <c r="P470" i="2" s="1"/>
  <c r="O470" i="2" a="1"/>
  <c r="O470" i="2" s="1"/>
  <c r="R470" i="2" a="1"/>
  <c r="R470" i="2" s="1"/>
  <c r="Q470" i="2" a="1"/>
  <c r="Q470" i="2" s="1"/>
  <c r="M470" i="2" a="1"/>
  <c r="M470" i="2" s="1"/>
  <c r="N466" i="2" a="1"/>
  <c r="N466" i="2" s="1"/>
  <c r="Q466" i="2" a="1"/>
  <c r="Q466" i="2" s="1"/>
  <c r="M466" i="2" a="1"/>
  <c r="M466" i="2" s="1"/>
  <c r="P466" i="2" a="1"/>
  <c r="P466" i="2" s="1"/>
  <c r="O466" i="2" a="1"/>
  <c r="O466" i="2" s="1"/>
  <c r="R466" i="2" a="1"/>
  <c r="R466" i="2" s="1"/>
  <c r="N462" i="2" a="1"/>
  <c r="N462" i="2" s="1"/>
  <c r="R462" i="2" a="1"/>
  <c r="R462" i="2" s="1"/>
  <c r="Q462" i="2" a="1"/>
  <c r="Q462" i="2" s="1"/>
  <c r="M462" i="2" a="1"/>
  <c r="M462" i="2" s="1"/>
  <c r="P462" i="2" a="1"/>
  <c r="P462" i="2" s="1"/>
  <c r="O462" i="2" a="1"/>
  <c r="O462" i="2" s="1"/>
  <c r="R458" i="2" a="1"/>
  <c r="R458" i="2" s="1"/>
  <c r="N458" i="2" a="1"/>
  <c r="N458" i="2" s="1"/>
  <c r="P458" i="2" a="1"/>
  <c r="P458" i="2" s="1"/>
  <c r="O458" i="2" a="1"/>
  <c r="O458" i="2" s="1"/>
  <c r="Q458" i="2" a="1"/>
  <c r="Q458" i="2" s="1"/>
  <c r="M458" i="2" a="1"/>
  <c r="M458" i="2" s="1"/>
  <c r="R454" i="2" a="1"/>
  <c r="R454" i="2" s="1"/>
  <c r="N454" i="2" a="1"/>
  <c r="N454" i="2" s="1"/>
  <c r="Q454" i="2" a="1"/>
  <c r="Q454" i="2" s="1"/>
  <c r="M454" i="2" a="1"/>
  <c r="M454" i="2" s="1"/>
  <c r="P454" i="2" a="1"/>
  <c r="P454" i="2" s="1"/>
  <c r="O454" i="2" a="1"/>
  <c r="O454" i="2" s="1"/>
  <c r="R450" i="2" a="1"/>
  <c r="R450" i="2" s="1"/>
  <c r="N450" i="2" a="1"/>
  <c r="N450" i="2" s="1"/>
  <c r="P450" i="2" a="1"/>
  <c r="P450" i="2" s="1"/>
  <c r="O450" i="2" a="1"/>
  <c r="O450" i="2" s="1"/>
  <c r="Q450" i="2" a="1"/>
  <c r="Q450" i="2" s="1"/>
  <c r="M450" i="2" a="1"/>
  <c r="M450" i="2" s="1"/>
  <c r="R446" i="2" a="1"/>
  <c r="R446" i="2" s="1"/>
  <c r="N446" i="2" a="1"/>
  <c r="N446" i="2" s="1"/>
  <c r="Q446" i="2" a="1"/>
  <c r="Q446" i="2" s="1"/>
  <c r="M446" i="2" a="1"/>
  <c r="M446" i="2" s="1"/>
  <c r="P446" i="2" a="1"/>
  <c r="P446" i="2" s="1"/>
  <c r="O446" i="2" a="1"/>
  <c r="O446" i="2" s="1"/>
  <c r="R442" i="2" a="1"/>
  <c r="R442" i="2" s="1"/>
  <c r="N442" i="2" a="1"/>
  <c r="N442" i="2" s="1"/>
  <c r="P442" i="2" a="1"/>
  <c r="P442" i="2" s="1"/>
  <c r="O442" i="2" a="1"/>
  <c r="O442" i="2" s="1"/>
  <c r="Q442" i="2" a="1"/>
  <c r="Q442" i="2" s="1"/>
  <c r="M442" i="2" a="1"/>
  <c r="M442" i="2" s="1"/>
  <c r="R438" i="2" a="1"/>
  <c r="R438" i="2" s="1"/>
  <c r="N438" i="2" a="1"/>
  <c r="N438" i="2" s="1"/>
  <c r="Q438" i="2" a="1"/>
  <c r="Q438" i="2" s="1"/>
  <c r="M438" i="2" a="1"/>
  <c r="M438" i="2" s="1"/>
  <c r="P438" i="2" a="1"/>
  <c r="P438" i="2" s="1"/>
  <c r="O438" i="2" a="1"/>
  <c r="O438" i="2" s="1"/>
  <c r="R434" i="2" a="1"/>
  <c r="R434" i="2" s="1"/>
  <c r="P434" i="2" a="1"/>
  <c r="P434" i="2" s="1"/>
  <c r="M434" i="2" a="1"/>
  <c r="M434" i="2" s="1"/>
  <c r="O434" i="2" a="1"/>
  <c r="O434" i="2" s="1"/>
  <c r="N434" i="2" a="1"/>
  <c r="N434" i="2" s="1"/>
  <c r="Q434" i="2" a="1"/>
  <c r="Q434" i="2" s="1"/>
  <c r="P430" i="2" a="1"/>
  <c r="P430" i="2" s="1"/>
  <c r="M430" i="2" a="1"/>
  <c r="M430" i="2" s="1"/>
  <c r="O430" i="2" a="1"/>
  <c r="O430" i="2" s="1"/>
  <c r="R430" i="2" a="1"/>
  <c r="R430" i="2" s="1"/>
  <c r="N430" i="2" a="1"/>
  <c r="N430" i="2" s="1"/>
  <c r="Q430" i="2" a="1"/>
  <c r="Q430" i="2" s="1"/>
  <c r="P426" i="2" a="1"/>
  <c r="P426" i="2" s="1"/>
  <c r="M426" i="2" a="1"/>
  <c r="M426" i="2" s="1"/>
  <c r="O426" i="2" a="1"/>
  <c r="O426" i="2" s="1"/>
  <c r="R426" i="2" a="1"/>
  <c r="R426" i="2" s="1"/>
  <c r="N426" i="2" a="1"/>
  <c r="N426" i="2" s="1"/>
  <c r="Q426" i="2" a="1"/>
  <c r="Q426" i="2" s="1"/>
  <c r="P422" i="2" a="1"/>
  <c r="P422" i="2" s="1"/>
  <c r="M422" i="2" a="1"/>
  <c r="M422" i="2" s="1"/>
  <c r="O422" i="2" a="1"/>
  <c r="O422" i="2" s="1"/>
  <c r="R422" i="2" a="1"/>
  <c r="R422" i="2" s="1"/>
  <c r="N422" i="2" a="1"/>
  <c r="N422" i="2" s="1"/>
  <c r="Q422" i="2" a="1"/>
  <c r="Q422" i="2" s="1"/>
  <c r="P418" i="2" a="1"/>
  <c r="P418" i="2" s="1"/>
  <c r="M418" i="2" a="1"/>
  <c r="M418" i="2" s="1"/>
  <c r="O418" i="2" a="1"/>
  <c r="O418" i="2" s="1"/>
  <c r="R418" i="2" a="1"/>
  <c r="R418" i="2" s="1"/>
  <c r="N418" i="2" a="1"/>
  <c r="N418" i="2" s="1"/>
  <c r="Q418" i="2" a="1"/>
  <c r="Q418" i="2" s="1"/>
  <c r="P414" i="2" a="1"/>
  <c r="P414" i="2" s="1"/>
  <c r="M414" i="2" a="1"/>
  <c r="M414" i="2" s="1"/>
  <c r="O414" i="2" a="1"/>
  <c r="O414" i="2" s="1"/>
  <c r="R414" i="2" a="1"/>
  <c r="R414" i="2" s="1"/>
  <c r="N414" i="2" a="1"/>
  <c r="N414" i="2" s="1"/>
  <c r="Q414" i="2" a="1"/>
  <c r="Q414" i="2" s="1"/>
  <c r="P410" i="2" a="1"/>
  <c r="P410" i="2" s="1"/>
  <c r="M410" i="2" a="1"/>
  <c r="M410" i="2" s="1"/>
  <c r="O410" i="2" a="1"/>
  <c r="O410" i="2" s="1"/>
  <c r="R410" i="2" a="1"/>
  <c r="R410" i="2" s="1"/>
  <c r="N410" i="2" a="1"/>
  <c r="N410" i="2" s="1"/>
  <c r="Q410" i="2" a="1"/>
  <c r="Q410" i="2" s="1"/>
  <c r="P406" i="2" a="1"/>
  <c r="P406" i="2" s="1"/>
  <c r="M406" i="2" a="1"/>
  <c r="M406" i="2" s="1"/>
  <c r="O406" i="2" a="1"/>
  <c r="O406" i="2" s="1"/>
  <c r="R406" i="2" a="1"/>
  <c r="R406" i="2" s="1"/>
  <c r="N406" i="2" a="1"/>
  <c r="N406" i="2" s="1"/>
  <c r="Q406" i="2" a="1"/>
  <c r="Q406" i="2" s="1"/>
  <c r="O402" i="2" a="1"/>
  <c r="O402" i="2" s="1"/>
  <c r="R402" i="2" a="1"/>
  <c r="R402" i="2" s="1"/>
  <c r="N402" i="2" a="1"/>
  <c r="N402" i="2" s="1"/>
  <c r="Q402" i="2" a="1"/>
  <c r="Q402" i="2" s="1"/>
  <c r="P402" i="2" a="1"/>
  <c r="P402" i="2" s="1"/>
  <c r="M402" i="2" a="1"/>
  <c r="M402" i="2" s="1"/>
  <c r="R398" i="2" a="1"/>
  <c r="R398" i="2" s="1"/>
  <c r="O398" i="2" a="1"/>
  <c r="O398" i="2" s="1"/>
  <c r="N398" i="2" a="1"/>
  <c r="N398" i="2" s="1"/>
  <c r="Q398" i="2" a="1"/>
  <c r="Q398" i="2" s="1"/>
  <c r="P398" i="2" a="1"/>
  <c r="P398" i="2" s="1"/>
  <c r="M398" i="2" a="1"/>
  <c r="M398" i="2" s="1"/>
  <c r="P394" i="2" a="1"/>
  <c r="P394" i="2" s="1"/>
  <c r="M394" i="2" a="1"/>
  <c r="M394" i="2" s="1"/>
  <c r="R394" i="2" a="1"/>
  <c r="R394" i="2" s="1"/>
  <c r="O394" i="2" a="1"/>
  <c r="O394" i="2" s="1"/>
  <c r="N394" i="2" a="1"/>
  <c r="N394" i="2" s="1"/>
  <c r="Q394" i="2" a="1"/>
  <c r="Q394" i="2" s="1"/>
  <c r="P390" i="2" a="1"/>
  <c r="P390" i="2" s="1"/>
  <c r="M390" i="2" a="1"/>
  <c r="M390" i="2" s="1"/>
  <c r="O390" i="2" a="1"/>
  <c r="O390" i="2" s="1"/>
  <c r="R390" i="2" a="1"/>
  <c r="R390" i="2" s="1"/>
  <c r="N390" i="2" a="1"/>
  <c r="N390" i="2" s="1"/>
  <c r="Q390" i="2" a="1"/>
  <c r="Q390" i="2" s="1"/>
  <c r="R386" i="2" a="1"/>
  <c r="R386" i="2" s="1"/>
  <c r="O386" i="2" a="1"/>
  <c r="O386" i="2" s="1"/>
  <c r="Q386" i="2" a="1"/>
  <c r="Q386" i="2" s="1"/>
  <c r="N386" i="2" a="1"/>
  <c r="N386" i="2" s="1"/>
  <c r="P386" i="2" a="1"/>
  <c r="P386" i="2" s="1"/>
  <c r="M386" i="2" a="1"/>
  <c r="M386" i="2" s="1"/>
  <c r="R382" i="2" a="1"/>
  <c r="R382" i="2" s="1"/>
  <c r="O382" i="2" a="1"/>
  <c r="O382" i="2" s="1"/>
  <c r="Q382" i="2" a="1"/>
  <c r="Q382" i="2" s="1"/>
  <c r="N382" i="2" a="1"/>
  <c r="N382" i="2" s="1"/>
  <c r="P382" i="2" a="1"/>
  <c r="P382" i="2" s="1"/>
  <c r="M382" i="2" a="1"/>
  <c r="M382" i="2" s="1"/>
  <c r="R378" i="2" a="1"/>
  <c r="R378" i="2" s="1"/>
  <c r="O378" i="2" a="1"/>
  <c r="O378" i="2" s="1"/>
  <c r="Q378" i="2" a="1"/>
  <c r="Q378" i="2" s="1"/>
  <c r="N378" i="2" a="1"/>
  <c r="N378" i="2" s="1"/>
  <c r="P378" i="2" a="1"/>
  <c r="P378" i="2" s="1"/>
  <c r="M378" i="2" a="1"/>
  <c r="M378" i="2" s="1"/>
  <c r="R374" i="2" a="1"/>
  <c r="R374" i="2" s="1"/>
  <c r="O374" i="2" a="1"/>
  <c r="O374" i="2" s="1"/>
  <c r="Q374" i="2" a="1"/>
  <c r="Q374" i="2" s="1"/>
  <c r="N374" i="2" a="1"/>
  <c r="N374" i="2" s="1"/>
  <c r="P374" i="2" a="1"/>
  <c r="P374" i="2" s="1"/>
  <c r="M374" i="2" a="1"/>
  <c r="M374" i="2" s="1"/>
  <c r="R370" i="2" a="1"/>
  <c r="R370" i="2" s="1"/>
  <c r="O370" i="2" a="1"/>
  <c r="O370" i="2" s="1"/>
  <c r="Q370" i="2" a="1"/>
  <c r="Q370" i="2" s="1"/>
  <c r="N370" i="2" a="1"/>
  <c r="N370" i="2" s="1"/>
  <c r="P370" i="2" a="1"/>
  <c r="P370" i="2" s="1"/>
  <c r="M370" i="2" a="1"/>
  <c r="M370" i="2" s="1"/>
  <c r="R366" i="2" a="1"/>
  <c r="R366" i="2" s="1"/>
  <c r="O366" i="2" a="1"/>
  <c r="O366" i="2" s="1"/>
  <c r="Q366" i="2" a="1"/>
  <c r="Q366" i="2" s="1"/>
  <c r="N366" i="2" a="1"/>
  <c r="N366" i="2" s="1"/>
  <c r="P366" i="2" a="1"/>
  <c r="P366" i="2" s="1"/>
  <c r="M366" i="2" a="1"/>
  <c r="M366" i="2" s="1"/>
  <c r="R362" i="2" a="1"/>
  <c r="R362" i="2" s="1"/>
  <c r="M362" i="2" a="1"/>
  <c r="M362" i="2" s="1"/>
  <c r="O362" i="2" a="1"/>
  <c r="O362" i="2" s="1"/>
  <c r="Q362" i="2" a="1"/>
  <c r="Q362" i="2" s="1"/>
  <c r="N362" i="2" a="1"/>
  <c r="N362" i="2" s="1"/>
  <c r="P362" i="2" a="1"/>
  <c r="P362" i="2" s="1"/>
  <c r="Q358" i="2" a="1"/>
  <c r="Q358" i="2" s="1"/>
  <c r="P358" i="2" a="1"/>
  <c r="P358" i="2" s="1"/>
  <c r="M358" i="2" a="1"/>
  <c r="M358" i="2" s="1"/>
  <c r="R358" i="2" a="1"/>
  <c r="R358" i="2" s="1"/>
  <c r="O358" i="2" a="1"/>
  <c r="O358" i="2" s="1"/>
  <c r="N358" i="2" a="1"/>
  <c r="N358" i="2" s="1"/>
  <c r="N354" i="2" a="1"/>
  <c r="N354" i="2" s="1"/>
  <c r="Q354" i="2" a="1"/>
  <c r="Q354" i="2" s="1"/>
  <c r="P354" i="2" a="1"/>
  <c r="P354" i="2" s="1"/>
  <c r="M354" i="2" a="1"/>
  <c r="M354" i="2" s="1"/>
  <c r="R354" i="2" a="1"/>
  <c r="R354" i="2" s="1"/>
  <c r="O354" i="2" a="1"/>
  <c r="O354" i="2" s="1"/>
  <c r="N350" i="2" a="1"/>
  <c r="N350" i="2" s="1"/>
  <c r="Q350" i="2" a="1"/>
  <c r="Q350" i="2" s="1"/>
  <c r="P350" i="2" a="1"/>
  <c r="P350" i="2" s="1"/>
  <c r="M350" i="2" a="1"/>
  <c r="M350" i="2" s="1"/>
  <c r="R350" i="2" a="1"/>
  <c r="R350" i="2" s="1"/>
  <c r="O350" i="2" a="1"/>
  <c r="O350" i="2" s="1"/>
  <c r="N346" i="2" a="1"/>
  <c r="N346" i="2" s="1"/>
  <c r="Q346" i="2" a="1"/>
  <c r="Q346" i="2" s="1"/>
  <c r="P346" i="2" a="1"/>
  <c r="P346" i="2" s="1"/>
  <c r="M346" i="2" a="1"/>
  <c r="M346" i="2" s="1"/>
  <c r="R346" i="2" a="1"/>
  <c r="R346" i="2" s="1"/>
  <c r="O346" i="2" a="1"/>
  <c r="O346" i="2" s="1"/>
  <c r="N342" i="2" a="1"/>
  <c r="N342" i="2" s="1"/>
  <c r="Q342" i="2" a="1"/>
  <c r="Q342" i="2" s="1"/>
  <c r="P342" i="2" a="1"/>
  <c r="P342" i="2" s="1"/>
  <c r="M342" i="2" a="1"/>
  <c r="M342" i="2" s="1"/>
  <c r="R342" i="2" a="1"/>
  <c r="R342" i="2" s="1"/>
  <c r="O342" i="2" a="1"/>
  <c r="O342" i="2" s="1"/>
  <c r="N338" i="2" a="1"/>
  <c r="N338" i="2" s="1"/>
  <c r="Q338" i="2" a="1"/>
  <c r="Q338" i="2" s="1"/>
  <c r="P338" i="2" a="1"/>
  <c r="P338" i="2" s="1"/>
  <c r="M338" i="2" a="1"/>
  <c r="M338" i="2" s="1"/>
  <c r="R338" i="2" a="1"/>
  <c r="R338" i="2" s="1"/>
  <c r="O338" i="2" a="1"/>
  <c r="O338" i="2" s="1"/>
  <c r="N334" i="2" a="1"/>
  <c r="N334" i="2" s="1"/>
  <c r="Q334" i="2" a="1"/>
  <c r="Q334" i="2" s="1"/>
  <c r="P334" i="2" a="1"/>
  <c r="P334" i="2" s="1"/>
  <c r="M334" i="2" a="1"/>
  <c r="M334" i="2" s="1"/>
  <c r="R334" i="2" a="1"/>
  <c r="R334" i="2" s="1"/>
  <c r="O334" i="2" a="1"/>
  <c r="O334" i="2" s="1"/>
  <c r="N330" i="2" a="1"/>
  <c r="N330" i="2" s="1"/>
  <c r="Q330" i="2" a="1"/>
  <c r="Q330" i="2" s="1"/>
  <c r="P330" i="2" a="1"/>
  <c r="P330" i="2" s="1"/>
  <c r="M330" i="2" a="1"/>
  <c r="M330" i="2" s="1"/>
  <c r="R330" i="2" a="1"/>
  <c r="R330" i="2" s="1"/>
  <c r="O330" i="2" a="1"/>
  <c r="O330" i="2" s="1"/>
  <c r="N326" i="2" a="1"/>
  <c r="N326" i="2" s="1"/>
  <c r="Q326" i="2" a="1"/>
  <c r="Q326" i="2" s="1"/>
  <c r="P326" i="2" a="1"/>
  <c r="P326" i="2" s="1"/>
  <c r="M326" i="2" a="1"/>
  <c r="M326" i="2" s="1"/>
  <c r="R326" i="2" a="1"/>
  <c r="R326" i="2" s="1"/>
  <c r="O326" i="2" a="1"/>
  <c r="O326" i="2" s="1"/>
  <c r="N322" i="2" a="1"/>
  <c r="N322" i="2" s="1"/>
  <c r="Q322" i="2" a="1"/>
  <c r="Q322" i="2" s="1"/>
  <c r="P322" i="2" a="1"/>
  <c r="P322" i="2" s="1"/>
  <c r="M322" i="2" a="1"/>
  <c r="M322" i="2" s="1"/>
  <c r="R322" i="2" a="1"/>
  <c r="R322" i="2" s="1"/>
  <c r="O322" i="2" a="1"/>
  <c r="O322" i="2" s="1"/>
  <c r="N318" i="2" a="1"/>
  <c r="N318" i="2" s="1"/>
  <c r="Q318" i="2" a="1"/>
  <c r="Q318" i="2" s="1"/>
  <c r="P318" i="2" a="1"/>
  <c r="P318" i="2" s="1"/>
  <c r="M318" i="2" a="1"/>
  <c r="M318" i="2" s="1"/>
  <c r="R318" i="2" a="1"/>
  <c r="R318" i="2" s="1"/>
  <c r="O318" i="2" a="1"/>
  <c r="O318" i="2" s="1"/>
  <c r="N314" i="2" a="1"/>
  <c r="N314" i="2" s="1"/>
  <c r="Q314" i="2" a="1"/>
  <c r="Q314" i="2" s="1"/>
  <c r="P314" i="2" a="1"/>
  <c r="P314" i="2" s="1"/>
  <c r="M314" i="2" a="1"/>
  <c r="M314" i="2" s="1"/>
  <c r="R314" i="2" a="1"/>
  <c r="R314" i="2" s="1"/>
  <c r="O314" i="2" a="1"/>
  <c r="O314" i="2" s="1"/>
  <c r="N310" i="2" a="1"/>
  <c r="N310" i="2" s="1"/>
  <c r="Q310" i="2" a="1"/>
  <c r="Q310" i="2" s="1"/>
  <c r="P310" i="2" a="1"/>
  <c r="P310" i="2" s="1"/>
  <c r="M310" i="2" a="1"/>
  <c r="M310" i="2" s="1"/>
  <c r="R310" i="2" a="1"/>
  <c r="R310" i="2" s="1"/>
  <c r="O310" i="2" a="1"/>
  <c r="O310" i="2" s="1"/>
  <c r="N306" i="2" a="1"/>
  <c r="N306" i="2" s="1"/>
  <c r="P306" i="2" a="1"/>
  <c r="P306" i="2" s="1"/>
  <c r="M306" i="2" a="1"/>
  <c r="M306" i="2" s="1"/>
  <c r="R306" i="2" a="1"/>
  <c r="R306" i="2" s="1"/>
  <c r="O306" i="2" a="1"/>
  <c r="O306" i="2" s="1"/>
  <c r="N302" i="2" a="1"/>
  <c r="N302" i="2" s="1"/>
  <c r="P302" i="2" a="1"/>
  <c r="P302" i="2" s="1"/>
  <c r="M302" i="2" a="1"/>
  <c r="M302" i="2" s="1"/>
  <c r="R302" i="2" a="1"/>
  <c r="R302" i="2" s="1"/>
  <c r="O302" i="2" a="1"/>
  <c r="O302" i="2" s="1"/>
  <c r="N298" i="2" a="1"/>
  <c r="N298" i="2" s="1"/>
  <c r="R298" i="2" a="1"/>
  <c r="R298" i="2" s="1"/>
  <c r="O298" i="2" a="1"/>
  <c r="O298" i="2" s="1"/>
  <c r="N294" i="2" a="1"/>
  <c r="N294" i="2" s="1"/>
  <c r="R294" i="2" a="1"/>
  <c r="R294" i="2" s="1"/>
  <c r="O294" i="2" a="1"/>
  <c r="O294" i="2" s="1"/>
  <c r="N290" i="2" a="1"/>
  <c r="N290" i="2" s="1"/>
  <c r="R290" i="2" a="1"/>
  <c r="R290" i="2" s="1"/>
  <c r="O290" i="2" a="1"/>
  <c r="O290" i="2" s="1"/>
  <c r="N286" i="2" a="1"/>
  <c r="N286" i="2" s="1"/>
  <c r="R286" i="2" a="1"/>
  <c r="R286" i="2" s="1"/>
  <c r="O286" i="2" a="1"/>
  <c r="O286" i="2" s="1"/>
  <c r="N282" i="2" a="1"/>
  <c r="N282" i="2" s="1"/>
  <c r="R282" i="2" a="1"/>
  <c r="R282" i="2" s="1"/>
  <c r="O282" i="2" a="1"/>
  <c r="O282" i="2" s="1"/>
  <c r="N278" i="2" a="1"/>
  <c r="N278" i="2" s="1"/>
  <c r="R278" i="2" a="1"/>
  <c r="R278" i="2" s="1"/>
  <c r="O278" i="2" a="1"/>
  <c r="O278" i="2" s="1"/>
  <c r="N274" i="2" a="1"/>
  <c r="N274" i="2" s="1"/>
  <c r="R274" i="2" a="1"/>
  <c r="R274" i="2" s="1"/>
  <c r="O274" i="2" a="1"/>
  <c r="O274" i="2" s="1"/>
  <c r="N270" i="2" a="1"/>
  <c r="N270" i="2" s="1"/>
  <c r="R270" i="2" a="1"/>
  <c r="R270" i="2" s="1"/>
  <c r="O270" i="2" a="1"/>
  <c r="O270" i="2" s="1"/>
  <c r="N266" i="2" a="1"/>
  <c r="N266" i="2" s="1"/>
  <c r="R266" i="2" a="1"/>
  <c r="R266" i="2" s="1"/>
  <c r="O266" i="2" a="1"/>
  <c r="O266" i="2" s="1"/>
  <c r="N262" i="2" a="1"/>
  <c r="N262" i="2" s="1"/>
  <c r="R262" i="2" a="1"/>
  <c r="R262" i="2" s="1"/>
  <c r="O262" i="2" a="1"/>
  <c r="O262" i="2" s="1"/>
  <c r="N258" i="2" a="1"/>
  <c r="N258" i="2" s="1"/>
  <c r="R258" i="2" a="1"/>
  <c r="R258" i="2" s="1"/>
  <c r="O258" i="2" a="1"/>
  <c r="O258" i="2" s="1"/>
  <c r="N254" i="2" a="1"/>
  <c r="N254" i="2" s="1"/>
  <c r="R254" i="2" a="1"/>
  <c r="R254" i="2" s="1"/>
  <c r="O254" i="2" a="1"/>
  <c r="O254" i="2" s="1"/>
  <c r="N250" i="2" a="1"/>
  <c r="N250" i="2" s="1"/>
  <c r="R250" i="2" a="1"/>
  <c r="R250" i="2" s="1"/>
  <c r="O250" i="2" a="1"/>
  <c r="O250" i="2" s="1"/>
  <c r="R146" i="2" a="1"/>
  <c r="R146" i="2" s="1"/>
  <c r="N146" i="2" a="1"/>
  <c r="N146" i="2" s="1"/>
  <c r="R142" i="2" a="1"/>
  <c r="R142" i="2" s="1"/>
  <c r="N142" i="2" a="1"/>
  <c r="N142" i="2" s="1"/>
  <c r="R138" i="2" a="1"/>
  <c r="R138" i="2" s="1"/>
  <c r="N138" i="2" a="1"/>
  <c r="N138" i="2" s="1"/>
  <c r="R134" i="2" a="1"/>
  <c r="R134" i="2" s="1"/>
  <c r="N134" i="2" a="1"/>
  <c r="N134" i="2" s="1"/>
  <c r="R130" i="2" a="1"/>
  <c r="R130" i="2" s="1"/>
  <c r="N130" i="2" a="1"/>
  <c r="N130" i="2" s="1"/>
  <c r="R126" i="2" a="1"/>
  <c r="R126" i="2" s="1"/>
  <c r="N126" i="2" a="1"/>
  <c r="N126" i="2" s="1"/>
  <c r="R122" i="2" a="1"/>
  <c r="R122" i="2" s="1"/>
  <c r="N122" i="2" a="1"/>
  <c r="N122" i="2" s="1"/>
  <c r="R118" i="2" a="1"/>
  <c r="R118" i="2" s="1"/>
  <c r="N118" i="2" a="1"/>
  <c r="N118" i="2" s="1"/>
  <c r="R114" i="2" a="1"/>
  <c r="R114" i="2" s="1"/>
  <c r="N114" i="2" a="1"/>
  <c r="N114" i="2" s="1"/>
  <c r="R110" i="2" a="1"/>
  <c r="R110" i="2" s="1"/>
  <c r="N110" i="2" a="1"/>
  <c r="N110" i="2" s="1"/>
  <c r="R106" i="2" a="1"/>
  <c r="R106" i="2" s="1"/>
  <c r="N106" i="2" a="1"/>
  <c r="N106" i="2" s="1"/>
  <c r="R102" i="2" a="1"/>
  <c r="R102" i="2" s="1"/>
  <c r="N102" i="2" a="1"/>
  <c r="N102" i="2" s="1"/>
  <c r="R98" i="2" a="1"/>
  <c r="R98" i="2" s="1"/>
  <c r="N98" i="2" a="1"/>
  <c r="N98" i="2" s="1"/>
  <c r="R94" i="2" a="1"/>
  <c r="R94" i="2" s="1"/>
  <c r="N94" i="2" a="1"/>
  <c r="N94" i="2" s="1"/>
  <c r="R90" i="2" a="1"/>
  <c r="R90" i="2" s="1"/>
  <c r="N90" i="2" a="1"/>
  <c r="N90" i="2" s="1"/>
  <c r="R86" i="2" a="1"/>
  <c r="R86" i="2" s="1"/>
  <c r="N86" i="2" a="1"/>
  <c r="N86" i="2" s="1"/>
  <c r="R82" i="2" a="1"/>
  <c r="R82" i="2" s="1"/>
  <c r="N82" i="2" a="1"/>
  <c r="N82" i="2" s="1"/>
  <c r="R78" i="2" a="1"/>
  <c r="R78" i="2" s="1"/>
  <c r="N78" i="2" a="1"/>
  <c r="N78" i="2" s="1"/>
  <c r="R74" i="2" a="1"/>
  <c r="R74" i="2" s="1"/>
  <c r="N74" i="2" a="1"/>
  <c r="N74" i="2" s="1"/>
  <c r="R70" i="2" a="1"/>
  <c r="R70" i="2" s="1"/>
  <c r="N70" i="2" a="1"/>
  <c r="N70" i="2" s="1"/>
  <c r="R66" i="2" a="1"/>
  <c r="R66" i="2" s="1"/>
  <c r="N66" i="2" a="1"/>
  <c r="N66" i="2" s="1"/>
  <c r="R62" i="2" a="1"/>
  <c r="R62" i="2" s="1"/>
  <c r="N62" i="2" a="1"/>
  <c r="N62" i="2" s="1"/>
  <c r="R58" i="2" a="1"/>
  <c r="R58" i="2" s="1"/>
  <c r="N58" i="2" a="1"/>
  <c r="N58" i="2" s="1"/>
  <c r="R54" i="2" a="1"/>
  <c r="R54" i="2" s="1"/>
  <c r="N54" i="2" a="1"/>
  <c r="N54" i="2" s="1"/>
  <c r="R50" i="2" a="1"/>
  <c r="R50" i="2" s="1"/>
  <c r="N50" i="2" a="1"/>
  <c r="N50" i="2" s="1"/>
  <c r="R46" i="2" a="1"/>
  <c r="R46" i="2" s="1"/>
  <c r="N46" i="2" a="1"/>
  <c r="N46" i="2" s="1"/>
  <c r="R42" i="2" a="1"/>
  <c r="R42" i="2" s="1"/>
  <c r="N42" i="2" a="1"/>
  <c r="N42" i="2" s="1"/>
  <c r="R38" i="2" a="1"/>
  <c r="R38" i="2" s="1"/>
  <c r="N38" i="2" a="1"/>
  <c r="N38" i="2" s="1"/>
  <c r="R34" i="2" a="1"/>
  <c r="R34" i="2" s="1"/>
  <c r="N34" i="2" a="1"/>
  <c r="N34" i="2" s="1"/>
  <c r="R30" i="2" a="1"/>
  <c r="R30" i="2" s="1"/>
  <c r="N30" i="2" a="1"/>
  <c r="N30" i="2" s="1"/>
  <c r="R26" i="2" a="1"/>
  <c r="R26" i="2" s="1"/>
  <c r="N26" i="2" a="1"/>
  <c r="N26" i="2" s="1"/>
  <c r="L1613" i="2" a="1"/>
  <c r="L1613" i="2" s="1"/>
  <c r="K1613" i="2" a="1"/>
  <c r="K1613" i="2" s="1"/>
  <c r="I1613" i="2" a="1"/>
  <c r="I1613" i="2" s="1"/>
  <c r="J1613" i="2" a="1"/>
  <c r="J1613" i="2" s="1"/>
  <c r="K1609" i="2" a="1"/>
  <c r="K1609" i="2" s="1"/>
  <c r="L1609" i="2" a="1"/>
  <c r="L1609" i="2" s="1"/>
  <c r="J1609" i="2" a="1"/>
  <c r="J1609" i="2" s="1"/>
  <c r="I1609" i="2" a="1"/>
  <c r="I1609" i="2" s="1"/>
  <c r="L1605" i="2" a="1"/>
  <c r="L1605" i="2" s="1"/>
  <c r="K1605" i="2" a="1"/>
  <c r="K1605" i="2" s="1"/>
  <c r="J1605" i="2" a="1"/>
  <c r="J1605" i="2" s="1"/>
  <c r="I1605" i="2" a="1"/>
  <c r="I1605" i="2" s="1"/>
  <c r="L1601" i="2" a="1"/>
  <c r="L1601" i="2" s="1"/>
  <c r="K1601" i="2" a="1"/>
  <c r="K1601" i="2" s="1"/>
  <c r="J1601" i="2" a="1"/>
  <c r="J1601" i="2" s="1"/>
  <c r="I1601" i="2" a="1"/>
  <c r="I1601" i="2" s="1"/>
  <c r="K1597" i="2" a="1"/>
  <c r="K1597" i="2" s="1"/>
  <c r="L1597" i="2" a="1"/>
  <c r="L1597" i="2" s="1"/>
  <c r="I1597" i="2" a="1"/>
  <c r="I1597" i="2" s="1"/>
  <c r="J1597" i="2" a="1"/>
  <c r="J1597" i="2" s="1"/>
  <c r="K1593" i="2" a="1"/>
  <c r="K1593" i="2" s="1"/>
  <c r="L1593" i="2" a="1"/>
  <c r="L1593" i="2" s="1"/>
  <c r="J1593" i="2" a="1"/>
  <c r="J1593" i="2" s="1"/>
  <c r="I1593" i="2" a="1"/>
  <c r="I1593" i="2" s="1"/>
  <c r="L1589" i="2" a="1"/>
  <c r="L1589" i="2" s="1"/>
  <c r="K1589" i="2" a="1"/>
  <c r="K1589" i="2" s="1"/>
  <c r="J1589" i="2" a="1"/>
  <c r="J1589" i="2" s="1"/>
  <c r="I1589" i="2" a="1"/>
  <c r="I1589" i="2" s="1"/>
  <c r="L1585" i="2" a="1"/>
  <c r="L1585" i="2" s="1"/>
  <c r="K1585" i="2" a="1"/>
  <c r="K1585" i="2" s="1"/>
  <c r="J1585" i="2" a="1"/>
  <c r="J1585" i="2" s="1"/>
  <c r="I1585" i="2" a="1"/>
  <c r="I1585" i="2" s="1"/>
  <c r="L1581" i="2" a="1"/>
  <c r="L1581" i="2" s="1"/>
  <c r="K1581" i="2" a="1"/>
  <c r="K1581" i="2" s="1"/>
  <c r="J1581" i="2" a="1"/>
  <c r="J1581" i="2" s="1"/>
  <c r="I1581" i="2" a="1"/>
  <c r="I1581" i="2" s="1"/>
  <c r="K1577" i="2" a="1"/>
  <c r="K1577" i="2" s="1"/>
  <c r="L1577" i="2" a="1"/>
  <c r="L1577" i="2" s="1"/>
  <c r="I1577" i="2" a="1"/>
  <c r="I1577" i="2" s="1"/>
  <c r="J1577" i="2" a="1"/>
  <c r="J1577" i="2" s="1"/>
  <c r="L1573" i="2" a="1"/>
  <c r="L1573" i="2" s="1"/>
  <c r="K1573" i="2" a="1"/>
  <c r="K1573" i="2" s="1"/>
  <c r="J1573" i="2" a="1"/>
  <c r="J1573" i="2" s="1"/>
  <c r="I1573" i="2" a="1"/>
  <c r="I1573" i="2" s="1"/>
  <c r="K1569" i="2" a="1"/>
  <c r="K1569" i="2" s="1"/>
  <c r="L1569" i="2" a="1"/>
  <c r="L1569" i="2" s="1"/>
  <c r="J1569" i="2" a="1"/>
  <c r="J1569" i="2" s="1"/>
  <c r="I1569" i="2" a="1"/>
  <c r="I1569" i="2" s="1"/>
  <c r="K1565" i="2" a="1"/>
  <c r="K1565" i="2" s="1"/>
  <c r="L1565" i="2" a="1"/>
  <c r="L1565" i="2" s="1"/>
  <c r="J1565" i="2" a="1"/>
  <c r="J1565" i="2" s="1"/>
  <c r="I1565" i="2" a="1"/>
  <c r="I1565" i="2" s="1"/>
  <c r="K1561" i="2" a="1"/>
  <c r="K1561" i="2" s="1"/>
  <c r="L1561" i="2" a="1"/>
  <c r="L1561" i="2" s="1"/>
  <c r="I1561" i="2" a="1"/>
  <c r="I1561" i="2" s="1"/>
  <c r="J1561" i="2" a="1"/>
  <c r="J1561" i="2" s="1"/>
  <c r="K1557" i="2" a="1"/>
  <c r="K1557" i="2" s="1"/>
  <c r="L1557" i="2" a="1"/>
  <c r="L1557" i="2" s="1"/>
  <c r="J1557" i="2" a="1"/>
  <c r="J1557" i="2" s="1"/>
  <c r="I1557" i="2" a="1"/>
  <c r="I1557" i="2" s="1"/>
  <c r="L1553" i="2" a="1"/>
  <c r="L1553" i="2" s="1"/>
  <c r="K1553" i="2" a="1"/>
  <c r="K1553" i="2" s="1"/>
  <c r="J1553" i="2" a="1"/>
  <c r="J1553" i="2" s="1"/>
  <c r="I1553" i="2" a="1"/>
  <c r="I1553" i="2" s="1"/>
  <c r="K1549" i="2" a="1"/>
  <c r="K1549" i="2" s="1"/>
  <c r="L1549" i="2" a="1"/>
  <c r="L1549" i="2" s="1"/>
  <c r="J1549" i="2" a="1"/>
  <c r="J1549" i="2" s="1"/>
  <c r="I1549" i="2" a="1"/>
  <c r="I1549" i="2" s="1"/>
  <c r="K1545" i="2" a="1"/>
  <c r="K1545" i="2" s="1"/>
  <c r="L1545" i="2" a="1"/>
  <c r="L1545" i="2" s="1"/>
  <c r="J1545" i="2" a="1"/>
  <c r="J1545" i="2" s="1"/>
  <c r="I1545" i="2" a="1"/>
  <c r="I1545" i="2" s="1"/>
  <c r="L1541" i="2" a="1"/>
  <c r="L1541" i="2" s="1"/>
  <c r="K1541" i="2" a="1"/>
  <c r="K1541" i="2" s="1"/>
  <c r="I1541" i="2" a="1"/>
  <c r="I1541" i="2" s="1"/>
  <c r="J1541" i="2" a="1"/>
  <c r="J1541" i="2" s="1"/>
  <c r="L1537" i="2" a="1"/>
  <c r="L1537" i="2" s="1"/>
  <c r="K1537" i="2" a="1"/>
  <c r="K1537" i="2" s="1"/>
  <c r="J1537" i="2" a="1"/>
  <c r="J1537" i="2" s="1"/>
  <c r="I1537" i="2" a="1"/>
  <c r="I1537" i="2" s="1"/>
  <c r="L1533" i="2" a="1"/>
  <c r="L1533" i="2" s="1"/>
  <c r="K1533" i="2" a="1"/>
  <c r="K1533" i="2" s="1"/>
  <c r="J1533" i="2" a="1"/>
  <c r="J1533" i="2" s="1"/>
  <c r="I1533" i="2" a="1"/>
  <c r="I1533" i="2" s="1"/>
  <c r="K1529" i="2" a="1"/>
  <c r="K1529" i="2" s="1"/>
  <c r="L1529" i="2" a="1"/>
  <c r="L1529" i="2" s="1"/>
  <c r="J1529" i="2" a="1"/>
  <c r="J1529" i="2" s="1"/>
  <c r="I1529" i="2" a="1"/>
  <c r="I1529" i="2" s="1"/>
  <c r="L1525" i="2" a="1"/>
  <c r="L1525" i="2" s="1"/>
  <c r="K1525" i="2" a="1"/>
  <c r="K1525" i="2" s="1"/>
  <c r="I1525" i="2" a="1"/>
  <c r="I1525" i="2" s="1"/>
  <c r="J1525" i="2" a="1"/>
  <c r="J1525" i="2" s="1"/>
  <c r="K1521" i="2" a="1"/>
  <c r="K1521" i="2" s="1"/>
  <c r="L1521" i="2" a="1"/>
  <c r="L1521" i="2" s="1"/>
  <c r="J1521" i="2" a="1"/>
  <c r="J1521" i="2" s="1"/>
  <c r="I1521" i="2" a="1"/>
  <c r="I1521" i="2" s="1"/>
  <c r="L1517" i="2" a="1"/>
  <c r="L1517" i="2" s="1"/>
  <c r="K1517" i="2" a="1"/>
  <c r="K1517" i="2" s="1"/>
  <c r="J1517" i="2" a="1"/>
  <c r="J1517" i="2" s="1"/>
  <c r="I1517" i="2" a="1"/>
  <c r="I1517" i="2" s="1"/>
  <c r="K1513" i="2" a="1"/>
  <c r="K1513" i="2" s="1"/>
  <c r="L1513" i="2" a="1"/>
  <c r="L1513" i="2" s="1"/>
  <c r="J1513" i="2" a="1"/>
  <c r="J1513" i="2" s="1"/>
  <c r="I1513" i="2" a="1"/>
  <c r="I1513" i="2" s="1"/>
  <c r="K1509" i="2" a="1"/>
  <c r="K1509" i="2" s="1"/>
  <c r="L1509" i="2" a="1"/>
  <c r="L1509" i="2" s="1"/>
  <c r="J1509" i="2" a="1"/>
  <c r="J1509" i="2" s="1"/>
  <c r="I1509" i="2" a="1"/>
  <c r="I1509" i="2" s="1"/>
  <c r="K1505" i="2" a="1"/>
  <c r="K1505" i="2" s="1"/>
  <c r="L1505" i="2" a="1"/>
  <c r="L1505" i="2" s="1"/>
  <c r="I1505" i="2" a="1"/>
  <c r="I1505" i="2" s="1"/>
  <c r="J1505" i="2" a="1"/>
  <c r="J1505" i="2" s="1"/>
  <c r="L1501" i="2" a="1"/>
  <c r="L1501" i="2" s="1"/>
  <c r="K1501" i="2" a="1"/>
  <c r="K1501" i="2" s="1"/>
  <c r="J1501" i="2" a="1"/>
  <c r="J1501" i="2" s="1"/>
  <c r="I1501" i="2" a="1"/>
  <c r="I1501" i="2" s="1"/>
  <c r="K1497" i="2" a="1"/>
  <c r="K1497" i="2" s="1"/>
  <c r="L1497" i="2" a="1"/>
  <c r="L1497" i="2" s="1"/>
  <c r="I1497" i="2" a="1"/>
  <c r="I1497" i="2" s="1"/>
  <c r="J1497" i="2" a="1"/>
  <c r="J1497" i="2" s="1"/>
  <c r="L1493" i="2" a="1"/>
  <c r="L1493" i="2" s="1"/>
  <c r="K1493" i="2" a="1"/>
  <c r="K1493" i="2" s="1"/>
  <c r="J1493" i="2" a="1"/>
  <c r="J1493" i="2" s="1"/>
  <c r="I1493" i="2" a="1"/>
  <c r="I1493" i="2" s="1"/>
  <c r="L1489" i="2" a="1"/>
  <c r="L1489" i="2" s="1"/>
  <c r="K1489" i="2" a="1"/>
  <c r="K1489" i="2" s="1"/>
  <c r="I1489" i="2" a="1"/>
  <c r="I1489" i="2" s="1"/>
  <c r="J1489" i="2" a="1"/>
  <c r="J1489" i="2" s="1"/>
  <c r="L1485" i="2" a="1"/>
  <c r="L1485" i="2" s="1"/>
  <c r="K1485" i="2" a="1"/>
  <c r="K1485" i="2" s="1"/>
  <c r="J1485" i="2" a="1"/>
  <c r="J1485" i="2" s="1"/>
  <c r="I1485" i="2" a="1"/>
  <c r="I1485" i="2" s="1"/>
  <c r="K1481" i="2" a="1"/>
  <c r="K1481" i="2" s="1"/>
  <c r="L1481" i="2" a="1"/>
  <c r="L1481" i="2" s="1"/>
  <c r="I1481" i="2" a="1"/>
  <c r="I1481" i="2" s="1"/>
  <c r="J1481" i="2" a="1"/>
  <c r="J1481" i="2" s="1"/>
  <c r="L1477" i="2" a="1"/>
  <c r="L1477" i="2" s="1"/>
  <c r="K1477" i="2" a="1"/>
  <c r="K1477" i="2" s="1"/>
  <c r="J1477" i="2" a="1"/>
  <c r="J1477" i="2" s="1"/>
  <c r="I1477" i="2" a="1"/>
  <c r="I1477" i="2" s="1"/>
  <c r="L1473" i="2" a="1"/>
  <c r="L1473" i="2" s="1"/>
  <c r="K1473" i="2" a="1"/>
  <c r="K1473" i="2" s="1"/>
  <c r="J1473" i="2" a="1"/>
  <c r="J1473" i="2" s="1"/>
  <c r="I1473" i="2" a="1"/>
  <c r="I1473" i="2" s="1"/>
  <c r="L1469" i="2" a="1"/>
  <c r="L1469" i="2" s="1"/>
  <c r="K1469" i="2" a="1"/>
  <c r="K1469" i="2" s="1"/>
  <c r="J1469" i="2" a="1"/>
  <c r="J1469" i="2" s="1"/>
  <c r="I1469" i="2" a="1"/>
  <c r="I1469" i="2" s="1"/>
  <c r="K1465" i="2" a="1"/>
  <c r="K1465" i="2" s="1"/>
  <c r="L1465" i="2" a="1"/>
  <c r="L1465" i="2" s="1"/>
  <c r="J1465" i="2" a="1"/>
  <c r="J1465" i="2" s="1"/>
  <c r="I1465" i="2" a="1"/>
  <c r="I1465" i="2" s="1"/>
  <c r="K1461" i="2" a="1"/>
  <c r="K1461" i="2" s="1"/>
  <c r="L1461" i="2" a="1"/>
  <c r="L1461" i="2" s="1"/>
  <c r="J1461" i="2" a="1"/>
  <c r="J1461" i="2" s="1"/>
  <c r="I1461" i="2" a="1"/>
  <c r="I1461" i="2" s="1"/>
  <c r="K1457" i="2" a="1"/>
  <c r="K1457" i="2" s="1"/>
  <c r="L1457" i="2" a="1"/>
  <c r="L1457" i="2" s="1"/>
  <c r="J1457" i="2" a="1"/>
  <c r="J1457" i="2" s="1"/>
  <c r="I1457" i="2" a="1"/>
  <c r="I1457" i="2" s="1"/>
  <c r="K1453" i="2" a="1"/>
  <c r="K1453" i="2" s="1"/>
  <c r="L1453" i="2" a="1"/>
  <c r="L1453" i="2" s="1"/>
  <c r="J1453" i="2" a="1"/>
  <c r="J1453" i="2" s="1"/>
  <c r="I1453" i="2" a="1"/>
  <c r="I1453" i="2" s="1"/>
  <c r="L1449" i="2" a="1"/>
  <c r="L1449" i="2" s="1"/>
  <c r="K1449" i="2" a="1"/>
  <c r="K1449" i="2" s="1"/>
  <c r="J1449" i="2" a="1"/>
  <c r="J1449" i="2" s="1"/>
  <c r="I1449" i="2" a="1"/>
  <c r="I1449" i="2" s="1"/>
  <c r="K1445" i="2" a="1"/>
  <c r="K1445" i="2" s="1"/>
  <c r="L1445" i="2" a="1"/>
  <c r="L1445" i="2" s="1"/>
  <c r="I1445" i="2" a="1"/>
  <c r="I1445" i="2" s="1"/>
  <c r="J1445" i="2" a="1"/>
  <c r="J1445" i="2" s="1"/>
  <c r="K1441" i="2" a="1"/>
  <c r="K1441" i="2" s="1"/>
  <c r="L1441" i="2" a="1"/>
  <c r="L1441" i="2" s="1"/>
  <c r="J1441" i="2" a="1"/>
  <c r="J1441" i="2" s="1"/>
  <c r="I1441" i="2" a="1"/>
  <c r="I1441" i="2" s="1"/>
  <c r="K1437" i="2" a="1"/>
  <c r="K1437" i="2" s="1"/>
  <c r="L1437" i="2" a="1"/>
  <c r="L1437" i="2" s="1"/>
  <c r="J1437" i="2" a="1"/>
  <c r="J1437" i="2" s="1"/>
  <c r="I1437" i="2" a="1"/>
  <c r="I1437" i="2" s="1"/>
  <c r="L1433" i="2" a="1"/>
  <c r="L1433" i="2" s="1"/>
  <c r="K1433" i="2" a="1"/>
  <c r="K1433" i="2" s="1"/>
  <c r="J1433" i="2" a="1"/>
  <c r="J1433" i="2" s="1"/>
  <c r="I1433" i="2" a="1"/>
  <c r="I1433" i="2" s="1"/>
  <c r="K1429" i="2" a="1"/>
  <c r="K1429" i="2" s="1"/>
  <c r="L1429" i="2" a="1"/>
  <c r="L1429" i="2" s="1"/>
  <c r="J1429" i="2" a="1"/>
  <c r="J1429" i="2" s="1"/>
  <c r="I1429" i="2" a="1"/>
  <c r="I1429" i="2" s="1"/>
  <c r="L1425" i="2" a="1"/>
  <c r="L1425" i="2" s="1"/>
  <c r="K1425" i="2" a="1"/>
  <c r="K1425" i="2" s="1"/>
  <c r="J1425" i="2" a="1"/>
  <c r="J1425" i="2" s="1"/>
  <c r="I1425" i="2" a="1"/>
  <c r="I1425" i="2" s="1"/>
  <c r="K1421" i="2" a="1"/>
  <c r="K1421" i="2" s="1"/>
  <c r="L1421" i="2" a="1"/>
  <c r="L1421" i="2" s="1"/>
  <c r="I1421" i="2" a="1"/>
  <c r="I1421" i="2" s="1"/>
  <c r="J1421" i="2" a="1"/>
  <c r="J1421" i="2" s="1"/>
  <c r="L1417" i="2" a="1"/>
  <c r="L1417" i="2" s="1"/>
  <c r="K1417" i="2" a="1"/>
  <c r="K1417" i="2" s="1"/>
  <c r="I1417" i="2" a="1"/>
  <c r="I1417" i="2" s="1"/>
  <c r="J1417" i="2" a="1"/>
  <c r="J1417" i="2" s="1"/>
  <c r="K1413" i="2" a="1"/>
  <c r="K1413" i="2" s="1"/>
  <c r="L1413" i="2" a="1"/>
  <c r="L1413" i="2" s="1"/>
  <c r="J1413" i="2" a="1"/>
  <c r="J1413" i="2" s="1"/>
  <c r="I1413" i="2" a="1"/>
  <c r="I1413" i="2" s="1"/>
  <c r="L1409" i="2" a="1"/>
  <c r="L1409" i="2" s="1"/>
  <c r="K1409" i="2" a="1"/>
  <c r="K1409" i="2" s="1"/>
  <c r="J1409" i="2" a="1"/>
  <c r="J1409" i="2" s="1"/>
  <c r="I1409" i="2" a="1"/>
  <c r="I1409" i="2" s="1"/>
  <c r="K1405" i="2" a="1"/>
  <c r="K1405" i="2" s="1"/>
  <c r="L1405" i="2" a="1"/>
  <c r="L1405" i="2" s="1"/>
  <c r="J1405" i="2" a="1"/>
  <c r="J1405" i="2" s="1"/>
  <c r="I1405" i="2" a="1"/>
  <c r="I1405" i="2" s="1"/>
  <c r="L1401" i="2" a="1"/>
  <c r="L1401" i="2" s="1"/>
  <c r="K1401" i="2" a="1"/>
  <c r="K1401" i="2" s="1"/>
  <c r="I1401" i="2" a="1"/>
  <c r="I1401" i="2" s="1"/>
  <c r="J1401" i="2" a="1"/>
  <c r="J1401" i="2" s="1"/>
  <c r="L1397" i="2" a="1"/>
  <c r="L1397" i="2" s="1"/>
  <c r="K1397" i="2" a="1"/>
  <c r="K1397" i="2" s="1"/>
  <c r="J1397" i="2" a="1"/>
  <c r="J1397" i="2" s="1"/>
  <c r="I1397" i="2" a="1"/>
  <c r="I1397" i="2" s="1"/>
  <c r="K1393" i="2" a="1"/>
  <c r="K1393" i="2" s="1"/>
  <c r="L1393" i="2" a="1"/>
  <c r="L1393" i="2" s="1"/>
  <c r="I1393" i="2" a="1"/>
  <c r="I1393" i="2" s="1"/>
  <c r="J1393" i="2" a="1"/>
  <c r="J1393" i="2" s="1"/>
  <c r="K1389" i="2" a="1"/>
  <c r="K1389" i="2" s="1"/>
  <c r="L1389" i="2" a="1"/>
  <c r="L1389" i="2" s="1"/>
  <c r="J1389" i="2" a="1"/>
  <c r="J1389" i="2" s="1"/>
  <c r="I1389" i="2" a="1"/>
  <c r="I1389" i="2" s="1"/>
  <c r="L1385" i="2" a="1"/>
  <c r="L1385" i="2" s="1"/>
  <c r="K1385" i="2" a="1"/>
  <c r="K1385" i="2" s="1"/>
  <c r="J1385" i="2" a="1"/>
  <c r="J1385" i="2" s="1"/>
  <c r="I1385" i="2" a="1"/>
  <c r="I1385" i="2" s="1"/>
  <c r="K1381" i="2" a="1"/>
  <c r="K1381" i="2" s="1"/>
  <c r="L1381" i="2" a="1"/>
  <c r="L1381" i="2" s="1"/>
  <c r="J1381" i="2" a="1"/>
  <c r="J1381" i="2" s="1"/>
  <c r="I1381" i="2" a="1"/>
  <c r="I1381" i="2" s="1"/>
  <c r="K1377" i="2" a="1"/>
  <c r="K1377" i="2" s="1"/>
  <c r="L1377" i="2" a="1"/>
  <c r="L1377" i="2" s="1"/>
  <c r="J1377" i="2" a="1"/>
  <c r="J1377" i="2" s="1"/>
  <c r="I1377" i="2" a="1"/>
  <c r="I1377" i="2" s="1"/>
  <c r="K1373" i="2" a="1"/>
  <c r="K1373" i="2" s="1"/>
  <c r="L1373" i="2" a="1"/>
  <c r="L1373" i="2" s="1"/>
  <c r="J1373" i="2" a="1"/>
  <c r="J1373" i="2" s="1"/>
  <c r="I1373" i="2" a="1"/>
  <c r="I1373" i="2" s="1"/>
  <c r="K1369" i="2" a="1"/>
  <c r="K1369" i="2" s="1"/>
  <c r="L1369" i="2" a="1"/>
  <c r="L1369" i="2" s="1"/>
  <c r="I1369" i="2" a="1"/>
  <c r="I1369" i="2" s="1"/>
  <c r="J1369" i="2" a="1"/>
  <c r="J1369" i="2" s="1"/>
  <c r="K1365" i="2" a="1"/>
  <c r="K1365" i="2" s="1"/>
  <c r="L1365" i="2" a="1"/>
  <c r="L1365" i="2" s="1"/>
  <c r="I1365" i="2" a="1"/>
  <c r="I1365" i="2" s="1"/>
  <c r="J1365" i="2" a="1"/>
  <c r="J1365" i="2" s="1"/>
  <c r="L1361" i="2" a="1"/>
  <c r="L1361" i="2" s="1"/>
  <c r="K1361" i="2" a="1"/>
  <c r="K1361" i="2" s="1"/>
  <c r="I1361" i="2" a="1"/>
  <c r="I1361" i="2" s="1"/>
  <c r="J1361" i="2" a="1"/>
  <c r="J1361" i="2" s="1"/>
  <c r="L1357" i="2" a="1"/>
  <c r="L1357" i="2" s="1"/>
  <c r="K1357" i="2" a="1"/>
  <c r="K1357" i="2" s="1"/>
  <c r="I1357" i="2" a="1"/>
  <c r="I1357" i="2" s="1"/>
  <c r="J1357" i="2" a="1"/>
  <c r="J1357" i="2" s="1"/>
  <c r="L1353" i="2" a="1"/>
  <c r="L1353" i="2" s="1"/>
  <c r="K1353" i="2" a="1"/>
  <c r="K1353" i="2" s="1"/>
  <c r="I1353" i="2" a="1"/>
  <c r="I1353" i="2" s="1"/>
  <c r="J1353" i="2" a="1"/>
  <c r="J1353" i="2" s="1"/>
  <c r="K1349" i="2" a="1"/>
  <c r="K1349" i="2" s="1"/>
  <c r="L1349" i="2" a="1"/>
  <c r="L1349" i="2" s="1"/>
  <c r="J1349" i="2" a="1"/>
  <c r="J1349" i="2" s="1"/>
  <c r="I1349" i="2" a="1"/>
  <c r="I1349" i="2" s="1"/>
  <c r="L1345" i="2" a="1"/>
  <c r="L1345" i="2" s="1"/>
  <c r="K1345" i="2" a="1"/>
  <c r="K1345" i="2" s="1"/>
  <c r="J1345" i="2" a="1"/>
  <c r="J1345" i="2" s="1"/>
  <c r="I1345" i="2" a="1"/>
  <c r="I1345" i="2" s="1"/>
  <c r="K1341" i="2" a="1"/>
  <c r="K1341" i="2" s="1"/>
  <c r="L1341" i="2" a="1"/>
  <c r="L1341" i="2" s="1"/>
  <c r="J1341" i="2" a="1"/>
  <c r="J1341" i="2" s="1"/>
  <c r="I1341" i="2" a="1"/>
  <c r="I1341" i="2" s="1"/>
  <c r="L1337" i="2" a="1"/>
  <c r="L1337" i="2" s="1"/>
  <c r="K1337" i="2" a="1"/>
  <c r="K1337" i="2" s="1"/>
  <c r="J1337" i="2" a="1"/>
  <c r="J1337" i="2" s="1"/>
  <c r="I1337" i="2" a="1"/>
  <c r="I1337" i="2" s="1"/>
  <c r="L1333" i="2" a="1"/>
  <c r="L1333" i="2" s="1"/>
  <c r="K1333" i="2" a="1"/>
  <c r="K1333" i="2" s="1"/>
  <c r="J1333" i="2" a="1"/>
  <c r="J1333" i="2" s="1"/>
  <c r="I1333" i="2" a="1"/>
  <c r="I1333" i="2" s="1"/>
  <c r="K1329" i="2" a="1"/>
  <c r="K1329" i="2" s="1"/>
  <c r="L1329" i="2" a="1"/>
  <c r="L1329" i="2" s="1"/>
  <c r="J1329" i="2" a="1"/>
  <c r="J1329" i="2" s="1"/>
  <c r="I1329" i="2" a="1"/>
  <c r="I1329" i="2" s="1"/>
  <c r="L1325" i="2" a="1"/>
  <c r="L1325" i="2" s="1"/>
  <c r="K1325" i="2" a="1"/>
  <c r="K1325" i="2" s="1"/>
  <c r="J1325" i="2" a="1"/>
  <c r="J1325" i="2" s="1"/>
  <c r="I1325" i="2" a="1"/>
  <c r="I1325" i="2" s="1"/>
  <c r="K1321" i="2" a="1"/>
  <c r="K1321" i="2" s="1"/>
  <c r="L1321" i="2" a="1"/>
  <c r="L1321" i="2" s="1"/>
  <c r="J1321" i="2" a="1"/>
  <c r="J1321" i="2" s="1"/>
  <c r="I1321" i="2" a="1"/>
  <c r="I1321" i="2" s="1"/>
  <c r="L1317" i="2" a="1"/>
  <c r="L1317" i="2" s="1"/>
  <c r="K1317" i="2" a="1"/>
  <c r="K1317" i="2" s="1"/>
  <c r="J1317" i="2" a="1"/>
  <c r="J1317" i="2" s="1"/>
  <c r="I1317" i="2" a="1"/>
  <c r="I1317" i="2" s="1"/>
  <c r="K1313" i="2" a="1"/>
  <c r="K1313" i="2" s="1"/>
  <c r="L1313" i="2" a="1"/>
  <c r="L1313" i="2" s="1"/>
  <c r="J1313" i="2" a="1"/>
  <c r="J1313" i="2" s="1"/>
  <c r="I1313" i="2" a="1"/>
  <c r="I1313" i="2" s="1"/>
  <c r="L1309" i="2" a="1"/>
  <c r="L1309" i="2" s="1"/>
  <c r="K1309" i="2" a="1"/>
  <c r="K1309" i="2" s="1"/>
  <c r="J1309" i="2" a="1"/>
  <c r="J1309" i="2" s="1"/>
  <c r="I1309" i="2" a="1"/>
  <c r="I1309" i="2" s="1"/>
  <c r="K1305" i="2" a="1"/>
  <c r="K1305" i="2" s="1"/>
  <c r="L1305" i="2" a="1"/>
  <c r="L1305" i="2" s="1"/>
  <c r="J1305" i="2" a="1"/>
  <c r="J1305" i="2" s="1"/>
  <c r="I1305" i="2" a="1"/>
  <c r="I1305" i="2" s="1"/>
  <c r="L1301" i="2" a="1"/>
  <c r="L1301" i="2" s="1"/>
  <c r="K1301" i="2" a="1"/>
  <c r="K1301" i="2" s="1"/>
  <c r="J1301" i="2" a="1"/>
  <c r="J1301" i="2" s="1"/>
  <c r="I1301" i="2" a="1"/>
  <c r="I1301" i="2" s="1"/>
  <c r="K1297" i="2" a="1"/>
  <c r="K1297" i="2" s="1"/>
  <c r="L1297" i="2" a="1"/>
  <c r="L1297" i="2" s="1"/>
  <c r="I1297" i="2" a="1"/>
  <c r="I1297" i="2" s="1"/>
  <c r="J1297" i="2" a="1"/>
  <c r="J1297" i="2" s="1"/>
  <c r="L1293" i="2" a="1"/>
  <c r="L1293" i="2" s="1"/>
  <c r="K1293" i="2" a="1"/>
  <c r="K1293" i="2" s="1"/>
  <c r="I1293" i="2" a="1"/>
  <c r="I1293" i="2" s="1"/>
  <c r="J1293" i="2" a="1"/>
  <c r="J1293" i="2" s="1"/>
  <c r="K1289" i="2" a="1"/>
  <c r="K1289" i="2" s="1"/>
  <c r="L1289" i="2" a="1"/>
  <c r="L1289" i="2" s="1"/>
  <c r="I1289" i="2" a="1"/>
  <c r="I1289" i="2" s="1"/>
  <c r="J1289" i="2" a="1"/>
  <c r="J1289" i="2" s="1"/>
  <c r="L1285" i="2" a="1"/>
  <c r="L1285" i="2" s="1"/>
  <c r="K1285" i="2" a="1"/>
  <c r="K1285" i="2" s="1"/>
  <c r="I1285" i="2" a="1"/>
  <c r="I1285" i="2" s="1"/>
  <c r="J1285" i="2" a="1"/>
  <c r="J1285" i="2" s="1"/>
  <c r="K1281" i="2" a="1"/>
  <c r="K1281" i="2" s="1"/>
  <c r="L1281" i="2" a="1"/>
  <c r="L1281" i="2" s="1"/>
  <c r="I1281" i="2" a="1"/>
  <c r="I1281" i="2" s="1"/>
  <c r="J1281" i="2" a="1"/>
  <c r="J1281" i="2" s="1"/>
  <c r="L1277" i="2" a="1"/>
  <c r="L1277" i="2" s="1"/>
  <c r="K1277" i="2" a="1"/>
  <c r="K1277" i="2" s="1"/>
  <c r="J1277" i="2" a="1"/>
  <c r="J1277" i="2" s="1"/>
  <c r="I1277" i="2" a="1"/>
  <c r="I1277" i="2" s="1"/>
  <c r="K1273" i="2" a="1"/>
  <c r="K1273" i="2" s="1"/>
  <c r="L1273" i="2" a="1"/>
  <c r="L1273" i="2" s="1"/>
  <c r="J1273" i="2" a="1"/>
  <c r="J1273" i="2" s="1"/>
  <c r="I1273" i="2" a="1"/>
  <c r="I1273" i="2" s="1"/>
  <c r="L1269" i="2" a="1"/>
  <c r="L1269" i="2" s="1"/>
  <c r="K1269" i="2" a="1"/>
  <c r="K1269" i="2" s="1"/>
  <c r="J1269" i="2" a="1"/>
  <c r="J1269" i="2" s="1"/>
  <c r="I1269" i="2" a="1"/>
  <c r="I1269" i="2" s="1"/>
  <c r="K1265" i="2" a="1"/>
  <c r="K1265" i="2" s="1"/>
  <c r="L1265" i="2" a="1"/>
  <c r="L1265" i="2" s="1"/>
  <c r="I1265" i="2" a="1"/>
  <c r="I1265" i="2" s="1"/>
  <c r="J1265" i="2" a="1"/>
  <c r="J1265" i="2" s="1"/>
  <c r="L1261" i="2" a="1"/>
  <c r="L1261" i="2" s="1"/>
  <c r="K1261" i="2" a="1"/>
  <c r="K1261" i="2" s="1"/>
  <c r="J1261" i="2" a="1"/>
  <c r="J1261" i="2" s="1"/>
  <c r="I1261" i="2" a="1"/>
  <c r="I1261" i="2" s="1"/>
  <c r="K1257" i="2" a="1"/>
  <c r="K1257" i="2" s="1"/>
  <c r="L1257" i="2" a="1"/>
  <c r="L1257" i="2" s="1"/>
  <c r="J1257" i="2" a="1"/>
  <c r="J1257" i="2" s="1"/>
  <c r="I1257" i="2" a="1"/>
  <c r="I1257" i="2" s="1"/>
  <c r="L1253" i="2" a="1"/>
  <c r="L1253" i="2" s="1"/>
  <c r="K1253" i="2" a="1"/>
  <c r="K1253" i="2" s="1"/>
  <c r="J1253" i="2" a="1"/>
  <c r="J1253" i="2" s="1"/>
  <c r="I1253" i="2" a="1"/>
  <c r="I1253" i="2" s="1"/>
  <c r="K1249" i="2" a="1"/>
  <c r="K1249" i="2" s="1"/>
  <c r="L1249" i="2" a="1"/>
  <c r="L1249" i="2" s="1"/>
  <c r="J1249" i="2" a="1"/>
  <c r="J1249" i="2" s="1"/>
  <c r="I1249" i="2" a="1"/>
  <c r="I1249" i="2" s="1"/>
  <c r="L1245" i="2" a="1"/>
  <c r="L1245" i="2" s="1"/>
  <c r="K1245" i="2" a="1"/>
  <c r="K1245" i="2" s="1"/>
  <c r="J1245" i="2" a="1"/>
  <c r="J1245" i="2" s="1"/>
  <c r="I1245" i="2" a="1"/>
  <c r="I1245" i="2" s="1"/>
  <c r="K1241" i="2" a="1"/>
  <c r="K1241" i="2" s="1"/>
  <c r="L1241" i="2" a="1"/>
  <c r="L1241" i="2" s="1"/>
  <c r="J1241" i="2" a="1"/>
  <c r="J1241" i="2" s="1"/>
  <c r="I1241" i="2" a="1"/>
  <c r="I1241" i="2" s="1"/>
  <c r="L1237" i="2" a="1"/>
  <c r="L1237" i="2" s="1"/>
  <c r="K1237" i="2" a="1"/>
  <c r="K1237" i="2" s="1"/>
  <c r="J1237" i="2" a="1"/>
  <c r="J1237" i="2" s="1"/>
  <c r="I1237" i="2" a="1"/>
  <c r="I1237" i="2" s="1"/>
  <c r="K1233" i="2" a="1"/>
  <c r="K1233" i="2" s="1"/>
  <c r="L1233" i="2" a="1"/>
  <c r="L1233" i="2" s="1"/>
  <c r="J1233" i="2" a="1"/>
  <c r="J1233" i="2" s="1"/>
  <c r="I1233" i="2" a="1"/>
  <c r="I1233" i="2" s="1"/>
  <c r="L1229" i="2" a="1"/>
  <c r="L1229" i="2" s="1"/>
  <c r="K1229" i="2" a="1"/>
  <c r="K1229" i="2" s="1"/>
  <c r="I1229" i="2" a="1"/>
  <c r="I1229" i="2" s="1"/>
  <c r="J1229" i="2" a="1"/>
  <c r="J1229" i="2" s="1"/>
  <c r="K1225" i="2" a="1"/>
  <c r="K1225" i="2" s="1"/>
  <c r="L1225" i="2" a="1"/>
  <c r="L1225" i="2" s="1"/>
  <c r="J1225" i="2" a="1"/>
  <c r="J1225" i="2" s="1"/>
  <c r="I1225" i="2" a="1"/>
  <c r="I1225" i="2" s="1"/>
  <c r="K1221" i="2" a="1"/>
  <c r="K1221" i="2" s="1"/>
  <c r="L1221" i="2" a="1"/>
  <c r="L1221" i="2" s="1"/>
  <c r="J1221" i="2" a="1"/>
  <c r="J1221" i="2" s="1"/>
  <c r="I1221" i="2" a="1"/>
  <c r="I1221" i="2" s="1"/>
  <c r="L1217" i="2" a="1"/>
  <c r="L1217" i="2" s="1"/>
  <c r="K1217" i="2" a="1"/>
  <c r="K1217" i="2" s="1"/>
  <c r="J1217" i="2" a="1"/>
  <c r="J1217" i="2" s="1"/>
  <c r="I1217" i="2" a="1"/>
  <c r="I1217" i="2" s="1"/>
  <c r="K1213" i="2" a="1"/>
  <c r="K1213" i="2" s="1"/>
  <c r="L1213" i="2" a="1"/>
  <c r="L1213" i="2" s="1"/>
  <c r="I1213" i="2" a="1"/>
  <c r="I1213" i="2" s="1"/>
  <c r="J1213" i="2" a="1"/>
  <c r="J1213" i="2" s="1"/>
  <c r="L1209" i="2" a="1"/>
  <c r="L1209" i="2" s="1"/>
  <c r="K1209" i="2" a="1"/>
  <c r="K1209" i="2" s="1"/>
  <c r="J1209" i="2" a="1"/>
  <c r="J1209" i="2" s="1"/>
  <c r="I1209" i="2" a="1"/>
  <c r="I1209" i="2" s="1"/>
  <c r="K1205" i="2" a="1"/>
  <c r="K1205" i="2" s="1"/>
  <c r="L1205" i="2" a="1"/>
  <c r="L1205" i="2" s="1"/>
  <c r="J1205" i="2" a="1"/>
  <c r="J1205" i="2" s="1"/>
  <c r="I1205" i="2" a="1"/>
  <c r="I1205" i="2" s="1"/>
  <c r="L1201" i="2" a="1"/>
  <c r="L1201" i="2" s="1"/>
  <c r="K1201" i="2" a="1"/>
  <c r="K1201" i="2" s="1"/>
  <c r="J1201" i="2" a="1"/>
  <c r="J1201" i="2" s="1"/>
  <c r="I1201" i="2" a="1"/>
  <c r="I1201" i="2" s="1"/>
  <c r="K1197" i="2" a="1"/>
  <c r="K1197" i="2" s="1"/>
  <c r="L1197" i="2" a="1"/>
  <c r="L1197" i="2" s="1"/>
  <c r="J1197" i="2" a="1"/>
  <c r="J1197" i="2" s="1"/>
  <c r="I1197" i="2" a="1"/>
  <c r="I1197" i="2" s="1"/>
  <c r="L1193" i="2" a="1"/>
  <c r="L1193" i="2" s="1"/>
  <c r="K1193" i="2" a="1"/>
  <c r="K1193" i="2" s="1"/>
  <c r="J1193" i="2" a="1"/>
  <c r="J1193" i="2" s="1"/>
  <c r="I1193" i="2" a="1"/>
  <c r="I1193" i="2" s="1"/>
  <c r="K1189" i="2" a="1"/>
  <c r="K1189" i="2" s="1"/>
  <c r="L1189" i="2" a="1"/>
  <c r="L1189" i="2" s="1"/>
  <c r="J1189" i="2" a="1"/>
  <c r="J1189" i="2" s="1"/>
  <c r="I1189" i="2" a="1"/>
  <c r="I1189" i="2" s="1"/>
  <c r="L1185" i="2" a="1"/>
  <c r="L1185" i="2" s="1"/>
  <c r="K1185" i="2" a="1"/>
  <c r="K1185" i="2" s="1"/>
  <c r="J1185" i="2" a="1"/>
  <c r="J1185" i="2" s="1"/>
  <c r="I1185" i="2" a="1"/>
  <c r="I1185" i="2" s="1"/>
  <c r="K1181" i="2" a="1"/>
  <c r="K1181" i="2" s="1"/>
  <c r="L1181" i="2" a="1"/>
  <c r="L1181" i="2" s="1"/>
  <c r="J1181" i="2" a="1"/>
  <c r="J1181" i="2" s="1"/>
  <c r="I1181" i="2" a="1"/>
  <c r="I1181" i="2" s="1"/>
  <c r="L1177" i="2" a="1"/>
  <c r="L1177" i="2" s="1"/>
  <c r="K1177" i="2" a="1"/>
  <c r="K1177" i="2" s="1"/>
  <c r="J1177" i="2" a="1"/>
  <c r="J1177" i="2" s="1"/>
  <c r="I1177" i="2" a="1"/>
  <c r="I1177" i="2" s="1"/>
  <c r="L1173" i="2" a="1"/>
  <c r="L1173" i="2" s="1"/>
  <c r="K1173" i="2" a="1"/>
  <c r="K1173" i="2" s="1"/>
  <c r="I1173" i="2" a="1"/>
  <c r="I1173" i="2" s="1"/>
  <c r="J1173" i="2" a="1"/>
  <c r="J1173" i="2" s="1"/>
  <c r="K1169" i="2" a="1"/>
  <c r="K1169" i="2" s="1"/>
  <c r="L1169" i="2" a="1"/>
  <c r="L1169" i="2" s="1"/>
  <c r="J1169" i="2" a="1"/>
  <c r="J1169" i="2" s="1"/>
  <c r="I1169" i="2" a="1"/>
  <c r="I1169" i="2" s="1"/>
  <c r="L1165" i="2" a="1"/>
  <c r="L1165" i="2" s="1"/>
  <c r="K1165" i="2" a="1"/>
  <c r="K1165" i="2" s="1"/>
  <c r="I1165" i="2" a="1"/>
  <c r="I1165" i="2" s="1"/>
  <c r="J1165" i="2" a="1"/>
  <c r="J1165" i="2" s="1"/>
  <c r="K1161" i="2" a="1"/>
  <c r="K1161" i="2" s="1"/>
  <c r="L1161" i="2" a="1"/>
  <c r="L1161" i="2" s="1"/>
  <c r="I1161" i="2" a="1"/>
  <c r="I1161" i="2" s="1"/>
  <c r="J1161" i="2" a="1"/>
  <c r="J1161" i="2" s="1"/>
  <c r="L1157" i="2" a="1"/>
  <c r="L1157" i="2" s="1"/>
  <c r="K1157" i="2" a="1"/>
  <c r="K1157" i="2" s="1"/>
  <c r="J1157" i="2" a="1"/>
  <c r="J1157" i="2" s="1"/>
  <c r="I1157" i="2" a="1"/>
  <c r="I1157" i="2" s="1"/>
  <c r="K1153" i="2" a="1"/>
  <c r="K1153" i="2" s="1"/>
  <c r="L1153" i="2" a="1"/>
  <c r="L1153" i="2" s="1"/>
  <c r="I1153" i="2" a="1"/>
  <c r="I1153" i="2" s="1"/>
  <c r="J1153" i="2" a="1"/>
  <c r="J1153" i="2" s="1"/>
  <c r="L1149" i="2" a="1"/>
  <c r="L1149" i="2" s="1"/>
  <c r="K1149" i="2" a="1"/>
  <c r="K1149" i="2" s="1"/>
  <c r="J1149" i="2" a="1"/>
  <c r="J1149" i="2" s="1"/>
  <c r="I1149" i="2" a="1"/>
  <c r="I1149" i="2" s="1"/>
  <c r="L1145" i="2" a="1"/>
  <c r="L1145" i="2" s="1"/>
  <c r="K1145" i="2" a="1"/>
  <c r="K1145" i="2" s="1"/>
  <c r="I1145" i="2" a="1"/>
  <c r="I1145" i="2" s="1"/>
  <c r="J1145" i="2" a="1"/>
  <c r="J1145" i="2" s="1"/>
  <c r="K1141" i="2" a="1"/>
  <c r="K1141" i="2" s="1"/>
  <c r="L1141" i="2" a="1"/>
  <c r="L1141" i="2" s="1"/>
  <c r="J1141" i="2" a="1"/>
  <c r="J1141" i="2" s="1"/>
  <c r="I1141" i="2" a="1"/>
  <c r="I1141" i="2" s="1"/>
  <c r="L1137" i="2" a="1"/>
  <c r="L1137" i="2" s="1"/>
  <c r="K1137" i="2" a="1"/>
  <c r="K1137" i="2" s="1"/>
  <c r="J1137" i="2" a="1"/>
  <c r="J1137" i="2" s="1"/>
  <c r="I1137" i="2" a="1"/>
  <c r="I1137" i="2" s="1"/>
  <c r="K1133" i="2" a="1"/>
  <c r="K1133" i="2" s="1"/>
  <c r="L1133" i="2" a="1"/>
  <c r="L1133" i="2" s="1"/>
  <c r="I1133" i="2" a="1"/>
  <c r="I1133" i="2" s="1"/>
  <c r="J1133" i="2" a="1"/>
  <c r="J1133" i="2" s="1"/>
  <c r="L1129" i="2" a="1"/>
  <c r="L1129" i="2" s="1"/>
  <c r="K1129" i="2" a="1"/>
  <c r="K1129" i="2" s="1"/>
  <c r="I1129" i="2" a="1"/>
  <c r="I1129" i="2" s="1"/>
  <c r="J1129" i="2" a="1"/>
  <c r="J1129" i="2" s="1"/>
  <c r="K1125" i="2" a="1"/>
  <c r="K1125" i="2" s="1"/>
  <c r="L1125" i="2" a="1"/>
  <c r="L1125" i="2" s="1"/>
  <c r="J1125" i="2" a="1"/>
  <c r="J1125" i="2" s="1"/>
  <c r="I1125" i="2" a="1"/>
  <c r="I1125" i="2" s="1"/>
  <c r="L1121" i="2" a="1"/>
  <c r="L1121" i="2" s="1"/>
  <c r="K1121" i="2" a="1"/>
  <c r="K1121" i="2" s="1"/>
  <c r="J1121" i="2" a="1"/>
  <c r="J1121" i="2" s="1"/>
  <c r="I1121" i="2" a="1"/>
  <c r="I1121" i="2" s="1"/>
  <c r="K1117" i="2" a="1"/>
  <c r="K1117" i="2" s="1"/>
  <c r="L1117" i="2" a="1"/>
  <c r="L1117" i="2" s="1"/>
  <c r="I1117" i="2" a="1"/>
  <c r="I1117" i="2" s="1"/>
  <c r="J1117" i="2" a="1"/>
  <c r="J1117" i="2" s="1"/>
  <c r="L1113" i="2" a="1"/>
  <c r="L1113" i="2" s="1"/>
  <c r="K1113" i="2" a="1"/>
  <c r="K1113" i="2" s="1"/>
  <c r="J1113" i="2" a="1"/>
  <c r="J1113" i="2" s="1"/>
  <c r="I1113" i="2" a="1"/>
  <c r="I1113" i="2" s="1"/>
  <c r="K1109" i="2" a="1"/>
  <c r="K1109" i="2" s="1"/>
  <c r="L1109" i="2" a="1"/>
  <c r="L1109" i="2" s="1"/>
  <c r="I1109" i="2" a="1"/>
  <c r="I1109" i="2" s="1"/>
  <c r="J1109" i="2" a="1"/>
  <c r="J1109" i="2" s="1"/>
  <c r="L1105" i="2" a="1"/>
  <c r="L1105" i="2" s="1"/>
  <c r="K1105" i="2" a="1"/>
  <c r="K1105" i="2" s="1"/>
  <c r="I1105" i="2" a="1"/>
  <c r="I1105" i="2" s="1"/>
  <c r="J1105" i="2" a="1"/>
  <c r="J1105" i="2" s="1"/>
  <c r="K1101" i="2" a="1"/>
  <c r="K1101" i="2" s="1"/>
  <c r="L1101" i="2" a="1"/>
  <c r="L1101" i="2" s="1"/>
  <c r="J1101" i="2" a="1"/>
  <c r="J1101" i="2" s="1"/>
  <c r="I1101" i="2" a="1"/>
  <c r="I1101" i="2" s="1"/>
  <c r="L1097" i="2" a="1"/>
  <c r="L1097" i="2" s="1"/>
  <c r="K1097" i="2" a="1"/>
  <c r="K1097" i="2" s="1"/>
  <c r="J1097" i="2" a="1"/>
  <c r="J1097" i="2" s="1"/>
  <c r="I1097" i="2" a="1"/>
  <c r="I1097" i="2" s="1"/>
  <c r="K1093" i="2" a="1"/>
  <c r="K1093" i="2" s="1"/>
  <c r="L1093" i="2" a="1"/>
  <c r="L1093" i="2" s="1"/>
  <c r="I1093" i="2" a="1"/>
  <c r="I1093" i="2" s="1"/>
  <c r="J1093" i="2" a="1"/>
  <c r="J1093" i="2" s="1"/>
  <c r="L1089" i="2" a="1"/>
  <c r="L1089" i="2" s="1"/>
  <c r="K1089" i="2" a="1"/>
  <c r="K1089" i="2" s="1"/>
  <c r="J1089" i="2" a="1"/>
  <c r="J1089" i="2" s="1"/>
  <c r="I1089" i="2" a="1"/>
  <c r="I1089" i="2" s="1"/>
  <c r="K1085" i="2" a="1"/>
  <c r="K1085" i="2" s="1"/>
  <c r="L1085" i="2" a="1"/>
  <c r="L1085" i="2" s="1"/>
  <c r="J1085" i="2" a="1"/>
  <c r="J1085" i="2" s="1"/>
  <c r="I1085" i="2" a="1"/>
  <c r="I1085" i="2" s="1"/>
  <c r="L1081" i="2" a="1"/>
  <c r="L1081" i="2" s="1"/>
  <c r="K1081" i="2" a="1"/>
  <c r="K1081" i="2" s="1"/>
  <c r="J1081" i="2" a="1"/>
  <c r="J1081" i="2" s="1"/>
  <c r="I1081" i="2" a="1"/>
  <c r="I1081" i="2" s="1"/>
  <c r="K1077" i="2" a="1"/>
  <c r="K1077" i="2" s="1"/>
  <c r="L1077" i="2" a="1"/>
  <c r="L1077" i="2" s="1"/>
  <c r="J1077" i="2" a="1"/>
  <c r="J1077" i="2" s="1"/>
  <c r="I1077" i="2" a="1"/>
  <c r="I1077" i="2" s="1"/>
  <c r="L1073" i="2" a="1"/>
  <c r="L1073" i="2" s="1"/>
  <c r="K1073" i="2" a="1"/>
  <c r="K1073" i="2" s="1"/>
  <c r="J1073" i="2" a="1"/>
  <c r="J1073" i="2" s="1"/>
  <c r="I1073" i="2" a="1"/>
  <c r="I1073" i="2" s="1"/>
  <c r="K1069" i="2" a="1"/>
  <c r="K1069" i="2" s="1"/>
  <c r="L1069" i="2" a="1"/>
  <c r="L1069" i="2" s="1"/>
  <c r="J1069" i="2" a="1"/>
  <c r="J1069" i="2" s="1"/>
  <c r="I1069" i="2" a="1"/>
  <c r="I1069" i="2" s="1"/>
  <c r="L1065" i="2" a="1"/>
  <c r="L1065" i="2" s="1"/>
  <c r="K1065" i="2" a="1"/>
  <c r="K1065" i="2" s="1"/>
  <c r="J1065" i="2" a="1"/>
  <c r="J1065" i="2" s="1"/>
  <c r="I1065" i="2" a="1"/>
  <c r="I1065" i="2" s="1"/>
  <c r="K1061" i="2" a="1"/>
  <c r="K1061" i="2" s="1"/>
  <c r="L1061" i="2" a="1"/>
  <c r="L1061" i="2" s="1"/>
  <c r="I1061" i="2" a="1"/>
  <c r="I1061" i="2" s="1"/>
  <c r="J1061" i="2" a="1"/>
  <c r="J1061" i="2" s="1"/>
  <c r="L1057" i="2" a="1"/>
  <c r="L1057" i="2" s="1"/>
  <c r="K1057" i="2" a="1"/>
  <c r="K1057" i="2" s="1"/>
  <c r="I1057" i="2" a="1"/>
  <c r="I1057" i="2" s="1"/>
  <c r="J1057" i="2" a="1"/>
  <c r="J1057" i="2" s="1"/>
  <c r="L1053" i="2" a="1"/>
  <c r="L1053" i="2" s="1"/>
  <c r="K1053" i="2" a="1"/>
  <c r="K1053" i="2" s="1"/>
  <c r="I1053" i="2" a="1"/>
  <c r="I1053" i="2" s="1"/>
  <c r="J1053" i="2" a="1"/>
  <c r="J1053" i="2" s="1"/>
  <c r="L1049" i="2" a="1"/>
  <c r="L1049" i="2" s="1"/>
  <c r="K1049" i="2" a="1"/>
  <c r="K1049" i="2" s="1"/>
  <c r="J1049" i="2" a="1"/>
  <c r="J1049" i="2" s="1"/>
  <c r="I1049" i="2" a="1"/>
  <c r="I1049" i="2" s="1"/>
  <c r="L1045" i="2" a="1"/>
  <c r="L1045" i="2" s="1"/>
  <c r="K1045" i="2" a="1"/>
  <c r="K1045" i="2" s="1"/>
  <c r="J1045" i="2" a="1"/>
  <c r="J1045" i="2" s="1"/>
  <c r="I1045" i="2" a="1"/>
  <c r="I1045" i="2" s="1"/>
  <c r="L1041" i="2" a="1"/>
  <c r="L1041" i="2" s="1"/>
  <c r="K1041" i="2" a="1"/>
  <c r="K1041" i="2" s="1"/>
  <c r="J1041" i="2" a="1"/>
  <c r="J1041" i="2" s="1"/>
  <c r="I1041" i="2" a="1"/>
  <c r="I1041" i="2" s="1"/>
  <c r="L1037" i="2" a="1"/>
  <c r="L1037" i="2" s="1"/>
  <c r="K1037" i="2" a="1"/>
  <c r="K1037" i="2" s="1"/>
  <c r="J1037" i="2" a="1"/>
  <c r="J1037" i="2" s="1"/>
  <c r="I1037" i="2" a="1"/>
  <c r="I1037" i="2" s="1"/>
  <c r="L1033" i="2" a="1"/>
  <c r="L1033" i="2" s="1"/>
  <c r="K1033" i="2" a="1"/>
  <c r="K1033" i="2" s="1"/>
  <c r="I1033" i="2" a="1"/>
  <c r="I1033" i="2" s="1"/>
  <c r="J1033" i="2" a="1"/>
  <c r="J1033" i="2" s="1"/>
  <c r="L1029" i="2" a="1"/>
  <c r="L1029" i="2" s="1"/>
  <c r="K1029" i="2" a="1"/>
  <c r="K1029" i="2" s="1"/>
  <c r="I1029" i="2" a="1"/>
  <c r="I1029" i="2" s="1"/>
  <c r="J1029" i="2" a="1"/>
  <c r="J1029" i="2" s="1"/>
  <c r="L1025" i="2" a="1"/>
  <c r="L1025" i="2" s="1"/>
  <c r="K1025" i="2" a="1"/>
  <c r="K1025" i="2" s="1"/>
  <c r="J1025" i="2" a="1"/>
  <c r="J1025" i="2" s="1"/>
  <c r="I1025" i="2" a="1"/>
  <c r="I1025" i="2" s="1"/>
  <c r="L1021" i="2" a="1"/>
  <c r="L1021" i="2" s="1"/>
  <c r="K1021" i="2" a="1"/>
  <c r="K1021" i="2" s="1"/>
  <c r="J1021" i="2" a="1"/>
  <c r="J1021" i="2" s="1"/>
  <c r="I1021" i="2" a="1"/>
  <c r="I1021" i="2" s="1"/>
  <c r="L1017" i="2" a="1"/>
  <c r="L1017" i="2" s="1"/>
  <c r="K1017" i="2" a="1"/>
  <c r="K1017" i="2" s="1"/>
  <c r="I1017" i="2" a="1"/>
  <c r="I1017" i="2" s="1"/>
  <c r="J1017" i="2" a="1"/>
  <c r="J1017" i="2" s="1"/>
  <c r="L1013" i="2" a="1"/>
  <c r="L1013" i="2" s="1"/>
  <c r="K1013" i="2" a="1"/>
  <c r="K1013" i="2" s="1"/>
  <c r="J1013" i="2" a="1"/>
  <c r="J1013" i="2" s="1"/>
  <c r="I1013" i="2" a="1"/>
  <c r="I1013" i="2" s="1"/>
  <c r="L1009" i="2" a="1"/>
  <c r="L1009" i="2" s="1"/>
  <c r="K1009" i="2" a="1"/>
  <c r="K1009" i="2" s="1"/>
  <c r="J1009" i="2" a="1"/>
  <c r="J1009" i="2" s="1"/>
  <c r="I1009" i="2" a="1"/>
  <c r="I1009" i="2" s="1"/>
  <c r="L1005" i="2" a="1"/>
  <c r="L1005" i="2" s="1"/>
  <c r="K1005" i="2" a="1"/>
  <c r="K1005" i="2" s="1"/>
  <c r="I1005" i="2" a="1"/>
  <c r="I1005" i="2" s="1"/>
  <c r="J1005" i="2" a="1"/>
  <c r="J1005" i="2" s="1"/>
  <c r="L1001" i="2" a="1"/>
  <c r="L1001" i="2" s="1"/>
  <c r="K1001" i="2" a="1"/>
  <c r="K1001" i="2" s="1"/>
  <c r="J1001" i="2" a="1"/>
  <c r="J1001" i="2" s="1"/>
  <c r="I1001" i="2" a="1"/>
  <c r="I1001" i="2" s="1"/>
  <c r="L997" i="2" a="1"/>
  <c r="L997" i="2" s="1"/>
  <c r="K997" i="2" a="1"/>
  <c r="K997" i="2" s="1"/>
  <c r="J997" i="2" a="1"/>
  <c r="J997" i="2" s="1"/>
  <c r="I997" i="2" a="1"/>
  <c r="I997" i="2" s="1"/>
  <c r="L993" i="2" a="1"/>
  <c r="L993" i="2" s="1"/>
  <c r="K993" i="2" a="1"/>
  <c r="K993" i="2" s="1"/>
  <c r="J993" i="2" a="1"/>
  <c r="J993" i="2" s="1"/>
  <c r="I993" i="2" a="1"/>
  <c r="I993" i="2" s="1"/>
  <c r="L989" i="2" a="1"/>
  <c r="L989" i="2" s="1"/>
  <c r="K989" i="2" a="1"/>
  <c r="K989" i="2" s="1"/>
  <c r="J989" i="2" a="1"/>
  <c r="J989" i="2" s="1"/>
  <c r="I989" i="2" a="1"/>
  <c r="I989" i="2" s="1"/>
  <c r="L985" i="2" a="1"/>
  <c r="L985" i="2" s="1"/>
  <c r="K985" i="2" a="1"/>
  <c r="K985" i="2" s="1"/>
  <c r="J985" i="2" a="1"/>
  <c r="J985" i="2" s="1"/>
  <c r="I985" i="2" a="1"/>
  <c r="I985" i="2" s="1"/>
  <c r="L981" i="2" a="1"/>
  <c r="L981" i="2" s="1"/>
  <c r="K981" i="2" a="1"/>
  <c r="K981" i="2" s="1"/>
  <c r="J981" i="2" a="1"/>
  <c r="J981" i="2" s="1"/>
  <c r="I981" i="2" a="1"/>
  <c r="I981" i="2" s="1"/>
  <c r="L977" i="2" a="1"/>
  <c r="L977" i="2" s="1"/>
  <c r="K977" i="2" a="1"/>
  <c r="K977" i="2" s="1"/>
  <c r="J977" i="2" a="1"/>
  <c r="J977" i="2" s="1"/>
  <c r="I977" i="2" a="1"/>
  <c r="I977" i="2" s="1"/>
  <c r="L973" i="2" a="1"/>
  <c r="L973" i="2" s="1"/>
  <c r="K973" i="2" a="1"/>
  <c r="K973" i="2" s="1"/>
  <c r="J973" i="2" a="1"/>
  <c r="J973" i="2" s="1"/>
  <c r="I973" i="2" a="1"/>
  <c r="I973" i="2" s="1"/>
  <c r="L969" i="2" a="1"/>
  <c r="L969" i="2" s="1"/>
  <c r="K969" i="2" a="1"/>
  <c r="K969" i="2" s="1"/>
  <c r="J969" i="2" a="1"/>
  <c r="J969" i="2" s="1"/>
  <c r="I969" i="2" a="1"/>
  <c r="I969" i="2" s="1"/>
  <c r="L965" i="2" a="1"/>
  <c r="L965" i="2" s="1"/>
  <c r="K965" i="2" a="1"/>
  <c r="K965" i="2" s="1"/>
  <c r="J965" i="2" a="1"/>
  <c r="J965" i="2" s="1"/>
  <c r="I965" i="2" a="1"/>
  <c r="I965" i="2" s="1"/>
  <c r="L961" i="2" a="1"/>
  <c r="L961" i="2" s="1"/>
  <c r="K961" i="2" a="1"/>
  <c r="K961" i="2" s="1"/>
  <c r="J961" i="2" a="1"/>
  <c r="J961" i="2" s="1"/>
  <c r="I961" i="2" a="1"/>
  <c r="I961" i="2" s="1"/>
  <c r="L957" i="2" a="1"/>
  <c r="L957" i="2" s="1"/>
  <c r="K957" i="2" a="1"/>
  <c r="K957" i="2" s="1"/>
  <c r="J957" i="2" a="1"/>
  <c r="J957" i="2" s="1"/>
  <c r="I957" i="2" a="1"/>
  <c r="I957" i="2" s="1"/>
  <c r="L953" i="2" a="1"/>
  <c r="L953" i="2" s="1"/>
  <c r="K953" i="2" a="1"/>
  <c r="K953" i="2" s="1"/>
  <c r="J953" i="2" a="1"/>
  <c r="J953" i="2" s="1"/>
  <c r="I953" i="2" a="1"/>
  <c r="I953" i="2" s="1"/>
  <c r="L949" i="2" a="1"/>
  <c r="L949" i="2" s="1"/>
  <c r="K949" i="2" a="1"/>
  <c r="K949" i="2" s="1"/>
  <c r="J949" i="2" a="1"/>
  <c r="J949" i="2" s="1"/>
  <c r="I949" i="2" a="1"/>
  <c r="I949" i="2" s="1"/>
  <c r="L945" i="2" a="1"/>
  <c r="L945" i="2" s="1"/>
  <c r="K945" i="2" a="1"/>
  <c r="K945" i="2" s="1"/>
  <c r="J945" i="2" a="1"/>
  <c r="J945" i="2" s="1"/>
  <c r="I945" i="2" a="1"/>
  <c r="I945" i="2" s="1"/>
  <c r="L941" i="2" a="1"/>
  <c r="L941" i="2" s="1"/>
  <c r="K941" i="2" a="1"/>
  <c r="K941" i="2" s="1"/>
  <c r="J941" i="2" a="1"/>
  <c r="J941" i="2" s="1"/>
  <c r="I941" i="2" a="1"/>
  <c r="I941" i="2" s="1"/>
  <c r="L937" i="2" a="1"/>
  <c r="L937" i="2" s="1"/>
  <c r="K937" i="2" a="1"/>
  <c r="K937" i="2" s="1"/>
  <c r="J937" i="2" a="1"/>
  <c r="J937" i="2" s="1"/>
  <c r="I937" i="2" a="1"/>
  <c r="I937" i="2" s="1"/>
  <c r="L933" i="2" a="1"/>
  <c r="L933" i="2" s="1"/>
  <c r="K933" i="2" a="1"/>
  <c r="K933" i="2" s="1"/>
  <c r="J933" i="2" a="1"/>
  <c r="J933" i="2" s="1"/>
  <c r="I933" i="2" a="1"/>
  <c r="I933" i="2" s="1"/>
  <c r="L929" i="2" a="1"/>
  <c r="L929" i="2" s="1"/>
  <c r="K929" i="2" a="1"/>
  <c r="K929" i="2" s="1"/>
  <c r="J929" i="2" a="1"/>
  <c r="J929" i="2" s="1"/>
  <c r="I929" i="2" a="1"/>
  <c r="I929" i="2" s="1"/>
  <c r="L925" i="2" a="1"/>
  <c r="L925" i="2" s="1"/>
  <c r="K925" i="2" a="1"/>
  <c r="K925" i="2" s="1"/>
  <c r="J925" i="2" a="1"/>
  <c r="J925" i="2" s="1"/>
  <c r="I925" i="2" a="1"/>
  <c r="I925" i="2" s="1"/>
  <c r="L921" i="2" a="1"/>
  <c r="L921" i="2" s="1"/>
  <c r="K921" i="2" a="1"/>
  <c r="K921" i="2" s="1"/>
  <c r="J921" i="2" a="1"/>
  <c r="J921" i="2" s="1"/>
  <c r="I921" i="2" a="1"/>
  <c r="I921" i="2" s="1"/>
  <c r="L917" i="2" a="1"/>
  <c r="L917" i="2" s="1"/>
  <c r="K917" i="2" a="1"/>
  <c r="K917" i="2" s="1"/>
  <c r="J917" i="2" a="1"/>
  <c r="J917" i="2" s="1"/>
  <c r="I917" i="2" a="1"/>
  <c r="I917" i="2" s="1"/>
  <c r="L913" i="2" a="1"/>
  <c r="L913" i="2" s="1"/>
  <c r="K913" i="2" a="1"/>
  <c r="K913" i="2" s="1"/>
  <c r="J913" i="2" a="1"/>
  <c r="J913" i="2" s="1"/>
  <c r="I913" i="2" a="1"/>
  <c r="I913" i="2" s="1"/>
  <c r="L909" i="2" a="1"/>
  <c r="L909" i="2" s="1"/>
  <c r="K909" i="2" a="1"/>
  <c r="K909" i="2" s="1"/>
  <c r="J909" i="2" a="1"/>
  <c r="J909" i="2" s="1"/>
  <c r="I909" i="2" a="1"/>
  <c r="I909" i="2" s="1"/>
  <c r="L905" i="2" a="1"/>
  <c r="L905" i="2" s="1"/>
  <c r="K905" i="2" a="1"/>
  <c r="K905" i="2" s="1"/>
  <c r="J905" i="2" a="1"/>
  <c r="J905" i="2" s="1"/>
  <c r="I905" i="2" a="1"/>
  <c r="I905" i="2" s="1"/>
  <c r="L901" i="2" a="1"/>
  <c r="L901" i="2" s="1"/>
  <c r="K901" i="2" a="1"/>
  <c r="K901" i="2" s="1"/>
  <c r="J901" i="2" a="1"/>
  <c r="J901" i="2" s="1"/>
  <c r="I901" i="2" a="1"/>
  <c r="I901" i="2" s="1"/>
  <c r="L897" i="2" a="1"/>
  <c r="L897" i="2" s="1"/>
  <c r="K897" i="2" a="1"/>
  <c r="K897" i="2" s="1"/>
  <c r="J897" i="2" a="1"/>
  <c r="J897" i="2" s="1"/>
  <c r="I897" i="2" a="1"/>
  <c r="I897" i="2" s="1"/>
  <c r="L893" i="2" a="1"/>
  <c r="L893" i="2" s="1"/>
  <c r="K893" i="2" a="1"/>
  <c r="K893" i="2" s="1"/>
  <c r="J893" i="2" a="1"/>
  <c r="J893" i="2" s="1"/>
  <c r="I893" i="2" a="1"/>
  <c r="I893" i="2" s="1"/>
  <c r="L889" i="2" a="1"/>
  <c r="L889" i="2" s="1"/>
  <c r="K889" i="2" a="1"/>
  <c r="K889" i="2" s="1"/>
  <c r="J889" i="2" a="1"/>
  <c r="J889" i="2" s="1"/>
  <c r="I889" i="2" a="1"/>
  <c r="I889" i="2" s="1"/>
  <c r="L885" i="2" a="1"/>
  <c r="L885" i="2" s="1"/>
  <c r="K885" i="2" a="1"/>
  <c r="K885" i="2" s="1"/>
  <c r="J885" i="2" a="1"/>
  <c r="J885" i="2" s="1"/>
  <c r="I885" i="2" a="1"/>
  <c r="I885" i="2" s="1"/>
  <c r="L881" i="2" a="1"/>
  <c r="L881" i="2" s="1"/>
  <c r="K881" i="2" a="1"/>
  <c r="K881" i="2" s="1"/>
  <c r="J881" i="2" a="1"/>
  <c r="J881" i="2" s="1"/>
  <c r="I881" i="2" a="1"/>
  <c r="I881" i="2" s="1"/>
  <c r="L877" i="2" a="1"/>
  <c r="L877" i="2" s="1"/>
  <c r="K877" i="2" a="1"/>
  <c r="K877" i="2" s="1"/>
  <c r="J877" i="2" a="1"/>
  <c r="J877" i="2" s="1"/>
  <c r="I877" i="2" a="1"/>
  <c r="I877" i="2" s="1"/>
  <c r="L873" i="2" a="1"/>
  <c r="L873" i="2" s="1"/>
  <c r="K873" i="2" a="1"/>
  <c r="K873" i="2" s="1"/>
  <c r="J873" i="2" a="1"/>
  <c r="J873" i="2" s="1"/>
  <c r="I873" i="2" a="1"/>
  <c r="I873" i="2" s="1"/>
  <c r="L869" i="2" a="1"/>
  <c r="L869" i="2" s="1"/>
  <c r="K869" i="2" a="1"/>
  <c r="K869" i="2" s="1"/>
  <c r="I869" i="2" a="1"/>
  <c r="I869" i="2" s="1"/>
  <c r="J869" i="2" a="1"/>
  <c r="J869" i="2" s="1"/>
  <c r="L865" i="2" a="1"/>
  <c r="L865" i="2" s="1"/>
  <c r="K865" i="2" a="1"/>
  <c r="K865" i="2" s="1"/>
  <c r="I865" i="2" a="1"/>
  <c r="I865" i="2" s="1"/>
  <c r="J865" i="2" a="1"/>
  <c r="J865" i="2" s="1"/>
  <c r="L861" i="2" a="1"/>
  <c r="L861" i="2" s="1"/>
  <c r="K861" i="2" a="1"/>
  <c r="K861" i="2" s="1"/>
  <c r="J861" i="2" a="1"/>
  <c r="J861" i="2" s="1"/>
  <c r="I861" i="2" a="1"/>
  <c r="I861" i="2" s="1"/>
  <c r="L857" i="2" a="1"/>
  <c r="L857" i="2" s="1"/>
  <c r="K857" i="2" a="1"/>
  <c r="K857" i="2" s="1"/>
  <c r="J857" i="2" a="1"/>
  <c r="J857" i="2" s="1"/>
  <c r="I857" i="2" a="1"/>
  <c r="I857" i="2" s="1"/>
  <c r="L853" i="2" a="1"/>
  <c r="L853" i="2" s="1"/>
  <c r="K853" i="2" a="1"/>
  <c r="K853" i="2" s="1"/>
  <c r="J853" i="2" a="1"/>
  <c r="J853" i="2" s="1"/>
  <c r="I853" i="2" a="1"/>
  <c r="I853" i="2" s="1"/>
  <c r="L849" i="2" a="1"/>
  <c r="L849" i="2" s="1"/>
  <c r="K849" i="2" a="1"/>
  <c r="K849" i="2" s="1"/>
  <c r="J849" i="2" a="1"/>
  <c r="J849" i="2" s="1"/>
  <c r="I849" i="2" a="1"/>
  <c r="I849" i="2" s="1"/>
  <c r="L845" i="2" a="1"/>
  <c r="L845" i="2" s="1"/>
  <c r="K845" i="2" a="1"/>
  <c r="K845" i="2" s="1"/>
  <c r="J845" i="2" a="1"/>
  <c r="J845" i="2" s="1"/>
  <c r="I845" i="2" a="1"/>
  <c r="I845" i="2" s="1"/>
  <c r="L841" i="2" a="1"/>
  <c r="L841" i="2" s="1"/>
  <c r="K841" i="2" a="1"/>
  <c r="K841" i="2" s="1"/>
  <c r="J841" i="2" a="1"/>
  <c r="J841" i="2" s="1"/>
  <c r="I841" i="2" a="1"/>
  <c r="I841" i="2" s="1"/>
  <c r="L837" i="2" a="1"/>
  <c r="L837" i="2" s="1"/>
  <c r="K837" i="2" a="1"/>
  <c r="K837" i="2" s="1"/>
  <c r="J837" i="2" a="1"/>
  <c r="J837" i="2" s="1"/>
  <c r="I837" i="2" a="1"/>
  <c r="I837" i="2" s="1"/>
  <c r="L833" i="2" a="1"/>
  <c r="L833" i="2" s="1"/>
  <c r="K833" i="2" a="1"/>
  <c r="K833" i="2" s="1"/>
  <c r="J833" i="2" a="1"/>
  <c r="J833" i="2" s="1"/>
  <c r="I833" i="2" a="1"/>
  <c r="I833" i="2" s="1"/>
  <c r="L829" i="2" a="1"/>
  <c r="L829" i="2" s="1"/>
  <c r="K829" i="2" a="1"/>
  <c r="K829" i="2" s="1"/>
  <c r="J829" i="2" a="1"/>
  <c r="J829" i="2" s="1"/>
  <c r="I829" i="2" a="1"/>
  <c r="I829" i="2" s="1"/>
  <c r="L825" i="2" a="1"/>
  <c r="L825" i="2" s="1"/>
  <c r="K825" i="2" a="1"/>
  <c r="K825" i="2" s="1"/>
  <c r="J825" i="2" a="1"/>
  <c r="J825" i="2" s="1"/>
  <c r="I825" i="2" a="1"/>
  <c r="I825" i="2" s="1"/>
  <c r="L821" i="2" a="1"/>
  <c r="L821" i="2" s="1"/>
  <c r="K821" i="2" a="1"/>
  <c r="K821" i="2" s="1"/>
  <c r="J821" i="2" a="1"/>
  <c r="J821" i="2" s="1"/>
  <c r="I821" i="2" a="1"/>
  <c r="I821" i="2" s="1"/>
  <c r="L817" i="2" a="1"/>
  <c r="L817" i="2" s="1"/>
  <c r="K817" i="2" a="1"/>
  <c r="K817" i="2" s="1"/>
  <c r="J817" i="2" a="1"/>
  <c r="J817" i="2" s="1"/>
  <c r="I817" i="2" a="1"/>
  <c r="I817" i="2" s="1"/>
  <c r="L813" i="2" a="1"/>
  <c r="L813" i="2" s="1"/>
  <c r="K813" i="2" a="1"/>
  <c r="K813" i="2" s="1"/>
  <c r="J813" i="2" a="1"/>
  <c r="J813" i="2" s="1"/>
  <c r="I813" i="2" a="1"/>
  <c r="I813" i="2" s="1"/>
  <c r="L809" i="2" a="1"/>
  <c r="L809" i="2" s="1"/>
  <c r="K809" i="2" a="1"/>
  <c r="K809" i="2" s="1"/>
  <c r="J809" i="2" a="1"/>
  <c r="J809" i="2" s="1"/>
  <c r="I809" i="2" a="1"/>
  <c r="I809" i="2" s="1"/>
  <c r="L805" i="2" a="1"/>
  <c r="L805" i="2" s="1"/>
  <c r="K805" i="2" a="1"/>
  <c r="K805" i="2" s="1"/>
  <c r="J805" i="2" a="1"/>
  <c r="J805" i="2" s="1"/>
  <c r="I805" i="2" a="1"/>
  <c r="I805" i="2" s="1"/>
  <c r="L801" i="2" a="1"/>
  <c r="L801" i="2" s="1"/>
  <c r="K801" i="2" a="1"/>
  <c r="K801" i="2" s="1"/>
  <c r="J801" i="2" a="1"/>
  <c r="J801" i="2" s="1"/>
  <c r="I801" i="2" a="1"/>
  <c r="I801" i="2" s="1"/>
  <c r="L797" i="2" a="1"/>
  <c r="L797" i="2" s="1"/>
  <c r="K797" i="2" a="1"/>
  <c r="K797" i="2" s="1"/>
  <c r="J797" i="2" a="1"/>
  <c r="J797" i="2" s="1"/>
  <c r="I797" i="2" a="1"/>
  <c r="I797" i="2" s="1"/>
  <c r="L793" i="2" a="1"/>
  <c r="L793" i="2" s="1"/>
  <c r="K793" i="2" a="1"/>
  <c r="K793" i="2" s="1"/>
  <c r="J793" i="2" a="1"/>
  <c r="J793" i="2" s="1"/>
  <c r="I793" i="2" a="1"/>
  <c r="I793" i="2" s="1"/>
  <c r="L789" i="2" a="1"/>
  <c r="L789" i="2" s="1"/>
  <c r="K789" i="2" a="1"/>
  <c r="K789" i="2" s="1"/>
  <c r="J789" i="2" a="1"/>
  <c r="J789" i="2" s="1"/>
  <c r="I789" i="2" a="1"/>
  <c r="I789" i="2" s="1"/>
  <c r="L785" i="2" a="1"/>
  <c r="L785" i="2" s="1"/>
  <c r="K785" i="2" a="1"/>
  <c r="K785" i="2" s="1"/>
  <c r="J785" i="2" a="1"/>
  <c r="J785" i="2" s="1"/>
  <c r="I785" i="2" a="1"/>
  <c r="I785" i="2" s="1"/>
  <c r="L781" i="2" a="1"/>
  <c r="L781" i="2" s="1"/>
  <c r="K781" i="2" a="1"/>
  <c r="K781" i="2" s="1"/>
  <c r="J781" i="2" a="1"/>
  <c r="J781" i="2" s="1"/>
  <c r="I781" i="2" a="1"/>
  <c r="I781" i="2" s="1"/>
  <c r="L777" i="2" a="1"/>
  <c r="L777" i="2" s="1"/>
  <c r="K777" i="2" a="1"/>
  <c r="K777" i="2" s="1"/>
  <c r="J777" i="2" a="1"/>
  <c r="J777" i="2" s="1"/>
  <c r="I777" i="2" a="1"/>
  <c r="I777" i="2" s="1"/>
  <c r="L773" i="2" a="1"/>
  <c r="L773" i="2" s="1"/>
  <c r="K773" i="2" a="1"/>
  <c r="K773" i="2" s="1"/>
  <c r="J773" i="2" a="1"/>
  <c r="J773" i="2" s="1"/>
  <c r="I773" i="2" a="1"/>
  <c r="I773" i="2" s="1"/>
  <c r="L769" i="2" a="1"/>
  <c r="L769" i="2" s="1"/>
  <c r="K769" i="2" a="1"/>
  <c r="K769" i="2" s="1"/>
  <c r="J769" i="2" a="1"/>
  <c r="J769" i="2" s="1"/>
  <c r="I769" i="2" a="1"/>
  <c r="I769" i="2" s="1"/>
  <c r="L765" i="2" a="1"/>
  <c r="L765" i="2" s="1"/>
  <c r="K765" i="2" a="1"/>
  <c r="K765" i="2" s="1"/>
  <c r="J765" i="2" a="1"/>
  <c r="J765" i="2" s="1"/>
  <c r="I765" i="2" a="1"/>
  <c r="I765" i="2" s="1"/>
  <c r="L761" i="2" a="1"/>
  <c r="L761" i="2" s="1"/>
  <c r="K761" i="2" a="1"/>
  <c r="K761" i="2" s="1"/>
  <c r="J761" i="2" a="1"/>
  <c r="J761" i="2" s="1"/>
  <c r="I761" i="2" a="1"/>
  <c r="I761" i="2" s="1"/>
  <c r="L757" i="2" a="1"/>
  <c r="L757" i="2" s="1"/>
  <c r="K757" i="2" a="1"/>
  <c r="K757" i="2" s="1"/>
  <c r="J757" i="2" a="1"/>
  <c r="J757" i="2" s="1"/>
  <c r="I757" i="2" a="1"/>
  <c r="I757" i="2" s="1"/>
  <c r="L753" i="2" a="1"/>
  <c r="L753" i="2" s="1"/>
  <c r="K753" i="2" a="1"/>
  <c r="K753" i="2" s="1"/>
  <c r="J753" i="2" a="1"/>
  <c r="J753" i="2" s="1"/>
  <c r="I753" i="2" a="1"/>
  <c r="I753" i="2" s="1"/>
  <c r="L749" i="2" a="1"/>
  <c r="L749" i="2" s="1"/>
  <c r="K749" i="2" a="1"/>
  <c r="K749" i="2" s="1"/>
  <c r="J749" i="2" a="1"/>
  <c r="J749" i="2" s="1"/>
  <c r="I749" i="2" a="1"/>
  <c r="I749" i="2" s="1"/>
  <c r="L745" i="2" a="1"/>
  <c r="L745" i="2" s="1"/>
  <c r="K745" i="2" a="1"/>
  <c r="K745" i="2" s="1"/>
  <c r="J745" i="2" a="1"/>
  <c r="J745" i="2" s="1"/>
  <c r="I745" i="2" a="1"/>
  <c r="I745" i="2" s="1"/>
  <c r="L741" i="2" a="1"/>
  <c r="L741" i="2" s="1"/>
  <c r="K741" i="2" a="1"/>
  <c r="K741" i="2" s="1"/>
  <c r="J741" i="2" a="1"/>
  <c r="J741" i="2" s="1"/>
  <c r="I741" i="2" a="1"/>
  <c r="I741" i="2" s="1"/>
  <c r="L737" i="2" a="1"/>
  <c r="L737" i="2" s="1"/>
  <c r="K737" i="2" a="1"/>
  <c r="K737" i="2" s="1"/>
  <c r="J737" i="2" a="1"/>
  <c r="J737" i="2" s="1"/>
  <c r="I737" i="2" a="1"/>
  <c r="I737" i="2" s="1"/>
  <c r="L733" i="2" a="1"/>
  <c r="L733" i="2" s="1"/>
  <c r="K733" i="2" a="1"/>
  <c r="K733" i="2" s="1"/>
  <c r="J733" i="2" a="1"/>
  <c r="J733" i="2" s="1"/>
  <c r="I733" i="2" a="1"/>
  <c r="I733" i="2" s="1"/>
  <c r="L729" i="2" a="1"/>
  <c r="L729" i="2" s="1"/>
  <c r="K729" i="2" a="1"/>
  <c r="K729" i="2" s="1"/>
  <c r="J729" i="2" a="1"/>
  <c r="J729" i="2" s="1"/>
  <c r="I729" i="2" a="1"/>
  <c r="I729" i="2" s="1"/>
  <c r="L725" i="2" a="1"/>
  <c r="L725" i="2" s="1"/>
  <c r="K725" i="2" a="1"/>
  <c r="K725" i="2" s="1"/>
  <c r="J725" i="2" a="1"/>
  <c r="J725" i="2" s="1"/>
  <c r="I725" i="2" a="1"/>
  <c r="I725" i="2" s="1"/>
  <c r="L721" i="2" a="1"/>
  <c r="L721" i="2" s="1"/>
  <c r="K721" i="2" a="1"/>
  <c r="K721" i="2" s="1"/>
  <c r="J721" i="2" a="1"/>
  <c r="J721" i="2" s="1"/>
  <c r="I721" i="2" a="1"/>
  <c r="I721" i="2" s="1"/>
  <c r="L717" i="2" a="1"/>
  <c r="L717" i="2" s="1"/>
  <c r="K717" i="2" a="1"/>
  <c r="K717" i="2" s="1"/>
  <c r="J717" i="2" a="1"/>
  <c r="J717" i="2" s="1"/>
  <c r="I717" i="2" a="1"/>
  <c r="I717" i="2" s="1"/>
  <c r="L713" i="2" a="1"/>
  <c r="L713" i="2" s="1"/>
  <c r="K713" i="2" a="1"/>
  <c r="K713" i="2" s="1"/>
  <c r="J713" i="2" a="1"/>
  <c r="J713" i="2" s="1"/>
  <c r="I713" i="2" a="1"/>
  <c r="I713" i="2" s="1"/>
  <c r="L709" i="2" a="1"/>
  <c r="L709" i="2" s="1"/>
  <c r="K709" i="2" a="1"/>
  <c r="K709" i="2" s="1"/>
  <c r="J709" i="2" a="1"/>
  <c r="J709" i="2" s="1"/>
  <c r="I709" i="2" a="1"/>
  <c r="I709" i="2" s="1"/>
  <c r="L705" i="2" a="1"/>
  <c r="L705" i="2" s="1"/>
  <c r="K705" i="2" a="1"/>
  <c r="K705" i="2" s="1"/>
  <c r="J705" i="2" a="1"/>
  <c r="J705" i="2" s="1"/>
  <c r="I705" i="2" a="1"/>
  <c r="I705" i="2" s="1"/>
  <c r="L701" i="2" a="1"/>
  <c r="L701" i="2" s="1"/>
  <c r="K701" i="2" a="1"/>
  <c r="K701" i="2" s="1"/>
  <c r="J701" i="2" a="1"/>
  <c r="J701" i="2" s="1"/>
  <c r="I701" i="2" a="1"/>
  <c r="I701" i="2" s="1"/>
  <c r="L697" i="2" a="1"/>
  <c r="L697" i="2" s="1"/>
  <c r="K697" i="2" a="1"/>
  <c r="K697" i="2" s="1"/>
  <c r="J697" i="2" a="1"/>
  <c r="J697" i="2" s="1"/>
  <c r="I697" i="2" a="1"/>
  <c r="I697" i="2" s="1"/>
  <c r="L693" i="2" a="1"/>
  <c r="L693" i="2" s="1"/>
  <c r="K693" i="2" a="1"/>
  <c r="K693" i="2" s="1"/>
  <c r="J693" i="2" a="1"/>
  <c r="J693" i="2" s="1"/>
  <c r="I693" i="2" a="1"/>
  <c r="I693" i="2" s="1"/>
  <c r="L689" i="2" a="1"/>
  <c r="L689" i="2" s="1"/>
  <c r="K689" i="2" a="1"/>
  <c r="K689" i="2" s="1"/>
  <c r="J689" i="2" a="1"/>
  <c r="J689" i="2" s="1"/>
  <c r="I689" i="2" a="1"/>
  <c r="I689" i="2" s="1"/>
  <c r="L685" i="2" a="1"/>
  <c r="L685" i="2" s="1"/>
  <c r="K685" i="2" a="1"/>
  <c r="K685" i="2" s="1"/>
  <c r="J685" i="2" a="1"/>
  <c r="J685" i="2" s="1"/>
  <c r="I685" i="2" a="1"/>
  <c r="I685" i="2" s="1"/>
  <c r="L681" i="2" a="1"/>
  <c r="L681" i="2" s="1"/>
  <c r="K681" i="2" a="1"/>
  <c r="K681" i="2" s="1"/>
  <c r="J681" i="2" a="1"/>
  <c r="J681" i="2" s="1"/>
  <c r="I681" i="2" a="1"/>
  <c r="I681" i="2" s="1"/>
  <c r="L677" i="2" a="1"/>
  <c r="L677" i="2" s="1"/>
  <c r="K677" i="2" a="1"/>
  <c r="K677" i="2" s="1"/>
  <c r="J677" i="2" a="1"/>
  <c r="J677" i="2" s="1"/>
  <c r="I677" i="2" a="1"/>
  <c r="I677" i="2" s="1"/>
  <c r="L673" i="2" a="1"/>
  <c r="L673" i="2" s="1"/>
  <c r="K673" i="2" a="1"/>
  <c r="K673" i="2" s="1"/>
  <c r="J673" i="2" a="1"/>
  <c r="J673" i="2" s="1"/>
  <c r="I673" i="2" a="1"/>
  <c r="I673" i="2" s="1"/>
  <c r="L669" i="2" a="1"/>
  <c r="L669" i="2" s="1"/>
  <c r="K669" i="2" a="1"/>
  <c r="K669" i="2" s="1"/>
  <c r="J669" i="2" a="1"/>
  <c r="J669" i="2" s="1"/>
  <c r="I669" i="2" a="1"/>
  <c r="I669" i="2" s="1"/>
  <c r="L665" i="2" a="1"/>
  <c r="L665" i="2" s="1"/>
  <c r="K665" i="2" a="1"/>
  <c r="K665" i="2" s="1"/>
  <c r="J665" i="2" a="1"/>
  <c r="J665" i="2" s="1"/>
  <c r="I665" i="2" a="1"/>
  <c r="I665" i="2" s="1"/>
  <c r="L661" i="2" a="1"/>
  <c r="L661" i="2" s="1"/>
  <c r="K661" i="2" a="1"/>
  <c r="K661" i="2" s="1"/>
  <c r="J661" i="2" a="1"/>
  <c r="J661" i="2" s="1"/>
  <c r="I661" i="2" a="1"/>
  <c r="I661" i="2" s="1"/>
  <c r="L657" i="2" a="1"/>
  <c r="L657" i="2" s="1"/>
  <c r="K657" i="2" a="1"/>
  <c r="K657" i="2" s="1"/>
  <c r="J657" i="2" a="1"/>
  <c r="J657" i="2" s="1"/>
  <c r="I657" i="2" a="1"/>
  <c r="I657" i="2" s="1"/>
  <c r="L653" i="2" a="1"/>
  <c r="L653" i="2" s="1"/>
  <c r="K653" i="2" a="1"/>
  <c r="K653" i="2" s="1"/>
  <c r="J653" i="2" a="1"/>
  <c r="J653" i="2" s="1"/>
  <c r="I653" i="2" a="1"/>
  <c r="I653" i="2" s="1"/>
  <c r="L649" i="2" a="1"/>
  <c r="L649" i="2" s="1"/>
  <c r="K649" i="2" a="1"/>
  <c r="K649" i="2" s="1"/>
  <c r="J649" i="2" a="1"/>
  <c r="J649" i="2" s="1"/>
  <c r="I649" i="2" a="1"/>
  <c r="I649" i="2" s="1"/>
  <c r="L645" i="2" a="1"/>
  <c r="L645" i="2" s="1"/>
  <c r="K645" i="2" a="1"/>
  <c r="K645" i="2" s="1"/>
  <c r="J645" i="2" a="1"/>
  <c r="J645" i="2" s="1"/>
  <c r="I645" i="2" a="1"/>
  <c r="I645" i="2" s="1"/>
  <c r="L641" i="2" a="1"/>
  <c r="L641" i="2" s="1"/>
  <c r="K641" i="2" a="1"/>
  <c r="K641" i="2" s="1"/>
  <c r="J641" i="2" a="1"/>
  <c r="J641" i="2" s="1"/>
  <c r="I641" i="2" a="1"/>
  <c r="I641" i="2" s="1"/>
  <c r="L637" i="2" a="1"/>
  <c r="L637" i="2" s="1"/>
  <c r="K637" i="2" a="1"/>
  <c r="K637" i="2" s="1"/>
  <c r="J637" i="2" a="1"/>
  <c r="J637" i="2" s="1"/>
  <c r="I637" i="2" a="1"/>
  <c r="I637" i="2" s="1"/>
  <c r="L633" i="2" a="1"/>
  <c r="L633" i="2" s="1"/>
  <c r="K633" i="2" a="1"/>
  <c r="K633" i="2" s="1"/>
  <c r="J633" i="2" a="1"/>
  <c r="J633" i="2" s="1"/>
  <c r="I633" i="2" a="1"/>
  <c r="I633" i="2" s="1"/>
  <c r="L629" i="2" a="1"/>
  <c r="L629" i="2" s="1"/>
  <c r="K629" i="2" a="1"/>
  <c r="K629" i="2" s="1"/>
  <c r="J629" i="2" a="1"/>
  <c r="J629" i="2" s="1"/>
  <c r="I629" i="2" a="1"/>
  <c r="I629" i="2" s="1"/>
  <c r="K625" i="2" a="1"/>
  <c r="K625" i="2" s="1"/>
  <c r="L625" i="2" a="1"/>
  <c r="L625" i="2" s="1"/>
  <c r="J625" i="2" a="1"/>
  <c r="J625" i="2" s="1"/>
  <c r="I625" i="2" a="1"/>
  <c r="I625" i="2" s="1"/>
  <c r="L621" i="2" a="1"/>
  <c r="L621" i="2" s="1"/>
  <c r="K621" i="2" a="1"/>
  <c r="K621" i="2" s="1"/>
  <c r="J621" i="2" a="1"/>
  <c r="J621" i="2" s="1"/>
  <c r="I621" i="2" a="1"/>
  <c r="I621" i="2" s="1"/>
  <c r="L617" i="2" a="1"/>
  <c r="L617" i="2" s="1"/>
  <c r="K617" i="2" a="1"/>
  <c r="K617" i="2" s="1"/>
  <c r="J617" i="2" a="1"/>
  <c r="J617" i="2" s="1"/>
  <c r="I617" i="2" a="1"/>
  <c r="I617" i="2" s="1"/>
  <c r="L613" i="2" a="1"/>
  <c r="L613" i="2" s="1"/>
  <c r="K613" i="2" a="1"/>
  <c r="K613" i="2" s="1"/>
  <c r="J613" i="2" a="1"/>
  <c r="J613" i="2" s="1"/>
  <c r="I613" i="2" a="1"/>
  <c r="I613" i="2" s="1"/>
  <c r="L609" i="2" a="1"/>
  <c r="L609" i="2" s="1"/>
  <c r="K609" i="2" a="1"/>
  <c r="K609" i="2" s="1"/>
  <c r="J609" i="2" a="1"/>
  <c r="J609" i="2" s="1"/>
  <c r="I609" i="2" a="1"/>
  <c r="I609" i="2" s="1"/>
  <c r="L605" i="2" a="1"/>
  <c r="L605" i="2" s="1"/>
  <c r="K605" i="2" a="1"/>
  <c r="K605" i="2" s="1"/>
  <c r="J605" i="2" a="1"/>
  <c r="J605" i="2" s="1"/>
  <c r="I605" i="2" a="1"/>
  <c r="I605" i="2" s="1"/>
  <c r="L601" i="2" a="1"/>
  <c r="L601" i="2" s="1"/>
  <c r="K601" i="2" a="1"/>
  <c r="K601" i="2" s="1"/>
  <c r="J601" i="2" a="1"/>
  <c r="J601" i="2" s="1"/>
  <c r="I601" i="2" a="1"/>
  <c r="I601" i="2" s="1"/>
  <c r="L597" i="2" a="1"/>
  <c r="L597" i="2" s="1"/>
  <c r="K597" i="2" a="1"/>
  <c r="K597" i="2" s="1"/>
  <c r="J597" i="2" a="1"/>
  <c r="J597" i="2" s="1"/>
  <c r="I597" i="2" a="1"/>
  <c r="I597" i="2" s="1"/>
  <c r="L593" i="2" a="1"/>
  <c r="L593" i="2" s="1"/>
  <c r="K593" i="2" a="1"/>
  <c r="K593" i="2" s="1"/>
  <c r="I593" i="2" a="1"/>
  <c r="I593" i="2" s="1"/>
  <c r="J593" i="2" a="1"/>
  <c r="J593" i="2" s="1"/>
  <c r="L589" i="2" a="1"/>
  <c r="L589" i="2" s="1"/>
  <c r="K589" i="2" a="1"/>
  <c r="K589" i="2" s="1"/>
  <c r="J589" i="2" a="1"/>
  <c r="J589" i="2" s="1"/>
  <c r="I589" i="2" a="1"/>
  <c r="I589" i="2" s="1"/>
  <c r="L585" i="2" a="1"/>
  <c r="L585" i="2" s="1"/>
  <c r="K585" i="2" a="1"/>
  <c r="K585" i="2" s="1"/>
  <c r="J585" i="2" a="1"/>
  <c r="J585" i="2" s="1"/>
  <c r="I585" i="2" a="1"/>
  <c r="I585" i="2" s="1"/>
  <c r="L581" i="2" a="1"/>
  <c r="L581" i="2" s="1"/>
  <c r="K581" i="2" a="1"/>
  <c r="K581" i="2" s="1"/>
  <c r="J581" i="2" a="1"/>
  <c r="J581" i="2" s="1"/>
  <c r="I581" i="2" a="1"/>
  <c r="I581" i="2" s="1"/>
  <c r="L577" i="2" a="1"/>
  <c r="L577" i="2" s="1"/>
  <c r="K577" i="2" a="1"/>
  <c r="K577" i="2" s="1"/>
  <c r="J577" i="2" a="1"/>
  <c r="J577" i="2" s="1"/>
  <c r="I577" i="2" a="1"/>
  <c r="I577" i="2" s="1"/>
  <c r="L573" i="2" a="1"/>
  <c r="L573" i="2" s="1"/>
  <c r="K573" i="2" a="1"/>
  <c r="K573" i="2" s="1"/>
  <c r="J573" i="2" a="1"/>
  <c r="J573" i="2" s="1"/>
  <c r="I573" i="2" a="1"/>
  <c r="I573" i="2" s="1"/>
  <c r="L569" i="2" a="1"/>
  <c r="L569" i="2" s="1"/>
  <c r="K569" i="2" a="1"/>
  <c r="K569" i="2" s="1"/>
  <c r="J569" i="2" a="1"/>
  <c r="J569" i="2" s="1"/>
  <c r="I569" i="2" a="1"/>
  <c r="I569" i="2" s="1"/>
  <c r="L565" i="2" a="1"/>
  <c r="L565" i="2" s="1"/>
  <c r="K565" i="2" a="1"/>
  <c r="K565" i="2" s="1"/>
  <c r="J565" i="2" a="1"/>
  <c r="J565" i="2" s="1"/>
  <c r="I565" i="2" a="1"/>
  <c r="I565" i="2" s="1"/>
  <c r="L561" i="2" a="1"/>
  <c r="L561" i="2" s="1"/>
  <c r="K561" i="2" a="1"/>
  <c r="K561" i="2" s="1"/>
  <c r="J561" i="2" a="1"/>
  <c r="J561" i="2" s="1"/>
  <c r="I561" i="2" a="1"/>
  <c r="I561" i="2" s="1"/>
  <c r="L557" i="2" a="1"/>
  <c r="L557" i="2" s="1"/>
  <c r="K557" i="2" a="1"/>
  <c r="K557" i="2" s="1"/>
  <c r="J557" i="2" a="1"/>
  <c r="J557" i="2" s="1"/>
  <c r="I557" i="2" a="1"/>
  <c r="I557" i="2" s="1"/>
  <c r="L553" i="2" a="1"/>
  <c r="L553" i="2" s="1"/>
  <c r="K553" i="2" a="1"/>
  <c r="K553" i="2" s="1"/>
  <c r="J553" i="2" a="1"/>
  <c r="J553" i="2" s="1"/>
  <c r="I553" i="2" a="1"/>
  <c r="I553" i="2" s="1"/>
  <c r="L549" i="2" a="1"/>
  <c r="L549" i="2" s="1"/>
  <c r="K549" i="2" a="1"/>
  <c r="K549" i="2" s="1"/>
  <c r="J549" i="2" a="1"/>
  <c r="J549" i="2" s="1"/>
  <c r="I549" i="2" a="1"/>
  <c r="I549" i="2" s="1"/>
  <c r="L545" i="2" a="1"/>
  <c r="L545" i="2" s="1"/>
  <c r="K545" i="2" a="1"/>
  <c r="K545" i="2" s="1"/>
  <c r="J545" i="2" a="1"/>
  <c r="J545" i="2" s="1"/>
  <c r="I545" i="2" a="1"/>
  <c r="I545" i="2" s="1"/>
  <c r="L541" i="2" a="1"/>
  <c r="L541" i="2" s="1"/>
  <c r="K541" i="2" a="1"/>
  <c r="K541" i="2" s="1"/>
  <c r="J541" i="2" a="1"/>
  <c r="J541" i="2" s="1"/>
  <c r="I541" i="2" a="1"/>
  <c r="I541" i="2" s="1"/>
  <c r="L537" i="2" a="1"/>
  <c r="L537" i="2" s="1"/>
  <c r="K537" i="2" a="1"/>
  <c r="K537" i="2" s="1"/>
  <c r="J537" i="2" a="1"/>
  <c r="J537" i="2" s="1"/>
  <c r="I537" i="2" a="1"/>
  <c r="I537" i="2" s="1"/>
  <c r="L533" i="2" a="1"/>
  <c r="L533" i="2" s="1"/>
  <c r="K533" i="2" a="1"/>
  <c r="K533" i="2" s="1"/>
  <c r="J533" i="2" a="1"/>
  <c r="J533" i="2" s="1"/>
  <c r="I533" i="2" a="1"/>
  <c r="I533" i="2" s="1"/>
  <c r="L529" i="2" a="1"/>
  <c r="L529" i="2" s="1"/>
  <c r="K529" i="2" a="1"/>
  <c r="K529" i="2" s="1"/>
  <c r="J529" i="2" a="1"/>
  <c r="J529" i="2" s="1"/>
  <c r="I529" i="2" a="1"/>
  <c r="I529" i="2" s="1"/>
  <c r="L525" i="2" a="1"/>
  <c r="L525" i="2" s="1"/>
  <c r="K525" i="2" a="1"/>
  <c r="K525" i="2" s="1"/>
  <c r="J525" i="2" a="1"/>
  <c r="J525" i="2" s="1"/>
  <c r="I525" i="2" a="1"/>
  <c r="I525" i="2" s="1"/>
  <c r="L521" i="2" a="1"/>
  <c r="L521" i="2" s="1"/>
  <c r="K521" i="2" a="1"/>
  <c r="K521" i="2" s="1"/>
  <c r="J521" i="2" a="1"/>
  <c r="J521" i="2" s="1"/>
  <c r="I521" i="2" a="1"/>
  <c r="I521" i="2" s="1"/>
  <c r="L517" i="2" a="1"/>
  <c r="L517" i="2" s="1"/>
  <c r="K517" i="2" a="1"/>
  <c r="K517" i="2" s="1"/>
  <c r="J517" i="2" a="1"/>
  <c r="J517" i="2" s="1"/>
  <c r="I517" i="2" a="1"/>
  <c r="I517" i="2" s="1"/>
  <c r="L513" i="2" a="1"/>
  <c r="L513" i="2" s="1"/>
  <c r="K513" i="2" a="1"/>
  <c r="K513" i="2" s="1"/>
  <c r="J513" i="2" a="1"/>
  <c r="J513" i="2" s="1"/>
  <c r="I513" i="2" a="1"/>
  <c r="I513" i="2" s="1"/>
  <c r="L509" i="2" a="1"/>
  <c r="L509" i="2" s="1"/>
  <c r="K509" i="2" a="1"/>
  <c r="K509" i="2" s="1"/>
  <c r="J509" i="2" a="1"/>
  <c r="J509" i="2" s="1"/>
  <c r="I509" i="2" a="1"/>
  <c r="I509" i="2" s="1"/>
  <c r="L505" i="2" a="1"/>
  <c r="L505" i="2" s="1"/>
  <c r="K505" i="2" a="1"/>
  <c r="K505" i="2" s="1"/>
  <c r="I505" i="2" a="1"/>
  <c r="I505" i="2" s="1"/>
  <c r="J505" i="2" a="1"/>
  <c r="J505" i="2" s="1"/>
  <c r="L501" i="2" a="1"/>
  <c r="L501" i="2" s="1"/>
  <c r="K501" i="2" a="1"/>
  <c r="K501" i="2" s="1"/>
  <c r="J501" i="2" a="1"/>
  <c r="J501" i="2" s="1"/>
  <c r="I501" i="2" a="1"/>
  <c r="I501" i="2" s="1"/>
  <c r="L497" i="2" a="1"/>
  <c r="L497" i="2" s="1"/>
  <c r="K497" i="2" a="1"/>
  <c r="K497" i="2" s="1"/>
  <c r="J497" i="2" a="1"/>
  <c r="J497" i="2" s="1"/>
  <c r="I497" i="2" a="1"/>
  <c r="I497" i="2" s="1"/>
  <c r="L493" i="2" a="1"/>
  <c r="L493" i="2" s="1"/>
  <c r="K493" i="2" a="1"/>
  <c r="K493" i="2" s="1"/>
  <c r="J493" i="2" a="1"/>
  <c r="J493" i="2" s="1"/>
  <c r="I493" i="2" a="1"/>
  <c r="I493" i="2" s="1"/>
  <c r="L489" i="2" a="1"/>
  <c r="L489" i="2" s="1"/>
  <c r="K489" i="2" a="1"/>
  <c r="K489" i="2" s="1"/>
  <c r="I489" i="2" a="1"/>
  <c r="I489" i="2" s="1"/>
  <c r="J489" i="2" a="1"/>
  <c r="J489" i="2" s="1"/>
  <c r="L485" i="2" a="1"/>
  <c r="L485" i="2" s="1"/>
  <c r="K485" i="2" a="1"/>
  <c r="K485" i="2" s="1"/>
  <c r="J485" i="2" a="1"/>
  <c r="J485" i="2" s="1"/>
  <c r="I485" i="2" a="1"/>
  <c r="I485" i="2" s="1"/>
  <c r="L481" i="2" a="1"/>
  <c r="L481" i="2" s="1"/>
  <c r="K481" i="2" a="1"/>
  <c r="K481" i="2" s="1"/>
  <c r="J481" i="2" a="1"/>
  <c r="J481" i="2" s="1"/>
  <c r="I481" i="2" a="1"/>
  <c r="I481" i="2" s="1"/>
  <c r="L477" i="2" a="1"/>
  <c r="L477" i="2" s="1"/>
  <c r="K477" i="2" a="1"/>
  <c r="K477" i="2" s="1"/>
  <c r="J477" i="2" a="1"/>
  <c r="J477" i="2" s="1"/>
  <c r="I477" i="2" a="1"/>
  <c r="I477" i="2" s="1"/>
  <c r="L473" i="2" a="1"/>
  <c r="L473" i="2" s="1"/>
  <c r="K473" i="2" a="1"/>
  <c r="K473" i="2" s="1"/>
  <c r="I473" i="2" a="1"/>
  <c r="I473" i="2" s="1"/>
  <c r="J473" i="2" a="1"/>
  <c r="J473" i="2" s="1"/>
  <c r="L469" i="2" a="1"/>
  <c r="L469" i="2" s="1"/>
  <c r="K469" i="2" a="1"/>
  <c r="K469" i="2" s="1"/>
  <c r="J469" i="2" a="1"/>
  <c r="J469" i="2" s="1"/>
  <c r="I469" i="2" a="1"/>
  <c r="I469" i="2" s="1"/>
  <c r="L465" i="2" a="1"/>
  <c r="L465" i="2" s="1"/>
  <c r="K465" i="2" a="1"/>
  <c r="K465" i="2" s="1"/>
  <c r="J465" i="2" a="1"/>
  <c r="J465" i="2" s="1"/>
  <c r="I465" i="2" a="1"/>
  <c r="I465" i="2" s="1"/>
  <c r="L461" i="2" a="1"/>
  <c r="L461" i="2" s="1"/>
  <c r="K461" i="2" a="1"/>
  <c r="K461" i="2" s="1"/>
  <c r="J461" i="2" a="1"/>
  <c r="J461" i="2" s="1"/>
  <c r="I461" i="2" a="1"/>
  <c r="I461" i="2" s="1"/>
  <c r="L457" i="2" a="1"/>
  <c r="L457" i="2" s="1"/>
  <c r="K457" i="2" a="1"/>
  <c r="K457" i="2" s="1"/>
  <c r="I457" i="2" a="1"/>
  <c r="I457" i="2" s="1"/>
  <c r="J457" i="2" a="1"/>
  <c r="J457" i="2" s="1"/>
  <c r="K453" i="2" a="1"/>
  <c r="K453" i="2" s="1"/>
  <c r="L453" i="2" a="1"/>
  <c r="L453" i="2" s="1"/>
  <c r="J453" i="2" a="1"/>
  <c r="J453" i="2" s="1"/>
  <c r="I453" i="2" a="1"/>
  <c r="I453" i="2" s="1"/>
  <c r="L449" i="2" a="1"/>
  <c r="L449" i="2" s="1"/>
  <c r="K449" i="2" a="1"/>
  <c r="K449" i="2" s="1"/>
  <c r="I449" i="2" a="1"/>
  <c r="I449" i="2" s="1"/>
  <c r="J449" i="2" a="1"/>
  <c r="J449" i="2" s="1"/>
  <c r="K445" i="2" a="1"/>
  <c r="K445" i="2" s="1"/>
  <c r="L445" i="2" a="1"/>
  <c r="L445" i="2" s="1"/>
  <c r="J445" i="2" a="1"/>
  <c r="J445" i="2" s="1"/>
  <c r="I445" i="2" a="1"/>
  <c r="I445" i="2" s="1"/>
  <c r="L441" i="2" a="1"/>
  <c r="L441" i="2" s="1"/>
  <c r="K441" i="2" a="1"/>
  <c r="K441" i="2" s="1"/>
  <c r="I441" i="2" a="1"/>
  <c r="I441" i="2" s="1"/>
  <c r="J441" i="2" a="1"/>
  <c r="J441" i="2" s="1"/>
  <c r="K437" i="2" a="1"/>
  <c r="K437" i="2" s="1"/>
  <c r="L437" i="2" a="1"/>
  <c r="L437" i="2" s="1"/>
  <c r="J437" i="2" a="1"/>
  <c r="J437" i="2" s="1"/>
  <c r="I437" i="2" a="1"/>
  <c r="I437" i="2" s="1"/>
  <c r="L433" i="2" a="1"/>
  <c r="L433" i="2" s="1"/>
  <c r="K433" i="2" a="1"/>
  <c r="K433" i="2" s="1"/>
  <c r="I433" i="2" a="1"/>
  <c r="I433" i="2" s="1"/>
  <c r="J433" i="2" a="1"/>
  <c r="J433" i="2" s="1"/>
  <c r="K429" i="2" a="1"/>
  <c r="K429" i="2" s="1"/>
  <c r="L429" i="2" a="1"/>
  <c r="L429" i="2" s="1"/>
  <c r="I429" i="2" a="1"/>
  <c r="I429" i="2" s="1"/>
  <c r="J429" i="2" a="1"/>
  <c r="J429" i="2" s="1"/>
  <c r="L425" i="2" a="1"/>
  <c r="L425" i="2" s="1"/>
  <c r="K425" i="2" a="1"/>
  <c r="K425" i="2" s="1"/>
  <c r="I425" i="2" a="1"/>
  <c r="I425" i="2" s="1"/>
  <c r="J425" i="2" a="1"/>
  <c r="J425" i="2" s="1"/>
  <c r="K421" i="2" a="1"/>
  <c r="K421" i="2" s="1"/>
  <c r="L421" i="2" a="1"/>
  <c r="L421" i="2" s="1"/>
  <c r="I421" i="2" a="1"/>
  <c r="I421" i="2" s="1"/>
  <c r="J421" i="2" a="1"/>
  <c r="J421" i="2" s="1"/>
  <c r="L417" i="2" a="1"/>
  <c r="L417" i="2" s="1"/>
  <c r="K417" i="2" a="1"/>
  <c r="K417" i="2" s="1"/>
  <c r="I417" i="2" a="1"/>
  <c r="I417" i="2" s="1"/>
  <c r="J417" i="2" a="1"/>
  <c r="J417" i="2" s="1"/>
  <c r="K413" i="2" a="1"/>
  <c r="K413" i="2" s="1"/>
  <c r="L413" i="2" a="1"/>
  <c r="L413" i="2" s="1"/>
  <c r="I413" i="2" a="1"/>
  <c r="I413" i="2" s="1"/>
  <c r="J413" i="2" a="1"/>
  <c r="J413" i="2" s="1"/>
  <c r="L409" i="2" a="1"/>
  <c r="L409" i="2" s="1"/>
  <c r="K409" i="2" a="1"/>
  <c r="K409" i="2" s="1"/>
  <c r="I409" i="2" a="1"/>
  <c r="I409" i="2" s="1"/>
  <c r="J409" i="2" a="1"/>
  <c r="J409" i="2" s="1"/>
  <c r="K405" i="2" a="1"/>
  <c r="K405" i="2" s="1"/>
  <c r="L405" i="2" a="1"/>
  <c r="L405" i="2" s="1"/>
  <c r="J405" i="2" a="1"/>
  <c r="J405" i="2" s="1"/>
  <c r="I405" i="2" a="1"/>
  <c r="I405" i="2" s="1"/>
  <c r="L401" i="2" a="1"/>
  <c r="L401" i="2" s="1"/>
  <c r="K401" i="2" a="1"/>
  <c r="K401" i="2" s="1"/>
  <c r="I401" i="2" a="1"/>
  <c r="I401" i="2" s="1"/>
  <c r="J401" i="2" a="1"/>
  <c r="J401" i="2" s="1"/>
  <c r="K397" i="2" a="1"/>
  <c r="K397" i="2" s="1"/>
  <c r="L397" i="2" a="1"/>
  <c r="L397" i="2" s="1"/>
  <c r="I397" i="2" a="1"/>
  <c r="I397" i="2" s="1"/>
  <c r="J397" i="2" a="1"/>
  <c r="J397" i="2" s="1"/>
  <c r="L393" i="2" a="1"/>
  <c r="L393" i="2" s="1"/>
  <c r="K393" i="2" a="1"/>
  <c r="K393" i="2" s="1"/>
  <c r="J393" i="2" a="1"/>
  <c r="J393" i="2" s="1"/>
  <c r="I393" i="2" a="1"/>
  <c r="I393" i="2" s="1"/>
  <c r="K389" i="2" a="1"/>
  <c r="K389" i="2" s="1"/>
  <c r="L389" i="2" a="1"/>
  <c r="L389" i="2" s="1"/>
  <c r="I389" i="2" a="1"/>
  <c r="I389" i="2" s="1"/>
  <c r="J389" i="2" a="1"/>
  <c r="J389" i="2" s="1"/>
  <c r="L385" i="2" a="1"/>
  <c r="L385" i="2" s="1"/>
  <c r="K385" i="2" a="1"/>
  <c r="K385" i="2" s="1"/>
  <c r="I385" i="2" a="1"/>
  <c r="I385" i="2" s="1"/>
  <c r="J385" i="2" a="1"/>
  <c r="J385" i="2" s="1"/>
  <c r="K381" i="2" a="1"/>
  <c r="K381" i="2" s="1"/>
  <c r="L381" i="2" a="1"/>
  <c r="L381" i="2" s="1"/>
  <c r="I381" i="2" a="1"/>
  <c r="I381" i="2" s="1"/>
  <c r="J381" i="2" a="1"/>
  <c r="J381" i="2" s="1"/>
  <c r="L377" i="2" a="1"/>
  <c r="L377" i="2" s="1"/>
  <c r="K377" i="2" a="1"/>
  <c r="K377" i="2" s="1"/>
  <c r="I377" i="2" a="1"/>
  <c r="I377" i="2" s="1"/>
  <c r="J377" i="2" a="1"/>
  <c r="J377" i="2" s="1"/>
  <c r="K373" i="2" a="1"/>
  <c r="K373" i="2" s="1"/>
  <c r="L373" i="2" a="1"/>
  <c r="L373" i="2" s="1"/>
  <c r="I373" i="2" a="1"/>
  <c r="I373" i="2" s="1"/>
  <c r="J373" i="2" a="1"/>
  <c r="J373" i="2" s="1"/>
  <c r="L369" i="2" a="1"/>
  <c r="L369" i="2" s="1"/>
  <c r="K369" i="2" a="1"/>
  <c r="K369" i="2" s="1"/>
  <c r="I369" i="2" a="1"/>
  <c r="I369" i="2" s="1"/>
  <c r="J369" i="2" a="1"/>
  <c r="J369" i="2" s="1"/>
  <c r="K365" i="2" a="1"/>
  <c r="K365" i="2" s="1"/>
  <c r="L365" i="2" a="1"/>
  <c r="L365" i="2" s="1"/>
  <c r="I365" i="2" a="1"/>
  <c r="I365" i="2" s="1"/>
  <c r="J365" i="2" a="1"/>
  <c r="J365" i="2" s="1"/>
  <c r="L361" i="2" a="1"/>
  <c r="L361" i="2" s="1"/>
  <c r="K361" i="2" a="1"/>
  <c r="K361" i="2" s="1"/>
  <c r="I361" i="2" a="1"/>
  <c r="I361" i="2" s="1"/>
  <c r="J361" i="2" a="1"/>
  <c r="J361" i="2" s="1"/>
  <c r="L357" i="2" a="1"/>
  <c r="L357" i="2" s="1"/>
  <c r="K357" i="2" a="1"/>
  <c r="K357" i="2" s="1"/>
  <c r="J357" i="2" a="1"/>
  <c r="J357" i="2" s="1"/>
  <c r="I357" i="2" a="1"/>
  <c r="I357" i="2" s="1"/>
  <c r="K353" i="2" a="1"/>
  <c r="K353" i="2" s="1"/>
  <c r="L353" i="2" a="1"/>
  <c r="L353" i="2" s="1"/>
  <c r="J353" i="2" a="1"/>
  <c r="J353" i="2" s="1"/>
  <c r="I353" i="2" a="1"/>
  <c r="I353" i="2" s="1"/>
  <c r="L349" i="2" a="1"/>
  <c r="L349" i="2" s="1"/>
  <c r="K349" i="2" a="1"/>
  <c r="K349" i="2" s="1"/>
  <c r="J349" i="2" a="1"/>
  <c r="J349" i="2" s="1"/>
  <c r="I349" i="2" a="1"/>
  <c r="I349" i="2" s="1"/>
  <c r="K345" i="2" a="1"/>
  <c r="K345" i="2" s="1"/>
  <c r="L345" i="2" a="1"/>
  <c r="L345" i="2" s="1"/>
  <c r="J345" i="2" a="1"/>
  <c r="J345" i="2" s="1"/>
  <c r="I345" i="2" a="1"/>
  <c r="I345" i="2" s="1"/>
  <c r="L341" i="2" a="1"/>
  <c r="L341" i="2" s="1"/>
  <c r="K341" i="2" a="1"/>
  <c r="K341" i="2" s="1"/>
  <c r="J341" i="2" a="1"/>
  <c r="J341" i="2" s="1"/>
  <c r="I341" i="2" a="1"/>
  <c r="I341" i="2" s="1"/>
  <c r="K337" i="2" a="1"/>
  <c r="K337" i="2" s="1"/>
  <c r="L337" i="2" a="1"/>
  <c r="L337" i="2" s="1"/>
  <c r="J337" i="2" a="1"/>
  <c r="J337" i="2" s="1"/>
  <c r="I337" i="2" a="1"/>
  <c r="I337" i="2" s="1"/>
  <c r="L333" i="2" a="1"/>
  <c r="L333" i="2" s="1"/>
  <c r="K333" i="2" a="1"/>
  <c r="K333" i="2" s="1"/>
  <c r="J333" i="2" a="1"/>
  <c r="J333" i="2" s="1"/>
  <c r="I333" i="2" a="1"/>
  <c r="I333" i="2" s="1"/>
  <c r="L329" i="2" a="1"/>
  <c r="L329" i="2" s="1"/>
  <c r="K329" i="2" a="1"/>
  <c r="K329" i="2" s="1"/>
  <c r="J329" i="2" a="1"/>
  <c r="J329" i="2" s="1"/>
  <c r="I329" i="2" a="1"/>
  <c r="I329" i="2" s="1"/>
  <c r="L325" i="2" a="1"/>
  <c r="L325" i="2" s="1"/>
  <c r="K325" i="2" a="1"/>
  <c r="K325" i="2" s="1"/>
  <c r="J325" i="2" a="1"/>
  <c r="J325" i="2" s="1"/>
  <c r="I325" i="2" a="1"/>
  <c r="I325" i="2" s="1"/>
  <c r="K321" i="2" a="1"/>
  <c r="K321" i="2" s="1"/>
  <c r="L321" i="2" a="1"/>
  <c r="L321" i="2" s="1"/>
  <c r="J321" i="2" a="1"/>
  <c r="J321" i="2" s="1"/>
  <c r="I321" i="2" a="1"/>
  <c r="I321" i="2" s="1"/>
  <c r="L317" i="2" a="1"/>
  <c r="L317" i="2" s="1"/>
  <c r="K317" i="2" a="1"/>
  <c r="K317" i="2" s="1"/>
  <c r="J317" i="2" a="1"/>
  <c r="J317" i="2" s="1"/>
  <c r="I317" i="2" a="1"/>
  <c r="I317" i="2" s="1"/>
  <c r="L313" i="2" a="1"/>
  <c r="L313" i="2" s="1"/>
  <c r="K313" i="2" a="1"/>
  <c r="K313" i="2" s="1"/>
  <c r="J313" i="2" a="1"/>
  <c r="J313" i="2" s="1"/>
  <c r="I313" i="2" a="1"/>
  <c r="I313" i="2" s="1"/>
  <c r="L309" i="2" a="1"/>
  <c r="L309" i="2" s="1"/>
  <c r="K309" i="2" a="1"/>
  <c r="K309" i="2" s="1"/>
  <c r="J309" i="2" a="1"/>
  <c r="J309" i="2" s="1"/>
  <c r="I309" i="2" a="1"/>
  <c r="I309" i="2" s="1"/>
  <c r="K305" i="2" a="1"/>
  <c r="K305" i="2" s="1"/>
  <c r="L305" i="2" a="1"/>
  <c r="L305" i="2" s="1"/>
  <c r="I305" i="2" a="1"/>
  <c r="I305" i="2" s="1"/>
  <c r="L301" i="2" a="1"/>
  <c r="L301" i="2" s="1"/>
  <c r="K301" i="2" a="1"/>
  <c r="K301" i="2" s="1"/>
  <c r="I301" i="2" a="1"/>
  <c r="I301" i="2" s="1"/>
  <c r="L297" i="2" a="1"/>
  <c r="L297" i="2" s="1"/>
  <c r="K297" i="2" a="1"/>
  <c r="K297" i="2" s="1"/>
  <c r="L293" i="2" a="1"/>
  <c r="L293" i="2" s="1"/>
  <c r="K293" i="2" a="1"/>
  <c r="K293" i="2" s="1"/>
  <c r="K289" i="2" a="1"/>
  <c r="K289" i="2" s="1"/>
  <c r="L289" i="2" a="1"/>
  <c r="L289" i="2" s="1"/>
  <c r="L285" i="2" a="1"/>
  <c r="L285" i="2" s="1"/>
  <c r="K285" i="2" a="1"/>
  <c r="K285" i="2" s="1"/>
  <c r="K281" i="2" a="1"/>
  <c r="K281" i="2" s="1"/>
  <c r="L281" i="2" a="1"/>
  <c r="L281" i="2" s="1"/>
  <c r="K277" i="2" a="1"/>
  <c r="K277" i="2" s="1"/>
  <c r="L277" i="2" a="1"/>
  <c r="L277" i="2" s="1"/>
  <c r="K273" i="2" a="1"/>
  <c r="K273" i="2" s="1"/>
  <c r="L273" i="2" a="1"/>
  <c r="L273" i="2" s="1"/>
  <c r="K269" i="2" a="1"/>
  <c r="K269" i="2" s="1"/>
  <c r="L269" i="2" a="1"/>
  <c r="L269" i="2" s="1"/>
  <c r="K265" i="2" a="1"/>
  <c r="K265" i="2" s="1"/>
  <c r="L265" i="2" a="1"/>
  <c r="L265" i="2" s="1"/>
  <c r="L261" i="2" a="1"/>
  <c r="L261" i="2" s="1"/>
  <c r="K261" i="2" a="1"/>
  <c r="K261" i="2" s="1"/>
  <c r="L257" i="2" a="1"/>
  <c r="L257" i="2" s="1"/>
  <c r="K257" i="2" a="1"/>
  <c r="K257" i="2" s="1"/>
  <c r="L253" i="2" a="1"/>
  <c r="L253" i="2" s="1"/>
  <c r="K253" i="2" a="1"/>
  <c r="K253" i="2" s="1"/>
  <c r="L249" i="2" a="1"/>
  <c r="L249" i="2" s="1"/>
  <c r="K249" i="2" a="1"/>
  <c r="K249" i="2" s="1"/>
  <c r="L245" i="2" a="1"/>
  <c r="L245" i="2" s="1"/>
  <c r="K245" i="2" a="1"/>
  <c r="K245" i="2" s="1"/>
  <c r="L241" i="2" a="1"/>
  <c r="L241" i="2" s="1"/>
  <c r="K241" i="2" a="1"/>
  <c r="K241" i="2" s="1"/>
  <c r="L237" i="2" a="1"/>
  <c r="L237" i="2" s="1"/>
  <c r="K237" i="2" a="1"/>
  <c r="K237" i="2" s="1"/>
  <c r="L233" i="2" a="1"/>
  <c r="L233" i="2" s="1"/>
  <c r="K233" i="2" a="1"/>
  <c r="K233" i="2" s="1"/>
  <c r="L229" i="2" a="1"/>
  <c r="L229" i="2" s="1"/>
  <c r="K229" i="2" a="1"/>
  <c r="K229" i="2" s="1"/>
  <c r="L225" i="2" a="1"/>
  <c r="L225" i="2" s="1"/>
  <c r="K225" i="2" a="1"/>
  <c r="K225" i="2" s="1"/>
  <c r="L221" i="2" a="1"/>
  <c r="L221" i="2" s="1"/>
  <c r="K221" i="2" a="1"/>
  <c r="K221" i="2" s="1"/>
  <c r="L217" i="2" a="1"/>
  <c r="L217" i="2" s="1"/>
  <c r="K217" i="2" a="1"/>
  <c r="K217" i="2" s="1"/>
  <c r="L213" i="2" a="1"/>
  <c r="L213" i="2" s="1"/>
  <c r="K213" i="2" a="1"/>
  <c r="K213" i="2" s="1"/>
  <c r="L209" i="2" a="1"/>
  <c r="L209" i="2" s="1"/>
  <c r="K209" i="2" a="1"/>
  <c r="K209" i="2" s="1"/>
  <c r="L205" i="2" a="1"/>
  <c r="L205" i="2" s="1"/>
  <c r="K205" i="2" a="1"/>
  <c r="K205" i="2" s="1"/>
  <c r="L201" i="2" a="1"/>
  <c r="L201" i="2" s="1"/>
  <c r="K201" i="2" a="1"/>
  <c r="K201" i="2" s="1"/>
  <c r="L197" i="2" a="1"/>
  <c r="L197" i="2" s="1"/>
  <c r="K197" i="2" a="1"/>
  <c r="K197" i="2" s="1"/>
  <c r="L193" i="2" a="1"/>
  <c r="L193" i="2" s="1"/>
  <c r="K193" i="2" a="1"/>
  <c r="K193" i="2" s="1"/>
  <c r="L189" i="2" a="1"/>
  <c r="L189" i="2" s="1"/>
  <c r="K189" i="2" a="1"/>
  <c r="K189" i="2" s="1"/>
  <c r="L185" i="2" a="1"/>
  <c r="L185" i="2" s="1"/>
  <c r="K185" i="2" a="1"/>
  <c r="K185" i="2" s="1"/>
  <c r="L181" i="2" a="1"/>
  <c r="L181" i="2" s="1"/>
  <c r="K181" i="2" a="1"/>
  <c r="K181" i="2" s="1"/>
  <c r="L177" i="2" a="1"/>
  <c r="L177" i="2" s="1"/>
  <c r="K177" i="2" a="1"/>
  <c r="K177" i="2" s="1"/>
  <c r="L173" i="2" a="1"/>
  <c r="L173" i="2" s="1"/>
  <c r="K173" i="2" a="1"/>
  <c r="K173" i="2" s="1"/>
  <c r="L169" i="2" a="1"/>
  <c r="L169" i="2" s="1"/>
  <c r="K169" i="2" a="1"/>
  <c r="K169" i="2" s="1"/>
  <c r="L165" i="2" a="1"/>
  <c r="L165" i="2" s="1"/>
  <c r="K165" i="2" a="1"/>
  <c r="K165" i="2" s="1"/>
  <c r="I165" i="2" a="1"/>
  <c r="I165" i="2" s="1"/>
  <c r="L161" i="2" a="1"/>
  <c r="L161" i="2" s="1"/>
  <c r="K161" i="2" a="1"/>
  <c r="K161" i="2" s="1"/>
  <c r="I161" i="2" a="1"/>
  <c r="I161" i="2" s="1"/>
  <c r="L157" i="2" a="1"/>
  <c r="L157" i="2" s="1"/>
  <c r="K157" i="2" a="1"/>
  <c r="K157" i="2" s="1"/>
  <c r="I157" i="2" a="1"/>
  <c r="I157" i="2" s="1"/>
  <c r="L153" i="2" a="1"/>
  <c r="L153" i="2" s="1"/>
  <c r="K153" i="2" a="1"/>
  <c r="K153" i="2" s="1"/>
  <c r="I153" i="2" a="1"/>
  <c r="I153" i="2" s="1"/>
  <c r="L149" i="2" a="1"/>
  <c r="L149" i="2" s="1"/>
  <c r="K149" i="2" a="1"/>
  <c r="K149" i="2" s="1"/>
  <c r="L145" i="2" a="1"/>
  <c r="L145" i="2" s="1"/>
  <c r="K145" i="2" a="1"/>
  <c r="K145" i="2" s="1"/>
  <c r="L141" i="2" a="1"/>
  <c r="L141" i="2" s="1"/>
  <c r="K141" i="2" a="1"/>
  <c r="K141" i="2" s="1"/>
  <c r="L137" i="2" a="1"/>
  <c r="L137" i="2" s="1"/>
  <c r="K137" i="2" a="1"/>
  <c r="K137" i="2" s="1"/>
  <c r="L133" i="2" a="1"/>
  <c r="L133" i="2" s="1"/>
  <c r="K133" i="2" a="1"/>
  <c r="K133" i="2" s="1"/>
  <c r="L129" i="2" a="1"/>
  <c r="L129" i="2" s="1"/>
  <c r="K129" i="2" a="1"/>
  <c r="K129" i="2" s="1"/>
  <c r="L125" i="2" a="1"/>
  <c r="L125" i="2" s="1"/>
  <c r="K125" i="2" a="1"/>
  <c r="K125" i="2" s="1"/>
  <c r="L121" i="2" a="1"/>
  <c r="L121" i="2" s="1"/>
  <c r="K121" i="2" a="1"/>
  <c r="K121" i="2" s="1"/>
  <c r="L117" i="2" a="1"/>
  <c r="L117" i="2" s="1"/>
  <c r="K117" i="2" a="1"/>
  <c r="K117" i="2" s="1"/>
  <c r="L113" i="2" a="1"/>
  <c r="L113" i="2" s="1"/>
  <c r="K113" i="2" a="1"/>
  <c r="K113" i="2" s="1"/>
  <c r="L109" i="2" a="1"/>
  <c r="L109" i="2" s="1"/>
  <c r="K109" i="2" a="1"/>
  <c r="K109" i="2" s="1"/>
  <c r="L105" i="2" a="1"/>
  <c r="L105" i="2" s="1"/>
  <c r="K105" i="2" a="1"/>
  <c r="K105" i="2" s="1"/>
  <c r="L101" i="2" a="1"/>
  <c r="L101" i="2" s="1"/>
  <c r="K101" i="2" a="1"/>
  <c r="K101" i="2" s="1"/>
  <c r="L97" i="2" a="1"/>
  <c r="L97" i="2" s="1"/>
  <c r="K97" i="2" a="1"/>
  <c r="K97" i="2" s="1"/>
  <c r="L93" i="2" a="1"/>
  <c r="L93" i="2" s="1"/>
  <c r="K93" i="2" a="1"/>
  <c r="K93" i="2" s="1"/>
  <c r="L89" i="2" a="1"/>
  <c r="L89" i="2" s="1"/>
  <c r="K89" i="2" a="1"/>
  <c r="K89" i="2" s="1"/>
  <c r="L85" i="2" a="1"/>
  <c r="L85" i="2" s="1"/>
  <c r="K85" i="2" a="1"/>
  <c r="K85" i="2" s="1"/>
  <c r="L81" i="2" a="1"/>
  <c r="L81" i="2" s="1"/>
  <c r="K81" i="2" a="1"/>
  <c r="K81" i="2" s="1"/>
  <c r="L77" i="2" a="1"/>
  <c r="L77" i="2" s="1"/>
  <c r="K77" i="2" a="1"/>
  <c r="K77" i="2" s="1"/>
  <c r="L73" i="2" a="1"/>
  <c r="L73" i="2" s="1"/>
  <c r="K73" i="2" a="1"/>
  <c r="K73" i="2" s="1"/>
  <c r="L69" i="2" a="1"/>
  <c r="L69" i="2" s="1"/>
  <c r="K69" i="2" a="1"/>
  <c r="K69" i="2" s="1"/>
  <c r="L65" i="2" a="1"/>
  <c r="L65" i="2" s="1"/>
  <c r="K65" i="2" a="1"/>
  <c r="K65" i="2" s="1"/>
  <c r="L61" i="2" a="1"/>
  <c r="L61" i="2" s="1"/>
  <c r="K61" i="2" a="1"/>
  <c r="K61" i="2" s="1"/>
  <c r="L57" i="2" a="1"/>
  <c r="L57" i="2" s="1"/>
  <c r="K57" i="2" a="1"/>
  <c r="K57" i="2" s="1"/>
  <c r="L53" i="2" a="1"/>
  <c r="L53" i="2" s="1"/>
  <c r="K53" i="2" a="1"/>
  <c r="K53" i="2" s="1"/>
  <c r="L49" i="2" a="1"/>
  <c r="L49" i="2" s="1"/>
  <c r="K49" i="2" a="1"/>
  <c r="K49" i="2" s="1"/>
  <c r="L45" i="2" a="1"/>
  <c r="L45" i="2" s="1"/>
  <c r="K45" i="2" a="1"/>
  <c r="K45" i="2" s="1"/>
  <c r="L41" i="2" a="1"/>
  <c r="L41" i="2" s="1"/>
  <c r="K41" i="2" a="1"/>
  <c r="K41" i="2" s="1"/>
  <c r="L37" i="2" a="1"/>
  <c r="L37" i="2" s="1"/>
  <c r="K37" i="2" a="1"/>
  <c r="K37" i="2" s="1"/>
  <c r="L33" i="2" a="1"/>
  <c r="L33" i="2" s="1"/>
  <c r="K33" i="2" a="1"/>
  <c r="K33" i="2" s="1"/>
  <c r="L29" i="2" a="1"/>
  <c r="L29" i="2" s="1"/>
  <c r="K29" i="2" a="1"/>
  <c r="K29" i="2" s="1"/>
  <c r="L25" i="2" a="1"/>
  <c r="L25" i="2" s="1"/>
  <c r="K25" i="2" a="1"/>
  <c r="K25" i="2" s="1"/>
  <c r="O23" i="2" a="1"/>
  <c r="O23" i="2" s="1"/>
  <c r="J24" i="2" a="1"/>
  <c r="J24" i="2" s="1"/>
  <c r="Q24" i="2" a="1"/>
  <c r="Q24" i="2" s="1"/>
  <c r="J26" i="2" a="1"/>
  <c r="J26" i="2" s="1"/>
  <c r="Q26" i="2" a="1"/>
  <c r="Q26" i="2" s="1"/>
  <c r="O27" i="2" a="1"/>
  <c r="O27" i="2" s="1"/>
  <c r="J28" i="2" a="1"/>
  <c r="J28" i="2" s="1"/>
  <c r="Q28" i="2" a="1"/>
  <c r="Q28" i="2" s="1"/>
  <c r="J30" i="2" a="1"/>
  <c r="J30" i="2" s="1"/>
  <c r="Q30" i="2" a="1"/>
  <c r="Q30" i="2" s="1"/>
  <c r="O31" i="2" a="1"/>
  <c r="O31" i="2" s="1"/>
  <c r="J32" i="2" a="1"/>
  <c r="J32" i="2" s="1"/>
  <c r="Q32" i="2" a="1"/>
  <c r="Q32" i="2" s="1"/>
  <c r="J34" i="2" a="1"/>
  <c r="J34" i="2" s="1"/>
  <c r="Q34" i="2" a="1"/>
  <c r="Q34" i="2" s="1"/>
  <c r="O35" i="2" a="1"/>
  <c r="O35" i="2" s="1"/>
  <c r="J36" i="2" a="1"/>
  <c r="J36" i="2" s="1"/>
  <c r="Q36" i="2" a="1"/>
  <c r="Q36" i="2" s="1"/>
  <c r="J38" i="2" a="1"/>
  <c r="J38" i="2" s="1"/>
  <c r="Q38" i="2" a="1"/>
  <c r="Q38" i="2" s="1"/>
  <c r="O39" i="2" a="1"/>
  <c r="O39" i="2" s="1"/>
  <c r="J40" i="2" a="1"/>
  <c r="J40" i="2" s="1"/>
  <c r="Q40" i="2" a="1"/>
  <c r="Q40" i="2" s="1"/>
  <c r="J42" i="2" a="1"/>
  <c r="J42" i="2" s="1"/>
  <c r="Q42" i="2" a="1"/>
  <c r="Q42" i="2" s="1"/>
  <c r="O43" i="2" a="1"/>
  <c r="O43" i="2" s="1"/>
  <c r="J44" i="2" a="1"/>
  <c r="J44" i="2" s="1"/>
  <c r="Q44" i="2" a="1"/>
  <c r="Q44" i="2" s="1"/>
  <c r="J46" i="2" a="1"/>
  <c r="J46" i="2" s="1"/>
  <c r="Q46" i="2" a="1"/>
  <c r="Q46" i="2" s="1"/>
  <c r="O47" i="2" a="1"/>
  <c r="O47" i="2" s="1"/>
  <c r="J48" i="2" a="1"/>
  <c r="J48" i="2" s="1"/>
  <c r="Q48" i="2" a="1"/>
  <c r="Q48" i="2" s="1"/>
  <c r="J50" i="2" a="1"/>
  <c r="J50" i="2" s="1"/>
  <c r="Q50" i="2" a="1"/>
  <c r="Q50" i="2" s="1"/>
  <c r="O51" i="2" a="1"/>
  <c r="O51" i="2" s="1"/>
  <c r="J52" i="2" a="1"/>
  <c r="J52" i="2" s="1"/>
  <c r="Q52" i="2" a="1"/>
  <c r="Q52" i="2" s="1"/>
  <c r="J54" i="2" a="1"/>
  <c r="J54" i="2" s="1"/>
  <c r="Q54" i="2" a="1"/>
  <c r="Q54" i="2" s="1"/>
  <c r="O55" i="2" a="1"/>
  <c r="O55" i="2" s="1"/>
  <c r="J56" i="2" a="1"/>
  <c r="J56" i="2" s="1"/>
  <c r="Q56" i="2" a="1"/>
  <c r="Q56" i="2" s="1"/>
  <c r="J58" i="2" a="1"/>
  <c r="J58" i="2" s="1"/>
  <c r="Q58" i="2" a="1"/>
  <c r="Q58" i="2" s="1"/>
  <c r="O59" i="2" a="1"/>
  <c r="O59" i="2" s="1"/>
  <c r="J60" i="2" a="1"/>
  <c r="J60" i="2" s="1"/>
  <c r="Q60" i="2" a="1"/>
  <c r="Q60" i="2" s="1"/>
  <c r="J62" i="2" a="1"/>
  <c r="J62" i="2" s="1"/>
  <c r="Q62" i="2" a="1"/>
  <c r="Q62" i="2" s="1"/>
  <c r="O63" i="2" a="1"/>
  <c r="O63" i="2" s="1"/>
  <c r="J64" i="2" a="1"/>
  <c r="J64" i="2" s="1"/>
  <c r="Q64" i="2" a="1"/>
  <c r="Q64" i="2" s="1"/>
  <c r="J66" i="2" a="1"/>
  <c r="J66" i="2" s="1"/>
  <c r="Q66" i="2" a="1"/>
  <c r="Q66" i="2" s="1"/>
  <c r="O67" i="2" a="1"/>
  <c r="O67" i="2" s="1"/>
  <c r="J68" i="2" a="1"/>
  <c r="J68" i="2" s="1"/>
  <c r="Q68" i="2" a="1"/>
  <c r="Q68" i="2" s="1"/>
  <c r="J70" i="2" a="1"/>
  <c r="J70" i="2" s="1"/>
  <c r="Q70" i="2" a="1"/>
  <c r="Q70" i="2" s="1"/>
  <c r="O71" i="2" a="1"/>
  <c r="O71" i="2" s="1"/>
  <c r="J72" i="2" a="1"/>
  <c r="J72" i="2" s="1"/>
  <c r="Q72" i="2" a="1"/>
  <c r="Q72" i="2" s="1"/>
  <c r="J74" i="2" a="1"/>
  <c r="J74" i="2" s="1"/>
  <c r="Q74" i="2" a="1"/>
  <c r="Q74" i="2" s="1"/>
  <c r="O75" i="2" a="1"/>
  <c r="O75" i="2" s="1"/>
  <c r="J76" i="2" a="1"/>
  <c r="J76" i="2" s="1"/>
  <c r="Q76" i="2" a="1"/>
  <c r="Q76" i="2" s="1"/>
  <c r="J78" i="2" a="1"/>
  <c r="J78" i="2" s="1"/>
  <c r="Q78" i="2" a="1"/>
  <c r="Q78" i="2" s="1"/>
  <c r="O79" i="2" a="1"/>
  <c r="O79" i="2" s="1"/>
  <c r="J80" i="2" a="1"/>
  <c r="J80" i="2" s="1"/>
  <c r="Q80" i="2" a="1"/>
  <c r="Q80" i="2" s="1"/>
  <c r="J82" i="2" a="1"/>
  <c r="J82" i="2" s="1"/>
  <c r="Q82" i="2" a="1"/>
  <c r="Q82" i="2" s="1"/>
  <c r="O83" i="2" a="1"/>
  <c r="O83" i="2" s="1"/>
  <c r="J84" i="2" a="1"/>
  <c r="J84" i="2" s="1"/>
  <c r="Q84" i="2" a="1"/>
  <c r="Q84" i="2" s="1"/>
  <c r="J86" i="2" a="1"/>
  <c r="J86" i="2" s="1"/>
  <c r="Q86" i="2" a="1"/>
  <c r="Q86" i="2" s="1"/>
  <c r="O87" i="2" a="1"/>
  <c r="O87" i="2" s="1"/>
  <c r="J88" i="2" a="1"/>
  <c r="J88" i="2" s="1"/>
  <c r="Q88" i="2" a="1"/>
  <c r="Q88" i="2" s="1"/>
  <c r="J90" i="2" a="1"/>
  <c r="J90" i="2" s="1"/>
  <c r="Q90" i="2" a="1"/>
  <c r="Q90" i="2" s="1"/>
  <c r="O91" i="2" a="1"/>
  <c r="O91" i="2" s="1"/>
  <c r="J92" i="2" a="1"/>
  <c r="J92" i="2" s="1"/>
  <c r="Q92" i="2" a="1"/>
  <c r="Q92" i="2" s="1"/>
  <c r="J94" i="2" a="1"/>
  <c r="J94" i="2" s="1"/>
  <c r="Q94" i="2" a="1"/>
  <c r="Q94" i="2" s="1"/>
  <c r="O95" i="2" a="1"/>
  <c r="O95" i="2" s="1"/>
  <c r="J96" i="2" a="1"/>
  <c r="J96" i="2" s="1"/>
  <c r="Q96" i="2" a="1"/>
  <c r="Q96" i="2" s="1"/>
  <c r="J98" i="2" a="1"/>
  <c r="J98" i="2" s="1"/>
  <c r="Q98" i="2" a="1"/>
  <c r="Q98" i="2" s="1"/>
  <c r="O99" i="2" a="1"/>
  <c r="O99" i="2" s="1"/>
  <c r="J100" i="2" a="1"/>
  <c r="J100" i="2" s="1"/>
  <c r="Q100" i="2" a="1"/>
  <c r="Q100" i="2" s="1"/>
  <c r="J102" i="2" a="1"/>
  <c r="J102" i="2" s="1"/>
  <c r="Q102" i="2" a="1"/>
  <c r="Q102" i="2" s="1"/>
  <c r="O103" i="2" a="1"/>
  <c r="O103" i="2" s="1"/>
  <c r="J104" i="2" a="1"/>
  <c r="J104" i="2" s="1"/>
  <c r="Q104" i="2" a="1"/>
  <c r="Q104" i="2" s="1"/>
  <c r="M106" i="2" a="1"/>
  <c r="M106" i="2" s="1"/>
  <c r="I107" i="2" a="1"/>
  <c r="I107" i="2" s="1"/>
  <c r="P107" i="2" a="1"/>
  <c r="P107" i="2" s="1"/>
  <c r="M108" i="2" a="1"/>
  <c r="M108" i="2" s="1"/>
  <c r="I109" i="2" a="1"/>
  <c r="I109" i="2" s="1"/>
  <c r="M110" i="2" a="1"/>
  <c r="M110" i="2" s="1"/>
  <c r="I111" i="2" a="1"/>
  <c r="I111" i="2" s="1"/>
  <c r="P111" i="2" a="1"/>
  <c r="P111" i="2" s="1"/>
  <c r="M112" i="2" a="1"/>
  <c r="M112" i="2" s="1"/>
  <c r="I113" i="2" a="1"/>
  <c r="I113" i="2" s="1"/>
  <c r="M114" i="2" a="1"/>
  <c r="M114" i="2" s="1"/>
  <c r="I115" i="2" a="1"/>
  <c r="I115" i="2" s="1"/>
  <c r="P115" i="2" a="1"/>
  <c r="P115" i="2" s="1"/>
  <c r="M116" i="2" a="1"/>
  <c r="M116" i="2" s="1"/>
  <c r="I117" i="2" a="1"/>
  <c r="I117" i="2" s="1"/>
  <c r="M118" i="2" a="1"/>
  <c r="M118" i="2" s="1"/>
  <c r="I119" i="2" a="1"/>
  <c r="I119" i="2" s="1"/>
  <c r="P119" i="2" a="1"/>
  <c r="P119" i="2" s="1"/>
  <c r="M120" i="2" a="1"/>
  <c r="M120" i="2" s="1"/>
  <c r="I121" i="2" a="1"/>
  <c r="I121" i="2" s="1"/>
  <c r="M122" i="2" a="1"/>
  <c r="M122" i="2" s="1"/>
  <c r="I123" i="2" a="1"/>
  <c r="I123" i="2" s="1"/>
  <c r="P123" i="2" a="1"/>
  <c r="P123" i="2" s="1"/>
  <c r="M124" i="2" a="1"/>
  <c r="M124" i="2" s="1"/>
  <c r="I125" i="2" a="1"/>
  <c r="I125" i="2" s="1"/>
  <c r="M126" i="2" a="1"/>
  <c r="M126" i="2" s="1"/>
  <c r="I127" i="2" a="1"/>
  <c r="I127" i="2" s="1"/>
  <c r="P127" i="2" a="1"/>
  <c r="P127" i="2" s="1"/>
  <c r="M128" i="2" a="1"/>
  <c r="M128" i="2" s="1"/>
  <c r="I129" i="2" a="1"/>
  <c r="I129" i="2" s="1"/>
  <c r="M130" i="2" a="1"/>
  <c r="M130" i="2" s="1"/>
  <c r="I131" i="2" a="1"/>
  <c r="I131" i="2" s="1"/>
  <c r="P131" i="2" a="1"/>
  <c r="P131" i="2" s="1"/>
  <c r="M132" i="2" a="1"/>
  <c r="M132" i="2" s="1"/>
  <c r="I133" i="2" a="1"/>
  <c r="I133" i="2" s="1"/>
  <c r="M134" i="2" a="1"/>
  <c r="M134" i="2" s="1"/>
  <c r="I135" i="2" a="1"/>
  <c r="I135" i="2" s="1"/>
  <c r="P135" i="2" a="1"/>
  <c r="P135" i="2" s="1"/>
  <c r="M136" i="2" a="1"/>
  <c r="M136" i="2" s="1"/>
  <c r="I137" i="2" a="1"/>
  <c r="I137" i="2" s="1"/>
  <c r="M138" i="2" a="1"/>
  <c r="M138" i="2" s="1"/>
  <c r="I139" i="2" a="1"/>
  <c r="I139" i="2" s="1"/>
  <c r="P139" i="2" a="1"/>
  <c r="P139" i="2" s="1"/>
  <c r="M140" i="2" a="1"/>
  <c r="M140" i="2" s="1"/>
  <c r="I141" i="2" a="1"/>
  <c r="I141" i="2" s="1"/>
  <c r="M142" i="2" a="1"/>
  <c r="M142" i="2" s="1"/>
  <c r="I143" i="2" a="1"/>
  <c r="I143" i="2" s="1"/>
  <c r="P143" i="2" a="1"/>
  <c r="P143" i="2" s="1"/>
  <c r="M144" i="2" a="1"/>
  <c r="M144" i="2" s="1"/>
  <c r="I145" i="2" a="1"/>
  <c r="I145" i="2" s="1"/>
  <c r="M146" i="2" a="1"/>
  <c r="M146" i="2" s="1"/>
  <c r="I147" i="2" a="1"/>
  <c r="I147" i="2" s="1"/>
  <c r="P147" i="2" a="1"/>
  <c r="P147" i="2" s="1"/>
  <c r="M148" i="2" a="1"/>
  <c r="M148" i="2" s="1"/>
  <c r="I149" i="2" a="1"/>
  <c r="I149" i="2" s="1"/>
  <c r="M150" i="2" a="1"/>
  <c r="M150" i="2" s="1"/>
  <c r="Q150" i="2" a="1"/>
  <c r="Q150" i="2" s="1"/>
  <c r="J151" i="2" a="1"/>
  <c r="J151" i="2" s="1"/>
  <c r="O152" i="2" a="1"/>
  <c r="O152" i="2" s="1"/>
  <c r="R152" i="2" a="1"/>
  <c r="R152" i="2" s="1"/>
  <c r="M154" i="2" a="1"/>
  <c r="M154" i="2" s="1"/>
  <c r="Q154" i="2" a="1"/>
  <c r="Q154" i="2" s="1"/>
  <c r="J155" i="2" a="1"/>
  <c r="J155" i="2" s="1"/>
  <c r="O156" i="2" a="1"/>
  <c r="O156" i="2" s="1"/>
  <c r="R156" i="2" a="1"/>
  <c r="R156" i="2" s="1"/>
  <c r="M158" i="2" a="1"/>
  <c r="M158" i="2" s="1"/>
  <c r="Q158" i="2" a="1"/>
  <c r="Q158" i="2" s="1"/>
  <c r="J159" i="2" a="1"/>
  <c r="J159" i="2" s="1"/>
  <c r="O160" i="2" a="1"/>
  <c r="O160" i="2" s="1"/>
  <c r="R160" i="2" a="1"/>
  <c r="R160" i="2" s="1"/>
  <c r="M162" i="2" a="1"/>
  <c r="M162" i="2" s="1"/>
  <c r="Q162" i="2" a="1"/>
  <c r="Q162" i="2" s="1"/>
  <c r="J163" i="2" a="1"/>
  <c r="J163" i="2" s="1"/>
  <c r="O164" i="2" a="1"/>
  <c r="O164" i="2" s="1"/>
  <c r="R164" i="2" a="1"/>
  <c r="R164" i="2" s="1"/>
  <c r="I166" i="2" a="1"/>
  <c r="I166" i="2" s="1"/>
  <c r="N166" i="2" a="1"/>
  <c r="N166" i="2" s="1"/>
  <c r="I167" i="2" a="1"/>
  <c r="I167" i="2" s="1"/>
  <c r="N167" i="2" a="1"/>
  <c r="N167" i="2" s="1"/>
  <c r="I168" i="2" a="1"/>
  <c r="I168" i="2" s="1"/>
  <c r="N168" i="2" a="1"/>
  <c r="N168" i="2" s="1"/>
  <c r="I169" i="2" a="1"/>
  <c r="I169" i="2" s="1"/>
  <c r="I170" i="2" a="1"/>
  <c r="I170" i="2" s="1"/>
  <c r="O170" i="2" a="1"/>
  <c r="O170" i="2" s="1"/>
  <c r="I171" i="2" a="1"/>
  <c r="I171" i="2" s="1"/>
  <c r="J172" i="2" a="1"/>
  <c r="J172" i="2" s="1"/>
  <c r="P172" i="2" a="1"/>
  <c r="P172" i="2" s="1"/>
  <c r="J173" i="2" a="1"/>
  <c r="J173" i="2" s="1"/>
  <c r="M174" i="2" a="1"/>
  <c r="M174" i="2" s="1"/>
  <c r="Q174" i="2" a="1"/>
  <c r="Q174" i="2" s="1"/>
  <c r="N175" i="2" a="1"/>
  <c r="N175" i="2" s="1"/>
  <c r="R175" i="2" a="1"/>
  <c r="R175" i="2" s="1"/>
  <c r="R176" i="2" a="1"/>
  <c r="R176" i="2" s="1"/>
  <c r="I178" i="2" a="1"/>
  <c r="I178" i="2" s="1"/>
  <c r="O178" i="2" a="1"/>
  <c r="O178" i="2" s="1"/>
  <c r="I179" i="2" a="1"/>
  <c r="I179" i="2" s="1"/>
  <c r="J180" i="2" a="1"/>
  <c r="J180" i="2" s="1"/>
  <c r="P180" i="2" a="1"/>
  <c r="P180" i="2" s="1"/>
  <c r="J181" i="2" a="1"/>
  <c r="J181" i="2" s="1"/>
  <c r="M182" i="2" a="1"/>
  <c r="M182" i="2" s="1"/>
  <c r="Q182" i="2" a="1"/>
  <c r="Q182" i="2" s="1"/>
  <c r="N183" i="2" a="1"/>
  <c r="N183" i="2" s="1"/>
  <c r="R183" i="2" a="1"/>
  <c r="R183" i="2" s="1"/>
  <c r="R184" i="2" a="1"/>
  <c r="R184" i="2" s="1"/>
  <c r="I186" i="2" a="1"/>
  <c r="I186" i="2" s="1"/>
  <c r="O186" i="2" a="1"/>
  <c r="O186" i="2" s="1"/>
  <c r="I187" i="2" a="1"/>
  <c r="I187" i="2" s="1"/>
  <c r="J188" i="2" a="1"/>
  <c r="J188" i="2" s="1"/>
  <c r="P188" i="2" a="1"/>
  <c r="P188" i="2" s="1"/>
  <c r="J189" i="2" a="1"/>
  <c r="J189" i="2" s="1"/>
  <c r="M190" i="2" a="1"/>
  <c r="M190" i="2" s="1"/>
  <c r="Q190" i="2" a="1"/>
  <c r="Q190" i="2" s="1"/>
  <c r="N191" i="2" a="1"/>
  <c r="N191" i="2" s="1"/>
  <c r="R191" i="2" a="1"/>
  <c r="R191" i="2" s="1"/>
  <c r="R192" i="2" a="1"/>
  <c r="R192" i="2" s="1"/>
  <c r="I194" i="2" a="1"/>
  <c r="I194" i="2" s="1"/>
  <c r="O194" i="2" a="1"/>
  <c r="O194" i="2" s="1"/>
  <c r="I195" i="2" a="1"/>
  <c r="I195" i="2" s="1"/>
  <c r="J196" i="2" a="1"/>
  <c r="J196" i="2" s="1"/>
  <c r="P196" i="2" a="1"/>
  <c r="P196" i="2" s="1"/>
  <c r="J197" i="2" a="1"/>
  <c r="J197" i="2" s="1"/>
  <c r="M198" i="2" a="1"/>
  <c r="M198" i="2" s="1"/>
  <c r="Q198" i="2" a="1"/>
  <c r="Q198" i="2" s="1"/>
  <c r="N199" i="2" a="1"/>
  <c r="N199" i="2" s="1"/>
  <c r="R199" i="2" a="1"/>
  <c r="R199" i="2" s="1"/>
  <c r="R200" i="2" a="1"/>
  <c r="R200" i="2" s="1"/>
  <c r="I202" i="2" a="1"/>
  <c r="I202" i="2" s="1"/>
  <c r="O202" i="2" a="1"/>
  <c r="O202" i="2" s="1"/>
  <c r="I203" i="2" a="1"/>
  <c r="I203" i="2" s="1"/>
  <c r="J204" i="2" a="1"/>
  <c r="J204" i="2" s="1"/>
  <c r="P204" i="2" a="1"/>
  <c r="P204" i="2" s="1"/>
  <c r="J205" i="2" a="1"/>
  <c r="J205" i="2" s="1"/>
  <c r="M206" i="2" a="1"/>
  <c r="M206" i="2" s="1"/>
  <c r="Q206" i="2" a="1"/>
  <c r="Q206" i="2" s="1"/>
  <c r="N207" i="2" a="1"/>
  <c r="N207" i="2" s="1"/>
  <c r="R207" i="2" a="1"/>
  <c r="R207" i="2" s="1"/>
  <c r="R208" i="2" a="1"/>
  <c r="R208" i="2" s="1"/>
  <c r="I210" i="2" a="1"/>
  <c r="I210" i="2" s="1"/>
  <c r="O210" i="2" a="1"/>
  <c r="O210" i="2" s="1"/>
  <c r="I211" i="2" a="1"/>
  <c r="I211" i="2" s="1"/>
  <c r="J212" i="2" a="1"/>
  <c r="J212" i="2" s="1"/>
  <c r="P212" i="2" a="1"/>
  <c r="P212" i="2" s="1"/>
  <c r="J213" i="2" a="1"/>
  <c r="J213" i="2" s="1"/>
  <c r="M214" i="2" a="1"/>
  <c r="M214" i="2" s="1"/>
  <c r="Q214" i="2" a="1"/>
  <c r="Q214" i="2" s="1"/>
  <c r="N215" i="2" a="1"/>
  <c r="N215" i="2" s="1"/>
  <c r="R215" i="2" a="1"/>
  <c r="R215" i="2" s="1"/>
  <c r="R216" i="2" a="1"/>
  <c r="R216" i="2" s="1"/>
  <c r="I218" i="2" a="1"/>
  <c r="I218" i="2" s="1"/>
  <c r="O218" i="2" a="1"/>
  <c r="O218" i="2" s="1"/>
  <c r="I219" i="2" a="1"/>
  <c r="I219" i="2" s="1"/>
  <c r="J220" i="2" a="1"/>
  <c r="J220" i="2" s="1"/>
  <c r="P220" i="2" a="1"/>
  <c r="P220" i="2" s="1"/>
  <c r="J221" i="2" a="1"/>
  <c r="J221" i="2" s="1"/>
  <c r="M222" i="2" a="1"/>
  <c r="M222" i="2" s="1"/>
  <c r="Q222" i="2" a="1"/>
  <c r="Q222" i="2" s="1"/>
  <c r="N223" i="2" a="1"/>
  <c r="N223" i="2" s="1"/>
  <c r="R223" i="2" a="1"/>
  <c r="R223" i="2" s="1"/>
  <c r="R224" i="2" a="1"/>
  <c r="R224" i="2" s="1"/>
  <c r="I226" i="2" a="1"/>
  <c r="I226" i="2" s="1"/>
  <c r="O226" i="2" a="1"/>
  <c r="O226" i="2" s="1"/>
  <c r="I227" i="2" a="1"/>
  <c r="I227" i="2" s="1"/>
  <c r="J228" i="2" a="1"/>
  <c r="J228" i="2" s="1"/>
  <c r="P228" i="2" a="1"/>
  <c r="P228" i="2" s="1"/>
  <c r="J229" i="2" a="1"/>
  <c r="J229" i="2" s="1"/>
  <c r="M230" i="2" a="1"/>
  <c r="M230" i="2" s="1"/>
  <c r="Q230" i="2" a="1"/>
  <c r="Q230" i="2" s="1"/>
  <c r="N231" i="2" a="1"/>
  <c r="N231" i="2" s="1"/>
  <c r="R231" i="2" a="1"/>
  <c r="R231" i="2" s="1"/>
  <c r="R232" i="2" a="1"/>
  <c r="R232" i="2" s="1"/>
  <c r="I234" i="2" a="1"/>
  <c r="I234" i="2" s="1"/>
  <c r="O234" i="2" a="1"/>
  <c r="O234" i="2" s="1"/>
  <c r="I235" i="2" a="1"/>
  <c r="I235" i="2" s="1"/>
  <c r="J236" i="2" a="1"/>
  <c r="J236" i="2" s="1"/>
  <c r="P236" i="2" a="1"/>
  <c r="P236" i="2" s="1"/>
  <c r="J237" i="2" a="1"/>
  <c r="J237" i="2" s="1"/>
  <c r="M238" i="2" a="1"/>
  <c r="M238" i="2" s="1"/>
  <c r="Q238" i="2" a="1"/>
  <c r="Q238" i="2" s="1"/>
  <c r="N239" i="2" a="1"/>
  <c r="N239" i="2" s="1"/>
  <c r="R239" i="2" a="1"/>
  <c r="R239" i="2" s="1"/>
  <c r="R240" i="2" a="1"/>
  <c r="R240" i="2" s="1"/>
  <c r="I242" i="2" a="1"/>
  <c r="I242" i="2" s="1"/>
  <c r="O242" i="2" a="1"/>
  <c r="O242" i="2" s="1"/>
  <c r="I243" i="2" a="1"/>
  <c r="I243" i="2" s="1"/>
  <c r="J244" i="2" a="1"/>
  <c r="J244" i="2" s="1"/>
  <c r="P244" i="2" a="1"/>
  <c r="P244" i="2" s="1"/>
  <c r="J245" i="2" a="1"/>
  <c r="J245" i="2" s="1"/>
  <c r="M246" i="2" a="1"/>
  <c r="M246" i="2" s="1"/>
  <c r="Q246" i="2" a="1"/>
  <c r="Q246" i="2" s="1"/>
  <c r="N247" i="2" a="1"/>
  <c r="N247" i="2" s="1"/>
  <c r="I248" i="2" a="1"/>
  <c r="I248" i="2" s="1"/>
  <c r="Q248" i="2" a="1"/>
  <c r="Q248" i="2" s="1"/>
  <c r="J251" i="2" a="1"/>
  <c r="J251" i="2" s="1"/>
  <c r="I252" i="2" a="1"/>
  <c r="I252" i="2" s="1"/>
  <c r="Q252" i="2" a="1"/>
  <c r="Q252" i="2" s="1"/>
  <c r="J255" i="2" a="1"/>
  <c r="J255" i="2" s="1"/>
  <c r="I256" i="2" a="1"/>
  <c r="I256" i="2" s="1"/>
  <c r="Q256" i="2" a="1"/>
  <c r="Q256" i="2" s="1"/>
  <c r="J259" i="2" a="1"/>
  <c r="J259" i="2" s="1"/>
  <c r="I260" i="2" a="1"/>
  <c r="I260" i="2" s="1"/>
  <c r="Q260" i="2" a="1"/>
  <c r="Q260" i="2" s="1"/>
  <c r="J263" i="2" a="1"/>
  <c r="J263" i="2" s="1"/>
  <c r="I264" i="2" a="1"/>
  <c r="I264" i="2" s="1"/>
  <c r="Q264" i="2" a="1"/>
  <c r="Q264" i="2" s="1"/>
  <c r="J267" i="2" a="1"/>
  <c r="J267" i="2" s="1"/>
  <c r="I268" i="2" a="1"/>
  <c r="I268" i="2" s="1"/>
  <c r="Q268" i="2" a="1"/>
  <c r="Q268" i="2" s="1"/>
  <c r="J271" i="2" a="1"/>
  <c r="J271" i="2" s="1"/>
  <c r="I272" i="2" a="1"/>
  <c r="I272" i="2" s="1"/>
  <c r="Q272" i="2" a="1"/>
  <c r="Q272" i="2" s="1"/>
  <c r="J275" i="2" a="1"/>
  <c r="J275" i="2" s="1"/>
  <c r="I276" i="2" a="1"/>
  <c r="I276" i="2" s="1"/>
  <c r="Q276" i="2" a="1"/>
  <c r="Q276" i="2" s="1"/>
  <c r="J279" i="2" a="1"/>
  <c r="J279" i="2" s="1"/>
  <c r="I280" i="2" a="1"/>
  <c r="I280" i="2" s="1"/>
  <c r="Q280" i="2" a="1"/>
  <c r="Q280" i="2" s="1"/>
  <c r="J283" i="2" a="1"/>
  <c r="J283" i="2" s="1"/>
  <c r="I284" i="2" a="1"/>
  <c r="I284" i="2" s="1"/>
  <c r="Q284" i="2" a="1"/>
  <c r="Q284" i="2" s="1"/>
  <c r="J287" i="2" a="1"/>
  <c r="J287" i="2" s="1"/>
  <c r="I288" i="2" a="1"/>
  <c r="I288" i="2" s="1"/>
  <c r="Q288" i="2" a="1"/>
  <c r="Q288" i="2" s="1"/>
  <c r="J291" i="2" a="1"/>
  <c r="J291" i="2" s="1"/>
  <c r="I292" i="2" a="1"/>
  <c r="I292" i="2" s="1"/>
  <c r="Q292" i="2" a="1"/>
  <c r="Q292" i="2" s="1"/>
  <c r="J295" i="2" a="1"/>
  <c r="J295" i="2" s="1"/>
  <c r="I296" i="2" a="1"/>
  <c r="I296" i="2" s="1"/>
  <c r="Q296" i="2" a="1"/>
  <c r="Q296" i="2" s="1"/>
  <c r="J299" i="2" a="1"/>
  <c r="J299" i="2" s="1"/>
  <c r="I300" i="2" a="1"/>
  <c r="I300" i="2" s="1"/>
  <c r="Q300" i="2" a="1"/>
  <c r="Q300" i="2" s="1"/>
  <c r="I304" i="2" a="1"/>
  <c r="I304" i="2" s="1"/>
  <c r="J307" i="2" a="1"/>
  <c r="J307" i="2" s="1"/>
  <c r="Q308" i="2" a="1"/>
  <c r="Q308" i="2" s="1"/>
  <c r="Q1573" i="2" a="1"/>
  <c r="Q1573" i="2" s="1"/>
  <c r="N1573" i="2" a="1"/>
  <c r="N1573" i="2" s="1"/>
  <c r="M1573" i="2" a="1"/>
  <c r="M1573" i="2" s="1"/>
  <c r="P1573" i="2" a="1"/>
  <c r="P1573" i="2" s="1"/>
  <c r="R1573" i="2" a="1"/>
  <c r="R1573" i="2" s="1"/>
  <c r="O1573" i="2" a="1"/>
  <c r="O1573" i="2" s="1"/>
  <c r="I320" i="2" a="1"/>
  <c r="I320" i="2" s="1"/>
  <c r="I316" i="2" a="1"/>
  <c r="I316" i="2" s="1"/>
  <c r="I312" i="2" a="1"/>
  <c r="I312" i="2" s="1"/>
  <c r="J308" i="2" a="1"/>
  <c r="J308" i="2" s="1"/>
  <c r="J304" i="2" a="1"/>
  <c r="J304" i="2" s="1"/>
  <c r="J300" i="2" a="1"/>
  <c r="J300" i="2" s="1"/>
  <c r="J296" i="2" a="1"/>
  <c r="J296" i="2" s="1"/>
  <c r="J292" i="2" a="1"/>
  <c r="J292" i="2" s="1"/>
  <c r="J288" i="2" a="1"/>
  <c r="J288" i="2" s="1"/>
  <c r="J284" i="2" a="1"/>
  <c r="J284" i="2" s="1"/>
  <c r="J280" i="2" a="1"/>
  <c r="J280" i="2" s="1"/>
  <c r="J276" i="2" a="1"/>
  <c r="J276" i="2" s="1"/>
  <c r="J272" i="2" a="1"/>
  <c r="J272" i="2" s="1"/>
  <c r="J268" i="2" a="1"/>
  <c r="J268" i="2" s="1"/>
  <c r="J264" i="2" a="1"/>
  <c r="J264" i="2" s="1"/>
  <c r="J260" i="2" a="1"/>
  <c r="J260" i="2" s="1"/>
  <c r="J256" i="2" a="1"/>
  <c r="J256" i="2" s="1"/>
  <c r="J252" i="2" a="1"/>
  <c r="J252" i="2" s="1"/>
  <c r="I23" i="2" a="1"/>
  <c r="I23" i="2" s="1"/>
  <c r="P23" i="2" a="1"/>
  <c r="P23" i="2" s="1"/>
  <c r="M24" i="2" a="1"/>
  <c r="M24" i="2" s="1"/>
  <c r="I25" i="2" a="1"/>
  <c r="I25" i="2" s="1"/>
  <c r="M26" i="2" a="1"/>
  <c r="M26" i="2" s="1"/>
  <c r="I27" i="2" a="1"/>
  <c r="I27" i="2" s="1"/>
  <c r="P27" i="2" a="1"/>
  <c r="P27" i="2" s="1"/>
  <c r="M28" i="2" a="1"/>
  <c r="M28" i="2" s="1"/>
  <c r="I29" i="2" a="1"/>
  <c r="I29" i="2" s="1"/>
  <c r="M30" i="2" a="1"/>
  <c r="M30" i="2" s="1"/>
  <c r="I31" i="2" a="1"/>
  <c r="I31" i="2" s="1"/>
  <c r="P31" i="2" a="1"/>
  <c r="P31" i="2" s="1"/>
  <c r="M32" i="2" a="1"/>
  <c r="M32" i="2" s="1"/>
  <c r="I33" i="2" a="1"/>
  <c r="I33" i="2" s="1"/>
  <c r="M34" i="2" a="1"/>
  <c r="M34" i="2" s="1"/>
  <c r="I35" i="2" a="1"/>
  <c r="I35" i="2" s="1"/>
  <c r="P35" i="2" a="1"/>
  <c r="P35" i="2" s="1"/>
  <c r="M36" i="2" a="1"/>
  <c r="M36" i="2" s="1"/>
  <c r="I37" i="2" a="1"/>
  <c r="I37" i="2" s="1"/>
  <c r="M38" i="2" a="1"/>
  <c r="M38" i="2" s="1"/>
  <c r="I39" i="2" a="1"/>
  <c r="I39" i="2" s="1"/>
  <c r="P39" i="2" a="1"/>
  <c r="P39" i="2" s="1"/>
  <c r="M40" i="2" a="1"/>
  <c r="M40" i="2" s="1"/>
  <c r="I41" i="2" a="1"/>
  <c r="I41" i="2" s="1"/>
  <c r="M42" i="2" a="1"/>
  <c r="M42" i="2" s="1"/>
  <c r="I43" i="2" a="1"/>
  <c r="I43" i="2" s="1"/>
  <c r="P43" i="2" a="1"/>
  <c r="P43" i="2" s="1"/>
  <c r="M44" i="2" a="1"/>
  <c r="M44" i="2" s="1"/>
  <c r="I45" i="2" a="1"/>
  <c r="I45" i="2" s="1"/>
  <c r="M46" i="2" a="1"/>
  <c r="M46" i="2" s="1"/>
  <c r="I47" i="2" a="1"/>
  <c r="I47" i="2" s="1"/>
  <c r="P47" i="2" a="1"/>
  <c r="P47" i="2" s="1"/>
  <c r="M48" i="2" a="1"/>
  <c r="M48" i="2" s="1"/>
  <c r="I49" i="2" a="1"/>
  <c r="I49" i="2" s="1"/>
  <c r="M50" i="2" a="1"/>
  <c r="M50" i="2" s="1"/>
  <c r="I51" i="2" a="1"/>
  <c r="I51" i="2" s="1"/>
  <c r="P51" i="2" a="1"/>
  <c r="P51" i="2" s="1"/>
  <c r="M52" i="2" a="1"/>
  <c r="M52" i="2" s="1"/>
  <c r="I53" i="2" a="1"/>
  <c r="I53" i="2" s="1"/>
  <c r="M54" i="2" a="1"/>
  <c r="M54" i="2" s="1"/>
  <c r="I55" i="2" a="1"/>
  <c r="I55" i="2" s="1"/>
  <c r="P55" i="2" a="1"/>
  <c r="P55" i="2" s="1"/>
  <c r="M56" i="2" a="1"/>
  <c r="M56" i="2" s="1"/>
  <c r="I57" i="2" a="1"/>
  <c r="I57" i="2" s="1"/>
  <c r="M58" i="2" a="1"/>
  <c r="M58" i="2" s="1"/>
  <c r="I59" i="2" a="1"/>
  <c r="I59" i="2" s="1"/>
  <c r="P59" i="2" a="1"/>
  <c r="P59" i="2" s="1"/>
  <c r="M60" i="2" a="1"/>
  <c r="M60" i="2" s="1"/>
  <c r="I61" i="2" a="1"/>
  <c r="I61" i="2" s="1"/>
  <c r="M62" i="2" a="1"/>
  <c r="M62" i="2" s="1"/>
  <c r="I63" i="2" a="1"/>
  <c r="I63" i="2" s="1"/>
  <c r="P63" i="2" a="1"/>
  <c r="P63" i="2" s="1"/>
  <c r="M64" i="2" a="1"/>
  <c r="M64" i="2" s="1"/>
  <c r="I65" i="2" a="1"/>
  <c r="I65" i="2" s="1"/>
  <c r="M66" i="2" a="1"/>
  <c r="M66" i="2" s="1"/>
  <c r="I67" i="2" a="1"/>
  <c r="I67" i="2" s="1"/>
  <c r="P67" i="2" a="1"/>
  <c r="P67" i="2" s="1"/>
  <c r="M68" i="2" a="1"/>
  <c r="M68" i="2" s="1"/>
  <c r="I69" i="2" a="1"/>
  <c r="I69" i="2" s="1"/>
  <c r="M70" i="2" a="1"/>
  <c r="M70" i="2" s="1"/>
  <c r="I71" i="2" a="1"/>
  <c r="I71" i="2" s="1"/>
  <c r="P71" i="2" a="1"/>
  <c r="P71" i="2" s="1"/>
  <c r="M72" i="2" a="1"/>
  <c r="M72" i="2" s="1"/>
  <c r="I73" i="2" a="1"/>
  <c r="I73" i="2" s="1"/>
  <c r="M74" i="2" a="1"/>
  <c r="M74" i="2" s="1"/>
  <c r="I75" i="2" a="1"/>
  <c r="I75" i="2" s="1"/>
  <c r="P75" i="2" a="1"/>
  <c r="P75" i="2" s="1"/>
  <c r="M76" i="2" a="1"/>
  <c r="M76" i="2" s="1"/>
  <c r="I77" i="2" a="1"/>
  <c r="I77" i="2" s="1"/>
  <c r="M78" i="2" a="1"/>
  <c r="M78" i="2" s="1"/>
  <c r="I79" i="2" a="1"/>
  <c r="I79" i="2" s="1"/>
  <c r="P79" i="2" a="1"/>
  <c r="P79" i="2" s="1"/>
  <c r="M80" i="2" a="1"/>
  <c r="M80" i="2" s="1"/>
  <c r="I81" i="2" a="1"/>
  <c r="I81" i="2" s="1"/>
  <c r="M82" i="2" a="1"/>
  <c r="M82" i="2" s="1"/>
  <c r="I83" i="2" a="1"/>
  <c r="I83" i="2" s="1"/>
  <c r="P83" i="2" a="1"/>
  <c r="P83" i="2" s="1"/>
  <c r="M84" i="2" a="1"/>
  <c r="M84" i="2" s="1"/>
  <c r="I85" i="2" a="1"/>
  <c r="I85" i="2" s="1"/>
  <c r="M86" i="2" a="1"/>
  <c r="M86" i="2" s="1"/>
  <c r="I87" i="2" a="1"/>
  <c r="I87" i="2" s="1"/>
  <c r="P87" i="2" a="1"/>
  <c r="P87" i="2" s="1"/>
  <c r="M88" i="2" a="1"/>
  <c r="M88" i="2" s="1"/>
  <c r="I89" i="2" a="1"/>
  <c r="I89" i="2" s="1"/>
  <c r="M90" i="2" a="1"/>
  <c r="M90" i="2" s="1"/>
  <c r="I91" i="2" a="1"/>
  <c r="I91" i="2" s="1"/>
  <c r="P91" i="2" a="1"/>
  <c r="P91" i="2" s="1"/>
  <c r="M92" i="2" a="1"/>
  <c r="M92" i="2" s="1"/>
  <c r="I93" i="2" a="1"/>
  <c r="I93" i="2" s="1"/>
  <c r="M94" i="2" a="1"/>
  <c r="M94" i="2" s="1"/>
  <c r="I95" i="2" a="1"/>
  <c r="I95" i="2" s="1"/>
  <c r="P95" i="2" a="1"/>
  <c r="P95" i="2" s="1"/>
  <c r="M96" i="2" a="1"/>
  <c r="M96" i="2" s="1"/>
  <c r="I97" i="2" a="1"/>
  <c r="I97" i="2" s="1"/>
  <c r="M98" i="2" a="1"/>
  <c r="M98" i="2" s="1"/>
  <c r="I99" i="2" a="1"/>
  <c r="I99" i="2" s="1"/>
  <c r="P99" i="2" a="1"/>
  <c r="P99" i="2" s="1"/>
  <c r="M100" i="2" a="1"/>
  <c r="M100" i="2" s="1"/>
  <c r="I101" i="2" a="1"/>
  <c r="I101" i="2" s="1"/>
  <c r="M102" i="2" a="1"/>
  <c r="M102" i="2" s="1"/>
  <c r="I103" i="2" a="1"/>
  <c r="I103" i="2" s="1"/>
  <c r="P103" i="2" a="1"/>
  <c r="P103" i="2" s="1"/>
  <c r="M104" i="2" a="1"/>
  <c r="M104" i="2" s="1"/>
  <c r="I105" i="2" a="1"/>
  <c r="I105" i="2" s="1"/>
  <c r="O106" i="2" a="1"/>
  <c r="O106" i="2" s="1"/>
  <c r="J107" i="2" a="1"/>
  <c r="J107" i="2" s="1"/>
  <c r="Q107" i="2" a="1"/>
  <c r="Q107" i="2" s="1"/>
  <c r="O108" i="2" a="1"/>
  <c r="O108" i="2" s="1"/>
  <c r="J109" i="2" a="1"/>
  <c r="J109" i="2" s="1"/>
  <c r="O110" i="2" a="1"/>
  <c r="O110" i="2" s="1"/>
  <c r="J111" i="2" a="1"/>
  <c r="J111" i="2" s="1"/>
  <c r="Q111" i="2" a="1"/>
  <c r="Q111" i="2" s="1"/>
  <c r="O112" i="2" a="1"/>
  <c r="O112" i="2" s="1"/>
  <c r="J113" i="2" a="1"/>
  <c r="J113" i="2" s="1"/>
  <c r="O114" i="2" a="1"/>
  <c r="O114" i="2" s="1"/>
  <c r="J115" i="2" a="1"/>
  <c r="J115" i="2" s="1"/>
  <c r="Q115" i="2" a="1"/>
  <c r="Q115" i="2" s="1"/>
  <c r="O116" i="2" a="1"/>
  <c r="O116" i="2" s="1"/>
  <c r="J117" i="2" a="1"/>
  <c r="J117" i="2" s="1"/>
  <c r="O118" i="2" a="1"/>
  <c r="O118" i="2" s="1"/>
  <c r="J119" i="2" a="1"/>
  <c r="J119" i="2" s="1"/>
  <c r="Q119" i="2" a="1"/>
  <c r="Q119" i="2" s="1"/>
  <c r="O120" i="2" a="1"/>
  <c r="O120" i="2" s="1"/>
  <c r="J121" i="2" a="1"/>
  <c r="J121" i="2" s="1"/>
  <c r="O122" i="2" a="1"/>
  <c r="O122" i="2" s="1"/>
  <c r="J123" i="2" a="1"/>
  <c r="J123" i="2" s="1"/>
  <c r="Q123" i="2" a="1"/>
  <c r="Q123" i="2" s="1"/>
  <c r="O124" i="2" a="1"/>
  <c r="O124" i="2" s="1"/>
  <c r="J125" i="2" a="1"/>
  <c r="J125" i="2" s="1"/>
  <c r="O126" i="2" a="1"/>
  <c r="O126" i="2" s="1"/>
  <c r="J127" i="2" a="1"/>
  <c r="J127" i="2" s="1"/>
  <c r="Q127" i="2" a="1"/>
  <c r="Q127" i="2" s="1"/>
  <c r="O128" i="2" a="1"/>
  <c r="O128" i="2" s="1"/>
  <c r="J129" i="2" a="1"/>
  <c r="J129" i="2" s="1"/>
  <c r="O130" i="2" a="1"/>
  <c r="O130" i="2" s="1"/>
  <c r="J131" i="2" a="1"/>
  <c r="J131" i="2" s="1"/>
  <c r="Q131" i="2" a="1"/>
  <c r="Q131" i="2" s="1"/>
  <c r="O132" i="2" a="1"/>
  <c r="O132" i="2" s="1"/>
  <c r="J133" i="2" a="1"/>
  <c r="J133" i="2" s="1"/>
  <c r="O134" i="2" a="1"/>
  <c r="O134" i="2" s="1"/>
  <c r="J135" i="2" a="1"/>
  <c r="J135" i="2" s="1"/>
  <c r="Q135" i="2" a="1"/>
  <c r="Q135" i="2" s="1"/>
  <c r="O136" i="2" a="1"/>
  <c r="O136" i="2" s="1"/>
  <c r="J137" i="2" a="1"/>
  <c r="J137" i="2" s="1"/>
  <c r="O138" i="2" a="1"/>
  <c r="O138" i="2" s="1"/>
  <c r="J139" i="2" a="1"/>
  <c r="J139" i="2" s="1"/>
  <c r="Q139" i="2" a="1"/>
  <c r="Q139" i="2" s="1"/>
  <c r="O140" i="2" a="1"/>
  <c r="O140" i="2" s="1"/>
  <c r="J141" i="2" a="1"/>
  <c r="J141" i="2" s="1"/>
  <c r="O142" i="2" a="1"/>
  <c r="O142" i="2" s="1"/>
  <c r="J143" i="2" a="1"/>
  <c r="J143" i="2" s="1"/>
  <c r="Q143" i="2" a="1"/>
  <c r="Q143" i="2" s="1"/>
  <c r="O144" i="2" a="1"/>
  <c r="O144" i="2" s="1"/>
  <c r="J145" i="2" a="1"/>
  <c r="J145" i="2" s="1"/>
  <c r="O146" i="2" a="1"/>
  <c r="O146" i="2" s="1"/>
  <c r="J147" i="2" a="1"/>
  <c r="J147" i="2" s="1"/>
  <c r="Q147" i="2" a="1"/>
  <c r="Q147" i="2" s="1"/>
  <c r="O148" i="2" a="1"/>
  <c r="O148" i="2" s="1"/>
  <c r="J149" i="2" a="1"/>
  <c r="J149" i="2" s="1"/>
  <c r="N150" i="2" a="1"/>
  <c r="N150" i="2" s="1"/>
  <c r="M151" i="2" a="1"/>
  <c r="M151" i="2" s="1"/>
  <c r="Q151" i="2" a="1"/>
  <c r="Q151" i="2" s="1"/>
  <c r="J152" i="2" a="1"/>
  <c r="J152" i="2" s="1"/>
  <c r="N154" i="2" a="1"/>
  <c r="N154" i="2" s="1"/>
  <c r="M155" i="2" a="1"/>
  <c r="M155" i="2" s="1"/>
  <c r="Q155" i="2" a="1"/>
  <c r="Q155" i="2" s="1"/>
  <c r="J156" i="2" a="1"/>
  <c r="J156" i="2" s="1"/>
  <c r="N158" i="2" a="1"/>
  <c r="N158" i="2" s="1"/>
  <c r="M159" i="2" a="1"/>
  <c r="M159" i="2" s="1"/>
  <c r="Q159" i="2" a="1"/>
  <c r="Q159" i="2" s="1"/>
  <c r="J160" i="2" a="1"/>
  <c r="J160" i="2" s="1"/>
  <c r="N162" i="2" a="1"/>
  <c r="N162" i="2" s="1"/>
  <c r="M163" i="2" a="1"/>
  <c r="M163" i="2" s="1"/>
  <c r="Q163" i="2" a="1"/>
  <c r="Q163" i="2" s="1"/>
  <c r="J164" i="2" a="1"/>
  <c r="J164" i="2" s="1"/>
  <c r="J166" i="2" a="1"/>
  <c r="J166" i="2" s="1"/>
  <c r="J167" i="2" a="1"/>
  <c r="J167" i="2" s="1"/>
  <c r="J168" i="2" a="1"/>
  <c r="J168" i="2" s="1"/>
  <c r="J169" i="2" a="1"/>
  <c r="J169" i="2" s="1"/>
  <c r="J170" i="2" a="1"/>
  <c r="J170" i="2" s="1"/>
  <c r="P170" i="2" a="1"/>
  <c r="P170" i="2" s="1"/>
  <c r="J171" i="2" a="1"/>
  <c r="J171" i="2" s="1"/>
  <c r="Q171" i="2" a="1"/>
  <c r="Q171" i="2" s="1"/>
  <c r="M172" i="2" a="1"/>
  <c r="M172" i="2" s="1"/>
  <c r="Q172" i="2" a="1"/>
  <c r="Q172" i="2" s="1"/>
  <c r="R174" i="2" a="1"/>
  <c r="R174" i="2" s="1"/>
  <c r="O175" i="2" a="1"/>
  <c r="O175" i="2" s="1"/>
  <c r="I176" i="2" a="1"/>
  <c r="I176" i="2" s="1"/>
  <c r="O176" i="2" a="1"/>
  <c r="O176" i="2" s="1"/>
  <c r="I177" i="2" a="1"/>
  <c r="I177" i="2" s="1"/>
  <c r="J178" i="2" a="1"/>
  <c r="J178" i="2" s="1"/>
  <c r="P178" i="2" a="1"/>
  <c r="P178" i="2" s="1"/>
  <c r="J179" i="2" a="1"/>
  <c r="J179" i="2" s="1"/>
  <c r="Q179" i="2" a="1"/>
  <c r="Q179" i="2" s="1"/>
  <c r="M180" i="2" a="1"/>
  <c r="M180" i="2" s="1"/>
  <c r="Q180" i="2" a="1"/>
  <c r="Q180" i="2" s="1"/>
  <c r="R182" i="2" a="1"/>
  <c r="R182" i="2" s="1"/>
  <c r="O183" i="2" a="1"/>
  <c r="O183" i="2" s="1"/>
  <c r="I184" i="2" a="1"/>
  <c r="I184" i="2" s="1"/>
  <c r="O184" i="2" a="1"/>
  <c r="O184" i="2" s="1"/>
  <c r="I185" i="2" a="1"/>
  <c r="I185" i="2" s="1"/>
  <c r="J186" i="2" a="1"/>
  <c r="J186" i="2" s="1"/>
  <c r="P186" i="2" a="1"/>
  <c r="P186" i="2" s="1"/>
  <c r="J187" i="2" a="1"/>
  <c r="J187" i="2" s="1"/>
  <c r="Q187" i="2" a="1"/>
  <c r="Q187" i="2" s="1"/>
  <c r="M188" i="2" a="1"/>
  <c r="M188" i="2" s="1"/>
  <c r="Q188" i="2" a="1"/>
  <c r="Q188" i="2" s="1"/>
  <c r="R190" i="2" a="1"/>
  <c r="R190" i="2" s="1"/>
  <c r="O191" i="2" a="1"/>
  <c r="O191" i="2" s="1"/>
  <c r="I192" i="2" a="1"/>
  <c r="I192" i="2" s="1"/>
  <c r="O192" i="2" a="1"/>
  <c r="O192" i="2" s="1"/>
  <c r="I193" i="2" a="1"/>
  <c r="I193" i="2" s="1"/>
  <c r="J194" i="2" a="1"/>
  <c r="J194" i="2" s="1"/>
  <c r="P194" i="2" a="1"/>
  <c r="P194" i="2" s="1"/>
  <c r="J195" i="2" a="1"/>
  <c r="J195" i="2" s="1"/>
  <c r="Q195" i="2" a="1"/>
  <c r="Q195" i="2" s="1"/>
  <c r="M196" i="2" a="1"/>
  <c r="M196" i="2" s="1"/>
  <c r="Q196" i="2" a="1"/>
  <c r="Q196" i="2" s="1"/>
  <c r="R198" i="2" a="1"/>
  <c r="R198" i="2" s="1"/>
  <c r="O199" i="2" a="1"/>
  <c r="O199" i="2" s="1"/>
  <c r="I200" i="2" a="1"/>
  <c r="I200" i="2" s="1"/>
  <c r="O200" i="2" a="1"/>
  <c r="O200" i="2" s="1"/>
  <c r="I201" i="2" a="1"/>
  <c r="I201" i="2" s="1"/>
  <c r="J202" i="2" a="1"/>
  <c r="J202" i="2" s="1"/>
  <c r="P202" i="2" a="1"/>
  <c r="P202" i="2" s="1"/>
  <c r="J203" i="2" a="1"/>
  <c r="J203" i="2" s="1"/>
  <c r="Q203" i="2" a="1"/>
  <c r="Q203" i="2" s="1"/>
  <c r="M204" i="2" a="1"/>
  <c r="M204" i="2" s="1"/>
  <c r="Q204" i="2" a="1"/>
  <c r="Q204" i="2" s="1"/>
  <c r="R206" i="2" a="1"/>
  <c r="R206" i="2" s="1"/>
  <c r="O207" i="2" a="1"/>
  <c r="O207" i="2" s="1"/>
  <c r="I208" i="2" a="1"/>
  <c r="I208" i="2" s="1"/>
  <c r="O208" i="2" a="1"/>
  <c r="O208" i="2" s="1"/>
  <c r="I209" i="2" a="1"/>
  <c r="I209" i="2" s="1"/>
  <c r="J210" i="2" a="1"/>
  <c r="J210" i="2" s="1"/>
  <c r="P210" i="2" a="1"/>
  <c r="P210" i="2" s="1"/>
  <c r="J211" i="2" a="1"/>
  <c r="J211" i="2" s="1"/>
  <c r="Q211" i="2" a="1"/>
  <c r="Q211" i="2" s="1"/>
  <c r="M212" i="2" a="1"/>
  <c r="M212" i="2" s="1"/>
  <c r="Q212" i="2" a="1"/>
  <c r="Q212" i="2" s="1"/>
  <c r="R214" i="2" a="1"/>
  <c r="R214" i="2" s="1"/>
  <c r="O215" i="2" a="1"/>
  <c r="O215" i="2" s="1"/>
  <c r="I216" i="2" a="1"/>
  <c r="I216" i="2" s="1"/>
  <c r="O216" i="2" a="1"/>
  <c r="O216" i="2" s="1"/>
  <c r="I217" i="2" a="1"/>
  <c r="I217" i="2" s="1"/>
  <c r="J218" i="2" a="1"/>
  <c r="J218" i="2" s="1"/>
  <c r="P218" i="2" a="1"/>
  <c r="P218" i="2" s="1"/>
  <c r="J219" i="2" a="1"/>
  <c r="J219" i="2" s="1"/>
  <c r="Q219" i="2" a="1"/>
  <c r="Q219" i="2" s="1"/>
  <c r="M220" i="2" a="1"/>
  <c r="M220" i="2" s="1"/>
  <c r="Q220" i="2" a="1"/>
  <c r="Q220" i="2" s="1"/>
  <c r="R222" i="2" a="1"/>
  <c r="R222" i="2" s="1"/>
  <c r="O223" i="2" a="1"/>
  <c r="O223" i="2" s="1"/>
  <c r="I224" i="2" a="1"/>
  <c r="I224" i="2" s="1"/>
  <c r="O224" i="2" a="1"/>
  <c r="O224" i="2" s="1"/>
  <c r="I225" i="2" a="1"/>
  <c r="I225" i="2" s="1"/>
  <c r="J226" i="2" a="1"/>
  <c r="J226" i="2" s="1"/>
  <c r="P226" i="2" a="1"/>
  <c r="P226" i="2" s="1"/>
  <c r="J227" i="2" a="1"/>
  <c r="J227" i="2" s="1"/>
  <c r="Q227" i="2" a="1"/>
  <c r="Q227" i="2" s="1"/>
  <c r="M228" i="2" a="1"/>
  <c r="M228" i="2" s="1"/>
  <c r="Q228" i="2" a="1"/>
  <c r="Q228" i="2" s="1"/>
  <c r="R230" i="2" a="1"/>
  <c r="R230" i="2" s="1"/>
  <c r="O231" i="2" a="1"/>
  <c r="O231" i="2" s="1"/>
  <c r="I232" i="2" a="1"/>
  <c r="I232" i="2" s="1"/>
  <c r="O232" i="2" a="1"/>
  <c r="O232" i="2" s="1"/>
  <c r="I233" i="2" a="1"/>
  <c r="I233" i="2" s="1"/>
  <c r="J234" i="2" a="1"/>
  <c r="J234" i="2" s="1"/>
  <c r="P234" i="2" a="1"/>
  <c r="P234" i="2" s="1"/>
  <c r="J235" i="2" a="1"/>
  <c r="J235" i="2" s="1"/>
  <c r="Q235" i="2" a="1"/>
  <c r="Q235" i="2" s="1"/>
  <c r="M236" i="2" a="1"/>
  <c r="M236" i="2" s="1"/>
  <c r="Q236" i="2" a="1"/>
  <c r="Q236" i="2" s="1"/>
  <c r="R238" i="2" a="1"/>
  <c r="R238" i="2" s="1"/>
  <c r="O239" i="2" a="1"/>
  <c r="O239" i="2" s="1"/>
  <c r="I240" i="2" a="1"/>
  <c r="I240" i="2" s="1"/>
  <c r="O240" i="2" a="1"/>
  <c r="O240" i="2" s="1"/>
  <c r="I241" i="2" a="1"/>
  <c r="I241" i="2" s="1"/>
  <c r="J242" i="2" a="1"/>
  <c r="J242" i="2" s="1"/>
  <c r="P242" i="2" a="1"/>
  <c r="P242" i="2" s="1"/>
  <c r="J243" i="2" a="1"/>
  <c r="J243" i="2" s="1"/>
  <c r="Q243" i="2" a="1"/>
  <c r="Q243" i="2" s="1"/>
  <c r="M244" i="2" a="1"/>
  <c r="M244" i="2" s="1"/>
  <c r="Q244" i="2" a="1"/>
  <c r="Q244" i="2" s="1"/>
  <c r="R246" i="2" a="1"/>
  <c r="R246" i="2" s="1"/>
  <c r="O247" i="2" a="1"/>
  <c r="O247" i="2" s="1"/>
  <c r="M248" i="2" a="1"/>
  <c r="M248" i="2" s="1"/>
  <c r="I249" i="2" a="1"/>
  <c r="I249" i="2" s="1"/>
  <c r="P250" i="2" a="1"/>
  <c r="P250" i="2" s="1"/>
  <c r="O251" i="2" a="1"/>
  <c r="O251" i="2" s="1"/>
  <c r="M252" i="2" a="1"/>
  <c r="M252" i="2" s="1"/>
  <c r="I253" i="2" a="1"/>
  <c r="I253" i="2" s="1"/>
  <c r="P254" i="2" a="1"/>
  <c r="P254" i="2" s="1"/>
  <c r="O255" i="2" a="1"/>
  <c r="O255" i="2" s="1"/>
  <c r="M256" i="2" a="1"/>
  <c r="M256" i="2" s="1"/>
  <c r="I257" i="2" a="1"/>
  <c r="I257" i="2" s="1"/>
  <c r="P258" i="2" a="1"/>
  <c r="P258" i="2" s="1"/>
  <c r="O259" i="2" a="1"/>
  <c r="O259" i="2" s="1"/>
  <c r="M260" i="2" a="1"/>
  <c r="M260" i="2" s="1"/>
  <c r="I261" i="2" a="1"/>
  <c r="I261" i="2" s="1"/>
  <c r="P262" i="2" a="1"/>
  <c r="P262" i="2" s="1"/>
  <c r="O263" i="2" a="1"/>
  <c r="O263" i="2" s="1"/>
  <c r="M264" i="2" a="1"/>
  <c r="M264" i="2" s="1"/>
  <c r="I265" i="2" a="1"/>
  <c r="I265" i="2" s="1"/>
  <c r="P266" i="2" a="1"/>
  <c r="P266" i="2" s="1"/>
  <c r="O267" i="2" a="1"/>
  <c r="O267" i="2" s="1"/>
  <c r="M268" i="2" a="1"/>
  <c r="M268" i="2" s="1"/>
  <c r="I269" i="2" a="1"/>
  <c r="I269" i="2" s="1"/>
  <c r="P270" i="2" a="1"/>
  <c r="P270" i="2" s="1"/>
  <c r="O271" i="2" a="1"/>
  <c r="O271" i="2" s="1"/>
  <c r="M272" i="2" a="1"/>
  <c r="M272" i="2" s="1"/>
  <c r="I273" i="2" a="1"/>
  <c r="I273" i="2" s="1"/>
  <c r="P274" i="2" a="1"/>
  <c r="P274" i="2" s="1"/>
  <c r="O275" i="2" a="1"/>
  <c r="O275" i="2" s="1"/>
  <c r="M276" i="2" a="1"/>
  <c r="M276" i="2" s="1"/>
  <c r="I277" i="2" a="1"/>
  <c r="I277" i="2" s="1"/>
  <c r="P278" i="2" a="1"/>
  <c r="P278" i="2" s="1"/>
  <c r="O279" i="2" a="1"/>
  <c r="O279" i="2" s="1"/>
  <c r="M280" i="2" a="1"/>
  <c r="M280" i="2" s="1"/>
  <c r="I281" i="2" a="1"/>
  <c r="I281" i="2" s="1"/>
  <c r="P282" i="2" a="1"/>
  <c r="P282" i="2" s="1"/>
  <c r="O283" i="2" a="1"/>
  <c r="O283" i="2" s="1"/>
  <c r="M284" i="2" a="1"/>
  <c r="M284" i="2" s="1"/>
  <c r="I285" i="2" a="1"/>
  <c r="I285" i="2" s="1"/>
  <c r="P286" i="2" a="1"/>
  <c r="P286" i="2" s="1"/>
  <c r="O287" i="2" a="1"/>
  <c r="O287" i="2" s="1"/>
  <c r="M288" i="2" a="1"/>
  <c r="M288" i="2" s="1"/>
  <c r="I289" i="2" a="1"/>
  <c r="I289" i="2" s="1"/>
  <c r="P290" i="2" a="1"/>
  <c r="P290" i="2" s="1"/>
  <c r="O291" i="2" a="1"/>
  <c r="O291" i="2" s="1"/>
  <c r="M292" i="2" a="1"/>
  <c r="M292" i="2" s="1"/>
  <c r="I293" i="2" a="1"/>
  <c r="I293" i="2" s="1"/>
  <c r="P294" i="2" a="1"/>
  <c r="P294" i="2" s="1"/>
  <c r="O295" i="2" a="1"/>
  <c r="O295" i="2" s="1"/>
  <c r="M296" i="2" a="1"/>
  <c r="M296" i="2" s="1"/>
  <c r="I297" i="2" a="1"/>
  <c r="I297" i="2" s="1"/>
  <c r="P298" i="2" a="1"/>
  <c r="P298" i="2" s="1"/>
  <c r="O299" i="2" a="1"/>
  <c r="O299" i="2" s="1"/>
  <c r="M300" i="2" a="1"/>
  <c r="M300" i="2" s="1"/>
  <c r="J301" i="2" a="1"/>
  <c r="J301" i="2" s="1"/>
  <c r="Q302" i="2" a="1"/>
  <c r="Q302" i="2" s="1"/>
  <c r="I306" i="2" a="1"/>
  <c r="I306" i="2" s="1"/>
  <c r="N249" i="2" a="1"/>
  <c r="N249" i="2" s="1"/>
  <c r="Q249" i="2" a="1"/>
  <c r="Q249" i="2" s="1"/>
  <c r="N253" i="2" a="1"/>
  <c r="N253" i="2" s="1"/>
  <c r="Q253" i="2" a="1"/>
  <c r="Q253" i="2" s="1"/>
  <c r="N257" i="2" a="1"/>
  <c r="N257" i="2" s="1"/>
  <c r="Q257" i="2" a="1"/>
  <c r="Q257" i="2" s="1"/>
  <c r="N261" i="2" a="1"/>
  <c r="N261" i="2" s="1"/>
  <c r="Q261" i="2" a="1"/>
  <c r="Q261" i="2" s="1"/>
  <c r="N265" i="2" a="1"/>
  <c r="N265" i="2" s="1"/>
  <c r="Q265" i="2" a="1"/>
  <c r="Q265" i="2" s="1"/>
  <c r="N269" i="2" a="1"/>
  <c r="N269" i="2" s="1"/>
  <c r="Q269" i="2" a="1"/>
  <c r="Q269" i="2" s="1"/>
  <c r="N273" i="2" a="1"/>
  <c r="N273" i="2" s="1"/>
  <c r="Q273" i="2" a="1"/>
  <c r="Q273" i="2" s="1"/>
  <c r="N277" i="2" a="1"/>
  <c r="N277" i="2" s="1"/>
  <c r="Q277" i="2" a="1"/>
  <c r="Q277" i="2" s="1"/>
  <c r="N281" i="2" a="1"/>
  <c r="N281" i="2" s="1"/>
  <c r="Q281" i="2" a="1"/>
  <c r="Q281" i="2" s="1"/>
  <c r="N285" i="2" a="1"/>
  <c r="N285" i="2" s="1"/>
  <c r="Q285" i="2" a="1"/>
  <c r="Q285" i="2" s="1"/>
  <c r="N289" i="2" a="1"/>
  <c r="N289" i="2" s="1"/>
  <c r="Q289" i="2" a="1"/>
  <c r="Q289" i="2" s="1"/>
  <c r="N293" i="2" a="1"/>
  <c r="N293" i="2" s="1"/>
  <c r="Q293" i="2" a="1"/>
  <c r="Q293" i="2" s="1"/>
  <c r="N297" i="2" a="1"/>
  <c r="N297" i="2" s="1"/>
  <c r="Q297" i="2" a="1"/>
  <c r="Q297" i="2" s="1"/>
  <c r="N301" i="2" a="1"/>
  <c r="N301" i="2" s="1"/>
  <c r="Q301" i="2" a="1"/>
  <c r="Q301" i="2" s="1"/>
  <c r="N305" i="2" a="1"/>
  <c r="N305" i="2" s="1"/>
  <c r="Q305" i="2" a="1"/>
  <c r="Q305" i="2" s="1"/>
  <c r="N309" i="2" a="1"/>
  <c r="N309" i="2" s="1"/>
  <c r="Q309" i="2" a="1"/>
  <c r="Q309" i="2" s="1"/>
  <c r="J312" i="2" a="1"/>
  <c r="J312" i="2" s="1"/>
  <c r="N313" i="2" a="1"/>
  <c r="N313" i="2" s="1"/>
  <c r="Q313" i="2" a="1"/>
  <c r="Q313" i="2" s="1"/>
  <c r="J316" i="2" a="1"/>
  <c r="J316" i="2" s="1"/>
  <c r="N317" i="2" a="1"/>
  <c r="N317" i="2" s="1"/>
  <c r="Q317" i="2" a="1"/>
  <c r="Q317" i="2" s="1"/>
  <c r="J320" i="2" a="1"/>
  <c r="J320" i="2" s="1"/>
  <c r="N321" i="2" a="1"/>
  <c r="N321" i="2" s="1"/>
  <c r="Q321" i="2" a="1"/>
  <c r="Q321" i="2" s="1"/>
  <c r="J324" i="2" a="1"/>
  <c r="J324" i="2" s="1"/>
  <c r="N325" i="2" a="1"/>
  <c r="N325" i="2" s="1"/>
  <c r="Q325" i="2" a="1"/>
  <c r="Q325" i="2" s="1"/>
  <c r="J328" i="2" a="1"/>
  <c r="J328" i="2" s="1"/>
  <c r="N329" i="2" a="1"/>
  <c r="N329" i="2" s="1"/>
  <c r="Q329" i="2" a="1"/>
  <c r="Q329" i="2" s="1"/>
  <c r="J332" i="2" a="1"/>
  <c r="J332" i="2" s="1"/>
  <c r="N333" i="2" a="1"/>
  <c r="N333" i="2" s="1"/>
  <c r="Q333" i="2" a="1"/>
  <c r="Q333" i="2" s="1"/>
  <c r="J336" i="2" a="1"/>
  <c r="J336" i="2" s="1"/>
  <c r="N337" i="2" a="1"/>
  <c r="N337" i="2" s="1"/>
  <c r="Q337" i="2" a="1"/>
  <c r="Q337" i="2" s="1"/>
  <c r="J340" i="2" a="1"/>
  <c r="J340" i="2" s="1"/>
  <c r="N341" i="2" a="1"/>
  <c r="N341" i="2" s="1"/>
  <c r="Q341" i="2" a="1"/>
  <c r="Q341" i="2" s="1"/>
  <c r="J344" i="2" a="1"/>
  <c r="J344" i="2" s="1"/>
  <c r="N345" i="2" a="1"/>
  <c r="N345" i="2" s="1"/>
  <c r="Q345" i="2" a="1"/>
  <c r="Q345" i="2" s="1"/>
  <c r="J348" i="2" a="1"/>
  <c r="J348" i="2" s="1"/>
  <c r="N349" i="2" a="1"/>
  <c r="N349" i="2" s="1"/>
  <c r="Q349" i="2" a="1"/>
  <c r="Q349" i="2" s="1"/>
  <c r="J352" i="2" a="1"/>
  <c r="J352" i="2" s="1"/>
  <c r="N353" i="2" a="1"/>
  <c r="N353" i="2" s="1"/>
  <c r="Q353" i="2" a="1"/>
  <c r="Q353" i="2" s="1"/>
  <c r="M357" i="2" a="1"/>
  <c r="M357" i="2" s="1"/>
  <c r="P357" i="2" a="1"/>
  <c r="P357" i="2" s="1"/>
  <c r="I360" i="2" a="1"/>
  <c r="I360" i="2" s="1"/>
  <c r="O365" i="2" a="1"/>
  <c r="O365" i="2" s="1"/>
  <c r="R365" i="2" a="1"/>
  <c r="R365" i="2" s="1"/>
  <c r="O369" i="2" a="1"/>
  <c r="O369" i="2" s="1"/>
  <c r="R369" i="2" a="1"/>
  <c r="R369" i="2" s="1"/>
  <c r="O373" i="2" a="1"/>
  <c r="O373" i="2" s="1"/>
  <c r="R373" i="2" a="1"/>
  <c r="R373" i="2" s="1"/>
  <c r="O377" i="2" a="1"/>
  <c r="O377" i="2" s="1"/>
  <c r="R377" i="2" a="1"/>
  <c r="R377" i="2" s="1"/>
  <c r="O381" i="2" a="1"/>
  <c r="O381" i="2" s="1"/>
  <c r="R381" i="2" a="1"/>
  <c r="R381" i="2" s="1"/>
  <c r="O385" i="2" a="1"/>
  <c r="O385" i="2" s="1"/>
  <c r="R385" i="2" a="1"/>
  <c r="R385" i="2" s="1"/>
  <c r="O389" i="2" a="1"/>
  <c r="O389" i="2" s="1"/>
  <c r="R389" i="2" a="1"/>
  <c r="R389" i="2" s="1"/>
  <c r="O393" i="2" a="1"/>
  <c r="O393" i="2" s="1"/>
  <c r="R393" i="2" a="1"/>
  <c r="R393" i="2" s="1"/>
  <c r="O397" i="2" a="1"/>
  <c r="O397" i="2" s="1"/>
  <c r="R397" i="2" a="1"/>
  <c r="R397" i="2" s="1"/>
  <c r="I400" i="2" a="1"/>
  <c r="I400" i="2" s="1"/>
  <c r="O401" i="2" a="1"/>
  <c r="O401" i="2" s="1"/>
  <c r="R401" i="2" a="1"/>
  <c r="R401" i="2" s="1"/>
  <c r="I404" i="2" a="1"/>
  <c r="I404" i="2" s="1"/>
  <c r="O405" i="2" a="1"/>
  <c r="O405" i="2" s="1"/>
  <c r="R405" i="2" a="1"/>
  <c r="R405" i="2" s="1"/>
  <c r="I408" i="2" a="1"/>
  <c r="I408" i="2" s="1"/>
  <c r="O409" i="2" a="1"/>
  <c r="O409" i="2" s="1"/>
  <c r="R409" i="2" a="1"/>
  <c r="R409" i="2" s="1"/>
  <c r="I412" i="2" a="1"/>
  <c r="I412" i="2" s="1"/>
  <c r="O413" i="2" a="1"/>
  <c r="O413" i="2" s="1"/>
  <c r="R413" i="2" a="1"/>
  <c r="R413" i="2" s="1"/>
  <c r="I416" i="2" a="1"/>
  <c r="I416" i="2" s="1"/>
  <c r="O417" i="2" a="1"/>
  <c r="O417" i="2" s="1"/>
  <c r="R417" i="2" a="1"/>
  <c r="R417" i="2" s="1"/>
  <c r="I420" i="2" a="1"/>
  <c r="I420" i="2" s="1"/>
  <c r="O421" i="2" a="1"/>
  <c r="O421" i="2" s="1"/>
  <c r="R421" i="2" a="1"/>
  <c r="R421" i="2" s="1"/>
  <c r="I424" i="2" a="1"/>
  <c r="I424" i="2" s="1"/>
  <c r="O425" i="2" a="1"/>
  <c r="O425" i="2" s="1"/>
  <c r="R425" i="2" a="1"/>
  <c r="R425" i="2" s="1"/>
  <c r="I428" i="2" a="1"/>
  <c r="I428" i="2" s="1"/>
  <c r="O429" i="2" a="1"/>
  <c r="O429" i="2" s="1"/>
  <c r="R429" i="2" a="1"/>
  <c r="R429" i="2" s="1"/>
  <c r="I432" i="2" a="1"/>
  <c r="I432" i="2" s="1"/>
  <c r="O433" i="2" a="1"/>
  <c r="O433" i="2" s="1"/>
  <c r="R433" i="2" a="1"/>
  <c r="R433" i="2" s="1"/>
  <c r="N437" i="2" a="1"/>
  <c r="N437" i="2" s="1"/>
  <c r="R437" i="2" a="1"/>
  <c r="R437" i="2" s="1"/>
  <c r="I464" i="2" a="1"/>
  <c r="I464" i="2" s="1"/>
  <c r="J472" i="2" a="1"/>
  <c r="J472" i="2" s="1"/>
  <c r="I480" i="2" a="1"/>
  <c r="I480" i="2" s="1"/>
  <c r="J488" i="2" a="1"/>
  <c r="J488" i="2" s="1"/>
  <c r="I496" i="2" a="1"/>
  <c r="I496" i="2" s="1"/>
  <c r="J504" i="2" a="1"/>
  <c r="J504" i="2" s="1"/>
  <c r="I512" i="2" a="1"/>
  <c r="I512" i="2" s="1"/>
  <c r="O301" i="2" a="1"/>
  <c r="O301" i="2" s="1"/>
  <c r="R301" i="2" a="1"/>
  <c r="R301" i="2" s="1"/>
  <c r="O305" i="2" a="1"/>
  <c r="O305" i="2" s="1"/>
  <c r="R305" i="2" a="1"/>
  <c r="R305" i="2" s="1"/>
  <c r="O309" i="2" a="1"/>
  <c r="O309" i="2" s="1"/>
  <c r="R309" i="2" a="1"/>
  <c r="R309" i="2" s="1"/>
  <c r="O313" i="2" a="1"/>
  <c r="O313" i="2" s="1"/>
  <c r="R313" i="2" a="1"/>
  <c r="R313" i="2" s="1"/>
  <c r="O317" i="2" a="1"/>
  <c r="O317" i="2" s="1"/>
  <c r="R317" i="2" a="1"/>
  <c r="R317" i="2" s="1"/>
  <c r="O321" i="2" a="1"/>
  <c r="O321" i="2" s="1"/>
  <c r="R321" i="2" a="1"/>
  <c r="R321" i="2" s="1"/>
  <c r="O325" i="2" a="1"/>
  <c r="O325" i="2" s="1"/>
  <c r="R325" i="2" a="1"/>
  <c r="R325" i="2" s="1"/>
  <c r="O329" i="2" a="1"/>
  <c r="O329" i="2" s="1"/>
  <c r="R329" i="2" a="1"/>
  <c r="R329" i="2" s="1"/>
  <c r="O333" i="2" a="1"/>
  <c r="O333" i="2" s="1"/>
  <c r="R333" i="2" a="1"/>
  <c r="R333" i="2" s="1"/>
  <c r="O337" i="2" a="1"/>
  <c r="O337" i="2" s="1"/>
  <c r="R337" i="2" a="1"/>
  <c r="R337" i="2" s="1"/>
  <c r="O341" i="2" a="1"/>
  <c r="O341" i="2" s="1"/>
  <c r="R341" i="2" a="1"/>
  <c r="R341" i="2" s="1"/>
  <c r="O345" i="2" a="1"/>
  <c r="O345" i="2" s="1"/>
  <c r="R345" i="2" a="1"/>
  <c r="R345" i="2" s="1"/>
  <c r="O349" i="2" a="1"/>
  <c r="O349" i="2" s="1"/>
  <c r="R349" i="2" a="1"/>
  <c r="R349" i="2" s="1"/>
  <c r="O353" i="2" a="1"/>
  <c r="O353" i="2" s="1"/>
  <c r="R353" i="2" a="1"/>
  <c r="R353" i="2" s="1"/>
  <c r="N357" i="2" a="1"/>
  <c r="N357" i="2" s="1"/>
  <c r="Q357" i="2" a="1"/>
  <c r="Q357" i="2" s="1"/>
  <c r="M361" i="2" a="1"/>
  <c r="M361" i="2" s="1"/>
  <c r="P361" i="2" a="1"/>
  <c r="P361" i="2" s="1"/>
  <c r="P365" i="2" a="1"/>
  <c r="P365" i="2" s="1"/>
  <c r="P369" i="2" a="1"/>
  <c r="P369" i="2" s="1"/>
  <c r="P373" i="2" a="1"/>
  <c r="P373" i="2" s="1"/>
  <c r="P377" i="2" a="1"/>
  <c r="P377" i="2" s="1"/>
  <c r="P381" i="2" a="1"/>
  <c r="P381" i="2" s="1"/>
  <c r="P385" i="2" a="1"/>
  <c r="P385" i="2" s="1"/>
  <c r="M397" i="2" a="1"/>
  <c r="M397" i="2" s="1"/>
  <c r="M401" i="2" a="1"/>
  <c r="M401" i="2" s="1"/>
  <c r="M409" i="2" a="1"/>
  <c r="M409" i="2" s="1"/>
  <c r="M413" i="2" a="1"/>
  <c r="M413" i="2" s="1"/>
  <c r="M417" i="2" a="1"/>
  <c r="M417" i="2" s="1"/>
  <c r="M421" i="2" a="1"/>
  <c r="M421" i="2" s="1"/>
  <c r="M425" i="2" a="1"/>
  <c r="M425" i="2" s="1"/>
  <c r="M429" i="2" a="1"/>
  <c r="M429" i="2" s="1"/>
  <c r="M433" i="2" a="1"/>
  <c r="M433" i="2" s="1"/>
  <c r="I436" i="2" a="1"/>
  <c r="I436" i="2" s="1"/>
  <c r="O437" i="2" a="1"/>
  <c r="O437" i="2" s="1"/>
  <c r="I444" i="2" a="1"/>
  <c r="I444" i="2" s="1"/>
  <c r="I452" i="2" a="1"/>
  <c r="I452" i="2" s="1"/>
  <c r="I460" i="2" a="1"/>
  <c r="I460" i="2" s="1"/>
  <c r="I524" i="2" a="1"/>
  <c r="I524" i="2" s="1"/>
  <c r="I532" i="2" a="1"/>
  <c r="I532" i="2" s="1"/>
  <c r="O357" i="2" a="1"/>
  <c r="O357" i="2" s="1"/>
  <c r="N361" i="2" a="1"/>
  <c r="N361" i="2" s="1"/>
  <c r="Q361" i="2" a="1"/>
  <c r="Q361" i="2" s="1"/>
  <c r="M365" i="2" a="1"/>
  <c r="M365" i="2" s="1"/>
  <c r="Q365" i="2" a="1"/>
  <c r="Q365" i="2" s="1"/>
  <c r="M369" i="2" a="1"/>
  <c r="M369" i="2" s="1"/>
  <c r="Q369" i="2" a="1"/>
  <c r="Q369" i="2" s="1"/>
  <c r="M373" i="2" a="1"/>
  <c r="M373" i="2" s="1"/>
  <c r="Q373" i="2" a="1"/>
  <c r="Q373" i="2" s="1"/>
  <c r="M377" i="2" a="1"/>
  <c r="M377" i="2" s="1"/>
  <c r="Q377" i="2" a="1"/>
  <c r="Q377" i="2" s="1"/>
  <c r="M381" i="2" a="1"/>
  <c r="M381" i="2" s="1"/>
  <c r="Q381" i="2" a="1"/>
  <c r="Q381" i="2" s="1"/>
  <c r="M385" i="2" a="1"/>
  <c r="M385" i="2" s="1"/>
  <c r="Q385" i="2" a="1"/>
  <c r="Q385" i="2" s="1"/>
  <c r="M389" i="2" a="1"/>
  <c r="M389" i="2" s="1"/>
  <c r="P389" i="2" a="1"/>
  <c r="P389" i="2" s="1"/>
  <c r="M393" i="2" a="1"/>
  <c r="M393" i="2" s="1"/>
  <c r="P393" i="2" a="1"/>
  <c r="P393" i="2" s="1"/>
  <c r="P397" i="2" a="1"/>
  <c r="P397" i="2" s="1"/>
  <c r="P401" i="2" a="1"/>
  <c r="P401" i="2" s="1"/>
  <c r="M405" i="2" a="1"/>
  <c r="M405" i="2" s="1"/>
  <c r="P405" i="2" a="1"/>
  <c r="P405" i="2" s="1"/>
  <c r="P409" i="2" a="1"/>
  <c r="P409" i="2" s="1"/>
  <c r="P413" i="2" a="1"/>
  <c r="P413" i="2" s="1"/>
  <c r="P417" i="2" a="1"/>
  <c r="P417" i="2" s="1"/>
  <c r="P421" i="2" a="1"/>
  <c r="P421" i="2" s="1"/>
  <c r="P425" i="2" a="1"/>
  <c r="P425" i="2" s="1"/>
  <c r="P429" i="2" a="1"/>
  <c r="P429" i="2" s="1"/>
  <c r="P433" i="2" a="1"/>
  <c r="P433" i="2" s="1"/>
  <c r="P437" i="2" a="1"/>
  <c r="P437" i="2" s="1"/>
  <c r="L1612" i="2" a="1"/>
  <c r="L1612" i="2" s="1"/>
  <c r="K1612" i="2" a="1"/>
  <c r="K1612" i="2" s="1"/>
  <c r="J1612" i="2" a="1"/>
  <c r="J1612" i="2" s="1"/>
  <c r="I1612" i="2" a="1"/>
  <c r="I1612" i="2" s="1"/>
  <c r="L1608" i="2" a="1"/>
  <c r="L1608" i="2" s="1"/>
  <c r="K1608" i="2" a="1"/>
  <c r="K1608" i="2" s="1"/>
  <c r="J1608" i="2" a="1"/>
  <c r="J1608" i="2" s="1"/>
  <c r="I1608" i="2" a="1"/>
  <c r="I1608" i="2" s="1"/>
  <c r="L1604" i="2" a="1"/>
  <c r="L1604" i="2" s="1"/>
  <c r="K1604" i="2" a="1"/>
  <c r="K1604" i="2" s="1"/>
  <c r="J1604" i="2" a="1"/>
  <c r="J1604" i="2" s="1"/>
  <c r="I1604" i="2" a="1"/>
  <c r="I1604" i="2" s="1"/>
  <c r="K1600" i="2" a="1"/>
  <c r="K1600" i="2" s="1"/>
  <c r="L1600" i="2" a="1"/>
  <c r="L1600" i="2" s="1"/>
  <c r="I1600" i="2" a="1"/>
  <c r="I1600" i="2" s="1"/>
  <c r="J1600" i="2" a="1"/>
  <c r="J1600" i="2" s="1"/>
  <c r="L1596" i="2" a="1"/>
  <c r="L1596" i="2" s="1"/>
  <c r="K1596" i="2" a="1"/>
  <c r="K1596" i="2" s="1"/>
  <c r="J1596" i="2" a="1"/>
  <c r="J1596" i="2" s="1"/>
  <c r="I1596" i="2" a="1"/>
  <c r="I1596" i="2" s="1"/>
  <c r="L1592" i="2" a="1"/>
  <c r="L1592" i="2" s="1"/>
  <c r="K1592" i="2" a="1"/>
  <c r="K1592" i="2" s="1"/>
  <c r="I1592" i="2" a="1"/>
  <c r="I1592" i="2" s="1"/>
  <c r="J1592" i="2" a="1"/>
  <c r="J1592" i="2" s="1"/>
  <c r="K1588" i="2" a="1"/>
  <c r="K1588" i="2" s="1"/>
  <c r="L1588" i="2" a="1"/>
  <c r="L1588" i="2" s="1"/>
  <c r="J1588" i="2" a="1"/>
  <c r="J1588" i="2" s="1"/>
  <c r="I1588" i="2" a="1"/>
  <c r="I1588" i="2" s="1"/>
  <c r="L1584" i="2" a="1"/>
  <c r="L1584" i="2" s="1"/>
  <c r="K1584" i="2" a="1"/>
  <c r="K1584" i="2" s="1"/>
  <c r="J1584" i="2" a="1"/>
  <c r="J1584" i="2" s="1"/>
  <c r="I1584" i="2" a="1"/>
  <c r="I1584" i="2" s="1"/>
  <c r="L1580" i="2" a="1"/>
  <c r="L1580" i="2" s="1"/>
  <c r="K1580" i="2" a="1"/>
  <c r="K1580" i="2" s="1"/>
  <c r="I1580" i="2" a="1"/>
  <c r="I1580" i="2" s="1"/>
  <c r="J1580" i="2" a="1"/>
  <c r="J1580" i="2" s="1"/>
  <c r="L1576" i="2" a="1"/>
  <c r="L1576" i="2" s="1"/>
  <c r="K1576" i="2" a="1"/>
  <c r="K1576" i="2" s="1"/>
  <c r="J1576" i="2" a="1"/>
  <c r="J1576" i="2" s="1"/>
  <c r="I1576" i="2" a="1"/>
  <c r="I1576" i="2" s="1"/>
  <c r="K1572" i="2" a="1"/>
  <c r="K1572" i="2" s="1"/>
  <c r="L1572" i="2" a="1"/>
  <c r="L1572" i="2" s="1"/>
  <c r="J1572" i="2" a="1"/>
  <c r="J1572" i="2" s="1"/>
  <c r="I1572" i="2" a="1"/>
  <c r="I1572" i="2" s="1"/>
  <c r="L1568" i="2" a="1"/>
  <c r="L1568" i="2" s="1"/>
  <c r="K1568" i="2" a="1"/>
  <c r="K1568" i="2" s="1"/>
  <c r="J1568" i="2" a="1"/>
  <c r="J1568" i="2" s="1"/>
  <c r="I1568" i="2" a="1"/>
  <c r="I1568" i="2" s="1"/>
  <c r="L1564" i="2" a="1"/>
  <c r="L1564" i="2" s="1"/>
  <c r="K1564" i="2" a="1"/>
  <c r="K1564" i="2" s="1"/>
  <c r="I1564" i="2" a="1"/>
  <c r="I1564" i="2" s="1"/>
  <c r="J1564" i="2" a="1"/>
  <c r="J1564" i="2" s="1"/>
  <c r="K1560" i="2" a="1"/>
  <c r="K1560" i="2" s="1"/>
  <c r="L1560" i="2" a="1"/>
  <c r="L1560" i="2" s="1"/>
  <c r="J1560" i="2" a="1"/>
  <c r="J1560" i="2" s="1"/>
  <c r="I1560" i="2" a="1"/>
  <c r="I1560" i="2" s="1"/>
  <c r="L1556" i="2" a="1"/>
  <c r="L1556" i="2" s="1"/>
  <c r="K1556" i="2" a="1"/>
  <c r="K1556" i="2" s="1"/>
  <c r="J1556" i="2" a="1"/>
  <c r="J1556" i="2" s="1"/>
  <c r="I1556" i="2" a="1"/>
  <c r="I1556" i="2" s="1"/>
  <c r="L1552" i="2" a="1"/>
  <c r="L1552" i="2" s="1"/>
  <c r="K1552" i="2" a="1"/>
  <c r="K1552" i="2" s="1"/>
  <c r="J1552" i="2" a="1"/>
  <c r="J1552" i="2" s="1"/>
  <c r="I1552" i="2" a="1"/>
  <c r="I1552" i="2" s="1"/>
  <c r="L1548" i="2" a="1"/>
  <c r="L1548" i="2" s="1"/>
  <c r="K1548" i="2" a="1"/>
  <c r="K1548" i="2" s="1"/>
  <c r="J1548" i="2" a="1"/>
  <c r="J1548" i="2" s="1"/>
  <c r="I1548" i="2" a="1"/>
  <c r="I1548" i="2" s="1"/>
  <c r="L1544" i="2" a="1"/>
  <c r="L1544" i="2" s="1"/>
  <c r="K1544" i="2" a="1"/>
  <c r="K1544" i="2" s="1"/>
  <c r="J1544" i="2" a="1"/>
  <c r="J1544" i="2" s="1"/>
  <c r="I1544" i="2" a="1"/>
  <c r="I1544" i="2" s="1"/>
  <c r="K1540" i="2" a="1"/>
  <c r="K1540" i="2" s="1"/>
  <c r="L1540" i="2" a="1"/>
  <c r="L1540" i="2" s="1"/>
  <c r="J1540" i="2" a="1"/>
  <c r="J1540" i="2" s="1"/>
  <c r="I1540" i="2" a="1"/>
  <c r="I1540" i="2" s="1"/>
  <c r="L1536" i="2" a="1"/>
  <c r="L1536" i="2" s="1"/>
  <c r="K1536" i="2" a="1"/>
  <c r="K1536" i="2" s="1"/>
  <c r="I1536" i="2" a="1"/>
  <c r="I1536" i="2" s="1"/>
  <c r="J1536" i="2" a="1"/>
  <c r="J1536" i="2" s="1"/>
  <c r="L1532" i="2" a="1"/>
  <c r="L1532" i="2" s="1"/>
  <c r="K1532" i="2" a="1"/>
  <c r="K1532" i="2" s="1"/>
  <c r="J1532" i="2" a="1"/>
  <c r="J1532" i="2" s="1"/>
  <c r="I1532" i="2" a="1"/>
  <c r="I1532" i="2" s="1"/>
  <c r="K1528" i="2" a="1"/>
  <c r="K1528" i="2" s="1"/>
  <c r="L1528" i="2" a="1"/>
  <c r="L1528" i="2" s="1"/>
  <c r="J1528" i="2" a="1"/>
  <c r="J1528" i="2" s="1"/>
  <c r="I1528" i="2" a="1"/>
  <c r="I1528" i="2" s="1"/>
  <c r="K1524" i="2" a="1"/>
  <c r="K1524" i="2" s="1"/>
  <c r="L1524" i="2" a="1"/>
  <c r="L1524" i="2" s="1"/>
  <c r="J1524" i="2" a="1"/>
  <c r="J1524" i="2" s="1"/>
  <c r="I1524" i="2" a="1"/>
  <c r="I1524" i="2" s="1"/>
  <c r="L1520" i="2" a="1"/>
  <c r="L1520" i="2" s="1"/>
  <c r="K1520" i="2" a="1"/>
  <c r="K1520" i="2" s="1"/>
  <c r="I1520" i="2" a="1"/>
  <c r="I1520" i="2" s="1"/>
  <c r="J1520" i="2" a="1"/>
  <c r="J1520" i="2" s="1"/>
  <c r="K1516" i="2" a="1"/>
  <c r="K1516" i="2" s="1"/>
  <c r="L1516" i="2" a="1"/>
  <c r="L1516" i="2" s="1"/>
  <c r="J1516" i="2" a="1"/>
  <c r="J1516" i="2" s="1"/>
  <c r="I1516" i="2" a="1"/>
  <c r="I1516" i="2" s="1"/>
  <c r="L1512" i="2" a="1"/>
  <c r="L1512" i="2" s="1"/>
  <c r="K1512" i="2" a="1"/>
  <c r="K1512" i="2" s="1"/>
  <c r="J1512" i="2" a="1"/>
  <c r="J1512" i="2" s="1"/>
  <c r="I1512" i="2" a="1"/>
  <c r="I1512" i="2" s="1"/>
  <c r="K1508" i="2" a="1"/>
  <c r="K1508" i="2" s="1"/>
  <c r="L1508" i="2" a="1"/>
  <c r="L1508" i="2" s="1"/>
  <c r="I1508" i="2" a="1"/>
  <c r="I1508" i="2" s="1"/>
  <c r="J1508" i="2" a="1"/>
  <c r="J1508" i="2" s="1"/>
  <c r="L1504" i="2" a="1"/>
  <c r="L1504" i="2" s="1"/>
  <c r="K1504" i="2" a="1"/>
  <c r="K1504" i="2" s="1"/>
  <c r="I1504" i="2" a="1"/>
  <c r="I1504" i="2" s="1"/>
  <c r="J1504" i="2" a="1"/>
  <c r="J1504" i="2" s="1"/>
  <c r="K1500" i="2" a="1"/>
  <c r="K1500" i="2" s="1"/>
  <c r="L1500" i="2" a="1"/>
  <c r="L1500" i="2" s="1"/>
  <c r="J1500" i="2" a="1"/>
  <c r="J1500" i="2" s="1"/>
  <c r="I1500" i="2" a="1"/>
  <c r="I1500" i="2" s="1"/>
  <c r="K1496" i="2" a="1"/>
  <c r="K1496" i="2" s="1"/>
  <c r="L1496" i="2" a="1"/>
  <c r="L1496" i="2" s="1"/>
  <c r="I1496" i="2" a="1"/>
  <c r="I1496" i="2" s="1"/>
  <c r="J1496" i="2" a="1"/>
  <c r="J1496" i="2" s="1"/>
  <c r="L1492" i="2" a="1"/>
  <c r="L1492" i="2" s="1"/>
  <c r="K1492" i="2" a="1"/>
  <c r="K1492" i="2" s="1"/>
  <c r="J1492" i="2" a="1"/>
  <c r="J1492" i="2" s="1"/>
  <c r="I1492" i="2" a="1"/>
  <c r="I1492" i="2" s="1"/>
  <c r="K1488" i="2" a="1"/>
  <c r="K1488" i="2" s="1"/>
  <c r="L1488" i="2" a="1"/>
  <c r="L1488" i="2" s="1"/>
  <c r="I1488" i="2" a="1"/>
  <c r="I1488" i="2" s="1"/>
  <c r="J1488" i="2" a="1"/>
  <c r="J1488" i="2" s="1"/>
  <c r="L1484" i="2" a="1"/>
  <c r="L1484" i="2" s="1"/>
  <c r="K1484" i="2" a="1"/>
  <c r="K1484" i="2" s="1"/>
  <c r="J1484" i="2" a="1"/>
  <c r="J1484" i="2" s="1"/>
  <c r="I1484" i="2" a="1"/>
  <c r="I1484" i="2" s="1"/>
  <c r="L1480" i="2" a="1"/>
  <c r="L1480" i="2" s="1"/>
  <c r="K1480" i="2" a="1"/>
  <c r="K1480" i="2" s="1"/>
  <c r="J1480" i="2" a="1"/>
  <c r="J1480" i="2" s="1"/>
  <c r="I1480" i="2" a="1"/>
  <c r="I1480" i="2" s="1"/>
  <c r="L1476" i="2" a="1"/>
  <c r="L1476" i="2" s="1"/>
  <c r="K1476" i="2" a="1"/>
  <c r="K1476" i="2" s="1"/>
  <c r="J1476" i="2" a="1"/>
  <c r="J1476" i="2" s="1"/>
  <c r="I1476" i="2" a="1"/>
  <c r="I1476" i="2" s="1"/>
  <c r="L1472" i="2" a="1"/>
  <c r="L1472" i="2" s="1"/>
  <c r="K1472" i="2" a="1"/>
  <c r="K1472" i="2" s="1"/>
  <c r="J1472" i="2" a="1"/>
  <c r="J1472" i="2" s="1"/>
  <c r="I1472" i="2" a="1"/>
  <c r="I1472" i="2" s="1"/>
  <c r="L1468" i="2" a="1"/>
  <c r="L1468" i="2" s="1"/>
  <c r="K1468" i="2" a="1"/>
  <c r="K1468" i="2" s="1"/>
  <c r="J1468" i="2" a="1"/>
  <c r="J1468" i="2" s="1"/>
  <c r="I1468" i="2" a="1"/>
  <c r="I1468" i="2" s="1"/>
  <c r="L1464" i="2" a="1"/>
  <c r="L1464" i="2" s="1"/>
  <c r="K1464" i="2" a="1"/>
  <c r="K1464" i="2" s="1"/>
  <c r="J1464" i="2" a="1"/>
  <c r="J1464" i="2" s="1"/>
  <c r="I1464" i="2" a="1"/>
  <c r="I1464" i="2" s="1"/>
  <c r="L1460" i="2" a="1"/>
  <c r="L1460" i="2" s="1"/>
  <c r="K1460" i="2" a="1"/>
  <c r="K1460" i="2" s="1"/>
  <c r="J1460" i="2" a="1"/>
  <c r="J1460" i="2" s="1"/>
  <c r="I1460" i="2" a="1"/>
  <c r="I1460" i="2" s="1"/>
  <c r="L1456" i="2" a="1"/>
  <c r="L1456" i="2" s="1"/>
  <c r="K1456" i="2" a="1"/>
  <c r="K1456" i="2" s="1"/>
  <c r="J1456" i="2" a="1"/>
  <c r="J1456" i="2" s="1"/>
  <c r="I1456" i="2" a="1"/>
  <c r="I1456" i="2" s="1"/>
  <c r="L1452" i="2" a="1"/>
  <c r="L1452" i="2" s="1"/>
  <c r="K1452" i="2" a="1"/>
  <c r="K1452" i="2" s="1"/>
  <c r="J1452" i="2" a="1"/>
  <c r="J1452" i="2" s="1"/>
  <c r="I1452" i="2" a="1"/>
  <c r="I1452" i="2" s="1"/>
  <c r="L1448" i="2" a="1"/>
  <c r="L1448" i="2" s="1"/>
  <c r="K1448" i="2" a="1"/>
  <c r="K1448" i="2" s="1"/>
  <c r="J1448" i="2" a="1"/>
  <c r="J1448" i="2" s="1"/>
  <c r="I1448" i="2" a="1"/>
  <c r="I1448" i="2" s="1"/>
  <c r="K1444" i="2" a="1"/>
  <c r="K1444" i="2" s="1"/>
  <c r="L1444" i="2" a="1"/>
  <c r="L1444" i="2" s="1"/>
  <c r="J1444" i="2" a="1"/>
  <c r="J1444" i="2" s="1"/>
  <c r="I1444" i="2" a="1"/>
  <c r="I1444" i="2" s="1"/>
  <c r="L1440" i="2" a="1"/>
  <c r="L1440" i="2" s="1"/>
  <c r="K1440" i="2" a="1"/>
  <c r="K1440" i="2" s="1"/>
  <c r="J1440" i="2" a="1"/>
  <c r="J1440" i="2" s="1"/>
  <c r="I1440" i="2" a="1"/>
  <c r="I1440" i="2" s="1"/>
  <c r="L1436" i="2" a="1"/>
  <c r="L1436" i="2" s="1"/>
  <c r="K1436" i="2" a="1"/>
  <c r="K1436" i="2" s="1"/>
  <c r="J1436" i="2" a="1"/>
  <c r="J1436" i="2" s="1"/>
  <c r="I1436" i="2" a="1"/>
  <c r="I1436" i="2" s="1"/>
  <c r="K1432" i="2" a="1"/>
  <c r="K1432" i="2" s="1"/>
  <c r="L1432" i="2" a="1"/>
  <c r="L1432" i="2" s="1"/>
  <c r="J1432" i="2" a="1"/>
  <c r="J1432" i="2" s="1"/>
  <c r="I1432" i="2" a="1"/>
  <c r="I1432" i="2" s="1"/>
  <c r="L1428" i="2" a="1"/>
  <c r="L1428" i="2" s="1"/>
  <c r="K1428" i="2" a="1"/>
  <c r="K1428" i="2" s="1"/>
  <c r="J1428" i="2" a="1"/>
  <c r="J1428" i="2" s="1"/>
  <c r="I1428" i="2" a="1"/>
  <c r="I1428" i="2" s="1"/>
  <c r="K1424" i="2" a="1"/>
  <c r="K1424" i="2" s="1"/>
  <c r="L1424" i="2" a="1"/>
  <c r="L1424" i="2" s="1"/>
  <c r="J1424" i="2" a="1"/>
  <c r="J1424" i="2" s="1"/>
  <c r="I1424" i="2" a="1"/>
  <c r="I1424" i="2" s="1"/>
  <c r="L1420" i="2" a="1"/>
  <c r="L1420" i="2" s="1"/>
  <c r="K1420" i="2" a="1"/>
  <c r="K1420" i="2" s="1"/>
  <c r="I1420" i="2" a="1"/>
  <c r="I1420" i="2" s="1"/>
  <c r="J1420" i="2" a="1"/>
  <c r="J1420" i="2" s="1"/>
  <c r="L1416" i="2" a="1"/>
  <c r="L1416" i="2" s="1"/>
  <c r="K1416" i="2" a="1"/>
  <c r="K1416" i="2" s="1"/>
  <c r="J1416" i="2" a="1"/>
  <c r="J1416" i="2" s="1"/>
  <c r="I1416" i="2" a="1"/>
  <c r="I1416" i="2" s="1"/>
  <c r="L1412" i="2" a="1"/>
  <c r="L1412" i="2" s="1"/>
  <c r="K1412" i="2" a="1"/>
  <c r="K1412" i="2" s="1"/>
  <c r="J1412" i="2" a="1"/>
  <c r="J1412" i="2" s="1"/>
  <c r="I1412" i="2" a="1"/>
  <c r="I1412" i="2" s="1"/>
  <c r="L1408" i="2" a="1"/>
  <c r="L1408" i="2" s="1"/>
  <c r="K1408" i="2" a="1"/>
  <c r="K1408" i="2" s="1"/>
  <c r="I1408" i="2" a="1"/>
  <c r="I1408" i="2" s="1"/>
  <c r="J1408" i="2" a="1"/>
  <c r="J1408" i="2" s="1"/>
  <c r="L1404" i="2" a="1"/>
  <c r="L1404" i="2" s="1"/>
  <c r="K1404" i="2" a="1"/>
  <c r="K1404" i="2" s="1"/>
  <c r="I1404" i="2" a="1"/>
  <c r="I1404" i="2" s="1"/>
  <c r="J1404" i="2" a="1"/>
  <c r="J1404" i="2" s="1"/>
  <c r="L1400" i="2" a="1"/>
  <c r="L1400" i="2" s="1"/>
  <c r="K1400" i="2" a="1"/>
  <c r="K1400" i="2" s="1"/>
  <c r="J1400" i="2" a="1"/>
  <c r="J1400" i="2" s="1"/>
  <c r="I1400" i="2" a="1"/>
  <c r="I1400" i="2" s="1"/>
  <c r="K1396" i="2" a="1"/>
  <c r="K1396" i="2" s="1"/>
  <c r="L1396" i="2" a="1"/>
  <c r="L1396" i="2" s="1"/>
  <c r="I1396" i="2" a="1"/>
  <c r="I1396" i="2" s="1"/>
  <c r="J1396" i="2" a="1"/>
  <c r="J1396" i="2" s="1"/>
  <c r="L1392" i="2" a="1"/>
  <c r="L1392" i="2" s="1"/>
  <c r="K1392" i="2" a="1"/>
  <c r="K1392" i="2" s="1"/>
  <c r="J1392" i="2" a="1"/>
  <c r="J1392" i="2" s="1"/>
  <c r="I1392" i="2" a="1"/>
  <c r="I1392" i="2" s="1"/>
  <c r="L1388" i="2" a="1"/>
  <c r="L1388" i="2" s="1"/>
  <c r="K1388" i="2" a="1"/>
  <c r="K1388" i="2" s="1"/>
  <c r="I1388" i="2" a="1"/>
  <c r="I1388" i="2" s="1"/>
  <c r="J1388" i="2" a="1"/>
  <c r="J1388" i="2" s="1"/>
  <c r="K1384" i="2" a="1"/>
  <c r="K1384" i="2" s="1"/>
  <c r="L1384" i="2" a="1"/>
  <c r="L1384" i="2" s="1"/>
  <c r="J1384" i="2" a="1"/>
  <c r="J1384" i="2" s="1"/>
  <c r="I1384" i="2" a="1"/>
  <c r="I1384" i="2" s="1"/>
  <c r="K1380" i="2" a="1"/>
  <c r="K1380" i="2" s="1"/>
  <c r="L1380" i="2" a="1"/>
  <c r="L1380" i="2" s="1"/>
  <c r="J1380" i="2" a="1"/>
  <c r="J1380" i="2" s="1"/>
  <c r="I1380" i="2" a="1"/>
  <c r="I1380" i="2" s="1"/>
  <c r="K1376" i="2" a="1"/>
  <c r="K1376" i="2" s="1"/>
  <c r="L1376" i="2" a="1"/>
  <c r="L1376" i="2" s="1"/>
  <c r="J1376" i="2" a="1"/>
  <c r="J1376" i="2" s="1"/>
  <c r="I1376" i="2" a="1"/>
  <c r="I1376" i="2" s="1"/>
  <c r="K1372" i="2" a="1"/>
  <c r="K1372" i="2" s="1"/>
  <c r="L1372" i="2" a="1"/>
  <c r="L1372" i="2" s="1"/>
  <c r="J1372" i="2" a="1"/>
  <c r="J1372" i="2" s="1"/>
  <c r="I1372" i="2" a="1"/>
  <c r="I1372" i="2" s="1"/>
  <c r="K1368" i="2" a="1"/>
  <c r="K1368" i="2" s="1"/>
  <c r="L1368" i="2" a="1"/>
  <c r="L1368" i="2" s="1"/>
  <c r="J1368" i="2" a="1"/>
  <c r="J1368" i="2" s="1"/>
  <c r="I1368" i="2" a="1"/>
  <c r="I1368" i="2" s="1"/>
  <c r="K1364" i="2" a="1"/>
  <c r="K1364" i="2" s="1"/>
  <c r="L1364" i="2" a="1"/>
  <c r="L1364" i="2" s="1"/>
  <c r="J1364" i="2" a="1"/>
  <c r="J1364" i="2" s="1"/>
  <c r="I1364" i="2" a="1"/>
  <c r="I1364" i="2" s="1"/>
  <c r="L1360" i="2" a="1"/>
  <c r="L1360" i="2" s="1"/>
  <c r="K1360" i="2" a="1"/>
  <c r="K1360" i="2" s="1"/>
  <c r="J1360" i="2" a="1"/>
  <c r="J1360" i="2" s="1"/>
  <c r="I1360" i="2" a="1"/>
  <c r="I1360" i="2" s="1"/>
  <c r="K1356" i="2" a="1"/>
  <c r="K1356" i="2" s="1"/>
  <c r="L1356" i="2" a="1"/>
  <c r="L1356" i="2" s="1"/>
  <c r="J1356" i="2" a="1"/>
  <c r="J1356" i="2" s="1"/>
  <c r="I1356" i="2" a="1"/>
  <c r="I1356" i="2" s="1"/>
  <c r="L1352" i="2" a="1"/>
  <c r="L1352" i="2" s="1"/>
  <c r="K1352" i="2" a="1"/>
  <c r="K1352" i="2" s="1"/>
  <c r="J1352" i="2" a="1"/>
  <c r="J1352" i="2" s="1"/>
  <c r="I1352" i="2" a="1"/>
  <c r="I1352" i="2" s="1"/>
  <c r="L1348" i="2" a="1"/>
  <c r="L1348" i="2" s="1"/>
  <c r="K1348" i="2" a="1"/>
  <c r="K1348" i="2" s="1"/>
  <c r="J1348" i="2" a="1"/>
  <c r="J1348" i="2" s="1"/>
  <c r="I1348" i="2" a="1"/>
  <c r="I1348" i="2" s="1"/>
  <c r="K1344" i="2" a="1"/>
  <c r="K1344" i="2" s="1"/>
  <c r="L1344" i="2" a="1"/>
  <c r="L1344" i="2" s="1"/>
  <c r="J1344" i="2" a="1"/>
  <c r="J1344" i="2" s="1"/>
  <c r="I1344" i="2" a="1"/>
  <c r="I1344" i="2" s="1"/>
  <c r="L1340" i="2" a="1"/>
  <c r="L1340" i="2" s="1"/>
  <c r="K1340" i="2" a="1"/>
  <c r="K1340" i="2" s="1"/>
  <c r="J1340" i="2" a="1"/>
  <c r="J1340" i="2" s="1"/>
  <c r="I1340" i="2" a="1"/>
  <c r="I1340" i="2" s="1"/>
  <c r="K1336" i="2" a="1"/>
  <c r="K1336" i="2" s="1"/>
  <c r="L1336" i="2" a="1"/>
  <c r="L1336" i="2" s="1"/>
  <c r="J1336" i="2" a="1"/>
  <c r="J1336" i="2" s="1"/>
  <c r="I1336" i="2" a="1"/>
  <c r="I1336" i="2" s="1"/>
  <c r="K1332" i="2" a="1"/>
  <c r="K1332" i="2" s="1"/>
  <c r="L1332" i="2" a="1"/>
  <c r="L1332" i="2" s="1"/>
  <c r="I1332" i="2" a="1"/>
  <c r="I1332" i="2" s="1"/>
  <c r="J1332" i="2" a="1"/>
  <c r="J1332" i="2" s="1"/>
  <c r="L1328" i="2" a="1"/>
  <c r="L1328" i="2" s="1"/>
  <c r="K1328" i="2" a="1"/>
  <c r="K1328" i="2" s="1"/>
  <c r="I1328" i="2" a="1"/>
  <c r="I1328" i="2" s="1"/>
  <c r="J1328" i="2" a="1"/>
  <c r="J1328" i="2" s="1"/>
  <c r="K1324" i="2" a="1"/>
  <c r="K1324" i="2" s="1"/>
  <c r="L1324" i="2" a="1"/>
  <c r="L1324" i="2" s="1"/>
  <c r="I1324" i="2" a="1"/>
  <c r="I1324" i="2" s="1"/>
  <c r="J1324" i="2" a="1"/>
  <c r="J1324" i="2" s="1"/>
  <c r="L1320" i="2" a="1"/>
  <c r="L1320" i="2" s="1"/>
  <c r="K1320" i="2" a="1"/>
  <c r="K1320" i="2" s="1"/>
  <c r="I1320" i="2" a="1"/>
  <c r="I1320" i="2" s="1"/>
  <c r="J1320" i="2" a="1"/>
  <c r="J1320" i="2" s="1"/>
  <c r="K1316" i="2" a="1"/>
  <c r="K1316" i="2" s="1"/>
  <c r="L1316" i="2" a="1"/>
  <c r="L1316" i="2" s="1"/>
  <c r="I1316" i="2" a="1"/>
  <c r="I1316" i="2" s="1"/>
  <c r="J1316" i="2" a="1"/>
  <c r="J1316" i="2" s="1"/>
  <c r="L1312" i="2" a="1"/>
  <c r="L1312" i="2" s="1"/>
  <c r="K1312" i="2" a="1"/>
  <c r="K1312" i="2" s="1"/>
  <c r="I1312" i="2" a="1"/>
  <c r="I1312" i="2" s="1"/>
  <c r="J1312" i="2" a="1"/>
  <c r="J1312" i="2" s="1"/>
  <c r="K1308" i="2" a="1"/>
  <c r="K1308" i="2" s="1"/>
  <c r="L1308" i="2" a="1"/>
  <c r="L1308" i="2" s="1"/>
  <c r="I1308" i="2" a="1"/>
  <c r="I1308" i="2" s="1"/>
  <c r="J1308" i="2" a="1"/>
  <c r="J1308" i="2" s="1"/>
  <c r="L1304" i="2" a="1"/>
  <c r="L1304" i="2" s="1"/>
  <c r="K1304" i="2" a="1"/>
  <c r="K1304" i="2" s="1"/>
  <c r="J1304" i="2" a="1"/>
  <c r="J1304" i="2" s="1"/>
  <c r="I1304" i="2" a="1"/>
  <c r="I1304" i="2" s="1"/>
  <c r="K1300" i="2" a="1"/>
  <c r="K1300" i="2" s="1"/>
  <c r="L1300" i="2" a="1"/>
  <c r="L1300" i="2" s="1"/>
  <c r="I1300" i="2" a="1"/>
  <c r="I1300" i="2" s="1"/>
  <c r="J1300" i="2" a="1"/>
  <c r="J1300" i="2" s="1"/>
  <c r="L1296" i="2" a="1"/>
  <c r="L1296" i="2" s="1"/>
  <c r="K1296" i="2" a="1"/>
  <c r="K1296" i="2" s="1"/>
  <c r="J1296" i="2" a="1"/>
  <c r="J1296" i="2" s="1"/>
  <c r="I1296" i="2" a="1"/>
  <c r="I1296" i="2" s="1"/>
  <c r="K1292" i="2" a="1"/>
  <c r="K1292" i="2" s="1"/>
  <c r="L1292" i="2" a="1"/>
  <c r="L1292" i="2" s="1"/>
  <c r="J1292" i="2" a="1"/>
  <c r="J1292" i="2" s="1"/>
  <c r="I1292" i="2" a="1"/>
  <c r="I1292" i="2" s="1"/>
  <c r="L1288" i="2" a="1"/>
  <c r="L1288" i="2" s="1"/>
  <c r="K1288" i="2" a="1"/>
  <c r="K1288" i="2" s="1"/>
  <c r="J1288" i="2" a="1"/>
  <c r="J1288" i="2" s="1"/>
  <c r="I1288" i="2" a="1"/>
  <c r="I1288" i="2" s="1"/>
  <c r="K1284" i="2" a="1"/>
  <c r="K1284" i="2" s="1"/>
  <c r="L1284" i="2" a="1"/>
  <c r="L1284" i="2" s="1"/>
  <c r="J1284" i="2" a="1"/>
  <c r="J1284" i="2" s="1"/>
  <c r="I1284" i="2" a="1"/>
  <c r="I1284" i="2" s="1"/>
  <c r="L1280" i="2" a="1"/>
  <c r="L1280" i="2" s="1"/>
  <c r="K1280" i="2" a="1"/>
  <c r="K1280" i="2" s="1"/>
  <c r="J1280" i="2" a="1"/>
  <c r="J1280" i="2" s="1"/>
  <c r="I1280" i="2" a="1"/>
  <c r="I1280" i="2" s="1"/>
  <c r="K1276" i="2" a="1"/>
  <c r="K1276" i="2" s="1"/>
  <c r="L1276" i="2" a="1"/>
  <c r="L1276" i="2" s="1"/>
  <c r="J1276" i="2" a="1"/>
  <c r="J1276" i="2" s="1"/>
  <c r="I1276" i="2" a="1"/>
  <c r="I1276" i="2" s="1"/>
  <c r="L1272" i="2" a="1"/>
  <c r="L1272" i="2" s="1"/>
  <c r="K1272" i="2" a="1"/>
  <c r="K1272" i="2" s="1"/>
  <c r="J1272" i="2" a="1"/>
  <c r="J1272" i="2" s="1"/>
  <c r="I1272" i="2" a="1"/>
  <c r="I1272" i="2" s="1"/>
  <c r="K1268" i="2" a="1"/>
  <c r="K1268" i="2" s="1"/>
  <c r="L1268" i="2" a="1"/>
  <c r="L1268" i="2" s="1"/>
  <c r="J1268" i="2" a="1"/>
  <c r="J1268" i="2" s="1"/>
  <c r="I1268" i="2" a="1"/>
  <c r="I1268" i="2" s="1"/>
  <c r="L1264" i="2" a="1"/>
  <c r="L1264" i="2" s="1"/>
  <c r="K1264" i="2" a="1"/>
  <c r="K1264" i="2" s="1"/>
  <c r="J1264" i="2" a="1"/>
  <c r="J1264" i="2" s="1"/>
  <c r="I1264" i="2" a="1"/>
  <c r="I1264" i="2" s="1"/>
  <c r="K1260" i="2" a="1"/>
  <c r="K1260" i="2" s="1"/>
  <c r="L1260" i="2" a="1"/>
  <c r="L1260" i="2" s="1"/>
  <c r="I1260" i="2" a="1"/>
  <c r="I1260" i="2" s="1"/>
  <c r="J1260" i="2" a="1"/>
  <c r="J1260" i="2" s="1"/>
  <c r="L1256" i="2" a="1"/>
  <c r="L1256" i="2" s="1"/>
  <c r="K1256" i="2" a="1"/>
  <c r="K1256" i="2" s="1"/>
  <c r="I1256" i="2" a="1"/>
  <c r="I1256" i="2" s="1"/>
  <c r="J1256" i="2" a="1"/>
  <c r="J1256" i="2" s="1"/>
  <c r="K1252" i="2" a="1"/>
  <c r="K1252" i="2" s="1"/>
  <c r="L1252" i="2" a="1"/>
  <c r="L1252" i="2" s="1"/>
  <c r="I1252" i="2" a="1"/>
  <c r="I1252" i="2" s="1"/>
  <c r="J1252" i="2" a="1"/>
  <c r="J1252" i="2" s="1"/>
  <c r="L1248" i="2" a="1"/>
  <c r="L1248" i="2" s="1"/>
  <c r="K1248" i="2" a="1"/>
  <c r="K1248" i="2" s="1"/>
  <c r="I1248" i="2" a="1"/>
  <c r="I1248" i="2" s="1"/>
  <c r="J1248" i="2" a="1"/>
  <c r="J1248" i="2" s="1"/>
  <c r="K1244" i="2" a="1"/>
  <c r="K1244" i="2" s="1"/>
  <c r="L1244" i="2" a="1"/>
  <c r="L1244" i="2" s="1"/>
  <c r="I1244" i="2" a="1"/>
  <c r="I1244" i="2" s="1"/>
  <c r="J1244" i="2" a="1"/>
  <c r="J1244" i="2" s="1"/>
  <c r="L1240" i="2" a="1"/>
  <c r="L1240" i="2" s="1"/>
  <c r="K1240" i="2" a="1"/>
  <c r="K1240" i="2" s="1"/>
  <c r="I1240" i="2" a="1"/>
  <c r="I1240" i="2" s="1"/>
  <c r="J1240" i="2" a="1"/>
  <c r="J1240" i="2" s="1"/>
  <c r="K1236" i="2" a="1"/>
  <c r="K1236" i="2" s="1"/>
  <c r="L1236" i="2" a="1"/>
  <c r="L1236" i="2" s="1"/>
  <c r="I1236" i="2" a="1"/>
  <c r="I1236" i="2" s="1"/>
  <c r="J1236" i="2" a="1"/>
  <c r="J1236" i="2" s="1"/>
  <c r="L1232" i="2" a="1"/>
  <c r="L1232" i="2" s="1"/>
  <c r="K1232" i="2" a="1"/>
  <c r="K1232" i="2" s="1"/>
  <c r="I1232" i="2" a="1"/>
  <c r="I1232" i="2" s="1"/>
  <c r="J1232" i="2" a="1"/>
  <c r="J1232" i="2" s="1"/>
  <c r="K1228" i="2" a="1"/>
  <c r="K1228" i="2" s="1"/>
  <c r="L1228" i="2" a="1"/>
  <c r="L1228" i="2" s="1"/>
  <c r="J1228" i="2" a="1"/>
  <c r="J1228" i="2" s="1"/>
  <c r="I1228" i="2" a="1"/>
  <c r="I1228" i="2" s="1"/>
  <c r="L1224" i="2" a="1"/>
  <c r="L1224" i="2" s="1"/>
  <c r="K1224" i="2" a="1"/>
  <c r="K1224" i="2" s="1"/>
  <c r="J1224" i="2" a="1"/>
  <c r="J1224" i="2" s="1"/>
  <c r="I1224" i="2" a="1"/>
  <c r="I1224" i="2" s="1"/>
  <c r="L1220" i="2" a="1"/>
  <c r="L1220" i="2" s="1"/>
  <c r="K1220" i="2" a="1"/>
  <c r="K1220" i="2" s="1"/>
  <c r="J1220" i="2" a="1"/>
  <c r="J1220" i="2" s="1"/>
  <c r="I1220" i="2" a="1"/>
  <c r="I1220" i="2" s="1"/>
  <c r="L1216" i="2" a="1"/>
  <c r="L1216" i="2" s="1"/>
  <c r="K1216" i="2" a="1"/>
  <c r="K1216" i="2" s="1"/>
  <c r="I1216" i="2" a="1"/>
  <c r="I1216" i="2" s="1"/>
  <c r="J1216" i="2" a="1"/>
  <c r="J1216" i="2" s="1"/>
  <c r="K1212" i="2" a="1"/>
  <c r="K1212" i="2" s="1"/>
  <c r="L1212" i="2" a="1"/>
  <c r="L1212" i="2" s="1"/>
  <c r="J1212" i="2" a="1"/>
  <c r="J1212" i="2" s="1"/>
  <c r="I1212" i="2" a="1"/>
  <c r="I1212" i="2" s="1"/>
  <c r="L1208" i="2" a="1"/>
  <c r="L1208" i="2" s="1"/>
  <c r="K1208" i="2" a="1"/>
  <c r="K1208" i="2" s="1"/>
  <c r="J1208" i="2" a="1"/>
  <c r="J1208" i="2" s="1"/>
  <c r="I1208" i="2" a="1"/>
  <c r="I1208" i="2" s="1"/>
  <c r="K1204" i="2" a="1"/>
  <c r="K1204" i="2" s="1"/>
  <c r="L1204" i="2" a="1"/>
  <c r="L1204" i="2" s="1"/>
  <c r="J1204" i="2" a="1"/>
  <c r="J1204" i="2" s="1"/>
  <c r="I1204" i="2" a="1"/>
  <c r="I1204" i="2" s="1"/>
  <c r="K1200" i="2" a="1"/>
  <c r="K1200" i="2" s="1"/>
  <c r="L1200" i="2" a="1"/>
  <c r="L1200" i="2" s="1"/>
  <c r="I1200" i="2" a="1"/>
  <c r="I1200" i="2" s="1"/>
  <c r="J1200" i="2" a="1"/>
  <c r="J1200" i="2" s="1"/>
  <c r="L1196" i="2" a="1"/>
  <c r="L1196" i="2" s="1"/>
  <c r="K1196" i="2" a="1"/>
  <c r="K1196" i="2" s="1"/>
  <c r="I1196" i="2" a="1"/>
  <c r="I1196" i="2" s="1"/>
  <c r="J1196" i="2" a="1"/>
  <c r="J1196" i="2" s="1"/>
  <c r="K1192" i="2" a="1"/>
  <c r="K1192" i="2" s="1"/>
  <c r="L1192" i="2" a="1"/>
  <c r="L1192" i="2" s="1"/>
  <c r="I1192" i="2" a="1"/>
  <c r="I1192" i="2" s="1"/>
  <c r="J1192" i="2" a="1"/>
  <c r="J1192" i="2" s="1"/>
  <c r="L1188" i="2" a="1"/>
  <c r="L1188" i="2" s="1"/>
  <c r="K1188" i="2" a="1"/>
  <c r="K1188" i="2" s="1"/>
  <c r="I1188" i="2" a="1"/>
  <c r="I1188" i="2" s="1"/>
  <c r="J1188" i="2" a="1"/>
  <c r="J1188" i="2" s="1"/>
  <c r="K1184" i="2" a="1"/>
  <c r="K1184" i="2" s="1"/>
  <c r="L1184" i="2" a="1"/>
  <c r="L1184" i="2" s="1"/>
  <c r="I1184" i="2" a="1"/>
  <c r="I1184" i="2" s="1"/>
  <c r="J1184" i="2" a="1"/>
  <c r="J1184" i="2" s="1"/>
  <c r="L1180" i="2" a="1"/>
  <c r="L1180" i="2" s="1"/>
  <c r="K1180" i="2" a="1"/>
  <c r="K1180" i="2" s="1"/>
  <c r="J1180" i="2" a="1"/>
  <c r="J1180" i="2" s="1"/>
  <c r="I1180" i="2" a="1"/>
  <c r="I1180" i="2" s="1"/>
  <c r="K1176" i="2" a="1"/>
  <c r="K1176" i="2" s="1"/>
  <c r="L1176" i="2" a="1"/>
  <c r="L1176" i="2" s="1"/>
  <c r="J1176" i="2" a="1"/>
  <c r="J1176" i="2" s="1"/>
  <c r="I1176" i="2" a="1"/>
  <c r="I1176" i="2" s="1"/>
  <c r="L1172" i="2" a="1"/>
  <c r="L1172" i="2" s="1"/>
  <c r="K1172" i="2" a="1"/>
  <c r="K1172" i="2" s="1"/>
  <c r="J1172" i="2" a="1"/>
  <c r="J1172" i="2" s="1"/>
  <c r="I1172" i="2" a="1"/>
  <c r="I1172" i="2" s="1"/>
  <c r="K1168" i="2" a="1"/>
  <c r="K1168" i="2" s="1"/>
  <c r="L1168" i="2" a="1"/>
  <c r="L1168" i="2" s="1"/>
  <c r="J1168" i="2" a="1"/>
  <c r="J1168" i="2" s="1"/>
  <c r="I1168" i="2" a="1"/>
  <c r="I1168" i="2" s="1"/>
  <c r="L1164" i="2" a="1"/>
  <c r="L1164" i="2" s="1"/>
  <c r="K1164" i="2" a="1"/>
  <c r="K1164" i="2" s="1"/>
  <c r="J1164" i="2" a="1"/>
  <c r="J1164" i="2" s="1"/>
  <c r="I1164" i="2" a="1"/>
  <c r="I1164" i="2" s="1"/>
  <c r="K1160" i="2" a="1"/>
  <c r="K1160" i="2" s="1"/>
  <c r="L1160" i="2" a="1"/>
  <c r="L1160" i="2" s="1"/>
  <c r="I1160" i="2" a="1"/>
  <c r="I1160" i="2" s="1"/>
  <c r="J1160" i="2" a="1"/>
  <c r="J1160" i="2" s="1"/>
  <c r="L1156" i="2" a="1"/>
  <c r="L1156" i="2" s="1"/>
  <c r="K1156" i="2" a="1"/>
  <c r="K1156" i="2" s="1"/>
  <c r="J1156" i="2" a="1"/>
  <c r="J1156" i="2" s="1"/>
  <c r="I1156" i="2" a="1"/>
  <c r="I1156" i="2" s="1"/>
  <c r="K1152" i="2" a="1"/>
  <c r="K1152" i="2" s="1"/>
  <c r="L1152" i="2" a="1"/>
  <c r="L1152" i="2" s="1"/>
  <c r="I1152" i="2" a="1"/>
  <c r="I1152" i="2" s="1"/>
  <c r="J1152" i="2" a="1"/>
  <c r="J1152" i="2" s="1"/>
  <c r="L1148" i="2" a="1"/>
  <c r="L1148" i="2" s="1"/>
  <c r="K1148" i="2" a="1"/>
  <c r="K1148" i="2" s="1"/>
  <c r="J1148" i="2" a="1"/>
  <c r="J1148" i="2" s="1"/>
  <c r="I1148" i="2" a="1"/>
  <c r="I1148" i="2" s="1"/>
  <c r="K1144" i="2" a="1"/>
  <c r="K1144" i="2" s="1"/>
  <c r="L1144" i="2" a="1"/>
  <c r="L1144" i="2" s="1"/>
  <c r="J1144" i="2" a="1"/>
  <c r="J1144" i="2" s="1"/>
  <c r="I1144" i="2" a="1"/>
  <c r="I1144" i="2" s="1"/>
  <c r="L1140" i="2" a="1"/>
  <c r="L1140" i="2" s="1"/>
  <c r="K1140" i="2" a="1"/>
  <c r="K1140" i="2" s="1"/>
  <c r="I1140" i="2" a="1"/>
  <c r="I1140" i="2" s="1"/>
  <c r="J1140" i="2" a="1"/>
  <c r="J1140" i="2" s="1"/>
  <c r="K1136" i="2" a="1"/>
  <c r="K1136" i="2" s="1"/>
  <c r="L1136" i="2" a="1"/>
  <c r="L1136" i="2" s="1"/>
  <c r="J1136" i="2" a="1"/>
  <c r="J1136" i="2" s="1"/>
  <c r="I1136" i="2" a="1"/>
  <c r="I1136" i="2" s="1"/>
  <c r="L1132" i="2" a="1"/>
  <c r="L1132" i="2" s="1"/>
  <c r="K1132" i="2" a="1"/>
  <c r="K1132" i="2" s="1"/>
  <c r="J1132" i="2" a="1"/>
  <c r="J1132" i="2" s="1"/>
  <c r="I1132" i="2" a="1"/>
  <c r="I1132" i="2" s="1"/>
  <c r="K1128" i="2" a="1"/>
  <c r="K1128" i="2" s="1"/>
  <c r="L1128" i="2" a="1"/>
  <c r="L1128" i="2" s="1"/>
  <c r="J1128" i="2" a="1"/>
  <c r="J1128" i="2" s="1"/>
  <c r="I1128" i="2" a="1"/>
  <c r="I1128" i="2" s="1"/>
  <c r="L1124" i="2" a="1"/>
  <c r="L1124" i="2" s="1"/>
  <c r="K1124" i="2" a="1"/>
  <c r="K1124" i="2" s="1"/>
  <c r="I1124" i="2" a="1"/>
  <c r="I1124" i="2" s="1"/>
  <c r="J1124" i="2" a="1"/>
  <c r="J1124" i="2" s="1"/>
  <c r="K1120" i="2" a="1"/>
  <c r="K1120" i="2" s="1"/>
  <c r="L1120" i="2" a="1"/>
  <c r="L1120" i="2" s="1"/>
  <c r="J1120" i="2" a="1"/>
  <c r="J1120" i="2" s="1"/>
  <c r="I1120" i="2" a="1"/>
  <c r="I1120" i="2" s="1"/>
  <c r="L1116" i="2" a="1"/>
  <c r="L1116" i="2" s="1"/>
  <c r="K1116" i="2" a="1"/>
  <c r="K1116" i="2" s="1"/>
  <c r="J1116" i="2" a="1"/>
  <c r="J1116" i="2" s="1"/>
  <c r="I1116" i="2" a="1"/>
  <c r="I1116" i="2" s="1"/>
  <c r="K1112" i="2" a="1"/>
  <c r="K1112" i="2" s="1"/>
  <c r="L1112" i="2" a="1"/>
  <c r="L1112" i="2" s="1"/>
  <c r="J1112" i="2" a="1"/>
  <c r="J1112" i="2" s="1"/>
  <c r="I1112" i="2" a="1"/>
  <c r="I1112" i="2" s="1"/>
  <c r="L1108" i="2" a="1"/>
  <c r="L1108" i="2" s="1"/>
  <c r="K1108" i="2" a="1"/>
  <c r="K1108" i="2" s="1"/>
  <c r="J1108" i="2" a="1"/>
  <c r="J1108" i="2" s="1"/>
  <c r="I1108" i="2" a="1"/>
  <c r="I1108" i="2" s="1"/>
  <c r="K1104" i="2" a="1"/>
  <c r="K1104" i="2" s="1"/>
  <c r="L1104" i="2" a="1"/>
  <c r="L1104" i="2" s="1"/>
  <c r="J1104" i="2" a="1"/>
  <c r="J1104" i="2" s="1"/>
  <c r="I1104" i="2" a="1"/>
  <c r="I1104" i="2" s="1"/>
  <c r="L1100" i="2" a="1"/>
  <c r="L1100" i="2" s="1"/>
  <c r="K1100" i="2" a="1"/>
  <c r="K1100" i="2" s="1"/>
  <c r="I1100" i="2" a="1"/>
  <c r="I1100" i="2" s="1"/>
  <c r="J1100" i="2" a="1"/>
  <c r="J1100" i="2" s="1"/>
  <c r="K1096" i="2" a="1"/>
  <c r="K1096" i="2" s="1"/>
  <c r="L1096" i="2" a="1"/>
  <c r="L1096" i="2" s="1"/>
  <c r="J1096" i="2" a="1"/>
  <c r="J1096" i="2" s="1"/>
  <c r="I1096" i="2" a="1"/>
  <c r="I1096" i="2" s="1"/>
  <c r="L1092" i="2" a="1"/>
  <c r="L1092" i="2" s="1"/>
  <c r="K1092" i="2" a="1"/>
  <c r="K1092" i="2" s="1"/>
  <c r="J1092" i="2" a="1"/>
  <c r="J1092" i="2" s="1"/>
  <c r="I1092" i="2" a="1"/>
  <c r="I1092" i="2" s="1"/>
  <c r="K1088" i="2" a="1"/>
  <c r="K1088" i="2" s="1"/>
  <c r="L1088" i="2" a="1"/>
  <c r="L1088" i="2" s="1"/>
  <c r="J1088" i="2" a="1"/>
  <c r="J1088" i="2" s="1"/>
  <c r="I1088" i="2" a="1"/>
  <c r="I1088" i="2" s="1"/>
  <c r="L1084" i="2" a="1"/>
  <c r="L1084" i="2" s="1"/>
  <c r="K1084" i="2" a="1"/>
  <c r="K1084" i="2" s="1"/>
  <c r="J1084" i="2" a="1"/>
  <c r="J1084" i="2" s="1"/>
  <c r="I1084" i="2" a="1"/>
  <c r="I1084" i="2" s="1"/>
  <c r="K1080" i="2" a="1"/>
  <c r="K1080" i="2" s="1"/>
  <c r="L1080" i="2" a="1"/>
  <c r="L1080" i="2" s="1"/>
  <c r="J1080" i="2" a="1"/>
  <c r="J1080" i="2" s="1"/>
  <c r="I1080" i="2" a="1"/>
  <c r="I1080" i="2" s="1"/>
  <c r="L1076" i="2" a="1"/>
  <c r="L1076" i="2" s="1"/>
  <c r="K1076" i="2" a="1"/>
  <c r="K1076" i="2" s="1"/>
  <c r="J1076" i="2" a="1"/>
  <c r="J1076" i="2" s="1"/>
  <c r="I1076" i="2" a="1"/>
  <c r="I1076" i="2" s="1"/>
  <c r="K1072" i="2" a="1"/>
  <c r="K1072" i="2" s="1"/>
  <c r="L1072" i="2" a="1"/>
  <c r="L1072" i="2" s="1"/>
  <c r="J1072" i="2" a="1"/>
  <c r="J1072" i="2" s="1"/>
  <c r="I1072" i="2" a="1"/>
  <c r="I1072" i="2" s="1"/>
  <c r="L1068" i="2" a="1"/>
  <c r="L1068" i="2" s="1"/>
  <c r="K1068" i="2" a="1"/>
  <c r="K1068" i="2" s="1"/>
  <c r="J1068" i="2" a="1"/>
  <c r="J1068" i="2" s="1"/>
  <c r="I1068" i="2" a="1"/>
  <c r="I1068" i="2" s="1"/>
  <c r="K1064" i="2" a="1"/>
  <c r="K1064" i="2" s="1"/>
  <c r="L1064" i="2" a="1"/>
  <c r="L1064" i="2" s="1"/>
  <c r="I1064" i="2" a="1"/>
  <c r="I1064" i="2" s="1"/>
  <c r="J1064" i="2" a="1"/>
  <c r="J1064" i="2" s="1"/>
  <c r="L1060" i="2" a="1"/>
  <c r="L1060" i="2" s="1"/>
  <c r="K1060" i="2" a="1"/>
  <c r="K1060" i="2" s="1"/>
  <c r="I1060" i="2" a="1"/>
  <c r="I1060" i="2" s="1"/>
  <c r="J1060" i="2" a="1"/>
  <c r="J1060" i="2" s="1"/>
  <c r="K1056" i="2" a="1"/>
  <c r="K1056" i="2" s="1"/>
  <c r="L1056" i="2" a="1"/>
  <c r="L1056" i="2" s="1"/>
  <c r="J1056" i="2" a="1"/>
  <c r="J1056" i="2" s="1"/>
  <c r="I1056" i="2" a="1"/>
  <c r="I1056" i="2" s="1"/>
  <c r="K1052" i="2" a="1"/>
  <c r="K1052" i="2" s="1"/>
  <c r="L1052" i="2" a="1"/>
  <c r="L1052" i="2" s="1"/>
  <c r="I1052" i="2" a="1"/>
  <c r="I1052" i="2" s="1"/>
  <c r="J1052" i="2" a="1"/>
  <c r="J1052" i="2" s="1"/>
  <c r="K1048" i="2" a="1"/>
  <c r="K1048" i="2" s="1"/>
  <c r="L1048" i="2" a="1"/>
  <c r="L1048" i="2" s="1"/>
  <c r="J1048" i="2" a="1"/>
  <c r="J1048" i="2" s="1"/>
  <c r="I1048" i="2" a="1"/>
  <c r="I1048" i="2" s="1"/>
  <c r="L1044" i="2" a="1"/>
  <c r="L1044" i="2" s="1"/>
  <c r="K1044" i="2" a="1"/>
  <c r="K1044" i="2" s="1"/>
  <c r="I1044" i="2" a="1"/>
  <c r="I1044" i="2" s="1"/>
  <c r="J1044" i="2" a="1"/>
  <c r="J1044" i="2" s="1"/>
  <c r="K1040" i="2" a="1"/>
  <c r="K1040" i="2" s="1"/>
  <c r="L1040" i="2" a="1"/>
  <c r="L1040" i="2" s="1"/>
  <c r="J1040" i="2" a="1"/>
  <c r="J1040" i="2" s="1"/>
  <c r="I1040" i="2" a="1"/>
  <c r="I1040" i="2" s="1"/>
  <c r="L1036" i="2" a="1"/>
  <c r="L1036" i="2" s="1"/>
  <c r="K1036" i="2" a="1"/>
  <c r="K1036" i="2" s="1"/>
  <c r="J1036" i="2" a="1"/>
  <c r="J1036" i="2" s="1"/>
  <c r="I1036" i="2" a="1"/>
  <c r="I1036" i="2" s="1"/>
  <c r="K1032" i="2" a="1"/>
  <c r="K1032" i="2" s="1"/>
  <c r="L1032" i="2" a="1"/>
  <c r="L1032" i="2" s="1"/>
  <c r="J1032" i="2" a="1"/>
  <c r="J1032" i="2" s="1"/>
  <c r="I1032" i="2" a="1"/>
  <c r="I1032" i="2" s="1"/>
  <c r="L1028" i="2" a="1"/>
  <c r="L1028" i="2" s="1"/>
  <c r="K1028" i="2" a="1"/>
  <c r="K1028" i="2" s="1"/>
  <c r="I1028" i="2" a="1"/>
  <c r="I1028" i="2" s="1"/>
  <c r="J1028" i="2" a="1"/>
  <c r="J1028" i="2" s="1"/>
  <c r="K1024" i="2" a="1"/>
  <c r="K1024" i="2" s="1"/>
  <c r="L1024" i="2" a="1"/>
  <c r="L1024" i="2" s="1"/>
  <c r="I1024" i="2" a="1"/>
  <c r="I1024" i="2" s="1"/>
  <c r="J1024" i="2" a="1"/>
  <c r="J1024" i="2" s="1"/>
  <c r="L1020" i="2" a="1"/>
  <c r="L1020" i="2" s="1"/>
  <c r="K1020" i="2" a="1"/>
  <c r="K1020" i="2" s="1"/>
  <c r="J1020" i="2" a="1"/>
  <c r="J1020" i="2" s="1"/>
  <c r="I1020" i="2" a="1"/>
  <c r="I1020" i="2" s="1"/>
  <c r="K1016" i="2" a="1"/>
  <c r="K1016" i="2" s="1"/>
  <c r="L1016" i="2" a="1"/>
  <c r="L1016" i="2" s="1"/>
  <c r="J1016" i="2" a="1"/>
  <c r="J1016" i="2" s="1"/>
  <c r="I1016" i="2" a="1"/>
  <c r="I1016" i="2" s="1"/>
  <c r="L1012" i="2" a="1"/>
  <c r="L1012" i="2" s="1"/>
  <c r="K1012" i="2" a="1"/>
  <c r="K1012" i="2" s="1"/>
  <c r="J1012" i="2" a="1"/>
  <c r="J1012" i="2" s="1"/>
  <c r="I1012" i="2" a="1"/>
  <c r="I1012" i="2" s="1"/>
  <c r="K1008" i="2" a="1"/>
  <c r="K1008" i="2" s="1"/>
  <c r="L1008" i="2" a="1"/>
  <c r="L1008" i="2" s="1"/>
  <c r="J1008" i="2" a="1"/>
  <c r="J1008" i="2" s="1"/>
  <c r="I1008" i="2" a="1"/>
  <c r="I1008" i="2" s="1"/>
  <c r="L1004" i="2" a="1"/>
  <c r="L1004" i="2" s="1"/>
  <c r="K1004" i="2" a="1"/>
  <c r="K1004" i="2" s="1"/>
  <c r="J1004" i="2" a="1"/>
  <c r="J1004" i="2" s="1"/>
  <c r="I1004" i="2" a="1"/>
  <c r="I1004" i="2" s="1"/>
  <c r="K1000" i="2" a="1"/>
  <c r="K1000" i="2" s="1"/>
  <c r="L1000" i="2" a="1"/>
  <c r="L1000" i="2" s="1"/>
  <c r="J1000" i="2" a="1"/>
  <c r="J1000" i="2" s="1"/>
  <c r="I1000" i="2" a="1"/>
  <c r="I1000" i="2" s="1"/>
  <c r="L996" i="2" a="1"/>
  <c r="L996" i="2" s="1"/>
  <c r="K996" i="2" a="1"/>
  <c r="K996" i="2" s="1"/>
  <c r="J996" i="2" a="1"/>
  <c r="J996" i="2" s="1"/>
  <c r="I996" i="2" a="1"/>
  <c r="I996" i="2" s="1"/>
  <c r="K992" i="2" a="1"/>
  <c r="K992" i="2" s="1"/>
  <c r="L992" i="2" a="1"/>
  <c r="L992" i="2" s="1"/>
  <c r="J992" i="2" a="1"/>
  <c r="J992" i="2" s="1"/>
  <c r="I992" i="2" a="1"/>
  <c r="I992" i="2" s="1"/>
  <c r="L988" i="2" a="1"/>
  <c r="L988" i="2" s="1"/>
  <c r="K988" i="2" a="1"/>
  <c r="K988" i="2" s="1"/>
  <c r="J988" i="2" a="1"/>
  <c r="J988" i="2" s="1"/>
  <c r="I988" i="2" a="1"/>
  <c r="I988" i="2" s="1"/>
  <c r="K984" i="2" a="1"/>
  <c r="K984" i="2" s="1"/>
  <c r="L984" i="2" a="1"/>
  <c r="L984" i="2" s="1"/>
  <c r="J984" i="2" a="1"/>
  <c r="J984" i="2" s="1"/>
  <c r="I984" i="2" a="1"/>
  <c r="I984" i="2" s="1"/>
  <c r="L980" i="2" a="1"/>
  <c r="L980" i="2" s="1"/>
  <c r="K980" i="2" a="1"/>
  <c r="K980" i="2" s="1"/>
  <c r="J980" i="2" a="1"/>
  <c r="J980" i="2" s="1"/>
  <c r="I980" i="2" a="1"/>
  <c r="I980" i="2" s="1"/>
  <c r="K976" i="2" a="1"/>
  <c r="K976" i="2" s="1"/>
  <c r="L976" i="2" a="1"/>
  <c r="L976" i="2" s="1"/>
  <c r="J976" i="2" a="1"/>
  <c r="J976" i="2" s="1"/>
  <c r="I976" i="2" a="1"/>
  <c r="I976" i="2" s="1"/>
  <c r="L972" i="2" a="1"/>
  <c r="L972" i="2" s="1"/>
  <c r="K972" i="2" a="1"/>
  <c r="K972" i="2" s="1"/>
  <c r="J972" i="2" a="1"/>
  <c r="J972" i="2" s="1"/>
  <c r="I972" i="2" a="1"/>
  <c r="I972" i="2" s="1"/>
  <c r="K968" i="2" a="1"/>
  <c r="K968" i="2" s="1"/>
  <c r="L968" i="2" a="1"/>
  <c r="L968" i="2" s="1"/>
  <c r="J968" i="2" a="1"/>
  <c r="J968" i="2" s="1"/>
  <c r="I968" i="2" a="1"/>
  <c r="I968" i="2" s="1"/>
  <c r="L964" i="2" a="1"/>
  <c r="L964" i="2" s="1"/>
  <c r="K964" i="2" a="1"/>
  <c r="K964" i="2" s="1"/>
  <c r="J964" i="2" a="1"/>
  <c r="J964" i="2" s="1"/>
  <c r="I964" i="2" a="1"/>
  <c r="I964" i="2" s="1"/>
  <c r="K960" i="2" a="1"/>
  <c r="K960" i="2" s="1"/>
  <c r="L960" i="2" a="1"/>
  <c r="L960" i="2" s="1"/>
  <c r="J960" i="2" a="1"/>
  <c r="J960" i="2" s="1"/>
  <c r="I960" i="2" a="1"/>
  <c r="I960" i="2" s="1"/>
  <c r="L956" i="2" a="1"/>
  <c r="L956" i="2" s="1"/>
  <c r="K956" i="2" a="1"/>
  <c r="K956" i="2" s="1"/>
  <c r="J956" i="2" a="1"/>
  <c r="J956" i="2" s="1"/>
  <c r="I956" i="2" a="1"/>
  <c r="I956" i="2" s="1"/>
  <c r="K952" i="2" a="1"/>
  <c r="K952" i="2" s="1"/>
  <c r="L952" i="2" a="1"/>
  <c r="L952" i="2" s="1"/>
  <c r="J952" i="2" a="1"/>
  <c r="J952" i="2" s="1"/>
  <c r="I952" i="2" a="1"/>
  <c r="I952" i="2" s="1"/>
  <c r="L948" i="2" a="1"/>
  <c r="L948" i="2" s="1"/>
  <c r="K948" i="2" a="1"/>
  <c r="K948" i="2" s="1"/>
  <c r="J948" i="2" a="1"/>
  <c r="J948" i="2" s="1"/>
  <c r="I948" i="2" a="1"/>
  <c r="I948" i="2" s="1"/>
  <c r="K944" i="2" a="1"/>
  <c r="K944" i="2" s="1"/>
  <c r="L944" i="2" a="1"/>
  <c r="L944" i="2" s="1"/>
  <c r="J944" i="2" a="1"/>
  <c r="J944" i="2" s="1"/>
  <c r="I944" i="2" a="1"/>
  <c r="I944" i="2" s="1"/>
  <c r="L940" i="2" a="1"/>
  <c r="L940" i="2" s="1"/>
  <c r="K940" i="2" a="1"/>
  <c r="K940" i="2" s="1"/>
  <c r="J940" i="2" a="1"/>
  <c r="J940" i="2" s="1"/>
  <c r="I940" i="2" a="1"/>
  <c r="I940" i="2" s="1"/>
  <c r="K936" i="2" a="1"/>
  <c r="K936" i="2" s="1"/>
  <c r="L936" i="2" a="1"/>
  <c r="L936" i="2" s="1"/>
  <c r="J936" i="2" a="1"/>
  <c r="J936" i="2" s="1"/>
  <c r="I936" i="2" a="1"/>
  <c r="I936" i="2" s="1"/>
  <c r="L932" i="2" a="1"/>
  <c r="L932" i="2" s="1"/>
  <c r="K932" i="2" a="1"/>
  <c r="K932" i="2" s="1"/>
  <c r="J932" i="2" a="1"/>
  <c r="J932" i="2" s="1"/>
  <c r="I932" i="2" a="1"/>
  <c r="I932" i="2" s="1"/>
  <c r="K928" i="2" a="1"/>
  <c r="K928" i="2" s="1"/>
  <c r="L928" i="2" a="1"/>
  <c r="L928" i="2" s="1"/>
  <c r="J928" i="2" a="1"/>
  <c r="J928" i="2" s="1"/>
  <c r="I928" i="2" a="1"/>
  <c r="I928" i="2" s="1"/>
  <c r="L924" i="2" a="1"/>
  <c r="L924" i="2" s="1"/>
  <c r="K924" i="2" a="1"/>
  <c r="K924" i="2" s="1"/>
  <c r="J924" i="2" a="1"/>
  <c r="J924" i="2" s="1"/>
  <c r="I924" i="2" a="1"/>
  <c r="I924" i="2" s="1"/>
  <c r="K920" i="2" a="1"/>
  <c r="K920" i="2" s="1"/>
  <c r="L920" i="2" a="1"/>
  <c r="L920" i="2" s="1"/>
  <c r="J920" i="2" a="1"/>
  <c r="J920" i="2" s="1"/>
  <c r="I920" i="2" a="1"/>
  <c r="I920" i="2" s="1"/>
  <c r="L916" i="2" a="1"/>
  <c r="L916" i="2" s="1"/>
  <c r="K916" i="2" a="1"/>
  <c r="K916" i="2" s="1"/>
  <c r="J916" i="2" a="1"/>
  <c r="J916" i="2" s="1"/>
  <c r="I916" i="2" a="1"/>
  <c r="I916" i="2" s="1"/>
  <c r="K912" i="2" a="1"/>
  <c r="K912" i="2" s="1"/>
  <c r="L912" i="2" a="1"/>
  <c r="L912" i="2" s="1"/>
  <c r="J912" i="2" a="1"/>
  <c r="J912" i="2" s="1"/>
  <c r="I912" i="2" a="1"/>
  <c r="I912" i="2" s="1"/>
  <c r="L908" i="2" a="1"/>
  <c r="L908" i="2" s="1"/>
  <c r="K908" i="2" a="1"/>
  <c r="K908" i="2" s="1"/>
  <c r="J908" i="2" a="1"/>
  <c r="J908" i="2" s="1"/>
  <c r="I908" i="2" a="1"/>
  <c r="I908" i="2" s="1"/>
  <c r="K904" i="2" a="1"/>
  <c r="K904" i="2" s="1"/>
  <c r="L904" i="2" a="1"/>
  <c r="L904" i="2" s="1"/>
  <c r="J904" i="2" a="1"/>
  <c r="J904" i="2" s="1"/>
  <c r="I904" i="2" a="1"/>
  <c r="I904" i="2" s="1"/>
  <c r="L900" i="2" a="1"/>
  <c r="L900" i="2" s="1"/>
  <c r="K900" i="2" a="1"/>
  <c r="K900" i="2" s="1"/>
  <c r="J900" i="2" a="1"/>
  <c r="J900" i="2" s="1"/>
  <c r="I900" i="2" a="1"/>
  <c r="I900" i="2" s="1"/>
  <c r="K896" i="2" a="1"/>
  <c r="K896" i="2" s="1"/>
  <c r="L896" i="2" a="1"/>
  <c r="L896" i="2" s="1"/>
  <c r="J896" i="2" a="1"/>
  <c r="J896" i="2" s="1"/>
  <c r="I896" i="2" a="1"/>
  <c r="I896" i="2" s="1"/>
  <c r="L892" i="2" a="1"/>
  <c r="L892" i="2" s="1"/>
  <c r="K892" i="2" a="1"/>
  <c r="K892" i="2" s="1"/>
  <c r="J892" i="2" a="1"/>
  <c r="J892" i="2" s="1"/>
  <c r="I892" i="2" a="1"/>
  <c r="I892" i="2" s="1"/>
  <c r="K888" i="2" a="1"/>
  <c r="K888" i="2" s="1"/>
  <c r="L888" i="2" a="1"/>
  <c r="L888" i="2" s="1"/>
  <c r="J888" i="2" a="1"/>
  <c r="J888" i="2" s="1"/>
  <c r="I888" i="2" a="1"/>
  <c r="I888" i="2" s="1"/>
  <c r="L884" i="2" a="1"/>
  <c r="L884" i="2" s="1"/>
  <c r="K884" i="2" a="1"/>
  <c r="K884" i="2" s="1"/>
  <c r="J884" i="2" a="1"/>
  <c r="J884" i="2" s="1"/>
  <c r="I884" i="2" a="1"/>
  <c r="I884" i="2" s="1"/>
  <c r="K880" i="2" a="1"/>
  <c r="K880" i="2" s="1"/>
  <c r="L880" i="2" a="1"/>
  <c r="L880" i="2" s="1"/>
  <c r="J880" i="2" a="1"/>
  <c r="J880" i="2" s="1"/>
  <c r="I880" i="2" a="1"/>
  <c r="I880" i="2" s="1"/>
  <c r="L876" i="2" a="1"/>
  <c r="L876" i="2" s="1"/>
  <c r="K876" i="2" a="1"/>
  <c r="K876" i="2" s="1"/>
  <c r="J876" i="2" a="1"/>
  <c r="J876" i="2" s="1"/>
  <c r="I876" i="2" a="1"/>
  <c r="I876" i="2" s="1"/>
  <c r="K872" i="2" a="1"/>
  <c r="K872" i="2" s="1"/>
  <c r="L872" i="2" a="1"/>
  <c r="L872" i="2" s="1"/>
  <c r="J872" i="2" a="1"/>
  <c r="J872" i="2" s="1"/>
  <c r="I872" i="2" a="1"/>
  <c r="I872" i="2" s="1"/>
  <c r="L868" i="2" a="1"/>
  <c r="L868" i="2" s="1"/>
  <c r="K868" i="2" a="1"/>
  <c r="K868" i="2" s="1"/>
  <c r="I868" i="2" a="1"/>
  <c r="I868" i="2" s="1"/>
  <c r="J868" i="2" a="1"/>
  <c r="J868" i="2" s="1"/>
  <c r="K864" i="2" a="1"/>
  <c r="K864" i="2" s="1"/>
  <c r="L864" i="2" a="1"/>
  <c r="L864" i="2" s="1"/>
  <c r="J864" i="2" a="1"/>
  <c r="J864" i="2" s="1"/>
  <c r="I864" i="2" a="1"/>
  <c r="I864" i="2" s="1"/>
  <c r="L860" i="2" a="1"/>
  <c r="L860" i="2" s="1"/>
  <c r="K860" i="2" a="1"/>
  <c r="K860" i="2" s="1"/>
  <c r="I860" i="2" a="1"/>
  <c r="I860" i="2" s="1"/>
  <c r="J860" i="2" a="1"/>
  <c r="J860" i="2" s="1"/>
  <c r="K856" i="2" a="1"/>
  <c r="K856" i="2" s="1"/>
  <c r="L856" i="2" a="1"/>
  <c r="L856" i="2" s="1"/>
  <c r="I856" i="2" a="1"/>
  <c r="I856" i="2" s="1"/>
  <c r="J856" i="2" a="1"/>
  <c r="J856" i="2" s="1"/>
  <c r="L852" i="2" a="1"/>
  <c r="L852" i="2" s="1"/>
  <c r="K852" i="2" a="1"/>
  <c r="K852" i="2" s="1"/>
  <c r="I852" i="2" a="1"/>
  <c r="I852" i="2" s="1"/>
  <c r="J852" i="2" a="1"/>
  <c r="J852" i="2" s="1"/>
  <c r="K848" i="2" a="1"/>
  <c r="K848" i="2" s="1"/>
  <c r="L848" i="2" a="1"/>
  <c r="L848" i="2" s="1"/>
  <c r="I848" i="2" a="1"/>
  <c r="I848" i="2" s="1"/>
  <c r="J848" i="2" a="1"/>
  <c r="J848" i="2" s="1"/>
  <c r="L844" i="2" a="1"/>
  <c r="L844" i="2" s="1"/>
  <c r="K844" i="2" a="1"/>
  <c r="K844" i="2" s="1"/>
  <c r="I844" i="2" a="1"/>
  <c r="I844" i="2" s="1"/>
  <c r="J844" i="2" a="1"/>
  <c r="J844" i="2" s="1"/>
  <c r="K840" i="2" a="1"/>
  <c r="K840" i="2" s="1"/>
  <c r="L840" i="2" a="1"/>
  <c r="L840" i="2" s="1"/>
  <c r="I840" i="2" a="1"/>
  <c r="I840" i="2" s="1"/>
  <c r="J840" i="2" a="1"/>
  <c r="J840" i="2" s="1"/>
  <c r="L836" i="2" a="1"/>
  <c r="L836" i="2" s="1"/>
  <c r="K836" i="2" a="1"/>
  <c r="K836" i="2" s="1"/>
  <c r="I836" i="2" a="1"/>
  <c r="I836" i="2" s="1"/>
  <c r="J836" i="2" a="1"/>
  <c r="J836" i="2" s="1"/>
  <c r="K832" i="2" a="1"/>
  <c r="K832" i="2" s="1"/>
  <c r="L832" i="2" a="1"/>
  <c r="L832" i="2" s="1"/>
  <c r="I832" i="2" a="1"/>
  <c r="I832" i="2" s="1"/>
  <c r="J832" i="2" a="1"/>
  <c r="J832" i="2" s="1"/>
  <c r="L828" i="2" a="1"/>
  <c r="L828" i="2" s="1"/>
  <c r="K828" i="2" a="1"/>
  <c r="K828" i="2" s="1"/>
  <c r="I828" i="2" a="1"/>
  <c r="I828" i="2" s="1"/>
  <c r="J828" i="2" a="1"/>
  <c r="J828" i="2" s="1"/>
  <c r="K824" i="2" a="1"/>
  <c r="K824" i="2" s="1"/>
  <c r="L824" i="2" a="1"/>
  <c r="L824" i="2" s="1"/>
  <c r="I824" i="2" a="1"/>
  <c r="I824" i="2" s="1"/>
  <c r="J824" i="2" a="1"/>
  <c r="J824" i="2" s="1"/>
  <c r="L820" i="2" a="1"/>
  <c r="L820" i="2" s="1"/>
  <c r="K820" i="2" a="1"/>
  <c r="K820" i="2" s="1"/>
  <c r="I820" i="2" a="1"/>
  <c r="I820" i="2" s="1"/>
  <c r="J820" i="2" a="1"/>
  <c r="J820" i="2" s="1"/>
  <c r="K816" i="2" a="1"/>
  <c r="K816" i="2" s="1"/>
  <c r="L816" i="2" a="1"/>
  <c r="L816" i="2" s="1"/>
  <c r="I816" i="2" a="1"/>
  <c r="I816" i="2" s="1"/>
  <c r="J816" i="2" a="1"/>
  <c r="J816" i="2" s="1"/>
  <c r="L812" i="2" a="1"/>
  <c r="L812" i="2" s="1"/>
  <c r="K812" i="2" a="1"/>
  <c r="K812" i="2" s="1"/>
  <c r="I812" i="2" a="1"/>
  <c r="I812" i="2" s="1"/>
  <c r="J812" i="2" a="1"/>
  <c r="J812" i="2" s="1"/>
  <c r="K808" i="2" a="1"/>
  <c r="K808" i="2" s="1"/>
  <c r="L808" i="2" a="1"/>
  <c r="L808" i="2" s="1"/>
  <c r="I808" i="2" a="1"/>
  <c r="I808" i="2" s="1"/>
  <c r="J808" i="2" a="1"/>
  <c r="J808" i="2" s="1"/>
  <c r="L804" i="2" a="1"/>
  <c r="L804" i="2" s="1"/>
  <c r="K804" i="2" a="1"/>
  <c r="K804" i="2" s="1"/>
  <c r="I804" i="2" a="1"/>
  <c r="I804" i="2" s="1"/>
  <c r="J804" i="2" a="1"/>
  <c r="J804" i="2" s="1"/>
  <c r="K800" i="2" a="1"/>
  <c r="K800" i="2" s="1"/>
  <c r="L800" i="2" a="1"/>
  <c r="L800" i="2" s="1"/>
  <c r="I800" i="2" a="1"/>
  <c r="I800" i="2" s="1"/>
  <c r="J800" i="2" a="1"/>
  <c r="J800" i="2" s="1"/>
  <c r="L796" i="2" a="1"/>
  <c r="L796" i="2" s="1"/>
  <c r="K796" i="2" a="1"/>
  <c r="K796" i="2" s="1"/>
  <c r="I796" i="2" a="1"/>
  <c r="I796" i="2" s="1"/>
  <c r="J796" i="2" a="1"/>
  <c r="J796" i="2" s="1"/>
  <c r="K792" i="2" a="1"/>
  <c r="K792" i="2" s="1"/>
  <c r="L792" i="2" a="1"/>
  <c r="L792" i="2" s="1"/>
  <c r="I792" i="2" a="1"/>
  <c r="I792" i="2" s="1"/>
  <c r="J792" i="2" a="1"/>
  <c r="J792" i="2" s="1"/>
  <c r="L788" i="2" a="1"/>
  <c r="L788" i="2" s="1"/>
  <c r="K788" i="2" a="1"/>
  <c r="K788" i="2" s="1"/>
  <c r="I788" i="2" a="1"/>
  <c r="I788" i="2" s="1"/>
  <c r="J788" i="2" a="1"/>
  <c r="J788" i="2" s="1"/>
  <c r="K784" i="2" a="1"/>
  <c r="K784" i="2" s="1"/>
  <c r="L784" i="2" a="1"/>
  <c r="L784" i="2" s="1"/>
  <c r="I784" i="2" a="1"/>
  <c r="I784" i="2" s="1"/>
  <c r="J784" i="2" a="1"/>
  <c r="J784" i="2" s="1"/>
  <c r="L780" i="2" a="1"/>
  <c r="L780" i="2" s="1"/>
  <c r="K780" i="2" a="1"/>
  <c r="K780" i="2" s="1"/>
  <c r="I780" i="2" a="1"/>
  <c r="I780" i="2" s="1"/>
  <c r="J780" i="2" a="1"/>
  <c r="J780" i="2" s="1"/>
  <c r="K776" i="2" a="1"/>
  <c r="K776" i="2" s="1"/>
  <c r="L776" i="2" a="1"/>
  <c r="L776" i="2" s="1"/>
  <c r="I776" i="2" a="1"/>
  <c r="I776" i="2" s="1"/>
  <c r="J776" i="2" a="1"/>
  <c r="J776" i="2" s="1"/>
  <c r="L772" i="2" a="1"/>
  <c r="L772" i="2" s="1"/>
  <c r="K772" i="2" a="1"/>
  <c r="K772" i="2" s="1"/>
  <c r="I772" i="2" a="1"/>
  <c r="I772" i="2" s="1"/>
  <c r="J772" i="2" a="1"/>
  <c r="J772" i="2" s="1"/>
  <c r="K768" i="2" a="1"/>
  <c r="K768" i="2" s="1"/>
  <c r="L768" i="2" a="1"/>
  <c r="L768" i="2" s="1"/>
  <c r="I768" i="2" a="1"/>
  <c r="I768" i="2" s="1"/>
  <c r="J768" i="2" a="1"/>
  <c r="J768" i="2" s="1"/>
  <c r="L764" i="2" a="1"/>
  <c r="L764" i="2" s="1"/>
  <c r="K764" i="2" a="1"/>
  <c r="K764" i="2" s="1"/>
  <c r="I764" i="2" a="1"/>
  <c r="I764" i="2" s="1"/>
  <c r="J764" i="2" a="1"/>
  <c r="J764" i="2" s="1"/>
  <c r="K760" i="2" a="1"/>
  <c r="K760" i="2" s="1"/>
  <c r="L760" i="2" a="1"/>
  <c r="L760" i="2" s="1"/>
  <c r="J760" i="2" a="1"/>
  <c r="J760" i="2" s="1"/>
  <c r="I760" i="2" a="1"/>
  <c r="I760" i="2" s="1"/>
  <c r="L756" i="2" a="1"/>
  <c r="L756" i="2" s="1"/>
  <c r="K756" i="2" a="1"/>
  <c r="K756" i="2" s="1"/>
  <c r="J756" i="2" a="1"/>
  <c r="J756" i="2" s="1"/>
  <c r="I756" i="2" a="1"/>
  <c r="I756" i="2" s="1"/>
  <c r="L752" i="2" a="1"/>
  <c r="L752" i="2" s="1"/>
  <c r="K752" i="2" a="1"/>
  <c r="K752" i="2" s="1"/>
  <c r="J752" i="2" a="1"/>
  <c r="J752" i="2" s="1"/>
  <c r="I752" i="2" a="1"/>
  <c r="I752" i="2" s="1"/>
  <c r="L748" i="2" a="1"/>
  <c r="L748" i="2" s="1"/>
  <c r="K748" i="2" a="1"/>
  <c r="K748" i="2" s="1"/>
  <c r="J748" i="2" a="1"/>
  <c r="J748" i="2" s="1"/>
  <c r="I748" i="2" a="1"/>
  <c r="I748" i="2" s="1"/>
  <c r="L744" i="2" a="1"/>
  <c r="L744" i="2" s="1"/>
  <c r="K744" i="2" a="1"/>
  <c r="K744" i="2" s="1"/>
  <c r="J744" i="2" a="1"/>
  <c r="J744" i="2" s="1"/>
  <c r="I744" i="2" a="1"/>
  <c r="I744" i="2" s="1"/>
  <c r="L740" i="2" a="1"/>
  <c r="L740" i="2" s="1"/>
  <c r="K740" i="2" a="1"/>
  <c r="K740" i="2" s="1"/>
  <c r="J740" i="2" a="1"/>
  <c r="J740" i="2" s="1"/>
  <c r="I740" i="2" a="1"/>
  <c r="I740" i="2" s="1"/>
  <c r="L736" i="2" a="1"/>
  <c r="L736" i="2" s="1"/>
  <c r="K736" i="2" a="1"/>
  <c r="K736" i="2" s="1"/>
  <c r="J736" i="2" a="1"/>
  <c r="J736" i="2" s="1"/>
  <c r="I736" i="2" a="1"/>
  <c r="I736" i="2" s="1"/>
  <c r="L732" i="2" a="1"/>
  <c r="L732" i="2" s="1"/>
  <c r="K732" i="2" a="1"/>
  <c r="K732" i="2" s="1"/>
  <c r="I732" i="2" a="1"/>
  <c r="I732" i="2" s="1"/>
  <c r="J732" i="2" a="1"/>
  <c r="J732" i="2" s="1"/>
  <c r="K728" i="2" a="1"/>
  <c r="K728" i="2" s="1"/>
  <c r="L728" i="2" a="1"/>
  <c r="L728" i="2" s="1"/>
  <c r="I728" i="2" a="1"/>
  <c r="I728" i="2" s="1"/>
  <c r="J728" i="2" a="1"/>
  <c r="J728" i="2" s="1"/>
  <c r="K724" i="2" a="1"/>
  <c r="K724" i="2" s="1"/>
  <c r="L724" i="2" a="1"/>
  <c r="L724" i="2" s="1"/>
  <c r="I724" i="2" a="1"/>
  <c r="I724" i="2" s="1"/>
  <c r="J724" i="2" a="1"/>
  <c r="J724" i="2" s="1"/>
  <c r="L720" i="2" a="1"/>
  <c r="L720" i="2" s="1"/>
  <c r="K720" i="2" a="1"/>
  <c r="K720" i="2" s="1"/>
  <c r="I720" i="2" a="1"/>
  <c r="I720" i="2" s="1"/>
  <c r="J720" i="2" a="1"/>
  <c r="J720" i="2" s="1"/>
  <c r="L716" i="2" a="1"/>
  <c r="L716" i="2" s="1"/>
  <c r="K716" i="2" a="1"/>
  <c r="K716" i="2" s="1"/>
  <c r="I716" i="2" a="1"/>
  <c r="I716" i="2" s="1"/>
  <c r="J716" i="2" a="1"/>
  <c r="J716" i="2" s="1"/>
  <c r="L712" i="2" a="1"/>
  <c r="L712" i="2" s="1"/>
  <c r="K712" i="2" a="1"/>
  <c r="K712" i="2" s="1"/>
  <c r="I712" i="2" a="1"/>
  <c r="I712" i="2" s="1"/>
  <c r="J712" i="2" a="1"/>
  <c r="J712" i="2" s="1"/>
  <c r="L708" i="2" a="1"/>
  <c r="L708" i="2" s="1"/>
  <c r="K708" i="2" a="1"/>
  <c r="K708" i="2" s="1"/>
  <c r="I708" i="2" a="1"/>
  <c r="I708" i="2" s="1"/>
  <c r="J708" i="2" a="1"/>
  <c r="J708" i="2" s="1"/>
  <c r="L704" i="2" a="1"/>
  <c r="L704" i="2" s="1"/>
  <c r="K704" i="2" a="1"/>
  <c r="K704" i="2" s="1"/>
  <c r="I704" i="2" a="1"/>
  <c r="I704" i="2" s="1"/>
  <c r="J704" i="2" a="1"/>
  <c r="J704" i="2" s="1"/>
  <c r="L700" i="2" a="1"/>
  <c r="L700" i="2" s="1"/>
  <c r="K700" i="2" a="1"/>
  <c r="K700" i="2" s="1"/>
  <c r="I700" i="2" a="1"/>
  <c r="I700" i="2" s="1"/>
  <c r="J700" i="2" a="1"/>
  <c r="J700" i="2" s="1"/>
  <c r="L696" i="2" a="1"/>
  <c r="L696" i="2" s="1"/>
  <c r="K696" i="2" a="1"/>
  <c r="K696" i="2" s="1"/>
  <c r="I696" i="2" a="1"/>
  <c r="I696" i="2" s="1"/>
  <c r="J696" i="2" a="1"/>
  <c r="J696" i="2" s="1"/>
  <c r="L692" i="2" a="1"/>
  <c r="L692" i="2" s="1"/>
  <c r="K692" i="2" a="1"/>
  <c r="K692" i="2" s="1"/>
  <c r="I692" i="2" a="1"/>
  <c r="I692" i="2" s="1"/>
  <c r="J692" i="2" a="1"/>
  <c r="J692" i="2" s="1"/>
  <c r="L688" i="2" a="1"/>
  <c r="L688" i="2" s="1"/>
  <c r="K688" i="2" a="1"/>
  <c r="K688" i="2" s="1"/>
  <c r="J688" i="2" a="1"/>
  <c r="J688" i="2" s="1"/>
  <c r="I688" i="2" a="1"/>
  <c r="I688" i="2" s="1"/>
  <c r="L684" i="2" a="1"/>
  <c r="L684" i="2" s="1"/>
  <c r="K684" i="2" a="1"/>
  <c r="K684" i="2" s="1"/>
  <c r="J684" i="2" a="1"/>
  <c r="J684" i="2" s="1"/>
  <c r="I684" i="2" a="1"/>
  <c r="I684" i="2" s="1"/>
  <c r="L680" i="2" a="1"/>
  <c r="L680" i="2" s="1"/>
  <c r="K680" i="2" a="1"/>
  <c r="K680" i="2" s="1"/>
  <c r="J680" i="2" a="1"/>
  <c r="J680" i="2" s="1"/>
  <c r="I680" i="2" a="1"/>
  <c r="I680" i="2" s="1"/>
  <c r="L676" i="2" a="1"/>
  <c r="L676" i="2" s="1"/>
  <c r="K676" i="2" a="1"/>
  <c r="K676" i="2" s="1"/>
  <c r="J676" i="2" a="1"/>
  <c r="J676" i="2" s="1"/>
  <c r="I676" i="2" a="1"/>
  <c r="I676" i="2" s="1"/>
  <c r="L672" i="2" a="1"/>
  <c r="L672" i="2" s="1"/>
  <c r="K672" i="2" a="1"/>
  <c r="K672" i="2" s="1"/>
  <c r="J672" i="2" a="1"/>
  <c r="J672" i="2" s="1"/>
  <c r="I672" i="2" a="1"/>
  <c r="I672" i="2" s="1"/>
  <c r="L668" i="2" a="1"/>
  <c r="L668" i="2" s="1"/>
  <c r="K668" i="2" a="1"/>
  <c r="K668" i="2" s="1"/>
  <c r="J668" i="2" a="1"/>
  <c r="J668" i="2" s="1"/>
  <c r="I668" i="2" a="1"/>
  <c r="I668" i="2" s="1"/>
  <c r="L664" i="2" a="1"/>
  <c r="L664" i="2" s="1"/>
  <c r="K664" i="2" a="1"/>
  <c r="K664" i="2" s="1"/>
  <c r="J664" i="2" a="1"/>
  <c r="J664" i="2" s="1"/>
  <c r="I664" i="2" a="1"/>
  <c r="I664" i="2" s="1"/>
  <c r="L660" i="2" a="1"/>
  <c r="L660" i="2" s="1"/>
  <c r="K660" i="2" a="1"/>
  <c r="K660" i="2" s="1"/>
  <c r="J660" i="2" a="1"/>
  <c r="J660" i="2" s="1"/>
  <c r="I660" i="2" a="1"/>
  <c r="I660" i="2" s="1"/>
  <c r="L656" i="2" a="1"/>
  <c r="L656" i="2" s="1"/>
  <c r="K656" i="2" a="1"/>
  <c r="K656" i="2" s="1"/>
  <c r="J656" i="2" a="1"/>
  <c r="J656" i="2" s="1"/>
  <c r="I656" i="2" a="1"/>
  <c r="I656" i="2" s="1"/>
  <c r="L652" i="2" a="1"/>
  <c r="L652" i="2" s="1"/>
  <c r="K652" i="2" a="1"/>
  <c r="K652" i="2" s="1"/>
  <c r="J652" i="2" a="1"/>
  <c r="J652" i="2" s="1"/>
  <c r="I652" i="2" a="1"/>
  <c r="I652" i="2" s="1"/>
  <c r="L648" i="2" a="1"/>
  <c r="L648" i="2" s="1"/>
  <c r="K648" i="2" a="1"/>
  <c r="K648" i="2" s="1"/>
  <c r="J648" i="2" a="1"/>
  <c r="J648" i="2" s="1"/>
  <c r="I648" i="2" a="1"/>
  <c r="I648" i="2" s="1"/>
  <c r="L644" i="2" a="1"/>
  <c r="L644" i="2" s="1"/>
  <c r="K644" i="2" a="1"/>
  <c r="K644" i="2" s="1"/>
  <c r="J644" i="2" a="1"/>
  <c r="J644" i="2" s="1"/>
  <c r="I644" i="2" a="1"/>
  <c r="I644" i="2" s="1"/>
  <c r="L640" i="2" a="1"/>
  <c r="L640" i="2" s="1"/>
  <c r="K640" i="2" a="1"/>
  <c r="K640" i="2" s="1"/>
  <c r="J640" i="2" a="1"/>
  <c r="J640" i="2" s="1"/>
  <c r="I640" i="2" a="1"/>
  <c r="I640" i="2" s="1"/>
  <c r="L636" i="2" a="1"/>
  <c r="L636" i="2" s="1"/>
  <c r="K636" i="2" a="1"/>
  <c r="K636" i="2" s="1"/>
  <c r="J636" i="2" a="1"/>
  <c r="J636" i="2" s="1"/>
  <c r="I636" i="2" a="1"/>
  <c r="I636" i="2" s="1"/>
  <c r="L632" i="2" a="1"/>
  <c r="L632" i="2" s="1"/>
  <c r="K632" i="2" a="1"/>
  <c r="K632" i="2" s="1"/>
  <c r="J632" i="2" a="1"/>
  <c r="J632" i="2" s="1"/>
  <c r="I632" i="2" a="1"/>
  <c r="I632" i="2" s="1"/>
  <c r="L628" i="2" a="1"/>
  <c r="L628" i="2" s="1"/>
  <c r="K628" i="2" a="1"/>
  <c r="K628" i="2" s="1"/>
  <c r="J628" i="2" a="1"/>
  <c r="J628" i="2" s="1"/>
  <c r="I628" i="2" a="1"/>
  <c r="I628" i="2" s="1"/>
  <c r="K624" i="2" a="1"/>
  <c r="K624" i="2" s="1"/>
  <c r="L624" i="2" a="1"/>
  <c r="L624" i="2" s="1"/>
  <c r="I624" i="2" a="1"/>
  <c r="I624" i="2" s="1"/>
  <c r="J624" i="2" a="1"/>
  <c r="J624" i="2" s="1"/>
  <c r="K620" i="2" a="1"/>
  <c r="K620" i="2" s="1"/>
  <c r="L620" i="2" a="1"/>
  <c r="L620" i="2" s="1"/>
  <c r="I620" i="2" a="1"/>
  <c r="I620" i="2" s="1"/>
  <c r="J620" i="2" a="1"/>
  <c r="J620" i="2" s="1"/>
  <c r="K616" i="2" a="1"/>
  <c r="K616" i="2" s="1"/>
  <c r="L616" i="2" a="1"/>
  <c r="L616" i="2" s="1"/>
  <c r="J616" i="2" a="1"/>
  <c r="J616" i="2" s="1"/>
  <c r="I616" i="2" a="1"/>
  <c r="I616" i="2" s="1"/>
  <c r="K612" i="2" a="1"/>
  <c r="K612" i="2" s="1"/>
  <c r="L612" i="2" a="1"/>
  <c r="L612" i="2" s="1"/>
  <c r="J612" i="2" a="1"/>
  <c r="J612" i="2" s="1"/>
  <c r="I612" i="2" a="1"/>
  <c r="I612" i="2" s="1"/>
  <c r="K608" i="2" a="1"/>
  <c r="K608" i="2" s="1"/>
  <c r="L608" i="2" a="1"/>
  <c r="L608" i="2" s="1"/>
  <c r="I608" i="2" a="1"/>
  <c r="I608" i="2" s="1"/>
  <c r="J608" i="2" a="1"/>
  <c r="J608" i="2" s="1"/>
  <c r="K604" i="2" a="1"/>
  <c r="K604" i="2" s="1"/>
  <c r="L604" i="2" a="1"/>
  <c r="L604" i="2" s="1"/>
  <c r="J604" i="2" a="1"/>
  <c r="J604" i="2" s="1"/>
  <c r="I604" i="2" a="1"/>
  <c r="I604" i="2" s="1"/>
  <c r="K600" i="2" a="1"/>
  <c r="K600" i="2" s="1"/>
  <c r="L600" i="2" a="1"/>
  <c r="L600" i="2" s="1"/>
  <c r="J600" i="2" a="1"/>
  <c r="J600" i="2" s="1"/>
  <c r="I600" i="2" a="1"/>
  <c r="I600" i="2" s="1"/>
  <c r="K596" i="2" a="1"/>
  <c r="K596" i="2" s="1"/>
  <c r="L596" i="2" a="1"/>
  <c r="L596" i="2" s="1"/>
  <c r="I596" i="2" a="1"/>
  <c r="I596" i="2" s="1"/>
  <c r="J596" i="2" a="1"/>
  <c r="J596" i="2" s="1"/>
  <c r="K592" i="2" a="1"/>
  <c r="K592" i="2" s="1"/>
  <c r="L592" i="2" a="1"/>
  <c r="L592" i="2" s="1"/>
  <c r="J592" i="2" a="1"/>
  <c r="J592" i="2" s="1"/>
  <c r="I592" i="2" a="1"/>
  <c r="I592" i="2" s="1"/>
  <c r="K588" i="2" a="1"/>
  <c r="K588" i="2" s="1"/>
  <c r="L588" i="2" a="1"/>
  <c r="L588" i="2" s="1"/>
  <c r="J588" i="2" a="1"/>
  <c r="J588" i="2" s="1"/>
  <c r="I588" i="2" a="1"/>
  <c r="I588" i="2" s="1"/>
  <c r="K584" i="2" a="1"/>
  <c r="K584" i="2" s="1"/>
  <c r="L584" i="2" a="1"/>
  <c r="L584" i="2" s="1"/>
  <c r="J584" i="2" a="1"/>
  <c r="J584" i="2" s="1"/>
  <c r="I584" i="2" a="1"/>
  <c r="I584" i="2" s="1"/>
  <c r="K580" i="2" a="1"/>
  <c r="K580" i="2" s="1"/>
  <c r="L580" i="2" a="1"/>
  <c r="L580" i="2" s="1"/>
  <c r="J580" i="2" a="1"/>
  <c r="J580" i="2" s="1"/>
  <c r="I580" i="2" a="1"/>
  <c r="I580" i="2" s="1"/>
  <c r="K576" i="2" a="1"/>
  <c r="K576" i="2" s="1"/>
  <c r="L576" i="2" a="1"/>
  <c r="L576" i="2" s="1"/>
  <c r="J576" i="2" a="1"/>
  <c r="J576" i="2" s="1"/>
  <c r="I576" i="2" a="1"/>
  <c r="I576" i="2" s="1"/>
  <c r="K572" i="2" a="1"/>
  <c r="K572" i="2" s="1"/>
  <c r="L572" i="2" a="1"/>
  <c r="L572" i="2" s="1"/>
  <c r="J572" i="2" a="1"/>
  <c r="J572" i="2" s="1"/>
  <c r="I572" i="2" a="1"/>
  <c r="I572" i="2" s="1"/>
  <c r="K568" i="2" a="1"/>
  <c r="K568" i="2" s="1"/>
  <c r="L568" i="2" a="1"/>
  <c r="L568" i="2" s="1"/>
  <c r="J568" i="2" a="1"/>
  <c r="J568" i="2" s="1"/>
  <c r="I568" i="2" a="1"/>
  <c r="I568" i="2" s="1"/>
  <c r="K564" i="2" a="1"/>
  <c r="K564" i="2" s="1"/>
  <c r="L564" i="2" a="1"/>
  <c r="L564" i="2" s="1"/>
  <c r="J564" i="2" a="1"/>
  <c r="J564" i="2" s="1"/>
  <c r="K560" i="2" a="1"/>
  <c r="K560" i="2" s="1"/>
  <c r="L560" i="2" a="1"/>
  <c r="L560" i="2" s="1"/>
  <c r="J560" i="2" a="1"/>
  <c r="J560" i="2" s="1"/>
  <c r="K556" i="2" a="1"/>
  <c r="K556" i="2" s="1"/>
  <c r="L556" i="2" a="1"/>
  <c r="L556" i="2" s="1"/>
  <c r="J556" i="2" a="1"/>
  <c r="J556" i="2" s="1"/>
  <c r="K552" i="2" a="1"/>
  <c r="K552" i="2" s="1"/>
  <c r="L552" i="2" a="1"/>
  <c r="L552" i="2" s="1"/>
  <c r="J552" i="2" a="1"/>
  <c r="J552" i="2" s="1"/>
  <c r="K548" i="2" a="1"/>
  <c r="K548" i="2" s="1"/>
  <c r="L548" i="2" a="1"/>
  <c r="L548" i="2" s="1"/>
  <c r="J548" i="2" a="1"/>
  <c r="J548" i="2" s="1"/>
  <c r="K544" i="2" a="1"/>
  <c r="K544" i="2" s="1"/>
  <c r="L544" i="2" a="1"/>
  <c r="L544" i="2" s="1"/>
  <c r="J544" i="2" a="1"/>
  <c r="J544" i="2" s="1"/>
  <c r="K540" i="2" a="1"/>
  <c r="K540" i="2" s="1"/>
  <c r="L540" i="2" a="1"/>
  <c r="L540" i="2" s="1"/>
  <c r="J540" i="2" a="1"/>
  <c r="J540" i="2" s="1"/>
  <c r="K536" i="2" a="1"/>
  <c r="K536" i="2" s="1"/>
  <c r="L536" i="2" a="1"/>
  <c r="L536" i="2" s="1"/>
  <c r="J536" i="2" a="1"/>
  <c r="J536" i="2" s="1"/>
  <c r="K532" i="2" a="1"/>
  <c r="K532" i="2" s="1"/>
  <c r="L532" i="2" a="1"/>
  <c r="L532" i="2" s="1"/>
  <c r="K528" i="2" a="1"/>
  <c r="K528" i="2" s="1"/>
  <c r="L528" i="2" a="1"/>
  <c r="L528" i="2" s="1"/>
  <c r="K524" i="2" a="1"/>
  <c r="K524" i="2" s="1"/>
  <c r="L524" i="2" a="1"/>
  <c r="L524" i="2" s="1"/>
  <c r="K520" i="2" a="1"/>
  <c r="K520" i="2" s="1"/>
  <c r="L520" i="2" a="1"/>
  <c r="L520" i="2" s="1"/>
  <c r="K516" i="2" a="1"/>
  <c r="K516" i="2" s="1"/>
  <c r="L516" i="2" a="1"/>
  <c r="L516" i="2" s="1"/>
  <c r="K512" i="2" a="1"/>
  <c r="K512" i="2" s="1"/>
  <c r="L512" i="2" a="1"/>
  <c r="L512" i="2" s="1"/>
  <c r="K508" i="2" a="1"/>
  <c r="K508" i="2" s="1"/>
  <c r="L508" i="2" a="1"/>
  <c r="L508" i="2" s="1"/>
  <c r="K504" i="2" a="1"/>
  <c r="K504" i="2" s="1"/>
  <c r="L504" i="2" a="1"/>
  <c r="L504" i="2" s="1"/>
  <c r="K500" i="2" a="1"/>
  <c r="K500" i="2" s="1"/>
  <c r="L500" i="2" a="1"/>
  <c r="L500" i="2" s="1"/>
  <c r="K496" i="2" a="1"/>
  <c r="K496" i="2" s="1"/>
  <c r="L496" i="2" a="1"/>
  <c r="L496" i="2" s="1"/>
  <c r="K492" i="2" a="1"/>
  <c r="K492" i="2" s="1"/>
  <c r="L492" i="2" a="1"/>
  <c r="L492" i="2" s="1"/>
  <c r="K488" i="2" a="1"/>
  <c r="K488" i="2" s="1"/>
  <c r="L488" i="2" a="1"/>
  <c r="L488" i="2" s="1"/>
  <c r="K484" i="2" a="1"/>
  <c r="K484" i="2" s="1"/>
  <c r="L484" i="2" a="1"/>
  <c r="L484" i="2" s="1"/>
  <c r="K480" i="2" a="1"/>
  <c r="K480" i="2" s="1"/>
  <c r="L480" i="2" a="1"/>
  <c r="L480" i="2" s="1"/>
  <c r="K476" i="2" a="1"/>
  <c r="K476" i="2" s="1"/>
  <c r="L476" i="2" a="1"/>
  <c r="L476" i="2" s="1"/>
  <c r="K472" i="2" a="1"/>
  <c r="K472" i="2" s="1"/>
  <c r="L472" i="2" a="1"/>
  <c r="L472" i="2" s="1"/>
  <c r="K468" i="2" a="1"/>
  <c r="K468" i="2" s="1"/>
  <c r="L468" i="2" a="1"/>
  <c r="L468" i="2" s="1"/>
  <c r="K464" i="2" a="1"/>
  <c r="K464" i="2" s="1"/>
  <c r="L464" i="2" a="1"/>
  <c r="L464" i="2" s="1"/>
  <c r="K460" i="2" a="1"/>
  <c r="K460" i="2" s="1"/>
  <c r="L460" i="2" a="1"/>
  <c r="L460" i="2" s="1"/>
  <c r="K456" i="2" a="1"/>
  <c r="K456" i="2" s="1"/>
  <c r="L456" i="2" a="1"/>
  <c r="L456" i="2" s="1"/>
  <c r="L452" i="2" a="1"/>
  <c r="L452" i="2" s="1"/>
  <c r="K452" i="2" a="1"/>
  <c r="K452" i="2" s="1"/>
  <c r="K448" i="2" a="1"/>
  <c r="K448" i="2" s="1"/>
  <c r="L448" i="2" a="1"/>
  <c r="L448" i="2" s="1"/>
  <c r="L444" i="2" a="1"/>
  <c r="L444" i="2" s="1"/>
  <c r="K444" i="2" a="1"/>
  <c r="K444" i="2" s="1"/>
  <c r="K440" i="2" a="1"/>
  <c r="K440" i="2" s="1"/>
  <c r="L440" i="2" a="1"/>
  <c r="L440" i="2" s="1"/>
  <c r="L436" i="2" a="1"/>
  <c r="L436" i="2" s="1"/>
  <c r="K436" i="2" a="1"/>
  <c r="K436" i="2" s="1"/>
  <c r="K432" i="2" a="1"/>
  <c r="K432" i="2" s="1"/>
  <c r="L432" i="2" a="1"/>
  <c r="L432" i="2" s="1"/>
  <c r="L428" i="2" a="1"/>
  <c r="L428" i="2" s="1"/>
  <c r="K428" i="2" a="1"/>
  <c r="K428" i="2" s="1"/>
  <c r="K424" i="2" a="1"/>
  <c r="K424" i="2" s="1"/>
  <c r="L424" i="2" a="1"/>
  <c r="L424" i="2" s="1"/>
  <c r="L420" i="2" a="1"/>
  <c r="L420" i="2" s="1"/>
  <c r="K420" i="2" a="1"/>
  <c r="K420" i="2" s="1"/>
  <c r="K416" i="2" a="1"/>
  <c r="K416" i="2" s="1"/>
  <c r="L416" i="2" a="1"/>
  <c r="L416" i="2" s="1"/>
  <c r="L412" i="2" a="1"/>
  <c r="L412" i="2" s="1"/>
  <c r="K412" i="2" a="1"/>
  <c r="K412" i="2" s="1"/>
  <c r="K408" i="2" a="1"/>
  <c r="K408" i="2" s="1"/>
  <c r="L408" i="2" a="1"/>
  <c r="L408" i="2" s="1"/>
  <c r="L404" i="2" a="1"/>
  <c r="L404" i="2" s="1"/>
  <c r="K404" i="2" a="1"/>
  <c r="K404" i="2" s="1"/>
  <c r="K400" i="2" a="1"/>
  <c r="K400" i="2" s="1"/>
  <c r="L400" i="2" a="1"/>
  <c r="L400" i="2" s="1"/>
  <c r="L396" i="2" a="1"/>
  <c r="L396" i="2" s="1"/>
  <c r="K396" i="2" a="1"/>
  <c r="K396" i="2" s="1"/>
  <c r="K392" i="2" a="1"/>
  <c r="K392" i="2" s="1"/>
  <c r="L392" i="2" a="1"/>
  <c r="L392" i="2" s="1"/>
  <c r="L388" i="2" a="1"/>
  <c r="L388" i="2" s="1"/>
  <c r="K388" i="2" a="1"/>
  <c r="K388" i="2" s="1"/>
  <c r="K384" i="2" a="1"/>
  <c r="K384" i="2" s="1"/>
  <c r="L384" i="2" a="1"/>
  <c r="L384" i="2" s="1"/>
  <c r="L380" i="2" a="1"/>
  <c r="L380" i="2" s="1"/>
  <c r="K380" i="2" a="1"/>
  <c r="K380" i="2" s="1"/>
  <c r="K376" i="2" a="1"/>
  <c r="K376" i="2" s="1"/>
  <c r="L376" i="2" a="1"/>
  <c r="L376" i="2" s="1"/>
  <c r="L372" i="2" a="1"/>
  <c r="L372" i="2" s="1"/>
  <c r="K372" i="2" a="1"/>
  <c r="K372" i="2" s="1"/>
  <c r="K368" i="2" a="1"/>
  <c r="K368" i="2" s="1"/>
  <c r="L368" i="2" a="1"/>
  <c r="L368" i="2" s="1"/>
  <c r="L364" i="2" a="1"/>
  <c r="L364" i="2" s="1"/>
  <c r="K364" i="2" a="1"/>
  <c r="K364" i="2" s="1"/>
  <c r="L360" i="2" a="1"/>
  <c r="L360" i="2" s="1"/>
  <c r="K360" i="2" a="1"/>
  <c r="K360" i="2" s="1"/>
  <c r="K356" i="2" a="1"/>
  <c r="K356" i="2" s="1"/>
  <c r="L356" i="2" a="1"/>
  <c r="L356" i="2" s="1"/>
  <c r="L352" i="2" a="1"/>
  <c r="L352" i="2" s="1"/>
  <c r="K352" i="2" a="1"/>
  <c r="K352" i="2" s="1"/>
  <c r="K348" i="2" a="1"/>
  <c r="K348" i="2" s="1"/>
  <c r="L348" i="2" a="1"/>
  <c r="L348" i="2" s="1"/>
  <c r="L344" i="2" a="1"/>
  <c r="L344" i="2" s="1"/>
  <c r="K344" i="2" a="1"/>
  <c r="K344" i="2" s="1"/>
  <c r="K340" i="2" a="1"/>
  <c r="K340" i="2" s="1"/>
  <c r="L340" i="2" a="1"/>
  <c r="L340" i="2" s="1"/>
  <c r="L336" i="2" a="1"/>
  <c r="L336" i="2" s="1"/>
  <c r="K336" i="2" a="1"/>
  <c r="K336" i="2" s="1"/>
  <c r="L332" i="2" a="1"/>
  <c r="L332" i="2" s="1"/>
  <c r="K332" i="2" a="1"/>
  <c r="K332" i="2" s="1"/>
  <c r="K328" i="2" a="1"/>
  <c r="K328" i="2" s="1"/>
  <c r="L328" i="2" a="1"/>
  <c r="L328" i="2" s="1"/>
  <c r="L324" i="2" a="1"/>
  <c r="L324" i="2" s="1"/>
  <c r="K324" i="2" a="1"/>
  <c r="K324" i="2" s="1"/>
  <c r="L320" i="2" a="1"/>
  <c r="L320" i="2" s="1"/>
  <c r="K320" i="2" a="1"/>
  <c r="K320" i="2" s="1"/>
  <c r="L316" i="2" a="1"/>
  <c r="L316" i="2" s="1"/>
  <c r="K316" i="2" a="1"/>
  <c r="K316" i="2" s="1"/>
  <c r="K312" i="2" a="1"/>
  <c r="K312" i="2" s="1"/>
  <c r="L312" i="2" a="1"/>
  <c r="L312" i="2" s="1"/>
  <c r="L308" i="2" a="1"/>
  <c r="L308" i="2" s="1"/>
  <c r="K308" i="2" a="1"/>
  <c r="K308" i="2" s="1"/>
  <c r="L304" i="2" a="1"/>
  <c r="L304" i="2" s="1"/>
  <c r="K304" i="2" a="1"/>
  <c r="K304" i="2" s="1"/>
  <c r="L300" i="2" a="1"/>
  <c r="L300" i="2" s="1"/>
  <c r="K300" i="2" a="1"/>
  <c r="K300" i="2" s="1"/>
  <c r="K296" i="2" a="1"/>
  <c r="K296" i="2" s="1"/>
  <c r="L296" i="2" a="1"/>
  <c r="L296" i="2" s="1"/>
  <c r="L292" i="2" a="1"/>
  <c r="L292" i="2" s="1"/>
  <c r="K292" i="2" a="1"/>
  <c r="K292" i="2" s="1"/>
  <c r="L288" i="2" a="1"/>
  <c r="L288" i="2" s="1"/>
  <c r="K288" i="2" a="1"/>
  <c r="K288" i="2" s="1"/>
  <c r="K284" i="2" a="1"/>
  <c r="K284" i="2" s="1"/>
  <c r="L284" i="2" a="1"/>
  <c r="L284" i="2" s="1"/>
  <c r="K280" i="2" a="1"/>
  <c r="K280" i="2" s="1"/>
  <c r="L280" i="2" a="1"/>
  <c r="L280" i="2" s="1"/>
  <c r="K276" i="2" a="1"/>
  <c r="K276" i="2" s="1"/>
  <c r="L276" i="2" a="1"/>
  <c r="L276" i="2" s="1"/>
  <c r="K272" i="2" a="1"/>
  <c r="K272" i="2" s="1"/>
  <c r="L272" i="2" a="1"/>
  <c r="L272" i="2" s="1"/>
  <c r="K268" i="2" a="1"/>
  <c r="K268" i="2" s="1"/>
  <c r="L268" i="2" a="1"/>
  <c r="L268" i="2" s="1"/>
  <c r="K264" i="2" a="1"/>
  <c r="K264" i="2" s="1"/>
  <c r="L264" i="2" a="1"/>
  <c r="L264" i="2" s="1"/>
  <c r="L260" i="2" a="1"/>
  <c r="L260" i="2" s="1"/>
  <c r="K260" i="2" a="1"/>
  <c r="K260" i="2" s="1"/>
  <c r="L256" i="2" a="1"/>
  <c r="L256" i="2" s="1"/>
  <c r="K256" i="2" a="1"/>
  <c r="K256" i="2" s="1"/>
  <c r="L252" i="2" a="1"/>
  <c r="L252" i="2" s="1"/>
  <c r="K252" i="2" a="1"/>
  <c r="K252" i="2" s="1"/>
  <c r="L248" i="2" a="1"/>
  <c r="L248" i="2" s="1"/>
  <c r="K248" i="2" a="1"/>
  <c r="K248" i="2" s="1"/>
  <c r="L244" i="2" a="1"/>
  <c r="L244" i="2" s="1"/>
  <c r="K244" i="2" a="1"/>
  <c r="K244" i="2" s="1"/>
  <c r="L240" i="2" a="1"/>
  <c r="L240" i="2" s="1"/>
  <c r="K240" i="2" a="1"/>
  <c r="K240" i="2" s="1"/>
  <c r="L236" i="2" a="1"/>
  <c r="L236" i="2" s="1"/>
  <c r="K236" i="2" a="1"/>
  <c r="K236" i="2" s="1"/>
  <c r="L232" i="2" a="1"/>
  <c r="L232" i="2" s="1"/>
  <c r="K232" i="2" a="1"/>
  <c r="K232" i="2" s="1"/>
  <c r="L228" i="2" a="1"/>
  <c r="L228" i="2" s="1"/>
  <c r="K228" i="2" a="1"/>
  <c r="K228" i="2" s="1"/>
  <c r="L224" i="2" a="1"/>
  <c r="L224" i="2" s="1"/>
  <c r="K224" i="2" a="1"/>
  <c r="K224" i="2" s="1"/>
  <c r="L220" i="2" a="1"/>
  <c r="L220" i="2" s="1"/>
  <c r="K220" i="2" a="1"/>
  <c r="K220" i="2" s="1"/>
  <c r="L216" i="2" a="1"/>
  <c r="L216" i="2" s="1"/>
  <c r="K216" i="2" a="1"/>
  <c r="K216" i="2" s="1"/>
  <c r="L212" i="2" a="1"/>
  <c r="L212" i="2" s="1"/>
  <c r="K212" i="2" a="1"/>
  <c r="K212" i="2" s="1"/>
  <c r="L208" i="2" a="1"/>
  <c r="L208" i="2" s="1"/>
  <c r="K208" i="2" a="1"/>
  <c r="K208" i="2" s="1"/>
  <c r="L204" i="2" a="1"/>
  <c r="L204" i="2" s="1"/>
  <c r="K204" i="2" a="1"/>
  <c r="K204" i="2" s="1"/>
  <c r="L200" i="2" a="1"/>
  <c r="L200" i="2" s="1"/>
  <c r="K200" i="2" a="1"/>
  <c r="K200" i="2" s="1"/>
  <c r="L196" i="2" a="1"/>
  <c r="L196" i="2" s="1"/>
  <c r="K196" i="2" a="1"/>
  <c r="K196" i="2" s="1"/>
  <c r="L192" i="2" a="1"/>
  <c r="L192" i="2" s="1"/>
  <c r="K192" i="2" a="1"/>
  <c r="K192" i="2" s="1"/>
  <c r="L188" i="2" a="1"/>
  <c r="L188" i="2" s="1"/>
  <c r="K188" i="2" a="1"/>
  <c r="K188" i="2" s="1"/>
  <c r="L184" i="2" a="1"/>
  <c r="L184" i="2" s="1"/>
  <c r="K184" i="2" a="1"/>
  <c r="K184" i="2" s="1"/>
  <c r="L180" i="2" a="1"/>
  <c r="L180" i="2" s="1"/>
  <c r="K180" i="2" a="1"/>
  <c r="K180" i="2" s="1"/>
  <c r="L176" i="2" a="1"/>
  <c r="L176" i="2" s="1"/>
  <c r="K176" i="2" a="1"/>
  <c r="K176" i="2" s="1"/>
  <c r="L172" i="2" a="1"/>
  <c r="L172" i="2" s="1"/>
  <c r="K172" i="2" a="1"/>
  <c r="K172" i="2" s="1"/>
  <c r="L168" i="2" a="1"/>
  <c r="L168" i="2" s="1"/>
  <c r="K168" i="2" a="1"/>
  <c r="K168" i="2" s="1"/>
  <c r="L164" i="2" a="1"/>
  <c r="L164" i="2" s="1"/>
  <c r="K164" i="2" a="1"/>
  <c r="K164" i="2" s="1"/>
  <c r="L160" i="2" a="1"/>
  <c r="L160" i="2" s="1"/>
  <c r="K160" i="2" a="1"/>
  <c r="K160" i="2" s="1"/>
  <c r="L156" i="2" a="1"/>
  <c r="L156" i="2" s="1"/>
  <c r="K156" i="2" a="1"/>
  <c r="K156" i="2" s="1"/>
  <c r="L152" i="2" a="1"/>
  <c r="L152" i="2" s="1"/>
  <c r="K152" i="2" a="1"/>
  <c r="K152" i="2" s="1"/>
  <c r="L148" i="2" a="1"/>
  <c r="L148" i="2" s="1"/>
  <c r="K148" i="2" a="1"/>
  <c r="K148" i="2" s="1"/>
  <c r="L144" i="2" a="1"/>
  <c r="L144" i="2" s="1"/>
  <c r="K144" i="2" a="1"/>
  <c r="K144" i="2" s="1"/>
  <c r="L140" i="2" a="1"/>
  <c r="L140" i="2" s="1"/>
  <c r="K140" i="2" a="1"/>
  <c r="K140" i="2" s="1"/>
  <c r="L136" i="2" a="1"/>
  <c r="L136" i="2" s="1"/>
  <c r="K136" i="2" a="1"/>
  <c r="K136" i="2" s="1"/>
  <c r="L132" i="2" a="1"/>
  <c r="L132" i="2" s="1"/>
  <c r="K132" i="2" a="1"/>
  <c r="K132" i="2" s="1"/>
  <c r="L128" i="2" a="1"/>
  <c r="L128" i="2" s="1"/>
  <c r="K128" i="2" a="1"/>
  <c r="K128" i="2" s="1"/>
  <c r="L124" i="2" a="1"/>
  <c r="L124" i="2" s="1"/>
  <c r="K124" i="2" a="1"/>
  <c r="K124" i="2" s="1"/>
  <c r="L120" i="2" a="1"/>
  <c r="L120" i="2" s="1"/>
  <c r="K120" i="2" a="1"/>
  <c r="K120" i="2" s="1"/>
  <c r="L116" i="2" a="1"/>
  <c r="L116" i="2" s="1"/>
  <c r="K116" i="2" a="1"/>
  <c r="K116" i="2" s="1"/>
  <c r="L112" i="2" a="1"/>
  <c r="L112" i="2" s="1"/>
  <c r="K112" i="2" a="1"/>
  <c r="K112" i="2" s="1"/>
  <c r="L108" i="2" a="1"/>
  <c r="L108" i="2" s="1"/>
  <c r="K108" i="2" a="1"/>
  <c r="K108" i="2" s="1"/>
  <c r="L104" i="2" a="1"/>
  <c r="L104" i="2" s="1"/>
  <c r="K104" i="2" a="1"/>
  <c r="K104" i="2" s="1"/>
  <c r="L100" i="2" a="1"/>
  <c r="L100" i="2" s="1"/>
  <c r="K100" i="2" a="1"/>
  <c r="K100" i="2" s="1"/>
  <c r="L96" i="2" a="1"/>
  <c r="L96" i="2" s="1"/>
  <c r="K96" i="2" a="1"/>
  <c r="K96" i="2" s="1"/>
  <c r="L92" i="2" a="1"/>
  <c r="L92" i="2" s="1"/>
  <c r="K92" i="2" a="1"/>
  <c r="K92" i="2" s="1"/>
  <c r="L88" i="2" a="1"/>
  <c r="L88" i="2" s="1"/>
  <c r="K88" i="2" a="1"/>
  <c r="K88" i="2" s="1"/>
  <c r="L84" i="2" a="1"/>
  <c r="L84" i="2" s="1"/>
  <c r="K84" i="2" a="1"/>
  <c r="K84" i="2" s="1"/>
  <c r="L80" i="2" a="1"/>
  <c r="L80" i="2" s="1"/>
  <c r="K80" i="2" a="1"/>
  <c r="K80" i="2" s="1"/>
  <c r="L76" i="2" a="1"/>
  <c r="L76" i="2" s="1"/>
  <c r="K76" i="2" a="1"/>
  <c r="K76" i="2" s="1"/>
  <c r="L72" i="2" a="1"/>
  <c r="L72" i="2" s="1"/>
  <c r="K72" i="2" a="1"/>
  <c r="K72" i="2" s="1"/>
  <c r="L68" i="2" a="1"/>
  <c r="L68" i="2" s="1"/>
  <c r="K68" i="2" a="1"/>
  <c r="K68" i="2" s="1"/>
  <c r="L64" i="2" a="1"/>
  <c r="L64" i="2" s="1"/>
  <c r="K64" i="2" a="1"/>
  <c r="K64" i="2" s="1"/>
  <c r="L60" i="2" a="1"/>
  <c r="L60" i="2" s="1"/>
  <c r="K60" i="2" a="1"/>
  <c r="K60" i="2" s="1"/>
  <c r="L56" i="2" a="1"/>
  <c r="L56" i="2" s="1"/>
  <c r="K56" i="2" a="1"/>
  <c r="K56" i="2" s="1"/>
  <c r="L52" i="2" a="1"/>
  <c r="L52" i="2" s="1"/>
  <c r="K52" i="2" a="1"/>
  <c r="K52" i="2" s="1"/>
  <c r="L48" i="2" a="1"/>
  <c r="L48" i="2" s="1"/>
  <c r="K48" i="2" a="1"/>
  <c r="K48" i="2" s="1"/>
  <c r="L44" i="2" a="1"/>
  <c r="L44" i="2" s="1"/>
  <c r="K44" i="2" a="1"/>
  <c r="K44" i="2" s="1"/>
  <c r="L40" i="2" a="1"/>
  <c r="L40" i="2" s="1"/>
  <c r="K40" i="2" a="1"/>
  <c r="K40" i="2" s="1"/>
  <c r="L36" i="2" a="1"/>
  <c r="L36" i="2" s="1"/>
  <c r="K36" i="2" a="1"/>
  <c r="K36" i="2" s="1"/>
  <c r="L32" i="2" a="1"/>
  <c r="L32" i="2" s="1"/>
  <c r="K32" i="2" a="1"/>
  <c r="K32" i="2" s="1"/>
  <c r="L28" i="2" a="1"/>
  <c r="L28" i="2" s="1"/>
  <c r="K28" i="2" a="1"/>
  <c r="K28" i="2" s="1"/>
  <c r="L24" i="2" a="1"/>
  <c r="L24" i="2" s="1"/>
  <c r="K24" i="2" a="1"/>
  <c r="K24" i="2" s="1"/>
  <c r="N25" i="2" a="1"/>
  <c r="N25" i="2" s="1"/>
  <c r="N29" i="2" a="1"/>
  <c r="N29" i="2" s="1"/>
  <c r="N33" i="2" a="1"/>
  <c r="N33" i="2" s="1"/>
  <c r="N37" i="2" a="1"/>
  <c r="N37" i="2" s="1"/>
  <c r="N41" i="2" a="1"/>
  <c r="N41" i="2" s="1"/>
  <c r="N45" i="2" a="1"/>
  <c r="N45" i="2" s="1"/>
  <c r="N49" i="2" a="1"/>
  <c r="N49" i="2" s="1"/>
  <c r="N53" i="2" a="1"/>
  <c r="N53" i="2" s="1"/>
  <c r="N57" i="2" a="1"/>
  <c r="N57" i="2" s="1"/>
  <c r="N61" i="2" a="1"/>
  <c r="N61" i="2" s="1"/>
  <c r="N65" i="2" a="1"/>
  <c r="N65" i="2" s="1"/>
  <c r="N69" i="2" a="1"/>
  <c r="N69" i="2" s="1"/>
  <c r="N73" i="2" a="1"/>
  <c r="N73" i="2" s="1"/>
  <c r="N77" i="2" a="1"/>
  <c r="N77" i="2" s="1"/>
  <c r="N81" i="2" a="1"/>
  <c r="N81" i="2" s="1"/>
  <c r="N85" i="2" a="1"/>
  <c r="N85" i="2" s="1"/>
  <c r="N89" i="2" a="1"/>
  <c r="N89" i="2" s="1"/>
  <c r="N93" i="2" a="1"/>
  <c r="N93" i="2" s="1"/>
  <c r="N97" i="2" a="1"/>
  <c r="N97" i="2" s="1"/>
  <c r="N101" i="2" a="1"/>
  <c r="N101" i="2" s="1"/>
  <c r="N109" i="2" a="1"/>
  <c r="N109" i="2" s="1"/>
  <c r="N113" i="2" a="1"/>
  <c r="N113" i="2" s="1"/>
  <c r="N117" i="2" a="1"/>
  <c r="N117" i="2" s="1"/>
  <c r="N121" i="2" a="1"/>
  <c r="N121" i="2" s="1"/>
  <c r="N125" i="2" a="1"/>
  <c r="N125" i="2" s="1"/>
  <c r="N129" i="2" a="1"/>
  <c r="N129" i="2" s="1"/>
  <c r="N133" i="2" a="1"/>
  <c r="N133" i="2" s="1"/>
  <c r="N137" i="2" a="1"/>
  <c r="N137" i="2" s="1"/>
  <c r="N141" i="2" a="1"/>
  <c r="N141" i="2" s="1"/>
  <c r="N145" i="2" a="1"/>
  <c r="N145" i="2" s="1"/>
  <c r="N149" i="2" a="1"/>
  <c r="N149" i="2" s="1"/>
  <c r="I152" i="2" a="1"/>
  <c r="I152" i="2" s="1"/>
  <c r="I156" i="2" a="1"/>
  <c r="I156" i="2" s="1"/>
  <c r="I160" i="2" a="1"/>
  <c r="I160" i="2" s="1"/>
  <c r="I164" i="2" a="1"/>
  <c r="I164" i="2" s="1"/>
  <c r="M173" i="2" a="1"/>
  <c r="M173" i="2" s="1"/>
  <c r="M177" i="2" a="1"/>
  <c r="M177" i="2" s="1"/>
  <c r="M181" i="2" a="1"/>
  <c r="M181" i="2" s="1"/>
  <c r="M185" i="2" a="1"/>
  <c r="M185" i="2" s="1"/>
  <c r="M189" i="2" a="1"/>
  <c r="M189" i="2" s="1"/>
  <c r="M193" i="2" a="1"/>
  <c r="M193" i="2" s="1"/>
  <c r="M197" i="2" a="1"/>
  <c r="M197" i="2" s="1"/>
  <c r="M201" i="2" a="1"/>
  <c r="M201" i="2" s="1"/>
  <c r="M205" i="2" a="1"/>
  <c r="M205" i="2" s="1"/>
  <c r="M209" i="2" a="1"/>
  <c r="M209" i="2" s="1"/>
  <c r="M213" i="2" a="1"/>
  <c r="M213" i="2" s="1"/>
  <c r="M217" i="2" a="1"/>
  <c r="M217" i="2" s="1"/>
  <c r="M221" i="2" a="1"/>
  <c r="M221" i="2" s="1"/>
  <c r="M225" i="2" a="1"/>
  <c r="M225" i="2" s="1"/>
  <c r="M229" i="2" a="1"/>
  <c r="M229" i="2" s="1"/>
  <c r="M233" i="2" a="1"/>
  <c r="M233" i="2" s="1"/>
  <c r="M237" i="2" a="1"/>
  <c r="M237" i="2" s="1"/>
  <c r="M241" i="2" a="1"/>
  <c r="M241" i="2" s="1"/>
  <c r="M245" i="2" a="1"/>
  <c r="M245" i="2" s="1"/>
  <c r="M249" i="2" a="1"/>
  <c r="M249" i="2" s="1"/>
  <c r="M253" i="2" a="1"/>
  <c r="M253" i="2" s="1"/>
  <c r="M257" i="2" a="1"/>
  <c r="M257" i="2" s="1"/>
  <c r="M261" i="2" a="1"/>
  <c r="M261" i="2" s="1"/>
  <c r="M265" i="2" a="1"/>
  <c r="M265" i="2" s="1"/>
  <c r="M269" i="2" a="1"/>
  <c r="M269" i="2" s="1"/>
  <c r="M273" i="2" a="1"/>
  <c r="M273" i="2" s="1"/>
  <c r="M277" i="2" a="1"/>
  <c r="M277" i="2" s="1"/>
  <c r="M281" i="2" a="1"/>
  <c r="M281" i="2" s="1"/>
  <c r="M285" i="2" a="1"/>
  <c r="M285" i="2" s="1"/>
  <c r="M289" i="2" a="1"/>
  <c r="M289" i="2" s="1"/>
  <c r="M293" i="2" a="1"/>
  <c r="M293" i="2" s="1"/>
  <c r="M297" i="2" a="1"/>
  <c r="M297" i="2" s="1"/>
  <c r="M301" i="2" a="1"/>
  <c r="M301" i="2" s="1"/>
  <c r="M305" i="2" a="1"/>
  <c r="M305" i="2" s="1"/>
  <c r="M309" i="2" a="1"/>
  <c r="M309" i="2" s="1"/>
  <c r="M313" i="2" a="1"/>
  <c r="M313" i="2" s="1"/>
  <c r="M317" i="2" a="1"/>
  <c r="M317" i="2" s="1"/>
  <c r="M321" i="2" a="1"/>
  <c r="M321" i="2" s="1"/>
  <c r="M325" i="2" a="1"/>
  <c r="M325" i="2" s="1"/>
  <c r="M329" i="2" a="1"/>
  <c r="M329" i="2" s="1"/>
  <c r="M333" i="2" a="1"/>
  <c r="M333" i="2" s="1"/>
  <c r="M337" i="2" a="1"/>
  <c r="M337" i="2" s="1"/>
  <c r="M341" i="2" a="1"/>
  <c r="M341" i="2" s="1"/>
  <c r="M345" i="2" a="1"/>
  <c r="M345" i="2" s="1"/>
  <c r="M349" i="2" a="1"/>
  <c r="M349" i="2" s="1"/>
  <c r="M353" i="2" a="1"/>
  <c r="M353" i="2" s="1"/>
  <c r="I356" i="2" a="1"/>
  <c r="I356" i="2" s="1"/>
  <c r="O361" i="2" a="1"/>
  <c r="O361" i="2" s="1"/>
  <c r="J364" i="2" a="1"/>
  <c r="J364" i="2" s="1"/>
  <c r="J368" i="2" a="1"/>
  <c r="J368" i="2" s="1"/>
  <c r="J372" i="2" a="1"/>
  <c r="J372" i="2" s="1"/>
  <c r="J376" i="2" a="1"/>
  <c r="J376" i="2" s="1"/>
  <c r="J380" i="2" a="1"/>
  <c r="J380" i="2" s="1"/>
  <c r="J384" i="2" a="1"/>
  <c r="J384" i="2" s="1"/>
  <c r="J388" i="2" a="1"/>
  <c r="J388" i="2" s="1"/>
  <c r="N389" i="2" a="1"/>
  <c r="N389" i="2" s="1"/>
  <c r="J392" i="2" a="1"/>
  <c r="J392" i="2" s="1"/>
  <c r="N393" i="2" a="1"/>
  <c r="N393" i="2" s="1"/>
  <c r="J396" i="2" a="1"/>
  <c r="J396" i="2" s="1"/>
  <c r="N397" i="2" a="1"/>
  <c r="N397" i="2" s="1"/>
  <c r="N401" i="2" a="1"/>
  <c r="N401" i="2" s="1"/>
  <c r="N405" i="2" a="1"/>
  <c r="N405" i="2" s="1"/>
  <c r="N409" i="2" a="1"/>
  <c r="N409" i="2" s="1"/>
  <c r="N413" i="2" a="1"/>
  <c r="N413" i="2" s="1"/>
  <c r="N417" i="2" a="1"/>
  <c r="N417" i="2" s="1"/>
  <c r="N421" i="2" a="1"/>
  <c r="N421" i="2" s="1"/>
  <c r="N425" i="2" a="1"/>
  <c r="N425" i="2" s="1"/>
  <c r="N429" i="2" a="1"/>
  <c r="N429" i="2" s="1"/>
  <c r="N433" i="2" a="1"/>
  <c r="N433" i="2" s="1"/>
  <c r="Q437" i="2" a="1"/>
  <c r="Q437" i="2" s="1"/>
  <c r="I440" i="2" a="1"/>
  <c r="I440" i="2" s="1"/>
  <c r="I448" i="2" a="1"/>
  <c r="I448" i="2" s="1"/>
  <c r="I456" i="2" a="1"/>
  <c r="I456" i="2" s="1"/>
  <c r="J468" i="2" a="1"/>
  <c r="J468" i="2" s="1"/>
  <c r="I476" i="2" a="1"/>
  <c r="I476" i="2" s="1"/>
  <c r="J484" i="2" a="1"/>
  <c r="J484" i="2" s="1"/>
  <c r="I492" i="2" a="1"/>
  <c r="I492" i="2" s="1"/>
  <c r="J500" i="2" a="1"/>
  <c r="J500" i="2" s="1"/>
  <c r="I508" i="2" a="1"/>
  <c r="I508" i="2" s="1"/>
  <c r="J516" i="2" a="1"/>
  <c r="J516" i="2" s="1"/>
  <c r="I520" i="2" a="1"/>
  <c r="I520" i="2" s="1"/>
  <c r="I528" i="2" a="1"/>
  <c r="I528" i="2" s="1"/>
  <c r="I536" i="2" a="1"/>
  <c r="I536" i="2" s="1"/>
  <c r="I552" i="2" a="1"/>
  <c r="I55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<sst xmlns="http://schemas.openxmlformats.org/spreadsheetml/2006/main" count="9645" uniqueCount="3369">
  <si>
    <t>STT</t>
  </si>
  <si>
    <t>Mã</t>
  </si>
  <si>
    <t>Tên công ty</t>
  </si>
  <si>
    <t>Sàn</t>
  </si>
  <si>
    <t>Phân ngành - ICB L1</t>
  </si>
  <si>
    <t>Phân ngành - ICB L2</t>
  </si>
  <si>
    <t>Phân ngành - ICB L4</t>
  </si>
  <si>
    <t>3. Doanh thu thuần
Hợp nhất
Quý: Q2
Năm: 2026
Đơn vị: VND</t>
  </si>
  <si>
    <t>3. Doanh thu thuần
Hợp nhất
Quý: 6 tháng
Năm: 2026
Đơn vị: VND</t>
  </si>
  <si>
    <t>Tăng trưởng doanh thu thuần (YoY) (Quý, Năm)
Chỉ số TTM
Quý: Q2.2026
Đơn vị: %</t>
  </si>
  <si>
    <t>Tăng trưởng doanh thu thuần (YoY) (6M)
Chỉ số TTM
Quý: Q2.2026
Đơn vị: %</t>
  </si>
  <si>
    <t>Tăng trưởng doanh thu thuần (YoY) (9M)
Chỉ số TTM
Quý: Q2.2026
Đơn vị: %</t>
  </si>
  <si>
    <t>32.2. Lợi nhuận sau thuế của chủ sở hữu, tập đoàn 
Hợp nhất
Quý: Q2
Năm: 2026
Đơn vị: VND</t>
  </si>
  <si>
    <t>32.2. Lợi nhuận sau thuế của chủ sở hữu, tập đoàn 
Hợp nhất
Quý: 6 tháng
Năm: 2026
Đơn vị: VND</t>
  </si>
  <si>
    <t>Tăng trưởng lợi nhuận sau thuế (YoY) (Quý, Năm)
Chỉ số TTM
Quý: Q2.2026
Đơn vị: %</t>
  </si>
  <si>
    <t>Tăng trưởng lợi nhuận sau thuế (YoY) (6M)
Chỉ số TTM
Quý: Q2.2026
Đơn vị: %</t>
  </si>
  <si>
    <t>Tăng trưởng lợi nhuận sau thuế (YoY) (9M)
Chỉ số TTM
Quý: Q2.2026
Đơn vị: %</t>
  </si>
  <si>
    <t>Tăng trưởng lợi nhuận sau thuế (QoQ) (Quý)
Chỉ số TTM
Quý: Q2.2026
Đơn vị: %</t>
  </si>
  <si>
    <t>% Doanh thu kế hoạch 
Chỉ số TTM
Quý: Q2.2026
Đơn vị: %</t>
  </si>
  <si>
    <t>% LNTT kế hoạch 
Chỉ số TTM
Quý: Q2.2026
Đơn vị: %</t>
  </si>
  <si>
    <t>% LNST kế hoạch 
Chỉ số TTM
Quý: Q2.2026
Đơn vị: %</t>
  </si>
  <si>
    <t>AAA</t>
  </si>
  <si>
    <t>An Phát Bioplastics</t>
  </si>
  <si>
    <t>HOSE</t>
  </si>
  <si>
    <t>Nguyên vật liệu</t>
  </si>
  <si>
    <t>Hóa chất</t>
  </si>
  <si>
    <t>Nhựa, cao su &amp; sợi</t>
  </si>
  <si>
    <t>AAM</t>
  </si>
  <si>
    <t>Thủy sản Mekong</t>
  </si>
  <si>
    <t>Hàng Tiêu dùng</t>
  </si>
  <si>
    <t>Thực phẩm và đồ uống</t>
  </si>
  <si>
    <t>Nuôi trồng nông &amp; hải sản</t>
  </si>
  <si>
    <t>AAN</t>
  </si>
  <si>
    <t>Lương thực A An</t>
  </si>
  <si>
    <t>AAT</t>
  </si>
  <si>
    <t>Tập đoàn Tiên Sơn Thanh Hóa</t>
  </si>
  <si>
    <t>Hàng cá nhân &amp; Gia dụng</t>
  </si>
  <si>
    <t>Hàng May mặc</t>
  </si>
  <si>
    <t>ABR</t>
  </si>
  <si>
    <t>Đầu tư Nhãn Hiệu Việt</t>
  </si>
  <si>
    <t>Công nghiệp</t>
  </si>
  <si>
    <t>Hàng &amp; Dịch vụ Công nghiệp</t>
  </si>
  <si>
    <t>Tư vấn &amp; Hỗ trợ KD</t>
  </si>
  <si>
    <t>ABS</t>
  </si>
  <si>
    <t>DV Nông nghiệp Bình Thuận</t>
  </si>
  <si>
    <t>Sản phẩm hóa dầu, Nông dược &amp; Hóa chất khác</t>
  </si>
  <si>
    <t>ABT</t>
  </si>
  <si>
    <t>Thủy sản Bến Tre</t>
  </si>
  <si>
    <t>ACB</t>
  </si>
  <si>
    <t>Ngân hàng</t>
  </si>
  <si>
    <t>ACC</t>
  </si>
  <si>
    <t>Đầu tư và XD Bình Dương ACC</t>
  </si>
  <si>
    <t>Xây dựng và Vật liệu</t>
  </si>
  <si>
    <t>Vật liệu xây dựng &amp; Nội thất</t>
  </si>
  <si>
    <t>ACG</t>
  </si>
  <si>
    <t>Gỗ An Cường</t>
  </si>
  <si>
    <t>Tài nguyên Cơ bản</t>
  </si>
  <si>
    <t>Lâm sản và Chế biến gỗ</t>
  </si>
  <si>
    <t>ACL</t>
  </si>
  <si>
    <t>Thủy sản CL An Giang</t>
  </si>
  <si>
    <t>ADG</t>
  </si>
  <si>
    <t>Clever Group</t>
  </si>
  <si>
    <t>Dịch vụ Tiêu dùng</t>
  </si>
  <si>
    <t>Truyền thông</t>
  </si>
  <si>
    <t>Dịch vụ truyền thông</t>
  </si>
  <si>
    <t>ADP</t>
  </si>
  <si>
    <t>Sơn Á Đông</t>
  </si>
  <si>
    <t>ADS</t>
  </si>
  <si>
    <t>Dệt sợi DAMSAN</t>
  </si>
  <si>
    <t>AFX</t>
  </si>
  <si>
    <t>XNK Nông sản Thực phẩm An Giang</t>
  </si>
  <si>
    <t>Bán lẻ</t>
  </si>
  <si>
    <t>Phân phối thực phẩm</t>
  </si>
  <si>
    <t>AGG</t>
  </si>
  <si>
    <t>Bất động sản An Gia</t>
  </si>
  <si>
    <t>Tài chính</t>
  </si>
  <si>
    <t>Bất động sản</t>
  </si>
  <si>
    <t>AGR</t>
  </si>
  <si>
    <t>Agriseco</t>
  </si>
  <si>
    <t>Dịch vụ tài chính</t>
  </si>
  <si>
    <t>Môi giới chứng khoán</t>
  </si>
  <si>
    <t>ANT</t>
  </si>
  <si>
    <t>Rau quả thực phẩm An Giang</t>
  </si>
  <si>
    <t>Thực phẩm</t>
  </si>
  <si>
    <t>ANV</t>
  </si>
  <si>
    <t>Thủy sản Nam Việt</t>
  </si>
  <si>
    <t>APG</t>
  </si>
  <si>
    <t>Chứng khoán APG</t>
  </si>
  <si>
    <t>APH</t>
  </si>
  <si>
    <t>Tập đoàn An Phát Holdings</t>
  </si>
  <si>
    <t>Containers &amp; Đóng gói</t>
  </si>
  <si>
    <t>ASG</t>
  </si>
  <si>
    <t>Tập đoàn ASG</t>
  </si>
  <si>
    <t>Kho bãi, hậu cần và bảo dưỡng</t>
  </si>
  <si>
    <t>ASM</t>
  </si>
  <si>
    <t>Tập đoàn Sao Mai</t>
  </si>
  <si>
    <t>ASP</t>
  </si>
  <si>
    <t>Dầu khí An Pha</t>
  </si>
  <si>
    <t>Tiện ích Cộng đồng</t>
  </si>
  <si>
    <t>Điện, nước &amp; xăng dầu khí đốt</t>
  </si>
  <si>
    <t>Phân phối xăng dầu &amp; khí đốt</t>
  </si>
  <si>
    <t>AST</t>
  </si>
  <si>
    <t>Dịch vụ Hàng không Taseco</t>
  </si>
  <si>
    <t>Phân phối hàng chuyên dụng</t>
  </si>
  <si>
    <t>ATP</t>
  </si>
  <si>
    <t>T.Mại và DV An Thành</t>
  </si>
  <si>
    <t>BAF</t>
  </si>
  <si>
    <t>Nông nghiệp BAF Việt Nam</t>
  </si>
  <si>
    <t>BCE</t>
  </si>
  <si>
    <t>XD và GT Bình Dương</t>
  </si>
  <si>
    <t>Xây dựng</t>
  </si>
  <si>
    <t>BCM</t>
  </si>
  <si>
    <t>Becamex Group</t>
  </si>
  <si>
    <t>BFC</t>
  </si>
  <si>
    <t>Phân bón Bình Điền</t>
  </si>
  <si>
    <t>BHN</t>
  </si>
  <si>
    <t>HABECO</t>
  </si>
  <si>
    <t>Sản xuất bia</t>
  </si>
  <si>
    <t>BIC</t>
  </si>
  <si>
    <t>Bảo hiểm BIDV</t>
  </si>
  <si>
    <t>Bảo hiểm</t>
  </si>
  <si>
    <t>Bảo hiểm phi nhân thọ</t>
  </si>
  <si>
    <t>BID</t>
  </si>
  <si>
    <t>BIDV</t>
  </si>
  <si>
    <t>BKG</t>
  </si>
  <si>
    <t>Đầu tư BKG Việt Nam</t>
  </si>
  <si>
    <t>Thiết bị gia dụng</t>
  </si>
  <si>
    <t>BMC</t>
  </si>
  <si>
    <t>Khoáng sản Bình Định</t>
  </si>
  <si>
    <t>Khai khoáng</t>
  </si>
  <si>
    <t>BMI</t>
  </si>
  <si>
    <t>Bảo hiểm Bảo Minh</t>
  </si>
  <si>
    <t>BMP</t>
  </si>
  <si>
    <t>Nhựa Bình Minh</t>
  </si>
  <si>
    <t>BRC</t>
  </si>
  <si>
    <t>Cao su Bến Thành</t>
  </si>
  <si>
    <t>BSI</t>
  </si>
  <si>
    <t>Chứng khoán BIDV</t>
  </si>
  <si>
    <t>BSR</t>
  </si>
  <si>
    <t>Lọc Hoá dầu Việt Nam</t>
  </si>
  <si>
    <t>Dầu khí</t>
  </si>
  <si>
    <t>Sản xuất và Khai thác dầu khí</t>
  </si>
  <si>
    <t>BTP</t>
  </si>
  <si>
    <t>Nhiệt điện Bà Rịa</t>
  </si>
  <si>
    <t>Sản xuất &amp; Phân phối Điện</t>
  </si>
  <si>
    <t>BTT</t>
  </si>
  <si>
    <t>TM - DV Bến Thành</t>
  </si>
  <si>
    <t>Bán lẻ phức hợp</t>
  </si>
  <si>
    <t>BVB</t>
  </si>
  <si>
    <t>Ngân hàng Bản Việt - BVBank</t>
  </si>
  <si>
    <t>BVH</t>
  </si>
  <si>
    <t>Tập đoàn Bảo Việt</t>
  </si>
  <si>
    <t>Bảo hiểm nhân thọ</t>
  </si>
  <si>
    <t>BWE</t>
  </si>
  <si>
    <t>Nước - Môi trường Bình Dương</t>
  </si>
  <si>
    <t>Nước</t>
  </si>
  <si>
    <t>C32</t>
  </si>
  <si>
    <t>Đầu tư và Xây dựng 3-2</t>
  </si>
  <si>
    <t>C47</t>
  </si>
  <si>
    <t>Xây dựng 47</t>
  </si>
  <si>
    <t>CCC</t>
  </si>
  <si>
    <t>Xây Dựng CDC</t>
  </si>
  <si>
    <t>CCI</t>
  </si>
  <si>
    <t>CIDICO</t>
  </si>
  <si>
    <t>CCL</t>
  </si>
  <si>
    <t>ĐT &amp; PT Đô thị Dầu khí Cửu Long</t>
  </si>
  <si>
    <t>CDC</t>
  </si>
  <si>
    <t>Chương Dương Corp</t>
  </si>
  <si>
    <t>CHP</t>
  </si>
  <si>
    <t>Thủy điện Miền Trung</t>
  </si>
  <si>
    <t>CIG</t>
  </si>
  <si>
    <t>Xây dựng COMA 18</t>
  </si>
  <si>
    <t>CII</t>
  </si>
  <si>
    <t>Hạ tầng Kỹ thuật TP.HCM</t>
  </si>
  <si>
    <t>CKG</t>
  </si>
  <si>
    <t>Tập đoàn CIC</t>
  </si>
  <si>
    <t>CLC</t>
  </si>
  <si>
    <t>Thuốc lá Cát Lợi</t>
  </si>
  <si>
    <t>Thuốc lá</t>
  </si>
  <si>
    <t>CLL</t>
  </si>
  <si>
    <t>Cảng Cát Lái</t>
  </si>
  <si>
    <t>CLW</t>
  </si>
  <si>
    <t>Cấp nước Chợ Lớn</t>
  </si>
  <si>
    <t>CMG</t>
  </si>
  <si>
    <t>Tập đoàn Công nghệ CMC</t>
  </si>
  <si>
    <t>Công nghệ Thông tin</t>
  </si>
  <si>
    <t>Dịch vụ Máy tính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</si>
  <si>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</si>
  <si>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</si>
  <si>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</si>
  <si>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</si>
  <si>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</si>
  <si>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</si>
  <si>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</si>
  <si>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- Xăng dầu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</si>
  <si>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</si>
  <si>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</si>
  <si>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</si>
  <si>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</si>
  <si>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</si>
  <si>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</si>
  <si>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CSM</t>
  </si>
  <si>
    <t>Cao su Miền Nam</t>
  </si>
  <si>
    <t>Ô tô và phụ tùng</t>
  </si>
  <si>
    <t>Lốp xe</t>
  </si>
  <si>
    <t>CSV</t>
  </si>
  <si>
    <t>Hóa chất Cơ bản miền Nam</t>
  </si>
  <si>
    <t>CTD</t>
  </si>
  <si>
    <t>Xây dựng Coteccons</t>
  </si>
  <si>
    <t>CTF</t>
  </si>
  <si>
    <t>City Auto</t>
  </si>
  <si>
    <t>Sản xuất ô tô</t>
  </si>
  <si>
    <t>CTG</t>
  </si>
  <si>
    <t>VietinBank</t>
  </si>
  <si>
    <t>CTI</t>
  </si>
  <si>
    <t>Cường Thuận IDICO</t>
  </si>
  <si>
    <t>CTR</t>
  </si>
  <si>
    <t>Công trình Viettel</t>
  </si>
  <si>
    <t>CTS</t>
  </si>
  <si>
    <t>Chứng khoán Vietinbank</t>
  </si>
  <si>
    <t>CVT</t>
  </si>
  <si>
    <t>CMC JSC</t>
  </si>
  <si>
    <t>D2D</t>
  </si>
  <si>
    <t>Phát triển Đô thị số 2</t>
  </si>
  <si>
    <t>DAH</t>
  </si>
  <si>
    <t>Tập đoàn Khách sạn Đông Á</t>
  </si>
  <si>
    <t>Du lịch và Giải trí</t>
  </si>
  <si>
    <t>Khách sạn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</si>
  <si>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</si>
  <si>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</si>
  <si>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</si>
  <si>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</si>
  <si>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</si>
  <si>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</si>
  <si>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Dược phẩm và Y tế</t>
  </si>
  <si>
    <t>Y tế</t>
  </si>
  <si>
    <t>Dược phẩm</t>
  </si>
  <si>
    <t>DBT</t>
  </si>
  <si>
    <t>Dược phẩm Bến Tre</t>
  </si>
  <si>
    <t>DC4</t>
  </si>
  <si>
    <t>Dicera Holdings</t>
  </si>
  <si>
    <t>DCL</t>
  </si>
  <si>
    <t>Dược phẩm Cửu Long</t>
  </si>
  <si>
    <t>DCM</t>
  </si>
  <si>
    <t>Đạm Cà Mau</t>
  </si>
  <si>
    <t>DGC</t>
  </si>
  <si>
    <t>Hóa chất Đức Giang</t>
  </si>
  <si>
    <t>DGW</t>
  </si>
  <si>
    <t>Thế Giới Số</t>
  </si>
  <si>
    <t>DHA</t>
  </si>
  <si>
    <t>Hóa An</t>
  </si>
  <si>
    <t>DHC</t>
  </si>
  <si>
    <t>Đông Hải Bến Tre</t>
  </si>
  <si>
    <t>Sản xuất giấy</t>
  </si>
  <si>
    <t>DHG</t>
  </si>
  <si>
    <t>Dược Hậu Giang</t>
  </si>
  <si>
    <t>DHM</t>
  </si>
  <si>
    <t>Đầu tư và Thương mại DHM</t>
  </si>
  <si>
    <t>DIG</t>
  </si>
  <si>
    <t>DIC Corp</t>
  </si>
  <si>
    <t>DLG</t>
  </si>
  <si>
    <t>Đức Long Gia Lai</t>
  </si>
  <si>
    <t>DMC</t>
  </si>
  <si>
    <t>Dược phẩm DOMESCO</t>
  </si>
  <si>
    <t>DMX</t>
  </si>
  <si>
    <t>Đầu tư Điện máy Xanh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</si>
  <si>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</si>
  <si>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</si>
  <si>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</si>
  <si>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</si>
  <si>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</si>
  <si>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</si>
  <si>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</si>
  <si>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</si>
  <si>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</si>
  <si>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</si>
  <si>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DRH</t>
  </si>
  <si>
    <t>DRH Holdings</t>
  </si>
  <si>
    <t>DRL</t>
  </si>
  <si>
    <t>Thủy điện - Điện lực 3</t>
  </si>
  <si>
    <t>DSC</t>
  </si>
  <si>
    <t>Chứng khoán DSC</t>
  </si>
  <si>
    <t>DSE</t>
  </si>
  <si>
    <t>Chứng Khoán DNSE</t>
  </si>
  <si>
    <t>DSN</t>
  </si>
  <si>
    <t>Công viên nước Đầm Sen</t>
  </si>
  <si>
    <t>Dịch vụ giải trí</t>
  </si>
  <si>
    <t>DTA</t>
  </si>
  <si>
    <t>BĐS Đệ Tam</t>
  </si>
  <si>
    <t>DTL</t>
  </si>
  <si>
    <t>Đại Thiên Lộc</t>
  </si>
  <si>
    <t>Thép và sản phẩm thép</t>
  </si>
  <si>
    <t>DTT</t>
  </si>
  <si>
    <t>Kỹ nghệ Đô Thành</t>
  </si>
  <si>
    <t>DVP</t>
  </si>
  <si>
    <t>ĐT và PT Cảng Đình Vũ</t>
  </si>
  <si>
    <t>DXG</t>
  </si>
  <si>
    <t>Bluemarq Group</t>
  </si>
  <si>
    <t>DXS</t>
  </si>
  <si>
    <t>Dịch vụ BĐS Đất Xanh</t>
  </si>
  <si>
    <t>Tư Vấn, Định giá, Môi giới Bất động sản</t>
  </si>
  <si>
    <t>DXV</t>
  </si>
  <si>
    <t>Vật liệu Xây dựng Đà Nẵng</t>
  </si>
  <si>
    <t>E1VFVN30</t>
  </si>
  <si>
    <t>Quỹ ETF DCVFMVN30</t>
  </si>
  <si>
    <t>Quỹ đầu tư</t>
  </si>
  <si>
    <t>EIB</t>
  </si>
  <si>
    <t>Eximbank</t>
  </si>
  <si>
    <t>ELC</t>
  </si>
  <si>
    <t>ELCOM</t>
  </si>
  <si>
    <t>Thiết bị viễn thông</t>
  </si>
  <si>
    <t>EVE</t>
  </si>
  <si>
    <t>Everpia</t>
  </si>
  <si>
    <t>EVF</t>
  </si>
  <si>
    <t>Tài chính Tổng hợp Điện lực</t>
  </si>
  <si>
    <t>Tài chính cá nhân</t>
  </si>
  <si>
    <t>EVG</t>
  </si>
  <si>
    <t>Tập đoàn Everland</t>
  </si>
  <si>
    <t>FCM</t>
  </si>
  <si>
    <t>Bê tông Phan Vũ Hà Nam</t>
  </si>
  <si>
    <t>FCN</t>
  </si>
  <si>
    <t>FECON CORP</t>
  </si>
  <si>
    <t>FDC</t>
  </si>
  <si>
    <t>FIDECO</t>
  </si>
  <si>
    <t>FIR</t>
  </si>
  <si>
    <t>Địa ốc First Real</t>
  </si>
  <si>
    <t>FIT</t>
  </si>
  <si>
    <t>Tập đoàn F.I.T</t>
  </si>
  <si>
    <t>FMC</t>
  </si>
  <si>
    <t>Thực phẩm Sao Ta</t>
  </si>
  <si>
    <t>FPT</t>
  </si>
  <si>
    <t>FPT Corp</t>
  </si>
  <si>
    <t>Phần mềm</t>
  </si>
  <si>
    <t>FRT</t>
  </si>
  <si>
    <t>Bán lẻ FPT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</si>
  <si>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</si>
  <si>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</si>
  <si>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</si>
  <si>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</si>
  <si>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</si>
  <si>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</si>
  <si>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</si>
  <si>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</si>
  <si>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</si>
  <si>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</si>
  <si>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</si>
  <si>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</si>
  <si>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</si>
  <si>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Quỹ ETF BVFVN DIAMOND</t>
  </si>
  <si>
    <t>FUEDCMID</t>
  </si>
  <si>
    <t>Quỹ ETF DCVFMVNMIDCAP</t>
  </si>
  <si>
    <t>FUEFCV50</t>
  </si>
  <si>
    <t>Quỹ ETF FPT CAPITAL VNX50</t>
  </si>
  <si>
    <t>FUEIP100</t>
  </si>
  <si>
    <t>Quỹ ETF IPA PARTNER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</si>
  <si>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</si>
  <si>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</si>
  <si>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</si>
  <si>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</si>
  <si>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</si>
  <si>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</si>
  <si>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</si>
  <si>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</si>
  <si>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</si>
  <si>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</si>
  <si>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FUEMITEC</t>
  </si>
  <si>
    <t>VINACAPITAL VNMITECH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</si>
  <si>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</si>
  <si>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</si>
  <si>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</si>
  <si>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</si>
  <si>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</si>
  <si>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</si>
  <si>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FUETCC50</t>
  </si>
  <si>
    <t>Quỹ ETF TECHCOM CAPITAL VNX50</t>
  </si>
  <si>
    <t>FUETPVND</t>
  </si>
  <si>
    <t>ETF VFCVN DIAMOND</t>
  </si>
  <si>
    <t>FUEVFVND</t>
  </si>
  <si>
    <t>Quỹ ETF DCVFMVN DIAMOND</t>
  </si>
  <si>
    <t>FUEVN100</t>
  </si>
  <si>
    <t>Quỹ ETF VINACAPITAL VN100</t>
  </si>
  <si>
    <t>FUEVN50G</t>
  </si>
  <si>
    <t>Quỹ ETF VinaCapital VN50 Growth</t>
  </si>
  <si>
    <t>GAS</t>
  </si>
  <si>
    <t>PV Gas</t>
  </si>
  <si>
    <t>GDT</t>
  </si>
  <si>
    <t>Gỗ Đức Thành</t>
  </si>
  <si>
    <t>GEE</t>
  </si>
  <si>
    <t>Điện lực Gelex</t>
  </si>
  <si>
    <t>Thiết bị điện</t>
  </si>
  <si>
    <t>GEG</t>
  </si>
  <si>
    <t>Điện Gia Lai</t>
  </si>
  <si>
    <t>GEL</t>
  </si>
  <si>
    <t>Hạ tầng GELEX</t>
  </si>
  <si>
    <t>GEX</t>
  </si>
  <si>
    <t>Tập đoàn Gelex</t>
  </si>
  <si>
    <t>GHC</t>
  </si>
  <si>
    <t>Thủy điện Gia Lai</t>
  </si>
  <si>
    <t>GIL</t>
  </si>
  <si>
    <t>XNK Bình Thạnh</t>
  </si>
  <si>
    <t>GMD</t>
  </si>
  <si>
    <t>Tập đoàn Gemadept</t>
  </si>
  <si>
    <t>GMH</t>
  </si>
  <si>
    <t>Minh Hưng Quảng Trị</t>
  </si>
  <si>
    <t>GSP</t>
  </si>
  <si>
    <t>Vận tải Sản phẩm Khí Quốc tế</t>
  </si>
  <si>
    <t>Vận tải Thủy</t>
  </si>
  <si>
    <t>GTA</t>
  </si>
  <si>
    <t>Gỗ Thuận An</t>
  </si>
  <si>
    <t>GVR</t>
  </si>
  <si>
    <t>Tập đoàn CN Cao su VN</t>
  </si>
  <si>
    <t>HAG</t>
  </si>
  <si>
    <t>Hoàng Anh Gia Lai</t>
  </si>
  <si>
    <t>HAH</t>
  </si>
  <si>
    <t>Vận tải và Xếp dỡ Hải An</t>
  </si>
  <si>
    <t>HAP</t>
  </si>
  <si>
    <t>Tập đoàn Hapaco</t>
  </si>
  <si>
    <t>HAR</t>
  </si>
  <si>
    <t>BĐS An Dương Thảo Điền</t>
  </si>
  <si>
    <t>HAS</t>
  </si>
  <si>
    <t>Hacisco</t>
  </si>
  <si>
    <t>HAX</t>
  </si>
  <si>
    <t>Ô tô Hàng Xanh</t>
  </si>
  <si>
    <t>HCD</t>
  </si>
  <si>
    <t>SX và Thương mại HCD</t>
  </si>
  <si>
    <t>HCM</t>
  </si>
  <si>
    <t>Chứng khoán HSC</t>
  </si>
  <si>
    <t>HDB</t>
  </si>
  <si>
    <t>HDBank</t>
  </si>
  <si>
    <t>HDC</t>
  </si>
  <si>
    <t>Phát triển Nhà Bà Rịa Vũng Tàu</t>
  </si>
  <si>
    <t>HDG</t>
  </si>
  <si>
    <t>Tập đoàn Hà Đô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</si>
  <si>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</si>
  <si>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</si>
  <si>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</si>
  <si>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</si>
  <si>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</si>
  <si>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</si>
  <si>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</si>
  <si>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</si>
  <si>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</si>
  <si>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</si>
  <si>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HMC</t>
  </si>
  <si>
    <t>Kim khí TP.HCM</t>
  </si>
  <si>
    <t>HNA</t>
  </si>
  <si>
    <t>Thủy điện Hủa Na</t>
  </si>
  <si>
    <t>HPA</t>
  </si>
  <si>
    <t>Phát triển Nông nghiệp Hoà Phát</t>
  </si>
  <si>
    <t>HPG</t>
  </si>
  <si>
    <t>Hòa Phát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</si>
  <si>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</si>
  <si>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</si>
  <si>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</si>
  <si>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</si>
  <si>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</si>
  <si>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</si>
  <si>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</si>
  <si>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</si>
  <si>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</si>
  <si>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</si>
  <si>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</si>
  <si>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</si>
  <si>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HTG</t>
  </si>
  <si>
    <t>Dệt may Hòa Thọ</t>
  </si>
  <si>
    <t>HTI</t>
  </si>
  <si>
    <t>PT Hạ tầng IDICO</t>
  </si>
  <si>
    <t>HTL</t>
  </si>
  <si>
    <t>Ô tô Trường Long</t>
  </si>
  <si>
    <t>HTN</t>
  </si>
  <si>
    <t>Hưng Thịnh Incons</t>
  </si>
  <si>
    <t>HTV</t>
  </si>
  <si>
    <t>Logistics Vicem</t>
  </si>
  <si>
    <t>HU1</t>
  </si>
  <si>
    <t>Xây dựng HUD1</t>
  </si>
  <si>
    <t>HUB</t>
  </si>
  <si>
    <t>Xây lắp Huế</t>
  </si>
  <si>
    <t>HVH</t>
  </si>
  <si>
    <t>Đầu tư và Công nghệ HVC</t>
  </si>
  <si>
    <t>HVN</t>
  </si>
  <si>
    <t>Vietnam Airlines</t>
  </si>
  <si>
    <t>Dịch vụ hàng không</t>
  </si>
  <si>
    <t>ICT</t>
  </si>
  <si>
    <t>Viễn thông - Tin học Bưu điện</t>
  </si>
  <si>
    <t>IDI</t>
  </si>
  <si>
    <t>Đầu tư và PT Đa Quốc Gia I.D.I</t>
  </si>
  <si>
    <t>IJC</t>
  </si>
  <si>
    <t>Becamex IJC</t>
  </si>
  <si>
    <t>ILB</t>
  </si>
  <si>
    <t>ICD Tân Cảng Long Bình</t>
  </si>
  <si>
    <t>IMP</t>
  </si>
  <si>
    <t>Dược phẩm Imexpharm</t>
  </si>
  <si>
    <t>ITC</t>
  </si>
  <si>
    <t>Đầu tư kinh doanh Nhà</t>
  </si>
  <si>
    <t>ITD</t>
  </si>
  <si>
    <t>Công nghệ ITD</t>
  </si>
  <si>
    <t>JVC</t>
  </si>
  <si>
    <t>Đầu tư Y tế - Dược phẩm Việt Nam</t>
  </si>
  <si>
    <t>Thiết bị y tế</t>
  </si>
  <si>
    <t>KBC</t>
  </si>
  <si>
    <t>TCT Đô thị Kinh Bắc</t>
  </si>
  <si>
    <t>KDC</t>
  </si>
  <si>
    <t>Tập đoàn KIDO</t>
  </si>
  <si>
    <t>KDH</t>
  </si>
  <si>
    <t>Nhà Khang Điền</t>
  </si>
  <si>
    <t>KHG</t>
  </si>
  <si>
    <t>Tập đoàn Khải Hoàn Land</t>
  </si>
  <si>
    <t>KHP</t>
  </si>
  <si>
    <t>Điện lực Khánh Hòa</t>
  </si>
  <si>
    <t>KLB</t>
  </si>
  <si>
    <t>KienlongBank</t>
  </si>
  <si>
    <t>KMR</t>
  </si>
  <si>
    <t>MIRAE</t>
  </si>
  <si>
    <t>KOS</t>
  </si>
  <si>
    <t>Công ty KOSY</t>
  </si>
  <si>
    <t>KSB</t>
  </si>
  <si>
    <t>Khoáng sản Bình Dương</t>
  </si>
  <si>
    <t>L10</t>
  </si>
  <si>
    <t>LILAMA 10</t>
  </si>
  <si>
    <t>Máy công nghiệp</t>
  </si>
  <si>
    <t>LAF</t>
  </si>
  <si>
    <t>Chế biến Hàng XK Long An</t>
  </si>
  <si>
    <t>LBM</t>
  </si>
  <si>
    <t>Khoáng sản Lâm Đồng</t>
  </si>
  <si>
    <t>LCG</t>
  </si>
  <si>
    <t>LIZEN</t>
  </si>
  <si>
    <t>LDG</t>
  </si>
  <si>
    <t>Đầu tư LDG</t>
  </si>
  <si>
    <t>LGC</t>
  </si>
  <si>
    <t>Đầu tư Cầu đường CII</t>
  </si>
  <si>
    <t>LGL</t>
  </si>
  <si>
    <t>Long Giang Land</t>
  </si>
  <si>
    <t>LHG</t>
  </si>
  <si>
    <t>KCN Long Hậu</t>
  </si>
  <si>
    <t>LIX</t>
  </si>
  <si>
    <t>Bột Giặt LIX</t>
  </si>
  <si>
    <t>Hàng cá nhân</t>
  </si>
  <si>
    <t>LM8</t>
  </si>
  <si>
    <t>LILAMA 18</t>
  </si>
  <si>
    <t>LPB</t>
  </si>
  <si>
    <t>LPBank</t>
  </si>
  <si>
    <t>LPS</t>
  </si>
  <si>
    <t>Chứng khoán LPBank</t>
  </si>
  <si>
    <t>LSS</t>
  </si>
  <si>
    <t>Mía đường Lam Sơn</t>
  </si>
  <si>
    <t>MBB</t>
  </si>
  <si>
    <t>MBBank</t>
  </si>
  <si>
    <t>MCH</t>
  </si>
  <si>
    <t>Hàng Tiêu Dùng MaSan</t>
  </si>
  <si>
    <t>MCM</t>
  </si>
  <si>
    <t>Giống bò sữa Mộc Châu</t>
  </si>
  <si>
    <t>MCP</t>
  </si>
  <si>
    <t>In và Bao bì Mỹ Châu</t>
  </si>
  <si>
    <t>MDG</t>
  </si>
  <si>
    <t>Xây dựng Miền Đông</t>
  </si>
  <si>
    <t>MHC</t>
  </si>
  <si>
    <t>CTCP MHC</t>
  </si>
  <si>
    <t>Dịch vụ vận tải</t>
  </si>
  <si>
    <t>MIG</t>
  </si>
  <si>
    <t>Bảo hiểm Quân đội</t>
  </si>
  <si>
    <t>MSB</t>
  </si>
  <si>
    <t>MSB Bank</t>
  </si>
  <si>
    <t>MSH</t>
  </si>
  <si>
    <t>May Sông Hồng</t>
  </si>
  <si>
    <t>MSN</t>
  </si>
  <si>
    <t>Tập đoàn Masan</t>
  </si>
  <si>
    <t>MWG</t>
  </si>
  <si>
    <t>Thế giới di động</t>
  </si>
  <si>
    <t>MZG</t>
  </si>
  <si>
    <t>Miza Corp</t>
  </si>
  <si>
    <t>NAB</t>
  </si>
  <si>
    <t>Ngân hàng Nam Á</t>
  </si>
  <si>
    <t>NAF</t>
  </si>
  <si>
    <t>Nafoods Group</t>
  </si>
  <si>
    <t>Đồ uống &amp; giải khát</t>
  </si>
  <si>
    <t>NAV</t>
  </si>
  <si>
    <t>Tấm lợp và gỗ Nam Việt</t>
  </si>
  <si>
    <t>NBB</t>
  </si>
  <si>
    <t>577 CORP</t>
  </si>
  <si>
    <t>NCT</t>
  </si>
  <si>
    <t>DV Hàng hóa Nội Bài</t>
  </si>
  <si>
    <t>NHA</t>
  </si>
  <si>
    <t>PT Nhà và Đô thị Nam HN</t>
  </si>
  <si>
    <t>NHH</t>
  </si>
  <si>
    <t>Nhựa Hà Nội</t>
  </si>
  <si>
    <t>NHT</t>
  </si>
  <si>
    <t>Sản xuất và Thương mại Nam Hoa</t>
  </si>
  <si>
    <t>Đồ chơi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</si>
  <si>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</si>
  <si>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</si>
  <si>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</si>
  <si>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</si>
  <si>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</si>
  <si>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</si>
  <si>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</si>
  <si>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</si>
  <si>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NSC</t>
  </si>
  <si>
    <t>Tập đoàn Giống cây trồng Việt Nam</t>
  </si>
  <si>
    <t>NT2</t>
  </si>
  <si>
    <t>Điện lực Nhơn Trạch 2</t>
  </si>
  <si>
    <t>NTC</t>
  </si>
  <si>
    <t>KCN Nam Tân Uyên</t>
  </si>
  <si>
    <t>NTL</t>
  </si>
  <si>
    <t>Đô thị Từ Liêm</t>
  </si>
  <si>
    <t>NVL</t>
  </si>
  <si>
    <t>Novaland</t>
  </si>
  <si>
    <t>NVT</t>
  </si>
  <si>
    <t>Ninh Vân Bay</t>
  </si>
  <si>
    <t>OCB</t>
  </si>
  <si>
    <t>Ngân hàng Phương Đông</t>
  </si>
  <si>
    <t>OGC</t>
  </si>
  <si>
    <t>Tập đoàn Đại Dương</t>
  </si>
  <si>
    <t>Tài chính đặc biệt</t>
  </si>
  <si>
    <t>OPC</t>
  </si>
  <si>
    <t>Dược phẩm OPC</t>
  </si>
  <si>
    <t>ORS</t>
  </si>
  <si>
    <t>Chứng khoán Tiên Phong</t>
  </si>
  <si>
    <t>PAC</t>
  </si>
  <si>
    <t>Pin Ắc quy Miền Nam</t>
  </si>
  <si>
    <t>Hàng điện &amp; điện tử</t>
  </si>
  <si>
    <t>PAN</t>
  </si>
  <si>
    <t>Tập đoàn PAN</t>
  </si>
  <si>
    <t>PC1</t>
  </si>
  <si>
    <t>Tập đoàn PC1</t>
  </si>
  <si>
    <t>PDN</t>
  </si>
  <si>
    <t>Cảng Đồng Nai</t>
  </si>
  <si>
    <t>PDR</t>
  </si>
  <si>
    <t>BĐS Phát Đạt</t>
  </si>
  <si>
    <t>PDV</t>
  </si>
  <si>
    <t>Vận tải Phương Đông Việt</t>
  </si>
  <si>
    <t>PET</t>
  </si>
  <si>
    <t>Dịch vụ Tổng hợp Dầu khí</t>
  </si>
  <si>
    <t>PGC</t>
  </si>
  <si>
    <t>Gas Petrolimex</t>
  </si>
  <si>
    <t>PGD</t>
  </si>
  <si>
    <t>PV GAS D</t>
  </si>
  <si>
    <t>PGI</t>
  </si>
  <si>
    <t>Bảo hiểm PJICO</t>
  </si>
  <si>
    <t>PGV</t>
  </si>
  <si>
    <t>Tổng Công ty Phát điện 3</t>
  </si>
  <si>
    <t>PHC</t>
  </si>
  <si>
    <t>Xây dựng Phục Hưng Holdings</t>
  </si>
  <si>
    <t>PHR</t>
  </si>
  <si>
    <t>Cao su Phước Hòa</t>
  </si>
  <si>
    <t>PIT</t>
  </si>
  <si>
    <t>XNK PETROLIMEX</t>
  </si>
  <si>
    <t>PJT</t>
  </si>
  <si>
    <t>Vận tải thủy PETROLIMEX</t>
  </si>
  <si>
    <t>PLP</t>
  </si>
  <si>
    <t>SX và CN Nhựa Pha Lê</t>
  </si>
  <si>
    <t>PLX</t>
  </si>
  <si>
    <t>Petrolimex</t>
  </si>
  <si>
    <t>PMG</t>
  </si>
  <si>
    <t>ĐT và SX Petro Miền Trung</t>
  </si>
  <si>
    <t>PNC</t>
  </si>
  <si>
    <t>Văn hóa Phương Nam</t>
  </si>
  <si>
    <t>Sách, ấn bản &amp; sản phẩm văn hóa</t>
  </si>
  <si>
    <t>PNJ</t>
  </si>
  <si>
    <t>Vàng Phú Nhuận</t>
  </si>
  <si>
    <t>POW</t>
  </si>
  <si>
    <t>Điện lực Dầu khí Việt Nam</t>
  </si>
  <si>
    <t>PPC</t>
  </si>
  <si>
    <t>Nhiệt điện Phả Lại</t>
  </si>
  <si>
    <t>PTB</t>
  </si>
  <si>
    <t>Công ty Cổ phần Phú Tài</t>
  </si>
  <si>
    <t>PTC</t>
  </si>
  <si>
    <t>Đầu tư ICAPITAL</t>
  </si>
  <si>
    <t>PTL</t>
  </si>
  <si>
    <t>Victory Group</t>
  </si>
  <si>
    <t>PVD</t>
  </si>
  <si>
    <t>Khoan Dầu khí PVDrilling</t>
  </si>
  <si>
    <t>Thiết bị và Dịch vụ Dầu khí</t>
  </si>
  <si>
    <t>PVP</t>
  </si>
  <si>
    <t>Vận tải Dầu khí Thái Bình Dương</t>
  </si>
  <si>
    <t>PVT</t>
  </si>
  <si>
    <t>Vận tải Dầu khí PVTrans</t>
  </si>
  <si>
    <t>QCG</t>
  </si>
  <si>
    <t>Quốc Cường Gia Lai</t>
  </si>
  <si>
    <t>QNP</t>
  </si>
  <si>
    <t>Cảng Quy Nhơn</t>
  </si>
  <si>
    <t>RAL</t>
  </si>
  <si>
    <t>Bóng đèn Phích nước Rạng Đông</t>
  </si>
  <si>
    <t>REE</t>
  </si>
  <si>
    <t>Cơ Điện Lạnh REE</t>
  </si>
  <si>
    <t>RYG</t>
  </si>
  <si>
    <t>Sản xuất và Đầu tư Hoàng Gia</t>
  </si>
  <si>
    <t>S4A</t>
  </si>
  <si>
    <t>Thủy điện Sê San 4A</t>
  </si>
  <si>
    <t>SAB</t>
  </si>
  <si>
    <t>SABECO</t>
  </si>
  <si>
    <t>SAM</t>
  </si>
  <si>
    <t>SAM Holdings</t>
  </si>
  <si>
    <t>SAV</t>
  </si>
  <si>
    <t>Savimex</t>
  </si>
  <si>
    <t>SBA</t>
  </si>
  <si>
    <t>Sông Ba JSC</t>
  </si>
  <si>
    <t>SBG</t>
  </si>
  <si>
    <t>Tập Đoàn Cơ Khí Công Nghệ Cao Siba</t>
  </si>
  <si>
    <t>Công nghiệp phức hợp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</si>
  <si>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</si>
  <si>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</si>
  <si>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</si>
  <si>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</si>
  <si>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</si>
  <si>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</si>
  <si>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SCR</t>
  </si>
  <si>
    <t>TTC Land</t>
  </si>
  <si>
    <t>SCS</t>
  </si>
  <si>
    <t>DV Hàng hóa Sài Gòn</t>
  </si>
  <si>
    <t>SFC</t>
  </si>
  <si>
    <t>Nhiên liệu Sài Gòn</t>
  </si>
  <si>
    <t>SFG</t>
  </si>
  <si>
    <t>Phân bón Miền Nam</t>
  </si>
  <si>
    <t>SFI</t>
  </si>
  <si>
    <t>Vận tải SAFI</t>
  </si>
  <si>
    <t>SGN</t>
  </si>
  <si>
    <t>Phục vụ mặt đất Sài Gòn</t>
  </si>
  <si>
    <t>SGR</t>
  </si>
  <si>
    <t>Địa ốc Sài Gòn</t>
  </si>
  <si>
    <t>SGT</t>
  </si>
  <si>
    <t>Sài Gòn Telecom</t>
  </si>
  <si>
    <t>Internet</t>
  </si>
  <si>
    <t>SHA</t>
  </si>
  <si>
    <t>Sơn Hà Sài Gòn</t>
  </si>
  <si>
    <t>SHB</t>
  </si>
  <si>
    <t>SHI</t>
  </si>
  <si>
    <t>Quốc tế Sơn Hà</t>
  </si>
  <si>
    <t>SHP</t>
  </si>
  <si>
    <t>Thủy điện Miền Nam</t>
  </si>
  <si>
    <t>SIP</t>
  </si>
  <si>
    <t>Đầu tư Sài Gòn VRG</t>
  </si>
  <si>
    <t>SJD</t>
  </si>
  <si>
    <t>Thủy điện Cần Đơn</t>
  </si>
  <si>
    <t>SJS</t>
  </si>
  <si>
    <t>SJ Group</t>
  </si>
  <si>
    <t>SKG</t>
  </si>
  <si>
    <t>Tàu Cao tốc Superdong</t>
  </si>
  <si>
    <t>Vận tải hành khách &amp; Du lịch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</si>
  <si>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</si>
  <si>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</si>
  <si>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</si>
  <si>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</si>
  <si>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</si>
  <si>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</si>
  <si>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SPM</t>
  </si>
  <si>
    <t>S.P.M CORP</t>
  </si>
  <si>
    <t>SRC</t>
  </si>
  <si>
    <t>Cao su Sao Vàng</t>
  </si>
  <si>
    <t>SRF</t>
  </si>
  <si>
    <t>SEAREFICO</t>
  </si>
  <si>
    <t>SSB</t>
  </si>
  <si>
    <t>SeABank</t>
  </si>
  <si>
    <t>SSC</t>
  </si>
  <si>
    <t>Giống cây trồng Miền Nam</t>
  </si>
  <si>
    <t>SSI</t>
  </si>
  <si>
    <t>Chứng khoán SSI</t>
  </si>
  <si>
    <t>ST8</t>
  </si>
  <si>
    <t>Tập đoàn ST8</t>
  </si>
  <si>
    <t>Thiết bị văn phòng</t>
  </si>
  <si>
    <t>STB</t>
  </si>
  <si>
    <t>NH Sài Gòn Tài Lộc (SACOMBANK)</t>
  </si>
  <si>
    <t>STG</t>
  </si>
  <si>
    <t>Kho Vận Miền Nam</t>
  </si>
  <si>
    <t>STK</t>
  </si>
  <si>
    <t>Sợi Thế Kỷ</t>
  </si>
  <si>
    <t>SVC</t>
  </si>
  <si>
    <t>SAVICO</t>
  </si>
  <si>
    <t>SVD</t>
  </si>
  <si>
    <t>Đầu tư &amp; Thương mại Vũ Đăng</t>
  </si>
  <si>
    <t>SVT</t>
  </si>
  <si>
    <t>Công nghệ SG Viễn Đông</t>
  </si>
  <si>
    <t>Dịch vụ tiêu dùng chuyên ngành</t>
  </si>
  <si>
    <t>SZC</t>
  </si>
  <si>
    <t>Sonadezi Châu Đức</t>
  </si>
  <si>
    <t>SZL</t>
  </si>
  <si>
    <t>Sonadezi Long Thành</t>
  </si>
  <si>
    <t>TAL</t>
  </si>
  <si>
    <t>Đầu Tư Bất Động Sản Taseco</t>
  </si>
  <si>
    <t>TBC</t>
  </si>
  <si>
    <t>Thủy điện Thác Bà</t>
  </si>
  <si>
    <t>TCB</t>
  </si>
  <si>
    <t>Techcombank</t>
  </si>
  <si>
    <t>TCH</t>
  </si>
  <si>
    <t>ĐT DV Tài chính Hoàng Huy</t>
  </si>
  <si>
    <t>TCI</t>
  </si>
  <si>
    <t>Chứng khoán Thành Công</t>
  </si>
  <si>
    <t>TCL</t>
  </si>
  <si>
    <t>Tan Cang Logistics</t>
  </si>
  <si>
    <t>TCM</t>
  </si>
  <si>
    <t>Dệt may Thành Công</t>
  </si>
  <si>
    <t>TCO</t>
  </si>
  <si>
    <t>Janus Group</t>
  </si>
  <si>
    <t>TCR</t>
  </si>
  <si>
    <t>Gốm sứ TAICERA</t>
  </si>
  <si>
    <t>TCT</t>
  </si>
  <si>
    <t>Cáp treo Tây Ninh</t>
  </si>
  <si>
    <t>TCX</t>
  </si>
  <si>
    <t>Chứng khoán TCBS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</si>
  <si>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</si>
  <si>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</si>
  <si>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</si>
  <si>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</si>
  <si>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</si>
  <si>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</si>
  <si>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</si>
  <si>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</si>
  <si>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</si>
  <si>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</si>
  <si>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TDW</t>
  </si>
  <si>
    <t>Cấp nước Thủ Đức</t>
  </si>
  <si>
    <t>TEG</t>
  </si>
  <si>
    <t>Trường Thành Energy Group</t>
  </si>
  <si>
    <t>THG</t>
  </si>
  <si>
    <t>XD Tiền Giang</t>
  </si>
  <si>
    <t>TIP</t>
  </si>
  <si>
    <t>PT KCN Tín Nghĩa</t>
  </si>
  <si>
    <t>TIX</t>
  </si>
  <si>
    <t>TANIMEX</t>
  </si>
  <si>
    <t>TLD</t>
  </si>
  <si>
    <t>ĐT XD và PT Đô thị Thăng Long</t>
  </si>
  <si>
    <t>TLG</t>
  </si>
  <si>
    <t>Tập đoàn Thiên Long</t>
  </si>
  <si>
    <t>Đồ gia dụng một lần</t>
  </si>
  <si>
    <t>TLH</t>
  </si>
  <si>
    <t>Thép Tiến Lên</t>
  </si>
  <si>
    <t>TMP</t>
  </si>
  <si>
    <t>Thủy điện Thác Mơ</t>
  </si>
  <si>
    <t>TMS</t>
  </si>
  <si>
    <t>Transimex</t>
  </si>
  <si>
    <t>TMT</t>
  </si>
  <si>
    <t>Ô tô TMT</t>
  </si>
  <si>
    <t>TN1</t>
  </si>
  <si>
    <t>Rox Key Holdings</t>
  </si>
  <si>
    <t>TNC</t>
  </si>
  <si>
    <t>Cao su Thống Nhất</t>
  </si>
  <si>
    <t>TNH</t>
  </si>
  <si>
    <t>Tập đoàn Bệnh viện TNH</t>
  </si>
  <si>
    <t>Chăm sóc y tế</t>
  </si>
  <si>
    <t>TNI</t>
  </si>
  <si>
    <t>Tập đoàn Thành Nam</t>
  </si>
  <si>
    <t>TNT</t>
  </si>
  <si>
    <t>Tập đoàn TNT</t>
  </si>
  <si>
    <t>TPB</t>
  </si>
  <si>
    <t>TPBank</t>
  </si>
  <si>
    <t>TPC</t>
  </si>
  <si>
    <t>Nhựa Tân Đại Hưng</t>
  </si>
  <si>
    <t>TRA</t>
  </si>
  <si>
    <t>Traphaco</t>
  </si>
  <si>
    <t>TRC</t>
  </si>
  <si>
    <t>Cao su Tây Ninh</t>
  </si>
  <si>
    <t>TSA</t>
  </si>
  <si>
    <t>Đầu Tư Và Xây Lắp Trường Sơn</t>
  </si>
  <si>
    <t>TSC</t>
  </si>
  <si>
    <t>Kỹ thuật NN Cần Thơ</t>
  </si>
  <si>
    <t>TTA</t>
  </si>
  <si>
    <t>XD và PT Trường Thành</t>
  </si>
  <si>
    <t>TTE</t>
  </si>
  <si>
    <t>ĐT Năng lượng Trường Thịnh</t>
  </si>
  <si>
    <t>TTF</t>
  </si>
  <si>
    <t>Gỗ Trường Thành</t>
  </si>
  <si>
    <t>TV2</t>
  </si>
  <si>
    <t>Tư vấn XD Điện 2</t>
  </si>
  <si>
    <t>TVB</t>
  </si>
  <si>
    <t>Chứng khoán T-Cap</t>
  </si>
  <si>
    <t>TVS</t>
  </si>
  <si>
    <t>Chứng khoán Thiên Việt</t>
  </si>
  <si>
    <t>TVT</t>
  </si>
  <si>
    <t>May Việt Thắng</t>
  </si>
  <si>
    <t>TYA</t>
  </si>
  <si>
    <t>Dây và Cáp điện Taya</t>
  </si>
  <si>
    <t>UIC</t>
  </si>
  <si>
    <t>Phát triển Nhà và Đô thị IDICO</t>
  </si>
  <si>
    <t>VAB</t>
  </si>
  <si>
    <t>Ngân hàng Việt Á</t>
  </si>
  <si>
    <t>VBB</t>
  </si>
  <si>
    <t>VietBank</t>
  </si>
  <si>
    <t>VCA</t>
  </si>
  <si>
    <t>Thép VICASA</t>
  </si>
  <si>
    <t>VCB</t>
  </si>
  <si>
    <t>Vietcombank</t>
  </si>
  <si>
    <t>VCF</t>
  </si>
  <si>
    <t>VinaCafé Biên Hòa</t>
  </si>
  <si>
    <t>VCG</t>
  </si>
  <si>
    <t>VINACONEX</t>
  </si>
  <si>
    <t>VCI</t>
  </si>
  <si>
    <t>Chứng khoán Vietcap</t>
  </si>
  <si>
    <t>VCK</t>
  </si>
  <si>
    <t>Chứng Khoán VPS</t>
  </si>
  <si>
    <t>VDP</t>
  </si>
  <si>
    <t>Dược phẩm VIDIPHA</t>
  </si>
  <si>
    <t>VDS</t>
  </si>
  <si>
    <t>Chứng khoán Rồng Việt</t>
  </si>
  <si>
    <t>VFG</t>
  </si>
  <si>
    <t>Khử trùng Việt Nam</t>
  </si>
  <si>
    <t>VGC</t>
  </si>
  <si>
    <t>Tổng Công ty Viglacera</t>
  </si>
  <si>
    <t>VHC</t>
  </si>
  <si>
    <t>Thủy sản Vĩnh Hoàn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</si>
  <si>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</si>
  <si>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</si>
  <si>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</si>
  <si>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</si>
  <si>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</si>
  <si>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</si>
  <si>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</si>
  <si>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</si>
  <si>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VIP</t>
  </si>
  <si>
    <t>Vận tải Xăng dầu VIPCO</t>
  </si>
  <si>
    <t>VIX</t>
  </si>
  <si>
    <t>Chứng khoán VIX</t>
  </si>
  <si>
    <t>VJC</t>
  </si>
  <si>
    <t>Vietjet Air</t>
  </si>
  <si>
    <t>VMD</t>
  </si>
  <si>
    <t>Y Dược phẩm Vimedimex</t>
  </si>
  <si>
    <t>VND</t>
  </si>
  <si>
    <t>Chứng khoán VNDIRECT</t>
  </si>
  <si>
    <t>VNG</t>
  </si>
  <si>
    <t>DL Thành Thành Công</t>
  </si>
  <si>
    <t>VNL</t>
  </si>
  <si>
    <t>Vinalink Logistics</t>
  </si>
  <si>
    <t>VNM</t>
  </si>
  <si>
    <t>VINAMILK</t>
  </si>
  <si>
    <t>VNS</t>
  </si>
  <si>
    <t>Ánh Dương Việt Nam</t>
  </si>
  <si>
    <t>VOS</t>
  </si>
  <si>
    <t>Vận tải Biển Việt Nam</t>
  </si>
  <si>
    <t>VPB</t>
  </si>
  <si>
    <t>VPBank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</si>
  <si>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</si>
  <si>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</si>
  <si>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</si>
  <si>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</si>
  <si>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</si>
  <si>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</si>
  <si>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</si>
  <si>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</si>
  <si>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VPL</t>
  </si>
  <si>
    <t>Vinpearl</t>
  </si>
  <si>
    <t>VPS</t>
  </si>
  <si>
    <t>Thuốc sát trùng Việt Nam</t>
  </si>
  <si>
    <t>VPX</t>
  </si>
  <si>
    <t>Chứng khoán VPBank</t>
  </si>
  <si>
    <t>VRC</t>
  </si>
  <si>
    <t>Bất động sản và Đầu tư VRC</t>
  </si>
  <si>
    <t>VRE</t>
  </si>
  <si>
    <t>Vincom Retail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</si>
  <si>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</si>
  <si>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</si>
  <si>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</si>
  <si>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</si>
  <si>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</si>
  <si>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</si>
  <si>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VTB</t>
  </si>
  <si>
    <t>Viettronics Tân Bình</t>
  </si>
  <si>
    <t>VTO</t>
  </si>
  <si>
    <t>VITACO</t>
  </si>
  <si>
    <t>VTP</t>
  </si>
  <si>
    <t>Bưu chính Viettel</t>
  </si>
  <si>
    <t>Chuyển phát nhanh</t>
  </si>
  <si>
    <t>VVS</t>
  </si>
  <si>
    <t>Đầu tư Phát triển Máy Việt Nam</t>
  </si>
  <si>
    <t>YBM</t>
  </si>
  <si>
    <t>Khoáng sản CN Yên Bái</t>
  </si>
  <si>
    <t>YEG</t>
  </si>
  <si>
    <t>Tập đoàn Yeah1</t>
  </si>
  <si>
    <t>Giải trí &amp; Truyền thông</t>
  </si>
  <si>
    <t>ADC</t>
  </si>
  <si>
    <t>Mĩ thuật và Truyền thông</t>
  </si>
  <si>
    <t>HNX</t>
  </si>
  <si>
    <t>ALT</t>
  </si>
  <si>
    <t>Văn hóa Tân Bình</t>
  </si>
  <si>
    <t>AMC</t>
  </si>
  <si>
    <t>Khoáng sản Á Châu</t>
  </si>
  <si>
    <t>AME</t>
  </si>
  <si>
    <t>Cơ điện Alphanam</t>
  </si>
  <si>
    <t>AMV</t>
  </si>
  <si>
    <t>Dược-TB Y tế Việt Mỹ</t>
  </si>
  <si>
    <t>API</t>
  </si>
  <si>
    <t>Đầu tư Châu Á - Thái Bình Dương</t>
  </si>
  <si>
    <t>APS</t>
  </si>
  <si>
    <t>CK Châu Á - TBD</t>
  </si>
  <si>
    <t>ARM</t>
  </si>
  <si>
    <t>XNK Hàng không</t>
  </si>
  <si>
    <t>Nhà cung cấp thiết bị</t>
  </si>
  <si>
    <t>ATS</t>
  </si>
  <si>
    <t>Tập đoàn Đầu tư ATS</t>
  </si>
  <si>
    <t>Nhà hàng và quán bar</t>
  </si>
  <si>
    <t>BAB</t>
  </si>
  <si>
    <t>Ngân hàng Bắc Á</t>
  </si>
  <si>
    <t>BAX</t>
  </si>
  <si>
    <t>Công ty Thống Nhất</t>
  </si>
  <si>
    <t>BBS</t>
  </si>
  <si>
    <t>Bao bì Xi măng Bút Sơn</t>
  </si>
  <si>
    <t>BCC</t>
  </si>
  <si>
    <t>Xi măng Bỉm Sơn</t>
  </si>
  <si>
    <t>BCF</t>
  </si>
  <si>
    <t>Thực phẩm Bích Chi</t>
  </si>
  <si>
    <t>BCH</t>
  </si>
  <si>
    <t>Dược Bảo Châu</t>
  </si>
  <si>
    <t>BED</t>
  </si>
  <si>
    <t>Sách Đà Nẵng</t>
  </si>
  <si>
    <t>BKC</t>
  </si>
  <si>
    <t>Khoáng sản Bắc Kạn</t>
  </si>
  <si>
    <t>BNA</t>
  </si>
  <si>
    <t>Tập đoàn Đầu tư Bảo Ngọc</t>
  </si>
  <si>
    <t>BPC</t>
  </si>
  <si>
    <t>Bao bì Bỉm Sơn</t>
  </si>
  <si>
    <t>BTS</t>
  </si>
  <si>
    <t>Xi măng Bút Sơn</t>
  </si>
  <si>
    <t>BTW</t>
  </si>
  <si>
    <t>Cấp nước Bến Thành</t>
  </si>
  <si>
    <t>BVS</t>
  </si>
  <si>
    <t>Chứng khoán Bảo Việt</t>
  </si>
  <si>
    <t>BXH</t>
  </si>
  <si>
    <t>Bao bì Xi măng HP</t>
  </si>
  <si>
    <t>C69</t>
  </si>
  <si>
    <t>Xây dựng 1369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</si>
  <si>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</si>
  <si>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</si>
  <si>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</si>
  <si>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</si>
  <si>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</si>
  <si>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</si>
  <si>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</si>
  <si>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</si>
  <si>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Đào tạo &amp; Việc làm</t>
  </si>
  <si>
    <t>CCR</t>
  </si>
  <si>
    <t>Cảng Cam Ranh</t>
  </si>
  <si>
    <t>CDN</t>
  </si>
  <si>
    <t>Cảng Đà Nẵng</t>
  </si>
  <si>
    <t>CEO</t>
  </si>
  <si>
    <t>Tập đoàn CEO</t>
  </si>
  <si>
    <t>CET</t>
  </si>
  <si>
    <t xml:space="preserve">HTC Holding </t>
  </si>
  <si>
    <t>CIA</t>
  </si>
  <si>
    <t>DV Sân Bay Cam Ranh</t>
  </si>
  <si>
    <t>CJC</t>
  </si>
  <si>
    <t>Cơ điện Miền Trung</t>
  </si>
  <si>
    <t>CKV</t>
  </si>
  <si>
    <t>CokyVina</t>
  </si>
  <si>
    <t>CLH</t>
  </si>
  <si>
    <t>Xi măng La Hiên</t>
  </si>
  <si>
    <t>CLM</t>
  </si>
  <si>
    <t>Xuất nhập khẩu Than - Vinacomin</t>
  </si>
  <si>
    <t>Khai thác Than</t>
  </si>
  <si>
    <t>CMC</t>
  </si>
  <si>
    <t>Đầu tư CMC</t>
  </si>
  <si>
    <t>CMS</t>
  </si>
  <si>
    <t>Tập đoàn CMH Việt Nam</t>
  </si>
  <si>
    <t>CPC</t>
  </si>
  <si>
    <t>Thuốc sát trùng Cần Thơ</t>
  </si>
  <si>
    <t>CSC</t>
  </si>
  <si>
    <t>Tập đoàn COTANA</t>
  </si>
  <si>
    <t>CST</t>
  </si>
  <si>
    <t>Than Cao Sơn - TKV</t>
  </si>
  <si>
    <t>CTB</t>
  </si>
  <si>
    <t>Bơm Hải Dương</t>
  </si>
  <si>
    <t>CTP</t>
  </si>
  <si>
    <t>CTP Group</t>
  </si>
  <si>
    <t>CTT</t>
  </si>
  <si>
    <t>Chế tạo máy - Vinacomin</t>
  </si>
  <si>
    <t>CX8</t>
  </si>
  <si>
    <t>Constrexim số 8</t>
  </si>
  <si>
    <t>D11</t>
  </si>
  <si>
    <t>Địa ốc 11</t>
  </si>
  <si>
    <t>DAD</t>
  </si>
  <si>
    <t>Phát triển GD Đà Nẵng</t>
  </si>
  <si>
    <t>DAE</t>
  </si>
  <si>
    <t>Sách Giáo dục Đà Nẵng</t>
  </si>
  <si>
    <t>DC2</t>
  </si>
  <si>
    <t>DIC Số 2</t>
  </si>
  <si>
    <t>DHP</t>
  </si>
  <si>
    <t>Điện cơ Hải Phòng</t>
  </si>
  <si>
    <t>DHT</t>
  </si>
  <si>
    <t>Dược phẩm Hà Tây</t>
  </si>
  <si>
    <t>DIH</t>
  </si>
  <si>
    <t>PT Xây dựng Hội An</t>
  </si>
  <si>
    <t>DL1</t>
  </si>
  <si>
    <t>Tập đoàn Alpha 7</t>
  </si>
  <si>
    <t>DNC</t>
  </si>
  <si>
    <t>Điện nước Hải Phòng</t>
  </si>
  <si>
    <t>DNP</t>
  </si>
  <si>
    <t>DNP Holding</t>
  </si>
  <si>
    <t>DP3</t>
  </si>
  <si>
    <t>Dược Phẩm TW3</t>
  </si>
  <si>
    <t>DS3</t>
  </si>
  <si>
    <t>Quản lý Đường sông số 3</t>
  </si>
  <si>
    <t>DST</t>
  </si>
  <si>
    <t>Đầu tư Sao Thăng Long</t>
  </si>
  <si>
    <t>DTD</t>
  </si>
  <si>
    <t>Đầu tư Phát triển Thành Đạt</t>
  </si>
  <si>
    <t>DTG</t>
  </si>
  <si>
    <t>Dược phẩm Tipharco</t>
  </si>
  <si>
    <t>DTK</t>
  </si>
  <si>
    <t>Vinacomin Power</t>
  </si>
  <si>
    <t>DVM</t>
  </si>
  <si>
    <t>Dược liệu Việt Nam</t>
  </si>
  <si>
    <t>DXP</t>
  </si>
  <si>
    <t>Cảng Đoạn Xá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</si>
  <si>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</si>
  <si>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</si>
  <si>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</si>
  <si>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</si>
  <si>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</si>
  <si>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</si>
  <si>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EVS</t>
  </si>
  <si>
    <t>Chứng khoán EVS</t>
  </si>
  <si>
    <t>FID</t>
  </si>
  <si>
    <t>Đầu tư và PT doanh nghiệp VN</t>
  </si>
  <si>
    <t>GDW</t>
  </si>
  <si>
    <t>Cấp nước Gia Định</t>
  </si>
  <si>
    <t>GIC</t>
  </si>
  <si>
    <t>ĐT Dịch vụ và PT Xanh</t>
  </si>
  <si>
    <t>GKM</t>
  </si>
  <si>
    <t>GKM Holdings</t>
  </si>
  <si>
    <t>GLT</t>
  </si>
  <si>
    <t>KT Điện Toàn Cầu</t>
  </si>
  <si>
    <t>Điện tử tiêu dùng</t>
  </si>
  <si>
    <t>GMA</t>
  </si>
  <si>
    <t>G-Automobile</t>
  </si>
  <si>
    <t>GMX</t>
  </si>
  <si>
    <t>Gạch ngói Mỹ Xuân</t>
  </si>
  <si>
    <t>HAD</t>
  </si>
  <si>
    <t>Bia Hà Nội - Hải Dương</t>
  </si>
  <si>
    <t>HAT</t>
  </si>
  <si>
    <t>TM Bia Hà Nội</t>
  </si>
  <si>
    <t>HBS</t>
  </si>
  <si>
    <t>Chứng khoán Hòa Bình</t>
  </si>
  <si>
    <t>HCC</t>
  </si>
  <si>
    <t>Bê tông Hòa Cầm</t>
  </si>
  <si>
    <t>HCT</t>
  </si>
  <si>
    <t xml:space="preserve">TM - DV - Vận tải Xi măng Hải Phòng </t>
  </si>
  <si>
    <t>HDA</t>
  </si>
  <si>
    <t>Hãng sơn Đông Á</t>
  </si>
  <si>
    <t>HEV</t>
  </si>
  <si>
    <t>Sách Đại học - Dạy nghề</t>
  </si>
  <si>
    <t>HGM</t>
  </si>
  <si>
    <t>Khoáng sản Hà Giang</t>
  </si>
  <si>
    <t>HHC</t>
  </si>
  <si>
    <t>Bánh kẹo Hải Hà</t>
  </si>
  <si>
    <t>HJS</t>
  </si>
  <si>
    <t>Thủy điện Nậm Mu</t>
  </si>
  <si>
    <t>HKT</t>
  </si>
  <si>
    <t>QP Holdings</t>
  </si>
  <si>
    <t>HLC</t>
  </si>
  <si>
    <t>Than Hà Lầm</t>
  </si>
  <si>
    <t>HLD</t>
  </si>
  <si>
    <t>Bất động sản HUDLAND</t>
  </si>
  <si>
    <t>HMH</t>
  </si>
  <si>
    <t>Tập đoàn Hải Minh</t>
  </si>
  <si>
    <t>HMR</t>
  </si>
  <si>
    <t>Đá Hoàng Mai</t>
  </si>
  <si>
    <t>HOM</t>
  </si>
  <si>
    <t>Xi măng VICEM Hoàng Mai</t>
  </si>
  <si>
    <t>HTC</t>
  </si>
  <si>
    <t>Thương mại Hóc Môn</t>
  </si>
  <si>
    <t>HUT</t>
  </si>
  <si>
    <t>Tasco- CTCP</t>
  </si>
  <si>
    <t>HVT</t>
  </si>
  <si>
    <t>Hóa chất Việt trì</t>
  </si>
  <si>
    <t>ICG</t>
  </si>
  <si>
    <t>Xây dựng Sông Hồng</t>
  </si>
  <si>
    <t>IDC</t>
  </si>
  <si>
    <t>IDICO</t>
  </si>
  <si>
    <t>IDJ</t>
  </si>
  <si>
    <t>Đầu tư IDJ Việt Nam</t>
  </si>
  <si>
    <t>IDV</t>
  </si>
  <si>
    <t>PT Hạ tầng Vĩnh Phúc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</si>
  <si>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</si>
  <si>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</si>
  <si>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</si>
  <si>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</si>
  <si>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</si>
  <si>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</si>
  <si>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ITQ</t>
  </si>
  <si>
    <t>Tập đoàn Thiên Quang</t>
  </si>
  <si>
    <t>IVS</t>
  </si>
  <si>
    <t>Chứng khoán Guotai Haitong (Việt Nam)</t>
  </si>
  <si>
    <t>KDM</t>
  </si>
  <si>
    <t>Tập đoàn GCL</t>
  </si>
  <si>
    <t>KHS</t>
  </si>
  <si>
    <t>Thủy sản Kiên Hùng</t>
  </si>
  <si>
    <t>KKC</t>
  </si>
  <si>
    <t>Tập đoàn Thành Thái</t>
  </si>
  <si>
    <t>KMT</t>
  </si>
  <si>
    <t>Kim khí Miền Trung</t>
  </si>
  <si>
    <t>KSD</t>
  </si>
  <si>
    <t>Đầu tư DNA</t>
  </si>
  <si>
    <t>Đồ gia dụng lâu bền</t>
  </si>
  <si>
    <t>KSF</t>
  </si>
  <si>
    <t>Tập đoàn Sunshine</t>
  </si>
  <si>
    <t>KST</t>
  </si>
  <si>
    <t>KASATI</t>
  </si>
  <si>
    <t>KSV</t>
  </si>
  <si>
    <t>Khoáng sản TKV</t>
  </si>
  <si>
    <t>KTS</t>
  </si>
  <si>
    <t>Đường Kon Tum</t>
  </si>
  <si>
    <t>L14</t>
  </si>
  <si>
    <t>Licogi 14</t>
  </si>
  <si>
    <t>L18</t>
  </si>
  <si>
    <t>LICOGI - 18</t>
  </si>
  <si>
    <t>L40</t>
  </si>
  <si>
    <t>Đầu tư và Xây dựng 40</t>
  </si>
  <si>
    <t>LAS</t>
  </si>
  <si>
    <t>Hóa chất Lâm Thao</t>
  </si>
  <si>
    <t>LBE</t>
  </si>
  <si>
    <t>Thương mại và Dịch vụ LVA</t>
  </si>
  <si>
    <t>LCD</t>
  </si>
  <si>
    <t>Thí nghiệm cơ điện</t>
  </si>
  <si>
    <t>LDP</t>
  </si>
  <si>
    <t>Dược Lâm Đồng - Ladophar</t>
  </si>
  <si>
    <t>LHC</t>
  </si>
  <si>
    <t>XD Thủy lợi Lâm Đồng</t>
  </si>
  <si>
    <t>LIG</t>
  </si>
  <si>
    <t>Licogi 13</t>
  </si>
  <si>
    <t>MAC</t>
  </si>
  <si>
    <t>Tập đoàn Macstar</t>
  </si>
  <si>
    <t>Xe tải &amp; Đóng tàu</t>
  </si>
  <si>
    <t>MAS</t>
  </si>
  <si>
    <t>Sân bay Đà Nẵng</t>
  </si>
  <si>
    <t>MBG</t>
  </si>
  <si>
    <t>Tập đoàn MBG</t>
  </si>
  <si>
    <t>MBS</t>
  </si>
  <si>
    <t>Chứng khoán MB</t>
  </si>
  <si>
    <t>MCC</t>
  </si>
  <si>
    <t>Gạch ngói cao cấp</t>
  </si>
  <si>
    <t>MCF</t>
  </si>
  <si>
    <t>Cơ khí và Lương thực Thực phẩm</t>
  </si>
  <si>
    <t>MCO</t>
  </si>
  <si>
    <t>BDC Việt Nam</t>
  </si>
  <si>
    <t>MDC</t>
  </si>
  <si>
    <t>Than Mông Dương</t>
  </si>
  <si>
    <t>MDD</t>
  </si>
  <si>
    <t>Công ty Mai Động</t>
  </si>
  <si>
    <t>MED</t>
  </si>
  <si>
    <t>Dược Mediplantex</t>
  </si>
  <si>
    <t>MEL</t>
  </si>
  <si>
    <t>Thép Mê Lin</t>
  </si>
  <si>
    <t>MIC</t>
  </si>
  <si>
    <t>Khoáng sản Quảng Nam</t>
  </si>
  <si>
    <t>MKV</t>
  </si>
  <si>
    <t>Dược Thú Y Cai Lậy</t>
  </si>
  <si>
    <t>MST</t>
  </si>
  <si>
    <t>Đầu tư MST</t>
  </si>
  <si>
    <t>MVB</t>
  </si>
  <si>
    <t>Mỏ Việt Bắc - TKV</t>
  </si>
  <si>
    <t>NAG</t>
  </si>
  <si>
    <t>Tập đoàn Nagakawa</t>
  </si>
  <si>
    <t>NAP</t>
  </si>
  <si>
    <t>Cảng Nghệ Tĩnh</t>
  </si>
  <si>
    <t>NBC</t>
  </si>
  <si>
    <t>Than Núi Béo</t>
  </si>
  <si>
    <t>NBP</t>
  </si>
  <si>
    <t>Nhiệt điện Ninh Bình</t>
  </si>
  <si>
    <t>NBW</t>
  </si>
  <si>
    <t>Cấp nước Nhà Bè</t>
  </si>
  <si>
    <t>NDN</t>
  </si>
  <si>
    <t>PT Nhà Đà Nẵng</t>
  </si>
  <si>
    <t>NDX</t>
  </si>
  <si>
    <t>Phát triển Nhà Đà Nẵng</t>
  </si>
  <si>
    <t>NET</t>
  </si>
  <si>
    <t>Bột giặt Net</t>
  </si>
  <si>
    <t>NFC</t>
  </si>
  <si>
    <t>Phân lân Ninh Bình</t>
  </si>
  <si>
    <t>NHC</t>
  </si>
  <si>
    <t>Gạch ngói Nhị Hiệp</t>
  </si>
  <si>
    <t>NRC</t>
  </si>
  <si>
    <t>Tập đoàn Bất động sản Quốc gia</t>
  </si>
  <si>
    <t>NSH</t>
  </si>
  <si>
    <t>Nhôm Sông Hồng</t>
  </si>
  <si>
    <t>Nhôm</t>
  </si>
  <si>
    <t>NST</t>
  </si>
  <si>
    <t>Thuốc lá Ngân Sơn</t>
  </si>
  <si>
    <t>NTH</t>
  </si>
  <si>
    <t>Thủy điện Nước Trong</t>
  </si>
  <si>
    <t>NTP</t>
  </si>
  <si>
    <t>Nhựa Tiền Phong</t>
  </si>
  <si>
    <t>NVB</t>
  </si>
  <si>
    <t>Ngân hàng Quốc Dân</t>
  </si>
  <si>
    <t>OCH</t>
  </si>
  <si>
    <t>Khách sạn và Dịch vụ OCH</t>
  </si>
  <si>
    <t>ONE</t>
  </si>
  <si>
    <t>Truyền thông Số 1</t>
  </si>
  <si>
    <t>Phần cứng</t>
  </si>
  <si>
    <t>PBP</t>
  </si>
  <si>
    <t>Bao bì Dầu khí VN</t>
  </si>
  <si>
    <t>PCE</t>
  </si>
  <si>
    <t>Phân bón và Hóa chất DK Miền Trung</t>
  </si>
  <si>
    <t>PCH</t>
  </si>
  <si>
    <t>Picomat Holding</t>
  </si>
  <si>
    <t>PCT</t>
  </si>
  <si>
    <t>Vận tải Biển Global Pacific</t>
  </si>
  <si>
    <t>PDB</t>
  </si>
  <si>
    <t>DIN Capital</t>
  </si>
  <si>
    <t>PEN</t>
  </si>
  <si>
    <t>Xây lắp III Petrolimex</t>
  </si>
  <si>
    <t>PGN</t>
  </si>
  <si>
    <t>Phụ Gia Nhựa</t>
  </si>
  <si>
    <t>PGS</t>
  </si>
  <si>
    <t>Khí Miền Nam</t>
  </si>
  <si>
    <t>PGT</t>
  </si>
  <si>
    <t>PGT Holdings</t>
  </si>
  <si>
    <t>PHN</t>
  </si>
  <si>
    <t>Pin Hà Nội</t>
  </si>
  <si>
    <t>PIA</t>
  </si>
  <si>
    <t>Tin học Viễn thông Petrolimex</t>
  </si>
  <si>
    <t>Viễn thông</t>
  </si>
  <si>
    <t>Viễn thông cố định</t>
  </si>
  <si>
    <t>PIC</t>
  </si>
  <si>
    <t>Đầu tư Điện lực 3</t>
  </si>
  <si>
    <t>PJC</t>
  </si>
  <si>
    <t>TM và Vận tải Petrolimex HN</t>
  </si>
  <si>
    <t>PLC</t>
  </si>
  <si>
    <t>Hóa dầu Petrolimex</t>
  </si>
  <si>
    <t>PMB</t>
  </si>
  <si>
    <t>Phân bón và Hóa chất Dầu khí Miền Bắc</t>
  </si>
  <si>
    <t>PMC</t>
  </si>
  <si>
    <t>Pharmedic</t>
  </si>
  <si>
    <t>PMP</t>
  </si>
  <si>
    <t>Bao bì Đạm Phú Mỹ</t>
  </si>
  <si>
    <t>PMS</t>
  </si>
  <si>
    <t>Cơ khí xăng dầu</t>
  </si>
  <si>
    <t>POT</t>
  </si>
  <si>
    <t>Thiết bị Bưu điện Postef</t>
  </si>
  <si>
    <t>PPE</t>
  </si>
  <si>
    <t>PVPower Engineering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</si>
  <si>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</si>
  <si>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</si>
  <si>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</si>
  <si>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</si>
  <si>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</si>
  <si>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</si>
  <si>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</si>
  <si>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</si>
  <si>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</si>
  <si>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</si>
  <si>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PRE</t>
  </si>
  <si>
    <t>Tái bảo hiểm PVI</t>
  </si>
  <si>
    <t>Tái bảo hiểm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</si>
  <si>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</si>
  <si>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</si>
  <si>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</si>
  <si>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</si>
  <si>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</si>
  <si>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</si>
  <si>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PSI</t>
  </si>
  <si>
    <t>Chứng khoán Dầu khí</t>
  </si>
  <si>
    <t>PSW</t>
  </si>
  <si>
    <t>Phân bón hóa chất dầu khí Tây Nam Bộ</t>
  </si>
  <si>
    <t>PTD</t>
  </si>
  <si>
    <t>Thiết kế-XD-TM Phúc Thịnh</t>
  </si>
  <si>
    <t>PTI</t>
  </si>
  <si>
    <t>Bảo hiểm Bưu điện</t>
  </si>
  <si>
    <t>PTS</t>
  </si>
  <si>
    <t>Vận tải Petrolimex HP</t>
  </si>
  <si>
    <t>PTX</t>
  </si>
  <si>
    <t>VT Petrolimex Nghệ Tĩnh</t>
  </si>
  <si>
    <t>PV2</t>
  </si>
  <si>
    <t>Genea Capital</t>
  </si>
  <si>
    <t>PVB</t>
  </si>
  <si>
    <t>Bọc ống Dầu khí Việt Nam</t>
  </si>
  <si>
    <t>PVC</t>
  </si>
  <si>
    <t>Hóa chất và Dịch vụ Dầu khí</t>
  </si>
  <si>
    <t>PVG</t>
  </si>
  <si>
    <t>Kinh doanh LPG Việt Nam</t>
  </si>
  <si>
    <t>PVI</t>
  </si>
  <si>
    <t>PVI Holdings</t>
  </si>
  <si>
    <t>PVS</t>
  </si>
  <si>
    <t>DVKT Dầu khí PTSC</t>
  </si>
  <si>
    <t>PXK</t>
  </si>
  <si>
    <t>XL dầu khí Kinh Bắc</t>
  </si>
  <si>
    <t>QHD</t>
  </si>
  <si>
    <t>Que hàn Việt Đức</t>
  </si>
  <si>
    <t>QST</t>
  </si>
  <si>
    <t>Sách Quảng Ninh</t>
  </si>
  <si>
    <t>QTC</t>
  </si>
  <si>
    <t>GTVT Quảng Nam</t>
  </si>
  <si>
    <t>RCL</t>
  </si>
  <si>
    <t>Địa Ốc Chợ Lớn</t>
  </si>
  <si>
    <t>S55</t>
  </si>
  <si>
    <t>Sông Đà 505</t>
  </si>
  <si>
    <t>S99</t>
  </si>
  <si>
    <t>Sông Đà 9.09 (SCI)</t>
  </si>
  <si>
    <t>SAF</t>
  </si>
  <si>
    <t>Thực Phẩm SAFOCO</t>
  </si>
  <si>
    <t>SCG</t>
  </si>
  <si>
    <t>Xây dựng SCG</t>
  </si>
  <si>
    <t>SCI</t>
  </si>
  <si>
    <t>SCI E&amp;C</t>
  </si>
  <si>
    <t>SD5</t>
  </si>
  <si>
    <t>Sông Đà 5</t>
  </si>
  <si>
    <t>SD9</t>
  </si>
  <si>
    <t>Sông Đà 9</t>
  </si>
  <si>
    <t>SDC</t>
  </si>
  <si>
    <t>Tư vấn Sông Đà</t>
  </si>
  <si>
    <t>SDG</t>
  </si>
  <si>
    <t>Sadico Cần Thơ</t>
  </si>
  <si>
    <t>SDN</t>
  </si>
  <si>
    <t>Sơn Đồng Nai</t>
  </si>
  <si>
    <t>SDU</t>
  </si>
  <si>
    <t>Đô thị Sông Đà</t>
  </si>
  <si>
    <t>SEB</t>
  </si>
  <si>
    <t>Điện miền Trung</t>
  </si>
  <si>
    <t>SED</t>
  </si>
  <si>
    <t>Phát triển GD Phương Nam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</si>
  <si>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</si>
  <si>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</si>
  <si>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</si>
  <si>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</si>
  <si>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</si>
  <si>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</si>
  <si>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</si>
  <si>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</si>
  <si>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SHE</t>
  </si>
  <si>
    <t>PT Năng Lượng Sơn Hà</t>
  </si>
  <si>
    <t>SHN</t>
  </si>
  <si>
    <t>Đầu tư Tổng hợp Hà Nội</t>
  </si>
  <si>
    <t>SHS</t>
  </si>
  <si>
    <t>Chứng khoán SG - HN</t>
  </si>
  <si>
    <t>SJ1</t>
  </si>
  <si>
    <t>Nông nghiệp Hùng Hậu</t>
  </si>
  <si>
    <t>SJE</t>
  </si>
  <si>
    <t>Sông Đà 11</t>
  </si>
  <si>
    <t>SLS</t>
  </si>
  <si>
    <t>Mía đường Sơn La</t>
  </si>
  <si>
    <t>SMN</t>
  </si>
  <si>
    <t>Sách và thiết bị GD miền Nam</t>
  </si>
  <si>
    <t>SMT</t>
  </si>
  <si>
    <t>SAMETEL</t>
  </si>
  <si>
    <t>SPC</t>
  </si>
  <si>
    <t>BV Thực vật Sài Gòn</t>
  </si>
  <si>
    <t>SRA</t>
  </si>
  <si>
    <t>SARA Việt Nam</t>
  </si>
  <si>
    <t>SSM</t>
  </si>
  <si>
    <t>Kết cấu Thép VNECO</t>
  </si>
  <si>
    <t>STC</t>
  </si>
  <si>
    <t>Sách và TB Trường học TP HCM</t>
  </si>
  <si>
    <t>STP</t>
  </si>
  <si>
    <t>CN Thương Mại Sông Đà</t>
  </si>
  <si>
    <t>SVN</t>
  </si>
  <si>
    <t>Tập đoàn Vexilla Việt Nam</t>
  </si>
  <si>
    <t>SZB</t>
  </si>
  <si>
    <t>Sonadezi Long Bình</t>
  </si>
  <si>
    <t>TA9</t>
  </si>
  <si>
    <t>Xây lắp Thành An 96</t>
  </si>
  <si>
    <t>TD6</t>
  </si>
  <si>
    <t>Than Đèo Nai - Cọc Sáu - TKV</t>
  </si>
  <si>
    <t>TDT</t>
  </si>
  <si>
    <t>Đầu tư và Phát triển TDT</t>
  </si>
  <si>
    <t>TET</t>
  </si>
  <si>
    <t>Bất động sản Pristie</t>
  </si>
  <si>
    <t>TFC</t>
  </si>
  <si>
    <t>CTCP Trang</t>
  </si>
  <si>
    <t>THB</t>
  </si>
  <si>
    <t>Bia Hà Nội - Thanh Hóa</t>
  </si>
  <si>
    <t>THD</t>
  </si>
  <si>
    <t>Công ty Thaiholdings</t>
  </si>
  <si>
    <t>THS</t>
  </si>
  <si>
    <t>Thanh Hoa Sông Đà</t>
  </si>
  <si>
    <t>THT</t>
  </si>
  <si>
    <t>Than Hà Tu</t>
  </si>
  <si>
    <t>TIG</t>
  </si>
  <si>
    <t>Tập đoàn Đầu tư Thăng Long</t>
  </si>
  <si>
    <t>TJC</t>
  </si>
  <si>
    <t>Dịch vụ Vận tải và Thương mại</t>
  </si>
  <si>
    <t>TKU</t>
  </si>
  <si>
    <t>Công nghiệp Tung Kuang</t>
  </si>
  <si>
    <t>TMB</t>
  </si>
  <si>
    <t>Than Miền Bắc - Vinacomin</t>
  </si>
  <si>
    <t>TMC</t>
  </si>
  <si>
    <t>XNK Thủ Đức</t>
  </si>
  <si>
    <t>TMX</t>
  </si>
  <si>
    <t>Thương mại Xi măng</t>
  </si>
  <si>
    <t>TNG</t>
  </si>
  <si>
    <t>Đầu tư và Thương mại TNG</t>
  </si>
  <si>
    <t>TOT</t>
  </si>
  <si>
    <t>Vận tải Transimex</t>
  </si>
  <si>
    <t>TPP</t>
  </si>
  <si>
    <t>Nhựa Tân Phú VN</t>
  </si>
  <si>
    <t>TSB</t>
  </si>
  <si>
    <t>Ắc quy Tia Sáng</t>
  </si>
  <si>
    <t>TTC</t>
  </si>
  <si>
    <t>Gạch men Thanh Thanh</t>
  </si>
  <si>
    <t>TTH</t>
  </si>
  <si>
    <t>TM và DV Tiến Thành</t>
  </si>
  <si>
    <t>TTL</t>
  </si>
  <si>
    <t>TCT Thăng Long</t>
  </si>
  <si>
    <t>TTT</t>
  </si>
  <si>
    <t>Du lịch - Thương Mại Tây Ninh</t>
  </si>
  <si>
    <t>TV3</t>
  </si>
  <si>
    <t>Tư vấn XD điện 3</t>
  </si>
  <si>
    <t>TV4</t>
  </si>
  <si>
    <t>Tư vấn XD Điện 4</t>
  </si>
  <si>
    <t>TVC</t>
  </si>
  <si>
    <t>Tập đoàn Quản lý tài sản T-Corp</t>
  </si>
  <si>
    <t>TVD</t>
  </si>
  <si>
    <t>Than Vàng Danh</t>
  </si>
  <si>
    <t>TXM</t>
  </si>
  <si>
    <t>Thạch cao Xi măng</t>
  </si>
  <si>
    <t>UNI</t>
  </si>
  <si>
    <t>Đầu tư và Phát triển Sao Mai Việt</t>
  </si>
  <si>
    <t>V12</t>
  </si>
  <si>
    <t>VINACONEX 12</t>
  </si>
  <si>
    <t>V21</t>
  </si>
  <si>
    <t>Vinaconex 21</t>
  </si>
  <si>
    <t>VBC</t>
  </si>
  <si>
    <t>Nhựa - Bao bì Vinh</t>
  </si>
  <si>
    <t>VC1</t>
  </si>
  <si>
    <t>Xây dựng số 1</t>
  </si>
  <si>
    <t>VC2</t>
  </si>
  <si>
    <t>Đầu tư và Xây dựng VINA2</t>
  </si>
  <si>
    <t>VC3</t>
  </si>
  <si>
    <t>Tập đoàn Nam Mê Kông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</si>
  <si>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</si>
  <si>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</si>
  <si>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</si>
  <si>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</si>
  <si>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</si>
  <si>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</si>
  <si>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</si>
  <si>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</si>
  <si>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VCM</t>
  </si>
  <si>
    <t>BV Life</t>
  </si>
  <si>
    <t>VCS</t>
  </si>
  <si>
    <t>VICOSTONE</t>
  </si>
  <si>
    <t>VDL</t>
  </si>
  <si>
    <t>Thực phẩm Lâm Đồng</t>
  </si>
  <si>
    <t>Vang &amp; Rượu mạnh</t>
  </si>
  <si>
    <t>VE1</t>
  </si>
  <si>
    <t>VNECO 1</t>
  </si>
  <si>
    <t>VE3</t>
  </si>
  <si>
    <t>Xây dựng điện VNECO 3</t>
  </si>
  <si>
    <t>VE4</t>
  </si>
  <si>
    <t>Xây dựng điện VNECO4</t>
  </si>
  <si>
    <t>VFS</t>
  </si>
  <si>
    <t>Chứng khoán Nhất Việt</t>
  </si>
  <si>
    <t>VGP</t>
  </si>
  <si>
    <t>Cảng Rau Quả</t>
  </si>
  <si>
    <t>VGS</t>
  </si>
  <si>
    <t>Ống thép Việt Đức</t>
  </si>
  <si>
    <t>VHE</t>
  </si>
  <si>
    <t>Dược liệu và Thực phẩm VN</t>
  </si>
  <si>
    <t>VHL</t>
  </si>
  <si>
    <t>Viglacera Hạ Long</t>
  </si>
  <si>
    <t>VIF</t>
  </si>
  <si>
    <t>Lâm nghiệp Việt Nam</t>
  </si>
  <si>
    <t>VIG</t>
  </si>
  <si>
    <t>Chứng khoán Đầu tư Tài chính Việt Nam</t>
  </si>
  <si>
    <t>VIT</t>
  </si>
  <si>
    <t>Viglacera Tiên Sơn</t>
  </si>
  <si>
    <t>VLA</t>
  </si>
  <si>
    <t>PT Công nghệ Văn Lang</t>
  </si>
  <si>
    <t>VMC</t>
  </si>
  <si>
    <t>VIMECO</t>
  </si>
  <si>
    <t>VMS</t>
  </si>
  <si>
    <t>Phát triển Hàng Hải</t>
  </si>
  <si>
    <t>VNC</t>
  </si>
  <si>
    <t>VINACONTROL</t>
  </si>
  <si>
    <t>VNF</t>
  </si>
  <si>
    <t>VINAFREIGHT</t>
  </si>
  <si>
    <t>VNR</t>
  </si>
  <si>
    <t>Tái bảo hiểm Quốc gia</t>
  </si>
  <si>
    <t>VNT</t>
  </si>
  <si>
    <t>Vận tải ngoại thương</t>
  </si>
  <si>
    <t>VSA</t>
  </si>
  <si>
    <t>Đại lý Hàng hải VN</t>
  </si>
  <si>
    <t>VSM</t>
  </si>
  <si>
    <t>Container Miền Trung</t>
  </si>
  <si>
    <t>VTC</t>
  </si>
  <si>
    <t>Viễn thông VTC</t>
  </si>
  <si>
    <t>VTH</t>
  </si>
  <si>
    <t>Dây cáp điện Việt Thái</t>
  </si>
  <si>
    <t>VTJ</t>
  </si>
  <si>
    <t>TM và Đầu tư VINATABA</t>
  </si>
  <si>
    <t>VTV</t>
  </si>
  <si>
    <t>Năng lượng và Môi trường VICEM</t>
  </si>
  <si>
    <t>VTZ</t>
  </si>
  <si>
    <t>Nhựa Việt Thành</t>
  </si>
  <si>
    <t>WCS</t>
  </si>
  <si>
    <t>Bến xe Miền Tây</t>
  </si>
  <si>
    <t>WSS</t>
  </si>
  <si>
    <t>Chứng khoán Phố Wall</t>
  </si>
  <si>
    <t>X20</t>
  </si>
  <si>
    <t>May mặc X20</t>
  </si>
  <si>
    <t>A32</t>
  </si>
  <si>
    <t>Công ty 32</t>
  </si>
  <si>
    <t>UPCoM</t>
  </si>
  <si>
    <t>Giầy dép</t>
  </si>
  <si>
    <t>AAH</t>
  </si>
  <si>
    <t>Than Hợp Nhất</t>
  </si>
  <si>
    <t>AAS</t>
  </si>
  <si>
    <t>Chứng khoán SmartInvest</t>
  </si>
  <si>
    <t>AAV</t>
  </si>
  <si>
    <t>AAV Group</t>
  </si>
  <si>
    <t>ABB</t>
  </si>
  <si>
    <t>Ngân hàng An Bình</t>
  </si>
  <si>
    <t>ABC</t>
  </si>
  <si>
    <t>Truyền thông VMG</t>
  </si>
  <si>
    <t>Viễn thông di động</t>
  </si>
  <si>
    <t>ABI</t>
  </si>
  <si>
    <t>BH NH Nông Nghiệp</t>
  </si>
  <si>
    <t>ABW</t>
  </si>
  <si>
    <t>Chứng khoán An Bình</t>
  </si>
  <si>
    <t>ACE</t>
  </si>
  <si>
    <t>Bê tông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</si>
  <si>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</si>
  <si>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</si>
  <si>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</si>
  <si>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</si>
  <si>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</si>
  <si>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</si>
  <si>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AG1</t>
  </si>
  <si>
    <t>28.1 JSC</t>
  </si>
  <si>
    <t>AGF</t>
  </si>
  <si>
    <t>Thủy sản An Giang</t>
  </si>
  <si>
    <t>AGM</t>
  </si>
  <si>
    <t>XNK An Giang</t>
  </si>
  <si>
    <t>AGP</t>
  </si>
  <si>
    <t>Dược phẩm AGIMEXPHARM</t>
  </si>
  <si>
    <t>AGX</t>
  </si>
  <si>
    <t>Nông sản Xuất khẩu Sài Gòn</t>
  </si>
  <si>
    <t>AIC</t>
  </si>
  <si>
    <t>Bảo hiểm DBV</t>
  </si>
  <si>
    <t>AIG</t>
  </si>
  <si>
    <t>Nguyên liệu Á Châu AIG</t>
  </si>
  <si>
    <t>ALC</t>
  </si>
  <si>
    <t>Công ty Âu Lạc</t>
  </si>
  <si>
    <t>ALV</t>
  </si>
  <si>
    <t>Tập đoàn MCST</t>
  </si>
  <si>
    <t>AMP</t>
  </si>
  <si>
    <t>Armephaco</t>
  </si>
  <si>
    <t>AMS</t>
  </si>
  <si>
    <t>Xây dựng AMECC</t>
  </si>
  <si>
    <t>ANI</t>
  </si>
  <si>
    <t>Công ty Cổ phần ANI</t>
  </si>
  <si>
    <t>APC</t>
  </si>
  <si>
    <t>Chiếu xạ An Phú</t>
  </si>
  <si>
    <t>Công nghệ sinh học</t>
  </si>
  <si>
    <t>APF</t>
  </si>
  <si>
    <t>Nông sản Quảng Ngãi</t>
  </si>
  <si>
    <t>APL</t>
  </si>
  <si>
    <t>Cơ khí và Thiết bị áp lực - VVMI</t>
  </si>
  <si>
    <t>APP</t>
  </si>
  <si>
    <t>Phụ gia và SP Dầu mỏ</t>
  </si>
  <si>
    <t>APT</t>
  </si>
  <si>
    <t>Thủy hải sản Sài Gòn</t>
  </si>
  <si>
    <t>ART</t>
  </si>
  <si>
    <t>Chứng khoán ARTEX</t>
  </si>
  <si>
    <t>ATA</t>
  </si>
  <si>
    <t>NTACO</t>
  </si>
  <si>
    <t>ATG</t>
  </si>
  <si>
    <t>ATG Planet</t>
  </si>
  <si>
    <t>AVC</t>
  </si>
  <si>
    <t>Thủy điện A Vương</t>
  </si>
  <si>
    <t>AVG</t>
  </si>
  <si>
    <t>Phân Bón Quốc Tế Âu Việt</t>
  </si>
  <si>
    <t>BAL</t>
  </si>
  <si>
    <t>Bao bì Balpac</t>
  </si>
  <si>
    <t>BBH</t>
  </si>
  <si>
    <t>Bao bì Hoàng Thạch</t>
  </si>
  <si>
    <t>BBM</t>
  </si>
  <si>
    <t>Bia Hà Nội - Nam Định</t>
  </si>
  <si>
    <t>BBT</t>
  </si>
  <si>
    <t>Bông Bạch Tuyết</t>
  </si>
  <si>
    <t>BCA</t>
  </si>
  <si>
    <t>Công ty B.C.H</t>
  </si>
  <si>
    <t>BCB</t>
  </si>
  <si>
    <t>Công ty 397</t>
  </si>
  <si>
    <t>BCG</t>
  </si>
  <si>
    <t>Bamboo Capital</t>
  </si>
  <si>
    <t>BCP</t>
  </si>
  <si>
    <t>Dược Enlie</t>
  </si>
  <si>
    <t>BCR</t>
  </si>
  <si>
    <t>BCG Land</t>
  </si>
  <si>
    <t>BCV</t>
  </si>
  <si>
    <t>DL và TM Bằng Giang - Vimico</t>
  </si>
  <si>
    <t>BDG</t>
  </si>
  <si>
    <t>May mặc Bình Dương</t>
  </si>
  <si>
    <t>BDT</t>
  </si>
  <si>
    <t>VLXD Đồng Tháp</t>
  </si>
  <si>
    <t>BDW</t>
  </si>
  <si>
    <t>Cấp thoát nước Bình Định</t>
  </si>
  <si>
    <t>BEL</t>
  </si>
  <si>
    <t>Điện tử Biên Hoà</t>
  </si>
  <si>
    <t>BGE</t>
  </si>
  <si>
    <t>BCG Energy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</si>
  <si>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</si>
  <si>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</si>
  <si>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</si>
  <si>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</si>
  <si>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</si>
  <si>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</si>
  <si>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</si>
  <si>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</si>
  <si>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BHH</t>
  </si>
  <si>
    <t>Habeco Trading 89</t>
  </si>
  <si>
    <t>BHI</t>
  </si>
  <si>
    <t>Bảo hiểm Sài Gòn - Hà Nội</t>
  </si>
  <si>
    <t>BHK</t>
  </si>
  <si>
    <t>Bia Hà Nội - Kim Bài</t>
  </si>
  <si>
    <t>BHP</t>
  </si>
  <si>
    <t>Bia Hà Nội - Hải Phòng</t>
  </si>
  <si>
    <t>BIG</t>
  </si>
  <si>
    <t>Tập đoàn Đầu tư BIG</t>
  </si>
  <si>
    <t>BIO</t>
  </si>
  <si>
    <t>Vắc xin và Sinh phẩm Nha Trang</t>
  </si>
  <si>
    <t>BLF</t>
  </si>
  <si>
    <t>Thủy sản Bạc Liêu</t>
  </si>
  <si>
    <t>BLI</t>
  </si>
  <si>
    <t>Bảo hiểm Bảo Long</t>
  </si>
  <si>
    <t>BLN</t>
  </si>
  <si>
    <t>Xe buýt Liên Ninh</t>
  </si>
  <si>
    <t>BLT</t>
  </si>
  <si>
    <t>Lương Thực Bình Định</t>
  </si>
  <si>
    <t>BMD</t>
  </si>
  <si>
    <t>Môi trường và DV Đô thị Bình Thuận</t>
  </si>
  <si>
    <t>Chất thải &amp; Môi trường</t>
  </si>
  <si>
    <t>BMF</t>
  </si>
  <si>
    <t>VLXD và Chất đốt Đồng Nai</t>
  </si>
  <si>
    <t>BMG</t>
  </si>
  <si>
    <t>May Bình Minh</t>
  </si>
  <si>
    <t>BMJ</t>
  </si>
  <si>
    <t>Khoáng sản Miền Đông AHP</t>
  </si>
  <si>
    <t>BMK</t>
  </si>
  <si>
    <t>Black Cat</t>
  </si>
  <si>
    <t>BMS</t>
  </si>
  <si>
    <t>Chứng khoán Bảo Minh</t>
  </si>
  <si>
    <t>BMV</t>
  </si>
  <si>
    <t>Bột mỳ Vinafood 1</t>
  </si>
  <si>
    <t>BNW</t>
  </si>
  <si>
    <t>Nước sạch Bắc Ninh</t>
  </si>
  <si>
    <t>BOT</t>
  </si>
  <si>
    <t>BOT Cầu Thái Hà</t>
  </si>
  <si>
    <t>BQB</t>
  </si>
  <si>
    <t>Bia Hà Nội - Quảng Bình</t>
  </si>
  <si>
    <t>BQP</t>
  </si>
  <si>
    <t>Nhựa Chất Lượng Cao Bình Thuận</t>
  </si>
  <si>
    <t>BRR</t>
  </si>
  <si>
    <t>Cao su Bà Rịa</t>
  </si>
  <si>
    <t>BRS</t>
  </si>
  <si>
    <t>Dịch vụ Đô thị Bà Rịa</t>
  </si>
  <si>
    <t>BSA</t>
  </si>
  <si>
    <t>Thủy điện Buôn Đôn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</si>
  <si>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</si>
  <si>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</si>
  <si>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</si>
  <si>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</si>
  <si>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</si>
  <si>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</si>
  <si>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BSL</t>
  </si>
  <si>
    <t>Bia Sài Gòn - Sông Lam</t>
  </si>
  <si>
    <t>BSP</t>
  </si>
  <si>
    <t>Bia Sài Gòn - Phú Thọ</t>
  </si>
  <si>
    <t>BSQ</t>
  </si>
  <si>
    <t>Bia Sài Gòn - Quảng Ngãi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</si>
  <si>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</si>
  <si>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</si>
  <si>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</si>
  <si>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</si>
  <si>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</si>
  <si>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</si>
  <si>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</si>
  <si>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</si>
  <si>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</si>
  <si>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</si>
  <si>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</si>
  <si>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</si>
  <si>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</si>
  <si>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</si>
  <si>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BTU</t>
  </si>
  <si>
    <t>Công trình Đô thị Bến Tre</t>
  </si>
  <si>
    <t>BTV</t>
  </si>
  <si>
    <t>DV Du lịch Bến Thành</t>
  </si>
  <si>
    <t>BVG</t>
  </si>
  <si>
    <t>Group Bắc Việt</t>
  </si>
  <si>
    <t>BVL</t>
  </si>
  <si>
    <t>BV Land</t>
  </si>
  <si>
    <t>BVN</t>
  </si>
  <si>
    <t>Bông Việt Nam</t>
  </si>
  <si>
    <t>BWA</t>
  </si>
  <si>
    <t>Cấp thoát nước và Xây dựng Bảo Lộc</t>
  </si>
  <si>
    <t>BWS</t>
  </si>
  <si>
    <t>Cấp Nước Bà Rịa Vũng Tàu</t>
  </si>
  <si>
    <t>C21</t>
  </si>
  <si>
    <t>Thế kỷ 21</t>
  </si>
  <si>
    <t>C22</t>
  </si>
  <si>
    <t>Công ty 22</t>
  </si>
  <si>
    <t>C4G</t>
  </si>
  <si>
    <t>Tập Đoàn Cienco4</t>
  </si>
  <si>
    <t>C92</t>
  </si>
  <si>
    <t>Xây dựng và Đầu tư 492</t>
  </si>
  <si>
    <t>CAD</t>
  </si>
  <si>
    <t>Thủy sản Cadovimex</t>
  </si>
  <si>
    <t>CAF</t>
  </si>
  <si>
    <t>Xuất nhập khẩu Nông Sản Thực Phẩm Cà Mau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</si>
  <si>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</si>
  <si>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</si>
  <si>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</si>
  <si>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</si>
  <si>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</si>
  <si>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</si>
  <si>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</si>
  <si>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</si>
  <si>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</si>
  <si>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</si>
  <si>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CCA</t>
  </si>
  <si>
    <t>XNK Thuỷ sản Cần Thơ</t>
  </si>
  <si>
    <t>CCD</t>
  </si>
  <si>
    <t>XD và Bảo trì cầu đường</t>
  </si>
  <si>
    <t>CCM</t>
  </si>
  <si>
    <t>Xi măng Cần Thơ</t>
  </si>
  <si>
    <t>CCP</t>
  </si>
  <si>
    <t>Cảng Cửa Cấm</t>
  </si>
  <si>
    <t>CCS</t>
  </si>
  <si>
    <t>Chíp Sáng</t>
  </si>
  <si>
    <t>CCT</t>
  </si>
  <si>
    <t>Cảng Cần Thơ</t>
  </si>
  <si>
    <t>CCV</t>
  </si>
  <si>
    <t>XD CN và đô thị Việt Nam</t>
  </si>
  <si>
    <t>CDG</t>
  </si>
  <si>
    <t>VLXD Cầu Đuống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</si>
  <si>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</si>
  <si>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</si>
  <si>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</si>
  <si>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</si>
  <si>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</si>
  <si>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</si>
  <si>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CEN</t>
  </si>
  <si>
    <t>CENCON Việt Nam</t>
  </si>
  <si>
    <t>CFM</t>
  </si>
  <si>
    <t>CFM Private Equity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</si>
  <si>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</si>
  <si>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</si>
  <si>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</si>
  <si>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</si>
  <si>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</si>
  <si>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</si>
  <si>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</si>
  <si>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</si>
  <si>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CHS</t>
  </si>
  <si>
    <t>Chiếu sáng TPHCM</t>
  </si>
  <si>
    <t>Tiện ích khác</t>
  </si>
  <si>
    <t>CI5</t>
  </si>
  <si>
    <t>Đầu tư Xây dựng số 5</t>
  </si>
  <si>
    <t>CID</t>
  </si>
  <si>
    <t>Xây dựng và Phát triển Cơ sở Hạ tầng</t>
  </si>
  <si>
    <t>CIP</t>
  </si>
  <si>
    <t>XL và SX công nghiệp</t>
  </si>
  <si>
    <t>CK8</t>
  </si>
  <si>
    <t>Cơ khí 120</t>
  </si>
  <si>
    <t>CKA</t>
  </si>
  <si>
    <t>Cơ khí An Giang</t>
  </si>
  <si>
    <t>CKD</t>
  </si>
  <si>
    <t>Đông Anh Licogi</t>
  </si>
  <si>
    <t>CLI</t>
  </si>
  <si>
    <t>Tập đoàn CNCTech</t>
  </si>
  <si>
    <t>Kim Loại màu</t>
  </si>
  <si>
    <t>CLX</t>
  </si>
  <si>
    <t>XNK và ĐT Chợ Lớn (CHOLIMEX)</t>
  </si>
  <si>
    <t>CMD</t>
  </si>
  <si>
    <t>VLXD và Nội thất TP.HCM</t>
  </si>
  <si>
    <t>CMF</t>
  </si>
  <si>
    <t>Thực phẩm Cholimex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</si>
  <si>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</si>
  <si>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</si>
  <si>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</si>
  <si>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</si>
  <si>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</si>
  <si>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</si>
  <si>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</si>
  <si>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>Colusa -  Miliket</t>
  </si>
  <si>
    <t>CMP</t>
  </si>
  <si>
    <t>Cảng Chân Mây</t>
  </si>
  <si>
    <t>CMT</t>
  </si>
  <si>
    <t>CN mạng và Truyền thông</t>
  </si>
  <si>
    <t>CMW</t>
  </si>
  <si>
    <t>Cấp nước Cà Mau</t>
  </si>
  <si>
    <t>CNA</t>
  </si>
  <si>
    <t>Tổng công ty Chè Nghệ An - CTCP</t>
  </si>
  <si>
    <t>CNC</t>
  </si>
  <si>
    <t>Công nghệ cao Traphaco</t>
  </si>
  <si>
    <t>CNN</t>
  </si>
  <si>
    <t>Xây dựng Coninco</t>
  </si>
  <si>
    <t>CNT</t>
  </si>
  <si>
    <t>Tập đoàn CNT</t>
  </si>
  <si>
    <t>CPA</t>
  </si>
  <si>
    <t>Cà phê Phước An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</si>
  <si>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</si>
  <si>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</si>
  <si>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</si>
  <si>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</si>
  <si>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</si>
  <si>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</si>
  <si>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</si>
  <si>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</si>
  <si>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CSI</t>
  </si>
  <si>
    <t>Chứng khoán Kirin</t>
  </si>
  <si>
    <t>CT3</t>
  </si>
  <si>
    <t>Xây dựng công trình 3</t>
  </si>
  <si>
    <t>CT6</t>
  </si>
  <si>
    <t>Công trình 6</t>
  </si>
  <si>
    <t>CTC</t>
  </si>
  <si>
    <t>Tập đoàn Hoàng Kim Tây Nguyên</t>
  </si>
  <si>
    <t>CTW</t>
  </si>
  <si>
    <t>Cấp thoát nước Cần Thơ</t>
  </si>
  <si>
    <t>CTX</t>
  </si>
  <si>
    <t>CONSTREXIM</t>
  </si>
  <si>
    <t>CVN</t>
  </si>
  <si>
    <t>Vinam Group</t>
  </si>
  <si>
    <t>CYC</t>
  </si>
  <si>
    <t>Gạch men Chang YIH</t>
  </si>
  <si>
    <t>DAC</t>
  </si>
  <si>
    <t>CTCP 382 Đông Anh</t>
  </si>
  <si>
    <t>DAG</t>
  </si>
  <si>
    <t>TĐ Nhựa Đông Á</t>
  </si>
  <si>
    <t>DAN</t>
  </si>
  <si>
    <t>Dược Danapha</t>
  </si>
  <si>
    <t>DAS</t>
  </si>
  <si>
    <t>Thiết bị Dầu khí Đà Nẵng</t>
  </si>
  <si>
    <t>DBM</t>
  </si>
  <si>
    <t>BAMEPHARM</t>
  </si>
  <si>
    <t>DC1</t>
  </si>
  <si>
    <t>Phát triển Xây dựng số 1 (DIC1)</t>
  </si>
  <si>
    <t>DCF</t>
  </si>
  <si>
    <t>XD và Thiết kế số 1</t>
  </si>
  <si>
    <t>DCG</t>
  </si>
  <si>
    <t>May Đáp Cầu</t>
  </si>
  <si>
    <t>DCH</t>
  </si>
  <si>
    <t>Địa chính Hà Nội</t>
  </si>
  <si>
    <t>DCR</t>
  </si>
  <si>
    <t>Gạch men COSEVCO</t>
  </si>
  <si>
    <t>DCS</t>
  </si>
  <si>
    <t>Tập đoàn EDX</t>
  </si>
  <si>
    <t>DCT</t>
  </si>
  <si>
    <t>Tấm lợp VLXD Đồng Nai</t>
  </si>
  <si>
    <t>DCV</t>
  </si>
  <si>
    <t>Quản Lý Quỹ Dragon Capital Việt Nam</t>
  </si>
  <si>
    <t>Quản lý tài sản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</si>
  <si>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</si>
  <si>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</si>
  <si>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</si>
  <si>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</si>
  <si>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</si>
  <si>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</si>
  <si>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</si>
  <si>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</si>
  <si>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</si>
  <si>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</si>
  <si>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</si>
  <si>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</si>
  <si>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</si>
  <si>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</si>
  <si>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</si>
  <si>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</si>
  <si>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DGT</t>
  </si>
  <si>
    <t>Công trình GT Đồng Nai</t>
  </si>
  <si>
    <t>DHB</t>
  </si>
  <si>
    <t>Đạm Hà Bắc</t>
  </si>
  <si>
    <t>DHD</t>
  </si>
  <si>
    <t>Dược Vật Tư Y Tế Hải Dương</t>
  </si>
  <si>
    <t>DHN</t>
  </si>
  <si>
    <t>Dược Hà Nội</t>
  </si>
  <si>
    <t>DHQ</t>
  </si>
  <si>
    <t>Duyên hải Quảng Ninh</t>
  </si>
  <si>
    <t>DIC</t>
  </si>
  <si>
    <t>ĐT và TM DIC</t>
  </si>
  <si>
    <t>DID</t>
  </si>
  <si>
    <t>DIC - Đồng Tiến</t>
  </si>
  <si>
    <t>DKC</t>
  </si>
  <si>
    <t>Chợ Lạng Sơn</t>
  </si>
  <si>
    <t>DKG</t>
  </si>
  <si>
    <t>Tập đoàn DamiK</t>
  </si>
  <si>
    <t>DLD</t>
  </si>
  <si>
    <t>Du lịch Đắk Lắk</t>
  </si>
  <si>
    <t>DLR</t>
  </si>
  <si>
    <t>Địa ốc Đà Lạt</t>
  </si>
  <si>
    <t>DLT</t>
  </si>
  <si>
    <t>Du lịch và TM - Vinacomin</t>
  </si>
  <si>
    <t>DM7</t>
  </si>
  <si>
    <t>Dệt may 7</t>
  </si>
  <si>
    <t>DMH</t>
  </si>
  <si>
    <t>Dược Minh Hải</t>
  </si>
  <si>
    <t>DMN</t>
  </si>
  <si>
    <t>Domenal</t>
  </si>
  <si>
    <t>DNA</t>
  </si>
  <si>
    <t>Điện nước An Giang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</si>
  <si>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</si>
  <si>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</si>
  <si>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</si>
  <si>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</si>
  <si>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</si>
  <si>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</si>
  <si>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</si>
  <si>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</si>
  <si>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</si>
  <si>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</si>
  <si>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Dụng cụ y tế</t>
  </si>
  <si>
    <t>DNN</t>
  </si>
  <si>
    <t>Cấp nước Đà Nẵng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</si>
  <si>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</si>
  <si>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</si>
  <si>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</si>
  <si>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</si>
  <si>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</si>
  <si>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</si>
  <si>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</si>
  <si>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</si>
  <si>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</si>
  <si>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</si>
  <si>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</si>
  <si>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</si>
  <si>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</si>
  <si>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</si>
  <si>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DPC</t>
  </si>
  <si>
    <t>Nhựa Đà Nẵng</t>
  </si>
  <si>
    <t>DPH</t>
  </si>
  <si>
    <t>Dược phẩm Hải Phòng</t>
  </si>
  <si>
    <t>DPP</t>
  </si>
  <si>
    <t>Dược Đồng Nai</t>
  </si>
  <si>
    <t>DRG</t>
  </si>
  <si>
    <t>Cao su Đắk Lắk</t>
  </si>
  <si>
    <t>DRI</t>
  </si>
  <si>
    <t>Đầu tư Cao su Đắk Lắk</t>
  </si>
  <si>
    <t>DSD</t>
  </si>
  <si>
    <t>DHC Suối Đôi</t>
  </si>
  <si>
    <t>DSG</t>
  </si>
  <si>
    <t>Kính Đáp Cầu</t>
  </si>
  <si>
    <t>DSH</t>
  </si>
  <si>
    <t>Đông Sơn Holdings</t>
  </si>
  <si>
    <t>DSP</t>
  </si>
  <si>
    <t>Dịch vụ Du lịch Phú Thọ</t>
  </si>
  <si>
    <t>DTC</t>
  </si>
  <si>
    <t>Viglacera Đông Triều</t>
  </si>
  <si>
    <t>DTH</t>
  </si>
  <si>
    <t>Vật tư Y tế Thanh Hóa</t>
  </si>
  <si>
    <t>DTI</t>
  </si>
  <si>
    <t>Đầu tư Đức Trung</t>
  </si>
  <si>
    <t>DTP</t>
  </si>
  <si>
    <t>Dược phẩm CPC1 Hà Nội</t>
  </si>
  <si>
    <t>DTR</t>
  </si>
  <si>
    <t>Dong Tay Land Corp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</si>
  <si>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</si>
  <si>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</si>
  <si>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</si>
  <si>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</si>
  <si>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</si>
  <si>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</si>
  <si>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DVN</t>
  </si>
  <si>
    <t>Tổng Công ty Dược Việt Nam</t>
  </si>
  <si>
    <t>DVT</t>
  </si>
  <si>
    <t>ĐT &amp; DV GTVT Bình Định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</si>
  <si>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</si>
  <si>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</si>
  <si>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</si>
  <si>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</si>
  <si>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</si>
  <si>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</si>
  <si>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DXL</t>
  </si>
  <si>
    <t>Du lịch và Xuất nhập khẩu Lạng Sơn</t>
  </si>
  <si>
    <t>E12</t>
  </si>
  <si>
    <t>XD Điện VNECO 12</t>
  </si>
  <si>
    <t>E29</t>
  </si>
  <si>
    <t>Đầu tư XD và Kỹ thuật 29</t>
  </si>
  <si>
    <t>ECO</t>
  </si>
  <si>
    <t>Ecoplastic VN</t>
  </si>
  <si>
    <t>EFI</t>
  </si>
  <si>
    <t>Tài chính giáo dục</t>
  </si>
  <si>
    <t>EGL</t>
  </si>
  <si>
    <t>Urenco Gia Lam.,Jsc</t>
  </si>
  <si>
    <t>EIC</t>
  </si>
  <si>
    <t>EVN Quốc Tế</t>
  </si>
  <si>
    <t>EIN</t>
  </si>
  <si>
    <t>Đầu tư - TM - DV Điện lực</t>
  </si>
  <si>
    <t>EME</t>
  </si>
  <si>
    <t>Điện Cơ</t>
  </si>
  <si>
    <t>EMG</t>
  </si>
  <si>
    <t>Thiết bị phụ tùng cơ điện</t>
  </si>
  <si>
    <t>EMS</t>
  </si>
  <si>
    <t>Chuyển phát nhanh Bưu điện</t>
  </si>
  <si>
    <t>ESL</t>
  </si>
  <si>
    <t>Tiếp vận Đông Sài Gòn</t>
  </si>
  <si>
    <t>F88</t>
  </si>
  <si>
    <t>Đầu tư F88</t>
  </si>
  <si>
    <t>FBC</t>
  </si>
  <si>
    <t>Cơ khí Phổ Yên</t>
  </si>
  <si>
    <t>FCC</t>
  </si>
  <si>
    <t>Liên hợp Thực phẩm</t>
  </si>
  <si>
    <t>FCS</t>
  </si>
  <si>
    <t>Lương thực TP Hồ Chí Minh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</si>
  <si>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</si>
  <si>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</si>
  <si>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</si>
  <si>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</si>
  <si>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</si>
  <si>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</si>
  <si>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</si>
  <si>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</si>
  <si>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</si>
  <si>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</si>
  <si>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FOC</t>
  </si>
  <si>
    <t>FPT Online</t>
  </si>
  <si>
    <t>FOX</t>
  </si>
  <si>
    <t>FPT Telecom</t>
  </si>
  <si>
    <t>FRC</t>
  </si>
  <si>
    <t>Lâm đặc sản xuất khẩu Quảng Nam</t>
  </si>
  <si>
    <t>FRM</t>
  </si>
  <si>
    <t>Lâm nghiệp Sài Gòn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</si>
  <si>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</si>
  <si>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</si>
  <si>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</si>
  <si>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</si>
  <si>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</si>
  <si>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</si>
  <si>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Phụ tùng ô tô</t>
  </si>
  <si>
    <t>FTM</t>
  </si>
  <si>
    <t>Phát triển Đức Quân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</si>
  <si>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</si>
  <si>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</si>
  <si>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</si>
  <si>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</si>
  <si>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</si>
  <si>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</si>
  <si>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</si>
  <si>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</si>
  <si>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GCB</t>
  </si>
  <si>
    <t>PETEC Bình Định</t>
  </si>
  <si>
    <t>GCF</t>
  </si>
  <si>
    <t>Thực phẩm G.C</t>
  </si>
  <si>
    <t>GDA</t>
  </si>
  <si>
    <t>Tôn Đông Á</t>
  </si>
  <si>
    <t>GDH</t>
  </si>
  <si>
    <t>Tập đoàn GDC</t>
  </si>
  <si>
    <t>GE2</t>
  </si>
  <si>
    <t>Tổng Công ty Phát điện 2</t>
  </si>
  <si>
    <t>GER</t>
  </si>
  <si>
    <t>Thể thao Ngôi sao Geru</t>
  </si>
  <si>
    <t>GGG</t>
  </si>
  <si>
    <t>Ôtô Giải Phóng</t>
  </si>
  <si>
    <t>GH3</t>
  </si>
  <si>
    <t>Công trình giao thông Hà Nội</t>
  </si>
  <si>
    <t>GLC</t>
  </si>
  <si>
    <t>Vàng Lào Cai</t>
  </si>
  <si>
    <t>Khai thác vàng</t>
  </si>
  <si>
    <t>GLW</t>
  </si>
  <si>
    <t>Cấp thoát nước Gia Lai</t>
  </si>
  <si>
    <t>GMC</t>
  </si>
  <si>
    <t>Garmex Sài Gòn</t>
  </si>
  <si>
    <t>GND</t>
  </si>
  <si>
    <t>Gạch ngói Đồng Nai</t>
  </si>
  <si>
    <t>GPC</t>
  </si>
  <si>
    <t>Tập đoàn Green+</t>
  </si>
  <si>
    <t>GSM</t>
  </si>
  <si>
    <t>Thủy điện Hương Sơn</t>
  </si>
  <si>
    <t>GTD</t>
  </si>
  <si>
    <t>Giầy Thượng Đình</t>
  </si>
  <si>
    <t>GTS</t>
  </si>
  <si>
    <t>Công trình Giao thông Sài Gòn</t>
  </si>
  <si>
    <t>GTT</t>
  </si>
  <si>
    <t>Thuận Thảo Group</t>
  </si>
  <si>
    <t>GTX</t>
  </si>
  <si>
    <t>Global Tanker</t>
  </si>
  <si>
    <t>GVT</t>
  </si>
  <si>
    <t>Giấy Việt Trì</t>
  </si>
  <si>
    <t>H11</t>
  </si>
  <si>
    <t>Xây dựng HUD101</t>
  </si>
  <si>
    <t>HAC</t>
  </si>
  <si>
    <t>Chứng khoán Hải Phòng</t>
  </si>
  <si>
    <t>HAF</t>
  </si>
  <si>
    <t>Thực phẩm Hà Nội</t>
  </si>
  <si>
    <t>HAM</t>
  </si>
  <si>
    <t>Vật tư Hậu Giang</t>
  </si>
  <si>
    <t>HAN</t>
  </si>
  <si>
    <t>Xây dựng Hà Nội</t>
  </si>
  <si>
    <t>HAV</t>
  </si>
  <si>
    <t>Rượu Hapro</t>
  </si>
  <si>
    <t>HBC</t>
  </si>
  <si>
    <t>Tập đoàn Xây dựng Hòa Bình</t>
  </si>
  <si>
    <t>HBD</t>
  </si>
  <si>
    <t>Bao bì PP Bình Dương</t>
  </si>
  <si>
    <t>HBH</t>
  </si>
  <si>
    <t>HABECO Hải Phòng</t>
  </si>
  <si>
    <t>HC1</t>
  </si>
  <si>
    <t>Xây dựng số 1 Hà Nội</t>
  </si>
  <si>
    <t>HC3</t>
  </si>
  <si>
    <t>Xây dựng số 3 Hải Phòng</t>
  </si>
  <si>
    <t>HCI</t>
  </si>
  <si>
    <t>Đầu tư - XD Hà Nội</t>
  </si>
  <si>
    <t>HCO</t>
  </si>
  <si>
    <t>Bánh kẹo Hải Châu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</si>
  <si>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</si>
  <si>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</si>
  <si>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</si>
  <si>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</si>
  <si>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</si>
  <si>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</si>
  <si>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HDM</t>
  </si>
  <si>
    <t>Dệt May Huế</t>
  </si>
  <si>
    <t>HDP</t>
  </si>
  <si>
    <t>Dược Hà Tĩnh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</si>
  <si>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</si>
  <si>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</si>
  <si>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</si>
  <si>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</si>
  <si>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</si>
  <si>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</si>
  <si>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</si>
  <si>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</si>
  <si>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</si>
  <si>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</si>
  <si>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HFB</t>
  </si>
  <si>
    <t>Công trình Cầu phà TP HCM</t>
  </si>
  <si>
    <t>HFC</t>
  </si>
  <si>
    <t>Xăng dầu HFC</t>
  </si>
  <si>
    <t>HFX</t>
  </si>
  <si>
    <t>XNK Thanh Hà</t>
  </si>
  <si>
    <t>HGT</t>
  </si>
  <si>
    <t>Du lịch Hương Giang</t>
  </si>
  <si>
    <t>HHB</t>
  </si>
  <si>
    <t>Bia Hà Nội - Hồng Hà</t>
  </si>
  <si>
    <t>HHG</t>
  </si>
  <si>
    <t>Vận tải Hoàng Hà</t>
  </si>
  <si>
    <t>HHI</t>
  </si>
  <si>
    <t>Hoàng Hạc</t>
  </si>
  <si>
    <t>HHN</t>
  </si>
  <si>
    <t>Vận tải và DV Hàng hóa Hà Nội</t>
  </si>
  <si>
    <t>HIO</t>
  </si>
  <si>
    <t>Helio Energy</t>
  </si>
  <si>
    <t>HJC</t>
  </si>
  <si>
    <t>Công ty Cổ phần Hoà Việt</t>
  </si>
  <si>
    <t>HKB</t>
  </si>
  <si>
    <t>Thực phẩm Hà Nội - Kinh Bắc</t>
  </si>
  <si>
    <t>HLA</t>
  </si>
  <si>
    <t>Hữu Liên Á Châu</t>
  </si>
  <si>
    <t>HLB</t>
  </si>
  <si>
    <t>Bia và NGK Hạ Long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</si>
  <si>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</si>
  <si>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</si>
  <si>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</si>
  <si>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</si>
  <si>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</si>
  <si>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</si>
  <si>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</si>
  <si>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</si>
  <si>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HMD</t>
  </si>
  <si>
    <t>Hóa chất Minh Đức</t>
  </si>
  <si>
    <t>HMG</t>
  </si>
  <si>
    <t>Kim Khí Hà Nội</t>
  </si>
  <si>
    <t>HMS</t>
  </si>
  <si>
    <t>XD Bảo tàng Hồ Chí Minh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</si>
  <si>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</si>
  <si>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</si>
  <si>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</si>
  <si>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</si>
  <si>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</si>
  <si>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</si>
  <si>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</si>
  <si>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</si>
  <si>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</si>
  <si>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</si>
  <si>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</si>
  <si>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</si>
  <si>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</si>
  <si>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</si>
  <si>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</si>
  <si>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</si>
  <si>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</si>
  <si>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</si>
  <si>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HOT</t>
  </si>
  <si>
    <t>Du lịch - DV Hội An</t>
  </si>
  <si>
    <t>HPB</t>
  </si>
  <si>
    <t>Bao bì PP</t>
  </si>
  <si>
    <t>HPD</t>
  </si>
  <si>
    <t>Thủy điện Đăk Đoa</t>
  </si>
  <si>
    <t>HPH</t>
  </si>
  <si>
    <t>Hóa Chất Hưng Phát Hà Bắc</t>
  </si>
  <si>
    <t>HPI</t>
  </si>
  <si>
    <t>Khu công nghiệp Hiệp Phước</t>
  </si>
  <si>
    <t>HPO</t>
  </si>
  <si>
    <t>Công nghiệp Hapulico</t>
  </si>
  <si>
    <t>HPP</t>
  </si>
  <si>
    <t>Sơn Hải Phòng</t>
  </si>
  <si>
    <t>HPT</t>
  </si>
  <si>
    <t>DV Công nghệ Tin học HPT</t>
  </si>
  <si>
    <t>HPW</t>
  </si>
  <si>
    <t>Cấp nước Hải Phòng</t>
  </si>
  <si>
    <t>HRB</t>
  </si>
  <si>
    <t>Harec Đầu tư và Thương Mại</t>
  </si>
  <si>
    <t>HSA</t>
  </si>
  <si>
    <t>HESTIA</t>
  </si>
  <si>
    <t>HSM</t>
  </si>
  <si>
    <t>HANOSIMEX</t>
  </si>
  <si>
    <t>HSP</t>
  </si>
  <si>
    <t>Sơn Tổng hợp Hà Nội</t>
  </si>
  <si>
    <t>HSV</t>
  </si>
  <si>
    <t>Tập đoàn HSV Việt Nam</t>
  </si>
  <si>
    <t>HT9</t>
  </si>
  <si>
    <t>Phát triển hạ tầng 319</t>
  </si>
  <si>
    <t>HTE</t>
  </si>
  <si>
    <t>Kinh doanh điện lực TP HCM</t>
  </si>
  <si>
    <t>HTM</t>
  </si>
  <si>
    <t>Thương mại Hà Nội - Hapro</t>
  </si>
  <si>
    <t>HTP</t>
  </si>
  <si>
    <t>In SGK Hòa Phát</t>
  </si>
  <si>
    <t>HTS</t>
  </si>
  <si>
    <t>Thép Hương Thịnh</t>
  </si>
  <si>
    <t>HTT</t>
  </si>
  <si>
    <t>Thương mại Hà Tây</t>
  </si>
  <si>
    <t>HU3</t>
  </si>
  <si>
    <t>Xây dựng HUD3</t>
  </si>
  <si>
    <t>HU4</t>
  </si>
  <si>
    <t>Đầu tư và Xây dựng HUD4</t>
  </si>
  <si>
    <t>HU6</t>
  </si>
  <si>
    <t>PT Nhà và Đô thị HUD6</t>
  </si>
  <si>
    <t>HUG</t>
  </si>
  <si>
    <t>May Hưng Yên</t>
  </si>
  <si>
    <t>HVA</t>
  </si>
  <si>
    <t>Đầu tư HVA</t>
  </si>
  <si>
    <t>HVX</t>
  </si>
  <si>
    <t>Xi măng Vicem Hải Vân</t>
  </si>
  <si>
    <t>HWI</t>
  </si>
  <si>
    <t>Đầu tư XD hạ tầng nước sạch Hà Nội</t>
  </si>
  <si>
    <t>HWS</t>
  </si>
  <si>
    <t>Cấp nước Huế</t>
  </si>
  <si>
    <t>IBD</t>
  </si>
  <si>
    <t>In Tổng hợp Bình Dương</t>
  </si>
  <si>
    <t>ICC</t>
  </si>
  <si>
    <t>Xây dựng công nghiệp</t>
  </si>
  <si>
    <t>ICF</t>
  </si>
  <si>
    <t>ĐT TM Thủy sản</t>
  </si>
  <si>
    <t>ICI</t>
  </si>
  <si>
    <t>Đầu tư và XD Công nghiệp</t>
  </si>
  <si>
    <t>ICL</t>
  </si>
  <si>
    <t>Xuất Nhập Khẩu Vĩnh Long</t>
  </si>
  <si>
    <t>ICN</t>
  </si>
  <si>
    <t>XD Dầu Khí IDICO</t>
  </si>
  <si>
    <t>IDP</t>
  </si>
  <si>
    <t>Sữa Quốc tế LOF</t>
  </si>
  <si>
    <t>IFS</t>
  </si>
  <si>
    <t>Thực phẩm Quốc tế</t>
  </si>
  <si>
    <t>ILA</t>
  </si>
  <si>
    <t>Công ty ILA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</si>
  <si>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</si>
  <si>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</si>
  <si>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</si>
  <si>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</si>
  <si>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</si>
  <si>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</si>
  <si>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IN4</t>
  </si>
  <si>
    <t>In số 4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</si>
  <si>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</si>
  <si>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</si>
  <si>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</si>
  <si>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</si>
  <si>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</si>
  <si>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</si>
  <si>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</si>
  <si>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</si>
  <si>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</si>
  <si>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</si>
  <si>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ITS</t>
  </si>
  <si>
    <t>Thương mại và DV - Vinacomin</t>
  </si>
  <si>
    <t>JOS</t>
  </si>
  <si>
    <t>Thủy sản Minh Hải</t>
  </si>
  <si>
    <t>KCB</t>
  </si>
  <si>
    <t>Khoáng Sản Luyện Kim Cao Bằng</t>
  </si>
  <si>
    <t>KGM</t>
  </si>
  <si>
    <t>XNK Kiên Giang</t>
  </si>
  <si>
    <t>KHD</t>
  </si>
  <si>
    <t>Khoáng sản Hải Dương</t>
  </si>
  <si>
    <t>KHW</t>
  </si>
  <si>
    <t>Cấp thoát nước Khánh Hòa</t>
  </si>
  <si>
    <t>KHX</t>
  </si>
  <si>
    <t>Fahasa Khanh Hoa</t>
  </si>
  <si>
    <t>KIP</t>
  </si>
  <si>
    <t>K.I.P Việt Nam</t>
  </si>
  <si>
    <t>KNA</t>
  </si>
  <si>
    <t>Khoáng sản Nghệ An</t>
  </si>
  <si>
    <t>KPF</t>
  </si>
  <si>
    <t>Đầu tư Tài sản KOJI</t>
  </si>
  <si>
    <t>KSQ</t>
  </si>
  <si>
    <t>CNC Capital Việt Nam</t>
  </si>
  <si>
    <t>KTC</t>
  </si>
  <si>
    <t>Thương mại Kiên Giang</t>
  </si>
  <si>
    <t>KTL</t>
  </si>
  <si>
    <t>Kim khí Thăng Long</t>
  </si>
  <si>
    <t>KTT</t>
  </si>
  <si>
    <t>Tập đoàn Đầu tư KTT</t>
  </si>
  <si>
    <t>KVC</t>
  </si>
  <si>
    <t>XNK Inox Kim Vĩ</t>
  </si>
  <si>
    <t>L12</t>
  </si>
  <si>
    <t>LICOGI 12</t>
  </si>
  <si>
    <t>L35</t>
  </si>
  <si>
    <t>Cơ khí Lilama</t>
  </si>
  <si>
    <t>L43</t>
  </si>
  <si>
    <t>LILAMA 45.3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</si>
  <si>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</si>
  <si>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</si>
  <si>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</si>
  <si>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</si>
  <si>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</si>
  <si>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</si>
  <si>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</si>
  <si>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</si>
  <si>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LAI</t>
  </si>
  <si>
    <t>XD Long An IDICO</t>
  </si>
  <si>
    <t>LAW</t>
  </si>
  <si>
    <t>Cấp thoát nước Long An</t>
  </si>
  <si>
    <t>LCM</t>
  </si>
  <si>
    <t>Khoáng sản Lào Cai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</si>
  <si>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</si>
  <si>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</si>
  <si>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</si>
  <si>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</si>
  <si>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</si>
  <si>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</si>
  <si>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LIC</t>
  </si>
  <si>
    <t>LICOGI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</si>
  <si>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</si>
  <si>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</si>
  <si>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</si>
  <si>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</si>
  <si>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</si>
  <si>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</si>
  <si>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</si>
  <si>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</si>
  <si>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LMC</t>
  </si>
  <si>
    <t>LUMI Holdings</t>
  </si>
  <si>
    <t>LMH</t>
  </si>
  <si>
    <t>CTCP Quốc Tế Holding</t>
  </si>
  <si>
    <t>LMI</t>
  </si>
  <si>
    <t>Lắp máy IDICO</t>
  </si>
  <si>
    <t>LNC</t>
  </si>
  <si>
    <t>Lệ Ninh - Quảng Bình</t>
  </si>
  <si>
    <t>LO5</t>
  </si>
  <si>
    <t>LILAMA 5</t>
  </si>
  <si>
    <t>LPT</t>
  </si>
  <si>
    <t>TM và SX Lập Phương Thành</t>
  </si>
  <si>
    <t>LQN</t>
  </si>
  <si>
    <t>Licogi Quảng Ngãi</t>
  </si>
  <si>
    <t>LSG</t>
  </si>
  <si>
    <t>BĐS Sài Gòn Vina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</si>
  <si>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</si>
  <si>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</si>
  <si>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</si>
  <si>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</si>
  <si>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</si>
  <si>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</si>
  <si>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</si>
  <si>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</si>
  <si>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</si>
  <si>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Tổng công ty May 10</t>
  </si>
  <si>
    <t>MA1</t>
  </si>
  <si>
    <t>MACHINCO1</t>
  </si>
  <si>
    <t>MBN</t>
  </si>
  <si>
    <t>Môi trường và Công trình ĐT Bắc Ninh</t>
  </si>
  <si>
    <t>MBT</t>
  </si>
  <si>
    <t>BĐS cho thuê Minh Bảo Tín</t>
  </si>
  <si>
    <t>MCG</t>
  </si>
  <si>
    <t>Năng lượng và Bất động sản MCG</t>
  </si>
  <si>
    <t>MDA</t>
  </si>
  <si>
    <t>Môi trường Đô thị Đông Anh</t>
  </si>
  <si>
    <t>MDF</t>
  </si>
  <si>
    <t>Gỗ MDF VRG - Quảng Trị</t>
  </si>
  <si>
    <t>MEC</t>
  </si>
  <si>
    <t>Lắp máy Sông Đà</t>
  </si>
  <si>
    <t>MEF</t>
  </si>
  <si>
    <t>MEINFA</t>
  </si>
  <si>
    <t>MES</t>
  </si>
  <si>
    <t>Cơ điện Công trình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</si>
  <si>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</si>
  <si>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</si>
  <si>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</si>
  <si>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</si>
  <si>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</si>
  <si>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</si>
  <si>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</si>
  <si>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</si>
  <si>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</si>
  <si>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</si>
  <si>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MHL</t>
  </si>
  <si>
    <t>Minh Hữu Liên</t>
  </si>
  <si>
    <t>MIE</t>
  </si>
  <si>
    <t>Máy và Thiết bị Công nghiệp</t>
  </si>
  <si>
    <t>MKP</t>
  </si>
  <si>
    <t>Dược phẩm Mekophar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</si>
  <si>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</si>
  <si>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</si>
  <si>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</si>
  <si>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</si>
  <si>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</si>
  <si>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</si>
  <si>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</si>
  <si>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</si>
  <si>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</si>
  <si>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</si>
  <si>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</si>
  <si>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</si>
  <si>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</si>
  <si>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</si>
  <si>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</si>
  <si>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</si>
  <si>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</si>
  <si>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</si>
  <si>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</si>
  <si>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</si>
  <si>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</si>
  <si>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</si>
  <si>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MSR</t>
  </si>
  <si>
    <t>Masan High-Tech Materials</t>
  </si>
  <si>
    <t>MT7</t>
  </si>
  <si>
    <t>Công Ty Cổ Phần Minh Thành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</si>
  <si>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</si>
  <si>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</si>
  <si>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</si>
  <si>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</si>
  <si>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</si>
  <si>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</si>
  <si>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MTG</t>
  </si>
  <si>
    <t>MTGAS</t>
  </si>
  <si>
    <t>MTH</t>
  </si>
  <si>
    <t>Môi trường Đô thị Hà Đông</t>
  </si>
  <si>
    <t>MTL</t>
  </si>
  <si>
    <t>Môi trường Đô thị Từ Liêm</t>
  </si>
  <si>
    <t>MTP</t>
  </si>
  <si>
    <t>Dược Medipharco</t>
  </si>
  <si>
    <t>MTS</t>
  </si>
  <si>
    <t>Vật tư - TKV</t>
  </si>
  <si>
    <t>MTV</t>
  </si>
  <si>
    <t>Công trình đô thị Vũng Tàu</t>
  </si>
  <si>
    <t>MVC</t>
  </si>
  <si>
    <t>VL và XD Bình Dương</t>
  </si>
  <si>
    <t>MVN</t>
  </si>
  <si>
    <t>TCT Hàng hải Việt Nam</t>
  </si>
  <si>
    <t>NAC</t>
  </si>
  <si>
    <t>Tư vấn xây dựng Tổng hợp</t>
  </si>
  <si>
    <t>NAS</t>
  </si>
  <si>
    <t>DV Hàng không SB Việt Nam</t>
  </si>
  <si>
    <t>NAU</t>
  </si>
  <si>
    <t>Công trình Đô thị Nghệ An</t>
  </si>
  <si>
    <t>NAW</t>
  </si>
  <si>
    <t>Cấp nước Nghệ An</t>
  </si>
  <si>
    <t>NBE</t>
  </si>
  <si>
    <t>Sách và Thiết bị GD Miền Bắc</t>
  </si>
  <si>
    <t>NBT</t>
  </si>
  <si>
    <t>Cấp thoát nước Bến Tre</t>
  </si>
  <si>
    <t>NCG</t>
  </si>
  <si>
    <t>Đầu tư Anova Agri</t>
  </si>
  <si>
    <t>NCS</t>
  </si>
  <si>
    <t>Suất ăn Hàng không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</si>
  <si>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</si>
  <si>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</si>
  <si>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</si>
  <si>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</si>
  <si>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</si>
  <si>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</si>
  <si>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NDP</t>
  </si>
  <si>
    <t>Dược phẩm 2/9</t>
  </si>
  <si>
    <t>NDT</t>
  </si>
  <si>
    <t>Dệt may Nam Định</t>
  </si>
  <si>
    <t>NDW</t>
  </si>
  <si>
    <t>Cấp nước Nam Định</t>
  </si>
  <si>
    <t>NED</t>
  </si>
  <si>
    <t>Phát triển Điện Tây Bắc</t>
  </si>
  <si>
    <t>NGC</t>
  </si>
  <si>
    <t>Thủy sản Ngô Quyền</t>
  </si>
  <si>
    <t>NHD</t>
  </si>
  <si>
    <t>Dược phẩm Nam Hà</t>
  </si>
  <si>
    <t>NHV</t>
  </si>
  <si>
    <t>CTCP  Sức khỏe Hồi sinh Việt Nam</t>
  </si>
  <si>
    <t>NJC</t>
  </si>
  <si>
    <t>May Nam Định</t>
  </si>
  <si>
    <t>NLS</t>
  </si>
  <si>
    <t>Cấp thoát nước Lạng Sơn</t>
  </si>
  <si>
    <t>NNT</t>
  </si>
  <si>
    <t>Cấp nước Ninh Thuận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</si>
  <si>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</si>
  <si>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</si>
  <si>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</si>
  <si>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</si>
  <si>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</si>
  <si>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</si>
  <si>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NSG</t>
  </si>
  <si>
    <t>Nhựa Sài Gòn</t>
  </si>
  <si>
    <t>NSL</t>
  </si>
  <si>
    <t>Cấp nước Sơn La</t>
  </si>
  <si>
    <t>NSS</t>
  </si>
  <si>
    <t>Nông súc sản Đồng Nai</t>
  </si>
  <si>
    <t>NTF</t>
  </si>
  <si>
    <t>Dược Nghệ An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</si>
  <si>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</si>
  <si>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</si>
  <si>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</si>
  <si>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</si>
  <si>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</si>
  <si>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</si>
  <si>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NVP</t>
  </si>
  <si>
    <t>Nước sạch Vĩnh Phúc</t>
  </si>
  <si>
    <t>NWT</t>
  </si>
  <si>
    <t>Vận tải Newway</t>
  </si>
  <si>
    <t>NXT</t>
  </si>
  <si>
    <t>SX và Cung ứng VLXD Kon Tum</t>
  </si>
  <si>
    <t>ODE</t>
  </si>
  <si>
    <t>Tập đoàn Truyền thông và Giải trí ODE</t>
  </si>
  <si>
    <t>OIL</t>
  </si>
  <si>
    <t>PV Oil</t>
  </si>
  <si>
    <t>ONW</t>
  </si>
  <si>
    <t>Tập đoàn ONW</t>
  </si>
  <si>
    <t>PAI</t>
  </si>
  <si>
    <t>CNTT, VT và Tự động hóa Dầu khí - PAIC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</si>
  <si>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</si>
  <si>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</si>
  <si>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</si>
  <si>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</si>
  <si>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</si>
  <si>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</si>
  <si>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</si>
  <si>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</si>
  <si>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PBT</t>
  </si>
  <si>
    <t>Bao bì và TM Dầu khí Bình Sơn</t>
  </si>
  <si>
    <t>PCB</t>
  </si>
  <si>
    <t>PVcomBank</t>
  </si>
  <si>
    <t>PCC</t>
  </si>
  <si>
    <t>Xây lắp 1- Petrolimex</t>
  </si>
  <si>
    <t>PCF</t>
  </si>
  <si>
    <t>Cà phê PETEC</t>
  </si>
  <si>
    <t>PCG</t>
  </si>
  <si>
    <t>Đầu tư PT Gas Đô thị</t>
  </si>
  <si>
    <t>PCM</t>
  </si>
  <si>
    <t>VLXD Bưu điện</t>
  </si>
  <si>
    <t>PDC</t>
  </si>
  <si>
    <t>Dầu khí Phương Đông</t>
  </si>
  <si>
    <t>PEG</t>
  </si>
  <si>
    <t>TM Kỹ thuật và Đầu tư (PETEC)</t>
  </si>
  <si>
    <t>PEQ</t>
  </si>
  <si>
    <t>Thiết bị xăng dầu Petrolimex</t>
  </si>
  <si>
    <t>PFL</t>
  </si>
  <si>
    <t>Dầu khí Đông Đô</t>
  </si>
  <si>
    <t>PGB</t>
  </si>
  <si>
    <t>PG Bank</t>
  </si>
  <si>
    <t>PHH</t>
  </si>
  <si>
    <t>Hồng Hà Việt Nam</t>
  </si>
  <si>
    <t>PHP</t>
  </si>
  <si>
    <t>Cảng Hải Phòng</t>
  </si>
  <si>
    <t>PHS</t>
  </si>
  <si>
    <t>Chứng khoán Phú Hưng</t>
  </si>
  <si>
    <t>PID</t>
  </si>
  <si>
    <t>Trang trí nội thất Dầu khí</t>
  </si>
  <si>
    <t>PIS</t>
  </si>
  <si>
    <t>Pisico Bình Định</t>
  </si>
  <si>
    <t>PIV</t>
  </si>
  <si>
    <t>PIV JSC</t>
  </si>
  <si>
    <t>PJS</t>
  </si>
  <si>
    <t>Cấp nước Phú Hòa Tân</t>
  </si>
  <si>
    <t>PLA</t>
  </si>
  <si>
    <t>ĐT&amp;DV Hạ tầng Xăng dầu (PLAND)</t>
  </si>
  <si>
    <t>PLE</t>
  </si>
  <si>
    <t>Tư vấn Xây dựng Petrolimex</t>
  </si>
  <si>
    <t>PLO</t>
  </si>
  <si>
    <t>Kho vận Petec</t>
  </si>
  <si>
    <t>PMJ</t>
  </si>
  <si>
    <t>Vật tư Bưu điện</t>
  </si>
  <si>
    <t>PMT</t>
  </si>
  <si>
    <t>Telvina Việt Nam</t>
  </si>
  <si>
    <t>PMW</t>
  </si>
  <si>
    <t>Cấp Nước Phú Mỹ</t>
  </si>
  <si>
    <t>PND</t>
  </si>
  <si>
    <t>Xăng dầu Dầu khí Nam Định</t>
  </si>
  <si>
    <t>PNG</t>
  </si>
  <si>
    <t>Thương Mại Phú Nhuận</t>
  </si>
  <si>
    <t>PNP</t>
  </si>
  <si>
    <t>Tân Cảng - Phú Hữu</t>
  </si>
  <si>
    <t>PNT</t>
  </si>
  <si>
    <t>Kỹ thuật XD Phú Nhuận</t>
  </si>
  <si>
    <t>POB</t>
  </si>
  <si>
    <t>PVOIL Hưng Yên</t>
  </si>
  <si>
    <t>POM</t>
  </si>
  <si>
    <t>Thép Pomina</t>
  </si>
  <si>
    <t>POS</t>
  </si>
  <si>
    <t>Vận hành và Xây lắp PTSC</t>
  </si>
  <si>
    <t>POV</t>
  </si>
  <si>
    <t>PV Oil Vũng Áng</t>
  </si>
  <si>
    <t>PPH</t>
  </si>
  <si>
    <t>Phong Phú Corp.</t>
  </si>
  <si>
    <t>PPI</t>
  </si>
  <si>
    <t>BĐS Thái Bình Dương</t>
  </si>
  <si>
    <t>PQN</t>
  </si>
  <si>
    <t>DV Dầu khí Quảng Ngãi PTSC</t>
  </si>
  <si>
    <t>PRO</t>
  </si>
  <si>
    <t>Procimex Việt Nam</t>
  </si>
  <si>
    <t>PRT</t>
  </si>
  <si>
    <t>Sản xuất - XNK Bình Dương</t>
  </si>
  <si>
    <t>PSB</t>
  </si>
  <si>
    <t>Sao Mai Bến Đình</t>
  </si>
  <si>
    <t>PSH</t>
  </si>
  <si>
    <t>TMại ĐT Dầu khí Nam Sông Hậu</t>
  </si>
  <si>
    <t>PSL</t>
  </si>
  <si>
    <t>Chăn nuôi Phú Sơn</t>
  </si>
  <si>
    <t>PSN</t>
  </si>
  <si>
    <t>PTSC Thanh Hóa</t>
  </si>
  <si>
    <t>PSP</t>
  </si>
  <si>
    <t>DV Dầu Khí Đình Vũ</t>
  </si>
  <si>
    <t>PTE</t>
  </si>
  <si>
    <t>Xi măng Phú Thọ</t>
  </si>
  <si>
    <t>PTG</t>
  </si>
  <si>
    <t>May Phan Thiết</t>
  </si>
  <si>
    <t>PTH</t>
  </si>
  <si>
    <t>Vận tải và DV Petrolimex Hà Tây</t>
  </si>
  <si>
    <t>PTM</t>
  </si>
  <si>
    <t>Ô tô PTM</t>
  </si>
  <si>
    <t>PTO</t>
  </si>
  <si>
    <t>Xây dựng Công trình Bưu điện</t>
  </si>
  <si>
    <t>PTP</t>
  </si>
  <si>
    <t>Viễn Thông và In Bưu điện</t>
  </si>
  <si>
    <t>PTT</t>
  </si>
  <si>
    <t>Vận tải Dầu khí Đông Dương</t>
  </si>
  <si>
    <t>PTV</t>
  </si>
  <si>
    <t>Thương mại dầu khí</t>
  </si>
  <si>
    <t>PVE</t>
  </si>
  <si>
    <t>Tư vấn Dầu khí</t>
  </si>
  <si>
    <t>PVH</t>
  </si>
  <si>
    <t>Xây lắp Dầu khí Thanh Hóa</t>
  </si>
  <si>
    <t>PVL</t>
  </si>
  <si>
    <t>Địa ốc Dầu khí</t>
  </si>
  <si>
    <t>PVM</t>
  </si>
  <si>
    <t>Thiết bị dầu khí (PV MACHINO)</t>
  </si>
  <si>
    <t>PVO</t>
  </si>
  <si>
    <t>Dầu nhờn PV Oil</t>
  </si>
  <si>
    <t>PVR</t>
  </si>
  <si>
    <t>Đầu tư PVR Hà Nội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</si>
  <si>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</si>
  <si>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</si>
  <si>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</si>
  <si>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</si>
  <si>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</si>
  <si>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</si>
  <si>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</si>
  <si>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</si>
  <si>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</si>
  <si>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</si>
  <si>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PXA</t>
  </si>
  <si>
    <t>Đầu tư và Thương mại Dầu khí Nghệ An</t>
  </si>
  <si>
    <t>PXI</t>
  </si>
  <si>
    <t>XL CN và dân dụng Dầu khí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</si>
  <si>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</si>
  <si>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</si>
  <si>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</si>
  <si>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</si>
  <si>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</si>
  <si>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</si>
  <si>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</si>
  <si>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</si>
  <si>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</si>
  <si>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</si>
  <si>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</si>
  <si>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XD và PT Hạ tầng Viễn Thông</t>
  </si>
  <si>
    <t>QHW</t>
  </si>
  <si>
    <t>Nước khoáng Quảng Ninh</t>
  </si>
  <si>
    <t>QNC</t>
  </si>
  <si>
    <t>Xi măng Quảng Ninh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</si>
  <si>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</si>
  <si>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</si>
  <si>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</si>
  <si>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</si>
  <si>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</si>
  <si>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</si>
  <si>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</si>
  <si>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</si>
  <si>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</si>
  <si>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</si>
  <si>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</si>
  <si>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</si>
  <si>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QTP</t>
  </si>
  <si>
    <t>Nhiệt điện Quảng Ninh</t>
  </si>
  <si>
    <t>RAT</t>
  </si>
  <si>
    <t>VT và TM Đường sắt</t>
  </si>
  <si>
    <t>RBC</t>
  </si>
  <si>
    <t>Công Nghiệp và Xuất nhập khẩu Cao Su</t>
  </si>
  <si>
    <t>RCC</t>
  </si>
  <si>
    <t>Công trình Đường sắt Việt Nam</t>
  </si>
  <si>
    <t>RCD</t>
  </si>
  <si>
    <t>XD - Địa ốc Cao su</t>
  </si>
  <si>
    <t>REN</t>
  </si>
  <si>
    <t>XD và ĐT Khu du lịch Sinh Thái</t>
  </si>
  <si>
    <t>RGG</t>
  </si>
  <si>
    <t>Regal Group</t>
  </si>
  <si>
    <t>RIC</t>
  </si>
  <si>
    <t>Quốc tế Hoàng Gia</t>
  </si>
  <si>
    <t>RTB</t>
  </si>
  <si>
    <t>Cao su Tân Biên</t>
  </si>
  <si>
    <t>S12</t>
  </si>
  <si>
    <t>Sông Đà 12</t>
  </si>
  <si>
    <t>S72</t>
  </si>
  <si>
    <t>Sông Đà 7.02</t>
  </si>
  <si>
    <t>S74</t>
  </si>
  <si>
    <t>Sông Đà 7.04</t>
  </si>
  <si>
    <t>SAC</t>
  </si>
  <si>
    <t>Dịch vụ cảng Sài Gòn</t>
  </si>
  <si>
    <t>SAL</t>
  </si>
  <si>
    <t>Trục vớt Cứu hộ Việt Nam</t>
  </si>
  <si>
    <t>SAS</t>
  </si>
  <si>
    <t>DV Hàng không sân bay TSN</t>
  </si>
  <si>
    <t>SB1</t>
  </si>
  <si>
    <t>Bia Sài Gòn - Nghệ Tĩnh</t>
  </si>
  <si>
    <t>SBB</t>
  </si>
  <si>
    <t>Bia Sài Gòn Bình Tây</t>
  </si>
  <si>
    <t>SBC</t>
  </si>
  <si>
    <t>Sabetran Jsc.</t>
  </si>
  <si>
    <t>SBD</t>
  </si>
  <si>
    <t>Công nghệ Sao Bắc Đẩu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</si>
  <si>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</si>
  <si>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</si>
  <si>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</si>
  <si>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</si>
  <si>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</si>
  <si>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</si>
  <si>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</si>
  <si>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</si>
  <si>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</si>
  <si>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SBS</t>
  </si>
  <si>
    <t>SCC</t>
  </si>
  <si>
    <t>Thương mại Đầu tư SHB</t>
  </si>
  <si>
    <t>SCD</t>
  </si>
  <si>
    <t>Giải khát Chương Dương</t>
  </si>
  <si>
    <t>SCJ</t>
  </si>
  <si>
    <t>Xi măng Sài Sơn</t>
  </si>
  <si>
    <t>SCL</t>
  </si>
  <si>
    <t>Sông Đà Cao Cường</t>
  </si>
  <si>
    <t>SCO</t>
  </si>
  <si>
    <t>Công nghiệp Thủy Sản</t>
  </si>
  <si>
    <t>SD2</t>
  </si>
  <si>
    <t>Sông Đà 2</t>
  </si>
  <si>
    <t>SD3</t>
  </si>
  <si>
    <t>Sông Đà 3</t>
  </si>
  <si>
    <t>SD4</t>
  </si>
  <si>
    <t>Sông Đà 4</t>
  </si>
  <si>
    <t>SD6</t>
  </si>
  <si>
    <t>Sông Đà 6</t>
  </si>
  <si>
    <t>SD7</t>
  </si>
  <si>
    <t>Sông Đà 7</t>
  </si>
  <si>
    <t>SD8</t>
  </si>
  <si>
    <t>Sông Đà 8</t>
  </si>
  <si>
    <t>SDA</t>
  </si>
  <si>
    <t>XKLĐ Sông Đà</t>
  </si>
  <si>
    <t>SDD</t>
  </si>
  <si>
    <t>Xây lắp Sông Đà</t>
  </si>
  <si>
    <t>SDK</t>
  </si>
  <si>
    <t>Cơ khí Luyện Kim</t>
  </si>
  <si>
    <t>SDP</t>
  </si>
  <si>
    <t>Công ty Cổ phần SDP</t>
  </si>
  <si>
    <t>SDT</t>
  </si>
  <si>
    <t>Sông Đà 10</t>
  </si>
  <si>
    <t>SDV</t>
  </si>
  <si>
    <t>Dịch vụ Sonadezi</t>
  </si>
  <si>
    <t>SDY</t>
  </si>
  <si>
    <t>Xi măng Sông Đà Yaly</t>
  </si>
  <si>
    <t>SEA</t>
  </si>
  <si>
    <t>SEAPRODEX</t>
  </si>
  <si>
    <t>SEP</t>
  </si>
  <si>
    <t>Thương mại Quảng Trị</t>
  </si>
  <si>
    <t>SGB</t>
  </si>
  <si>
    <t>Sài Gòn Công thương</t>
  </si>
  <si>
    <t>SGI</t>
  </si>
  <si>
    <t>Đầu tư SGI Holdings</t>
  </si>
  <si>
    <t>SGP</t>
  </si>
  <si>
    <t>Cảng Sài Gòn</t>
  </si>
  <si>
    <t>SGS</t>
  </si>
  <si>
    <t>Vận tải biển Sài Gòn</t>
  </si>
  <si>
    <t>SGV</t>
  </si>
  <si>
    <t>Vinaconex Sài Gòn</t>
  </si>
  <si>
    <t>SHC</t>
  </si>
  <si>
    <t>Hàng hải Sài Gòn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</si>
  <si>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</si>
  <si>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</si>
  <si>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</si>
  <si>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</si>
  <si>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</si>
  <si>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</si>
  <si>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SIV</t>
  </si>
  <si>
    <t>SIVICO</t>
  </si>
  <si>
    <t>SJF</t>
  </si>
  <si>
    <t>Đầu tư Sao Thái Dương</t>
  </si>
  <si>
    <t>SJG</t>
  </si>
  <si>
    <t>Tổng Công ty Sông Đà</t>
  </si>
  <si>
    <t>SJM</t>
  </si>
  <si>
    <t>Sunspace Holdings</t>
  </si>
  <si>
    <t>SKH</t>
  </si>
  <si>
    <t>NGK Sanest Khánh Hòa</t>
  </si>
  <si>
    <t>SKN</t>
  </si>
  <si>
    <t>NGK Sanna Khánh Hòa</t>
  </si>
  <si>
    <t>SKV</t>
  </si>
  <si>
    <t>NGK Yến sào Khánh Hòa</t>
  </si>
  <si>
    <t>SLD</t>
  </si>
  <si>
    <t>Địa Ốc Sacom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</si>
  <si>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</si>
  <si>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</si>
  <si>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</si>
  <si>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</si>
  <si>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</si>
  <si>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</si>
  <si>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</si>
  <si>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</si>
  <si>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SPD</t>
  </si>
  <si>
    <t>Thủy sản Miền Trung</t>
  </si>
  <si>
    <t>SPH</t>
  </si>
  <si>
    <t>XNK Thủy sản Hà Nội</t>
  </si>
  <si>
    <t>SPI</t>
  </si>
  <si>
    <t>Spiral Galaxy</t>
  </si>
  <si>
    <t>SPV</t>
  </si>
  <si>
    <t>Thủy đặc sản</t>
  </si>
  <si>
    <t>SRB</t>
  </si>
  <si>
    <t>SARA</t>
  </si>
  <si>
    <t>SSG</t>
  </si>
  <si>
    <t>Vận tải Biển Hải Âu</t>
  </si>
  <si>
    <t>SSH</t>
  </si>
  <si>
    <t>Phát triển Sunshine Homes</t>
  </si>
  <si>
    <t>SST</t>
  </si>
  <si>
    <t>TM Sabeco Sông Tiền</t>
  </si>
  <si>
    <t>STD</t>
  </si>
  <si>
    <t>Bia - NGK Sài Gòn - Tây Đô</t>
  </si>
  <si>
    <t>STH</t>
  </si>
  <si>
    <t>STH Holdings</t>
  </si>
  <si>
    <t>STS</t>
  </si>
  <si>
    <t>Dịch vụ vận tải Sài Gòn</t>
  </si>
  <si>
    <t>Vận chuyển Sài Gòn Tourist</t>
  </si>
  <si>
    <t>STW</t>
  </si>
  <si>
    <t>Cấp nước Sóc Trăng</t>
  </si>
  <si>
    <t>SVG</t>
  </si>
  <si>
    <t>Hơi kỹ nghệ Que hàn</t>
  </si>
  <si>
    <t>SVH</t>
  </si>
  <si>
    <t>Thủy điện Sông Vàng</t>
  </si>
  <si>
    <t>SWC</t>
  </si>
  <si>
    <t>Đường Sông Miền Nam</t>
  </si>
  <si>
    <t>SZE</t>
  </si>
  <si>
    <t>Môi trường Sonadezi</t>
  </si>
  <si>
    <t>SZG</t>
  </si>
  <si>
    <t>Sonadezi Giang Điền</t>
  </si>
  <si>
    <t>TA6</t>
  </si>
  <si>
    <t>Đầu tư và Xây lắp Thành An 665</t>
  </si>
  <si>
    <t>TAB</t>
  </si>
  <si>
    <t>Freco Việt Nam</t>
  </si>
  <si>
    <t>TAH</t>
  </si>
  <si>
    <t>Giấy Thuận An</t>
  </si>
  <si>
    <t>TAN</t>
  </si>
  <si>
    <t>Cà phê Thuận An</t>
  </si>
  <si>
    <t>TAR</t>
  </si>
  <si>
    <t>Nông nghiệp CN cao Trung An</t>
  </si>
  <si>
    <t>TAW</t>
  </si>
  <si>
    <t>Cấp nước Trung An</t>
  </si>
  <si>
    <t>TBD</t>
  </si>
  <si>
    <t>Thiết bị điện Đông Anh</t>
  </si>
  <si>
    <t>TBR</t>
  </si>
  <si>
    <t>Địa ốc Tân Bình</t>
  </si>
  <si>
    <t>TBW</t>
  </si>
  <si>
    <t>Nước sạch Thái Bình</t>
  </si>
  <si>
    <t>TCD</t>
  </si>
  <si>
    <t>Tập đoàn Xây dựng Tracodi</t>
  </si>
  <si>
    <t>TCJ</t>
  </si>
  <si>
    <t>Tô Châu</t>
  </si>
  <si>
    <t>TCK</t>
  </si>
  <si>
    <t>COMA</t>
  </si>
  <si>
    <t>TCP</t>
  </si>
  <si>
    <t>Than Cẩm Phả - Vinacomin</t>
  </si>
  <si>
    <t>TCW</t>
  </si>
  <si>
    <t>Kho Vận Tân Cảng</t>
  </si>
  <si>
    <t>TDB</t>
  </si>
  <si>
    <t>Thủy điện Định Bình</t>
  </si>
  <si>
    <t>TDF</t>
  </si>
  <si>
    <t>Xây dựng Trung Đô</t>
  </si>
  <si>
    <t>TDS</t>
  </si>
  <si>
    <t>Thép Thủ Đức</t>
  </si>
  <si>
    <t>TED</t>
  </si>
  <si>
    <t>Thiết kế GTVT</t>
  </si>
  <si>
    <t>TGG</t>
  </si>
  <si>
    <t>The Golden Group</t>
  </si>
  <si>
    <t>TGP</t>
  </si>
  <si>
    <t>Cáp Trường Phú</t>
  </si>
  <si>
    <t>TH1</t>
  </si>
  <si>
    <t>XNK Tổng hợp 1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</si>
  <si>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</si>
  <si>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</si>
  <si>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</si>
  <si>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</si>
  <si>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</si>
  <si>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</si>
  <si>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</si>
  <si>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</si>
  <si>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</si>
  <si>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</si>
  <si>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</si>
  <si>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</si>
  <si>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</si>
  <si>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</si>
  <si>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</si>
  <si>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</si>
  <si>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TIN</t>
  </si>
  <si>
    <t>Tài chính Cổ phần Tín Việt</t>
  </si>
  <si>
    <t>TIS</t>
  </si>
  <si>
    <t>Gang thép Thái Nguyên</t>
  </si>
  <si>
    <t>TKA</t>
  </si>
  <si>
    <t>Bao bì Tân Khánh An</t>
  </si>
  <si>
    <t>TKD</t>
  </si>
  <si>
    <t>Tư vấn thiết kế đường bộ</t>
  </si>
  <si>
    <t>TL4</t>
  </si>
  <si>
    <t>XD Thủy lợi 4</t>
  </si>
  <si>
    <t>TLP</t>
  </si>
  <si>
    <t>Thương mại XNK Thanh Lễ</t>
  </si>
  <si>
    <t>TMG</t>
  </si>
  <si>
    <t>Kim loại màu Thái Nguyên - Vimico</t>
  </si>
  <si>
    <t>TMW</t>
  </si>
  <si>
    <t>Gỗ Tân Mai</t>
  </si>
  <si>
    <t>TNA</t>
  </si>
  <si>
    <t>XNK Thiên Nam</t>
  </si>
  <si>
    <t>TNB</t>
  </si>
  <si>
    <t>Thép Nhà Bè</t>
  </si>
  <si>
    <t>TNP</t>
  </si>
  <si>
    <t>Cảng Thị Nại</t>
  </si>
  <si>
    <t>TNS</t>
  </si>
  <si>
    <t>Thép tấm lá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</si>
  <si>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</si>
  <si>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</si>
  <si>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</si>
  <si>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</si>
  <si>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</si>
  <si>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</si>
  <si>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TOW</t>
  </si>
  <si>
    <t>Cấp nước Trà Nóc - Ô Môn</t>
  </si>
  <si>
    <t>TPS</t>
  </si>
  <si>
    <t>Bến bãi vận tải Sài Gòn</t>
  </si>
  <si>
    <t>TQW</t>
  </si>
  <si>
    <t>Cấp thoát nước Tuyên Quang</t>
  </si>
  <si>
    <t>TR1</t>
  </si>
  <si>
    <t>Vận Tải 1 Traco</t>
  </si>
  <si>
    <t>TRS</t>
  </si>
  <si>
    <t>Vận tải và Dịch vụ Hàng Hải</t>
  </si>
  <si>
    <t>TRT</t>
  </si>
  <si>
    <t>CTCP RedstarCera</t>
  </si>
  <si>
    <t>TRV</t>
  </si>
  <si>
    <t>Vận tải Đường sắt</t>
  </si>
  <si>
    <t>Đường sắt</t>
  </si>
  <si>
    <t>TS3</t>
  </si>
  <si>
    <t>Trường Sơn 532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</si>
  <si>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</si>
  <si>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</si>
  <si>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</si>
  <si>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</si>
  <si>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</si>
  <si>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</si>
  <si>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</si>
  <si>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</si>
  <si>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</si>
  <si>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</si>
  <si>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TTB</t>
  </si>
  <si>
    <t>Tập đoàn Tiến Bộ</t>
  </si>
  <si>
    <t>TTD</t>
  </si>
  <si>
    <t>Bệnh viện Tim Tâm Đức</t>
  </si>
  <si>
    <t>TTG</t>
  </si>
  <si>
    <t>Royal Healthtech TTG</t>
  </si>
  <si>
    <t>TTN</t>
  </si>
  <si>
    <t>Công nghệ và Truyền thông VN</t>
  </si>
  <si>
    <t>TTS</t>
  </si>
  <si>
    <t>Cán thép Thái Trung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</si>
  <si>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</si>
  <si>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</si>
  <si>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</si>
  <si>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</si>
  <si>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</si>
  <si>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</si>
  <si>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TV6</t>
  </si>
  <si>
    <t>Tập đoàn EMA LAND</t>
  </si>
  <si>
    <t>TVA</t>
  </si>
  <si>
    <t>Sứ Viglacera Thanh Trì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</si>
  <si>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</si>
  <si>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</si>
  <si>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</si>
  <si>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</si>
  <si>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</si>
  <si>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</si>
  <si>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</si>
  <si>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</si>
  <si>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TW3</t>
  </si>
  <si>
    <t>Dược TW3</t>
  </si>
  <si>
    <t>UCT</t>
  </si>
  <si>
    <t>Đô thị Cần Thơ</t>
  </si>
  <si>
    <t>UDC</t>
  </si>
  <si>
    <t>Đầu tư Xây dựng UDCons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</si>
  <si>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</si>
  <si>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</si>
  <si>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</si>
  <si>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</si>
  <si>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</si>
  <si>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</si>
  <si>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ULG</t>
  </si>
  <si>
    <t>U&amp;I Logistics</t>
  </si>
  <si>
    <t>UMC</t>
  </si>
  <si>
    <t>Công trình đô thị Nam Định</t>
  </si>
  <si>
    <t>UPC</t>
  </si>
  <si>
    <t>Cây xanh Vũng Tàu</t>
  </si>
  <si>
    <t>UPH</t>
  </si>
  <si>
    <t>Dược phẩm TW25</t>
  </si>
  <si>
    <t>UPS</t>
  </si>
  <si>
    <t>Chứng khoán UP</t>
  </si>
  <si>
    <t>USC</t>
  </si>
  <si>
    <t>Khảo sát và Xây dựng - USCO</t>
  </si>
  <si>
    <t>USD</t>
  </si>
  <si>
    <t>Công trình Đô thị Sóc Trăng</t>
  </si>
  <si>
    <t>UTT</t>
  </si>
  <si>
    <t>Môi trường Nam Thành</t>
  </si>
  <si>
    <t>UXC</t>
  </si>
  <si>
    <t>Chế biến Thủy sản Út Xi</t>
  </si>
  <si>
    <t>V45</t>
  </si>
  <si>
    <t>Xây dựng số 45</t>
  </si>
  <si>
    <t>V68</t>
  </si>
  <si>
    <t>Tuan Anh Investment Jsc</t>
  </si>
  <si>
    <t>VAF</t>
  </si>
  <si>
    <t>Phân lân Văn Điển</t>
  </si>
  <si>
    <t>VAV</t>
  </si>
  <si>
    <t>VIWACO</t>
  </si>
  <si>
    <t>VBG</t>
  </si>
  <si>
    <t>Địa chất Việt Bắc - TKV</t>
  </si>
  <si>
    <t>VBH</t>
  </si>
  <si>
    <t>Điện tử Bình Hòa</t>
  </si>
  <si>
    <t>VBT</t>
  </si>
  <si>
    <t>Vận tải Bảo Thắng</t>
  </si>
  <si>
    <t>VCE</t>
  </si>
  <si>
    <t>Xây lắp Môi trường</t>
  </si>
  <si>
    <t>VCP</t>
  </si>
  <si>
    <t>Xây dựng và Năng lượng VCP</t>
  </si>
  <si>
    <t>VCR</t>
  </si>
  <si>
    <t>Đầu tư và Phát triển Du lịch ITC</t>
  </si>
  <si>
    <t>VCT</t>
  </si>
  <si>
    <t>Tư vấn XD Vinaconex</t>
  </si>
  <si>
    <t>VCX</t>
  </si>
  <si>
    <t>Xi măng Yên Bình</t>
  </si>
  <si>
    <t>VDB</t>
  </si>
  <si>
    <t>Vận tải và CB Than Đông Bắc</t>
  </si>
  <si>
    <t>VDG</t>
  </si>
  <si>
    <t>Vạn Đạt Group</t>
  </si>
  <si>
    <t>VDN</t>
  </si>
  <si>
    <t>Vinatex Đà Nẵng</t>
  </si>
  <si>
    <t>VDT</t>
  </si>
  <si>
    <t>Lưới thép Bình Tây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</si>
  <si>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</si>
  <si>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</si>
  <si>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</si>
  <si>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</si>
  <si>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</si>
  <si>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</si>
  <si>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</si>
  <si>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</si>
  <si>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</si>
  <si>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</si>
  <si>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</si>
  <si>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Tập đoàn VinaLiving</t>
  </si>
  <si>
    <t>VET</t>
  </si>
  <si>
    <t>Thuốc thú y trung ương Navetco</t>
  </si>
  <si>
    <t>VFC</t>
  </si>
  <si>
    <t>Vận tải biển VINAFCO</t>
  </si>
  <si>
    <t>VFR</t>
  </si>
  <si>
    <t>Vận tải Vietfracht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</si>
  <si>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</si>
  <si>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</si>
  <si>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</si>
  <si>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</si>
  <si>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</si>
  <si>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</si>
  <si>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VGR</t>
  </si>
  <si>
    <t>Cảng xanh VIP</t>
  </si>
  <si>
    <t>VGT</t>
  </si>
  <si>
    <t>VINATEX</t>
  </si>
  <si>
    <t>VGV</t>
  </si>
  <si>
    <t>Tư vấn Xây dựng Việt Nam</t>
  </si>
  <si>
    <t>VHD</t>
  </si>
  <si>
    <t>PT Nhà và Đô thị Vinaconex</t>
  </si>
  <si>
    <t>VHF</t>
  </si>
  <si>
    <t>Chế biến lương thực Vĩnh Hà</t>
  </si>
  <si>
    <t>VHG</t>
  </si>
  <si>
    <t>Đầu tư và Phát triển Việt Trung Nam</t>
  </si>
  <si>
    <t>VHH</t>
  </si>
  <si>
    <t>Kinh doanh nhà Thành Đạt</t>
  </si>
  <si>
    <t>VIE</t>
  </si>
  <si>
    <t>CN Viễn thông VI TE CO</t>
  </si>
  <si>
    <t>VIM</t>
  </si>
  <si>
    <t>Khoáng sản Viglacera</t>
  </si>
  <si>
    <t>VIN</t>
  </si>
  <si>
    <t>Kho vận ngoại thương VN</t>
  </si>
  <si>
    <t>VIR</t>
  </si>
  <si>
    <t>Du lịch Vũng Tàu</t>
  </si>
  <si>
    <t>VIW</t>
  </si>
  <si>
    <t>Đầu tư nước và môi trường VN - Viwaseen</t>
  </si>
  <si>
    <t>VKC</t>
  </si>
  <si>
    <t>VKC Holdings</t>
  </si>
  <si>
    <t>VLB</t>
  </si>
  <si>
    <t>VLXD Biên Hòa</t>
  </si>
  <si>
    <t>VLC</t>
  </si>
  <si>
    <t>Chăn nuôi Việt Nam</t>
  </si>
  <si>
    <t>VLG</t>
  </si>
  <si>
    <t>VIMC Logistics</t>
  </si>
  <si>
    <t>VLP</t>
  </si>
  <si>
    <t>Công trình Công cộng Vĩnh Long</t>
  </si>
  <si>
    <t>VLS</t>
  </si>
  <si>
    <t>Sản xuất Thép Việt Long</t>
  </si>
  <si>
    <t>VLW</t>
  </si>
  <si>
    <t>Cấp nước Vĩnh Long</t>
  </si>
  <si>
    <t>VMA</t>
  </si>
  <si>
    <t>CN Ô tô - Vinacomin</t>
  </si>
  <si>
    <t>VMG</t>
  </si>
  <si>
    <t>Vimexco Gas</t>
  </si>
  <si>
    <t>VMK</t>
  </si>
  <si>
    <t>Vimarko</t>
  </si>
  <si>
    <t>VMT</t>
  </si>
  <si>
    <t>Giao nhận Vận tải Miền Trung</t>
  </si>
  <si>
    <t>VNA</t>
  </si>
  <si>
    <t>Vận tải biển Vinaship</t>
  </si>
  <si>
    <t>VNB</t>
  </si>
  <si>
    <t>Sách Việt Nam</t>
  </si>
  <si>
    <t>VNE</t>
  </si>
  <si>
    <t>Xây dựng điện Việt Nam</t>
  </si>
  <si>
    <t>VNH</t>
  </si>
  <si>
    <t>Đầu tư Việt Việt Nhật</t>
  </si>
  <si>
    <t>VNI</t>
  </si>
  <si>
    <t>ĐT BĐS Việt Nam</t>
  </si>
  <si>
    <t>VNP</t>
  </si>
  <si>
    <t>Nhựa Việt Nam</t>
  </si>
  <si>
    <t>VNX</t>
  </si>
  <si>
    <t>QC và Hội chợ Thương mại</t>
  </si>
  <si>
    <t>VNY</t>
  </si>
  <si>
    <t>Thuốc thú y Trung ương I</t>
  </si>
  <si>
    <t>VNZ</t>
  </si>
  <si>
    <t>Tập đoàn VNG</t>
  </si>
  <si>
    <t>VPA</t>
  </si>
  <si>
    <t>Vận tải Hóa dầu VP</t>
  </si>
  <si>
    <t>VPC</t>
  </si>
  <si>
    <t>V- Power</t>
  </si>
  <si>
    <t>VPR</t>
  </si>
  <si>
    <t>VINAPRINT</t>
  </si>
  <si>
    <t>VPW</t>
  </si>
  <si>
    <t>Cấp thoát nước số 1 Vĩnh Phúc</t>
  </si>
  <si>
    <t>VQC</t>
  </si>
  <si>
    <t>Giám định Vinaconmin</t>
  </si>
  <si>
    <t>VRG</t>
  </si>
  <si>
    <t>PT Đô thị và KCN Cao su VN</t>
  </si>
  <si>
    <t>VSE</t>
  </si>
  <si>
    <t>DV Đường cao tốc Việt Nam</t>
  </si>
  <si>
    <t>VSF</t>
  </si>
  <si>
    <t>Vinafood 2</t>
  </si>
  <si>
    <t>VSG</t>
  </si>
  <si>
    <t>Container Phía Nam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</si>
  <si>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</si>
  <si>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</si>
  <si>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</si>
  <si>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</si>
  <si>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</si>
  <si>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</si>
  <si>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VTD</t>
  </si>
  <si>
    <t>Du lịch Vietourist</t>
  </si>
  <si>
    <t>VTE</t>
  </si>
  <si>
    <t>VINACAP Kim Long</t>
  </si>
  <si>
    <t>VTG</t>
  </si>
  <si>
    <t>Du lịch tỉnh BR-VT</t>
  </si>
  <si>
    <t>VTI</t>
  </si>
  <si>
    <t>Sản xuất - XNK Dệt may</t>
  </si>
  <si>
    <t>VTK</t>
  </si>
  <si>
    <t>Tư vấn thiết kế Viettel</t>
  </si>
  <si>
    <t>VTM</t>
  </si>
  <si>
    <t>Đưa đón thợ mỏ - Vinacomin</t>
  </si>
  <si>
    <t>VTQ</t>
  </si>
  <si>
    <t>Việt Trung Quảng Bình</t>
  </si>
  <si>
    <t>VTR</t>
  </si>
  <si>
    <t>Du lịch Vietravel</t>
  </si>
  <si>
    <t>VTS</t>
  </si>
  <si>
    <t>Gạch Ngói Từ Sơn</t>
  </si>
  <si>
    <t>VTX</t>
  </si>
  <si>
    <t>Vận tải Đa phương thức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</si>
  <si>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</si>
  <si>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</si>
  <si>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</si>
  <si>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</si>
  <si>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</si>
  <si>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</si>
  <si>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</si>
  <si>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</si>
  <si>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</si>
  <si>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</si>
  <si>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</si>
  <si>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</si>
  <si>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</si>
  <si>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</si>
  <si>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</si>
  <si>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</si>
  <si>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</si>
  <si>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</si>
  <si>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WSB</t>
  </si>
  <si>
    <t>Bia Sài Gòn - Miền Tây</t>
  </si>
  <si>
    <t>WTC</t>
  </si>
  <si>
    <t>Vận tải thủy Vinacomin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</si>
  <si>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</si>
  <si>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</si>
  <si>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</si>
  <si>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</si>
  <si>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</si>
  <si>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</si>
  <si>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</si>
  <si>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</si>
  <si>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</si>
  <si>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</si>
  <si>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</si>
  <si>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</si>
  <si>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</si>
  <si>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</si>
  <si>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</si>
  <si>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</si>
  <si>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</si>
  <si>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</si>
  <si>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</si>
  <si>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</si>
  <si>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YTC</t>
  </si>
  <si>
    <t>XNK Y tế TP.HCM</t>
  </si>
  <si>
    <t>Ngành L1</t>
  </si>
  <si>
    <t>Ngành L2</t>
  </si>
  <si>
    <t>Ngành L4</t>
  </si>
  <si>
    <t>📊 DASHBOARD KẾT QUẢ KINH DOANH Q2/2026</t>
  </si>
  <si>
    <t>Dữ liệu cập nhật tự động từ Sheet1 - Table1</t>
  </si>
  <si>
    <t>📊 THỐNG KÊ THEO PHÂN NGÀNH (ICB L1)</t>
  </si>
  <si>
    <t>Phân ngành</t>
  </si>
  <si>
    <t>Số DN</t>
  </si>
  <si>
    <t>Đã công bố</t>
  </si>
  <si>
    <t>Tổng DT Q2 (tỷ)</t>
  </si>
  <si>
    <t>Tổng LNST Q2 (tỷ)</t>
  </si>
  <si>
    <t>📈 TỔNG SỐ DN</t>
  </si>
  <si>
    <t>📊 ĐÃ CÔNG BỐ</t>
  </si>
  <si>
    <t>✅ DN CÓ LÃI</t>
  </si>
  <si>
    <t>❌ DN BỊ LỖ</t>
  </si>
  <si>
    <t>📊 TỶ LỆ CÓ LÃI</t>
  </si>
  <si>
    <t>📋 BẢNG KẾT QUẢ KINH DOANH CHI TIẾT CỔ PHIẾU</t>
  </si>
  <si>
    <t>Mã CP</t>
  </si>
  <si>
    <t>TT DTT Q YoY</t>
  </si>
  <si>
    <t>TT DTT 6M YoY</t>
  </si>
  <si>
    <t>TT LNST Q YoY</t>
  </si>
  <si>
    <t>DT (YoY %)</t>
  </si>
  <si>
    <t>LNST (YoY %)</t>
  </si>
  <si>
    <t>Tăng trưởng doanh thu thuần (QoQ) (Quý)
Chỉ số TTM
Quý: Q2.2026
Đơn vị: %</t>
  </si>
  <si>
    <t>3. Doanh thu thuần
Hợp nhất
Quý: Hàng năm
Năm: 2026
Đơn vị: VND</t>
  </si>
  <si>
    <t>Tỷ suất cổ tức (Kế hoạch) 
Chỉ số TTM
Quý: Q2.2026
Đơn vị: %</t>
  </si>
  <si>
    <t>3. Doanh thu thuần
Hợp nhất
Quý: 9 tháng
Năm: 2026
Đơn vị: VND</t>
  </si>
  <si>
    <t>32.2. Lợi nhuận sau thuế của chủ sở hữu, tập đoàn 
Hợp nhất
Quý: 9 tháng
Năm: 2026
Đơn vị: VND</t>
  </si>
  <si>
    <t>TT LNST 6M YoY</t>
  </si>
  <si>
    <t>TT DTT QoQ</t>
  </si>
  <si>
    <t>TT LNST QoQ</t>
  </si>
  <si>
    <t>DTT Q2/26 (tỷ đồng)</t>
  </si>
  <si>
    <t>DTT 6T/26 (tỷ đồng)</t>
  </si>
  <si>
    <t>LNST Q2/26 (tỷ đồng)</t>
  </si>
  <si>
    <t>LNST 6T/26 (tỷ đồng)</t>
  </si>
  <si>
    <t>Email: fiinpro.support@fiingroup.vn</t>
  </si>
  <si>
    <t>T: (84-24) - 3562 6962 - Ext: 103</t>
  </si>
  <si>
    <t>TRUNG TÂM CHĂM SÓC KHÁCH HÀNG</t>
  </si>
  <si>
    <t>Website: https://fiingroup.vn</t>
  </si>
  <si>
    <t>Chi nhánh: Tầng 16, Tòa nhà Bitexco Financial Tower, số 2 Hải Triều , Phường Bến Nghé, Quận 1, TP. Hồ Chí Minh, Việt Nam</t>
  </si>
  <si>
    <t>Trụ sở: Tầng 10, Tòa nhà PeakView, 36 Hoàng Cầu, Đống Đa, Hà Nội, Việt Nam</t>
  </si>
  <si>
    <t>CÔNG TY CỔ PHẦN FIINGROUP VIỆT NAM</t>
  </si>
  <si>
    <t>Contact</t>
  </si>
  <si>
    <t>1. Thu nhập lãi thuần
Hợp nhất
Quý: 9 tháng
Năm: 2026
Đơn vị: VND</t>
  </si>
  <si>
    <t>1. Thu nhập lãi thuần
Hợp nhất
Quý: 6 tháng
Năm: 2026
Đơn vị: VND</t>
  </si>
  <si>
    <t>1. Thu nhập lãi thuần
Hợp nhất
Quý: 2
Năm: 2026
Đơn vị: VND</t>
  </si>
  <si>
    <t>Tăng trưởng thu nhập lãi thuần 
Chỉ số TTM
Quý: Q2.2026
Đơn vị: %</t>
  </si>
  <si>
    <t>1. Thu nhập lãi thuần
Hợp nhất
Quý: Q2
Năm: 2025
Đơn vị: VND</t>
  </si>
  <si>
    <t>1. Thu nhập lãi thuần
Hợp nhất
Quý: 6 tháng
Năm: 2025
Đơn vị: VND</t>
  </si>
  <si>
    <t>1. Thu nhập lãi thuần
Hợp nhất
Quý: 9 tháng
Năm: 2025
Đơn vị: VND</t>
  </si>
  <si>
    <t>Vốn hóa thị trường
Chỉ số TTM
Ngày: 22/07/2026
Đơn vị: VND</t>
  </si>
  <si>
    <t>Vốn hóa thị trường (tỷ đồng)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</si>
</sst>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#,##0.0"/>
  </numFmts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20"/>
      <color rgb="FF006100"/>
      <name val="Calibri"/>
      <family val="2"/>
      <scheme val="minor"/>
    </font>
    <font>
      <b/>
      <sz val="20"/>
      <color rgb="FF9C0006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4472C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0549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16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3" fontId="0" fillId="0" borderId="1" xfId="0" applyNumberFormat="1" applyBorder="1"/>
    <xf numFmtId="0" fontId="0" fillId="0" borderId="1" xfId="0" applyBorder="1"/>
    <xf numFmtId="10" fontId="0" fillId="0" borderId="1" xfId="0" applyNumberFormat="1" applyBorder="1"/>
    <xf numFmtId="3" fontId="0" fillId="0" borderId="0" xfId="0" applyNumberFormat="1"/>
    <xf numFmtId="0" fontId="7" fillId="4" borderId="1" xfId="0" applyFont="1" applyFill="1" applyBorder="1" applyAlignment="1">
      <alignment horizontal="center"/>
    </xf>
    <xf numFmtId="4" fontId="0" fillId="0" borderId="0" xfId="0" applyNumberFormat="1"/>
    <xf numFmtId="10" fontId="0" fillId="0" borderId="0" xfId="0" applyNumberFormat="1"/>
    <xf numFmtId="0" fontId="0" fillId="14" borderId="1" xfId="0" applyFill="1" applyBorder="1"/>
    <xf numFmtId="3" fontId="0" fillId="14" borderId="1" xfId="0" applyNumberFormat="1" applyFill="1" applyBorder="1"/>
    <xf numFmtId="165" fontId="0" fillId="14" borderId="1" xfId="0" applyNumberFormat="1" applyFill="1" applyBorder="1"/>
    <xf numFmtId="164" fontId="0" fillId="14" borderId="1" xfId="0" applyNumberFormat="1" applyFill="1" applyBorder="1"/>
    <xf numFmtId="0" fontId="0" fillId="15" borderId="1" xfId="0" applyFill="1" applyBorder="1"/>
    <xf numFmtId="3" fontId="0" fillId="15" borderId="1" xfId="0" applyNumberFormat="1" applyFill="1" applyBorder="1"/>
    <xf numFmtId="165" fontId="0" fillId="15" borderId="1" xfId="0" applyNumberFormat="1" applyFill="1" applyBorder="1"/>
    <xf numFmtId="164" fontId="0" fillId="15" borderId="1" xfId="0" applyNumberFormat="1" applyFill="1" applyBorder="1"/>
    <xf numFmtId="0" fontId="1" fillId="16" borderId="0" xfId="0" applyFont="1" applyFill="1" applyAlignment="1">
      <alignment horizontal="center" wrapText="1"/>
    </xf>
    <xf numFmtId="0" fontId="15" fillId="0" borderId="0" xfId="0" applyFont="1"/>
    <xf numFmtId="0" fontId="16" fillId="0" borderId="0" xfId="2"/>
    <xf numFmtId="0" fontId="6" fillId="2" borderId="1" xfId="0" applyFont="1" applyFill="1" applyBorder="1" applyAlignment="1">
      <alignment vertical="center" wrapText="1"/>
    </xf>
    <xf numFmtId="0" fontId="12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11" fillId="0" borderId="0" xfId="0" applyFont="1"/>
    <xf numFmtId="0" fontId="11" fillId="9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164" fontId="8" fillId="8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0" fontId="13" fillId="11" borderId="0" xfId="0" applyFont="1" applyFill="1" applyAlignment="1">
      <alignment horizontal="center"/>
    </xf>
    <xf numFmtId="0" fontId="12" fillId="12" borderId="0" xfId="0" applyFont="1" applyFill="1" applyAlignment="1">
      <alignment horizontal="center"/>
    </xf>
    <xf numFmtId="0" fontId="14" fillId="13" borderId="0" xfId="0" applyFont="1" applyFill="1" applyAlignment="1">
      <alignment horizontal="center"/>
    </xf>
    <xf numFmtId="0" fontId="11" fillId="9" borderId="2" xfId="0" applyFont="1" applyFill="1" applyBorder="1" applyAlignment="1">
      <alignment horizontal="center"/>
    </xf>
  </cellXfs>
  <cellStyles count="3">
    <cellStyle name="Comma 2" xfId="1" xr:uid="{334F81B6-5438-40E7-9E06-EF12ECAED6FF}"/>
    <cellStyle name="Hyperlink" xfId="2" builtinId="8"/>
    <cellStyle name="Normal" xfId="0" builtinId="0"/>
  </cellStyles>
  <dxfs count="29">
    <dxf>
      <font>
        <color rgb="FF9C0006"/>
      </font>
    </dxf>
    <dxf>
      <font>
        <color rgb="FF006100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</dxf>
    <dxf>
      <font>
        <color rgb="FF006100"/>
      </font>
    </dxf>
    <dxf>
      <font>
        <color rgb="FF9C0006"/>
      </font>
    </dxf>
    <dxf>
      <font>
        <color rgb="FF006100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305496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01841A-CCB2-45DF-ACFB-A18181CB2BA3}" name="ChiTietKQKD" displayName="ChiTietKQKD" ref="A22:R1615" totalsRowShown="0" headerRowDxfId="28">
  <autoFilter ref="A22:R1615" xr:uid="{8201841A-CCB2-45DF-ACFB-A18181CB2BA3}"/>
  <tableColumns count="18">
    <tableColumn id="1" xr3:uid="{FD5E37A8-CB52-4321-B66E-D7D5F1885C6F}" name="STT" dataDxfId="27">
      <calculatedColumnFormula>Sheet4!A2</calculatedColumnFormula>
    </tableColumn>
    <tableColumn id="2" xr3:uid="{00B8ED0A-AFF4-4E8E-AB37-3C012F6912CF}" name="Mã CP" dataDxfId="26">
      <calculatedColumnFormula>Sheet4!B2</calculatedColumnFormula>
    </tableColumn>
    <tableColumn id="3" xr3:uid="{6858469D-A296-4175-AEBC-B6AD2920AABC}" name="Tên công ty" dataDxfId="25">
      <calculatedColumnFormula>Sheet4!C1</calculatedColumnFormula>
    </tableColumn>
    <tableColumn id="4" xr3:uid="{96E1CAC9-C8C5-4787-B312-C09A7AF8F3FE}" name="Sàn" dataDxfId="24">
      <calculatedColumnFormula>Sheet4!D2</calculatedColumnFormula>
    </tableColumn>
    <tableColumn id="18" xr3:uid="{B8D6FC64-E003-4766-94A5-D09924C15EB3}" name="Vốn hóa thị trường (tỷ đồng)" dataDxfId="23">
      <calculatedColumnFormula>Sheet4!AH2/1000000000</calculatedColumnFormula>
    </tableColumn>
    <tableColumn id="5" xr3:uid="{83AE3C51-F4DE-43C4-BD43-59C0C94A51B4}" name="Ngành L1" dataDxfId="22">
      <calculatedColumnFormula>Sheet4!E2</calculatedColumnFormula>
    </tableColumn>
    <tableColumn id="6" xr3:uid="{E88B0AAA-0A28-4559-A822-9AC83478F289}" name="Ngành L2" dataDxfId="21">
      <calculatedColumnFormula>Sheet4!F2</calculatedColumnFormula>
    </tableColumn>
    <tableColumn id="7" xr3:uid="{D8686E2E-4CF8-431B-AB6D-77CEB330478D}" name="Ngành L4" dataDxfId="20">
      <calculatedColumnFormula>Sheet4!G2</calculatedColumnFormula>
    </tableColumn>
    <tableColumn id="8" xr3:uid="{6B214122-140C-41CD-AD4D-10A4EDD88484}" name="DTT Q2/26 (tỷ đồng)" dataDxfId="19">
      <calculatedColumnFormula array="1">_xlfn.LET(
        _xlpm.colIdx, _xlfn.XMATCH("*Doanh thu thuần*Q2*",#REF!,2),
        _xlpm.val, _xlfn.XLOOKUP(ChiTietKQKD[[#This Row],[Mã CP]],#REF!,INDEX(#REF!,,_xlpm.colIdx)),
        IF(OR(_xlpm.val="",_xlpm.val=0),"",_xlpm.val/1000000000)
    )</calculatedColumnFormula>
    </tableColumn>
    <tableColumn id="9" xr3:uid="{DB8479B1-B55D-47B9-9F70-A9F036E1A70F}" name="DTT 6T/26 (tỷ đồng)" dataDxfId="18">
      <calculatedColumnFormula array="1">_xlfn.LET(
        _xlpm.colIdx, _xlfn.XMATCH("*Doanh thu thuần*6 tháng*",#REF!,2),
        _xlpm.val, _xlfn.XLOOKUP(ChiTietKQKD[[#This Row],[Mã CP]],#REF!,INDEX(#REF!,,_xlpm.colIdx)),
        IF(OR(_xlpm.val="",_xlpm.val=0),"",_xlpm.val/1000000000)
    )</calculatedColumnFormula>
    </tableColumn>
    <tableColumn id="10" xr3:uid="{82CDDD29-A670-4DE9-B378-D092E80ECC6B}" name="TT DTT Q YoY" dataDxfId="17">
      <calculatedColumnFormula array="1">_xlfn.LET(
        _xlpm.colIdx, _xlfn.XMATCH("*Tăng trưởng doanh thu thuần (YoY) (Quý*",#REF!,2),
        _xlpm.val, _xlfn.XLOOKUP(ChiTietKQKD[[#This Row],[Mã CP]],#REF!,INDEX(#REF!,,_xlpm.colIdx)),
        IF(_xlpm.val="","",_xlpm.val)
    )</calculatedColumnFormula>
    </tableColumn>
    <tableColumn id="11" xr3:uid="{5E6D048A-F130-42BC-8F51-7EDCFBEFF836}" name="TT DTT 6M YoY" dataDxfId="16">
      <calculatedColumnFormula array="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calculatedColumnFormula>
    </tableColumn>
    <tableColumn id="12" xr3:uid="{D23A03E4-38F6-40E7-BD7E-A455916F7522}" name="LNST Q2/26 (tỷ đồng)" dataDxfId="15">
      <calculatedColumnFormula array="1">_xlfn.LET(_xlpm.val,IFERROR(INDEX(Sheet4!$2:$1605,MATCH(ChiTietKQKD[[#This Row],[Mã CP]],Sheet4!$B$2:$B$1605,0),_xlfn.XMATCH("*Lợi nhuận sau thuế*Q2*2026*",Sheet4!$1:$1,2)),0),IF(OR(_xlpm.val="",_xlpm.val=0),"",_xlpm.val/1000000000))</calculatedColumnFormula>
    </tableColumn>
    <tableColumn id="13" xr3:uid="{7C570DAD-BE88-4B07-AA34-DFAE7D6F979D}" name="LNST 6T/26 (tỷ đồng)" dataDxfId="14">
      <calculatedColumnFormula array="1">_xlfn.LET(_xlpm.val,IFERROR(INDEX(Sheet4!$2:$1605,MATCH(ChiTietKQKD[[#This Row],[Mã CP]],Sheet4!$B$2:$B$1605,0),_xlfn.XMATCH("*Lợi nhuận sau thuế*6 tháng*2026*",Sheet4!$1:$1,2)),0),IF(OR(_xlpm.val="",_xlpm.val=0),"",_xlpm.val/1000000000))</calculatedColumnFormula>
    </tableColumn>
    <tableColumn id="14" xr3:uid="{B0A71313-1D08-4A14-ACBC-4E12FD2310B1}" name="TT LNST Q YoY" dataDxfId="13">
      <calculatedColumnFormula array="1">IFERROR(INDEX(Sheet4!$2:$1605,MATCH(ChiTietKQKD[[#This Row],[Mã CP]],Sheet4!$B$2:$B$1605,0),_xlfn.XMATCH("*Tăng trưởng lợi nhuận sau thuế (YoY) (Quý*",Sheet4!$1:$1,2)),"")</calculatedColumnFormula>
    </tableColumn>
    <tableColumn id="15" xr3:uid="{DB03B67C-93E1-47EF-95EC-A3E74498CF0A}" name="TT LNST 6M YoY" dataDxfId="12">
      <calculatedColumnFormula array="1">IFERROR(INDEX(Sheet4!$2:$1605,MATCH(ChiTietKQKD[[#This Row],[Mã CP]],Sheet4!$B$2:$B$1605,0),_xlfn.XMATCH("*Tăng trưởng lợi nhuận sau thuế (YoY) (6M)*",Sheet4!$1:$1,2)),"")</calculatedColumnFormula>
    </tableColumn>
    <tableColumn id="16" xr3:uid="{AED68D75-4635-497E-B076-A7B23E802576}" name="TT DTT QoQ" dataDxfId="11">
      <calculatedColumnFormula array="1">IFERROR(INDEX(Sheet4!$2:$1605,MATCH(ChiTietKQKD[[#This Row],[Mã CP]],Sheet4!$B$2:$B$1605,0),_xlfn.XMATCH("*Tăng trưởng doanh thu thuần (QoQ)*",Sheet4!$1:$1,2)),"")</calculatedColumnFormula>
    </tableColumn>
    <tableColumn id="17" xr3:uid="{EEDDE8AE-D9FE-49C8-A2A1-4FE2A253FD9F}" name="TT LNST QoQ" dataDxfId="10">
      <calculatedColumnFormula array="1">IFERROR(INDEX(Sheet4!$2:$1605,MATCH(ChiTietKQKD[[#This Row],[Mã CP]],Sheet4!$B$2:$B$1605,0),_xlfn.XMATCH("*Tăng trưởng lợi nhuận sau thuế (QoQ)*",Sheet4!$1:$1,2)),"")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A95A9-8975-478B-AF43-CA6E67E22B05}">
  <sheetPr>
    <tabColor rgb="FF002060"/>
  </sheetPr>
  <dimension ref="A1:R1615"/>
  <sheetViews>
    <sheetView tabSelected="1" topLeftCell="C16" zoomScale="70" zoomScaleNormal="70" workbookViewId="0">
      <selection activeCell="U25" sqref="U25"/>
    </sheetView>
  </sheetViews>
  <sheetFormatPr defaultRowHeight="15" x14ac:dyDescent="0.25"/>
  <cols>
    <col min="1" max="1" width="21.42578125" bestFit="1" customWidth="1"/>
    <col min="2" max="2" width="9.7109375" customWidth="1"/>
    <col min="3" max="3" width="17.5703125" customWidth="1"/>
    <col min="4" max="5" width="20.85546875" customWidth="1"/>
    <col min="6" max="7" width="16.7109375" customWidth="1"/>
    <col min="8" max="8" width="15.42578125" customWidth="1"/>
    <col min="9" max="15" width="11.42578125" customWidth="1"/>
    <col min="17" max="17" width="11.42578125" customWidth="1"/>
    <col min="18" max="18" width="12.42578125" customWidth="1"/>
  </cols>
  <sheetData>
    <row r="1" spans="1:13" ht="35.1" customHeight="1" x14ac:dyDescent="0.4">
      <c r="A1" s="29" t="s">
        <v>3320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30" t="s">
        <v>3321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4" spans="1:13" x14ac:dyDescent="0.25">
      <c r="A4" s="31" t="s">
        <v>3328</v>
      </c>
      <c r="B4" s="31"/>
      <c r="C4" s="33" t="s">
        <v>3329</v>
      </c>
      <c r="D4" s="33"/>
      <c r="E4" s="23"/>
      <c r="F4" s="35" t="s">
        <v>3330</v>
      </c>
      <c r="G4" s="35"/>
      <c r="H4" s="37" t="s">
        <v>3331</v>
      </c>
      <c r="I4" s="37"/>
      <c r="J4" s="27" t="s">
        <v>3332</v>
      </c>
      <c r="K4" s="27"/>
    </row>
    <row r="5" spans="1:13" ht="26.25" x14ac:dyDescent="0.4">
      <c r="A5" s="32">
        <f>COUNTA(INDEX(Sheet4!$A:$AG,0,_xlfn.XMATCH("Mã",Sheet4!$1:$1)))-1</f>
        <v>1593</v>
      </c>
      <c r="B5" s="32"/>
      <c r="C5" s="34" cm="1">
        <f t="array" ref="C5">_xlfn.LET(
        _xlpm.colDTT,_xlfn.XMATCH("*Doanh thu thuần*Q2*2026*",Sheet4!$1:$1,2),
        _xlpm.colTNL,_xlfn.XMATCH("*Thu nhập lãi thuần*Quý: 2*2026*",Sheet4!$1:$1,2),
        _xlpm.dttData,INDEX(Sheet4!$A:$AG,0,_xlpm.colDTT),
        _xlpm.tnlData,INDEX(Sheet4!$A:$AG,0,_xlpm.colTNL),
        SUMPRODUCT((_xlpm.dttData&lt;&gt;"")*(_xlpm.dttData&lt;&gt;0)*(ROW(_xlpm.dttData)&gt;1)*1)+SUMPRODUCT((OR(_xlpm.dttData="",_xlpm.dttData=0))*(_xlpm.tnlData&lt;&gt;"")*(_xlpm.tnlData&lt;&gt;0)*(ROW(_xlpm.tnlData)&gt;1)*1)
    )</f>
        <v>405</v>
      </c>
      <c r="D5" s="34"/>
      <c r="E5" s="24"/>
      <c r="F5" s="36" cm="1">
        <f t="array" ref="F5">_xlfn.LET(
        _xlpm.colLNST,_xlfn.XMATCH("*Lợi nhuận sau thuế*Q2*2026*",Sheet4!$1:$1,2),
        _xlpm.lnstData,INDEX(Sheet4!$A:$AG,0,_xlpm.colLNST),
        SUMPRODUCT((_xlpm.lnstData&gt;0)*(ROW(_xlpm.lnstData)&gt;1)*1)
    )</f>
        <v>362</v>
      </c>
      <c r="G5" s="36"/>
      <c r="H5" s="38" cm="1">
        <f t="array" ref="H5">_xlfn.LET(
        _xlpm.colLNST,_xlfn.XMATCH("*Lợi nhuận sau thuế*Q2*2026*",Sheet4!$1:$1,2),
        _xlpm.lnstData,INDEX(Sheet4!$A:$AG,0,_xlpm.colLNST),
        SUMPRODUCT((_xlpm.lnstData&lt;0)*(ROW(_xlpm.lnstData)&gt;1)*1)
    )</f>
        <v>47</v>
      </c>
      <c r="I5" s="38"/>
      <c r="J5" s="28" cm="1">
        <f t="array" ref="J5">_xlfn.LET(
        _xlpm.colLNST,_xlfn.XMATCH("*Lợi nhuận sau thuế*Q2*2026*",Sheet4!$1:$1,2),
        _xlpm.lnstData,INDEX(Sheet4!$A:$AG,0,_xlpm.colLNST),
        _xlpm.coLai,SUMPRODUCT((_xlpm.lnstData&gt;0)*(ROW(_xlpm.lnstData)&gt;1)*1),
        _xlpm.biLo,SUMPRODUCT((_xlpm.lnstData&lt;0)*(ROW(_xlpm.lnstData)&gt;1)*1),
        _xlpm.coLai/(_xlpm.coLai+_xlpm.biLo)
    )</f>
        <v>0.88508557457212711</v>
      </c>
      <c r="K5" s="28"/>
    </row>
    <row r="7" spans="1:13" ht="17.25" x14ac:dyDescent="0.3">
      <c r="A7" s="39" t="s">
        <v>3322</v>
      </c>
      <c r="B7" s="39"/>
      <c r="C7" s="39"/>
      <c r="D7" s="39"/>
      <c r="E7" s="39"/>
      <c r="F7" s="39"/>
      <c r="G7" s="39"/>
      <c r="H7" s="25"/>
    </row>
    <row r="8" spans="1:13" x14ac:dyDescent="0.25">
      <c r="A8" s="8" t="s">
        <v>3323</v>
      </c>
      <c r="B8" s="8" t="s">
        <v>3324</v>
      </c>
      <c r="C8" s="8" t="s">
        <v>3325</v>
      </c>
      <c r="D8" s="8" t="s">
        <v>3326</v>
      </c>
      <c r="E8" s="8" t="s">
        <v>3327</v>
      </c>
      <c r="F8" s="8" t="s">
        <v>3338</v>
      </c>
      <c r="G8" s="8" t="s">
        <v>3339</v>
      </c>
    </row>
    <row r="9" spans="1:13" x14ac:dyDescent="0.25">
      <c r="A9" s="11" t="s">
        <v>40</v>
      </c>
      <c r="B9" s="12">
        <f>_xlfn.LET(
        _xlpm.colNganh,_xlfn.XMATCH("*ICB L1*",Sheet4!$1:$1,2),
        _xlpm.nganhData,INDEX(Sheet4!$2:$1605,0,_xlpm.colNganh),
        COUNTIF(_xlpm.nganhData,$A9)
    )</f>
        <v>572</v>
      </c>
      <c r="C9" s="12" cm="1">
        <f t="array" ref="C9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IF($A9="Ngân hàng",
            SUMPRODUCT((_xlpm.nganhData=$A9)*(_xlpm.tnlData&lt;&gt;"")*(_xlpm.tnlData&lt;&gt;0)*1),
            SUMPRODUCT((_xlpm.nganhData=$A9)*(_xlpm.dttData&lt;&gt;"")*(_xlpm.dttData&lt;&gt;0)*1)
        )
    )</f>
        <v>114</v>
      </c>
      <c r="D9" s="13" cm="1">
        <f t="array" ref="D9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IF($A9="Ngân hàng",
            SUMPRODUCT((_xlpm.nganhData=$A9)*(_xlpm.tnlData))/1000000000,
            SUMPRODUCT((_xlpm.nganhData=$A9)*(_xlpm.dttData))/1000000000
        )
    )</f>
        <v>33929.181967944998</v>
      </c>
      <c r="E9" s="13" cm="1">
        <f t="array" ref="E9">_xlfn.LET(
        _xlpm.colNganh,_xlfn.XMATCH("*ICB L1*",Sheet4!$1:$1,2),
        _xlpm.colLNST,_xlfn.XMATCH("*Lợi nhuận sau thuế*Q2*2026*",Sheet4!$1:$1,2),
        _xlpm.nganhData,INDEX(Sheet4!$2:$1605,0,_xlpm.colNganh),
        _xlpm.lnstData,INDEX(Sheet4!$2:$1605,0,_xlpm.colLNST),
        SUMPRODUCT((_xlpm.nganhData=$A9)*(_xlpm.lnstData))/1000000000
    )</f>
        <v>3439.4574442369999</v>
      </c>
      <c r="F9" s="14" cm="1">
        <f t="array" ref="F9">_xlfn.LET(
        _xlpm.colNganh,_xlfn.XMATCH("*ICB L1*",Sheet4!$1:$1,2),
        _xlpm.colDTT,_xlfn.XMATCH("*Doanh thu thuần*Q2*2026*",Sheet4!$1:$1,2),
        _xlpm.colTNL26,_xlfn.XMATCH("*Thu nhập lãi thuần*Quý: 2*2026*",Sheet4!$1:$1,2),
        _xlpm.colTNL25,_xlfn.XMATCH("*Thu nhập lãi thuần*Q2*2025*",Sheet4!$1:$1,2),
        _xlpm.colTTDTT,_xlfn.XMATCH("*Tăng trưởng doanh thu thuần (YoY) (Quý*",Sheet4!$1:$1,2),
        _xlpm.nganhData,INDEX(Sheet4!$2:$1605,0,_xlpm.colNganh),
        _xlpm.dttData,INDEX(Sheet4!$2:$1605,0,_xlpm.colDTT),
        _xlpm.tnl26Data,INDEX(Sheet4!$2:$1605,0,_xlpm.colTNL26),
        _xlpm.tnl25Data,INDEX(Sheet4!$2:$1605,0,_xlpm.colTNL25),
        _xlpm.ttdttData,INDEX(Sheet4!$2:$1605,0,_xlpm.colTTDTT),
        IF($A9="Ngân hàng",
            _xlfn.LET(
                _xlpm.sumTNL26,SUMPRODUCT((_xlpm.nganhData=$A9)*(_xlpm.tnl26Data&lt;&gt;0)*(_xlpm.tnl26Data)),
                _xlpm.sumTNL25Match,SUMPRODUCT((_xlpm.nganhData=$A9)*(_xlpm.tnl26Data&lt;&gt;0)*(_xlpm.tnl25Data)),
                IF(OR(_xlpm.sumTNL26=0,_xlpm.sumTNL25Match=0),"-",_xlpm.sumTNL26/_xlpm.sumTNL25Match-1)
            ),
            _xlfn.LET(
                _xlpm.tongDT,SUMPRODUCT((_xlpm.nganhData=$A9)*(_xlpm.dttData)),
                _xlpm.tongTT,SUMPRODUCT((_xlpm.nganhData=$A9)*(_xlpm.dttData)*(_xlpm.ttdttData)),
                IF(_xlpm.tongDT=0,"-",_xlpm.tongTT/_xlpm.tongDT)
            )
        )
    )</f>
        <v>0.33255604687216594</v>
      </c>
      <c r="G9" s="14" cm="1">
        <f t="array" ref="G9">_xlfn.LET(
        _xlpm.colNganh,_xlfn.XMATCH("*ICB L1*",Sheet4!$1:$1,2),
        _xlpm.colLNST,_xlfn.XMATCH("*Lợi nhuận sau thuế*Q2*2026*",Sheet4!$1:$1,2),
        _xlpm.colTTLNST,_xlfn.XMATCH("*Tăng trưởng lợi nhuận sau thuế (YoY) (Quý*",Sheet4!$1:$1,2),
        _xlpm.nganhData,INDEX(Sheet4!$2:$1605,0,_xlpm.colNganh),
        _xlpm.lnstData,INDEX(Sheet4!$2:$1605,0,_xlpm.colLNST),
        _xlpm.ttlnstData,INDEX(Sheet4!$2:$1605,0,_xlpm.colTTLNST),
        _xlfn.LET(
            _xlpm.tongLNST,SUMPRODUCT((_xlpm.nganhData=$A9)*(_xlpm.lnstData)),
            _xlpm.tongTT,SUMPRODUCT((_xlpm.nganhData=$A9)*(_xlpm.lnstData)*(_xlpm.ttlnstData)),
            IF(_xlpm.tongLNST=0,"-",_xlpm.tongTT/_xlpm.tongLNST)
        )
    )</f>
        <v>3.9424358875817225</v>
      </c>
    </row>
    <row r="10" spans="1:13" x14ac:dyDescent="0.25">
      <c r="A10" s="15" t="s">
        <v>185</v>
      </c>
      <c r="B10" s="16">
        <f>_xlfn.LET(
        _xlpm.colNganh,_xlfn.XMATCH("*ICB L1*",Sheet4!$1:$1,2),
        _xlpm.nganhData,INDEX(Sheet4!$2:$1605,0,_xlpm.colNganh),
        COUNTIF(_xlpm.nganhData,$A10)
    )</f>
        <v>27</v>
      </c>
      <c r="C10" s="16" cm="1">
        <f t="array" ref="C10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IF($A10="Ngân hàng",
            SUMPRODUCT((_xlpm.nganhData=$A10)*(_xlpm.tnlData&lt;&gt;"")*(_xlpm.tnlData&lt;&gt;0)*1),
            SUMPRODUCT((_xlpm.nganhData=$A10)*(_xlpm.dttData&lt;&gt;"")*(_xlpm.dttData&lt;&gt;0)*1)
        )
    )</f>
        <v>4</v>
      </c>
      <c r="D10" s="17" cm="1">
        <f t="array" ref="D10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IF($A10="Ngân hàng",
            SUMPRODUCT((_xlpm.nganhData=$A10)*(_xlpm.tnlData))/1000000000,
            SUMPRODUCT((_xlpm.nganhData=$A10)*(_xlpm.dttData))/1000000000
        )
    )</f>
        <v>230.213160031</v>
      </c>
      <c r="E10" s="17" cm="1">
        <f t="array" ref="E10">_xlfn.LET(
        _xlpm.colNganh,_xlfn.XMATCH("*ICB L1*",Sheet4!$1:$1,2),
        _xlpm.colLNST,_xlfn.XMATCH("*Lợi nhuận sau thuế*Q2*2026*",Sheet4!$1:$1,2),
        _xlpm.nganhData,INDEX(Sheet4!$2:$1605,0,_xlpm.colNganh),
        _xlpm.lnstData,INDEX(Sheet4!$2:$1605,0,_xlpm.colLNST),
        SUMPRODUCT((_xlpm.nganhData=$A10)*(_xlpm.lnstData))/1000000000
    )</f>
        <v>15.117616980999999</v>
      </c>
      <c r="F10" s="18" cm="1">
        <f t="array" ref="F10">_xlfn.LET(
        _xlpm.colNganh,_xlfn.XMATCH("*ICB L1*",Sheet4!$1:$1,2),
        _xlpm.colDTT,_xlfn.XMATCH("*Doanh thu thuần*Q2*2026*",Sheet4!$1:$1,2),
        _xlpm.colTNL26,_xlfn.XMATCH("*Thu nhập lãi thuần*Quý: 2*2026*",Sheet4!$1:$1,2),
        _xlpm.colTNL25,_xlfn.XMATCH("*Thu nhập lãi thuần*Q2*2025*",Sheet4!$1:$1,2),
        _xlpm.colTTDTT,_xlfn.XMATCH("*Tăng trưởng doanh thu thuần (YoY) (Quý*",Sheet4!$1:$1,2),
        _xlpm.nganhData,INDEX(Sheet4!$2:$1605,0,_xlpm.colNganh),
        _xlpm.dttData,INDEX(Sheet4!$2:$1605,0,_xlpm.colDTT),
        _xlpm.tnl26Data,INDEX(Sheet4!$2:$1605,0,_xlpm.colTNL26),
        _xlpm.tnl25Data,INDEX(Sheet4!$2:$1605,0,_xlpm.colTNL25),
        _xlpm.ttdttData,INDEX(Sheet4!$2:$1605,0,_xlpm.colTTDTT),
        IF($A10="Ngân hàng",
            _xlfn.LET(
                _xlpm.sumTNL26,SUMPRODUCT((_xlpm.nganhData=$A10)*(_xlpm.tnl26Data&lt;&gt;0)*(_xlpm.tnl26Data)),
                _xlpm.sumTNL25Match,SUMPRODUCT((_xlpm.nganhData=$A10)*(_xlpm.tnl26Data&lt;&gt;0)*(_xlpm.tnl25Data)),
                IF(OR(_xlpm.sumTNL26=0,_xlpm.sumTNL25Match=0),"-",_xlpm.sumTNL26/_xlpm.sumTNL25Match-1)
            ),
            _xlfn.LET(
                _xlpm.tongDT,SUMPRODUCT((_xlpm.nganhData=$A10)*(_xlpm.dttData)),
                _xlpm.tongTT,SUMPRODUCT((_xlpm.nganhData=$A10)*(_xlpm.dttData)*(_xlpm.ttdttData)),
                IF(_xlpm.tongDT=0,"-",_xlpm.tongTT/_xlpm.tongDT)
            )
        )
    )</f>
        <v>1.0373207251009906</v>
      </c>
      <c r="G10" s="18" cm="1">
        <f t="array" ref="G10">_xlfn.LET(
        _xlpm.colNganh,_xlfn.XMATCH("*ICB L1*",Sheet4!$1:$1,2),
        _xlpm.colLNST,_xlfn.XMATCH("*Lợi nhuận sau thuế*Q2*2026*",Sheet4!$1:$1,2),
        _xlpm.colTTLNST,_xlfn.XMATCH("*Tăng trưởng lợi nhuận sau thuế (YoY) (Quý*",Sheet4!$1:$1,2),
        _xlpm.nganhData,INDEX(Sheet4!$2:$1605,0,_xlpm.colNganh),
        _xlpm.lnstData,INDEX(Sheet4!$2:$1605,0,_xlpm.colLNST),
        _xlpm.ttlnstData,INDEX(Sheet4!$2:$1605,0,_xlpm.colTTLNST),
        _xlfn.LET(
            _xlpm.tongLNST,SUMPRODUCT((_xlpm.nganhData=$A10)*(_xlpm.lnstData)),
            _xlpm.tongTT,SUMPRODUCT((_xlpm.nganhData=$A10)*(_xlpm.lnstData)*(_xlpm.ttlnstData)),
            IF(_xlpm.tongLNST=0,"-",_xlpm.tongTT/_xlpm.tongLNST)
        )
    )</f>
        <v>13.232936457633878</v>
      </c>
    </row>
    <row r="11" spans="1:13" x14ac:dyDescent="0.25">
      <c r="A11" s="11" t="s">
        <v>234</v>
      </c>
      <c r="B11" s="12">
        <f>_xlfn.LET(
        _xlpm.colNganh,_xlfn.XMATCH("*ICB L1*",Sheet4!$1:$1,2),
        _xlpm.nganhData,INDEX(Sheet4!$2:$1605,0,_xlpm.colNganh),
        COUNTIF(_xlpm.nganhData,$A11)
    )</f>
        <v>65</v>
      </c>
      <c r="C11" s="12" cm="1">
        <f t="array" ref="C11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IF($A11="Ngân hàng",
            SUMPRODUCT((_xlpm.nganhData=$A11)*(_xlpm.tnlData&lt;&gt;"")*(_xlpm.tnlData&lt;&gt;0)*1),
            SUMPRODUCT((_xlpm.nganhData=$A11)*(_xlpm.dttData&lt;&gt;"")*(_xlpm.dttData&lt;&gt;0)*1)
        )
    )</f>
        <v>15</v>
      </c>
      <c r="D11" s="13" cm="1">
        <f t="array" ref="D11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IF($A11="Ngân hàng",
            SUMPRODUCT((_xlpm.nganhData=$A11)*(_xlpm.tnlData))/1000000000,
            SUMPRODUCT((_xlpm.nganhData=$A11)*(_xlpm.dttData))/1000000000
        )
    )</f>
        <v>4197.1007142779999</v>
      </c>
      <c r="E11" s="13" cm="1">
        <f t="array" ref="E11">_xlfn.LET(
        _xlpm.colNganh,_xlfn.XMATCH("*ICB L1*",Sheet4!$1:$1,2),
        _xlpm.colLNST,_xlfn.XMATCH("*Lợi nhuận sau thuế*Q2*2026*",Sheet4!$1:$1,2),
        _xlpm.nganhData,INDEX(Sheet4!$2:$1605,0,_xlpm.colNganh),
        _xlpm.lnstData,INDEX(Sheet4!$2:$1605,0,_xlpm.colLNST),
        SUMPRODUCT((_xlpm.nganhData=$A11)*(_xlpm.lnstData))/1000000000
    )</f>
        <v>546.57342394199998</v>
      </c>
      <c r="F11" s="14" cm="1">
        <f t="array" ref="F11">_xlfn.LET(
        _xlpm.colNganh,_xlfn.XMATCH("*ICB L1*",Sheet4!$1:$1,2),
        _xlpm.colDTT,_xlfn.XMATCH("*Doanh thu thuần*Q2*2026*",Sheet4!$1:$1,2),
        _xlpm.colTNL26,_xlfn.XMATCH("*Thu nhập lãi thuần*Quý: 2*2026*",Sheet4!$1:$1,2),
        _xlpm.colTNL25,_xlfn.XMATCH("*Thu nhập lãi thuần*Q2*2025*",Sheet4!$1:$1,2),
        _xlpm.colTTDTT,_xlfn.XMATCH("*Tăng trưởng doanh thu thuần (YoY) (Quý*",Sheet4!$1:$1,2),
        _xlpm.nganhData,INDEX(Sheet4!$2:$1605,0,_xlpm.colNganh),
        _xlpm.dttData,INDEX(Sheet4!$2:$1605,0,_xlpm.colDTT),
        _xlpm.tnl26Data,INDEX(Sheet4!$2:$1605,0,_xlpm.colTNL26),
        _xlpm.tnl25Data,INDEX(Sheet4!$2:$1605,0,_xlpm.colTNL25),
        _xlpm.ttdttData,INDEX(Sheet4!$2:$1605,0,_xlpm.colTTDTT),
        IF($A11="Ngân hàng",
            _xlfn.LET(
                _xlpm.sumTNL26,SUMPRODUCT((_xlpm.nganhData=$A11)*(_xlpm.tnl26Data&lt;&gt;0)*(_xlpm.tnl26Data)),
                _xlpm.sumTNL25Match,SUMPRODUCT((_xlpm.nganhData=$A11)*(_xlpm.tnl26Data&lt;&gt;0)*(_xlpm.tnl25Data)),
                IF(OR(_xlpm.sumTNL26=0,_xlpm.sumTNL25Match=0),"-",_xlpm.sumTNL26/_xlpm.sumTNL25Match-1)
            ),
            _xlfn.LET(
                _xlpm.tongDT,SUMPRODUCT((_xlpm.nganhData=$A11)*(_xlpm.dttData)),
                _xlpm.tongTT,SUMPRODUCT((_xlpm.nganhData=$A11)*(_xlpm.dttData)*(_xlpm.ttdttData)),
                IF(_xlpm.tongDT=0,"-",_xlpm.tongTT/_xlpm.tongDT)
            )
        )
    )</f>
        <v>8.129910768254324E-2</v>
      </c>
      <c r="G11" s="14" cm="1">
        <f t="array" ref="G11">_xlfn.LET(
        _xlpm.colNganh,_xlfn.XMATCH("*ICB L1*",Sheet4!$1:$1,2),
        _xlpm.colLNST,_xlfn.XMATCH("*Lợi nhuận sau thuế*Q2*2026*",Sheet4!$1:$1,2),
        _xlpm.colTTLNST,_xlfn.XMATCH("*Tăng trưởng lợi nhuận sau thuế (YoY) (Quý*",Sheet4!$1:$1,2),
        _xlpm.nganhData,INDEX(Sheet4!$2:$1605,0,_xlpm.colNganh),
        _xlpm.lnstData,INDEX(Sheet4!$2:$1605,0,_xlpm.colLNST),
        _xlpm.ttlnstData,INDEX(Sheet4!$2:$1605,0,_xlpm.colTTLNST),
        _xlfn.LET(
            _xlpm.tongLNST,SUMPRODUCT((_xlpm.nganhData=$A11)*(_xlpm.lnstData)),
            _xlpm.tongTT,SUMPRODUCT((_xlpm.nganhData=$A11)*(_xlpm.lnstData)*(_xlpm.ttlnstData)),
            IF(_xlpm.tongLNST=0,"-",_xlpm.tongTT/_xlpm.tongLNST)
        )
    )</f>
        <v>2.895357954040422</v>
      </c>
    </row>
    <row r="12" spans="1:13" x14ac:dyDescent="0.25">
      <c r="A12" s="15" t="s">
        <v>140</v>
      </c>
      <c r="B12" s="16">
        <f>_xlfn.LET(
        _xlpm.colNganh,_xlfn.XMATCH("*ICB L1*",Sheet4!$1:$1,2),
        _xlpm.nganhData,INDEX(Sheet4!$2:$1605,0,_xlpm.colNganh),
        COUNTIF(_xlpm.nganhData,$A12)
    )</f>
        <v>12</v>
      </c>
      <c r="C12" s="16" cm="1">
        <f t="array" ref="C12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IF($A12="Ngân hàng",
            SUMPRODUCT((_xlpm.nganhData=$A12)*(_xlpm.tnlData&lt;&gt;"")*(_xlpm.tnlData&lt;&gt;0)*1),
            SUMPRODUCT((_xlpm.nganhData=$A12)*(_xlpm.dttData&lt;&gt;"")*(_xlpm.dttData&lt;&gt;0)*1)
        )
    )</f>
        <v>1</v>
      </c>
      <c r="D12" s="17" cm="1">
        <f t="array" ref="D12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IF($A12="Ngân hàng",
            SUMPRODUCT((_xlpm.nganhData=$A12)*(_xlpm.tnlData))/1000000000,
            SUMPRODUCT((_xlpm.nganhData=$A12)*(_xlpm.dttData))/1000000000
        )
    )</f>
        <v>1643.906593705</v>
      </c>
      <c r="E12" s="17" cm="1">
        <f t="array" ref="E12">_xlfn.LET(
        _xlpm.colNganh,_xlfn.XMATCH("*ICB L1*",Sheet4!$1:$1,2),
        _xlpm.colLNST,_xlfn.XMATCH("*Lợi nhuận sau thuế*Q2*2026*",Sheet4!$1:$1,2),
        _xlpm.nganhData,INDEX(Sheet4!$2:$1605,0,_xlpm.colNganh),
        _xlpm.lnstData,INDEX(Sheet4!$2:$1605,0,_xlpm.colLNST),
        SUMPRODUCT((_xlpm.nganhData=$A12)*(_xlpm.lnstData))/1000000000
    )</f>
        <v>43.957770357999998</v>
      </c>
      <c r="F12" s="18" cm="1">
        <f t="array" ref="F12">_xlfn.LET(
        _xlpm.colNganh,_xlfn.XMATCH("*ICB L1*",Sheet4!$1:$1,2),
        _xlpm.colDTT,_xlfn.XMATCH("*Doanh thu thuần*Q2*2026*",Sheet4!$1:$1,2),
        _xlpm.colTNL26,_xlfn.XMATCH("*Thu nhập lãi thuần*Quý: 2*2026*",Sheet4!$1:$1,2),
        _xlpm.colTNL25,_xlfn.XMATCH("*Thu nhập lãi thuần*Q2*2025*",Sheet4!$1:$1,2),
        _xlpm.colTTDTT,_xlfn.XMATCH("*Tăng trưởng doanh thu thuần (YoY) (Quý*",Sheet4!$1:$1,2),
        _xlpm.nganhData,INDEX(Sheet4!$2:$1605,0,_xlpm.colNganh),
        _xlpm.dttData,INDEX(Sheet4!$2:$1605,0,_xlpm.colDTT),
        _xlpm.tnl26Data,INDEX(Sheet4!$2:$1605,0,_xlpm.colTNL26),
        _xlpm.tnl25Data,INDEX(Sheet4!$2:$1605,0,_xlpm.colTNL25),
        _xlpm.ttdttData,INDEX(Sheet4!$2:$1605,0,_xlpm.colTTDTT),
        IF($A12="Ngân hàng",
            _xlfn.LET(
                _xlpm.sumTNL26,SUMPRODUCT((_xlpm.nganhData=$A12)*(_xlpm.tnl26Data&lt;&gt;0)*(_xlpm.tnl26Data)),
                _xlpm.sumTNL25Match,SUMPRODUCT((_xlpm.nganhData=$A12)*(_xlpm.tnl26Data&lt;&gt;0)*(_xlpm.tnl25Data)),
                IF(OR(_xlpm.sumTNL26=0,_xlpm.sumTNL25Match=0),"-",_xlpm.sumTNL26/_xlpm.sumTNL25Match-1)
            ),
            _xlfn.LET(
                _xlpm.tongDT,SUMPRODUCT((_xlpm.nganhData=$A12)*(_xlpm.dttData)),
                _xlpm.tongTT,SUMPRODUCT((_xlpm.nganhData=$A12)*(_xlpm.dttData)*(_xlpm.ttdttData)),
                IF(_xlpm.tongDT=0,"-",_xlpm.tongTT/_xlpm.tongDT)
            )
        )
    )</f>
        <v>2.2414999999999998</v>
      </c>
      <c r="G12" s="18" cm="1">
        <f t="array" ref="G12">_xlfn.LET(
        _xlpm.colNganh,_xlfn.XMATCH("*ICB L1*",Sheet4!$1:$1,2),
        _xlpm.colLNST,_xlfn.XMATCH("*Lợi nhuận sau thuế*Q2*2026*",Sheet4!$1:$1,2),
        _xlpm.colTTLNST,_xlfn.XMATCH("*Tăng trưởng lợi nhuận sau thuế (YoY) (Quý*",Sheet4!$1:$1,2),
        _xlpm.nganhData,INDEX(Sheet4!$2:$1605,0,_xlpm.colNganh),
        _xlpm.lnstData,INDEX(Sheet4!$2:$1605,0,_xlpm.colLNST),
        _xlpm.ttlnstData,INDEX(Sheet4!$2:$1605,0,_xlpm.colTTLNST),
        _xlfn.LET(
            _xlpm.tongLNST,SUMPRODUCT((_xlpm.nganhData=$A12)*(_xlpm.lnstData)),
            _xlpm.tongTT,SUMPRODUCT((_xlpm.nganhData=$A12)*(_xlpm.lnstData)*(_xlpm.ttlnstData)),
            IF(_xlpm.tongLNST=0,"-",_xlpm.tongTT/_xlpm.tongLNST)
        )
    )</f>
        <v>1.3018000000000001</v>
      </c>
    </row>
    <row r="13" spans="1:13" x14ac:dyDescent="0.25">
      <c r="A13" s="11" t="s">
        <v>62</v>
      </c>
      <c r="B13" s="12">
        <f>_xlfn.LET(
        _xlpm.colNganh,_xlfn.XMATCH("*ICB L1*",Sheet4!$1:$1,2),
        _xlpm.nganhData,INDEX(Sheet4!$2:$1605,0,_xlpm.colNganh),
        COUNTIF(_xlpm.nganhData,$A13)
    )</f>
        <v>109</v>
      </c>
      <c r="C13" s="12" cm="1">
        <f t="array" ref="C13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IF($A13="Ngân hàng",
            SUMPRODUCT((_xlpm.nganhData=$A13)*(_xlpm.tnlData&lt;&gt;"")*(_xlpm.tnlData&lt;&gt;0)*1),
            SUMPRODUCT((_xlpm.nganhData=$A13)*(_xlpm.dttData&lt;&gt;"")*(_xlpm.dttData&lt;&gt;0)*1)
        )
    )</f>
        <v>28</v>
      </c>
      <c r="D13" s="13" cm="1">
        <f t="array" ref="D13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IF($A13="Ngân hàng",
            SUMPRODUCT((_xlpm.nganhData=$A13)*(_xlpm.tnlData))/1000000000,
            SUMPRODUCT((_xlpm.nganhData=$A13)*(_xlpm.dttData))/1000000000
        )
    )</f>
        <v>10082.862811016001</v>
      </c>
      <c r="E13" s="13" cm="1">
        <f t="array" ref="E13">_xlfn.LET(
        _xlpm.colNganh,_xlfn.XMATCH("*ICB L1*",Sheet4!$1:$1,2),
        _xlpm.colLNST,_xlfn.XMATCH("*Lợi nhuận sau thuế*Q2*2026*",Sheet4!$1:$1,2),
        _xlpm.nganhData,INDEX(Sheet4!$2:$1605,0,_xlpm.colNganh),
        _xlpm.lnstData,INDEX(Sheet4!$2:$1605,0,_xlpm.colLNST),
        SUMPRODUCT((_xlpm.nganhData=$A13)*(_xlpm.lnstData))/1000000000
    )</f>
        <v>809.50331826499996</v>
      </c>
      <c r="F13" s="14" cm="1">
        <f t="array" ref="F13">_xlfn.LET(
        _xlpm.colNganh,_xlfn.XMATCH("*ICB L1*",Sheet4!$1:$1,2),
        _xlpm.colDTT,_xlfn.XMATCH("*Doanh thu thuần*Q2*2026*",Sheet4!$1:$1,2),
        _xlpm.colTNL26,_xlfn.XMATCH("*Thu nhập lãi thuần*Quý: 2*2026*",Sheet4!$1:$1,2),
        _xlpm.colTNL25,_xlfn.XMATCH("*Thu nhập lãi thuần*Q2*2025*",Sheet4!$1:$1,2),
        _xlpm.colTTDTT,_xlfn.XMATCH("*Tăng trưởng doanh thu thuần (YoY) (Quý*",Sheet4!$1:$1,2),
        _xlpm.nganhData,INDEX(Sheet4!$2:$1605,0,_xlpm.colNganh),
        _xlpm.dttData,INDEX(Sheet4!$2:$1605,0,_xlpm.colDTT),
        _xlpm.tnl26Data,INDEX(Sheet4!$2:$1605,0,_xlpm.colTNL26),
        _xlpm.tnl25Data,INDEX(Sheet4!$2:$1605,0,_xlpm.colTNL25),
        _xlpm.ttdttData,INDEX(Sheet4!$2:$1605,0,_xlpm.colTTDTT),
        IF($A13="Ngân hàng",
            _xlfn.LET(
                _xlpm.sumTNL26,SUMPRODUCT((_xlpm.nganhData=$A13)*(_xlpm.tnl26Data&lt;&gt;0)*(_xlpm.tnl26Data)),
                _xlpm.sumTNL25Match,SUMPRODUCT((_xlpm.nganhData=$A13)*(_xlpm.tnl26Data&lt;&gt;0)*(_xlpm.tnl25Data)),
                IF(OR(_xlpm.sumTNL26=0,_xlpm.sumTNL25Match=0),"-",_xlpm.sumTNL26/_xlpm.sumTNL25Match-1)
            ),
            _xlfn.LET(
                _xlpm.tongDT,SUMPRODUCT((_xlpm.nganhData=$A13)*(_xlpm.dttData)),
                _xlpm.tongTT,SUMPRODUCT((_xlpm.nganhData=$A13)*(_xlpm.dttData)*(_xlpm.ttdttData)),
                IF(_xlpm.tongDT=0,"-",_xlpm.tongTT/_xlpm.tongDT)
            )
        )
    )</f>
        <v>0.2185002526217503</v>
      </c>
      <c r="G13" s="14" cm="1">
        <f t="array" ref="G13">_xlfn.LET(
        _xlpm.colNganh,_xlfn.XMATCH("*ICB L1*",Sheet4!$1:$1,2),
        _xlpm.colLNST,_xlfn.XMATCH("*Lợi nhuận sau thuế*Q2*2026*",Sheet4!$1:$1,2),
        _xlpm.colTTLNST,_xlfn.XMATCH("*Tăng trưởng lợi nhuận sau thuế (YoY) (Quý*",Sheet4!$1:$1,2),
        _xlpm.nganhData,INDEX(Sheet4!$2:$1605,0,_xlpm.colNganh),
        _xlpm.lnstData,INDEX(Sheet4!$2:$1605,0,_xlpm.colLNST),
        _xlpm.ttlnstData,INDEX(Sheet4!$2:$1605,0,_xlpm.colTTLNST),
        _xlfn.LET(
            _xlpm.tongLNST,SUMPRODUCT((_xlpm.nganhData=$A13)*(_xlpm.lnstData)),
            _xlpm.tongTT,SUMPRODUCT((_xlpm.nganhData=$A13)*(_xlpm.lnstData)*(_xlpm.ttlnstData)),
            IF(_xlpm.tongLNST=0,"-",_xlpm.tongTT/_xlpm.tongLNST)
        )
    )</f>
        <v>1.6463304091069917</v>
      </c>
    </row>
    <row r="14" spans="1:13" x14ac:dyDescent="0.25">
      <c r="A14" s="15" t="s">
        <v>29</v>
      </c>
      <c r="B14" s="16">
        <f>_xlfn.LET(
        _xlpm.colNganh,_xlfn.XMATCH("*ICB L1*",Sheet4!$1:$1,2),
        _xlpm.nganhData,INDEX(Sheet4!$2:$1605,0,_xlpm.colNganh),
        COUNTIF(_xlpm.nganhData,$A14)
    )</f>
        <v>241</v>
      </c>
      <c r="C14" s="16" cm="1">
        <f t="array" ref="C14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IF($A14="Ngân hàng",
            SUMPRODUCT((_xlpm.nganhData=$A14)*(_xlpm.tnlData&lt;&gt;"")*(_xlpm.tnlData&lt;&gt;0)*1),
            SUMPRODUCT((_xlpm.nganhData=$A14)*(_xlpm.dttData&lt;&gt;"")*(_xlpm.dttData&lt;&gt;0)*1)
        )
    )</f>
        <v>54</v>
      </c>
      <c r="D14" s="17" cm="1">
        <f t="array" ref="D14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IF($A14="Ngân hàng",
            SUMPRODUCT((_xlpm.nganhData=$A14)*(_xlpm.tnlData))/1000000000,
            SUMPRODUCT((_xlpm.nganhData=$A14)*(_xlpm.dttData))/1000000000
        )
    )</f>
        <v>23873.363475548998</v>
      </c>
      <c r="E14" s="17" cm="1">
        <f t="array" ref="E14">_xlfn.LET(
        _xlpm.colNganh,_xlfn.XMATCH("*ICB L1*",Sheet4!$1:$1,2),
        _xlpm.colLNST,_xlfn.XMATCH("*Lợi nhuận sau thuế*Q2*2026*",Sheet4!$1:$1,2),
        _xlpm.nganhData,INDEX(Sheet4!$2:$1605,0,_xlpm.colNganh),
        _xlpm.lnstData,INDEX(Sheet4!$2:$1605,0,_xlpm.colLNST),
        SUMPRODUCT((_xlpm.nganhData=$A14)*(_xlpm.lnstData))/1000000000
    )</f>
        <v>1453.781244794</v>
      </c>
      <c r="F14" s="18" cm="1">
        <f t="array" ref="F14">_xlfn.LET(
        _xlpm.colNganh,_xlfn.XMATCH("*ICB L1*",Sheet4!$1:$1,2),
        _xlpm.colDTT,_xlfn.XMATCH("*Doanh thu thuần*Q2*2026*",Sheet4!$1:$1,2),
        _xlpm.colTNL26,_xlfn.XMATCH("*Thu nhập lãi thuần*Quý: 2*2026*",Sheet4!$1:$1,2),
        _xlpm.colTNL25,_xlfn.XMATCH("*Thu nhập lãi thuần*Q2*2025*",Sheet4!$1:$1,2),
        _xlpm.colTTDTT,_xlfn.XMATCH("*Tăng trưởng doanh thu thuần (YoY) (Quý*",Sheet4!$1:$1,2),
        _xlpm.nganhData,INDEX(Sheet4!$2:$1605,0,_xlpm.colNganh),
        _xlpm.dttData,INDEX(Sheet4!$2:$1605,0,_xlpm.colDTT),
        _xlpm.tnl26Data,INDEX(Sheet4!$2:$1605,0,_xlpm.colTNL26),
        _xlpm.tnl25Data,INDEX(Sheet4!$2:$1605,0,_xlpm.colTNL25),
        _xlpm.ttdttData,INDEX(Sheet4!$2:$1605,0,_xlpm.colTTDTT),
        IF($A14="Ngân hàng",
            _xlfn.LET(
                _xlpm.sumTNL26,SUMPRODUCT((_xlpm.nganhData=$A14)*(_xlpm.tnl26Data&lt;&gt;0)*(_xlpm.tnl26Data)),
                _xlpm.sumTNL25Match,SUMPRODUCT((_xlpm.nganhData=$A14)*(_xlpm.tnl26Data&lt;&gt;0)*(_xlpm.tnl25Data)),
                IF(OR(_xlpm.sumTNL26=0,_xlpm.sumTNL25Match=0),"-",_xlpm.sumTNL26/_xlpm.sumTNL25Match-1)
            ),
            _xlfn.LET(
                _xlpm.tongDT,SUMPRODUCT((_xlpm.nganhData=$A14)*(_xlpm.dttData)),
                _xlpm.tongTT,SUMPRODUCT((_xlpm.nganhData=$A14)*(_xlpm.dttData)*(_xlpm.ttdttData)),
                IF(_xlpm.tongDT=0,"-",_xlpm.tongTT/_xlpm.tongDT)
            )
        )
    )</f>
        <v>8.6271281924889101E-2</v>
      </c>
      <c r="G14" s="18" cm="1">
        <f t="array" ref="G14">_xlfn.LET(
        _xlpm.colNganh,_xlfn.XMATCH("*ICB L1*",Sheet4!$1:$1,2),
        _xlpm.colLNST,_xlfn.XMATCH("*Lợi nhuận sau thuế*Q2*2026*",Sheet4!$1:$1,2),
        _xlpm.colTTLNST,_xlfn.XMATCH("*Tăng trưởng lợi nhuận sau thuế (YoY) (Quý*",Sheet4!$1:$1,2),
        _xlpm.nganhData,INDEX(Sheet4!$2:$1605,0,_xlpm.colNganh),
        _xlpm.lnstData,INDEX(Sheet4!$2:$1605,0,_xlpm.colLNST),
        _xlpm.ttlnstData,INDEX(Sheet4!$2:$1605,0,_xlpm.colTTLNST),
        _xlfn.LET(
            _xlpm.tongLNST,SUMPRODUCT((_xlpm.nganhData=$A14)*(_xlpm.lnstData)),
            _xlpm.tongTT,SUMPRODUCT((_xlpm.nganhData=$A14)*(_xlpm.lnstData)*(_xlpm.ttlnstData)),
            IF(_xlpm.tongLNST=0,"-",_xlpm.tongTT/_xlpm.tongLNST)
        )
    )</f>
        <v>1.5510905584528047</v>
      </c>
    </row>
    <row r="15" spans="1:13" x14ac:dyDescent="0.25">
      <c r="A15" s="11" t="s">
        <v>24</v>
      </c>
      <c r="B15" s="12">
        <f>_xlfn.LET(
        _xlpm.colNganh,_xlfn.XMATCH("*ICB L1*",Sheet4!$1:$1,2),
        _xlpm.nganhData,INDEX(Sheet4!$2:$1605,0,_xlpm.colNganh),
        COUNTIF(_xlpm.nganhData,$A15)
    )</f>
        <v>177</v>
      </c>
      <c r="C15" s="12" cm="1">
        <f t="array" ref="C15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IF($A15="Ngân hàng",
            SUMPRODUCT((_xlpm.nganhData=$A15)*(_xlpm.tnlData&lt;&gt;"")*(_xlpm.tnlData&lt;&gt;0)*1),
            SUMPRODUCT((_xlpm.nganhData=$A15)*(_xlpm.dttData&lt;&gt;"")*(_xlpm.dttData&lt;&gt;0)*1)
        )
    )</f>
        <v>55</v>
      </c>
      <c r="D15" s="13" cm="1">
        <f t="array" ref="D15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IF($A15="Ngân hàng",
            SUMPRODUCT((_xlpm.nganhData=$A15)*(_xlpm.tnlData))/1000000000,
            SUMPRODUCT((_xlpm.nganhData=$A15)*(_xlpm.dttData))/1000000000
        )
    )</f>
        <v>33424.858858330997</v>
      </c>
      <c r="E15" s="13" cm="1">
        <f t="array" ref="E15">_xlfn.LET(
        _xlpm.colNganh,_xlfn.XMATCH("*ICB L1*",Sheet4!$1:$1,2),
        _xlpm.colLNST,_xlfn.XMATCH("*Lợi nhuận sau thuế*Q2*2026*",Sheet4!$1:$1,2),
        _xlpm.nganhData,INDEX(Sheet4!$2:$1605,0,_xlpm.colNganh),
        _xlpm.lnstData,INDEX(Sheet4!$2:$1605,0,_xlpm.colLNST),
        SUMPRODUCT((_xlpm.nganhData=$A15)*(_xlpm.lnstData))/1000000000
    )</f>
        <v>1298.9605736880001</v>
      </c>
      <c r="F15" s="14" cm="1">
        <f t="array" ref="F15">_xlfn.LET(
        _xlpm.colNganh,_xlfn.XMATCH("*ICB L1*",Sheet4!$1:$1,2),
        _xlpm.colDTT,_xlfn.XMATCH("*Doanh thu thuần*Q2*2026*",Sheet4!$1:$1,2),
        _xlpm.colTNL26,_xlfn.XMATCH("*Thu nhập lãi thuần*Quý: 2*2026*",Sheet4!$1:$1,2),
        _xlpm.colTNL25,_xlfn.XMATCH("*Thu nhập lãi thuần*Q2*2025*",Sheet4!$1:$1,2),
        _xlpm.colTTDTT,_xlfn.XMATCH("*Tăng trưởng doanh thu thuần (YoY) (Quý*",Sheet4!$1:$1,2),
        _xlpm.nganhData,INDEX(Sheet4!$2:$1605,0,_xlpm.colNganh),
        _xlpm.dttData,INDEX(Sheet4!$2:$1605,0,_xlpm.colDTT),
        _xlpm.tnl26Data,INDEX(Sheet4!$2:$1605,0,_xlpm.colTNL26),
        _xlpm.tnl25Data,INDEX(Sheet4!$2:$1605,0,_xlpm.colTNL25),
        _xlpm.ttdttData,INDEX(Sheet4!$2:$1605,0,_xlpm.colTTDTT),
        IF($A15="Ngân hàng",
            _xlfn.LET(
                _xlpm.sumTNL26,SUMPRODUCT((_xlpm.nganhData=$A15)*(_xlpm.tnl26Data&lt;&gt;0)*(_xlpm.tnl26Data)),
                _xlpm.sumTNL25Match,SUMPRODUCT((_xlpm.nganhData=$A15)*(_xlpm.tnl26Data&lt;&gt;0)*(_xlpm.tnl25Data)),
                IF(OR(_xlpm.sumTNL26=0,_xlpm.sumTNL25Match=0),"-",_xlpm.sumTNL26/_xlpm.sumTNL25Match-1)
            ),
            _xlfn.LET(
                _xlpm.tongDT,SUMPRODUCT((_xlpm.nganhData=$A15)*(_xlpm.dttData)),
                _xlpm.tongTT,SUMPRODUCT((_xlpm.nganhData=$A15)*(_xlpm.dttData)*(_xlpm.ttdttData)),
                IF(_xlpm.tongDT=0,"-",_xlpm.tongTT/_xlpm.tongDT)
            )
        )
    )</f>
        <v>9.4879473911341092E-2</v>
      </c>
      <c r="G15" s="14" cm="1">
        <f t="array" ref="G15">_xlfn.LET(
        _xlpm.colNganh,_xlfn.XMATCH("*ICB L1*",Sheet4!$1:$1,2),
        _xlpm.colLNST,_xlfn.XMATCH("*Lợi nhuận sau thuế*Q2*2026*",Sheet4!$1:$1,2),
        _xlpm.colTTLNST,_xlfn.XMATCH("*Tăng trưởng lợi nhuận sau thuế (YoY) (Quý*",Sheet4!$1:$1,2),
        _xlpm.nganhData,INDEX(Sheet4!$2:$1605,0,_xlpm.colNganh),
        _xlpm.lnstData,INDEX(Sheet4!$2:$1605,0,_xlpm.colLNST),
        _xlpm.ttlnstData,INDEX(Sheet4!$2:$1605,0,_xlpm.colTTLNST),
        _xlfn.LET(
            _xlpm.tongLNST,SUMPRODUCT((_xlpm.nganhData=$A15)*(_xlpm.lnstData)),
            _xlpm.tongTT,SUMPRODUCT((_xlpm.nganhData=$A15)*(_xlpm.lnstData)*(_xlpm.ttlnstData)),
            IF(_xlpm.tongLNST=0,"-",_xlpm.tongTT/_xlpm.tongLNST)
        )
    )</f>
        <v>0.77945910970087884</v>
      </c>
    </row>
    <row r="16" spans="1:13" x14ac:dyDescent="0.25">
      <c r="A16" s="15" t="s">
        <v>49</v>
      </c>
      <c r="B16" s="16">
        <f>_xlfn.LET(
        _xlpm.colNganh,_xlfn.XMATCH("*ICB L1*",Sheet4!$1:$1,2),
        _xlpm.nganhData,INDEX(Sheet4!$2:$1605,0,_xlpm.colNganh),
        COUNTIF(_xlpm.nganhData,$A16)
    )</f>
        <v>28</v>
      </c>
      <c r="C16" s="16" cm="1">
        <f t="array" ref="C16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IF($A16="Ngân hàng",
            SUMPRODUCT((_xlpm.nganhData=$A16)*(_xlpm.tnlData&lt;&gt;"")*(_xlpm.tnlData&lt;&gt;0)*1),
            SUMPRODUCT((_xlpm.nganhData=$A16)*(_xlpm.dttData&lt;&gt;"")*(_xlpm.dttData&lt;&gt;0)*1)
        )
    )</f>
        <v>6</v>
      </c>
      <c r="D16" s="17" cm="1">
        <f t="array" ref="D16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IF($A16="Ngân hàng",
            SUMPRODUCT((_xlpm.nganhData=$A16)*(_xlpm.tnlData))/1000000000,
            SUMPRODUCT((_xlpm.nganhData=$A16)*(_xlpm.dttData))/1000000000
        )
    )</f>
        <v>41884.239999999998</v>
      </c>
      <c r="E16" s="17" cm="1">
        <f t="array" ref="E16">_xlfn.LET(
        _xlpm.colNganh,_xlfn.XMATCH("*ICB L1*",Sheet4!$1:$1,2),
        _xlpm.colLNST,_xlfn.XMATCH("*Lợi nhuận sau thuế*Q2*2026*",Sheet4!$1:$1,2),
        _xlpm.nganhData,INDEX(Sheet4!$2:$1605,0,_xlpm.colNganh),
        _xlpm.lnstData,INDEX(Sheet4!$2:$1605,0,_xlpm.colLNST),
        SUMPRODUCT((_xlpm.nganhData=$A16)*(_xlpm.lnstData))/1000000000
    )</f>
        <v>23891.646000000001</v>
      </c>
      <c r="F16" s="18" cm="1">
        <f t="array" ref="F16">_xlfn.LET(
        _xlpm.colNganh,_xlfn.XMATCH("*ICB L1*",Sheet4!$1:$1,2),
        _xlpm.colDTT,_xlfn.XMATCH("*Doanh thu thuần*Q2*2026*",Sheet4!$1:$1,2),
        _xlpm.colTNL26,_xlfn.XMATCH("*Thu nhập lãi thuần*Quý: 2*2026*",Sheet4!$1:$1,2),
        _xlpm.colTNL25,_xlfn.XMATCH("*Thu nhập lãi thuần*Q2*2025*",Sheet4!$1:$1,2),
        _xlpm.colTTDTT,_xlfn.XMATCH("*Tăng trưởng doanh thu thuần (YoY) (Quý*",Sheet4!$1:$1,2),
        _xlpm.nganhData,INDEX(Sheet4!$2:$1605,0,_xlpm.colNganh),
        _xlpm.dttData,INDEX(Sheet4!$2:$1605,0,_xlpm.colDTT),
        _xlpm.tnl26Data,INDEX(Sheet4!$2:$1605,0,_xlpm.colTNL26),
        _xlpm.tnl25Data,INDEX(Sheet4!$2:$1605,0,_xlpm.colTNL25),
        _xlpm.ttdttData,INDEX(Sheet4!$2:$1605,0,_xlpm.colTTDTT),
        IF($A16="Ngân hàng",
            _xlfn.LET(
                _xlpm.sumTNL26,SUMPRODUCT((_xlpm.nganhData=$A16)*(_xlpm.tnl26Data&lt;&gt;0)*(_xlpm.tnl26Data)),
                _xlpm.sumTNL25Match,SUMPRODUCT((_xlpm.nganhData=$A16)*(_xlpm.tnl26Data&lt;&gt;0)*(_xlpm.tnl25Data)),
                IF(OR(_xlpm.sumTNL26=0,_xlpm.sumTNL25Match=0),"-",_xlpm.sumTNL26/_xlpm.sumTNL25Match-1)
            ),
            _xlfn.LET(
                _xlpm.tongDT,SUMPRODUCT((_xlpm.nganhData=$A16)*(_xlpm.dttData)),
                _xlpm.tongTT,SUMPRODUCT((_xlpm.nganhData=$A16)*(_xlpm.dttData)*(_xlpm.ttdttData)),
                IF(_xlpm.tongDT=0,"-",_xlpm.tongTT/_xlpm.tongDT)
            )
        )
    )</f>
        <v>0.19630756547378581</v>
      </c>
      <c r="G16" s="18" cm="1">
        <f t="array" ref="G16">_xlfn.LET(
        _xlpm.colNganh,_xlfn.XMATCH("*ICB L1*",Sheet4!$1:$1,2),
        _xlpm.colLNST,_xlfn.XMATCH("*Lợi nhuận sau thuế*Q2*2026*",Sheet4!$1:$1,2),
        _xlpm.colTTLNST,_xlfn.XMATCH("*Tăng trưởng lợi nhuận sau thuế (YoY) (Quý*",Sheet4!$1:$1,2),
        _xlpm.nganhData,INDEX(Sheet4!$2:$1605,0,_xlpm.colNganh),
        _xlpm.lnstData,INDEX(Sheet4!$2:$1605,0,_xlpm.colLNST),
        _xlpm.ttlnstData,INDEX(Sheet4!$2:$1605,0,_xlpm.colTTLNST),
        _xlfn.LET(
            _xlpm.tongLNST,SUMPRODUCT((_xlpm.nganhData=$A16)*(_xlpm.lnstData)),
            _xlpm.tongTT,SUMPRODUCT((_xlpm.nganhData=$A16)*(_xlpm.lnstData)*(_xlpm.ttlnstData)),
            IF(_xlpm.tongLNST=0,"-",_xlpm.tongTT/_xlpm.tongLNST)
        )
    )</f>
        <v>0.31664277956403675</v>
      </c>
    </row>
    <row r="17" spans="1:18" x14ac:dyDescent="0.25">
      <c r="A17" s="11" t="s">
        <v>98</v>
      </c>
      <c r="B17" s="12">
        <f>_xlfn.LET(
        _xlpm.colNganh,_xlfn.XMATCH("*ICB L1*",Sheet4!$1:$1,2),
        _xlpm.nganhData,INDEX(Sheet4!$2:$1605,0,_xlpm.colNganh),
        COUNTIF(_xlpm.nganhData,$A17)
    )</f>
        <v>141</v>
      </c>
      <c r="C17" s="12" cm="1">
        <f t="array" ref="C17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IF($A17="Ngân hàng",
            SUMPRODUCT((_xlpm.nganhData=$A17)*(_xlpm.tnlData&lt;&gt;"")*(_xlpm.tnlData&lt;&gt;0)*1),
            SUMPRODUCT((_xlpm.nganhData=$A17)*(_xlpm.dttData&lt;&gt;"")*(_xlpm.dttData&lt;&gt;0)*1)
        )
    )</f>
        <v>57</v>
      </c>
      <c r="D17" s="13" cm="1">
        <f t="array" ref="D17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IF($A17="Ngân hàng",
            SUMPRODUCT((_xlpm.nganhData=$A17)*(_xlpm.tnlData))/1000000000,
            SUMPRODUCT((_xlpm.nganhData=$A17)*(_xlpm.dttData))/1000000000
        )
    )</f>
        <v>35300.076500586001</v>
      </c>
      <c r="E17" s="13" cm="1">
        <f t="array" ref="E17">_xlfn.LET(
        _xlpm.colNganh,_xlfn.XMATCH("*ICB L1*",Sheet4!$1:$1,2),
        _xlpm.colLNST,_xlfn.XMATCH("*Lợi nhuận sau thuế*Q2*2026*",Sheet4!$1:$1,2),
        _xlpm.nganhData,INDEX(Sheet4!$2:$1605,0,_xlpm.colNganh),
        _xlpm.lnstData,INDEX(Sheet4!$2:$1605,0,_xlpm.colLNST),
        SUMPRODUCT((_xlpm.nganhData=$A17)*(_xlpm.lnstData))/1000000000
    )</f>
        <v>2034.3132490139999</v>
      </c>
      <c r="F17" s="14" cm="1">
        <f t="array" ref="F17">_xlfn.LET(
        _xlpm.colNganh,_xlfn.XMATCH("*ICB L1*",Sheet4!$1:$1,2),
        _xlpm.colDTT,_xlfn.XMATCH("*Doanh thu thuần*Q2*2026*",Sheet4!$1:$1,2),
        _xlpm.colTNL26,_xlfn.XMATCH("*Thu nhập lãi thuần*Quý: 2*2026*",Sheet4!$1:$1,2),
        _xlpm.colTNL25,_xlfn.XMATCH("*Thu nhập lãi thuần*Q2*2025*",Sheet4!$1:$1,2),
        _xlpm.colTTDTT,_xlfn.XMATCH("*Tăng trưởng doanh thu thuần (YoY) (Quý*",Sheet4!$1:$1,2),
        _xlpm.nganhData,INDEX(Sheet4!$2:$1605,0,_xlpm.colNganh),
        _xlpm.dttData,INDEX(Sheet4!$2:$1605,0,_xlpm.colDTT),
        _xlpm.tnl26Data,INDEX(Sheet4!$2:$1605,0,_xlpm.colTNL26),
        _xlpm.tnl25Data,INDEX(Sheet4!$2:$1605,0,_xlpm.colTNL25),
        _xlpm.ttdttData,INDEX(Sheet4!$2:$1605,0,_xlpm.colTTDTT),
        IF($A17="Ngân hàng",
            _xlfn.LET(
                _xlpm.sumTNL26,SUMPRODUCT((_xlpm.nganhData=$A17)*(_xlpm.tnl26Data&lt;&gt;0)*(_xlpm.tnl26Data)),
                _xlpm.sumTNL25Match,SUMPRODUCT((_xlpm.nganhData=$A17)*(_xlpm.tnl26Data&lt;&gt;0)*(_xlpm.tnl25Data)),
                IF(OR(_xlpm.sumTNL26=0,_xlpm.sumTNL25Match=0),"-",_xlpm.sumTNL26/_xlpm.sumTNL25Match-1)
            ),
            _xlfn.LET(
                _xlpm.tongDT,SUMPRODUCT((_xlpm.nganhData=$A17)*(_xlpm.dttData)),
                _xlpm.tongTT,SUMPRODUCT((_xlpm.nganhData=$A17)*(_xlpm.dttData)*(_xlpm.ttdttData)),
                IF(_xlpm.tongDT=0,"-",_xlpm.tongTT/_xlpm.tongDT)
            )
        )
    )</f>
        <v>0.38972355771633505</v>
      </c>
      <c r="G17" s="14" cm="1">
        <f t="array" ref="G17">_xlfn.LET(
        _xlpm.colNganh,_xlfn.XMATCH("*ICB L1*",Sheet4!$1:$1,2),
        _xlpm.colLNST,_xlfn.XMATCH("*Lợi nhuận sau thuế*Q2*2026*",Sheet4!$1:$1,2),
        _xlpm.colTTLNST,_xlfn.XMATCH("*Tăng trưởng lợi nhuận sau thuế (YoY) (Quý*",Sheet4!$1:$1,2),
        _xlpm.nganhData,INDEX(Sheet4!$2:$1605,0,_xlpm.colNganh),
        _xlpm.lnstData,INDEX(Sheet4!$2:$1605,0,_xlpm.colLNST),
        _xlpm.ttlnstData,INDEX(Sheet4!$2:$1605,0,_xlpm.colTTLNST),
        _xlfn.LET(
            _xlpm.tongLNST,SUMPRODUCT((_xlpm.nganhData=$A17)*(_xlpm.lnstData)),
            _xlpm.tongTT,SUMPRODUCT((_xlpm.nganhData=$A17)*(_xlpm.lnstData)*(_xlpm.ttlnstData)),
            IF(_xlpm.tongLNST=0,"-",_xlpm.tongTT/_xlpm.tongLNST)
        )
    )</f>
        <v>0.92146668406443688</v>
      </c>
    </row>
    <row r="18" spans="1:18" x14ac:dyDescent="0.25">
      <c r="A18" s="15" t="s">
        <v>75</v>
      </c>
      <c r="B18" s="16">
        <f>_xlfn.LET(
        _xlpm.colNganh,_xlfn.XMATCH("*ICB L1*",Sheet4!$1:$1,2),
        _xlpm.nganhData,INDEX(Sheet4!$2:$1605,0,_xlpm.colNganh),
        COUNTIF(_xlpm.nganhData,$A18)
    )</f>
        <v>213</v>
      </c>
      <c r="C18" s="16" cm="1">
        <f t="array" ref="C18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IF($A18="Ngân hàng",
            SUMPRODUCT((_xlpm.nganhData=$A18)*(_xlpm.tnlData&lt;&gt;"")*(_xlpm.tnlData&lt;&gt;0)*1),
            SUMPRODUCT((_xlpm.nganhData=$A18)*(_xlpm.dttData&lt;&gt;"")*(_xlpm.dttData&lt;&gt;0)*1)
        )
    )</f>
        <v>69</v>
      </c>
      <c r="D18" s="17" cm="1">
        <f t="array" ref="D18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IF($A18="Ngân hàng",
            SUMPRODUCT((_xlpm.nganhData=$A18)*(_xlpm.tnlData))/1000000000,
            SUMPRODUCT((_xlpm.nganhData=$A18)*(_xlpm.dttData))/1000000000
        )
    )</f>
        <v>32092.384807155999</v>
      </c>
      <c r="E18" s="17" cm="1">
        <f t="array" ref="E18">_xlfn.LET(
        _xlpm.colNganh,_xlfn.XMATCH("*ICB L1*",Sheet4!$1:$1,2),
        _xlpm.colLNST,_xlfn.XMATCH("*Lợi nhuận sau thuế*Q2*2026*",Sheet4!$1:$1,2),
        _xlpm.nganhData,INDEX(Sheet4!$2:$1605,0,_xlpm.colNganh),
        _xlpm.lnstData,INDEX(Sheet4!$2:$1605,0,_xlpm.colLNST),
        SUMPRODUCT((_xlpm.nganhData=$A18)*(_xlpm.lnstData))/1000000000
    )</f>
        <v>10492.28454746</v>
      </c>
      <c r="F18" s="18" cm="1">
        <f t="array" ref="F18">_xlfn.LET(
        _xlpm.colNganh,_xlfn.XMATCH("*ICB L1*",Sheet4!$1:$1,2),
        _xlpm.colDTT,_xlfn.XMATCH("*Doanh thu thuần*Q2*2026*",Sheet4!$1:$1,2),
        _xlpm.colTNL26,_xlfn.XMATCH("*Thu nhập lãi thuần*Quý: 2*2026*",Sheet4!$1:$1,2),
        _xlpm.colTNL25,_xlfn.XMATCH("*Thu nhập lãi thuần*Q2*2025*",Sheet4!$1:$1,2),
        _xlpm.colTTDTT,_xlfn.XMATCH("*Tăng trưởng doanh thu thuần (YoY) (Quý*",Sheet4!$1:$1,2),
        _xlpm.nganhData,INDEX(Sheet4!$2:$1605,0,_xlpm.colNganh),
        _xlpm.dttData,INDEX(Sheet4!$2:$1605,0,_xlpm.colDTT),
        _xlpm.tnl26Data,INDEX(Sheet4!$2:$1605,0,_xlpm.colTNL26),
        _xlpm.tnl25Data,INDEX(Sheet4!$2:$1605,0,_xlpm.colTNL25),
        _xlpm.ttdttData,INDEX(Sheet4!$2:$1605,0,_xlpm.colTTDTT),
        IF($A18="Ngân hàng",
            _xlfn.LET(
                _xlpm.sumTNL26,SUMPRODUCT((_xlpm.nganhData=$A18)*(_xlpm.tnl26Data&lt;&gt;0)*(_xlpm.tnl26Data)),
                _xlpm.sumTNL25Match,SUMPRODUCT((_xlpm.nganhData=$A18)*(_xlpm.tnl26Data&lt;&gt;0)*(_xlpm.tnl25Data)),
                IF(OR(_xlpm.sumTNL26=0,_xlpm.sumTNL25Match=0),"-",_xlpm.sumTNL26/_xlpm.sumTNL25Match-1)
            ),
            _xlfn.LET(
                _xlpm.tongDT,SUMPRODUCT((_xlpm.nganhData=$A18)*(_xlpm.dttData)),
                _xlpm.tongTT,SUMPRODUCT((_xlpm.nganhData=$A18)*(_xlpm.dttData)*(_xlpm.ttdttData)),
                IF(_xlpm.tongDT=0,"-",_xlpm.tongTT/_xlpm.tongDT)
            )
        )
    )</f>
        <v>1.8165815856952674</v>
      </c>
      <c r="G18" s="18" cm="1">
        <f t="array" ref="G18">_xlfn.LET(
        _xlpm.colNganh,_xlfn.XMATCH("*ICB L1*",Sheet4!$1:$1,2),
        _xlpm.colLNST,_xlfn.XMATCH("*Lợi nhuận sau thuế*Q2*2026*",Sheet4!$1:$1,2),
        _xlpm.colTTLNST,_xlfn.XMATCH("*Tăng trưởng lợi nhuận sau thuế (YoY) (Quý*",Sheet4!$1:$1,2),
        _xlpm.nganhData,INDEX(Sheet4!$2:$1605,0,_xlpm.colNganh),
        _xlpm.lnstData,INDEX(Sheet4!$2:$1605,0,_xlpm.colLNST),
        _xlpm.ttlnstData,INDEX(Sheet4!$2:$1605,0,_xlpm.colTTLNST),
        _xlfn.LET(
            _xlpm.tongLNST,SUMPRODUCT((_xlpm.nganhData=$A18)*(_xlpm.lnstData)),
            _xlpm.tongTT,SUMPRODUCT((_xlpm.nganhData=$A18)*(_xlpm.lnstData)*(_xlpm.ttlnstData)),
            IF(_xlpm.tongLNST=0,"-",_xlpm.tongTT/_xlpm.tongLNST)
        )
    )</f>
        <v>2.5227069320811761</v>
      </c>
    </row>
    <row r="19" spans="1:18" x14ac:dyDescent="0.25">
      <c r="A19" s="11" t="s">
        <v>1306</v>
      </c>
      <c r="B19" s="12">
        <f>_xlfn.LET(
        _xlpm.colNganh,_xlfn.XMATCH("*ICB L1*",Sheet4!$1:$1,2),
        _xlpm.nganhData,INDEX(Sheet4!$2:$1605,0,_xlpm.colNganh),
        COUNTIF(_xlpm.nganhData,$A19)
    )</f>
        <v>8</v>
      </c>
      <c r="C19" s="12" cm="1">
        <f t="array" ref="C19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IF($A19="Ngân hàng",
            SUMPRODUCT((_xlpm.nganhData=$A19)*(_xlpm.tnlData&lt;&gt;"")*(_xlpm.tnlData&lt;&gt;0)*1),
            SUMPRODUCT((_xlpm.nganhData=$A19)*(_xlpm.dttData&lt;&gt;"")*(_xlpm.dttData&lt;&gt;0)*1)
        )
    )</f>
        <v>0</v>
      </c>
      <c r="D19" s="13" cm="1">
        <f t="array" ref="D19">_xlfn.LET(
        _xlpm.colNganh,_xlfn.XMATCH("*ICB L1*",Sheet4!$1:$1,2),
        _xlpm.colDTT,_xlfn.XMATCH("*Doanh thu thuần*Q2*2026*",Sheet4!$1:$1,2),
        _xlpm.colTNL,_xlfn.XMATCH("*Thu nhập lãi thuần*Quý: 2*2026*",Sheet4!$1:$1,2),
        _xlpm.nganhData,INDEX(Sheet4!$2:$1605,0,_xlpm.colNganh),
        _xlpm.dttData,INDEX(Sheet4!$2:$1605,0,_xlpm.colDTT),
        _xlpm.tnlData,INDEX(Sheet4!$2:$1605,0,_xlpm.colTNL),
        IF($A19="Ngân hàng",
            SUMPRODUCT((_xlpm.nganhData=$A19)*(_xlpm.tnlData))/1000000000,
            SUMPRODUCT((_xlpm.nganhData=$A19)*(_xlpm.dttData))/1000000000
        )
    )</f>
        <v>0</v>
      </c>
      <c r="E19" s="13" cm="1">
        <f t="array" ref="E19">_xlfn.LET(
        _xlpm.colNganh,_xlfn.XMATCH("*ICB L1*",Sheet4!$1:$1,2),
        _xlpm.colLNST,_xlfn.XMATCH("*Lợi nhuận sau thuế*Q2*2026*",Sheet4!$1:$1,2),
        _xlpm.nganhData,INDEX(Sheet4!$2:$1605,0,_xlpm.colNganh),
        _xlpm.lnstData,INDEX(Sheet4!$2:$1605,0,_xlpm.colLNST),
        SUMPRODUCT((_xlpm.nganhData=$A19)*(_xlpm.lnstData))/1000000000
    )</f>
        <v>0</v>
      </c>
      <c r="F19" s="14" t="str" cm="1">
        <f t="array" ref="F19">_xlfn.LET(
        _xlpm.colNganh,_xlfn.XMATCH("*ICB L1*",Sheet4!$1:$1,2),
        _xlpm.colDTT,_xlfn.XMATCH("*Doanh thu thuần*Q2*2026*",Sheet4!$1:$1,2),
        _xlpm.colTNL26,_xlfn.XMATCH("*Thu nhập lãi thuần*Quý: 2*2026*",Sheet4!$1:$1,2),
        _xlpm.colTNL25,_xlfn.XMATCH("*Thu nhập lãi thuần*Q2*2025*",Sheet4!$1:$1,2),
        _xlpm.colTTDTT,_xlfn.XMATCH("*Tăng trưởng doanh thu thuần (YoY) (Quý*",Sheet4!$1:$1,2),
        _xlpm.nganhData,INDEX(Sheet4!$2:$1605,0,_xlpm.colNganh),
        _xlpm.dttData,INDEX(Sheet4!$2:$1605,0,_xlpm.colDTT),
        _xlpm.tnl26Data,INDEX(Sheet4!$2:$1605,0,_xlpm.colTNL26),
        _xlpm.tnl25Data,INDEX(Sheet4!$2:$1605,0,_xlpm.colTNL25),
        _xlpm.ttdttData,INDEX(Sheet4!$2:$1605,0,_xlpm.colTTDTT),
        IF($A19="Ngân hàng",
            _xlfn.LET(
                _xlpm.sumTNL26,SUMPRODUCT((_xlpm.nganhData=$A19)*(_xlpm.tnl26Data&lt;&gt;0)*(_xlpm.tnl26Data)),
                _xlpm.sumTNL25Match,SUMPRODUCT((_xlpm.nganhData=$A19)*(_xlpm.tnl26Data&lt;&gt;0)*(_xlpm.tnl25Data)),
                IF(OR(_xlpm.sumTNL26=0,_xlpm.sumTNL25Match=0),"-",_xlpm.sumTNL26/_xlpm.sumTNL25Match-1)
            ),
            _xlfn.LET(
                _xlpm.tongDT,SUMPRODUCT((_xlpm.nganhData=$A19)*(_xlpm.dttData)),
                _xlpm.tongTT,SUMPRODUCT((_xlpm.nganhData=$A19)*(_xlpm.dttData)*(_xlpm.ttdttData)),
                IF(_xlpm.tongDT=0,"-",_xlpm.tongTT/_xlpm.tongDT)
            )
        )
    )</f>
        <v>-</v>
      </c>
      <c r="G19" s="14" t="str" cm="1">
        <f t="array" ref="G19">_xlfn.LET(
        _xlpm.colNganh,_xlfn.XMATCH("*ICB L1*",Sheet4!$1:$1,2),
        _xlpm.colLNST,_xlfn.XMATCH("*Lợi nhuận sau thuế*Q2*2026*",Sheet4!$1:$1,2),
        _xlpm.colTTLNST,_xlfn.XMATCH("*Tăng trưởng lợi nhuận sau thuế (YoY) (Quý*",Sheet4!$1:$1,2),
        _xlpm.nganhData,INDEX(Sheet4!$2:$1605,0,_xlpm.colNganh),
        _xlpm.lnstData,INDEX(Sheet4!$2:$1605,0,_xlpm.colLNST),
        _xlpm.ttlnstData,INDEX(Sheet4!$2:$1605,0,_xlpm.colTTLNST),
        _xlfn.LET(
            _xlpm.tongLNST,SUMPRODUCT((_xlpm.nganhData=$A19)*(_xlpm.lnstData)),
            _xlpm.tongTT,SUMPRODUCT((_xlpm.nganhData=$A19)*(_xlpm.lnstData)*(_xlpm.ttlnstData)),
            IF(_xlpm.tongLNST=0,"-",_xlpm.tongTT/_xlpm.tongLNST)
        )
    )</f>
        <v>-</v>
      </c>
    </row>
    <row r="21" spans="1:18" ht="17.25" x14ac:dyDescent="0.3">
      <c r="A21" s="26" t="s">
        <v>3333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</row>
    <row r="22" spans="1:18" ht="35.1" customHeight="1" x14ac:dyDescent="0.25">
      <c r="A22" s="19" t="s">
        <v>0</v>
      </c>
      <c r="B22" s="19" t="s">
        <v>3334</v>
      </c>
      <c r="C22" s="19" t="s">
        <v>2</v>
      </c>
      <c r="D22" s="19" t="s">
        <v>3</v>
      </c>
      <c r="E22" s="19" t="s">
        <v>3368</v>
      </c>
      <c r="F22" s="19" t="s">
        <v>3317</v>
      </c>
      <c r="G22" s="19" t="s">
        <v>3318</v>
      </c>
      <c r="H22" s="19" t="s">
        <v>3319</v>
      </c>
      <c r="I22" s="19" t="s">
        <v>3348</v>
      </c>
      <c r="J22" s="19" t="s">
        <v>3349</v>
      </c>
      <c r="K22" s="19" t="s">
        <v>3335</v>
      </c>
      <c r="L22" s="19" t="s">
        <v>3336</v>
      </c>
      <c r="M22" s="19" t="s">
        <v>3350</v>
      </c>
      <c r="N22" s="19" t="s">
        <v>3351</v>
      </c>
      <c r="O22" s="19" t="s">
        <v>3337</v>
      </c>
      <c r="P22" s="19" t="s">
        <v>3345</v>
      </c>
      <c r="Q22" s="19" t="s">
        <v>3346</v>
      </c>
      <c r="R22" s="19" t="s">
        <v>3347</v>
      </c>
    </row>
    <row r="23" spans="1:18" x14ac:dyDescent="0.25">
      <c r="A23" s="7">
        <f>Sheet4!A2</f>
        <v>1</v>
      </c>
      <c r="B23" t="str">
        <f>Sheet4!B2</f>
        <v>AAA</v>
      </c>
      <c r="C23" t="str">
        <f>Sheet4!C1</f>
        <v>Tên công ty</v>
      </c>
      <c r="D23" t="str">
        <f>Sheet4!D2</f>
        <v>HOSE</v>
      </c>
      <c r="E23" s="7">
        <f>Sheet4!AH2/1000000000</f>
        <v>2630.2014364000001</v>
      </c>
      <c r="F23" t="str">
        <f>Sheet4!E2</f>
        <v>Nguyên vật liệu</v>
      </c>
      <c r="G23" t="str">
        <f>Sheet4!F2</f>
        <v>Hóa chất</v>
      </c>
      <c r="H23" t="str">
        <f>Sheet4!G2</f>
        <v>Nhựa, cao su &amp; sợi</v>
      </c>
      <c r="I23" s="9" t="str" cm="1">
        <f t="array" ref="I2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3" s="9" t="str" cm="1">
        <f t="array" ref="J2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3" s="10" cm="1">
        <f t="array" ref="K2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3" s="10" cm="1">
        <f t="array" ref="L2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3" s="9" t="str" cm="1">
        <f t="array" ref="M2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3" s="9" t="str" cm="1">
        <f t="array" ref="N2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3" s="10" cm="1">
        <f t="array" ref="O23">IFERROR(INDEX(Sheet4!$2:$1605,MATCH(ChiTietKQKD[[#This Row],[Mã CP]],Sheet4!$B$2:$B$1605,0),_xlfn.XMATCH("*Tăng trưởng lợi nhuận sau thuế (YoY) (Quý*",Sheet4!$1:$1,2)),"")</f>
        <v>0</v>
      </c>
      <c r="P23" s="10" cm="1">
        <f t="array" ref="P23">IFERROR(INDEX(Sheet4!$2:$1605,MATCH(ChiTietKQKD[[#This Row],[Mã CP]],Sheet4!$B$2:$B$1605,0),_xlfn.XMATCH("*Tăng trưởng lợi nhuận sau thuế (YoY) (6M)*",Sheet4!$1:$1,2)),"")</f>
        <v>0</v>
      </c>
      <c r="Q23" s="10" cm="1">
        <f t="array" ref="Q23">IFERROR(INDEX(Sheet4!$2:$1605,MATCH(ChiTietKQKD[[#This Row],[Mã CP]],Sheet4!$B$2:$B$1605,0),_xlfn.XMATCH("*Tăng trưởng doanh thu thuần (QoQ)*",Sheet4!$1:$1,2)),"")</f>
        <v>0</v>
      </c>
      <c r="R23" s="10" cm="1">
        <f t="array" ref="R23">IFERROR(INDEX(Sheet4!$2:$1605,MATCH(ChiTietKQKD[[#This Row],[Mã CP]],Sheet4!$B$2:$B$1605,0),_xlfn.XMATCH("*Tăng trưởng lợi nhuận sau thuế (QoQ)*",Sheet4!$1:$1,2)),"")</f>
        <v>0</v>
      </c>
    </row>
    <row r="24" spans="1:18" x14ac:dyDescent="0.25">
      <c r="A24" s="7">
        <f>Sheet4!A3</f>
        <v>2</v>
      </c>
      <c r="B24" t="str">
        <f>Sheet4!B3</f>
        <v>AAM</v>
      </c>
      <c r="C24" t="str">
        <f>Sheet4!C2</f>
        <v>An Phát Bioplastics</v>
      </c>
      <c r="D24" t="str">
        <f>Sheet4!D3</f>
        <v>HOSE</v>
      </c>
      <c r="E24" s="7">
        <f>Sheet4!AH3/1000000000</f>
        <v>68.455242100000007</v>
      </c>
      <c r="F24" t="str">
        <f>Sheet4!E3</f>
        <v>Hàng Tiêu dùng</v>
      </c>
      <c r="G24" t="str">
        <f>Sheet4!F3</f>
        <v>Thực phẩm và đồ uống</v>
      </c>
      <c r="H24" t="str">
        <f>Sheet4!G3</f>
        <v>Nuôi trồng nông &amp; hải sản</v>
      </c>
      <c r="I24" s="9" cm="1">
        <f t="array" ref="I2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16.795301859999999</v>
      </c>
      <c r="J24" s="9" cm="1">
        <f t="array" ref="J2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50.239306569999997</v>
      </c>
      <c r="K24" s="10" cm="1">
        <f t="array" ref="K2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-0.7389</v>
      </c>
      <c r="L24" s="10" cm="1">
        <f t="array" ref="L2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-0.57669999999999999</v>
      </c>
      <c r="M24" s="9" cm="1">
        <f t="array" ref="M24">_xlfn.LET(_xlpm.val,IFERROR(INDEX(Sheet4!$2:$1605,MATCH(ChiTietKQKD[[#This Row],[Mã CP]],Sheet4!$B$2:$B$1605,0),_xlfn.XMATCH("*Lợi nhuận sau thuế*Q2*2026*",Sheet4!$1:$1,2)),0),IF(OR(_xlpm.val="",_xlpm.val=0),"",_xlpm.val/1000000000))</f>
        <v>3.3907519499999998</v>
      </c>
      <c r="N24" s="9" cm="1">
        <f t="array" ref="N24">_xlfn.LET(_xlpm.val,IFERROR(INDEX(Sheet4!$2:$1605,MATCH(ChiTietKQKD[[#This Row],[Mã CP]],Sheet4!$B$2:$B$1605,0),_xlfn.XMATCH("*Lợi nhuận sau thuế*6 tháng*2026*",Sheet4!$1:$1,2)),0),IF(OR(_xlpm.val="",_xlpm.val=0),"",_xlpm.val/1000000000))</f>
        <v>5.7783557219999997</v>
      </c>
      <c r="O24" s="10" cm="1">
        <f t="array" ref="O24">IFERROR(INDEX(Sheet4!$2:$1605,MATCH(ChiTietKQKD[[#This Row],[Mã CP]],Sheet4!$B$2:$B$1605,0),_xlfn.XMATCH("*Tăng trưởng lợi nhuận sau thuế (YoY) (Quý*",Sheet4!$1:$1,2)),"")</f>
        <v>2.0053000000000001</v>
      </c>
      <c r="P24" s="10" cm="1">
        <f t="array" ref="P24">IFERROR(INDEX(Sheet4!$2:$1605,MATCH(ChiTietKQKD[[#This Row],[Mã CP]],Sheet4!$B$2:$B$1605,0),_xlfn.XMATCH("*Tăng trưởng lợi nhuận sau thuế (YoY) (6M)*",Sheet4!$1:$1,2)),"")</f>
        <v>1.4728000000000001</v>
      </c>
      <c r="Q24" s="10" cm="1">
        <f t="array" ref="Q24">IFERROR(INDEX(Sheet4!$2:$1605,MATCH(ChiTietKQKD[[#This Row],[Mã CP]],Sheet4!$B$2:$B$1605,0),_xlfn.XMATCH("*Tăng trưởng doanh thu thuần (QoQ)*",Sheet4!$1:$1,2)),"")</f>
        <v>-0.49780000000000002</v>
      </c>
      <c r="R24" s="10" cm="1">
        <f t="array" ref="R24">IFERROR(INDEX(Sheet4!$2:$1605,MATCH(ChiTietKQKD[[#This Row],[Mã CP]],Sheet4!$B$2:$B$1605,0),_xlfn.XMATCH("*Tăng trưởng lợi nhuận sau thuế (QoQ)*",Sheet4!$1:$1,2)),"")</f>
        <v>0.42009999999999997</v>
      </c>
    </row>
    <row r="25" spans="1:18" x14ac:dyDescent="0.25">
      <c r="A25" s="7">
        <f>Sheet4!A4</f>
        <v>3</v>
      </c>
      <c r="B25" t="str">
        <f>Sheet4!B4</f>
        <v>AAN</v>
      </c>
      <c r="C25" t="str">
        <f>Sheet4!C3</f>
        <v>Thủy sản Mekong</v>
      </c>
      <c r="D25" t="str">
        <f>Sheet4!D4</f>
        <v>HOSE</v>
      </c>
      <c r="E25" s="7">
        <f>Sheet4!AH4/1000000000</f>
        <v>1388.4967576500001</v>
      </c>
      <c r="F25" t="str">
        <f>Sheet4!E4</f>
        <v>Hàng Tiêu dùng</v>
      </c>
      <c r="G25" t="str">
        <f>Sheet4!F4</f>
        <v>Thực phẩm và đồ uống</v>
      </c>
      <c r="H25" t="str">
        <f>Sheet4!G4</f>
        <v>Nuôi trồng nông &amp; hải sản</v>
      </c>
      <c r="I25" s="9" t="str" cm="1">
        <f t="array" ref="I2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5" s="9" t="str" cm="1">
        <f t="array" ref="J2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5" s="10" cm="1">
        <f t="array" ref="K2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5" s="10" cm="1">
        <f t="array" ref="L2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5" s="9" t="str" cm="1">
        <f t="array" ref="M2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5" s="9" t="str" cm="1">
        <f t="array" ref="N2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5" s="10" cm="1">
        <f t="array" ref="O25">IFERROR(INDEX(Sheet4!$2:$1605,MATCH(ChiTietKQKD[[#This Row],[Mã CP]],Sheet4!$B$2:$B$1605,0),_xlfn.XMATCH("*Tăng trưởng lợi nhuận sau thuế (YoY) (Quý*",Sheet4!$1:$1,2)),"")</f>
        <v>0</v>
      </c>
      <c r="P25" s="10" cm="1">
        <f t="array" ref="P25">IFERROR(INDEX(Sheet4!$2:$1605,MATCH(ChiTietKQKD[[#This Row],[Mã CP]],Sheet4!$B$2:$B$1605,0),_xlfn.XMATCH("*Tăng trưởng lợi nhuận sau thuế (YoY) (6M)*",Sheet4!$1:$1,2)),"")</f>
        <v>0</v>
      </c>
      <c r="Q25" s="10" cm="1">
        <f t="array" ref="Q25">IFERROR(INDEX(Sheet4!$2:$1605,MATCH(ChiTietKQKD[[#This Row],[Mã CP]],Sheet4!$B$2:$B$1605,0),_xlfn.XMATCH("*Tăng trưởng doanh thu thuần (QoQ)*",Sheet4!$1:$1,2)),"")</f>
        <v>0</v>
      </c>
      <c r="R25" s="10" cm="1">
        <f t="array" ref="R25">IFERROR(INDEX(Sheet4!$2:$1605,MATCH(ChiTietKQKD[[#This Row],[Mã CP]],Sheet4!$B$2:$B$1605,0),_xlfn.XMATCH("*Tăng trưởng lợi nhuận sau thuế (QoQ)*",Sheet4!$1:$1,2)),"")</f>
        <v>0</v>
      </c>
    </row>
    <row r="26" spans="1:18" x14ac:dyDescent="0.25">
      <c r="A26" s="7">
        <f>Sheet4!A5</f>
        <v>4</v>
      </c>
      <c r="B26" t="str">
        <f>Sheet4!B5</f>
        <v>AAT</v>
      </c>
      <c r="C26" t="str">
        <f>Sheet4!C4</f>
        <v>Lương thực A An</v>
      </c>
      <c r="D26" t="str">
        <f>Sheet4!D5</f>
        <v>HOSE</v>
      </c>
      <c r="E26" s="7">
        <f>Sheet4!AH5/1000000000</f>
        <v>182.71328574</v>
      </c>
      <c r="F26" t="str">
        <f>Sheet4!E5</f>
        <v>Hàng Tiêu dùng</v>
      </c>
      <c r="G26" t="str">
        <f>Sheet4!F5</f>
        <v>Hàng cá nhân &amp; Gia dụng</v>
      </c>
      <c r="H26" t="str">
        <f>Sheet4!G5</f>
        <v>Hàng May mặc</v>
      </c>
      <c r="I26" s="9" t="str" cm="1">
        <f t="array" ref="I2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6" s="9" t="str" cm="1">
        <f t="array" ref="J2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6" s="10" cm="1">
        <f t="array" ref="K2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6" s="10" cm="1">
        <f t="array" ref="L2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6" s="9" t="str" cm="1">
        <f t="array" ref="M2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6" s="9" t="str" cm="1">
        <f t="array" ref="N2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6" s="10" cm="1">
        <f t="array" ref="O26">IFERROR(INDEX(Sheet4!$2:$1605,MATCH(ChiTietKQKD[[#This Row],[Mã CP]],Sheet4!$B$2:$B$1605,0),_xlfn.XMATCH("*Tăng trưởng lợi nhuận sau thuế (YoY) (Quý*",Sheet4!$1:$1,2)),"")</f>
        <v>0</v>
      </c>
      <c r="P26" s="10" cm="1">
        <f t="array" ref="P26">IFERROR(INDEX(Sheet4!$2:$1605,MATCH(ChiTietKQKD[[#This Row],[Mã CP]],Sheet4!$B$2:$B$1605,0),_xlfn.XMATCH("*Tăng trưởng lợi nhuận sau thuế (YoY) (6M)*",Sheet4!$1:$1,2)),"")</f>
        <v>0</v>
      </c>
      <c r="Q26" s="10" cm="1">
        <f t="array" ref="Q26">IFERROR(INDEX(Sheet4!$2:$1605,MATCH(ChiTietKQKD[[#This Row],[Mã CP]],Sheet4!$B$2:$B$1605,0),_xlfn.XMATCH("*Tăng trưởng doanh thu thuần (QoQ)*",Sheet4!$1:$1,2)),"")</f>
        <v>0</v>
      </c>
      <c r="R26" s="10" cm="1">
        <f t="array" ref="R26">IFERROR(INDEX(Sheet4!$2:$1605,MATCH(ChiTietKQKD[[#This Row],[Mã CP]],Sheet4!$B$2:$B$1605,0),_xlfn.XMATCH("*Tăng trưởng lợi nhuận sau thuế (QoQ)*",Sheet4!$1:$1,2)),"")</f>
        <v>0</v>
      </c>
    </row>
    <row r="27" spans="1:18" x14ac:dyDescent="0.25">
      <c r="A27" s="7">
        <f>Sheet4!A6</f>
        <v>5</v>
      </c>
      <c r="B27" t="str">
        <f>Sheet4!B6</f>
        <v>ABR</v>
      </c>
      <c r="C27" t="str">
        <f>Sheet4!C5</f>
        <v>Tập đoàn Tiên Sơn Thanh Hóa</v>
      </c>
      <c r="D27" t="str">
        <f>Sheet4!D6</f>
        <v>HOSE</v>
      </c>
      <c r="E27" s="7">
        <f>Sheet4!AH6/1000000000</f>
        <v>231</v>
      </c>
      <c r="F27" t="str">
        <f>Sheet4!E6</f>
        <v>Công nghiệp</v>
      </c>
      <c r="G27" t="str">
        <f>Sheet4!F6</f>
        <v>Hàng &amp; Dịch vụ Công nghiệp</v>
      </c>
      <c r="H27" t="str">
        <f>Sheet4!G6</f>
        <v>Tư vấn &amp; Hỗ trợ KD</v>
      </c>
      <c r="I27" s="9" cm="1">
        <f t="array" ref="I2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6.2765263170000001</v>
      </c>
      <c r="J27" s="9" cm="1">
        <f t="array" ref="J2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12.611617194000001</v>
      </c>
      <c r="K27" s="10" cm="1">
        <f t="array" ref="K2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2.5999999999999999E-3</v>
      </c>
      <c r="L27" s="10" cm="1">
        <f t="array" ref="L2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-0.1103</v>
      </c>
      <c r="M27" s="9" cm="1">
        <f t="array" ref="M27">_xlfn.LET(_xlpm.val,IFERROR(INDEX(Sheet4!$2:$1605,MATCH(ChiTietKQKD[[#This Row],[Mã CP]],Sheet4!$B$2:$B$1605,0),_xlfn.XMATCH("*Lợi nhuận sau thuế*Q2*2026*",Sheet4!$1:$1,2)),0),IF(OR(_xlpm.val="",_xlpm.val=0),"",_xlpm.val/1000000000))</f>
        <v>5.1841274249999998</v>
      </c>
      <c r="N27" s="9" cm="1">
        <f t="array" ref="N27">_xlfn.LET(_xlpm.val,IFERROR(INDEX(Sheet4!$2:$1605,MATCH(ChiTietKQKD[[#This Row],[Mã CP]],Sheet4!$B$2:$B$1605,0),_xlfn.XMATCH("*Lợi nhuận sau thuế*6 tháng*2026*",Sheet4!$1:$1,2)),0),IF(OR(_xlpm.val="",_xlpm.val=0),"",_xlpm.val/1000000000))</f>
        <v>7.5547322540000001</v>
      </c>
      <c r="O27" s="10" cm="1">
        <f t="array" ref="O27">IFERROR(INDEX(Sheet4!$2:$1605,MATCH(ChiTietKQKD[[#This Row],[Mã CP]],Sheet4!$B$2:$B$1605,0),_xlfn.XMATCH("*Tăng trưởng lợi nhuận sau thuế (YoY) (Quý*",Sheet4!$1:$1,2)),"")</f>
        <v>0.56079999999999997</v>
      </c>
      <c r="P27" s="10" cm="1">
        <f t="array" ref="P27">IFERROR(INDEX(Sheet4!$2:$1605,MATCH(ChiTietKQKD[[#This Row],[Mã CP]],Sheet4!$B$2:$B$1605,0),_xlfn.XMATCH("*Tăng trưởng lợi nhuận sau thuế (YoY) (6M)*",Sheet4!$1:$1,2)),"")</f>
        <v>-4.9500000000000002E-2</v>
      </c>
      <c r="Q27" s="10" cm="1">
        <f t="array" ref="Q27">IFERROR(INDEX(Sheet4!$2:$1605,MATCH(ChiTietKQKD[[#This Row],[Mã CP]],Sheet4!$B$2:$B$1605,0),_xlfn.XMATCH("*Tăng trưởng doanh thu thuần (QoQ)*",Sheet4!$1:$1,2)),"")</f>
        <v>-9.1999999999999998E-3</v>
      </c>
      <c r="R27" s="10" cm="1">
        <f t="array" ref="R27">IFERROR(INDEX(Sheet4!$2:$1605,MATCH(ChiTietKQKD[[#This Row],[Mã CP]],Sheet4!$B$2:$B$1605,0),_xlfn.XMATCH("*Tăng trưởng lợi nhuận sau thuế (QoQ)*",Sheet4!$1:$1,2)),"")</f>
        <v>1.1868000000000001</v>
      </c>
    </row>
    <row r="28" spans="1:18" x14ac:dyDescent="0.25">
      <c r="A28" s="7">
        <f>Sheet4!A7</f>
        <v>6</v>
      </c>
      <c r="B28" t="str">
        <f>Sheet4!B7</f>
        <v>ABS</v>
      </c>
      <c r="C28" t="str">
        <f>Sheet4!C6</f>
        <v>Đầu tư Nhãn Hiệu Việt</v>
      </c>
      <c r="D28" t="str">
        <f>Sheet4!D7</f>
        <v>HOSE</v>
      </c>
      <c r="E28" s="7">
        <f>Sheet4!AH7/1000000000</f>
        <v>248</v>
      </c>
      <c r="F28" t="str">
        <f>Sheet4!E7</f>
        <v>Nguyên vật liệu</v>
      </c>
      <c r="G28" t="str">
        <f>Sheet4!F7</f>
        <v>Hóa chất</v>
      </c>
      <c r="H28" t="str">
        <f>Sheet4!G7</f>
        <v>Sản phẩm hóa dầu, Nông dược &amp; Hóa chất khác</v>
      </c>
      <c r="I28" s="9" cm="1">
        <f t="array" ref="I2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70.347608145999999</v>
      </c>
      <c r="J28" s="9" cm="1">
        <f t="array" ref="J2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113.303783645</v>
      </c>
      <c r="K28" s="10" cm="1">
        <f t="array" ref="K2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0.99539999999999995</v>
      </c>
      <c r="L28" s="10" cm="1">
        <f t="array" ref="L2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0.1208</v>
      </c>
      <c r="M28" s="9" cm="1">
        <f t="array" ref="M28">_xlfn.LET(_xlpm.val,IFERROR(INDEX(Sheet4!$2:$1605,MATCH(ChiTietKQKD[[#This Row],[Mã CP]],Sheet4!$B$2:$B$1605,0),_xlfn.XMATCH("*Lợi nhuận sau thuế*Q2*2026*",Sheet4!$1:$1,2)),0),IF(OR(_xlpm.val="",_xlpm.val=0),"",_xlpm.val/1000000000))</f>
        <v>-3.4552741450000002</v>
      </c>
      <c r="N28" s="9" cm="1">
        <f t="array" ref="N28">_xlfn.LET(_xlpm.val,IFERROR(INDEX(Sheet4!$2:$1605,MATCH(ChiTietKQKD[[#This Row],[Mã CP]],Sheet4!$B$2:$B$1605,0),_xlfn.XMATCH("*Lợi nhuận sau thuế*6 tháng*2026*",Sheet4!$1:$1,2)),0),IF(OR(_xlpm.val="",_xlpm.val=0),"",_xlpm.val/1000000000))</f>
        <v>-5.1963508559999996</v>
      </c>
      <c r="O28" s="10" cm="1">
        <f t="array" ref="O28">IFERROR(INDEX(Sheet4!$2:$1605,MATCH(ChiTietKQKD[[#This Row],[Mã CP]],Sheet4!$B$2:$B$1605,0),_xlfn.XMATCH("*Tăng trưởng lợi nhuận sau thuế (YoY) (Quý*",Sheet4!$1:$1,2)),"")</f>
        <v>0.98819999999999997</v>
      </c>
      <c r="P28" s="10" cm="1">
        <f t="array" ref="P28">IFERROR(INDEX(Sheet4!$2:$1605,MATCH(ChiTietKQKD[[#This Row],[Mã CP]],Sheet4!$B$2:$B$1605,0),_xlfn.XMATCH("*Tăng trưởng lợi nhuận sau thuế (YoY) (6M)*",Sheet4!$1:$1,2)),"")</f>
        <v>0.98240000000000005</v>
      </c>
      <c r="Q28" s="10" cm="1">
        <f t="array" ref="Q28">IFERROR(INDEX(Sheet4!$2:$1605,MATCH(ChiTietKQKD[[#This Row],[Mã CP]],Sheet4!$B$2:$B$1605,0),_xlfn.XMATCH("*Tăng trưởng doanh thu thuần (QoQ)*",Sheet4!$1:$1,2)),"")</f>
        <v>0.63770000000000004</v>
      </c>
      <c r="R28" s="10" cm="1">
        <f t="array" ref="R28">IFERROR(INDEX(Sheet4!$2:$1605,MATCH(ChiTietKQKD[[#This Row],[Mã CP]],Sheet4!$B$2:$B$1605,0),_xlfn.XMATCH("*Tăng trưởng lợi nhuận sau thuế (QoQ)*",Sheet4!$1:$1,2)),"")</f>
        <v>-0.98460000000000003</v>
      </c>
    </row>
    <row r="29" spans="1:18" x14ac:dyDescent="0.25">
      <c r="A29" s="7">
        <f>Sheet4!A8</f>
        <v>7</v>
      </c>
      <c r="B29" t="str">
        <f>Sheet4!B8</f>
        <v>ABT</v>
      </c>
      <c r="C29" t="str">
        <f>Sheet4!C7</f>
        <v>DV Nông nghiệp Bình Thuận</v>
      </c>
      <c r="D29" t="str">
        <f>Sheet4!D8</f>
        <v>HOSE</v>
      </c>
      <c r="E29" s="7">
        <f>Sheet4!AH8/1000000000</f>
        <v>588.86284999999998</v>
      </c>
      <c r="F29" t="str">
        <f>Sheet4!E8</f>
        <v>Hàng Tiêu dùng</v>
      </c>
      <c r="G29" t="str">
        <f>Sheet4!F8</f>
        <v>Thực phẩm và đồ uống</v>
      </c>
      <c r="H29" t="str">
        <f>Sheet4!G8</f>
        <v>Nuôi trồng nông &amp; hải sản</v>
      </c>
      <c r="I29" s="9" t="str" cm="1">
        <f t="array" ref="I2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9" s="9" t="str" cm="1">
        <f t="array" ref="J2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9" s="10" cm="1">
        <f t="array" ref="K2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9" s="10" cm="1">
        <f t="array" ref="L2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9" s="9" t="str" cm="1">
        <f t="array" ref="M2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9" s="9" t="str" cm="1">
        <f t="array" ref="N2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9" s="10" cm="1">
        <f t="array" ref="O29">IFERROR(INDEX(Sheet4!$2:$1605,MATCH(ChiTietKQKD[[#This Row],[Mã CP]],Sheet4!$B$2:$B$1605,0),_xlfn.XMATCH("*Tăng trưởng lợi nhuận sau thuế (YoY) (Quý*",Sheet4!$1:$1,2)),"")</f>
        <v>0</v>
      </c>
      <c r="P29" s="10" cm="1">
        <f t="array" ref="P29">IFERROR(INDEX(Sheet4!$2:$1605,MATCH(ChiTietKQKD[[#This Row],[Mã CP]],Sheet4!$B$2:$B$1605,0),_xlfn.XMATCH("*Tăng trưởng lợi nhuận sau thuế (YoY) (6M)*",Sheet4!$1:$1,2)),"")</f>
        <v>0</v>
      </c>
      <c r="Q29" s="10" cm="1">
        <f t="array" ref="Q29">IFERROR(INDEX(Sheet4!$2:$1605,MATCH(ChiTietKQKD[[#This Row],[Mã CP]],Sheet4!$B$2:$B$1605,0),_xlfn.XMATCH("*Tăng trưởng doanh thu thuần (QoQ)*",Sheet4!$1:$1,2)),"")</f>
        <v>0</v>
      </c>
      <c r="R29" s="10" cm="1">
        <f t="array" ref="R29">IFERROR(INDEX(Sheet4!$2:$1605,MATCH(ChiTietKQKD[[#This Row],[Mã CP]],Sheet4!$B$2:$B$1605,0),_xlfn.XMATCH("*Tăng trưởng lợi nhuận sau thuế (QoQ)*",Sheet4!$1:$1,2)),"")</f>
        <v>0</v>
      </c>
    </row>
    <row r="30" spans="1:18" x14ac:dyDescent="0.25">
      <c r="A30" s="7">
        <f>Sheet4!A9</f>
        <v>8</v>
      </c>
      <c r="B30" t="str">
        <f>Sheet4!B9</f>
        <v>ACB</v>
      </c>
      <c r="C30" t="str">
        <f>Sheet4!C8</f>
        <v>Thủy sản Bến Tre</v>
      </c>
      <c r="D30" t="str">
        <f>Sheet4!D9</f>
        <v>HOSE</v>
      </c>
      <c r="E30" s="7">
        <f>Sheet4!AH9/1000000000</f>
        <v>130019.0518368</v>
      </c>
      <c r="F30" t="str">
        <f>Sheet4!E9</f>
        <v>Ngân hàng</v>
      </c>
      <c r="G30" t="str">
        <f>Sheet4!F9</f>
        <v>Ngân hàng</v>
      </c>
      <c r="H30" t="str">
        <f>Sheet4!G9</f>
        <v>Ngân hàng</v>
      </c>
      <c r="I30" s="9" cm="1">
        <f t="array" ref="I3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7784.6909999999998</v>
      </c>
      <c r="J30" s="9" cm="1">
        <f t="array" ref="J3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14773.852999999999</v>
      </c>
      <c r="K30" s="10" cm="1">
        <f t="array" ref="K3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0.1647019800569971</v>
      </c>
      <c r="L30" s="10" cm="1">
        <f t="array" ref="L3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0.13272852051563189</v>
      </c>
      <c r="M30" s="9" cm="1">
        <f t="array" ref="M30">_xlfn.LET(_xlpm.val,IFERROR(INDEX(Sheet4!$2:$1605,MATCH(ChiTietKQKD[[#This Row],[Mã CP]],Sheet4!$B$2:$B$1605,0),_xlfn.XMATCH("*Lợi nhuận sau thuế*Q2*2026*",Sheet4!$1:$1,2)),0),IF(OR(_xlpm.val="",_xlpm.val=0),"",_xlpm.val/1000000000))</f>
        <v>4292.4780000000001</v>
      </c>
      <c r="N30" s="9" cm="1">
        <f t="array" ref="N30">_xlfn.LET(_xlpm.val,IFERROR(INDEX(Sheet4!$2:$1605,MATCH(ChiTietKQKD[[#This Row],[Mã CP]],Sheet4!$B$2:$B$1605,0),_xlfn.XMATCH("*Lợi nhuận sau thuế*6 tháng*2026*",Sheet4!$1:$1,2)),0),IF(OR(_xlpm.val="",_xlpm.val=0),"",_xlpm.val/1000000000))</f>
        <v>8612.866</v>
      </c>
      <c r="O30" s="10" cm="1">
        <f t="array" ref="O30">IFERROR(INDEX(Sheet4!$2:$1605,MATCH(ChiTietKQKD[[#This Row],[Mã CP]],Sheet4!$B$2:$B$1605,0),_xlfn.XMATCH("*Tăng trưởng lợi nhuận sau thuế (YoY) (Quý*",Sheet4!$1:$1,2)),"")</f>
        <v>-0.1206</v>
      </c>
      <c r="P30" s="10" cm="1">
        <f t="array" ref="P30">IFERROR(INDEX(Sheet4!$2:$1605,MATCH(ChiTietKQKD[[#This Row],[Mã CP]],Sheet4!$B$2:$B$1605,0),_xlfn.XMATCH("*Tăng trưởng lợi nhuận sau thuế (YoY) (6M)*",Sheet4!$1:$1,2)),"")</f>
        <v>0</v>
      </c>
      <c r="Q30" s="10" cm="1">
        <f t="array" ref="Q30">IFERROR(INDEX(Sheet4!$2:$1605,MATCH(ChiTietKQKD[[#This Row],[Mã CP]],Sheet4!$B$2:$B$1605,0),_xlfn.XMATCH("*Tăng trưởng doanh thu thuần (QoQ)*",Sheet4!$1:$1,2)),"")</f>
        <v>0.14360000000000001</v>
      </c>
      <c r="R30" s="10" cm="1">
        <f t="array" ref="R30">IFERROR(INDEX(Sheet4!$2:$1605,MATCH(ChiTietKQKD[[#This Row],[Mã CP]],Sheet4!$B$2:$B$1605,0),_xlfn.XMATCH("*Tăng trưởng lợi nhuận sau thuế (QoQ)*",Sheet4!$1:$1,2)),"")</f>
        <v>-6.4999999999999997E-3</v>
      </c>
    </row>
    <row r="31" spans="1:18" x14ac:dyDescent="0.25">
      <c r="A31" s="7">
        <f>Sheet4!A10</f>
        <v>9</v>
      </c>
      <c r="B31" t="str">
        <f>Sheet4!B10</f>
        <v>ACC</v>
      </c>
      <c r="C31" t="str">
        <f>Sheet4!C9</f>
        <v>ACB</v>
      </c>
      <c r="D31" t="str">
        <f>Sheet4!D10</f>
        <v>HOSE</v>
      </c>
      <c r="E31" s="7">
        <f>Sheet4!AH10/1000000000</f>
        <v>632.09995786000002</v>
      </c>
      <c r="F31" t="str">
        <f>Sheet4!E10</f>
        <v>Công nghiệp</v>
      </c>
      <c r="G31" t="str">
        <f>Sheet4!F10</f>
        <v>Xây dựng và Vật liệu</v>
      </c>
      <c r="H31" t="str">
        <f>Sheet4!G10</f>
        <v>Vật liệu xây dựng &amp; Nội thất</v>
      </c>
      <c r="I31" s="9" t="str" cm="1">
        <f t="array" ref="I3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1" s="9" t="str" cm="1">
        <f t="array" ref="J3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1" s="10" cm="1">
        <f t="array" ref="K3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1" s="10" cm="1">
        <f t="array" ref="L3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1" s="9" t="str" cm="1">
        <f t="array" ref="M3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1" s="9" t="str" cm="1">
        <f t="array" ref="N3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1" s="10" cm="1">
        <f t="array" ref="O31">IFERROR(INDEX(Sheet4!$2:$1605,MATCH(ChiTietKQKD[[#This Row],[Mã CP]],Sheet4!$B$2:$B$1605,0),_xlfn.XMATCH("*Tăng trưởng lợi nhuận sau thuế (YoY) (Quý*",Sheet4!$1:$1,2)),"")</f>
        <v>0</v>
      </c>
      <c r="P31" s="10" cm="1">
        <f t="array" ref="P31">IFERROR(INDEX(Sheet4!$2:$1605,MATCH(ChiTietKQKD[[#This Row],[Mã CP]],Sheet4!$B$2:$B$1605,0),_xlfn.XMATCH("*Tăng trưởng lợi nhuận sau thuế (YoY) (6M)*",Sheet4!$1:$1,2)),"")</f>
        <v>0</v>
      </c>
      <c r="Q31" s="10" cm="1">
        <f t="array" ref="Q31">IFERROR(INDEX(Sheet4!$2:$1605,MATCH(ChiTietKQKD[[#This Row],[Mã CP]],Sheet4!$B$2:$B$1605,0),_xlfn.XMATCH("*Tăng trưởng doanh thu thuần (QoQ)*",Sheet4!$1:$1,2)),"")</f>
        <v>0</v>
      </c>
      <c r="R31" s="10" cm="1">
        <f t="array" ref="R31">IFERROR(INDEX(Sheet4!$2:$1605,MATCH(ChiTietKQKD[[#This Row],[Mã CP]],Sheet4!$B$2:$B$1605,0),_xlfn.XMATCH("*Tăng trưởng lợi nhuận sau thuế (QoQ)*",Sheet4!$1:$1,2)),"")</f>
        <v>0</v>
      </c>
    </row>
    <row r="32" spans="1:18" x14ac:dyDescent="0.25">
      <c r="A32" s="7">
        <f>Sheet4!A11</f>
        <v>10</v>
      </c>
      <c r="B32" t="str">
        <f>Sheet4!B11</f>
        <v>ACG</v>
      </c>
      <c r="C32" t="str">
        <f>Sheet4!C10</f>
        <v>Đầu tư và XD Bình Dương ACC</v>
      </c>
      <c r="D32" t="str">
        <f>Sheet4!D11</f>
        <v>HOSE</v>
      </c>
      <c r="E32" s="7">
        <f>Sheet4!AH11/1000000000</f>
        <v>4840.2930666000002</v>
      </c>
      <c r="F32" t="str">
        <f>Sheet4!E11</f>
        <v>Nguyên vật liệu</v>
      </c>
      <c r="G32" t="str">
        <f>Sheet4!F11</f>
        <v>Tài nguyên Cơ bản</v>
      </c>
      <c r="H32" t="str">
        <f>Sheet4!G11</f>
        <v>Lâm sản và Chế biến gỗ</v>
      </c>
      <c r="I32" s="9" t="str" cm="1">
        <f t="array" ref="I3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2" s="9" t="str" cm="1">
        <f t="array" ref="J3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2" s="10" cm="1">
        <f t="array" ref="K3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2" s="10" cm="1">
        <f t="array" ref="L3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2" s="9" t="str" cm="1">
        <f t="array" ref="M3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2" s="9" t="str" cm="1">
        <f t="array" ref="N3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2" s="10" cm="1">
        <f t="array" ref="O32">IFERROR(INDEX(Sheet4!$2:$1605,MATCH(ChiTietKQKD[[#This Row],[Mã CP]],Sheet4!$B$2:$B$1605,0),_xlfn.XMATCH("*Tăng trưởng lợi nhuận sau thuế (YoY) (Quý*",Sheet4!$1:$1,2)),"")</f>
        <v>0</v>
      </c>
      <c r="P32" s="10" cm="1">
        <f t="array" ref="P32">IFERROR(INDEX(Sheet4!$2:$1605,MATCH(ChiTietKQKD[[#This Row],[Mã CP]],Sheet4!$B$2:$B$1605,0),_xlfn.XMATCH("*Tăng trưởng lợi nhuận sau thuế (YoY) (6M)*",Sheet4!$1:$1,2)),"")</f>
        <v>0</v>
      </c>
      <c r="Q32" s="10" cm="1">
        <f t="array" ref="Q32">IFERROR(INDEX(Sheet4!$2:$1605,MATCH(ChiTietKQKD[[#This Row],[Mã CP]],Sheet4!$B$2:$B$1605,0),_xlfn.XMATCH("*Tăng trưởng doanh thu thuần (QoQ)*",Sheet4!$1:$1,2)),"")</f>
        <v>0</v>
      </c>
      <c r="R32" s="10" cm="1">
        <f t="array" ref="R32">IFERROR(INDEX(Sheet4!$2:$1605,MATCH(ChiTietKQKD[[#This Row],[Mã CP]],Sheet4!$B$2:$B$1605,0),_xlfn.XMATCH("*Tăng trưởng lợi nhuận sau thuế (QoQ)*",Sheet4!$1:$1,2)),"")</f>
        <v>0</v>
      </c>
    </row>
    <row r="33" spans="1:18" x14ac:dyDescent="0.25">
      <c r="A33" s="7">
        <f>Sheet4!A12</f>
        <v>11</v>
      </c>
      <c r="B33" t="str">
        <f>Sheet4!B12</f>
        <v>ACL</v>
      </c>
      <c r="C33" t="str">
        <f>Sheet4!C11</f>
        <v>Gỗ An Cường</v>
      </c>
      <c r="D33" t="str">
        <f>Sheet4!D12</f>
        <v>HOSE</v>
      </c>
      <c r="E33" s="7">
        <f>Sheet4!AH12/1000000000</f>
        <v>647.05134510000005</v>
      </c>
      <c r="F33" t="str">
        <f>Sheet4!E12</f>
        <v>Hàng Tiêu dùng</v>
      </c>
      <c r="G33" t="str">
        <f>Sheet4!F12</f>
        <v>Thực phẩm và đồ uống</v>
      </c>
      <c r="H33" t="str">
        <f>Sheet4!G12</f>
        <v>Nuôi trồng nông &amp; hải sản</v>
      </c>
      <c r="I33" s="9" t="str" cm="1">
        <f t="array" ref="I3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3" s="9" t="str" cm="1">
        <f t="array" ref="J3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3" s="10" cm="1">
        <f t="array" ref="K3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3" s="10" cm="1">
        <f t="array" ref="L3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3" s="9" t="str" cm="1">
        <f t="array" ref="M3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3" s="9" t="str" cm="1">
        <f t="array" ref="N3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3" s="10" cm="1">
        <f t="array" ref="O33">IFERROR(INDEX(Sheet4!$2:$1605,MATCH(ChiTietKQKD[[#This Row],[Mã CP]],Sheet4!$B$2:$B$1605,0),_xlfn.XMATCH("*Tăng trưởng lợi nhuận sau thuế (YoY) (Quý*",Sheet4!$1:$1,2)),"")</f>
        <v>0</v>
      </c>
      <c r="P33" s="10" cm="1">
        <f t="array" ref="P33">IFERROR(INDEX(Sheet4!$2:$1605,MATCH(ChiTietKQKD[[#This Row],[Mã CP]],Sheet4!$B$2:$B$1605,0),_xlfn.XMATCH("*Tăng trưởng lợi nhuận sau thuế (YoY) (6M)*",Sheet4!$1:$1,2)),"")</f>
        <v>0</v>
      </c>
      <c r="Q33" s="10" cm="1">
        <f t="array" ref="Q33">IFERROR(INDEX(Sheet4!$2:$1605,MATCH(ChiTietKQKD[[#This Row],[Mã CP]],Sheet4!$B$2:$B$1605,0),_xlfn.XMATCH("*Tăng trưởng doanh thu thuần (QoQ)*",Sheet4!$1:$1,2)),"")</f>
        <v>0</v>
      </c>
      <c r="R33" s="10" cm="1">
        <f t="array" ref="R33">IFERROR(INDEX(Sheet4!$2:$1605,MATCH(ChiTietKQKD[[#This Row],[Mã CP]],Sheet4!$B$2:$B$1605,0),_xlfn.XMATCH("*Tăng trưởng lợi nhuận sau thuế (QoQ)*",Sheet4!$1:$1,2)),"")</f>
        <v>0</v>
      </c>
    </row>
    <row r="34" spans="1:18" x14ac:dyDescent="0.25">
      <c r="A34" s="7">
        <f>Sheet4!A13</f>
        <v>12</v>
      </c>
      <c r="B34" t="str">
        <f>Sheet4!B13</f>
        <v>ADG</v>
      </c>
      <c r="C34" t="str">
        <f>Sheet4!C12</f>
        <v>Thủy sản CL An Giang</v>
      </c>
      <c r="D34" t="str">
        <f>Sheet4!D13</f>
        <v>HOSE</v>
      </c>
      <c r="E34" s="7">
        <f>Sheet4!AH13/1000000000</f>
        <v>173.18222009999999</v>
      </c>
      <c r="F34" t="str">
        <f>Sheet4!E13</f>
        <v>Dịch vụ Tiêu dùng</v>
      </c>
      <c r="G34" t="str">
        <f>Sheet4!F13</f>
        <v>Truyền thông</v>
      </c>
      <c r="H34" t="str">
        <f>Sheet4!G13</f>
        <v>Dịch vụ truyền thông</v>
      </c>
      <c r="I34" s="9" t="str" cm="1">
        <f t="array" ref="I3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4" s="9" t="str" cm="1">
        <f t="array" ref="J3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4" s="10" cm="1">
        <f t="array" ref="K3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4" s="10" cm="1">
        <f t="array" ref="L3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4" s="9" t="str" cm="1">
        <f t="array" ref="M3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4" s="9" t="str" cm="1">
        <f t="array" ref="N3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4" s="10" cm="1">
        <f t="array" ref="O34">IFERROR(INDEX(Sheet4!$2:$1605,MATCH(ChiTietKQKD[[#This Row],[Mã CP]],Sheet4!$B$2:$B$1605,0),_xlfn.XMATCH("*Tăng trưởng lợi nhuận sau thuế (YoY) (Quý*",Sheet4!$1:$1,2)),"")</f>
        <v>0</v>
      </c>
      <c r="P34" s="10" cm="1">
        <f t="array" ref="P34">IFERROR(INDEX(Sheet4!$2:$1605,MATCH(ChiTietKQKD[[#This Row],[Mã CP]],Sheet4!$B$2:$B$1605,0),_xlfn.XMATCH("*Tăng trưởng lợi nhuận sau thuế (YoY) (6M)*",Sheet4!$1:$1,2)),"")</f>
        <v>0</v>
      </c>
      <c r="Q34" s="10" cm="1">
        <f t="array" ref="Q34">IFERROR(INDEX(Sheet4!$2:$1605,MATCH(ChiTietKQKD[[#This Row],[Mã CP]],Sheet4!$B$2:$B$1605,0),_xlfn.XMATCH("*Tăng trưởng doanh thu thuần (QoQ)*",Sheet4!$1:$1,2)),"")</f>
        <v>0</v>
      </c>
      <c r="R34" s="10" cm="1">
        <f t="array" ref="R34">IFERROR(INDEX(Sheet4!$2:$1605,MATCH(ChiTietKQKD[[#This Row],[Mã CP]],Sheet4!$B$2:$B$1605,0),_xlfn.XMATCH("*Tăng trưởng lợi nhuận sau thuế (QoQ)*",Sheet4!$1:$1,2)),"")</f>
        <v>0</v>
      </c>
    </row>
    <row r="35" spans="1:18" x14ac:dyDescent="0.25">
      <c r="A35" s="7">
        <f>Sheet4!A14</f>
        <v>13</v>
      </c>
      <c r="B35" t="str">
        <f>Sheet4!B14</f>
        <v>ADP</v>
      </c>
      <c r="C35" t="str">
        <f>Sheet4!C13</f>
        <v>Clever Group</v>
      </c>
      <c r="D35" t="str">
        <f>Sheet4!D14</f>
        <v>HOSE</v>
      </c>
      <c r="E35" s="7">
        <f>Sheet4!AH14/1000000000</f>
        <v>518.39662499999997</v>
      </c>
      <c r="F35" t="str">
        <f>Sheet4!E14</f>
        <v>Công nghiệp</v>
      </c>
      <c r="G35" t="str">
        <f>Sheet4!F14</f>
        <v>Xây dựng và Vật liệu</v>
      </c>
      <c r="H35" t="str">
        <f>Sheet4!G14</f>
        <v>Vật liệu xây dựng &amp; Nội thất</v>
      </c>
      <c r="I35" s="9" cm="1">
        <f t="array" ref="I3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146.84600925199999</v>
      </c>
      <c r="J35" s="9" cm="1">
        <f t="array" ref="J3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301.21100096599997</v>
      </c>
      <c r="K35" s="10" cm="1">
        <f t="array" ref="K3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-0.1641</v>
      </c>
      <c r="L35" s="10" cm="1">
        <f t="array" ref="L3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-0.2</v>
      </c>
      <c r="M35" s="9" cm="1">
        <f t="array" ref="M35">_xlfn.LET(_xlpm.val,IFERROR(INDEX(Sheet4!$2:$1605,MATCH(ChiTietKQKD[[#This Row],[Mã CP]],Sheet4!$B$2:$B$1605,0),_xlfn.XMATCH("*Lợi nhuận sau thuế*Q2*2026*",Sheet4!$1:$1,2)),0),IF(OR(_xlpm.val="",_xlpm.val=0),"",_xlpm.val/1000000000))</f>
        <v>22.028350151000001</v>
      </c>
      <c r="N35" s="9" cm="1">
        <f t="array" ref="N35">_xlfn.LET(_xlpm.val,IFERROR(INDEX(Sheet4!$2:$1605,MATCH(ChiTietKQKD[[#This Row],[Mã CP]],Sheet4!$B$2:$B$1605,0),_xlfn.XMATCH("*Lợi nhuận sau thuế*6 tháng*2026*",Sheet4!$1:$1,2)),0),IF(OR(_xlpm.val="",_xlpm.val=0),"",_xlpm.val/1000000000))</f>
        <v>38.653727258000004</v>
      </c>
      <c r="O35" s="10" cm="1">
        <f t="array" ref="O35">IFERROR(INDEX(Sheet4!$2:$1605,MATCH(ChiTietKQKD[[#This Row],[Mã CP]],Sheet4!$B$2:$B$1605,0),_xlfn.XMATCH("*Tăng trưởng lợi nhuận sau thuế (YoY) (Quý*",Sheet4!$1:$1,2)),"")</f>
        <v>-2.52E-2</v>
      </c>
      <c r="P35" s="10" cm="1">
        <f t="array" ref="P35">IFERROR(INDEX(Sheet4!$2:$1605,MATCH(ChiTietKQKD[[#This Row],[Mã CP]],Sheet4!$B$2:$B$1605,0),_xlfn.XMATCH("*Tăng trưởng lợi nhuận sau thuế (YoY) (6M)*",Sheet4!$1:$1,2)),"")</f>
        <v>-0.1517</v>
      </c>
      <c r="Q35" s="10" cm="1">
        <f t="array" ref="Q35">IFERROR(INDEX(Sheet4!$2:$1605,MATCH(ChiTietKQKD[[#This Row],[Mã CP]],Sheet4!$B$2:$B$1605,0),_xlfn.XMATCH("*Tăng trưởng doanh thu thuần (QoQ)*",Sheet4!$1:$1,2)),"")</f>
        <v>-4.87E-2</v>
      </c>
      <c r="R35" s="10" cm="1">
        <f t="array" ref="R35">IFERROR(INDEX(Sheet4!$2:$1605,MATCH(ChiTietKQKD[[#This Row],[Mã CP]],Sheet4!$B$2:$B$1605,0),_xlfn.XMATCH("*Tăng trưởng lợi nhuận sau thuế (QoQ)*",Sheet4!$1:$1,2)),"")</f>
        <v>0.39090000000000003</v>
      </c>
    </row>
    <row r="36" spans="1:18" x14ac:dyDescent="0.25">
      <c r="A36" s="7">
        <f>Sheet4!A15</f>
        <v>14</v>
      </c>
      <c r="B36" t="str">
        <f>Sheet4!B15</f>
        <v>ADS</v>
      </c>
      <c r="C36" t="str">
        <f>Sheet4!C14</f>
        <v>Sơn Á Đông</v>
      </c>
      <c r="D36" t="str">
        <f>Sheet4!D15</f>
        <v>HOSE</v>
      </c>
      <c r="E36" s="7">
        <f>Sheet4!AH15/1000000000</f>
        <v>584.41966155</v>
      </c>
      <c r="F36" t="str">
        <f>Sheet4!E15</f>
        <v>Hàng Tiêu dùng</v>
      </c>
      <c r="G36" t="str">
        <f>Sheet4!F15</f>
        <v>Hàng cá nhân &amp; Gia dụng</v>
      </c>
      <c r="H36" t="str">
        <f>Sheet4!G15</f>
        <v>Hàng May mặc</v>
      </c>
      <c r="I36" s="9" t="str" cm="1">
        <f t="array" ref="I3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6" s="9" t="str" cm="1">
        <f t="array" ref="J3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6" s="10" cm="1">
        <f t="array" ref="K3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6" s="10" cm="1">
        <f t="array" ref="L3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6" s="9" t="str" cm="1">
        <f t="array" ref="M3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6" s="9" t="str" cm="1">
        <f t="array" ref="N3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6" s="10" cm="1">
        <f t="array" ref="O36">IFERROR(INDEX(Sheet4!$2:$1605,MATCH(ChiTietKQKD[[#This Row],[Mã CP]],Sheet4!$B$2:$B$1605,0),_xlfn.XMATCH("*Tăng trưởng lợi nhuận sau thuế (YoY) (Quý*",Sheet4!$1:$1,2)),"")</f>
        <v>0</v>
      </c>
      <c r="P36" s="10" cm="1">
        <f t="array" ref="P36">IFERROR(INDEX(Sheet4!$2:$1605,MATCH(ChiTietKQKD[[#This Row],[Mã CP]],Sheet4!$B$2:$B$1605,0),_xlfn.XMATCH("*Tăng trưởng lợi nhuận sau thuế (YoY) (6M)*",Sheet4!$1:$1,2)),"")</f>
        <v>0</v>
      </c>
      <c r="Q36" s="10" cm="1">
        <f t="array" ref="Q36">IFERROR(INDEX(Sheet4!$2:$1605,MATCH(ChiTietKQKD[[#This Row],[Mã CP]],Sheet4!$B$2:$B$1605,0),_xlfn.XMATCH("*Tăng trưởng doanh thu thuần (QoQ)*",Sheet4!$1:$1,2)),"")</f>
        <v>0</v>
      </c>
      <c r="R36" s="10" cm="1">
        <f t="array" ref="R36">IFERROR(INDEX(Sheet4!$2:$1605,MATCH(ChiTietKQKD[[#This Row],[Mã CP]],Sheet4!$B$2:$B$1605,0),_xlfn.XMATCH("*Tăng trưởng lợi nhuận sau thuế (QoQ)*",Sheet4!$1:$1,2)),"")</f>
        <v>0</v>
      </c>
    </row>
    <row r="37" spans="1:18" x14ac:dyDescent="0.25">
      <c r="A37" s="7">
        <f>Sheet4!A16</f>
        <v>15</v>
      </c>
      <c r="B37" t="str">
        <f>Sheet4!B16</f>
        <v>AFX</v>
      </c>
      <c r="C37" t="str">
        <f>Sheet4!C15</f>
        <v>Dệt sợi DAMSAN</v>
      </c>
      <c r="D37" t="str">
        <f>Sheet4!D16</f>
        <v>HOSE</v>
      </c>
      <c r="E37" s="7">
        <f>Sheet4!AH16/1000000000</f>
        <v>350</v>
      </c>
      <c r="F37" t="str">
        <f>Sheet4!E16</f>
        <v>Dịch vụ Tiêu dùng</v>
      </c>
      <c r="G37" t="str">
        <f>Sheet4!F16</f>
        <v>Bán lẻ</v>
      </c>
      <c r="H37" t="str">
        <f>Sheet4!G16</f>
        <v>Phân phối thực phẩm</v>
      </c>
      <c r="I37" s="9" cm="1">
        <f t="array" ref="I3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704.900128999</v>
      </c>
      <c r="J37" s="9" cm="1">
        <f t="array" ref="J3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1588.916059896</v>
      </c>
      <c r="K37" s="10" cm="1">
        <f t="array" ref="K3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-1.18E-2</v>
      </c>
      <c r="L37" s="10" cm="1">
        <f t="array" ref="L3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0.55579999999999996</v>
      </c>
      <c r="M37" s="9" cm="1">
        <f t="array" ref="M37">_xlfn.LET(_xlpm.val,IFERROR(INDEX(Sheet4!$2:$1605,MATCH(ChiTietKQKD[[#This Row],[Mã CP]],Sheet4!$B$2:$B$1605,0),_xlfn.XMATCH("*Lợi nhuận sau thuế*Q2*2026*",Sheet4!$1:$1,2)),0),IF(OR(_xlpm.val="",_xlpm.val=0),"",_xlpm.val/1000000000))</f>
        <v>8.8869788340000007</v>
      </c>
      <c r="N37" s="9" cm="1">
        <f t="array" ref="N37">_xlfn.LET(_xlpm.val,IFERROR(INDEX(Sheet4!$2:$1605,MATCH(ChiTietKQKD[[#This Row],[Mã CP]],Sheet4!$B$2:$B$1605,0),_xlfn.XMATCH("*Lợi nhuận sau thuế*6 tháng*2026*",Sheet4!$1:$1,2)),0),IF(OR(_xlpm.val="",_xlpm.val=0),"",_xlpm.val/1000000000))</f>
        <v>26.925026049</v>
      </c>
      <c r="O37" s="10" cm="1">
        <f t="array" ref="O37">IFERROR(INDEX(Sheet4!$2:$1605,MATCH(ChiTietKQKD[[#This Row],[Mã CP]],Sheet4!$B$2:$B$1605,0),_xlfn.XMATCH("*Tăng trưởng lợi nhuận sau thuế (YoY) (Quý*",Sheet4!$1:$1,2)),"")</f>
        <v>0.3947</v>
      </c>
      <c r="P37" s="10" cm="1">
        <f t="array" ref="P37">IFERROR(INDEX(Sheet4!$2:$1605,MATCH(ChiTietKQKD[[#This Row],[Mã CP]],Sheet4!$B$2:$B$1605,0),_xlfn.XMATCH("*Tăng trưởng lợi nhuận sau thuế (YoY) (6M)*",Sheet4!$1:$1,2)),"")</f>
        <v>1.4383999999999999</v>
      </c>
      <c r="Q37" s="10" cm="1">
        <f t="array" ref="Q37">IFERROR(INDEX(Sheet4!$2:$1605,MATCH(ChiTietKQKD[[#This Row],[Mã CP]],Sheet4!$B$2:$B$1605,0),_xlfn.XMATCH("*Tăng trưởng doanh thu thuần (QoQ)*",Sheet4!$1:$1,2)),"")</f>
        <v>-0.2026</v>
      </c>
      <c r="R37" s="10" cm="1">
        <f t="array" ref="R37">IFERROR(INDEX(Sheet4!$2:$1605,MATCH(ChiTietKQKD[[#This Row],[Mã CP]],Sheet4!$B$2:$B$1605,0),_xlfn.XMATCH("*Tăng trưởng lợi nhuận sau thuế (QoQ)*",Sheet4!$1:$1,2)),"")</f>
        <v>-0.50729999999999997</v>
      </c>
    </row>
    <row r="38" spans="1:18" x14ac:dyDescent="0.25">
      <c r="A38" s="7">
        <f>Sheet4!A17</f>
        <v>16</v>
      </c>
      <c r="B38" t="str">
        <f>Sheet4!B17</f>
        <v>AGG</v>
      </c>
      <c r="C38" t="str">
        <f>Sheet4!C16</f>
        <v>XNK Nông sản Thực phẩm An Giang</v>
      </c>
      <c r="D38" t="str">
        <f>Sheet4!D17</f>
        <v>HOSE</v>
      </c>
      <c r="E38" s="7">
        <f>Sheet4!AH17/1000000000</f>
        <v>1795.9352950499999</v>
      </c>
      <c r="F38" t="str">
        <f>Sheet4!E17</f>
        <v>Tài chính</v>
      </c>
      <c r="G38" t="str">
        <f>Sheet4!F17</f>
        <v>Bất động sản</v>
      </c>
      <c r="H38" t="str">
        <f>Sheet4!G17</f>
        <v>Bất động sản</v>
      </c>
      <c r="I38" s="9" t="str" cm="1">
        <f t="array" ref="I3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8" s="9" t="str" cm="1">
        <f t="array" ref="J3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8" s="10" cm="1">
        <f t="array" ref="K3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8" s="10" cm="1">
        <f t="array" ref="L3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8" s="9" t="str" cm="1">
        <f t="array" ref="M3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8" s="9" t="str" cm="1">
        <f t="array" ref="N3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8" s="10" cm="1">
        <f t="array" ref="O38">IFERROR(INDEX(Sheet4!$2:$1605,MATCH(ChiTietKQKD[[#This Row],[Mã CP]],Sheet4!$B$2:$B$1605,0),_xlfn.XMATCH("*Tăng trưởng lợi nhuận sau thuế (YoY) (Quý*",Sheet4!$1:$1,2)),"")</f>
        <v>0</v>
      </c>
      <c r="P38" s="10" cm="1">
        <f t="array" ref="P38">IFERROR(INDEX(Sheet4!$2:$1605,MATCH(ChiTietKQKD[[#This Row],[Mã CP]],Sheet4!$B$2:$B$1605,0),_xlfn.XMATCH("*Tăng trưởng lợi nhuận sau thuế (YoY) (6M)*",Sheet4!$1:$1,2)),"")</f>
        <v>0</v>
      </c>
      <c r="Q38" s="10" cm="1">
        <f t="array" ref="Q38">IFERROR(INDEX(Sheet4!$2:$1605,MATCH(ChiTietKQKD[[#This Row],[Mã CP]],Sheet4!$B$2:$B$1605,0),_xlfn.XMATCH("*Tăng trưởng doanh thu thuần (QoQ)*",Sheet4!$1:$1,2)),"")</f>
        <v>0</v>
      </c>
      <c r="R38" s="10" cm="1">
        <f t="array" ref="R38">IFERROR(INDEX(Sheet4!$2:$1605,MATCH(ChiTietKQKD[[#This Row],[Mã CP]],Sheet4!$B$2:$B$1605,0),_xlfn.XMATCH("*Tăng trưởng lợi nhuận sau thuế (QoQ)*",Sheet4!$1:$1,2)),"")</f>
        <v>0</v>
      </c>
    </row>
    <row r="39" spans="1:18" x14ac:dyDescent="0.25">
      <c r="A39" s="7">
        <f>Sheet4!A18</f>
        <v>17</v>
      </c>
      <c r="B39" t="str">
        <f>Sheet4!B18</f>
        <v>AGR</v>
      </c>
      <c r="C39" t="str">
        <f>Sheet4!C17</f>
        <v>Bất động sản An Gia</v>
      </c>
      <c r="D39" t="str">
        <f>Sheet4!D18</f>
        <v>HOSE</v>
      </c>
      <c r="E39" s="7">
        <f>Sheet4!AH18/1000000000</f>
        <v>3105.0401535999999</v>
      </c>
      <c r="F39" t="str">
        <f>Sheet4!E18</f>
        <v>Tài chính</v>
      </c>
      <c r="G39" t="str">
        <f>Sheet4!F18</f>
        <v>Dịch vụ tài chính</v>
      </c>
      <c r="H39" t="str">
        <f>Sheet4!G18</f>
        <v>Môi giới chứng khoán</v>
      </c>
      <c r="I39" s="9" cm="1">
        <f t="array" ref="I3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139.118884076</v>
      </c>
      <c r="J39" s="9" cm="1">
        <f t="array" ref="J3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284.43544445800001</v>
      </c>
      <c r="K39" s="10" cm="1">
        <f t="array" ref="K3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0.42</v>
      </c>
      <c r="L39" s="10" cm="1">
        <f t="array" ref="L3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0.41</v>
      </c>
      <c r="M39" s="9" cm="1">
        <f t="array" ref="M39">_xlfn.LET(_xlpm.val,IFERROR(INDEX(Sheet4!$2:$1605,MATCH(ChiTietKQKD[[#This Row],[Mã CP]],Sheet4!$B$2:$B$1605,0),_xlfn.XMATCH("*Lợi nhuận sau thuế*Q2*2026*",Sheet4!$1:$1,2)),0),IF(OR(_xlpm.val="",_xlpm.val=0),"",_xlpm.val/1000000000))</f>
        <v>30.294638127999999</v>
      </c>
      <c r="N39" s="9" cm="1">
        <f t="array" ref="N39">_xlfn.LET(_xlpm.val,IFERROR(INDEX(Sheet4!$2:$1605,MATCH(ChiTietKQKD[[#This Row],[Mã CP]],Sheet4!$B$2:$B$1605,0),_xlfn.XMATCH("*Lợi nhuận sau thuế*6 tháng*2026*",Sheet4!$1:$1,2)),0),IF(OR(_xlpm.val="",_xlpm.val=0),"",_xlpm.val/1000000000))</f>
        <v>73.783489660000001</v>
      </c>
      <c r="O39" s="10" cm="1">
        <f t="array" ref="O39">IFERROR(INDEX(Sheet4!$2:$1605,MATCH(ChiTietKQKD[[#This Row],[Mã CP]],Sheet4!$B$2:$B$1605,0),_xlfn.XMATCH("*Tăng trưởng lợi nhuận sau thuế (YoY) (Quý*",Sheet4!$1:$1,2)),"")</f>
        <v>1.5789</v>
      </c>
      <c r="P39" s="10" cm="1">
        <f t="array" ref="P39">IFERROR(INDEX(Sheet4!$2:$1605,MATCH(ChiTietKQKD[[#This Row],[Mã CP]],Sheet4!$B$2:$B$1605,0),_xlfn.XMATCH("*Tăng trưởng lợi nhuận sau thuế (YoY) (6M)*",Sheet4!$1:$1,2)),"")</f>
        <v>0.66790000000000005</v>
      </c>
      <c r="Q39" s="10" cm="1">
        <f t="array" ref="Q39">IFERROR(INDEX(Sheet4!$2:$1605,MATCH(ChiTietKQKD[[#This Row],[Mã CP]],Sheet4!$B$2:$B$1605,0),_xlfn.XMATCH("*Tăng trưởng doanh thu thuần (QoQ)*",Sheet4!$1:$1,2)),"")</f>
        <v>-4.2599999999999999E-2</v>
      </c>
      <c r="R39" s="10" cm="1">
        <f t="array" ref="R39">IFERROR(INDEX(Sheet4!$2:$1605,MATCH(ChiTietKQKD[[#This Row],[Mã CP]],Sheet4!$B$2:$B$1605,0),_xlfn.XMATCH("*Tăng trưởng lợi nhuận sau thuế (QoQ)*",Sheet4!$1:$1,2)),"")</f>
        <v>-0.3034</v>
      </c>
    </row>
    <row r="40" spans="1:18" x14ac:dyDescent="0.25">
      <c r="A40" s="7">
        <f>Sheet4!A19</f>
        <v>18</v>
      </c>
      <c r="B40" t="str">
        <f>Sheet4!B19</f>
        <v>ANT</v>
      </c>
      <c r="C40" t="str">
        <f>Sheet4!C18</f>
        <v>Agriseco</v>
      </c>
      <c r="D40" t="str">
        <f>Sheet4!D19</f>
        <v>HOSE</v>
      </c>
      <c r="E40" s="7">
        <f>Sheet4!AH19/1000000000</f>
        <v>711.46742029999996</v>
      </c>
      <c r="F40" t="str">
        <f>Sheet4!E19</f>
        <v>Hàng Tiêu dùng</v>
      </c>
      <c r="G40" t="str">
        <f>Sheet4!F19</f>
        <v>Thực phẩm và đồ uống</v>
      </c>
      <c r="H40" t="str">
        <f>Sheet4!G19</f>
        <v>Thực phẩm</v>
      </c>
      <c r="I40" s="9" t="str" cm="1">
        <f t="array" ref="I4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0" s="9" t="str" cm="1">
        <f t="array" ref="J4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0" s="10" cm="1">
        <f t="array" ref="K4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0" s="10" cm="1">
        <f t="array" ref="L4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0" s="9" t="str" cm="1">
        <f t="array" ref="M4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0" s="9" t="str" cm="1">
        <f t="array" ref="N4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0" s="10" cm="1">
        <f t="array" ref="O40">IFERROR(INDEX(Sheet4!$2:$1605,MATCH(ChiTietKQKD[[#This Row],[Mã CP]],Sheet4!$B$2:$B$1605,0),_xlfn.XMATCH("*Tăng trưởng lợi nhuận sau thuế (YoY) (Quý*",Sheet4!$1:$1,2)),"")</f>
        <v>0</v>
      </c>
      <c r="P40" s="10" cm="1">
        <f t="array" ref="P40">IFERROR(INDEX(Sheet4!$2:$1605,MATCH(ChiTietKQKD[[#This Row],[Mã CP]],Sheet4!$B$2:$B$1605,0),_xlfn.XMATCH("*Tăng trưởng lợi nhuận sau thuế (YoY) (6M)*",Sheet4!$1:$1,2)),"")</f>
        <v>0</v>
      </c>
      <c r="Q40" s="10" cm="1">
        <f t="array" ref="Q40">IFERROR(INDEX(Sheet4!$2:$1605,MATCH(ChiTietKQKD[[#This Row],[Mã CP]],Sheet4!$B$2:$B$1605,0),_xlfn.XMATCH("*Tăng trưởng doanh thu thuần (QoQ)*",Sheet4!$1:$1,2)),"")</f>
        <v>0</v>
      </c>
      <c r="R40" s="10" cm="1">
        <f t="array" ref="R40">IFERROR(INDEX(Sheet4!$2:$1605,MATCH(ChiTietKQKD[[#This Row],[Mã CP]],Sheet4!$B$2:$B$1605,0),_xlfn.XMATCH("*Tăng trưởng lợi nhuận sau thuế (QoQ)*",Sheet4!$1:$1,2)),"")</f>
        <v>0</v>
      </c>
    </row>
    <row r="41" spans="1:18" x14ac:dyDescent="0.25">
      <c r="A41" s="7">
        <f>Sheet4!A20</f>
        <v>19</v>
      </c>
      <c r="B41" t="str">
        <f>Sheet4!B20</f>
        <v>ANV</v>
      </c>
      <c r="C41" t="str">
        <f>Sheet4!C19</f>
        <v>Rau quả thực phẩm An Giang</v>
      </c>
      <c r="D41" t="str">
        <f>Sheet4!D20</f>
        <v>HOSE</v>
      </c>
      <c r="E41" s="7">
        <f>Sheet4!AH20/1000000000</f>
        <v>4566.2861124999999</v>
      </c>
      <c r="F41" t="str">
        <f>Sheet4!E20</f>
        <v>Hàng Tiêu dùng</v>
      </c>
      <c r="G41" t="str">
        <f>Sheet4!F20</f>
        <v>Thực phẩm và đồ uống</v>
      </c>
      <c r="H41" t="str">
        <f>Sheet4!G20</f>
        <v>Nuôi trồng nông &amp; hải sản</v>
      </c>
      <c r="I41" s="9" cm="1">
        <f t="array" ref="I4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1937.045719515</v>
      </c>
      <c r="J41" s="9" cm="1">
        <f t="array" ref="J4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3778.3418374490002</v>
      </c>
      <c r="K41" s="10" cm="1">
        <f t="array" ref="K4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0.1221</v>
      </c>
      <c r="L41" s="10" cm="1">
        <f t="array" ref="L4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0.33389999999999997</v>
      </c>
      <c r="M41" s="9" cm="1">
        <f t="array" ref="M41">_xlfn.LET(_xlpm.val,IFERROR(INDEX(Sheet4!$2:$1605,MATCH(ChiTietKQKD[[#This Row],[Mã CP]],Sheet4!$B$2:$B$1605,0),_xlfn.XMATCH("*Lợi nhuận sau thuế*Q2*2026*",Sheet4!$1:$1,2)),0),IF(OR(_xlpm.val="",_xlpm.val=0),"",_xlpm.val/1000000000))</f>
        <v>134.86998105500001</v>
      </c>
      <c r="N41" s="9" cm="1">
        <f t="array" ref="N41">_xlfn.LET(_xlpm.val,IFERROR(INDEX(Sheet4!$2:$1605,MATCH(ChiTietKQKD[[#This Row],[Mã CP]],Sheet4!$B$2:$B$1605,0),_xlfn.XMATCH("*Lợi nhuận sau thuế*6 tháng*2026*",Sheet4!$1:$1,2)),0),IF(OR(_xlpm.val="",_xlpm.val=0),"",_xlpm.val/1000000000))</f>
        <v>330.22781470500001</v>
      </c>
      <c r="O41" s="10" cm="1">
        <f t="array" ref="O41">IFERROR(INDEX(Sheet4!$2:$1605,MATCH(ChiTietKQKD[[#This Row],[Mã CP]],Sheet4!$B$2:$B$1605,0),_xlfn.XMATCH("*Tăng trưởng lợi nhuận sau thuế (YoY) (Quý*",Sheet4!$1:$1,2)),"")</f>
        <v>-0.5948</v>
      </c>
      <c r="P41" s="10" cm="1">
        <f t="array" ref="P41">IFERROR(INDEX(Sheet4!$2:$1605,MATCH(ChiTietKQKD[[#This Row],[Mã CP]],Sheet4!$B$2:$B$1605,0),_xlfn.XMATCH("*Tăng trưởng lợi nhuận sau thuế (YoY) (6M)*",Sheet4!$1:$1,2)),"")</f>
        <v>-0.28960000000000002</v>
      </c>
      <c r="Q41" s="10" cm="1">
        <f t="array" ref="Q41">IFERROR(INDEX(Sheet4!$2:$1605,MATCH(ChiTietKQKD[[#This Row],[Mã CP]],Sheet4!$B$2:$B$1605,0),_xlfn.XMATCH("*Tăng trưởng doanh thu thuần (QoQ)*",Sheet4!$1:$1,2)),"")</f>
        <v>5.1999999999999998E-2</v>
      </c>
      <c r="R41" s="10" cm="1">
        <f t="array" ref="R41">IFERROR(INDEX(Sheet4!$2:$1605,MATCH(ChiTietKQKD[[#This Row],[Mã CP]],Sheet4!$B$2:$B$1605,0),_xlfn.XMATCH("*Tăng trưởng lợi nhuận sau thuế (QoQ)*",Sheet4!$1:$1,2)),"")</f>
        <v>-0.30959999999999999</v>
      </c>
    </row>
    <row r="42" spans="1:18" x14ac:dyDescent="0.25">
      <c r="A42" s="7">
        <f>Sheet4!A21</f>
        <v>20</v>
      </c>
      <c r="B42" t="str">
        <f>Sheet4!B21</f>
        <v>APG</v>
      </c>
      <c r="C42" t="str">
        <f>Sheet4!C20</f>
        <v>Thủy sản Nam Việt</v>
      </c>
      <c r="D42" t="str">
        <f>Sheet4!D21</f>
        <v>HOSE</v>
      </c>
      <c r="E42" s="7">
        <f>Sheet4!AH21/1000000000</f>
        <v>995.11764189999997</v>
      </c>
      <c r="F42" t="str">
        <f>Sheet4!E21</f>
        <v>Tài chính</v>
      </c>
      <c r="G42" t="str">
        <f>Sheet4!F21</f>
        <v>Dịch vụ tài chính</v>
      </c>
      <c r="H42" t="str">
        <f>Sheet4!G21</f>
        <v>Môi giới chứng khoán</v>
      </c>
      <c r="I42" s="9" cm="1">
        <f t="array" ref="I4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59.792334165</v>
      </c>
      <c r="J42" s="9" cm="1">
        <f t="array" ref="J4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144.76698727799999</v>
      </c>
      <c r="K42" s="10" cm="1">
        <f t="array" ref="K4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-0.62929999999999997</v>
      </c>
      <c r="L42" s="10" cm="1">
        <f t="array" ref="L4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-0.22189999999999999</v>
      </c>
      <c r="M42" s="9" cm="1">
        <f t="array" ref="M42">_xlfn.LET(_xlpm.val,IFERROR(INDEX(Sheet4!$2:$1605,MATCH(ChiTietKQKD[[#This Row],[Mã CP]],Sheet4!$B$2:$B$1605,0),_xlfn.XMATCH("*Lợi nhuận sau thuế*Q2*2026*",Sheet4!$1:$1,2)),0),IF(OR(_xlpm.val="",_xlpm.val=0),"",_xlpm.val/1000000000))</f>
        <v>-3.1703439410000001</v>
      </c>
      <c r="N42" s="9" cm="1">
        <f t="array" ref="N42">_xlfn.LET(_xlpm.val,IFERROR(INDEX(Sheet4!$2:$1605,MATCH(ChiTietKQKD[[#This Row],[Mã CP]],Sheet4!$B$2:$B$1605,0),_xlfn.XMATCH("*Lợi nhuận sau thuế*6 tháng*2026*",Sheet4!$1:$1,2)),0),IF(OR(_xlpm.val="",_xlpm.val=0),"",_xlpm.val/1000000000))</f>
        <v>3.321029996</v>
      </c>
      <c r="O42" s="10" cm="1">
        <f t="array" ref="O42">IFERROR(INDEX(Sheet4!$2:$1605,MATCH(ChiTietKQKD[[#This Row],[Mã CP]],Sheet4!$B$2:$B$1605,0),_xlfn.XMATCH("*Tăng trưởng lợi nhuận sau thuế (YoY) (Quý*",Sheet4!$1:$1,2)),"")</f>
        <v>0.53600000000000003</v>
      </c>
      <c r="P42" s="10" cm="1">
        <f t="array" ref="P42">IFERROR(INDEX(Sheet4!$2:$1605,MATCH(ChiTietKQKD[[#This Row],[Mã CP]],Sheet4!$B$2:$B$1605,0),_xlfn.XMATCH("*Tăng trưởng lợi nhuận sau thuế (YoY) (6M)*",Sheet4!$1:$1,2)),"")</f>
        <v>0.67110000000000003</v>
      </c>
      <c r="Q42" s="10" cm="1">
        <f t="array" ref="Q42">IFERROR(INDEX(Sheet4!$2:$1605,MATCH(ChiTietKQKD[[#This Row],[Mã CP]],Sheet4!$B$2:$B$1605,0),_xlfn.XMATCH("*Tăng trưởng doanh thu thuần (QoQ)*",Sheet4!$1:$1,2)),"")</f>
        <v>-0.2964</v>
      </c>
      <c r="R42" s="10" cm="1">
        <f t="array" ref="R42">IFERROR(INDEX(Sheet4!$2:$1605,MATCH(ChiTietKQKD[[#This Row],[Mã CP]],Sheet4!$B$2:$B$1605,0),_xlfn.XMATCH("*Tăng trưởng lợi nhuận sau thuế (QoQ)*",Sheet4!$1:$1,2)),"")</f>
        <v>-1.4883999999999999</v>
      </c>
    </row>
    <row r="43" spans="1:18" x14ac:dyDescent="0.25">
      <c r="A43" s="7">
        <f>Sheet4!A22</f>
        <v>21</v>
      </c>
      <c r="B43" t="str">
        <f>Sheet4!B22</f>
        <v>APH</v>
      </c>
      <c r="C43" t="str">
        <f>Sheet4!C21</f>
        <v>Chứng khoán APG</v>
      </c>
      <c r="D43" t="str">
        <f>Sheet4!D22</f>
        <v>HOSE</v>
      </c>
      <c r="E43" s="7">
        <f>Sheet4!AH22/1000000000</f>
        <v>1295.02546308</v>
      </c>
      <c r="F43" t="str">
        <f>Sheet4!E22</f>
        <v>Công nghiệp</v>
      </c>
      <c r="G43" t="str">
        <f>Sheet4!F22</f>
        <v>Hàng &amp; Dịch vụ Công nghiệp</v>
      </c>
      <c r="H43" t="str">
        <f>Sheet4!G22</f>
        <v>Containers &amp; Đóng gói</v>
      </c>
      <c r="I43" s="9" t="str" cm="1">
        <f t="array" ref="I4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3" s="9" t="str" cm="1">
        <f t="array" ref="J4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3" s="10" cm="1">
        <f t="array" ref="K4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3" s="10" cm="1">
        <f t="array" ref="L4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3" s="9" t="str" cm="1">
        <f t="array" ref="M4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3" s="9" t="str" cm="1">
        <f t="array" ref="N4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3" s="10" cm="1">
        <f t="array" ref="O43">IFERROR(INDEX(Sheet4!$2:$1605,MATCH(ChiTietKQKD[[#This Row],[Mã CP]],Sheet4!$B$2:$B$1605,0),_xlfn.XMATCH("*Tăng trưởng lợi nhuận sau thuế (YoY) (Quý*",Sheet4!$1:$1,2)),"")</f>
        <v>0</v>
      </c>
      <c r="P43" s="10" cm="1">
        <f t="array" ref="P43">IFERROR(INDEX(Sheet4!$2:$1605,MATCH(ChiTietKQKD[[#This Row],[Mã CP]],Sheet4!$B$2:$B$1605,0),_xlfn.XMATCH("*Tăng trưởng lợi nhuận sau thuế (YoY) (6M)*",Sheet4!$1:$1,2)),"")</f>
        <v>0</v>
      </c>
      <c r="Q43" s="10" cm="1">
        <f t="array" ref="Q43">IFERROR(INDEX(Sheet4!$2:$1605,MATCH(ChiTietKQKD[[#This Row],[Mã CP]],Sheet4!$B$2:$B$1605,0),_xlfn.XMATCH("*Tăng trưởng doanh thu thuần (QoQ)*",Sheet4!$1:$1,2)),"")</f>
        <v>0</v>
      </c>
      <c r="R43" s="10" cm="1">
        <f t="array" ref="R43">IFERROR(INDEX(Sheet4!$2:$1605,MATCH(ChiTietKQKD[[#This Row],[Mã CP]],Sheet4!$B$2:$B$1605,0),_xlfn.XMATCH("*Tăng trưởng lợi nhuận sau thuế (QoQ)*",Sheet4!$1:$1,2)),"")</f>
        <v>0</v>
      </c>
    </row>
    <row r="44" spans="1:18" x14ac:dyDescent="0.25">
      <c r="A44" s="7">
        <f>Sheet4!A23</f>
        <v>22</v>
      </c>
      <c r="B44" t="str">
        <f>Sheet4!B23</f>
        <v>ASG</v>
      </c>
      <c r="C44" t="str">
        <f>Sheet4!C22</f>
        <v>Tập đoàn An Phát Holdings</v>
      </c>
      <c r="D44" t="str">
        <f>Sheet4!D23</f>
        <v>HOSE</v>
      </c>
      <c r="E44" s="7">
        <f>Sheet4!AH23/1000000000</f>
        <v>1525.1824392000001</v>
      </c>
      <c r="F44" t="str">
        <f>Sheet4!E23</f>
        <v>Công nghiệp</v>
      </c>
      <c r="G44" t="str">
        <f>Sheet4!F23</f>
        <v>Hàng &amp; Dịch vụ Công nghiệp</v>
      </c>
      <c r="H44" t="str">
        <f>Sheet4!G23</f>
        <v>Kho bãi, hậu cần và bảo dưỡng</v>
      </c>
      <c r="I44" s="9" t="str" cm="1">
        <f t="array" ref="I4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4" s="9" t="str" cm="1">
        <f t="array" ref="J4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4" s="10" cm="1">
        <f t="array" ref="K4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4" s="10" cm="1">
        <f t="array" ref="L4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4" s="9" t="str" cm="1">
        <f t="array" ref="M4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4" s="9" t="str" cm="1">
        <f t="array" ref="N4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4" s="10" cm="1">
        <f t="array" ref="O44">IFERROR(INDEX(Sheet4!$2:$1605,MATCH(ChiTietKQKD[[#This Row],[Mã CP]],Sheet4!$B$2:$B$1605,0),_xlfn.XMATCH("*Tăng trưởng lợi nhuận sau thuế (YoY) (Quý*",Sheet4!$1:$1,2)),"")</f>
        <v>0</v>
      </c>
      <c r="P44" s="10" cm="1">
        <f t="array" ref="P44">IFERROR(INDEX(Sheet4!$2:$1605,MATCH(ChiTietKQKD[[#This Row],[Mã CP]],Sheet4!$B$2:$B$1605,0),_xlfn.XMATCH("*Tăng trưởng lợi nhuận sau thuế (YoY) (6M)*",Sheet4!$1:$1,2)),"")</f>
        <v>0</v>
      </c>
      <c r="Q44" s="10" cm="1">
        <f t="array" ref="Q44">IFERROR(INDEX(Sheet4!$2:$1605,MATCH(ChiTietKQKD[[#This Row],[Mã CP]],Sheet4!$B$2:$B$1605,0),_xlfn.XMATCH("*Tăng trưởng doanh thu thuần (QoQ)*",Sheet4!$1:$1,2)),"")</f>
        <v>0</v>
      </c>
      <c r="R44" s="10" cm="1">
        <f t="array" ref="R44">IFERROR(INDEX(Sheet4!$2:$1605,MATCH(ChiTietKQKD[[#This Row],[Mã CP]],Sheet4!$B$2:$B$1605,0),_xlfn.XMATCH("*Tăng trưởng lợi nhuận sau thuế (QoQ)*",Sheet4!$1:$1,2)),"")</f>
        <v>0</v>
      </c>
    </row>
    <row r="45" spans="1:18" x14ac:dyDescent="0.25">
      <c r="A45" s="7">
        <f>Sheet4!A24</f>
        <v>23</v>
      </c>
      <c r="B45" t="str">
        <f>Sheet4!B24</f>
        <v>ASM</v>
      </c>
      <c r="C45" t="str">
        <f>Sheet4!C23</f>
        <v>Tập đoàn ASG</v>
      </c>
      <c r="D45" t="str">
        <f>Sheet4!D24</f>
        <v>HOSE</v>
      </c>
      <c r="E45" s="7">
        <f>Sheet4!AH24/1000000000</f>
        <v>2276.2154829699998</v>
      </c>
      <c r="F45" t="str">
        <f>Sheet4!E24</f>
        <v>Hàng Tiêu dùng</v>
      </c>
      <c r="G45" t="str">
        <f>Sheet4!F24</f>
        <v>Thực phẩm và đồ uống</v>
      </c>
      <c r="H45" t="str">
        <f>Sheet4!G24</f>
        <v>Nuôi trồng nông &amp; hải sản</v>
      </c>
      <c r="I45" s="9" t="str" cm="1">
        <f t="array" ref="I4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5" s="9" t="str" cm="1">
        <f t="array" ref="J4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5" s="10" cm="1">
        <f t="array" ref="K4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5" s="10" cm="1">
        <f t="array" ref="L4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5" s="9" t="str" cm="1">
        <f t="array" ref="M4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5" s="9" t="str" cm="1">
        <f t="array" ref="N4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5" s="10" cm="1">
        <f t="array" ref="O45">IFERROR(INDEX(Sheet4!$2:$1605,MATCH(ChiTietKQKD[[#This Row],[Mã CP]],Sheet4!$B$2:$B$1605,0),_xlfn.XMATCH("*Tăng trưởng lợi nhuận sau thuế (YoY) (Quý*",Sheet4!$1:$1,2)),"")</f>
        <v>0</v>
      </c>
      <c r="P45" s="10" cm="1">
        <f t="array" ref="P45">IFERROR(INDEX(Sheet4!$2:$1605,MATCH(ChiTietKQKD[[#This Row],[Mã CP]],Sheet4!$B$2:$B$1605,0),_xlfn.XMATCH("*Tăng trưởng lợi nhuận sau thuế (YoY) (6M)*",Sheet4!$1:$1,2)),"")</f>
        <v>0</v>
      </c>
      <c r="Q45" s="10" cm="1">
        <f t="array" ref="Q45">IFERROR(INDEX(Sheet4!$2:$1605,MATCH(ChiTietKQKD[[#This Row],[Mã CP]],Sheet4!$B$2:$B$1605,0),_xlfn.XMATCH("*Tăng trưởng doanh thu thuần (QoQ)*",Sheet4!$1:$1,2)),"")</f>
        <v>0</v>
      </c>
      <c r="R45" s="10" cm="1">
        <f t="array" ref="R45">IFERROR(INDEX(Sheet4!$2:$1605,MATCH(ChiTietKQKD[[#This Row],[Mã CP]],Sheet4!$B$2:$B$1605,0),_xlfn.XMATCH("*Tăng trưởng lợi nhuận sau thuế (QoQ)*",Sheet4!$1:$1,2)),"")</f>
        <v>0</v>
      </c>
    </row>
    <row r="46" spans="1:18" x14ac:dyDescent="0.25">
      <c r="A46" s="7">
        <f>Sheet4!A25</f>
        <v>24</v>
      </c>
      <c r="B46" t="str">
        <f>Sheet4!B25</f>
        <v>ASP</v>
      </c>
      <c r="C46" t="str">
        <f>Sheet4!C24</f>
        <v>Tập đoàn Sao Mai</v>
      </c>
      <c r="D46" t="str">
        <f>Sheet4!D25</f>
        <v>HOSE</v>
      </c>
      <c r="E46" s="7">
        <f>Sheet4!AH25/1000000000</f>
        <v>359.57978945999997</v>
      </c>
      <c r="F46" t="str">
        <f>Sheet4!E25</f>
        <v>Tiện ích Cộng đồng</v>
      </c>
      <c r="G46" t="str">
        <f>Sheet4!F25</f>
        <v>Điện, nước &amp; xăng dầu khí đốt</v>
      </c>
      <c r="H46" t="str">
        <f>Sheet4!G25</f>
        <v>Phân phối xăng dầu &amp; khí đốt</v>
      </c>
      <c r="I46" s="9" t="str" cm="1">
        <f t="array" ref="I4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6" s="9" t="str" cm="1">
        <f t="array" ref="J4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6" s="10" cm="1">
        <f t="array" ref="K4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6" s="10" cm="1">
        <f t="array" ref="L4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6" s="9" t="str" cm="1">
        <f t="array" ref="M4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6" s="9" t="str" cm="1">
        <f t="array" ref="N4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6" s="10" cm="1">
        <f t="array" ref="O46">IFERROR(INDEX(Sheet4!$2:$1605,MATCH(ChiTietKQKD[[#This Row],[Mã CP]],Sheet4!$B$2:$B$1605,0),_xlfn.XMATCH("*Tăng trưởng lợi nhuận sau thuế (YoY) (Quý*",Sheet4!$1:$1,2)),"")</f>
        <v>0</v>
      </c>
      <c r="P46" s="10" cm="1">
        <f t="array" ref="P46">IFERROR(INDEX(Sheet4!$2:$1605,MATCH(ChiTietKQKD[[#This Row],[Mã CP]],Sheet4!$B$2:$B$1605,0),_xlfn.XMATCH("*Tăng trưởng lợi nhuận sau thuế (YoY) (6M)*",Sheet4!$1:$1,2)),"")</f>
        <v>0</v>
      </c>
      <c r="Q46" s="10" cm="1">
        <f t="array" ref="Q46">IFERROR(INDEX(Sheet4!$2:$1605,MATCH(ChiTietKQKD[[#This Row],[Mã CP]],Sheet4!$B$2:$B$1605,0),_xlfn.XMATCH("*Tăng trưởng doanh thu thuần (QoQ)*",Sheet4!$1:$1,2)),"")</f>
        <v>0</v>
      </c>
      <c r="R46" s="10" cm="1">
        <f t="array" ref="R46">IFERROR(INDEX(Sheet4!$2:$1605,MATCH(ChiTietKQKD[[#This Row],[Mã CP]],Sheet4!$B$2:$B$1605,0),_xlfn.XMATCH("*Tăng trưởng lợi nhuận sau thuế (QoQ)*",Sheet4!$1:$1,2)),"")</f>
        <v>0</v>
      </c>
    </row>
    <row r="47" spans="1:18" x14ac:dyDescent="0.25">
      <c r="A47" s="7">
        <f>Sheet4!A26</f>
        <v>25</v>
      </c>
      <c r="B47" t="str">
        <f>Sheet4!B26</f>
        <v>AST</v>
      </c>
      <c r="C47" t="str">
        <f>Sheet4!C25</f>
        <v>Dầu khí An Pha</v>
      </c>
      <c r="D47" t="str">
        <f>Sheet4!D26</f>
        <v>HOSE</v>
      </c>
      <c r="E47" s="7">
        <f>Sheet4!AH26/1000000000</f>
        <v>3337.1956122000001</v>
      </c>
      <c r="F47" t="str">
        <f>Sheet4!E26</f>
        <v>Dịch vụ Tiêu dùng</v>
      </c>
      <c r="G47" t="str">
        <f>Sheet4!F26</f>
        <v>Bán lẻ</v>
      </c>
      <c r="H47" t="str">
        <f>Sheet4!G26</f>
        <v>Phân phối hàng chuyên dụng</v>
      </c>
      <c r="I47" s="9" t="str" cm="1">
        <f t="array" ref="I4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7" s="9" t="str" cm="1">
        <f t="array" ref="J4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7" s="10" cm="1">
        <f t="array" ref="K4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7" s="10" cm="1">
        <f t="array" ref="L4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7" s="9" t="str" cm="1">
        <f t="array" ref="M4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7" s="9" t="str" cm="1">
        <f t="array" ref="N4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7" s="10" cm="1">
        <f t="array" ref="O47">IFERROR(INDEX(Sheet4!$2:$1605,MATCH(ChiTietKQKD[[#This Row],[Mã CP]],Sheet4!$B$2:$B$1605,0),_xlfn.XMATCH("*Tăng trưởng lợi nhuận sau thuế (YoY) (Quý*",Sheet4!$1:$1,2)),"")</f>
        <v>0</v>
      </c>
      <c r="P47" s="10" cm="1">
        <f t="array" ref="P47">IFERROR(INDEX(Sheet4!$2:$1605,MATCH(ChiTietKQKD[[#This Row],[Mã CP]],Sheet4!$B$2:$B$1605,0),_xlfn.XMATCH("*Tăng trưởng lợi nhuận sau thuế (YoY) (6M)*",Sheet4!$1:$1,2)),"")</f>
        <v>0</v>
      </c>
      <c r="Q47" s="10" cm="1">
        <f t="array" ref="Q47">IFERROR(INDEX(Sheet4!$2:$1605,MATCH(ChiTietKQKD[[#This Row],[Mã CP]],Sheet4!$B$2:$B$1605,0),_xlfn.XMATCH("*Tăng trưởng doanh thu thuần (QoQ)*",Sheet4!$1:$1,2)),"")</f>
        <v>0</v>
      </c>
      <c r="R47" s="10" cm="1">
        <f t="array" ref="R47">IFERROR(INDEX(Sheet4!$2:$1605,MATCH(ChiTietKQKD[[#This Row],[Mã CP]],Sheet4!$B$2:$B$1605,0),_xlfn.XMATCH("*Tăng trưởng lợi nhuận sau thuế (QoQ)*",Sheet4!$1:$1,2)),"")</f>
        <v>0</v>
      </c>
    </row>
    <row r="48" spans="1:18" x14ac:dyDescent="0.25">
      <c r="A48" s="7">
        <f>Sheet4!A27</f>
        <v>26</v>
      </c>
      <c r="B48" t="str">
        <f>Sheet4!B27</f>
        <v>ATP</v>
      </c>
      <c r="C48" t="str">
        <f>Sheet4!C26</f>
        <v>Dịch vụ Hàng không Taseco</v>
      </c>
      <c r="D48" t="str">
        <f>Sheet4!D27</f>
        <v>HOSE</v>
      </c>
      <c r="E48" s="7">
        <f>Sheet4!AH27/1000000000</f>
        <v>0</v>
      </c>
      <c r="F48" t="str">
        <f>Sheet4!E27</f>
        <v>Hàng Tiêu dùng</v>
      </c>
      <c r="G48" t="str">
        <f>Sheet4!F27</f>
        <v>Thực phẩm và đồ uống</v>
      </c>
      <c r="H48" t="str">
        <f>Sheet4!G27</f>
        <v>Nuôi trồng nông &amp; hải sản</v>
      </c>
      <c r="I48" s="9" t="str" cm="1">
        <f t="array" ref="I4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8" s="9" t="str" cm="1">
        <f t="array" ref="J4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8" s="10" cm="1">
        <f t="array" ref="K4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8" s="10" cm="1">
        <f t="array" ref="L4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8" s="9" t="str" cm="1">
        <f t="array" ref="M4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8" s="9" t="str" cm="1">
        <f t="array" ref="N4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8" s="10" cm="1">
        <f t="array" ref="O48">IFERROR(INDEX(Sheet4!$2:$1605,MATCH(ChiTietKQKD[[#This Row],[Mã CP]],Sheet4!$B$2:$B$1605,0),_xlfn.XMATCH("*Tăng trưởng lợi nhuận sau thuế (YoY) (Quý*",Sheet4!$1:$1,2)),"")</f>
        <v>0</v>
      </c>
      <c r="P48" s="10" cm="1">
        <f t="array" ref="P48">IFERROR(INDEX(Sheet4!$2:$1605,MATCH(ChiTietKQKD[[#This Row],[Mã CP]],Sheet4!$B$2:$B$1605,0),_xlfn.XMATCH("*Tăng trưởng lợi nhuận sau thuế (YoY) (6M)*",Sheet4!$1:$1,2)),"")</f>
        <v>0</v>
      </c>
      <c r="Q48" s="10" cm="1">
        <f t="array" ref="Q48">IFERROR(INDEX(Sheet4!$2:$1605,MATCH(ChiTietKQKD[[#This Row],[Mã CP]],Sheet4!$B$2:$B$1605,0),_xlfn.XMATCH("*Tăng trưởng doanh thu thuần (QoQ)*",Sheet4!$1:$1,2)),"")</f>
        <v>0</v>
      </c>
      <c r="R48" s="10" cm="1">
        <f t="array" ref="R48">IFERROR(INDEX(Sheet4!$2:$1605,MATCH(ChiTietKQKD[[#This Row],[Mã CP]],Sheet4!$B$2:$B$1605,0),_xlfn.XMATCH("*Tăng trưởng lợi nhuận sau thuế (QoQ)*",Sheet4!$1:$1,2)),"")</f>
        <v>0</v>
      </c>
    </row>
    <row r="49" spans="1:18" x14ac:dyDescent="0.25">
      <c r="A49" s="7">
        <f>Sheet4!A28</f>
        <v>27</v>
      </c>
      <c r="B49" t="str">
        <f>Sheet4!B28</f>
        <v>BAF</v>
      </c>
      <c r="C49" t="str">
        <f>Sheet4!C27</f>
        <v>T.Mại và DV An Thành</v>
      </c>
      <c r="D49" t="str">
        <f>Sheet4!D28</f>
        <v>HOSE</v>
      </c>
      <c r="E49" s="7">
        <f>Sheet4!AH28/1000000000</f>
        <v>10579.922274</v>
      </c>
      <c r="F49" t="str">
        <f>Sheet4!E28</f>
        <v>Hàng Tiêu dùng</v>
      </c>
      <c r="G49" t="str">
        <f>Sheet4!F28</f>
        <v>Thực phẩm và đồ uống</v>
      </c>
      <c r="H49" t="str">
        <f>Sheet4!G28</f>
        <v>Nuôi trồng nông &amp; hải sản</v>
      </c>
      <c r="I49" s="9" t="str" cm="1">
        <f t="array" ref="I4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9" s="9" t="str" cm="1">
        <f t="array" ref="J4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9" s="10" cm="1">
        <f t="array" ref="K4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9" s="10" cm="1">
        <f t="array" ref="L4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9" s="9" t="str" cm="1">
        <f t="array" ref="M4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9" s="9" t="str" cm="1">
        <f t="array" ref="N4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9" s="10" cm="1">
        <f t="array" ref="O49">IFERROR(INDEX(Sheet4!$2:$1605,MATCH(ChiTietKQKD[[#This Row],[Mã CP]],Sheet4!$B$2:$B$1605,0),_xlfn.XMATCH("*Tăng trưởng lợi nhuận sau thuế (YoY) (Quý*",Sheet4!$1:$1,2)),"")</f>
        <v>0</v>
      </c>
      <c r="P49" s="10" cm="1">
        <f t="array" ref="P49">IFERROR(INDEX(Sheet4!$2:$1605,MATCH(ChiTietKQKD[[#This Row],[Mã CP]],Sheet4!$B$2:$B$1605,0),_xlfn.XMATCH("*Tăng trưởng lợi nhuận sau thuế (YoY) (6M)*",Sheet4!$1:$1,2)),"")</f>
        <v>0</v>
      </c>
      <c r="Q49" s="10" cm="1">
        <f t="array" ref="Q49">IFERROR(INDEX(Sheet4!$2:$1605,MATCH(ChiTietKQKD[[#This Row],[Mã CP]],Sheet4!$B$2:$B$1605,0),_xlfn.XMATCH("*Tăng trưởng doanh thu thuần (QoQ)*",Sheet4!$1:$1,2)),"")</f>
        <v>0</v>
      </c>
      <c r="R49" s="10" cm="1">
        <f t="array" ref="R49">IFERROR(INDEX(Sheet4!$2:$1605,MATCH(ChiTietKQKD[[#This Row],[Mã CP]],Sheet4!$B$2:$B$1605,0),_xlfn.XMATCH("*Tăng trưởng lợi nhuận sau thuế (QoQ)*",Sheet4!$1:$1,2)),"")</f>
        <v>0</v>
      </c>
    </row>
    <row r="50" spans="1:18" x14ac:dyDescent="0.25">
      <c r="A50" s="7">
        <f>Sheet4!A29</f>
        <v>28</v>
      </c>
      <c r="B50" t="str">
        <f>Sheet4!B29</f>
        <v>BCE</v>
      </c>
      <c r="C50" t="str">
        <f>Sheet4!C28</f>
        <v>Nông nghiệp BAF Việt Nam</v>
      </c>
      <c r="D50" t="str">
        <f>Sheet4!D29</f>
        <v>HOSE</v>
      </c>
      <c r="E50" s="7">
        <f>Sheet4!AH29/1000000000</f>
        <v>235.1991376</v>
      </c>
      <c r="F50" t="str">
        <f>Sheet4!E29</f>
        <v>Công nghiệp</v>
      </c>
      <c r="G50" t="str">
        <f>Sheet4!F29</f>
        <v>Xây dựng và Vật liệu</v>
      </c>
      <c r="H50" t="str">
        <f>Sheet4!G29</f>
        <v>Xây dựng</v>
      </c>
      <c r="I50" s="9" t="str" cm="1">
        <f t="array" ref="I5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0" s="9" t="str" cm="1">
        <f t="array" ref="J5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0" s="10" cm="1">
        <f t="array" ref="K5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0" s="10" cm="1">
        <f t="array" ref="L5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0" s="9" t="str" cm="1">
        <f t="array" ref="M5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0" s="9" t="str" cm="1">
        <f t="array" ref="N5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0" s="10" cm="1">
        <f t="array" ref="O50">IFERROR(INDEX(Sheet4!$2:$1605,MATCH(ChiTietKQKD[[#This Row],[Mã CP]],Sheet4!$B$2:$B$1605,0),_xlfn.XMATCH("*Tăng trưởng lợi nhuận sau thuế (YoY) (Quý*",Sheet4!$1:$1,2)),"")</f>
        <v>0</v>
      </c>
      <c r="P50" s="10" cm="1">
        <f t="array" ref="P50">IFERROR(INDEX(Sheet4!$2:$1605,MATCH(ChiTietKQKD[[#This Row],[Mã CP]],Sheet4!$B$2:$B$1605,0),_xlfn.XMATCH("*Tăng trưởng lợi nhuận sau thuế (YoY) (6M)*",Sheet4!$1:$1,2)),"")</f>
        <v>0</v>
      </c>
      <c r="Q50" s="10" cm="1">
        <f t="array" ref="Q50">IFERROR(INDEX(Sheet4!$2:$1605,MATCH(ChiTietKQKD[[#This Row],[Mã CP]],Sheet4!$B$2:$B$1605,0),_xlfn.XMATCH("*Tăng trưởng doanh thu thuần (QoQ)*",Sheet4!$1:$1,2)),"")</f>
        <v>0</v>
      </c>
      <c r="R50" s="10" cm="1">
        <f t="array" ref="R50">IFERROR(INDEX(Sheet4!$2:$1605,MATCH(ChiTietKQKD[[#This Row],[Mã CP]],Sheet4!$B$2:$B$1605,0),_xlfn.XMATCH("*Tăng trưởng lợi nhuận sau thuế (QoQ)*",Sheet4!$1:$1,2)),"")</f>
        <v>0</v>
      </c>
    </row>
    <row r="51" spans="1:18" x14ac:dyDescent="0.25">
      <c r="A51" s="7">
        <f>Sheet4!A30</f>
        <v>29</v>
      </c>
      <c r="B51" t="str">
        <f>Sheet4!B30</f>
        <v>BCM</v>
      </c>
      <c r="C51" t="str">
        <f>Sheet4!C29</f>
        <v>XD và GT Bình Dương</v>
      </c>
      <c r="D51" t="str">
        <f>Sheet4!D30</f>
        <v>HOSE</v>
      </c>
      <c r="E51" s="7">
        <f>Sheet4!AH30/1000000000</f>
        <v>39226.5</v>
      </c>
      <c r="F51" t="str">
        <f>Sheet4!E30</f>
        <v>Tài chính</v>
      </c>
      <c r="G51" t="str">
        <f>Sheet4!F30</f>
        <v>Bất động sản</v>
      </c>
      <c r="H51" t="str">
        <f>Sheet4!G30</f>
        <v>Bất động sản</v>
      </c>
      <c r="I51" s="9" t="str" cm="1">
        <f t="array" ref="I5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1" s="9" t="str" cm="1">
        <f t="array" ref="J5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1" s="10" cm="1">
        <f t="array" ref="K5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1" s="10" cm="1">
        <f t="array" ref="L5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1" s="9" t="str" cm="1">
        <f t="array" ref="M5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1" s="9" t="str" cm="1">
        <f t="array" ref="N5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1" s="10" cm="1">
        <f t="array" ref="O51">IFERROR(INDEX(Sheet4!$2:$1605,MATCH(ChiTietKQKD[[#This Row],[Mã CP]],Sheet4!$B$2:$B$1605,0),_xlfn.XMATCH("*Tăng trưởng lợi nhuận sau thuế (YoY) (Quý*",Sheet4!$1:$1,2)),"")</f>
        <v>0</v>
      </c>
      <c r="P51" s="10" cm="1">
        <f t="array" ref="P51">IFERROR(INDEX(Sheet4!$2:$1605,MATCH(ChiTietKQKD[[#This Row],[Mã CP]],Sheet4!$B$2:$B$1605,0),_xlfn.XMATCH("*Tăng trưởng lợi nhuận sau thuế (YoY) (6M)*",Sheet4!$1:$1,2)),"")</f>
        <v>0</v>
      </c>
      <c r="Q51" s="10" cm="1">
        <f t="array" ref="Q51">IFERROR(INDEX(Sheet4!$2:$1605,MATCH(ChiTietKQKD[[#This Row],[Mã CP]],Sheet4!$B$2:$B$1605,0),_xlfn.XMATCH("*Tăng trưởng doanh thu thuần (QoQ)*",Sheet4!$1:$1,2)),"")</f>
        <v>0</v>
      </c>
      <c r="R51" s="10" cm="1">
        <f t="array" ref="R51">IFERROR(INDEX(Sheet4!$2:$1605,MATCH(ChiTietKQKD[[#This Row],[Mã CP]],Sheet4!$B$2:$B$1605,0),_xlfn.XMATCH("*Tăng trưởng lợi nhuận sau thuế (QoQ)*",Sheet4!$1:$1,2)),"")</f>
        <v>0</v>
      </c>
    </row>
    <row r="52" spans="1:18" x14ac:dyDescent="0.25">
      <c r="A52" s="7">
        <f>Sheet4!A31</f>
        <v>30</v>
      </c>
      <c r="B52" t="str">
        <f>Sheet4!B31</f>
        <v>BFC</v>
      </c>
      <c r="C52" t="str">
        <f>Sheet4!C30</f>
        <v>Becamex Group</v>
      </c>
      <c r="D52" t="str">
        <f>Sheet4!D31</f>
        <v>HOSE</v>
      </c>
      <c r="E52" s="7">
        <f>Sheet4!AH31/1000000000</f>
        <v>3018.4700303999998</v>
      </c>
      <c r="F52" t="str">
        <f>Sheet4!E31</f>
        <v>Nguyên vật liệu</v>
      </c>
      <c r="G52" t="str">
        <f>Sheet4!F31</f>
        <v>Hóa chất</v>
      </c>
      <c r="H52" t="str">
        <f>Sheet4!G31</f>
        <v>Sản phẩm hóa dầu, Nông dược &amp; Hóa chất khác</v>
      </c>
      <c r="I52" s="9" t="str" cm="1">
        <f t="array" ref="I5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2" s="9" t="str" cm="1">
        <f t="array" ref="J5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2" s="10" cm="1">
        <f t="array" ref="K5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2" s="10" cm="1">
        <f t="array" ref="L5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2" s="9" t="str" cm="1">
        <f t="array" ref="M5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2" s="9" t="str" cm="1">
        <f t="array" ref="N5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2" s="10" cm="1">
        <f t="array" ref="O52">IFERROR(INDEX(Sheet4!$2:$1605,MATCH(ChiTietKQKD[[#This Row],[Mã CP]],Sheet4!$B$2:$B$1605,0),_xlfn.XMATCH("*Tăng trưởng lợi nhuận sau thuế (YoY) (Quý*",Sheet4!$1:$1,2)),"")</f>
        <v>0</v>
      </c>
      <c r="P52" s="10" cm="1">
        <f t="array" ref="P52">IFERROR(INDEX(Sheet4!$2:$1605,MATCH(ChiTietKQKD[[#This Row],[Mã CP]],Sheet4!$B$2:$B$1605,0),_xlfn.XMATCH("*Tăng trưởng lợi nhuận sau thuế (YoY) (6M)*",Sheet4!$1:$1,2)),"")</f>
        <v>0</v>
      </c>
      <c r="Q52" s="10" cm="1">
        <f t="array" ref="Q52">IFERROR(INDEX(Sheet4!$2:$1605,MATCH(ChiTietKQKD[[#This Row],[Mã CP]],Sheet4!$B$2:$B$1605,0),_xlfn.XMATCH("*Tăng trưởng doanh thu thuần (QoQ)*",Sheet4!$1:$1,2)),"")</f>
        <v>0</v>
      </c>
      <c r="R52" s="10" cm="1">
        <f t="array" ref="R52">IFERROR(INDEX(Sheet4!$2:$1605,MATCH(ChiTietKQKD[[#This Row],[Mã CP]],Sheet4!$B$2:$B$1605,0),_xlfn.XMATCH("*Tăng trưởng lợi nhuận sau thuế (QoQ)*",Sheet4!$1:$1,2)),"")</f>
        <v>0</v>
      </c>
    </row>
    <row r="53" spans="1:18" x14ac:dyDescent="0.25">
      <c r="A53" s="7">
        <f>Sheet4!A32</f>
        <v>31</v>
      </c>
      <c r="B53" t="str">
        <f>Sheet4!B32</f>
        <v>BHN</v>
      </c>
      <c r="C53" t="str">
        <f>Sheet4!C31</f>
        <v>Phân bón Bình Điền</v>
      </c>
      <c r="D53" t="str">
        <f>Sheet4!D32</f>
        <v>HOSE</v>
      </c>
      <c r="E53" s="7">
        <f>Sheet4!AH32/1000000000</f>
        <v>6919.23</v>
      </c>
      <c r="F53" t="str">
        <f>Sheet4!E32</f>
        <v>Hàng Tiêu dùng</v>
      </c>
      <c r="G53" t="str">
        <f>Sheet4!F32</f>
        <v>Thực phẩm và đồ uống</v>
      </c>
      <c r="H53" t="str">
        <f>Sheet4!G32</f>
        <v>Sản xuất bia</v>
      </c>
      <c r="I53" s="9" t="str" cm="1">
        <f t="array" ref="I5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3" s="9" t="str" cm="1">
        <f t="array" ref="J5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3" s="10" cm="1">
        <f t="array" ref="K5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3" s="10" cm="1">
        <f t="array" ref="L5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3" s="9" t="str" cm="1">
        <f t="array" ref="M5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3" s="9" t="str" cm="1">
        <f t="array" ref="N5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3" s="10" cm="1">
        <f t="array" ref="O53">IFERROR(INDEX(Sheet4!$2:$1605,MATCH(ChiTietKQKD[[#This Row],[Mã CP]],Sheet4!$B$2:$B$1605,0),_xlfn.XMATCH("*Tăng trưởng lợi nhuận sau thuế (YoY) (Quý*",Sheet4!$1:$1,2)),"")</f>
        <v>0</v>
      </c>
      <c r="P53" s="10" cm="1">
        <f t="array" ref="P53">IFERROR(INDEX(Sheet4!$2:$1605,MATCH(ChiTietKQKD[[#This Row],[Mã CP]],Sheet4!$B$2:$B$1605,0),_xlfn.XMATCH("*Tăng trưởng lợi nhuận sau thuế (YoY) (6M)*",Sheet4!$1:$1,2)),"")</f>
        <v>0</v>
      </c>
      <c r="Q53" s="10" cm="1">
        <f t="array" ref="Q53">IFERROR(INDEX(Sheet4!$2:$1605,MATCH(ChiTietKQKD[[#This Row],[Mã CP]],Sheet4!$B$2:$B$1605,0),_xlfn.XMATCH("*Tăng trưởng doanh thu thuần (QoQ)*",Sheet4!$1:$1,2)),"")</f>
        <v>0</v>
      </c>
      <c r="R53" s="10" cm="1">
        <f t="array" ref="R53">IFERROR(INDEX(Sheet4!$2:$1605,MATCH(ChiTietKQKD[[#This Row],[Mã CP]],Sheet4!$B$2:$B$1605,0),_xlfn.XMATCH("*Tăng trưởng lợi nhuận sau thuế (QoQ)*",Sheet4!$1:$1,2)),"")</f>
        <v>0</v>
      </c>
    </row>
    <row r="54" spans="1:18" x14ac:dyDescent="0.25">
      <c r="A54" s="7">
        <f>Sheet4!A33</f>
        <v>32</v>
      </c>
      <c r="B54" t="str">
        <f>Sheet4!B33</f>
        <v>BIC</v>
      </c>
      <c r="C54" t="str">
        <f>Sheet4!C32</f>
        <v>HABECO</v>
      </c>
      <c r="D54" t="str">
        <f>Sheet4!D33</f>
        <v>HOSE</v>
      </c>
      <c r="E54" s="7">
        <f>Sheet4!AH33/1000000000</f>
        <v>4324.2350198000004</v>
      </c>
      <c r="F54" t="str">
        <f>Sheet4!E33</f>
        <v>Tài chính</v>
      </c>
      <c r="G54" t="str">
        <f>Sheet4!F33</f>
        <v>Bảo hiểm</v>
      </c>
      <c r="H54" t="str">
        <f>Sheet4!G33</f>
        <v>Bảo hiểm phi nhân thọ</v>
      </c>
      <c r="I54" s="9" t="str" cm="1">
        <f t="array" ref="I5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4" s="9" t="str" cm="1">
        <f t="array" ref="J5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4" s="10" cm="1">
        <f t="array" ref="K5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4" s="10" cm="1">
        <f t="array" ref="L5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4" s="9" t="str" cm="1">
        <f t="array" ref="M5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4" s="9" t="str" cm="1">
        <f t="array" ref="N5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4" s="10" cm="1">
        <f t="array" ref="O54">IFERROR(INDEX(Sheet4!$2:$1605,MATCH(ChiTietKQKD[[#This Row],[Mã CP]],Sheet4!$B$2:$B$1605,0),_xlfn.XMATCH("*Tăng trưởng lợi nhuận sau thuế (YoY) (Quý*",Sheet4!$1:$1,2)),"")</f>
        <v>0</v>
      </c>
      <c r="P54" s="10" cm="1">
        <f t="array" ref="P54">IFERROR(INDEX(Sheet4!$2:$1605,MATCH(ChiTietKQKD[[#This Row],[Mã CP]],Sheet4!$B$2:$B$1605,0),_xlfn.XMATCH("*Tăng trưởng lợi nhuận sau thuế (YoY) (6M)*",Sheet4!$1:$1,2)),"")</f>
        <v>0</v>
      </c>
      <c r="Q54" s="10" cm="1">
        <f t="array" ref="Q54">IFERROR(INDEX(Sheet4!$2:$1605,MATCH(ChiTietKQKD[[#This Row],[Mã CP]],Sheet4!$B$2:$B$1605,0),_xlfn.XMATCH("*Tăng trưởng doanh thu thuần (QoQ)*",Sheet4!$1:$1,2)),"")</f>
        <v>0</v>
      </c>
      <c r="R54" s="10" cm="1">
        <f t="array" ref="R54">IFERROR(INDEX(Sheet4!$2:$1605,MATCH(ChiTietKQKD[[#This Row],[Mã CP]],Sheet4!$B$2:$B$1605,0),_xlfn.XMATCH("*Tăng trưởng lợi nhuận sau thuế (QoQ)*",Sheet4!$1:$1,2)),"")</f>
        <v>0</v>
      </c>
    </row>
    <row r="55" spans="1:18" x14ac:dyDescent="0.25">
      <c r="A55" s="7">
        <f>Sheet4!A34</f>
        <v>33</v>
      </c>
      <c r="B55" t="str">
        <f>Sheet4!B34</f>
        <v>BID</v>
      </c>
      <c r="C55" t="str">
        <f>Sheet4!C33</f>
        <v>Bảo hiểm BIDV</v>
      </c>
      <c r="D55" t="str">
        <f>Sheet4!D34</f>
        <v>HOSE</v>
      </c>
      <c r="E55" s="7">
        <f>Sheet4!AH34/1000000000</f>
        <v>260990.33777849999</v>
      </c>
      <c r="F55" t="str">
        <f>Sheet4!E34</f>
        <v>Ngân hàng</v>
      </c>
      <c r="G55" t="str">
        <f>Sheet4!F34</f>
        <v>Ngân hàng</v>
      </c>
      <c r="H55" t="str">
        <f>Sheet4!G34</f>
        <v>Ngân hàng</v>
      </c>
      <c r="I55" s="9" t="str" cm="1">
        <f t="array" ref="I5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5" s="9" t="str" cm="1">
        <f t="array" ref="J5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5" s="10" t="str" cm="1">
        <f t="array" ref="K5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55" s="10" t="str" cm="1">
        <f t="array" ref="L5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55" s="9" t="str" cm="1">
        <f t="array" ref="M5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5" s="9" t="str" cm="1">
        <f t="array" ref="N5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5" s="10" cm="1">
        <f t="array" ref="O55">IFERROR(INDEX(Sheet4!$2:$1605,MATCH(ChiTietKQKD[[#This Row],[Mã CP]],Sheet4!$B$2:$B$1605,0),_xlfn.XMATCH("*Tăng trưởng lợi nhuận sau thuế (YoY) (Quý*",Sheet4!$1:$1,2)),"")</f>
        <v>0</v>
      </c>
      <c r="P55" s="10" cm="1">
        <f t="array" ref="P55">IFERROR(INDEX(Sheet4!$2:$1605,MATCH(ChiTietKQKD[[#This Row],[Mã CP]],Sheet4!$B$2:$B$1605,0),_xlfn.XMATCH("*Tăng trưởng lợi nhuận sau thuế (YoY) (6M)*",Sheet4!$1:$1,2)),"")</f>
        <v>0</v>
      </c>
      <c r="Q55" s="10" cm="1">
        <f t="array" ref="Q55">IFERROR(INDEX(Sheet4!$2:$1605,MATCH(ChiTietKQKD[[#This Row],[Mã CP]],Sheet4!$B$2:$B$1605,0),_xlfn.XMATCH("*Tăng trưởng doanh thu thuần (QoQ)*",Sheet4!$1:$1,2)),"")</f>
        <v>0</v>
      </c>
      <c r="R55" s="10" cm="1">
        <f t="array" ref="R55">IFERROR(INDEX(Sheet4!$2:$1605,MATCH(ChiTietKQKD[[#This Row],[Mã CP]],Sheet4!$B$2:$B$1605,0),_xlfn.XMATCH("*Tăng trưởng lợi nhuận sau thuế (QoQ)*",Sheet4!$1:$1,2)),"")</f>
        <v>0</v>
      </c>
    </row>
    <row r="56" spans="1:18" x14ac:dyDescent="0.25">
      <c r="A56" s="7">
        <f>Sheet4!A35</f>
        <v>34</v>
      </c>
      <c r="B56" t="str">
        <f>Sheet4!B35</f>
        <v>BKG</v>
      </c>
      <c r="C56" t="str">
        <f>Sheet4!C34</f>
        <v>BIDV</v>
      </c>
      <c r="D56" t="str">
        <f>Sheet4!D35</f>
        <v>HOSE</v>
      </c>
      <c r="E56" s="7">
        <f>Sheet4!AH35/1000000000</f>
        <v>156.82375379999999</v>
      </c>
      <c r="F56" t="str">
        <f>Sheet4!E35</f>
        <v>Hàng Tiêu dùng</v>
      </c>
      <c r="G56" t="str">
        <f>Sheet4!F35</f>
        <v>Hàng cá nhân &amp; Gia dụng</v>
      </c>
      <c r="H56" t="str">
        <f>Sheet4!G35</f>
        <v>Thiết bị gia dụng</v>
      </c>
      <c r="I56" s="9" t="str" cm="1">
        <f t="array" ref="I5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6" s="9" t="str" cm="1">
        <f t="array" ref="J5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6" s="10" cm="1">
        <f t="array" ref="K5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6" s="10" cm="1">
        <f t="array" ref="L5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6" s="9" t="str" cm="1">
        <f t="array" ref="M5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6" s="9" t="str" cm="1">
        <f t="array" ref="N5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6" s="10" cm="1">
        <f t="array" ref="O56">IFERROR(INDEX(Sheet4!$2:$1605,MATCH(ChiTietKQKD[[#This Row],[Mã CP]],Sheet4!$B$2:$B$1605,0),_xlfn.XMATCH("*Tăng trưởng lợi nhuận sau thuế (YoY) (Quý*",Sheet4!$1:$1,2)),"")</f>
        <v>0</v>
      </c>
      <c r="P56" s="10" cm="1">
        <f t="array" ref="P56">IFERROR(INDEX(Sheet4!$2:$1605,MATCH(ChiTietKQKD[[#This Row],[Mã CP]],Sheet4!$B$2:$B$1605,0),_xlfn.XMATCH("*Tăng trưởng lợi nhuận sau thuế (YoY) (6M)*",Sheet4!$1:$1,2)),"")</f>
        <v>0</v>
      </c>
      <c r="Q56" s="10" cm="1">
        <f t="array" ref="Q56">IFERROR(INDEX(Sheet4!$2:$1605,MATCH(ChiTietKQKD[[#This Row],[Mã CP]],Sheet4!$B$2:$B$1605,0),_xlfn.XMATCH("*Tăng trưởng doanh thu thuần (QoQ)*",Sheet4!$1:$1,2)),"")</f>
        <v>0</v>
      </c>
      <c r="R56" s="10" cm="1">
        <f t="array" ref="R56">IFERROR(INDEX(Sheet4!$2:$1605,MATCH(ChiTietKQKD[[#This Row],[Mã CP]],Sheet4!$B$2:$B$1605,0),_xlfn.XMATCH("*Tăng trưởng lợi nhuận sau thuế (QoQ)*",Sheet4!$1:$1,2)),"")</f>
        <v>0</v>
      </c>
    </row>
    <row r="57" spans="1:18" x14ac:dyDescent="0.25">
      <c r="A57" s="7">
        <f>Sheet4!A36</f>
        <v>35</v>
      </c>
      <c r="B57" t="str">
        <f>Sheet4!B36</f>
        <v>BMC</v>
      </c>
      <c r="C57" t="str">
        <f>Sheet4!C35</f>
        <v>Đầu tư BKG Việt Nam</v>
      </c>
      <c r="D57" t="str">
        <f>Sheet4!D36</f>
        <v>HOSE</v>
      </c>
      <c r="E57" s="7">
        <f>Sheet4!AH36/1000000000</f>
        <v>143.75450799999999</v>
      </c>
      <c r="F57" t="str">
        <f>Sheet4!E36</f>
        <v>Nguyên vật liệu</v>
      </c>
      <c r="G57" t="str">
        <f>Sheet4!F36</f>
        <v>Tài nguyên Cơ bản</v>
      </c>
      <c r="H57" t="str">
        <f>Sheet4!G36</f>
        <v>Khai khoáng</v>
      </c>
      <c r="I57" s="9" cm="1">
        <f t="array" ref="I5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21.535499033000001</v>
      </c>
      <c r="J57" s="9" cm="1">
        <f t="array" ref="J5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45.144054285000003</v>
      </c>
      <c r="K57" s="10" cm="1">
        <f t="array" ref="K5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-0.44729999999999998</v>
      </c>
      <c r="L57" s="10" cm="1">
        <f t="array" ref="L5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-0.10780000000000001</v>
      </c>
      <c r="M57" s="9" cm="1">
        <f t="array" ref="M57">_xlfn.LET(_xlpm.val,IFERROR(INDEX(Sheet4!$2:$1605,MATCH(ChiTietKQKD[[#This Row],[Mã CP]],Sheet4!$B$2:$B$1605,0),_xlfn.XMATCH("*Lợi nhuận sau thuế*Q2*2026*",Sheet4!$1:$1,2)),0),IF(OR(_xlpm.val="",_xlpm.val=0),"",_xlpm.val/1000000000))</f>
        <v>0.69332621999999999</v>
      </c>
      <c r="N57" s="9" cm="1">
        <f t="array" ref="N57">_xlfn.LET(_xlpm.val,IFERROR(INDEX(Sheet4!$2:$1605,MATCH(ChiTietKQKD[[#This Row],[Mã CP]],Sheet4!$B$2:$B$1605,0),_xlfn.XMATCH("*Lợi nhuận sau thuế*6 tháng*2026*",Sheet4!$1:$1,2)),0),IF(OR(_xlpm.val="",_xlpm.val=0),"",_xlpm.val/1000000000))</f>
        <v>2.1753047479999998</v>
      </c>
      <c r="O57" s="10" cm="1">
        <f t="array" ref="O57">IFERROR(INDEX(Sheet4!$2:$1605,MATCH(ChiTietKQKD[[#This Row],[Mã CP]],Sheet4!$B$2:$B$1605,0),_xlfn.XMATCH("*Tăng trưởng lợi nhuận sau thuế (YoY) (Quý*",Sheet4!$1:$1,2)),"")</f>
        <v>-0.81630000000000003</v>
      </c>
      <c r="P57" s="10" cm="1">
        <f t="array" ref="P57">IFERROR(INDEX(Sheet4!$2:$1605,MATCH(ChiTietKQKD[[#This Row],[Mã CP]],Sheet4!$B$2:$B$1605,0),_xlfn.XMATCH("*Tăng trưởng lợi nhuận sau thuế (YoY) (6M)*",Sheet4!$1:$1,2)),"")</f>
        <v>-0.53439999999999999</v>
      </c>
      <c r="Q57" s="10" cm="1">
        <f t="array" ref="Q57">IFERROR(INDEX(Sheet4!$2:$1605,MATCH(ChiTietKQKD[[#This Row],[Mã CP]],Sheet4!$B$2:$B$1605,0),_xlfn.XMATCH("*Tăng trưởng doanh thu thuần (QoQ)*",Sheet4!$1:$1,2)),"")</f>
        <v>-8.7800000000000003E-2</v>
      </c>
      <c r="R57" s="10" cm="1">
        <f t="array" ref="R57">IFERROR(INDEX(Sheet4!$2:$1605,MATCH(ChiTietKQKD[[#This Row],[Mã CP]],Sheet4!$B$2:$B$1605,0),_xlfn.XMATCH("*Tăng trưởng lợi nhuận sau thuế (QoQ)*",Sheet4!$1:$1,2)),"")</f>
        <v>-0.53220000000000001</v>
      </c>
    </row>
    <row r="58" spans="1:18" x14ac:dyDescent="0.25">
      <c r="A58" s="7">
        <f>Sheet4!A37</f>
        <v>36</v>
      </c>
      <c r="B58" t="str">
        <f>Sheet4!B37</f>
        <v>BMI</v>
      </c>
      <c r="C58" t="str">
        <f>Sheet4!C36</f>
        <v>Khoáng sản Bình Định</v>
      </c>
      <c r="D58" t="str">
        <f>Sheet4!D37</f>
        <v>HOSE</v>
      </c>
      <c r="E58" s="7">
        <f>Sheet4!AH37/1000000000</f>
        <v>2002.2834258</v>
      </c>
      <c r="F58" t="str">
        <f>Sheet4!E37</f>
        <v>Tài chính</v>
      </c>
      <c r="G58" t="str">
        <f>Sheet4!F37</f>
        <v>Bảo hiểm</v>
      </c>
      <c r="H58" t="str">
        <f>Sheet4!G37</f>
        <v>Bảo hiểm phi nhân thọ</v>
      </c>
      <c r="I58" s="9" t="str" cm="1">
        <f t="array" ref="I5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8" s="9" t="str" cm="1">
        <f t="array" ref="J5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8" s="10" cm="1">
        <f t="array" ref="K5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8" s="10" cm="1">
        <f t="array" ref="L5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8" s="9" t="str" cm="1">
        <f t="array" ref="M5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8" s="9" t="str" cm="1">
        <f t="array" ref="N5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8" s="10" cm="1">
        <f t="array" ref="O58">IFERROR(INDEX(Sheet4!$2:$1605,MATCH(ChiTietKQKD[[#This Row],[Mã CP]],Sheet4!$B$2:$B$1605,0),_xlfn.XMATCH("*Tăng trưởng lợi nhuận sau thuế (YoY) (Quý*",Sheet4!$1:$1,2)),"")</f>
        <v>0</v>
      </c>
      <c r="P58" s="10" cm="1">
        <f t="array" ref="P58">IFERROR(INDEX(Sheet4!$2:$1605,MATCH(ChiTietKQKD[[#This Row],[Mã CP]],Sheet4!$B$2:$B$1605,0),_xlfn.XMATCH("*Tăng trưởng lợi nhuận sau thuế (YoY) (6M)*",Sheet4!$1:$1,2)),"")</f>
        <v>0</v>
      </c>
      <c r="Q58" s="10" cm="1">
        <f t="array" ref="Q58">IFERROR(INDEX(Sheet4!$2:$1605,MATCH(ChiTietKQKD[[#This Row],[Mã CP]],Sheet4!$B$2:$B$1605,0),_xlfn.XMATCH("*Tăng trưởng doanh thu thuần (QoQ)*",Sheet4!$1:$1,2)),"")</f>
        <v>0</v>
      </c>
      <c r="R58" s="10" cm="1">
        <f t="array" ref="R58">IFERROR(INDEX(Sheet4!$2:$1605,MATCH(ChiTietKQKD[[#This Row],[Mã CP]],Sheet4!$B$2:$B$1605,0),_xlfn.XMATCH("*Tăng trưởng lợi nhuận sau thuế (QoQ)*",Sheet4!$1:$1,2)),"")</f>
        <v>0</v>
      </c>
    </row>
    <row r="59" spans="1:18" x14ac:dyDescent="0.25">
      <c r="A59" s="7">
        <f>Sheet4!A38</f>
        <v>37</v>
      </c>
      <c r="B59" t="str">
        <f>Sheet4!B38</f>
        <v>BMP</v>
      </c>
      <c r="C59" t="str">
        <f>Sheet4!C37</f>
        <v>Bảo hiểm Bảo Minh</v>
      </c>
      <c r="D59" t="str">
        <f>Sheet4!D38</f>
        <v>HOSE</v>
      </c>
      <c r="E59" s="7">
        <f>Sheet4!AH38/1000000000</f>
        <v>12361.001638</v>
      </c>
      <c r="F59" t="str">
        <f>Sheet4!E38</f>
        <v>Công nghiệp</v>
      </c>
      <c r="G59" t="str">
        <f>Sheet4!F38</f>
        <v>Xây dựng và Vật liệu</v>
      </c>
      <c r="H59" t="str">
        <f>Sheet4!G38</f>
        <v>Vật liệu xây dựng &amp; Nội thất</v>
      </c>
      <c r="I59" s="9" cm="1">
        <f t="array" ref="I5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1319.5602802440001</v>
      </c>
      <c r="J59" s="9" cm="1">
        <f t="array" ref="J5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2776.871246182</v>
      </c>
      <c r="K59" s="10" cm="1">
        <f t="array" ref="K5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8.6999999999999994E-3</v>
      </c>
      <c r="L59" s="10" cm="1">
        <f t="array" ref="L5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3.1800000000000002E-2</v>
      </c>
      <c r="M59" s="9" cm="1">
        <f t="array" ref="M59">_xlfn.LET(_xlpm.val,IFERROR(INDEX(Sheet4!$2:$1605,MATCH(ChiTietKQKD[[#This Row],[Mã CP]],Sheet4!$B$2:$B$1605,0),_xlfn.XMATCH("*Lợi nhuận sau thuế*Q2*2026*",Sheet4!$1:$1,2)),0),IF(OR(_xlpm.val="",_xlpm.val=0),"",_xlpm.val/1000000000))</f>
        <v>367.18910489299998</v>
      </c>
      <c r="N59" s="9" cm="1">
        <f t="array" ref="N59">_xlfn.LET(_xlpm.val,IFERROR(INDEX(Sheet4!$2:$1605,MATCH(ChiTietKQKD[[#This Row],[Mã CP]],Sheet4!$B$2:$B$1605,0),_xlfn.XMATCH("*Lợi nhuận sau thuế*6 tháng*2026*",Sheet4!$1:$1,2)),0),IF(OR(_xlpm.val="",_xlpm.val=0),"",_xlpm.val/1000000000))</f>
        <v>671.145164647</v>
      </c>
      <c r="O59" s="10" cm="1">
        <f t="array" ref="O59">IFERROR(INDEX(Sheet4!$2:$1605,MATCH(ChiTietKQKD[[#This Row],[Mã CP]],Sheet4!$B$2:$B$1605,0),_xlfn.XMATCH("*Tăng trưởng lợi nhuận sau thuế (YoY) (Quý*",Sheet4!$1:$1,2)),"")</f>
        <v>0.113</v>
      </c>
      <c r="P59" s="10" cm="1">
        <f t="array" ref="P59">IFERROR(INDEX(Sheet4!$2:$1605,MATCH(ChiTietKQKD[[#This Row],[Mã CP]],Sheet4!$B$2:$B$1605,0),_xlfn.XMATCH("*Tăng trưởng lợi nhuận sau thuế (YoY) (6M)*",Sheet4!$1:$1,2)),"")</f>
        <v>8.8099999999999998E-2</v>
      </c>
      <c r="Q59" s="10" cm="1">
        <f t="array" ref="Q59">IFERROR(INDEX(Sheet4!$2:$1605,MATCH(ChiTietKQKD[[#This Row],[Mã CP]],Sheet4!$B$2:$B$1605,0),_xlfn.XMATCH("*Tăng trưởng doanh thu thuần (QoQ)*",Sheet4!$1:$1,2)),"")</f>
        <v>-9.4500000000000001E-2</v>
      </c>
      <c r="R59" s="10" cm="1">
        <f t="array" ref="R59">IFERROR(INDEX(Sheet4!$2:$1605,MATCH(ChiTietKQKD[[#This Row],[Mã CP]],Sheet4!$B$2:$B$1605,0),_xlfn.XMATCH("*Tăng trưởng lợi nhuận sau thuế (QoQ)*",Sheet4!$1:$1,2)),"")</f>
        <v>0.20799999999999999</v>
      </c>
    </row>
    <row r="60" spans="1:18" x14ac:dyDescent="0.25">
      <c r="A60" s="7">
        <f>Sheet4!A39</f>
        <v>38</v>
      </c>
      <c r="B60" t="str">
        <f>Sheet4!B39</f>
        <v>BRC</v>
      </c>
      <c r="C60" t="str">
        <f>Sheet4!C38</f>
        <v>Nhựa Bình Minh</v>
      </c>
      <c r="D60" t="str">
        <f>Sheet4!D39</f>
        <v>HOSE</v>
      </c>
      <c r="E60" s="7">
        <f>Sheet4!AH39/1000000000</f>
        <v>148.49996400000001</v>
      </c>
      <c r="F60" t="str">
        <f>Sheet4!E39</f>
        <v>Nguyên vật liệu</v>
      </c>
      <c r="G60" t="str">
        <f>Sheet4!F39</f>
        <v>Hóa chất</v>
      </c>
      <c r="H60" t="str">
        <f>Sheet4!G39</f>
        <v>Nhựa, cao su &amp; sợi</v>
      </c>
      <c r="I60" s="9" cm="1">
        <f t="array" ref="I6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103.74213376500001</v>
      </c>
      <c r="J60" s="9" cm="1">
        <f t="array" ref="J6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198.99293365899999</v>
      </c>
      <c r="K60" s="10" cm="1">
        <f t="array" ref="K6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-9.3600000000000003E-2</v>
      </c>
      <c r="L60" s="10" cm="1">
        <f t="array" ref="L6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-6.3100000000000003E-2</v>
      </c>
      <c r="M60" s="9" cm="1">
        <f t="array" ref="M60">_xlfn.LET(_xlpm.val,IFERROR(INDEX(Sheet4!$2:$1605,MATCH(ChiTietKQKD[[#This Row],[Mã CP]],Sheet4!$B$2:$B$1605,0),_xlfn.XMATCH("*Lợi nhuận sau thuế*Q2*2026*",Sheet4!$1:$1,2)),0),IF(OR(_xlpm.val="",_xlpm.val=0),"",_xlpm.val/1000000000))</f>
        <v>7.2709876710000003</v>
      </c>
      <c r="N60" s="9" cm="1">
        <f t="array" ref="N60">_xlfn.LET(_xlpm.val,IFERROR(INDEX(Sheet4!$2:$1605,MATCH(ChiTietKQKD[[#This Row],[Mã CP]],Sheet4!$B$2:$B$1605,0),_xlfn.XMATCH("*Lợi nhuận sau thuế*6 tháng*2026*",Sheet4!$1:$1,2)),0),IF(OR(_xlpm.val="",_xlpm.val=0),"",_xlpm.val/1000000000))</f>
        <v>11.917519006999999</v>
      </c>
      <c r="O60" s="10" cm="1">
        <f t="array" ref="O60">IFERROR(INDEX(Sheet4!$2:$1605,MATCH(ChiTietKQKD[[#This Row],[Mã CP]],Sheet4!$B$2:$B$1605,0),_xlfn.XMATCH("*Tăng trưởng lợi nhuận sau thuế (YoY) (Quý*",Sheet4!$1:$1,2)),"")</f>
        <v>0.13719999999999999</v>
      </c>
      <c r="P60" s="10" cm="1">
        <f t="array" ref="P60">IFERROR(INDEX(Sheet4!$2:$1605,MATCH(ChiTietKQKD[[#This Row],[Mã CP]],Sheet4!$B$2:$B$1605,0),_xlfn.XMATCH("*Tăng trưởng lợi nhuận sau thuế (YoY) (6M)*",Sheet4!$1:$1,2)),"")</f>
        <v>0.1245</v>
      </c>
      <c r="Q60" s="10" cm="1">
        <f t="array" ref="Q60">IFERROR(INDEX(Sheet4!$2:$1605,MATCH(ChiTietKQKD[[#This Row],[Mã CP]],Sheet4!$B$2:$B$1605,0),_xlfn.XMATCH("*Tăng trưởng doanh thu thuần (QoQ)*",Sheet4!$1:$1,2)),"")</f>
        <v>8.9099999999999999E-2</v>
      </c>
      <c r="R60" s="10" cm="1">
        <f t="array" ref="R60">IFERROR(INDEX(Sheet4!$2:$1605,MATCH(ChiTietKQKD[[#This Row],[Mã CP]],Sheet4!$B$2:$B$1605,0),_xlfn.XMATCH("*Tăng trưởng lợi nhuận sau thuế (QoQ)*",Sheet4!$1:$1,2)),"")</f>
        <v>0.56479999999999997</v>
      </c>
    </row>
    <row r="61" spans="1:18" x14ac:dyDescent="0.25">
      <c r="A61" s="7">
        <f>Sheet4!A40</f>
        <v>39</v>
      </c>
      <c r="B61" t="str">
        <f>Sheet4!B40</f>
        <v>BSI</v>
      </c>
      <c r="C61" t="str">
        <f>Sheet4!C39</f>
        <v>Cao su Bến Thành</v>
      </c>
      <c r="D61" t="str">
        <f>Sheet4!D40</f>
        <v>HOSE</v>
      </c>
      <c r="E61" s="7">
        <f>Sheet4!AH40/1000000000</f>
        <v>7827.1449210000001</v>
      </c>
      <c r="F61" t="str">
        <f>Sheet4!E40</f>
        <v>Tài chính</v>
      </c>
      <c r="G61" t="str">
        <f>Sheet4!F40</f>
        <v>Dịch vụ tài chính</v>
      </c>
      <c r="H61" t="str">
        <f>Sheet4!G40</f>
        <v>Môi giới chứng khoán</v>
      </c>
      <c r="I61" s="9" cm="1">
        <f t="array" ref="I6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616.83499667499996</v>
      </c>
      <c r="J61" s="9" cm="1">
        <f t="array" ref="J6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1313.97577045</v>
      </c>
      <c r="K61" s="10" cm="1">
        <f t="array" ref="K6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0.218</v>
      </c>
      <c r="L61" s="10" cm="1">
        <f t="array" ref="L6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0.55759999999999998</v>
      </c>
      <c r="M61" s="9" cm="1">
        <f t="array" ref="M61">_xlfn.LET(_xlpm.val,IFERROR(INDEX(Sheet4!$2:$1605,MATCH(ChiTietKQKD[[#This Row],[Mã CP]],Sheet4!$B$2:$B$1605,0),_xlfn.XMATCH("*Lợi nhuận sau thuế*Q2*2026*",Sheet4!$1:$1,2)),0),IF(OR(_xlpm.val="",_xlpm.val=0),"",_xlpm.val/1000000000))</f>
        <v>123.215863134</v>
      </c>
      <c r="N61" s="9" cm="1">
        <f t="array" ref="N61">_xlfn.LET(_xlpm.val,IFERROR(INDEX(Sheet4!$2:$1605,MATCH(ChiTietKQKD[[#This Row],[Mã CP]],Sheet4!$B$2:$B$1605,0),_xlfn.XMATCH("*Lợi nhuận sau thuế*6 tháng*2026*",Sheet4!$1:$1,2)),0),IF(OR(_xlpm.val="",_xlpm.val=0),"",_xlpm.val/1000000000))</f>
        <v>212.034920024</v>
      </c>
      <c r="O61" s="10" cm="1">
        <f t="array" ref="O61">IFERROR(INDEX(Sheet4!$2:$1605,MATCH(ChiTietKQKD[[#This Row],[Mã CP]],Sheet4!$B$2:$B$1605,0),_xlfn.XMATCH("*Tăng trưởng lợi nhuận sau thuế (YoY) (Quý*",Sheet4!$1:$1,2)),"")</f>
        <v>0.2092</v>
      </c>
      <c r="P61" s="10" cm="1">
        <f t="array" ref="P61">IFERROR(INDEX(Sheet4!$2:$1605,MATCH(ChiTietKQKD[[#This Row],[Mã CP]],Sheet4!$B$2:$B$1605,0),_xlfn.XMATCH("*Tăng trưởng lợi nhuận sau thuế (YoY) (6M)*",Sheet4!$1:$1,2)),"")</f>
        <v>0.15859999999999999</v>
      </c>
      <c r="Q61" s="10" cm="1">
        <f t="array" ref="Q61">IFERROR(INDEX(Sheet4!$2:$1605,MATCH(ChiTietKQKD[[#This Row],[Mã CP]],Sheet4!$B$2:$B$1605,0),_xlfn.XMATCH("*Tăng trưởng doanh thu thuần (QoQ)*",Sheet4!$1:$1,2)),"")</f>
        <v>-0.1152</v>
      </c>
      <c r="R61" s="10" cm="1">
        <f t="array" ref="R61">IFERROR(INDEX(Sheet4!$2:$1605,MATCH(ChiTietKQKD[[#This Row],[Mã CP]],Sheet4!$B$2:$B$1605,0),_xlfn.XMATCH("*Tăng trưởng lợi nhuận sau thuế (QoQ)*",Sheet4!$1:$1,2)),"")</f>
        <v>0.38729999999999998</v>
      </c>
    </row>
    <row r="62" spans="1:18" x14ac:dyDescent="0.25">
      <c r="A62" s="7">
        <f>Sheet4!A41</f>
        <v>40</v>
      </c>
      <c r="B62" t="str">
        <f>Sheet4!B41</f>
        <v>BSR</v>
      </c>
      <c r="C62" t="str">
        <f>Sheet4!C40</f>
        <v>Chứng khoán BIDV</v>
      </c>
      <c r="D62" t="str">
        <f>Sheet4!D41</f>
        <v>HOSE</v>
      </c>
      <c r="E62" s="7">
        <f>Sheet4!AH41/1000000000</f>
        <v>115167.89277799999</v>
      </c>
      <c r="F62" t="str">
        <f>Sheet4!E41</f>
        <v>Dầu khí</v>
      </c>
      <c r="G62" t="str">
        <f>Sheet4!F41</f>
        <v>Dầu khí</v>
      </c>
      <c r="H62" t="str">
        <f>Sheet4!G41</f>
        <v>Sản xuất và Khai thác dầu khí</v>
      </c>
      <c r="I62" s="9" t="str" cm="1">
        <f t="array" ref="I6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2" s="9" t="str" cm="1">
        <f t="array" ref="J6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2" s="10" cm="1">
        <f t="array" ref="K6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2" s="10" cm="1">
        <f t="array" ref="L6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2" s="9" t="str" cm="1">
        <f t="array" ref="M6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2" s="9" t="str" cm="1">
        <f t="array" ref="N6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2" s="10" cm="1">
        <f t="array" ref="O62">IFERROR(INDEX(Sheet4!$2:$1605,MATCH(ChiTietKQKD[[#This Row],[Mã CP]],Sheet4!$B$2:$B$1605,0),_xlfn.XMATCH("*Tăng trưởng lợi nhuận sau thuế (YoY) (Quý*",Sheet4!$1:$1,2)),"")</f>
        <v>0</v>
      </c>
      <c r="P62" s="10" cm="1">
        <f t="array" ref="P62">IFERROR(INDEX(Sheet4!$2:$1605,MATCH(ChiTietKQKD[[#This Row],[Mã CP]],Sheet4!$B$2:$B$1605,0),_xlfn.XMATCH("*Tăng trưởng lợi nhuận sau thuế (YoY) (6M)*",Sheet4!$1:$1,2)),"")</f>
        <v>0</v>
      </c>
      <c r="Q62" s="10" cm="1">
        <f t="array" ref="Q62">IFERROR(INDEX(Sheet4!$2:$1605,MATCH(ChiTietKQKD[[#This Row],[Mã CP]],Sheet4!$B$2:$B$1605,0),_xlfn.XMATCH("*Tăng trưởng doanh thu thuần (QoQ)*",Sheet4!$1:$1,2)),"")</f>
        <v>0</v>
      </c>
      <c r="R62" s="10" cm="1">
        <f t="array" ref="R62">IFERROR(INDEX(Sheet4!$2:$1605,MATCH(ChiTietKQKD[[#This Row],[Mã CP]],Sheet4!$B$2:$B$1605,0),_xlfn.XMATCH("*Tăng trưởng lợi nhuận sau thuế (QoQ)*",Sheet4!$1:$1,2)),"")</f>
        <v>0</v>
      </c>
    </row>
    <row r="63" spans="1:18" x14ac:dyDescent="0.25">
      <c r="A63" s="7">
        <f>Sheet4!A42</f>
        <v>41</v>
      </c>
      <c r="B63" t="str">
        <f>Sheet4!B42</f>
        <v>BTP</v>
      </c>
      <c r="C63" t="str">
        <f>Sheet4!C41</f>
        <v>Lọc Hoá dầu Việt Nam</v>
      </c>
      <c r="D63" t="str">
        <f>Sheet4!D42</f>
        <v>HOSE</v>
      </c>
      <c r="E63" s="7">
        <f>Sheet4!AH42/1000000000</f>
        <v>471.78768000000002</v>
      </c>
      <c r="F63" t="str">
        <f>Sheet4!E42</f>
        <v>Tiện ích Cộng đồng</v>
      </c>
      <c r="G63" t="str">
        <f>Sheet4!F42</f>
        <v>Điện, nước &amp; xăng dầu khí đốt</v>
      </c>
      <c r="H63" t="str">
        <f>Sheet4!G42</f>
        <v>Sản xuất &amp; Phân phối Điện</v>
      </c>
      <c r="I63" s="9" cm="1">
        <f t="array" ref="I6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82.178523874000007</v>
      </c>
      <c r="J63" s="9" cm="1">
        <f t="array" ref="J6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136.959196687</v>
      </c>
      <c r="K63" s="10" cm="1">
        <f t="array" ref="K6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0.2374</v>
      </c>
      <c r="L63" s="10" cm="1">
        <f t="array" ref="L6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0.1103</v>
      </c>
      <c r="M63" s="9" cm="1">
        <f t="array" ref="M63">_xlfn.LET(_xlpm.val,IFERROR(INDEX(Sheet4!$2:$1605,MATCH(ChiTietKQKD[[#This Row],[Mã CP]],Sheet4!$B$2:$B$1605,0),_xlfn.XMATCH("*Lợi nhuận sau thuế*Q2*2026*",Sheet4!$1:$1,2)),0),IF(OR(_xlpm.val="",_xlpm.val=0),"",_xlpm.val/1000000000))</f>
        <v>7.3945691069999997</v>
      </c>
      <c r="N63" s="9" cm="1">
        <f t="array" ref="N63">_xlfn.LET(_xlpm.val,IFERROR(INDEX(Sheet4!$2:$1605,MATCH(ChiTietKQKD[[#This Row],[Mã CP]],Sheet4!$B$2:$B$1605,0),_xlfn.XMATCH("*Lợi nhuận sau thuế*6 tháng*2026*",Sheet4!$1:$1,2)),0),IF(OR(_xlpm.val="",_xlpm.val=0),"",_xlpm.val/1000000000))</f>
        <v>33.307636686000002</v>
      </c>
      <c r="O63" s="10" cm="1">
        <f t="array" ref="O63">IFERROR(INDEX(Sheet4!$2:$1605,MATCH(ChiTietKQKD[[#This Row],[Mã CP]],Sheet4!$B$2:$B$1605,0),_xlfn.XMATCH("*Tăng trưởng lợi nhuận sau thuế (YoY) (Quý*",Sheet4!$1:$1,2)),"")</f>
        <v>70.655100000000004</v>
      </c>
      <c r="P63" s="10" cm="1">
        <f t="array" ref="P63">IFERROR(INDEX(Sheet4!$2:$1605,MATCH(ChiTietKQKD[[#This Row],[Mã CP]],Sheet4!$B$2:$B$1605,0),_xlfn.XMATCH("*Tăng trưởng lợi nhuận sau thuế (YoY) (6M)*",Sheet4!$1:$1,2)),"")</f>
        <v>2.1244999999999998</v>
      </c>
      <c r="Q63" s="10" cm="1">
        <f t="array" ref="Q63">IFERROR(INDEX(Sheet4!$2:$1605,MATCH(ChiTietKQKD[[#This Row],[Mã CP]],Sheet4!$B$2:$B$1605,0),_xlfn.XMATCH("*Tăng trưởng doanh thu thuần (QoQ)*",Sheet4!$1:$1,2)),"")</f>
        <v>0.50009999999999999</v>
      </c>
      <c r="R63" s="10" cm="1">
        <f t="array" ref="R63">IFERROR(INDEX(Sheet4!$2:$1605,MATCH(ChiTietKQKD[[#This Row],[Mã CP]],Sheet4!$B$2:$B$1605,0),_xlfn.XMATCH("*Tăng trưởng lợi nhuận sau thuế (QoQ)*",Sheet4!$1:$1,2)),"")</f>
        <v>-0.71460000000000001</v>
      </c>
    </row>
    <row r="64" spans="1:18" x14ac:dyDescent="0.25">
      <c r="A64" s="7">
        <f>Sheet4!A43</f>
        <v>42</v>
      </c>
      <c r="B64" t="str">
        <f>Sheet4!B43</f>
        <v>BTT</v>
      </c>
      <c r="C64" t="str">
        <f>Sheet4!C42</f>
        <v>Nhiệt điện Bà Rịa</v>
      </c>
      <c r="D64" t="str">
        <f>Sheet4!D43</f>
        <v>HOSE</v>
      </c>
      <c r="E64" s="7">
        <f>Sheet4!AH43/1000000000</f>
        <v>573.75</v>
      </c>
      <c r="F64" t="str">
        <f>Sheet4!E43</f>
        <v>Dịch vụ Tiêu dùng</v>
      </c>
      <c r="G64" t="str">
        <f>Sheet4!F43</f>
        <v>Bán lẻ</v>
      </c>
      <c r="H64" t="str">
        <f>Sheet4!G43</f>
        <v>Bán lẻ phức hợp</v>
      </c>
      <c r="I64" s="9" t="str" cm="1">
        <f t="array" ref="I6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4" s="9" t="str" cm="1">
        <f t="array" ref="J6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4" s="10" cm="1">
        <f t="array" ref="K6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4" s="10" cm="1">
        <f t="array" ref="L6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4" s="9" t="str" cm="1">
        <f t="array" ref="M6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4" s="9" t="str" cm="1">
        <f t="array" ref="N6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4" s="10" cm="1">
        <f t="array" ref="O64">IFERROR(INDEX(Sheet4!$2:$1605,MATCH(ChiTietKQKD[[#This Row],[Mã CP]],Sheet4!$B$2:$B$1605,0),_xlfn.XMATCH("*Tăng trưởng lợi nhuận sau thuế (YoY) (Quý*",Sheet4!$1:$1,2)),"")</f>
        <v>0</v>
      </c>
      <c r="P64" s="10" cm="1">
        <f t="array" ref="P64">IFERROR(INDEX(Sheet4!$2:$1605,MATCH(ChiTietKQKD[[#This Row],[Mã CP]],Sheet4!$B$2:$B$1605,0),_xlfn.XMATCH("*Tăng trưởng lợi nhuận sau thuế (YoY) (6M)*",Sheet4!$1:$1,2)),"")</f>
        <v>0</v>
      </c>
      <c r="Q64" s="10" cm="1">
        <f t="array" ref="Q64">IFERROR(INDEX(Sheet4!$2:$1605,MATCH(ChiTietKQKD[[#This Row],[Mã CP]],Sheet4!$B$2:$B$1605,0),_xlfn.XMATCH("*Tăng trưởng doanh thu thuần (QoQ)*",Sheet4!$1:$1,2)),"")</f>
        <v>0</v>
      </c>
      <c r="R64" s="10" cm="1">
        <f t="array" ref="R64">IFERROR(INDEX(Sheet4!$2:$1605,MATCH(ChiTietKQKD[[#This Row],[Mã CP]],Sheet4!$B$2:$B$1605,0),_xlfn.XMATCH("*Tăng trưởng lợi nhuận sau thuế (QoQ)*",Sheet4!$1:$1,2)),"")</f>
        <v>0</v>
      </c>
    </row>
    <row r="65" spans="1:18" x14ac:dyDescent="0.25">
      <c r="A65" s="7">
        <f>Sheet4!A44</f>
        <v>43</v>
      </c>
      <c r="B65" t="str">
        <f>Sheet4!B44</f>
        <v>BVB</v>
      </c>
      <c r="C65" t="str">
        <f>Sheet4!C43</f>
        <v>TM - DV Bến Thành</v>
      </c>
      <c r="D65" t="str">
        <f>Sheet4!D44</f>
        <v>HOSE</v>
      </c>
      <c r="E65" s="7">
        <f>Sheet4!AH44/1000000000</f>
        <v>8522.9060000000009</v>
      </c>
      <c r="F65" t="str">
        <f>Sheet4!E44</f>
        <v>Ngân hàng</v>
      </c>
      <c r="G65" t="str">
        <f>Sheet4!F44</f>
        <v>Ngân hàng</v>
      </c>
      <c r="H65" t="str">
        <f>Sheet4!G44</f>
        <v>Ngân hàng</v>
      </c>
      <c r="I65" s="9" t="str" cm="1">
        <f t="array" ref="I6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5" s="9" t="str" cm="1">
        <f t="array" ref="J6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5" s="10" t="str" cm="1">
        <f t="array" ref="K6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65" s="10" t="str" cm="1">
        <f t="array" ref="L6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65" s="9" t="str" cm="1">
        <f t="array" ref="M6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5" s="9" t="str" cm="1">
        <f t="array" ref="N6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5" s="10" cm="1">
        <f t="array" ref="O65">IFERROR(INDEX(Sheet4!$2:$1605,MATCH(ChiTietKQKD[[#This Row],[Mã CP]],Sheet4!$B$2:$B$1605,0),_xlfn.XMATCH("*Tăng trưởng lợi nhuận sau thuế (YoY) (Quý*",Sheet4!$1:$1,2)),"")</f>
        <v>0</v>
      </c>
      <c r="P65" s="10" cm="1">
        <f t="array" ref="P65">IFERROR(INDEX(Sheet4!$2:$1605,MATCH(ChiTietKQKD[[#This Row],[Mã CP]],Sheet4!$B$2:$B$1605,0),_xlfn.XMATCH("*Tăng trưởng lợi nhuận sau thuế (YoY) (6M)*",Sheet4!$1:$1,2)),"")</f>
        <v>0</v>
      </c>
      <c r="Q65" s="10" cm="1">
        <f t="array" ref="Q65">IFERROR(INDEX(Sheet4!$2:$1605,MATCH(ChiTietKQKD[[#This Row],[Mã CP]],Sheet4!$B$2:$B$1605,0),_xlfn.XMATCH("*Tăng trưởng doanh thu thuần (QoQ)*",Sheet4!$1:$1,2)),"")</f>
        <v>0</v>
      </c>
      <c r="R65" s="10" cm="1">
        <f t="array" ref="R65">IFERROR(INDEX(Sheet4!$2:$1605,MATCH(ChiTietKQKD[[#This Row],[Mã CP]],Sheet4!$B$2:$B$1605,0),_xlfn.XMATCH("*Tăng trưởng lợi nhuận sau thuế (QoQ)*",Sheet4!$1:$1,2)),"")</f>
        <v>0</v>
      </c>
    </row>
    <row r="66" spans="1:18" x14ac:dyDescent="0.25">
      <c r="A66" s="7">
        <f>Sheet4!A45</f>
        <v>44</v>
      </c>
      <c r="B66" t="str">
        <f>Sheet4!B45</f>
        <v>BVH</v>
      </c>
      <c r="C66" t="str">
        <f>Sheet4!C44</f>
        <v>Ngân hàng Bản Việt - BVBank</v>
      </c>
      <c r="D66" t="str">
        <f>Sheet4!D45</f>
        <v>HOSE</v>
      </c>
      <c r="E66" s="7">
        <f>Sheet4!AH45/1000000000</f>
        <v>42386.629824399999</v>
      </c>
      <c r="F66" t="str">
        <f>Sheet4!E45</f>
        <v>Tài chính</v>
      </c>
      <c r="G66" t="str">
        <f>Sheet4!F45</f>
        <v>Bảo hiểm</v>
      </c>
      <c r="H66" t="str">
        <f>Sheet4!G45</f>
        <v>Bảo hiểm nhân thọ</v>
      </c>
      <c r="I66" s="9" t="str" cm="1">
        <f t="array" ref="I6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6" s="9" t="str" cm="1">
        <f t="array" ref="J6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6" s="10" cm="1">
        <f t="array" ref="K6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6" s="10" cm="1">
        <f t="array" ref="L6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6" s="9" t="str" cm="1">
        <f t="array" ref="M6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6" s="9" t="str" cm="1">
        <f t="array" ref="N6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6" s="10" cm="1">
        <f t="array" ref="O66">IFERROR(INDEX(Sheet4!$2:$1605,MATCH(ChiTietKQKD[[#This Row],[Mã CP]],Sheet4!$B$2:$B$1605,0),_xlfn.XMATCH("*Tăng trưởng lợi nhuận sau thuế (YoY) (Quý*",Sheet4!$1:$1,2)),"")</f>
        <v>0</v>
      </c>
      <c r="P66" s="10" cm="1">
        <f t="array" ref="P66">IFERROR(INDEX(Sheet4!$2:$1605,MATCH(ChiTietKQKD[[#This Row],[Mã CP]],Sheet4!$B$2:$B$1605,0),_xlfn.XMATCH("*Tăng trưởng lợi nhuận sau thuế (YoY) (6M)*",Sheet4!$1:$1,2)),"")</f>
        <v>0</v>
      </c>
      <c r="Q66" s="10" cm="1">
        <f t="array" ref="Q66">IFERROR(INDEX(Sheet4!$2:$1605,MATCH(ChiTietKQKD[[#This Row],[Mã CP]],Sheet4!$B$2:$B$1605,0),_xlfn.XMATCH("*Tăng trưởng doanh thu thuần (QoQ)*",Sheet4!$1:$1,2)),"")</f>
        <v>0</v>
      </c>
      <c r="R66" s="10" cm="1">
        <f t="array" ref="R66">IFERROR(INDEX(Sheet4!$2:$1605,MATCH(ChiTietKQKD[[#This Row],[Mã CP]],Sheet4!$B$2:$B$1605,0),_xlfn.XMATCH("*Tăng trưởng lợi nhuận sau thuế (QoQ)*",Sheet4!$1:$1,2)),"")</f>
        <v>0</v>
      </c>
    </row>
    <row r="67" spans="1:18" x14ac:dyDescent="0.25">
      <c r="A67" s="7">
        <f>Sheet4!A46</f>
        <v>45</v>
      </c>
      <c r="B67" t="str">
        <f>Sheet4!B46</f>
        <v>BWE</v>
      </c>
      <c r="C67" t="str">
        <f>Sheet4!C45</f>
        <v>Tập đoàn Bảo Việt</v>
      </c>
      <c r="D67" t="str">
        <f>Sheet4!D46</f>
        <v>HOSE</v>
      </c>
      <c r="E67" s="7">
        <f>Sheet4!AH46/1000000000</f>
        <v>9830.8103867999998</v>
      </c>
      <c r="F67" t="str">
        <f>Sheet4!E46</f>
        <v>Tiện ích Cộng đồng</v>
      </c>
      <c r="G67" t="str">
        <f>Sheet4!F46</f>
        <v>Điện, nước &amp; xăng dầu khí đốt</v>
      </c>
      <c r="H67" t="str">
        <f>Sheet4!G46</f>
        <v>Nước</v>
      </c>
      <c r="I67" s="9" t="str" cm="1">
        <f t="array" ref="I6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7" s="9" t="str" cm="1">
        <f t="array" ref="J6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7" s="10" cm="1">
        <f t="array" ref="K6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7" s="10" cm="1">
        <f t="array" ref="L6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7" s="9" t="str" cm="1">
        <f t="array" ref="M6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7" s="9" t="str" cm="1">
        <f t="array" ref="N6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7" s="10" cm="1">
        <f t="array" ref="O67">IFERROR(INDEX(Sheet4!$2:$1605,MATCH(ChiTietKQKD[[#This Row],[Mã CP]],Sheet4!$B$2:$B$1605,0),_xlfn.XMATCH("*Tăng trưởng lợi nhuận sau thuế (YoY) (Quý*",Sheet4!$1:$1,2)),"")</f>
        <v>0</v>
      </c>
      <c r="P67" s="10" cm="1">
        <f t="array" ref="P67">IFERROR(INDEX(Sheet4!$2:$1605,MATCH(ChiTietKQKD[[#This Row],[Mã CP]],Sheet4!$B$2:$B$1605,0),_xlfn.XMATCH("*Tăng trưởng lợi nhuận sau thuế (YoY) (6M)*",Sheet4!$1:$1,2)),"")</f>
        <v>0</v>
      </c>
      <c r="Q67" s="10" cm="1">
        <f t="array" ref="Q67">IFERROR(INDEX(Sheet4!$2:$1605,MATCH(ChiTietKQKD[[#This Row],[Mã CP]],Sheet4!$B$2:$B$1605,0),_xlfn.XMATCH("*Tăng trưởng doanh thu thuần (QoQ)*",Sheet4!$1:$1,2)),"")</f>
        <v>0</v>
      </c>
      <c r="R67" s="10" cm="1">
        <f t="array" ref="R67">IFERROR(INDEX(Sheet4!$2:$1605,MATCH(ChiTietKQKD[[#This Row],[Mã CP]],Sheet4!$B$2:$B$1605,0),_xlfn.XMATCH("*Tăng trưởng lợi nhuận sau thuế (QoQ)*",Sheet4!$1:$1,2)),"")</f>
        <v>0</v>
      </c>
    </row>
    <row r="68" spans="1:18" x14ac:dyDescent="0.25">
      <c r="A68" s="7">
        <f>Sheet4!A47</f>
        <v>46</v>
      </c>
      <c r="B68" t="str">
        <f>Sheet4!B47</f>
        <v>C32</v>
      </c>
      <c r="C68" t="str">
        <f>Sheet4!C46</f>
        <v>Nước - Môi trường Bình Dương</v>
      </c>
      <c r="D68" t="str">
        <f>Sheet4!D47</f>
        <v>HOSE</v>
      </c>
      <c r="E68" s="7">
        <f>Sheet4!AH47/1000000000</f>
        <v>495.96178500000002</v>
      </c>
      <c r="F68" t="str">
        <f>Sheet4!E47</f>
        <v>Công nghiệp</v>
      </c>
      <c r="G68" t="str">
        <f>Sheet4!F47</f>
        <v>Xây dựng và Vật liệu</v>
      </c>
      <c r="H68" t="str">
        <f>Sheet4!G47</f>
        <v>Vật liệu xây dựng &amp; Nội thất</v>
      </c>
      <c r="I68" s="9" t="str" cm="1">
        <f t="array" ref="I6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8" s="9" t="str" cm="1">
        <f t="array" ref="J6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8" s="10" cm="1">
        <f t="array" ref="K6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8" s="10" cm="1">
        <f t="array" ref="L6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8" s="9" t="str" cm="1">
        <f t="array" ref="M6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8" s="9" t="str" cm="1">
        <f t="array" ref="N6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8" s="10" cm="1">
        <f t="array" ref="O68">IFERROR(INDEX(Sheet4!$2:$1605,MATCH(ChiTietKQKD[[#This Row],[Mã CP]],Sheet4!$B$2:$B$1605,0),_xlfn.XMATCH("*Tăng trưởng lợi nhuận sau thuế (YoY) (Quý*",Sheet4!$1:$1,2)),"")</f>
        <v>0</v>
      </c>
      <c r="P68" s="10" cm="1">
        <f t="array" ref="P68">IFERROR(INDEX(Sheet4!$2:$1605,MATCH(ChiTietKQKD[[#This Row],[Mã CP]],Sheet4!$B$2:$B$1605,0),_xlfn.XMATCH("*Tăng trưởng lợi nhuận sau thuế (YoY) (6M)*",Sheet4!$1:$1,2)),"")</f>
        <v>0</v>
      </c>
      <c r="Q68" s="10" cm="1">
        <f t="array" ref="Q68">IFERROR(INDEX(Sheet4!$2:$1605,MATCH(ChiTietKQKD[[#This Row],[Mã CP]],Sheet4!$B$2:$B$1605,0),_xlfn.XMATCH("*Tăng trưởng doanh thu thuần (QoQ)*",Sheet4!$1:$1,2)),"")</f>
        <v>0</v>
      </c>
      <c r="R68" s="10" cm="1">
        <f t="array" ref="R68">IFERROR(INDEX(Sheet4!$2:$1605,MATCH(ChiTietKQKD[[#This Row],[Mã CP]],Sheet4!$B$2:$B$1605,0),_xlfn.XMATCH("*Tăng trưởng lợi nhuận sau thuế (QoQ)*",Sheet4!$1:$1,2)),"")</f>
        <v>0</v>
      </c>
    </row>
    <row r="69" spans="1:18" x14ac:dyDescent="0.25">
      <c r="A69" s="7">
        <f>Sheet4!A48</f>
        <v>47</v>
      </c>
      <c r="B69" t="str">
        <f>Sheet4!B48</f>
        <v>C47</v>
      </c>
      <c r="C69" t="str">
        <f>Sheet4!C47</f>
        <v>Đầu tư và Xây dựng 3-2</v>
      </c>
      <c r="D69" t="str">
        <f>Sheet4!D48</f>
        <v>HOSE</v>
      </c>
      <c r="E69" s="7">
        <f>Sheet4!AH48/1000000000</f>
        <v>327.080421</v>
      </c>
      <c r="F69" t="str">
        <f>Sheet4!E48</f>
        <v>Công nghiệp</v>
      </c>
      <c r="G69" t="str">
        <f>Sheet4!F48</f>
        <v>Xây dựng và Vật liệu</v>
      </c>
      <c r="H69" t="str">
        <f>Sheet4!G48</f>
        <v>Xây dựng</v>
      </c>
      <c r="I69" s="9" t="str" cm="1">
        <f t="array" ref="I6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9" s="9" t="str" cm="1">
        <f t="array" ref="J6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9" s="10" cm="1">
        <f t="array" ref="K6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9" s="10" cm="1">
        <f t="array" ref="L6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9" s="9" t="str" cm="1">
        <f t="array" ref="M6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9" s="9" t="str" cm="1">
        <f t="array" ref="N6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9" s="10" cm="1">
        <f t="array" ref="O69">IFERROR(INDEX(Sheet4!$2:$1605,MATCH(ChiTietKQKD[[#This Row],[Mã CP]],Sheet4!$B$2:$B$1605,0),_xlfn.XMATCH("*Tăng trưởng lợi nhuận sau thuế (YoY) (Quý*",Sheet4!$1:$1,2)),"")</f>
        <v>0</v>
      </c>
      <c r="P69" s="10" cm="1">
        <f t="array" ref="P69">IFERROR(INDEX(Sheet4!$2:$1605,MATCH(ChiTietKQKD[[#This Row],[Mã CP]],Sheet4!$B$2:$B$1605,0),_xlfn.XMATCH("*Tăng trưởng lợi nhuận sau thuế (YoY) (6M)*",Sheet4!$1:$1,2)),"")</f>
        <v>0</v>
      </c>
      <c r="Q69" s="10" cm="1">
        <f t="array" ref="Q69">IFERROR(INDEX(Sheet4!$2:$1605,MATCH(ChiTietKQKD[[#This Row],[Mã CP]],Sheet4!$B$2:$B$1605,0),_xlfn.XMATCH("*Tăng trưởng doanh thu thuần (QoQ)*",Sheet4!$1:$1,2)),"")</f>
        <v>0</v>
      </c>
      <c r="R69" s="10" cm="1">
        <f t="array" ref="R69">IFERROR(INDEX(Sheet4!$2:$1605,MATCH(ChiTietKQKD[[#This Row],[Mã CP]],Sheet4!$B$2:$B$1605,0),_xlfn.XMATCH("*Tăng trưởng lợi nhuận sau thuế (QoQ)*",Sheet4!$1:$1,2)),"")</f>
        <v>0</v>
      </c>
    </row>
    <row r="70" spans="1:18" x14ac:dyDescent="0.25">
      <c r="A70" s="7">
        <f>Sheet4!A49</f>
        <v>48</v>
      </c>
      <c r="B70" t="str">
        <f>Sheet4!B49</f>
        <v>CCC</v>
      </c>
      <c r="C70" t="str">
        <f>Sheet4!C48</f>
        <v>Xây dựng 47</v>
      </c>
      <c r="D70" t="str">
        <f>Sheet4!D49</f>
        <v>HOSE</v>
      </c>
      <c r="E70" s="7">
        <f>Sheet4!AH49/1000000000</f>
        <v>299.29085522999998</v>
      </c>
      <c r="F70" t="str">
        <f>Sheet4!E49</f>
        <v>Công nghiệp</v>
      </c>
      <c r="G70" t="str">
        <f>Sheet4!F49</f>
        <v>Xây dựng và Vật liệu</v>
      </c>
      <c r="H70" t="str">
        <f>Sheet4!G49</f>
        <v>Xây dựng</v>
      </c>
      <c r="I70" s="9" t="str" cm="1">
        <f t="array" ref="I7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0" s="9" t="str" cm="1">
        <f t="array" ref="J7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0" s="10" cm="1">
        <f t="array" ref="K7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0" s="10" cm="1">
        <f t="array" ref="L7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0" s="9" t="str" cm="1">
        <f t="array" ref="M7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0" s="9" t="str" cm="1">
        <f t="array" ref="N7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0" s="10" cm="1">
        <f t="array" ref="O70">IFERROR(INDEX(Sheet4!$2:$1605,MATCH(ChiTietKQKD[[#This Row],[Mã CP]],Sheet4!$B$2:$B$1605,0),_xlfn.XMATCH("*Tăng trưởng lợi nhuận sau thuế (YoY) (Quý*",Sheet4!$1:$1,2)),"")</f>
        <v>0</v>
      </c>
      <c r="P70" s="10" cm="1">
        <f t="array" ref="P70">IFERROR(INDEX(Sheet4!$2:$1605,MATCH(ChiTietKQKD[[#This Row],[Mã CP]],Sheet4!$B$2:$B$1605,0),_xlfn.XMATCH("*Tăng trưởng lợi nhuận sau thuế (YoY) (6M)*",Sheet4!$1:$1,2)),"")</f>
        <v>0</v>
      </c>
      <c r="Q70" s="10" cm="1">
        <f t="array" ref="Q70">IFERROR(INDEX(Sheet4!$2:$1605,MATCH(ChiTietKQKD[[#This Row],[Mã CP]],Sheet4!$B$2:$B$1605,0),_xlfn.XMATCH("*Tăng trưởng doanh thu thuần (QoQ)*",Sheet4!$1:$1,2)),"")</f>
        <v>0</v>
      </c>
      <c r="R70" s="10" cm="1">
        <f t="array" ref="R70">IFERROR(INDEX(Sheet4!$2:$1605,MATCH(ChiTietKQKD[[#This Row],[Mã CP]],Sheet4!$B$2:$B$1605,0),_xlfn.XMATCH("*Tăng trưởng lợi nhuận sau thuế (QoQ)*",Sheet4!$1:$1,2)),"")</f>
        <v>0</v>
      </c>
    </row>
    <row r="71" spans="1:18" x14ac:dyDescent="0.25">
      <c r="A71" s="7">
        <f>Sheet4!A50</f>
        <v>49</v>
      </c>
      <c r="B71" t="str">
        <f>Sheet4!B50</f>
        <v>CCI</v>
      </c>
      <c r="C71" t="str">
        <f>Sheet4!C49</f>
        <v>Xây Dựng CDC</v>
      </c>
      <c r="D71" t="str">
        <f>Sheet4!D50</f>
        <v>HOSE</v>
      </c>
      <c r="E71" s="7">
        <f>Sheet4!AH50/1000000000</f>
        <v>397.59838000000002</v>
      </c>
      <c r="F71" t="str">
        <f>Sheet4!E50</f>
        <v>Tiện ích Cộng đồng</v>
      </c>
      <c r="G71" t="str">
        <f>Sheet4!F50</f>
        <v>Điện, nước &amp; xăng dầu khí đốt</v>
      </c>
      <c r="H71" t="str">
        <f>Sheet4!G50</f>
        <v>Phân phối xăng dầu &amp; khí đốt</v>
      </c>
      <c r="I71" s="9" cm="1">
        <f t="array" ref="I7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123.23712636400001</v>
      </c>
      <c r="J71" s="9" cm="1">
        <f t="array" ref="J7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225.28417190499999</v>
      </c>
      <c r="K71" s="10" cm="1">
        <f t="array" ref="K7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0.28100000000000003</v>
      </c>
      <c r="L71" s="10" cm="1">
        <f t="array" ref="L7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0.1968</v>
      </c>
      <c r="M71" s="9" cm="1">
        <f t="array" ref="M71">_xlfn.LET(_xlpm.val,IFERROR(INDEX(Sheet4!$2:$1605,MATCH(ChiTietKQKD[[#This Row],[Mã CP]],Sheet4!$B$2:$B$1605,0),_xlfn.XMATCH("*Lợi nhuận sau thuế*Q2*2026*",Sheet4!$1:$1,2)),0),IF(OR(_xlpm.val="",_xlpm.val=0),"",_xlpm.val/1000000000))</f>
        <v>13.130546352</v>
      </c>
      <c r="N71" s="9" cm="1">
        <f t="array" ref="N71">_xlfn.LET(_xlpm.val,IFERROR(INDEX(Sheet4!$2:$1605,MATCH(ChiTietKQKD[[#This Row],[Mã CP]],Sheet4!$B$2:$B$1605,0),_xlfn.XMATCH("*Lợi nhuận sau thuế*6 tháng*2026*",Sheet4!$1:$1,2)),0),IF(OR(_xlpm.val="",_xlpm.val=0),"",_xlpm.val/1000000000))</f>
        <v>27.785230554000002</v>
      </c>
      <c r="O71" s="10" cm="1">
        <f t="array" ref="O71">IFERROR(INDEX(Sheet4!$2:$1605,MATCH(ChiTietKQKD[[#This Row],[Mã CP]],Sheet4!$B$2:$B$1605,0),_xlfn.XMATCH("*Tăng trưởng lợi nhuận sau thuế (YoY) (Quý*",Sheet4!$1:$1,2)),"")</f>
        <v>-0.3594</v>
      </c>
      <c r="P71" s="10" cm="1">
        <f t="array" ref="P71">IFERROR(INDEX(Sheet4!$2:$1605,MATCH(ChiTietKQKD[[#This Row],[Mã CP]],Sheet4!$B$2:$B$1605,0),_xlfn.XMATCH("*Tăng trưởng lợi nhuận sau thuế (YoY) (6M)*",Sheet4!$1:$1,2)),"")</f>
        <v>-0.22720000000000001</v>
      </c>
      <c r="Q71" s="10" cm="1">
        <f t="array" ref="Q71">IFERROR(INDEX(Sheet4!$2:$1605,MATCH(ChiTietKQKD[[#This Row],[Mã CP]],Sheet4!$B$2:$B$1605,0),_xlfn.XMATCH("*Tăng trưởng doanh thu thuần (QoQ)*",Sheet4!$1:$1,2)),"")</f>
        <v>0.2077</v>
      </c>
      <c r="R71" s="10" cm="1">
        <f t="array" ref="R71">IFERROR(INDEX(Sheet4!$2:$1605,MATCH(ChiTietKQKD[[#This Row],[Mã CP]],Sheet4!$B$2:$B$1605,0),_xlfn.XMATCH("*Tăng trưởng lợi nhuận sau thuế (QoQ)*",Sheet4!$1:$1,2)),"")</f>
        <v>-0.104</v>
      </c>
    </row>
    <row r="72" spans="1:18" x14ac:dyDescent="0.25">
      <c r="A72" s="7">
        <f>Sheet4!A51</f>
        <v>50</v>
      </c>
      <c r="B72" t="str">
        <f>Sheet4!B51</f>
        <v>CCL</v>
      </c>
      <c r="C72" t="str">
        <f>Sheet4!C50</f>
        <v>CIDICO</v>
      </c>
      <c r="D72" t="str">
        <f>Sheet4!D51</f>
        <v>HOSE</v>
      </c>
      <c r="E72" s="7">
        <f>Sheet4!AH51/1000000000</f>
        <v>255.59930370000001</v>
      </c>
      <c r="F72" t="str">
        <f>Sheet4!E51</f>
        <v>Tài chính</v>
      </c>
      <c r="G72" t="str">
        <f>Sheet4!F51</f>
        <v>Bất động sản</v>
      </c>
      <c r="H72" t="str">
        <f>Sheet4!G51</f>
        <v>Bất động sản</v>
      </c>
      <c r="I72" s="9" cm="1">
        <f t="array" ref="I7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65.492489391000007</v>
      </c>
      <c r="J72" s="9" cm="1">
        <f t="array" ref="J7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134.79712537200001</v>
      </c>
      <c r="K72" s="10" cm="1">
        <f t="array" ref="K7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-0.50329999999999997</v>
      </c>
      <c r="L72" s="10" cm="1">
        <f t="array" ref="L7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-0.32329999999999998</v>
      </c>
      <c r="M72" s="9" cm="1">
        <f t="array" ref="M72">_xlfn.LET(_xlpm.val,IFERROR(INDEX(Sheet4!$2:$1605,MATCH(ChiTietKQKD[[#This Row],[Mã CP]],Sheet4!$B$2:$B$1605,0),_xlfn.XMATCH("*Lợi nhuận sau thuế*Q2*2026*",Sheet4!$1:$1,2)),0),IF(OR(_xlpm.val="",_xlpm.val=0),"",_xlpm.val/1000000000))</f>
        <v>0.54369414500000002</v>
      </c>
      <c r="N72" s="9" cm="1">
        <f t="array" ref="N72">_xlfn.LET(_xlpm.val,IFERROR(INDEX(Sheet4!$2:$1605,MATCH(ChiTietKQKD[[#This Row],[Mã CP]],Sheet4!$B$2:$B$1605,0),_xlfn.XMATCH("*Lợi nhuận sau thuế*6 tháng*2026*",Sheet4!$1:$1,2)),0),IF(OR(_xlpm.val="",_xlpm.val=0),"",_xlpm.val/1000000000))</f>
        <v>8.7582436619999999</v>
      </c>
      <c r="O72" s="10" cm="1">
        <f t="array" ref="O72">IFERROR(INDEX(Sheet4!$2:$1605,MATCH(ChiTietKQKD[[#This Row],[Mã CP]],Sheet4!$B$2:$B$1605,0),_xlfn.XMATCH("*Tăng trưởng lợi nhuận sau thuế (YoY) (Quý*",Sheet4!$1:$1,2)),"")</f>
        <v>-0.95550000000000002</v>
      </c>
      <c r="P72" s="10" cm="1">
        <f t="array" ref="P72">IFERROR(INDEX(Sheet4!$2:$1605,MATCH(ChiTietKQKD[[#This Row],[Mã CP]],Sheet4!$B$2:$B$1605,0),_xlfn.XMATCH("*Tăng trưởng lợi nhuận sau thuế (YoY) (6M)*",Sheet4!$1:$1,2)),"")</f>
        <v>-0.66500000000000004</v>
      </c>
      <c r="Q72" s="10" cm="1">
        <f t="array" ref="Q72">IFERROR(INDEX(Sheet4!$2:$1605,MATCH(ChiTietKQKD[[#This Row],[Mã CP]],Sheet4!$B$2:$B$1605,0),_xlfn.XMATCH("*Tăng trưởng doanh thu thuần (QoQ)*",Sheet4!$1:$1,2)),"")</f>
        <v>-5.5E-2</v>
      </c>
      <c r="R72" s="10" cm="1">
        <f t="array" ref="R72">IFERROR(INDEX(Sheet4!$2:$1605,MATCH(ChiTietKQKD[[#This Row],[Mã CP]],Sheet4!$B$2:$B$1605,0),_xlfn.XMATCH("*Tăng trưởng lợi nhuận sau thuế (QoQ)*",Sheet4!$1:$1,2)),"")</f>
        <v>-0.93379999999999996</v>
      </c>
    </row>
    <row r="73" spans="1:18" x14ac:dyDescent="0.25">
      <c r="A73" s="7">
        <f>Sheet4!A52</f>
        <v>51</v>
      </c>
      <c r="B73" t="str">
        <f>Sheet4!B52</f>
        <v>CDC</v>
      </c>
      <c r="C73" t="str">
        <f>Sheet4!C51</f>
        <v>ĐT &amp; PT Đô thị Dầu khí Cửu Long</v>
      </c>
      <c r="D73" t="str">
        <f>Sheet4!D52</f>
        <v>HOSE</v>
      </c>
      <c r="E73" s="7">
        <f>Sheet4!AH52/1000000000</f>
        <v>1942.0339248</v>
      </c>
      <c r="F73" t="str">
        <f>Sheet4!E52</f>
        <v>Công nghiệp</v>
      </c>
      <c r="G73" t="str">
        <f>Sheet4!F52</f>
        <v>Xây dựng và Vật liệu</v>
      </c>
      <c r="H73" t="str">
        <f>Sheet4!G52</f>
        <v>Xây dựng</v>
      </c>
      <c r="I73" s="9" t="str" cm="1">
        <f t="array" ref="I7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3" s="9" t="str" cm="1">
        <f t="array" ref="J7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3" s="10" cm="1">
        <f t="array" ref="K7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3" s="10" cm="1">
        <f t="array" ref="L7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3" s="9" t="str" cm="1">
        <f t="array" ref="M7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3" s="9" t="str" cm="1">
        <f t="array" ref="N7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3" s="10" cm="1">
        <f t="array" ref="O73">IFERROR(INDEX(Sheet4!$2:$1605,MATCH(ChiTietKQKD[[#This Row],[Mã CP]],Sheet4!$B$2:$B$1605,0),_xlfn.XMATCH("*Tăng trưởng lợi nhuận sau thuế (YoY) (Quý*",Sheet4!$1:$1,2)),"")</f>
        <v>0</v>
      </c>
      <c r="P73" s="10" cm="1">
        <f t="array" ref="P73">IFERROR(INDEX(Sheet4!$2:$1605,MATCH(ChiTietKQKD[[#This Row],[Mã CP]],Sheet4!$B$2:$B$1605,0),_xlfn.XMATCH("*Tăng trưởng lợi nhuận sau thuế (YoY) (6M)*",Sheet4!$1:$1,2)),"")</f>
        <v>0</v>
      </c>
      <c r="Q73" s="10" cm="1">
        <f t="array" ref="Q73">IFERROR(INDEX(Sheet4!$2:$1605,MATCH(ChiTietKQKD[[#This Row],[Mã CP]],Sheet4!$B$2:$B$1605,0),_xlfn.XMATCH("*Tăng trưởng doanh thu thuần (QoQ)*",Sheet4!$1:$1,2)),"")</f>
        <v>0</v>
      </c>
      <c r="R73" s="10" cm="1">
        <f t="array" ref="R73">IFERROR(INDEX(Sheet4!$2:$1605,MATCH(ChiTietKQKD[[#This Row],[Mã CP]],Sheet4!$B$2:$B$1605,0),_xlfn.XMATCH("*Tăng trưởng lợi nhuận sau thuế (QoQ)*",Sheet4!$1:$1,2)),"")</f>
        <v>0</v>
      </c>
    </row>
    <row r="74" spans="1:18" x14ac:dyDescent="0.25">
      <c r="A74" s="7">
        <f>Sheet4!A53</f>
        <v>52</v>
      </c>
      <c r="B74" t="str">
        <f>Sheet4!B53</f>
        <v>CHP</v>
      </c>
      <c r="C74" t="str">
        <f>Sheet4!C52</f>
        <v>Chương Dương Corp</v>
      </c>
      <c r="D74" t="str">
        <f>Sheet4!D53</f>
        <v>HOSE</v>
      </c>
      <c r="E74" s="7">
        <f>Sheet4!AH53/1000000000</f>
        <v>4304.0654747999997</v>
      </c>
      <c r="F74" t="str">
        <f>Sheet4!E53</f>
        <v>Tiện ích Cộng đồng</v>
      </c>
      <c r="G74" t="str">
        <f>Sheet4!F53</f>
        <v>Điện, nước &amp; xăng dầu khí đốt</v>
      </c>
      <c r="H74" t="str">
        <f>Sheet4!G53</f>
        <v>Sản xuất &amp; Phân phối Điện</v>
      </c>
      <c r="I74" s="9" cm="1">
        <f t="array" ref="I7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123.46674131499999</v>
      </c>
      <c r="J74" s="9" cm="1">
        <f t="array" ref="J7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321.96966671400003</v>
      </c>
      <c r="K74" s="10" cm="1">
        <f t="array" ref="K7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-0.4783</v>
      </c>
      <c r="L74" s="10" cm="1">
        <f t="array" ref="L7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-0.31609999999999999</v>
      </c>
      <c r="M74" s="9" cm="1">
        <f t="array" ref="M74">_xlfn.LET(_xlpm.val,IFERROR(INDEX(Sheet4!$2:$1605,MATCH(ChiTietKQKD[[#This Row],[Mã CP]],Sheet4!$B$2:$B$1605,0),_xlfn.XMATCH("*Lợi nhuận sau thuế*Q2*2026*",Sheet4!$1:$1,2)),0),IF(OR(_xlpm.val="",_xlpm.val=0),"",_xlpm.val/1000000000))</f>
        <v>27.89155409</v>
      </c>
      <c r="N74" s="9" cm="1">
        <f t="array" ref="N74">_xlfn.LET(_xlpm.val,IFERROR(INDEX(Sheet4!$2:$1605,MATCH(ChiTietKQKD[[#This Row],[Mã CP]],Sheet4!$B$2:$B$1605,0),_xlfn.XMATCH("*Lợi nhuận sau thuế*6 tháng*2026*",Sheet4!$1:$1,2)),0),IF(OR(_xlpm.val="",_xlpm.val=0),"",_xlpm.val/1000000000))</f>
        <v>118.72396342</v>
      </c>
      <c r="O74" s="10" cm="1">
        <f t="array" ref="O74">IFERROR(INDEX(Sheet4!$2:$1605,MATCH(ChiTietKQKD[[#This Row],[Mã CP]],Sheet4!$B$2:$B$1605,0),_xlfn.XMATCH("*Tăng trưởng lợi nhuận sau thuế (YoY) (Quý*",Sheet4!$1:$1,2)),"")</f>
        <v>-0.73380000000000001</v>
      </c>
      <c r="P74" s="10" cm="1">
        <f t="array" ref="P74">IFERROR(INDEX(Sheet4!$2:$1605,MATCH(ChiTietKQKD[[#This Row],[Mã CP]],Sheet4!$B$2:$B$1605,0),_xlfn.XMATCH("*Tăng trưởng lợi nhuận sau thuế (YoY) (6M)*",Sheet4!$1:$1,2)),"")</f>
        <v>-0.47149999999999997</v>
      </c>
      <c r="Q74" s="10" cm="1">
        <f t="array" ref="Q74">IFERROR(INDEX(Sheet4!$2:$1605,MATCH(ChiTietKQKD[[#This Row],[Mã CP]],Sheet4!$B$2:$B$1605,0),_xlfn.XMATCH("*Tăng trưởng doanh thu thuần (QoQ)*",Sheet4!$1:$1,2)),"")</f>
        <v>-0.378</v>
      </c>
      <c r="R74" s="10" cm="1">
        <f t="array" ref="R74">IFERROR(INDEX(Sheet4!$2:$1605,MATCH(ChiTietKQKD[[#This Row],[Mã CP]],Sheet4!$B$2:$B$1605,0),_xlfn.XMATCH("*Tăng trưởng lợi nhuận sau thuế (QoQ)*",Sheet4!$1:$1,2)),"")</f>
        <v>-0.69289999999999996</v>
      </c>
    </row>
    <row r="75" spans="1:18" x14ac:dyDescent="0.25">
      <c r="A75" s="7">
        <f>Sheet4!A54</f>
        <v>53</v>
      </c>
      <c r="B75" t="str">
        <f>Sheet4!B54</f>
        <v>CIG</v>
      </c>
      <c r="C75" t="str">
        <f>Sheet4!C53</f>
        <v>Thủy điện Miền Trung</v>
      </c>
      <c r="D75" t="str">
        <f>Sheet4!D54</f>
        <v>HOSE</v>
      </c>
      <c r="E75" s="7">
        <f>Sheet4!AH54/1000000000</f>
        <v>353.70683271000001</v>
      </c>
      <c r="F75" t="str">
        <f>Sheet4!E54</f>
        <v>Công nghiệp</v>
      </c>
      <c r="G75" t="str">
        <f>Sheet4!F54</f>
        <v>Xây dựng và Vật liệu</v>
      </c>
      <c r="H75" t="str">
        <f>Sheet4!G54</f>
        <v>Xây dựng</v>
      </c>
      <c r="I75" s="9" t="str" cm="1">
        <f t="array" ref="I7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5" s="9" t="str" cm="1">
        <f t="array" ref="J7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5" s="10" cm="1">
        <f t="array" ref="K7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5" s="10" cm="1">
        <f t="array" ref="L7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5" s="9" t="str" cm="1">
        <f t="array" ref="M7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5" s="9" t="str" cm="1">
        <f t="array" ref="N7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5" s="10" cm="1">
        <f t="array" ref="O75">IFERROR(INDEX(Sheet4!$2:$1605,MATCH(ChiTietKQKD[[#This Row],[Mã CP]],Sheet4!$B$2:$B$1605,0),_xlfn.XMATCH("*Tăng trưởng lợi nhuận sau thuế (YoY) (Quý*",Sheet4!$1:$1,2)),"")</f>
        <v>0</v>
      </c>
      <c r="P75" s="10" cm="1">
        <f t="array" ref="P75">IFERROR(INDEX(Sheet4!$2:$1605,MATCH(ChiTietKQKD[[#This Row],[Mã CP]],Sheet4!$B$2:$B$1605,0),_xlfn.XMATCH("*Tăng trưởng lợi nhuận sau thuế (YoY) (6M)*",Sheet4!$1:$1,2)),"")</f>
        <v>0</v>
      </c>
      <c r="Q75" s="10" cm="1">
        <f t="array" ref="Q75">IFERROR(INDEX(Sheet4!$2:$1605,MATCH(ChiTietKQKD[[#This Row],[Mã CP]],Sheet4!$B$2:$B$1605,0),_xlfn.XMATCH("*Tăng trưởng doanh thu thuần (QoQ)*",Sheet4!$1:$1,2)),"")</f>
        <v>0</v>
      </c>
      <c r="R75" s="10" cm="1">
        <f t="array" ref="R75">IFERROR(INDEX(Sheet4!$2:$1605,MATCH(ChiTietKQKD[[#This Row],[Mã CP]],Sheet4!$B$2:$B$1605,0),_xlfn.XMATCH("*Tăng trưởng lợi nhuận sau thuế (QoQ)*",Sheet4!$1:$1,2)),"")</f>
        <v>0</v>
      </c>
    </row>
    <row r="76" spans="1:18" x14ac:dyDescent="0.25">
      <c r="A76" s="7">
        <f>Sheet4!A55</f>
        <v>54</v>
      </c>
      <c r="B76" t="str">
        <f>Sheet4!B55</f>
        <v>CII</v>
      </c>
      <c r="C76" t="str">
        <f>Sheet4!C54</f>
        <v>Xây dựng COMA 18</v>
      </c>
      <c r="D76" t="str">
        <f>Sheet4!D55</f>
        <v>HOSE</v>
      </c>
      <c r="E76" s="7">
        <f>Sheet4!AH55/1000000000</f>
        <v>9374.1948094500003</v>
      </c>
      <c r="F76" t="str">
        <f>Sheet4!E55</f>
        <v>Công nghiệp</v>
      </c>
      <c r="G76" t="str">
        <f>Sheet4!F55</f>
        <v>Xây dựng và Vật liệu</v>
      </c>
      <c r="H76" t="str">
        <f>Sheet4!G55</f>
        <v>Xây dựng</v>
      </c>
      <c r="I76" s="9" t="str" cm="1">
        <f t="array" ref="I7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6" s="9" t="str" cm="1">
        <f t="array" ref="J7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6" s="10" cm="1">
        <f t="array" ref="K7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6" s="10" cm="1">
        <f t="array" ref="L7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6" s="9" t="str" cm="1">
        <f t="array" ref="M7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6" s="9" t="str" cm="1">
        <f t="array" ref="N7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6" s="10" cm="1">
        <f t="array" ref="O76">IFERROR(INDEX(Sheet4!$2:$1605,MATCH(ChiTietKQKD[[#This Row],[Mã CP]],Sheet4!$B$2:$B$1605,0),_xlfn.XMATCH("*Tăng trưởng lợi nhuận sau thuế (YoY) (Quý*",Sheet4!$1:$1,2)),"")</f>
        <v>0</v>
      </c>
      <c r="P76" s="10" cm="1">
        <f t="array" ref="P76">IFERROR(INDEX(Sheet4!$2:$1605,MATCH(ChiTietKQKD[[#This Row],[Mã CP]],Sheet4!$B$2:$B$1605,0),_xlfn.XMATCH("*Tăng trưởng lợi nhuận sau thuế (YoY) (6M)*",Sheet4!$1:$1,2)),"")</f>
        <v>0</v>
      </c>
      <c r="Q76" s="10" cm="1">
        <f t="array" ref="Q76">IFERROR(INDEX(Sheet4!$2:$1605,MATCH(ChiTietKQKD[[#This Row],[Mã CP]],Sheet4!$B$2:$B$1605,0),_xlfn.XMATCH("*Tăng trưởng doanh thu thuần (QoQ)*",Sheet4!$1:$1,2)),"")</f>
        <v>0</v>
      </c>
      <c r="R76" s="10" cm="1">
        <f t="array" ref="R76">IFERROR(INDEX(Sheet4!$2:$1605,MATCH(ChiTietKQKD[[#This Row],[Mã CP]],Sheet4!$B$2:$B$1605,0),_xlfn.XMATCH("*Tăng trưởng lợi nhuận sau thuế (QoQ)*",Sheet4!$1:$1,2)),"")</f>
        <v>0</v>
      </c>
    </row>
    <row r="77" spans="1:18" x14ac:dyDescent="0.25">
      <c r="A77" s="7">
        <f>Sheet4!A56</f>
        <v>55</v>
      </c>
      <c r="B77" t="str">
        <f>Sheet4!B56</f>
        <v>CKG</v>
      </c>
      <c r="C77" t="str">
        <f>Sheet4!C55</f>
        <v>Hạ tầng Kỹ thuật TP.HCM</v>
      </c>
      <c r="D77" t="str">
        <f>Sheet4!D56</f>
        <v>HOSE</v>
      </c>
      <c r="E77" s="7">
        <f>Sheet4!AH56/1000000000</f>
        <v>991.88013437999996</v>
      </c>
      <c r="F77" t="str">
        <f>Sheet4!E56</f>
        <v>Tài chính</v>
      </c>
      <c r="G77" t="str">
        <f>Sheet4!F56</f>
        <v>Bất động sản</v>
      </c>
      <c r="H77" t="str">
        <f>Sheet4!G56</f>
        <v>Bất động sản</v>
      </c>
      <c r="I77" s="9" t="str" cm="1">
        <f t="array" ref="I7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7" s="9" t="str" cm="1">
        <f t="array" ref="J7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7" s="10" cm="1">
        <f t="array" ref="K7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7" s="10" cm="1">
        <f t="array" ref="L7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7" s="9" t="str" cm="1">
        <f t="array" ref="M7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7" s="9" t="str" cm="1">
        <f t="array" ref="N7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7" s="10" cm="1">
        <f t="array" ref="O77">IFERROR(INDEX(Sheet4!$2:$1605,MATCH(ChiTietKQKD[[#This Row],[Mã CP]],Sheet4!$B$2:$B$1605,0),_xlfn.XMATCH("*Tăng trưởng lợi nhuận sau thuế (YoY) (Quý*",Sheet4!$1:$1,2)),"")</f>
        <v>0</v>
      </c>
      <c r="P77" s="10" cm="1">
        <f t="array" ref="P77">IFERROR(INDEX(Sheet4!$2:$1605,MATCH(ChiTietKQKD[[#This Row],[Mã CP]],Sheet4!$B$2:$B$1605,0),_xlfn.XMATCH("*Tăng trưởng lợi nhuận sau thuế (YoY) (6M)*",Sheet4!$1:$1,2)),"")</f>
        <v>0</v>
      </c>
      <c r="Q77" s="10" cm="1">
        <f t="array" ref="Q77">IFERROR(INDEX(Sheet4!$2:$1605,MATCH(ChiTietKQKD[[#This Row],[Mã CP]],Sheet4!$B$2:$B$1605,0),_xlfn.XMATCH("*Tăng trưởng doanh thu thuần (QoQ)*",Sheet4!$1:$1,2)),"")</f>
        <v>0</v>
      </c>
      <c r="R77" s="10" cm="1">
        <f t="array" ref="R77">IFERROR(INDEX(Sheet4!$2:$1605,MATCH(ChiTietKQKD[[#This Row],[Mã CP]],Sheet4!$B$2:$B$1605,0),_xlfn.XMATCH("*Tăng trưởng lợi nhuận sau thuế (QoQ)*",Sheet4!$1:$1,2)),"")</f>
        <v>0</v>
      </c>
    </row>
    <row r="78" spans="1:18" x14ac:dyDescent="0.25">
      <c r="A78" s="7">
        <f>Sheet4!A57</f>
        <v>56</v>
      </c>
      <c r="B78" t="str">
        <f>Sheet4!B57</f>
        <v>CLC</v>
      </c>
      <c r="C78" t="str">
        <f>Sheet4!C56</f>
        <v>Tập đoàn CIC</v>
      </c>
      <c r="D78" t="str">
        <f>Sheet4!D57</f>
        <v>HOSE</v>
      </c>
      <c r="E78" s="7">
        <f>Sheet4!AH57/1000000000</f>
        <v>1310.37915</v>
      </c>
      <c r="F78" t="str">
        <f>Sheet4!E57</f>
        <v>Hàng Tiêu dùng</v>
      </c>
      <c r="G78" t="str">
        <f>Sheet4!F57</f>
        <v>Hàng cá nhân &amp; Gia dụng</v>
      </c>
      <c r="H78" t="str">
        <f>Sheet4!G57</f>
        <v>Thuốc lá</v>
      </c>
      <c r="I78" s="9" cm="1">
        <f t="array" ref="I7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1147.3679881119999</v>
      </c>
      <c r="J78" s="9" cm="1">
        <f t="array" ref="J7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2181.22737495</v>
      </c>
      <c r="K78" s="10" cm="1">
        <f t="array" ref="K7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7.0000000000000007E-2</v>
      </c>
      <c r="L78" s="10" cm="1">
        <f t="array" ref="L7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7.7200000000000005E-2</v>
      </c>
      <c r="M78" s="9" cm="1">
        <f t="array" ref="M78">_xlfn.LET(_xlpm.val,IFERROR(INDEX(Sheet4!$2:$1605,MATCH(ChiTietKQKD[[#This Row],[Mã CP]],Sheet4!$B$2:$B$1605,0),_xlfn.XMATCH("*Lợi nhuận sau thuế*Q2*2026*",Sheet4!$1:$1,2)),0),IF(OR(_xlpm.val="",_xlpm.val=0),"",_xlpm.val/1000000000))</f>
        <v>61.496916575</v>
      </c>
      <c r="N78" s="9" cm="1">
        <f t="array" ref="N78">_xlfn.LET(_xlpm.val,IFERROR(INDEX(Sheet4!$2:$1605,MATCH(ChiTietKQKD[[#This Row],[Mã CP]],Sheet4!$B$2:$B$1605,0),_xlfn.XMATCH("*Lợi nhuận sau thuế*6 tháng*2026*",Sheet4!$1:$1,2)),0),IF(OR(_xlpm.val="",_xlpm.val=0),"",_xlpm.val/1000000000))</f>
        <v>96.910648073999994</v>
      </c>
      <c r="O78" s="10" cm="1">
        <f t="array" ref="O78">IFERROR(INDEX(Sheet4!$2:$1605,MATCH(ChiTietKQKD[[#This Row],[Mã CP]],Sheet4!$B$2:$B$1605,0),_xlfn.XMATCH("*Tăng trưởng lợi nhuận sau thuế (YoY) (Quý*",Sheet4!$1:$1,2)),"")</f>
        <v>0.63049999999999995</v>
      </c>
      <c r="P78" s="10" cm="1">
        <f t="array" ref="P78">IFERROR(INDEX(Sheet4!$2:$1605,MATCH(ChiTietKQKD[[#This Row],[Mã CP]],Sheet4!$B$2:$B$1605,0),_xlfn.XMATCH("*Tăng trưởng lợi nhuận sau thuế (YoY) (6M)*",Sheet4!$1:$1,2)),"")</f>
        <v>0.23669999999999999</v>
      </c>
      <c r="Q78" s="10" cm="1">
        <f t="array" ref="Q78">IFERROR(INDEX(Sheet4!$2:$1605,MATCH(ChiTietKQKD[[#This Row],[Mã CP]],Sheet4!$B$2:$B$1605,0),_xlfn.XMATCH("*Tăng trưởng doanh thu thuần (QoQ)*",Sheet4!$1:$1,2)),"")</f>
        <v>0.10979999999999999</v>
      </c>
      <c r="R78" s="10" cm="1">
        <f t="array" ref="R78">IFERROR(INDEX(Sheet4!$2:$1605,MATCH(ChiTietKQKD[[#This Row],[Mã CP]],Sheet4!$B$2:$B$1605,0),_xlfn.XMATCH("*Tăng trưởng lợi nhuận sau thuế (QoQ)*",Sheet4!$1:$1,2)),"")</f>
        <v>0.73650000000000004</v>
      </c>
    </row>
    <row r="79" spans="1:18" x14ac:dyDescent="0.25">
      <c r="A79" s="7">
        <f>Sheet4!A58</f>
        <v>57</v>
      </c>
      <c r="B79" t="str">
        <f>Sheet4!B58</f>
        <v>CLL</v>
      </c>
      <c r="C79" t="str">
        <f>Sheet4!C57</f>
        <v>Thuốc lá Cát Lợi</v>
      </c>
      <c r="D79" t="str">
        <f>Sheet4!D58</f>
        <v>HOSE</v>
      </c>
      <c r="E79" s="7">
        <f>Sheet4!AH58/1000000000</f>
        <v>1021.7</v>
      </c>
      <c r="F79" t="str">
        <f>Sheet4!E58</f>
        <v>Công nghiệp</v>
      </c>
      <c r="G79" t="str">
        <f>Sheet4!F58</f>
        <v>Hàng &amp; Dịch vụ Công nghiệp</v>
      </c>
      <c r="H79" t="str">
        <f>Sheet4!G58</f>
        <v>Kho bãi, hậu cần và bảo dưỡng</v>
      </c>
      <c r="I79" s="9" t="str" cm="1">
        <f t="array" ref="I7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9" s="9" t="str" cm="1">
        <f t="array" ref="J7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9" s="10" cm="1">
        <f t="array" ref="K7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9" s="10" cm="1">
        <f t="array" ref="L7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9" s="9" t="str" cm="1">
        <f t="array" ref="M7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9" s="9" t="str" cm="1">
        <f t="array" ref="N7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9" s="10" cm="1">
        <f t="array" ref="O79">IFERROR(INDEX(Sheet4!$2:$1605,MATCH(ChiTietKQKD[[#This Row],[Mã CP]],Sheet4!$B$2:$B$1605,0),_xlfn.XMATCH("*Tăng trưởng lợi nhuận sau thuế (YoY) (Quý*",Sheet4!$1:$1,2)),"")</f>
        <v>0</v>
      </c>
      <c r="P79" s="10" cm="1">
        <f t="array" ref="P79">IFERROR(INDEX(Sheet4!$2:$1605,MATCH(ChiTietKQKD[[#This Row],[Mã CP]],Sheet4!$B$2:$B$1605,0),_xlfn.XMATCH("*Tăng trưởng lợi nhuận sau thuế (YoY) (6M)*",Sheet4!$1:$1,2)),"")</f>
        <v>0</v>
      </c>
      <c r="Q79" s="10" cm="1">
        <f t="array" ref="Q79">IFERROR(INDEX(Sheet4!$2:$1605,MATCH(ChiTietKQKD[[#This Row],[Mã CP]],Sheet4!$B$2:$B$1605,0),_xlfn.XMATCH("*Tăng trưởng doanh thu thuần (QoQ)*",Sheet4!$1:$1,2)),"")</f>
        <v>0</v>
      </c>
      <c r="R79" s="10" cm="1">
        <f t="array" ref="R79">IFERROR(INDEX(Sheet4!$2:$1605,MATCH(ChiTietKQKD[[#This Row],[Mã CP]],Sheet4!$B$2:$B$1605,0),_xlfn.XMATCH("*Tăng trưởng lợi nhuận sau thuế (QoQ)*",Sheet4!$1:$1,2)),"")</f>
        <v>0</v>
      </c>
    </row>
    <row r="80" spans="1:18" x14ac:dyDescent="0.25">
      <c r="A80" s="7">
        <f>Sheet4!A59</f>
        <v>58</v>
      </c>
      <c r="B80" t="str">
        <f>Sheet4!B59</f>
        <v>CLW</v>
      </c>
      <c r="C80" t="str">
        <f>Sheet4!C58</f>
        <v>Cảng Cát Lái</v>
      </c>
      <c r="D80" t="str">
        <f>Sheet4!D59</f>
        <v>HOSE</v>
      </c>
      <c r="E80" s="7">
        <f>Sheet4!AH59/1000000000</f>
        <v>501.15</v>
      </c>
      <c r="F80" t="str">
        <f>Sheet4!E59</f>
        <v>Tiện ích Cộng đồng</v>
      </c>
      <c r="G80" t="str">
        <f>Sheet4!F59</f>
        <v>Điện, nước &amp; xăng dầu khí đốt</v>
      </c>
      <c r="H80" t="str">
        <f>Sheet4!G59</f>
        <v>Nước</v>
      </c>
      <c r="I80" s="9" cm="1">
        <f t="array" ref="I8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325.32741915299999</v>
      </c>
      <c r="J80" s="9" cm="1">
        <f t="array" ref="J8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630.58922396399998</v>
      </c>
      <c r="K80" s="10" cm="1">
        <f t="array" ref="K8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-1.5699999999999999E-2</v>
      </c>
      <c r="L80" s="10" cm="1">
        <f t="array" ref="L8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-8.0000000000000002E-3</v>
      </c>
      <c r="M80" s="9" cm="1">
        <f t="array" ref="M80">_xlfn.LET(_xlpm.val,IFERROR(INDEX(Sheet4!$2:$1605,MATCH(ChiTietKQKD[[#This Row],[Mã CP]],Sheet4!$B$2:$B$1605,0),_xlfn.XMATCH("*Lợi nhuận sau thuế*Q2*2026*",Sheet4!$1:$1,2)),0),IF(OR(_xlpm.val="",_xlpm.val=0),"",_xlpm.val/1000000000))</f>
        <v>20.905372625999998</v>
      </c>
      <c r="N80" s="9" cm="1">
        <f t="array" ref="N80">_xlfn.LET(_xlpm.val,IFERROR(INDEX(Sheet4!$2:$1605,MATCH(ChiTietKQKD[[#This Row],[Mã CP]],Sheet4!$B$2:$B$1605,0),_xlfn.XMATCH("*Lợi nhuận sau thuế*6 tháng*2026*",Sheet4!$1:$1,2)),0),IF(OR(_xlpm.val="",_xlpm.val=0),"",_xlpm.val/1000000000))</f>
        <v>34.751656781999998</v>
      </c>
      <c r="O80" s="10" cm="1">
        <f t="array" ref="O80">IFERROR(INDEX(Sheet4!$2:$1605,MATCH(ChiTietKQKD[[#This Row],[Mã CP]],Sheet4!$B$2:$B$1605,0),_xlfn.XMATCH("*Tăng trưởng lợi nhuận sau thuế (YoY) (Quý*",Sheet4!$1:$1,2)),"")</f>
        <v>0.1847</v>
      </c>
      <c r="P80" s="10" cm="1">
        <f t="array" ref="P80">IFERROR(INDEX(Sheet4!$2:$1605,MATCH(ChiTietKQKD[[#This Row],[Mã CP]],Sheet4!$B$2:$B$1605,0),_xlfn.XMATCH("*Tăng trưởng lợi nhuận sau thuế (YoY) (6M)*",Sheet4!$1:$1,2)),"")</f>
        <v>0.17319999999999999</v>
      </c>
      <c r="Q80" s="10" cm="1">
        <f t="array" ref="Q80">IFERROR(INDEX(Sheet4!$2:$1605,MATCH(ChiTietKQKD[[#This Row],[Mã CP]],Sheet4!$B$2:$B$1605,0),_xlfn.XMATCH("*Tăng trưởng doanh thu thuần (QoQ)*",Sheet4!$1:$1,2)),"")</f>
        <v>6.5699999999999995E-2</v>
      </c>
      <c r="R80" s="10" cm="1">
        <f t="array" ref="R80">IFERROR(INDEX(Sheet4!$2:$1605,MATCH(ChiTietKQKD[[#This Row],[Mã CP]],Sheet4!$B$2:$B$1605,0),_xlfn.XMATCH("*Tăng trưởng lợi nhuận sau thuế (QoQ)*",Sheet4!$1:$1,2)),"")</f>
        <v>0.50980000000000003</v>
      </c>
    </row>
    <row r="81" spans="1:18" x14ac:dyDescent="0.25">
      <c r="A81" s="7">
        <f>Sheet4!A60</f>
        <v>59</v>
      </c>
      <c r="B81" t="str">
        <f>Sheet4!B60</f>
        <v>CMG</v>
      </c>
      <c r="C81" t="str">
        <f>Sheet4!C59</f>
        <v>Cấp nước Chợ Lớn</v>
      </c>
      <c r="D81" t="str">
        <f>Sheet4!D60</f>
        <v>HOSE</v>
      </c>
      <c r="E81" s="7">
        <f>Sheet4!AH60/1000000000</f>
        <v>5543.0416103999996</v>
      </c>
      <c r="F81" t="str">
        <f>Sheet4!E60</f>
        <v>Công nghệ Thông tin</v>
      </c>
      <c r="G81" t="str">
        <f>Sheet4!F60</f>
        <v>Công nghệ Thông tin</v>
      </c>
      <c r="H81" t="str">
        <f>Sheet4!G60</f>
        <v>Dịch vụ Máy tính</v>
      </c>
      <c r="I81" s="9" t="str" cm="1">
        <f t="array" ref="I8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1" s="9" t="str" cm="1">
        <f t="array" ref="J8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1" s="10" cm="1">
        <f t="array" ref="K8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1" s="10" cm="1">
        <f t="array" ref="L8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1" s="9" t="str" cm="1">
        <f t="array" ref="M8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1" s="9" t="str" cm="1">
        <f t="array" ref="N8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1" s="10" cm="1">
        <f t="array" ref="O81">IFERROR(INDEX(Sheet4!$2:$1605,MATCH(ChiTietKQKD[[#This Row],[Mã CP]],Sheet4!$B$2:$B$1605,0),_xlfn.XMATCH("*Tăng trưởng lợi nhuận sau thuế (YoY) (Quý*",Sheet4!$1:$1,2)),"")</f>
        <v>0</v>
      </c>
      <c r="P81" s="10" cm="1">
        <f t="array" ref="P81">IFERROR(INDEX(Sheet4!$2:$1605,MATCH(ChiTietKQKD[[#This Row],[Mã CP]],Sheet4!$B$2:$B$1605,0),_xlfn.XMATCH("*Tăng trưởng lợi nhuận sau thuế (YoY) (6M)*",Sheet4!$1:$1,2)),"")</f>
        <v>0</v>
      </c>
      <c r="Q81" s="10" cm="1">
        <f t="array" ref="Q81">IFERROR(INDEX(Sheet4!$2:$1605,MATCH(ChiTietKQKD[[#This Row],[Mã CP]],Sheet4!$B$2:$B$1605,0),_xlfn.XMATCH("*Tăng trưởng doanh thu thuần (QoQ)*",Sheet4!$1:$1,2)),"")</f>
        <v>0</v>
      </c>
      <c r="R81" s="10" cm="1">
        <f t="array" ref="R81">IFERROR(INDEX(Sheet4!$2:$1605,MATCH(ChiTietKQKD[[#This Row],[Mã CP]],Sheet4!$B$2:$B$1605,0),_xlfn.XMATCH("*Tăng trưởng lợi nhuận sau thuế (QoQ)*",Sheet4!$1:$1,2)),"")</f>
        <v>0</v>
      </c>
    </row>
    <row r="82" spans="1:18" x14ac:dyDescent="0.25">
      <c r="A82" s="7">
        <f>Sheet4!A61</f>
        <v>60</v>
      </c>
      <c r="B82" t="str">
        <f>Sheet4!B61</f>
        <v>CMV</v>
      </c>
      <c r="C82" t="str">
        <f>Sheet4!C60</f>
        <v>Tập đoàn Công nghệ CMC</v>
      </c>
      <c r="D82" t="str">
        <f>Sheet4!D61</f>
        <v>HOSE</v>
      </c>
      <c r="E82" s="7">
        <f>Sheet4!AH61/1000000000</f>
        <v>144.33915060000001</v>
      </c>
      <c r="F82" t="str">
        <f>Sheet4!E61</f>
        <v>Dịch vụ Tiêu dùng</v>
      </c>
      <c r="G82" t="str">
        <f>Sheet4!F61</f>
        <v>Bán lẻ</v>
      </c>
      <c r="H82" t="str">
        <f>Sheet4!G61</f>
        <v>Bán lẻ phức hợp</v>
      </c>
      <c r="I82" s="9" t="str" cm="1">
        <f t="array" ref="I8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2" s="9" t="str" cm="1">
        <f t="array" ref="J8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2" s="10" cm="1">
        <f t="array" ref="K8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2" s="10" cm="1">
        <f t="array" ref="L8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2" s="9" t="str" cm="1">
        <f t="array" ref="M8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2" s="9" t="str" cm="1">
        <f t="array" ref="N8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2" s="10" cm="1">
        <f t="array" ref="O82">IFERROR(INDEX(Sheet4!$2:$1605,MATCH(ChiTietKQKD[[#This Row],[Mã CP]],Sheet4!$B$2:$B$1605,0),_xlfn.XMATCH("*Tăng trưởng lợi nhuận sau thuế (YoY) (Quý*",Sheet4!$1:$1,2)),"")</f>
        <v>0</v>
      </c>
      <c r="P82" s="10" cm="1">
        <f t="array" ref="P82">IFERROR(INDEX(Sheet4!$2:$1605,MATCH(ChiTietKQKD[[#This Row],[Mã CP]],Sheet4!$B$2:$B$1605,0),_xlfn.XMATCH("*Tăng trưởng lợi nhuận sau thuế (YoY) (6M)*",Sheet4!$1:$1,2)),"")</f>
        <v>0</v>
      </c>
      <c r="Q82" s="10" cm="1">
        <f t="array" ref="Q82">IFERROR(INDEX(Sheet4!$2:$1605,MATCH(ChiTietKQKD[[#This Row],[Mã CP]],Sheet4!$B$2:$B$1605,0),_xlfn.XMATCH("*Tăng trưởng doanh thu thuần (QoQ)*",Sheet4!$1:$1,2)),"")</f>
        <v>0</v>
      </c>
      <c r="R82" s="10" cm="1">
        <f t="array" ref="R82">IFERROR(INDEX(Sheet4!$2:$1605,MATCH(ChiTietKQKD[[#This Row],[Mã CP]],Sheet4!$B$2:$B$1605,0),_xlfn.XMATCH("*Tăng trưởng lợi nhuận sau thuế (QoQ)*",Sheet4!$1:$1,2)),"")</f>
        <v>0</v>
      </c>
    </row>
    <row r="83" spans="1:18" x14ac:dyDescent="0.25">
      <c r="A83" s="7">
        <f>Sheet4!A62</f>
        <v>61</v>
      </c>
      <c r="B83" t="str">
        <f>Sheet4!B62</f>
        <v>CMX</v>
      </c>
      <c r="C83" t="str">
        <f>Sheet4!C61</f>
        <v>Thương nghiệp Cà Mau</v>
      </c>
      <c r="D83" t="str">
        <f>Sheet4!D62</f>
        <v>HOSE</v>
      </c>
      <c r="E83" s="7">
        <f>Sheet4!AH62/1000000000</f>
        <v>506.43798029999999</v>
      </c>
      <c r="F83" t="str">
        <f>Sheet4!E62</f>
        <v>Hàng Tiêu dùng</v>
      </c>
      <c r="G83" t="str">
        <f>Sheet4!F62</f>
        <v>Thực phẩm và đồ uống</v>
      </c>
      <c r="H83" t="str">
        <f>Sheet4!G62</f>
        <v>Nuôi trồng nông &amp; hải sản</v>
      </c>
      <c r="I83" s="9" t="str" cm="1">
        <f t="array" ref="I8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3" s="9" t="str" cm="1">
        <f t="array" ref="J8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3" s="10" cm="1">
        <f t="array" ref="K8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3" s="10" cm="1">
        <f t="array" ref="L8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3" s="9" t="str" cm="1">
        <f t="array" ref="M8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3" s="9" t="str" cm="1">
        <f t="array" ref="N8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3" s="10" cm="1">
        <f t="array" ref="O83">IFERROR(INDEX(Sheet4!$2:$1605,MATCH(ChiTietKQKD[[#This Row],[Mã CP]],Sheet4!$B$2:$B$1605,0),_xlfn.XMATCH("*Tăng trưởng lợi nhuận sau thuế (YoY) (Quý*",Sheet4!$1:$1,2)),"")</f>
        <v>0</v>
      </c>
      <c r="P83" s="10" cm="1">
        <f t="array" ref="P83">IFERROR(INDEX(Sheet4!$2:$1605,MATCH(ChiTietKQKD[[#This Row],[Mã CP]],Sheet4!$B$2:$B$1605,0),_xlfn.XMATCH("*Tăng trưởng lợi nhuận sau thuế (YoY) (6M)*",Sheet4!$1:$1,2)),"")</f>
        <v>0</v>
      </c>
      <c r="Q83" s="10" cm="1">
        <f t="array" ref="Q83">IFERROR(INDEX(Sheet4!$2:$1605,MATCH(ChiTietKQKD[[#This Row],[Mã CP]],Sheet4!$B$2:$B$1605,0),_xlfn.XMATCH("*Tăng trưởng doanh thu thuần (QoQ)*",Sheet4!$1:$1,2)),"")</f>
        <v>0</v>
      </c>
      <c r="R83" s="10" cm="1">
        <f t="array" ref="R83">IFERROR(INDEX(Sheet4!$2:$1605,MATCH(ChiTietKQKD[[#This Row],[Mã CP]],Sheet4!$B$2:$B$1605,0),_xlfn.XMATCH("*Tăng trưởng lợi nhuận sau thuế (QoQ)*",Sheet4!$1:$1,2)),"")</f>
        <v>0</v>
      </c>
    </row>
    <row r="84" spans="1:18" x14ac:dyDescent="0.25">
      <c r="A84" s="7">
        <f>Sheet4!A63</f>
        <v>62</v>
      </c>
      <c r="B84" t="str">
        <f>Sheet4!B63</f>
        <v>CNG</v>
      </c>
      <c r="C84" t="str">
        <f>Sheet4!C62</f>
        <v>CAMIMEX Group</v>
      </c>
      <c r="D84" t="str">
        <f>Sheet4!D63</f>
        <v>HOSE</v>
      </c>
      <c r="E84" s="7">
        <f>Sheet4!AH63/1000000000</f>
        <v>730.06539840000005</v>
      </c>
      <c r="F84" t="str">
        <f>Sheet4!E63</f>
        <v>Tiện ích Cộng đồng</v>
      </c>
      <c r="G84" t="str">
        <f>Sheet4!F63</f>
        <v>Điện, nước &amp; xăng dầu khí đốt</v>
      </c>
      <c r="H84" t="str">
        <f>Sheet4!G63</f>
        <v>Phân phối xăng dầu &amp; khí đốt</v>
      </c>
      <c r="I84" s="9" cm="1">
        <f t="array" ref="I8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1835.7772751550001</v>
      </c>
      <c r="J84" s="9" cm="1">
        <f t="array" ref="J8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3027.457537193</v>
      </c>
      <c r="K84" s="10" cm="1">
        <f t="array" ref="K8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0.67630000000000001</v>
      </c>
      <c r="L84" s="10" cm="1">
        <f t="array" ref="L8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0.55620000000000003</v>
      </c>
      <c r="M84" s="9" cm="1">
        <f t="array" ref="M84">_xlfn.LET(_xlpm.val,IFERROR(INDEX(Sheet4!$2:$1605,MATCH(ChiTietKQKD[[#This Row],[Mã CP]],Sheet4!$B$2:$B$1605,0),_xlfn.XMATCH("*Lợi nhuận sau thuế*Q2*2026*",Sheet4!$1:$1,2)),0),IF(OR(_xlpm.val="",_xlpm.val=0),"",_xlpm.val/1000000000))</f>
        <v>43.684992350999998</v>
      </c>
      <c r="N84" s="9" cm="1">
        <f t="array" ref="N84">_xlfn.LET(_xlpm.val,IFERROR(INDEX(Sheet4!$2:$1605,MATCH(ChiTietKQKD[[#This Row],[Mã CP]],Sheet4!$B$2:$B$1605,0),_xlfn.XMATCH("*Lợi nhuận sau thuế*6 tháng*2026*",Sheet4!$1:$1,2)),0),IF(OR(_xlpm.val="",_xlpm.val=0),"",_xlpm.val/1000000000))</f>
        <v>48.067779866000002</v>
      </c>
      <c r="O84" s="10" cm="1">
        <f t="array" ref="O84">IFERROR(INDEX(Sheet4!$2:$1605,MATCH(ChiTietKQKD[[#This Row],[Mã CP]],Sheet4!$B$2:$B$1605,0),_xlfn.XMATCH("*Tăng trưởng lợi nhuận sau thuế (YoY) (Quý*",Sheet4!$1:$1,2)),"")</f>
        <v>0.17560000000000001</v>
      </c>
      <c r="P84" s="10" cm="1">
        <f t="array" ref="P84">IFERROR(INDEX(Sheet4!$2:$1605,MATCH(ChiTietKQKD[[#This Row],[Mã CP]],Sheet4!$B$2:$B$1605,0),_xlfn.XMATCH("*Tăng trưởng lợi nhuận sau thuế (YoY) (6M)*",Sheet4!$1:$1,2)),"")</f>
        <v>0.2485</v>
      </c>
      <c r="Q84" s="10" cm="1">
        <f t="array" ref="Q84">IFERROR(INDEX(Sheet4!$2:$1605,MATCH(ChiTietKQKD[[#This Row],[Mã CP]],Sheet4!$B$2:$B$1605,0),_xlfn.XMATCH("*Tăng trưởng doanh thu thuần (QoQ)*",Sheet4!$1:$1,2)),"")</f>
        <v>0.54049999999999998</v>
      </c>
      <c r="R84" s="10" cm="1">
        <f t="array" ref="R84">IFERROR(INDEX(Sheet4!$2:$1605,MATCH(ChiTietKQKD[[#This Row],[Mã CP]],Sheet4!$B$2:$B$1605,0),_xlfn.XMATCH("*Tăng trưởng lợi nhuận sau thuế (QoQ)*",Sheet4!$1:$1,2)),"")</f>
        <v>8.9673999999999996</v>
      </c>
    </row>
    <row r="85" spans="1:18" x14ac:dyDescent="0.25">
      <c r="A85" s="7">
        <f>Sheet4!A64</f>
        <v>63</v>
      </c>
      <c r="B85" t="str">
        <f>Sheet4!B64</f>
        <v>COM</v>
      </c>
      <c r="C85" t="str">
        <f>Sheet4!C63</f>
        <v>CNG Việt Nam</v>
      </c>
      <c r="D85" t="str">
        <f>Sheet4!D64</f>
        <v>HOSE</v>
      </c>
      <c r="E85" s="7">
        <f>Sheet4!AH64/1000000000</f>
        <v>464.56866120000001</v>
      </c>
      <c r="F85" t="str">
        <f>Sheet4!E64</f>
        <v>Dịch vụ Tiêu dùng</v>
      </c>
      <c r="G85" t="str">
        <f>Sheet4!F64</f>
        <v>Bán lẻ</v>
      </c>
      <c r="H85" t="str">
        <f>Sheet4!G64</f>
        <v>Phân phối hàng chuyên dụng</v>
      </c>
      <c r="I85" s="9" cm="1">
        <f t="array" ref="I8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1367.7318512889999</v>
      </c>
      <c r="J85" s="9" cm="1">
        <f t="array" ref="J8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2390.3870682490001</v>
      </c>
      <c r="K85" s="10" cm="1">
        <f t="array" ref="K8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0.58120000000000005</v>
      </c>
      <c r="L85" s="10" cm="1">
        <f t="array" ref="L8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0.35049999999999998</v>
      </c>
      <c r="M85" s="9" cm="1">
        <f t="array" ref="M85">_xlfn.LET(_xlpm.val,IFERROR(INDEX(Sheet4!$2:$1605,MATCH(ChiTietKQKD[[#This Row],[Mã CP]],Sheet4!$B$2:$B$1605,0),_xlfn.XMATCH("*Lợi nhuận sau thuế*Q2*2026*",Sheet4!$1:$1,2)),0),IF(OR(_xlpm.val="",_xlpm.val=0),"",_xlpm.val/1000000000))</f>
        <v>18.655779012</v>
      </c>
      <c r="N85" s="9" cm="1">
        <f t="array" ref="N85">_xlfn.LET(_xlpm.val,IFERROR(INDEX(Sheet4!$2:$1605,MATCH(ChiTietKQKD[[#This Row],[Mã CP]],Sheet4!$B$2:$B$1605,0),_xlfn.XMATCH("*Lợi nhuận sau thuế*6 tháng*2026*",Sheet4!$1:$1,2)),0),IF(OR(_xlpm.val="",_xlpm.val=0),"",_xlpm.val/1000000000))</f>
        <v>23.092696480000001</v>
      </c>
      <c r="O85" s="10" cm="1">
        <f t="array" ref="O85">IFERROR(INDEX(Sheet4!$2:$1605,MATCH(ChiTietKQKD[[#This Row],[Mã CP]],Sheet4!$B$2:$B$1605,0),_xlfn.XMATCH("*Tăng trưởng lợi nhuận sau thuế (YoY) (Quý*",Sheet4!$1:$1,2)),"")</f>
        <v>4.4333999999999998</v>
      </c>
      <c r="P85" s="10" cm="1">
        <f t="array" ref="P85">IFERROR(INDEX(Sheet4!$2:$1605,MATCH(ChiTietKQKD[[#This Row],[Mã CP]],Sheet4!$B$2:$B$1605,0),_xlfn.XMATCH("*Tăng trưởng lợi nhuận sau thuế (YoY) (6M)*",Sheet4!$1:$1,2)),"")</f>
        <v>2.8411</v>
      </c>
      <c r="Q85" s="10" cm="1">
        <f t="array" ref="Q85">IFERROR(INDEX(Sheet4!$2:$1605,MATCH(ChiTietKQKD[[#This Row],[Mã CP]],Sheet4!$B$2:$B$1605,0),_xlfn.XMATCH("*Tăng trưởng doanh thu thuần (QoQ)*",Sheet4!$1:$1,2)),"")</f>
        <v>0.33739999999999998</v>
      </c>
      <c r="R85" s="10" cm="1">
        <f t="array" ref="R85">IFERROR(INDEX(Sheet4!$2:$1605,MATCH(ChiTietKQKD[[#This Row],[Mã CP]],Sheet4!$B$2:$B$1605,0),_xlfn.XMATCH("*Tăng trưởng lợi nhuận sau thuế (QoQ)*",Sheet4!$1:$1,2)),"")</f>
        <v>3.2046999999999999</v>
      </c>
    </row>
    <row r="86" spans="1:18" x14ac:dyDescent="0.25">
      <c r="A86" s="7">
        <f>Sheet4!A65</f>
        <v>64</v>
      </c>
      <c r="B86" t="str">
        <f>Sheet4!B65</f>
        <v>CRC</v>
      </c>
      <c r="C86" t="str">
        <f>Sheet4!C64</f>
        <v>Vật tư - Xăng dầu</v>
      </c>
      <c r="D86" t="str">
        <f>Sheet4!D65</f>
        <v>HOSE</v>
      </c>
      <c r="E86" s="7">
        <f>Sheet4!AH65/1000000000</f>
        <v>636.99854628000003</v>
      </c>
      <c r="F86" t="str">
        <f>Sheet4!E65</f>
        <v>Công nghiệp</v>
      </c>
      <c r="G86" t="str">
        <f>Sheet4!F65</f>
        <v>Xây dựng và Vật liệu</v>
      </c>
      <c r="H86" t="str">
        <f>Sheet4!G65</f>
        <v>Vật liệu xây dựng &amp; Nội thất</v>
      </c>
      <c r="I86" s="9" t="str" cm="1">
        <f t="array" ref="I8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6" s="9" t="str" cm="1">
        <f t="array" ref="J8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6" s="10" cm="1">
        <f t="array" ref="K8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6" s="10" cm="1">
        <f t="array" ref="L8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6" s="9" t="str" cm="1">
        <f t="array" ref="M8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6" s="9" t="str" cm="1">
        <f t="array" ref="N8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6" s="10" cm="1">
        <f t="array" ref="O86">IFERROR(INDEX(Sheet4!$2:$1605,MATCH(ChiTietKQKD[[#This Row],[Mã CP]],Sheet4!$B$2:$B$1605,0),_xlfn.XMATCH("*Tăng trưởng lợi nhuận sau thuế (YoY) (Quý*",Sheet4!$1:$1,2)),"")</f>
        <v>0</v>
      </c>
      <c r="P86" s="10" cm="1">
        <f t="array" ref="P86">IFERROR(INDEX(Sheet4!$2:$1605,MATCH(ChiTietKQKD[[#This Row],[Mã CP]],Sheet4!$B$2:$B$1605,0),_xlfn.XMATCH("*Tăng trưởng lợi nhuận sau thuế (YoY) (6M)*",Sheet4!$1:$1,2)),"")</f>
        <v>0</v>
      </c>
      <c r="Q86" s="10" cm="1">
        <f t="array" ref="Q86">IFERROR(INDEX(Sheet4!$2:$1605,MATCH(ChiTietKQKD[[#This Row],[Mã CP]],Sheet4!$B$2:$B$1605,0),_xlfn.XMATCH("*Tăng trưởng doanh thu thuần (QoQ)*",Sheet4!$1:$1,2)),"")</f>
        <v>0</v>
      </c>
      <c r="R86" s="10" cm="1">
        <f t="array" ref="R86">IFERROR(INDEX(Sheet4!$2:$1605,MATCH(ChiTietKQKD[[#This Row],[Mã CP]],Sheet4!$B$2:$B$1605,0),_xlfn.XMATCH("*Tăng trưởng lợi nhuận sau thuế (QoQ)*",Sheet4!$1:$1,2)),"")</f>
        <v>0</v>
      </c>
    </row>
    <row r="87" spans="1:18" x14ac:dyDescent="0.25">
      <c r="A87" s="7">
        <f>Sheet4!A66</f>
        <v>65</v>
      </c>
      <c r="B87" t="str">
        <f>Sheet4!B66</f>
        <v>CRE</v>
      </c>
      <c r="C87" t="str">
        <f>Sheet4!C65</f>
        <v>Create Capital Việt Nam</v>
      </c>
      <c r="D87" t="str">
        <f>Sheet4!D66</f>
        <v>HOSE</v>
      </c>
      <c r="E87" s="7">
        <f>Sheet4!AH66/1000000000</f>
        <v>2990.7258477</v>
      </c>
      <c r="F87" t="str">
        <f>Sheet4!E66</f>
        <v>Tài chính</v>
      </c>
      <c r="G87" t="str">
        <f>Sheet4!F66</f>
        <v>Bất động sản</v>
      </c>
      <c r="H87" t="str">
        <f>Sheet4!G66</f>
        <v>Bất động sản</v>
      </c>
      <c r="I87" s="9" t="str" cm="1">
        <f t="array" ref="I8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7" s="9" t="str" cm="1">
        <f t="array" ref="J8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7" s="10" cm="1">
        <f t="array" ref="K8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7" s="10" cm="1">
        <f t="array" ref="L8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7" s="9" t="str" cm="1">
        <f t="array" ref="M8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7" s="9" t="str" cm="1">
        <f t="array" ref="N8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7" s="10" cm="1">
        <f t="array" ref="O87">IFERROR(INDEX(Sheet4!$2:$1605,MATCH(ChiTietKQKD[[#This Row],[Mã CP]],Sheet4!$B$2:$B$1605,0),_xlfn.XMATCH("*Tăng trưởng lợi nhuận sau thuế (YoY) (Quý*",Sheet4!$1:$1,2)),"")</f>
        <v>0</v>
      </c>
      <c r="P87" s="10" cm="1">
        <f t="array" ref="P87">IFERROR(INDEX(Sheet4!$2:$1605,MATCH(ChiTietKQKD[[#This Row],[Mã CP]],Sheet4!$B$2:$B$1605,0),_xlfn.XMATCH("*Tăng trưởng lợi nhuận sau thuế (YoY) (6M)*",Sheet4!$1:$1,2)),"")</f>
        <v>0</v>
      </c>
      <c r="Q87" s="10" cm="1">
        <f t="array" ref="Q87">IFERROR(INDEX(Sheet4!$2:$1605,MATCH(ChiTietKQKD[[#This Row],[Mã CP]],Sheet4!$B$2:$B$1605,0),_xlfn.XMATCH("*Tăng trưởng doanh thu thuần (QoQ)*",Sheet4!$1:$1,2)),"")</f>
        <v>0</v>
      </c>
      <c r="R87" s="10" cm="1">
        <f t="array" ref="R87">IFERROR(INDEX(Sheet4!$2:$1605,MATCH(ChiTietKQKD[[#This Row],[Mã CP]],Sheet4!$B$2:$B$1605,0),_xlfn.XMATCH("*Tăng trưởng lợi nhuận sau thuế (QoQ)*",Sheet4!$1:$1,2)),"")</f>
        <v>0</v>
      </c>
    </row>
    <row r="88" spans="1:18" x14ac:dyDescent="0.25">
      <c r="A88" s="7">
        <f>Sheet4!A67</f>
        <v>66</v>
      </c>
      <c r="B88" t="str">
        <f>Sheet4!B67</f>
        <v>CRV</v>
      </c>
      <c r="C88" t="str">
        <f>Sheet4!C66</f>
        <v>Bất động sản Thế Kỷ</v>
      </c>
      <c r="D88" t="str">
        <f>Sheet4!D67</f>
        <v>HOSE</v>
      </c>
      <c r="E88" s="7">
        <f>Sheet4!AH67/1000000000</f>
        <v>17528.696812499998</v>
      </c>
      <c r="F88" t="str">
        <f>Sheet4!E67</f>
        <v>Tài chính</v>
      </c>
      <c r="G88" t="str">
        <f>Sheet4!F67</f>
        <v>Bất động sản</v>
      </c>
      <c r="H88" t="str">
        <f>Sheet4!G67</f>
        <v>Bất động sản</v>
      </c>
      <c r="I88" s="9" t="str" cm="1">
        <f t="array" ref="I8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8" s="9" t="str" cm="1">
        <f t="array" ref="J8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8" s="10" cm="1">
        <f t="array" ref="K8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8" s="10" cm="1">
        <f t="array" ref="L8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8" s="9" t="str" cm="1">
        <f t="array" ref="M8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8" s="9" t="str" cm="1">
        <f t="array" ref="N8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8" s="10" cm="1">
        <f t="array" ref="O88">IFERROR(INDEX(Sheet4!$2:$1605,MATCH(ChiTietKQKD[[#This Row],[Mã CP]],Sheet4!$B$2:$B$1605,0),_xlfn.XMATCH("*Tăng trưởng lợi nhuận sau thuế (YoY) (Quý*",Sheet4!$1:$1,2)),"")</f>
        <v>0</v>
      </c>
      <c r="P88" s="10" cm="1">
        <f t="array" ref="P88">IFERROR(INDEX(Sheet4!$2:$1605,MATCH(ChiTietKQKD[[#This Row],[Mã CP]],Sheet4!$B$2:$B$1605,0),_xlfn.XMATCH("*Tăng trưởng lợi nhuận sau thuế (YoY) (6M)*",Sheet4!$1:$1,2)),"")</f>
        <v>0</v>
      </c>
      <c r="Q88" s="10" cm="1">
        <f t="array" ref="Q88">IFERROR(INDEX(Sheet4!$2:$1605,MATCH(ChiTietKQKD[[#This Row],[Mã CP]],Sheet4!$B$2:$B$1605,0),_xlfn.XMATCH("*Tăng trưởng doanh thu thuần (QoQ)*",Sheet4!$1:$1,2)),"")</f>
        <v>0</v>
      </c>
      <c r="R88" s="10" cm="1">
        <f t="array" ref="R88">IFERROR(INDEX(Sheet4!$2:$1605,MATCH(ChiTietKQKD[[#This Row],[Mã CP]],Sheet4!$B$2:$B$1605,0),_xlfn.XMATCH("*Tăng trưởng lợi nhuận sau thuế (QoQ)*",Sheet4!$1:$1,2)),"")</f>
        <v>0</v>
      </c>
    </row>
    <row r="89" spans="1:18" x14ac:dyDescent="0.25">
      <c r="A89" s="7">
        <f>Sheet4!A68</f>
        <v>67</v>
      </c>
      <c r="B89" t="str">
        <f>Sheet4!B68</f>
        <v>CSM</v>
      </c>
      <c r="C89" t="str">
        <f>Sheet4!C67</f>
        <v>Tập đoàn Bất động sản CRV</v>
      </c>
      <c r="D89" t="str">
        <f>Sheet4!D68</f>
        <v>HOSE</v>
      </c>
      <c r="E89" s="7">
        <f>Sheet4!AH68/1000000000</f>
        <v>1461.1161942000001</v>
      </c>
      <c r="F89" t="str">
        <f>Sheet4!E68</f>
        <v>Hàng Tiêu dùng</v>
      </c>
      <c r="G89" t="str">
        <f>Sheet4!F68</f>
        <v>Ô tô và phụ tùng</v>
      </c>
      <c r="H89" t="str">
        <f>Sheet4!G68</f>
        <v>Lốp xe</v>
      </c>
      <c r="I89" s="9" cm="1">
        <f t="array" ref="I8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1148.2025866649999</v>
      </c>
      <c r="J89" s="9" cm="1">
        <f t="array" ref="J8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2253.4841173039999</v>
      </c>
      <c r="K89" s="10" cm="1">
        <f t="array" ref="K8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3.8199999999999998E-2</v>
      </c>
      <c r="L89" s="10" cm="1">
        <f t="array" ref="L8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5.9299999999999999E-2</v>
      </c>
      <c r="M89" s="9" cm="1">
        <f t="array" ref="M89">_xlfn.LET(_xlpm.val,IFERROR(INDEX(Sheet4!$2:$1605,MATCH(ChiTietKQKD[[#This Row],[Mã CP]],Sheet4!$B$2:$B$1605,0),_xlfn.XMATCH("*Lợi nhuận sau thuế*Q2*2026*",Sheet4!$1:$1,2)),0),IF(OR(_xlpm.val="",_xlpm.val=0),"",_xlpm.val/1000000000))</f>
        <v>22.912272115</v>
      </c>
      <c r="N89" s="9" cm="1">
        <f t="array" ref="N89">_xlfn.LET(_xlpm.val,IFERROR(INDEX(Sheet4!$2:$1605,MATCH(ChiTietKQKD[[#This Row],[Mã CP]],Sheet4!$B$2:$B$1605,0),_xlfn.XMATCH("*Lợi nhuận sau thuế*6 tháng*2026*",Sheet4!$1:$1,2)),0),IF(OR(_xlpm.val="",_xlpm.val=0),"",_xlpm.val/1000000000))</f>
        <v>48.933639810000003</v>
      </c>
      <c r="O89" s="10" cm="1">
        <f t="array" ref="O89">IFERROR(INDEX(Sheet4!$2:$1605,MATCH(ChiTietKQKD[[#This Row],[Mã CP]],Sheet4!$B$2:$B$1605,0),_xlfn.XMATCH("*Tăng trưởng lợi nhuận sau thuế (YoY) (Quý*",Sheet4!$1:$1,2)),"")</f>
        <v>0.4763</v>
      </c>
      <c r="P89" s="10" cm="1">
        <f t="array" ref="P89">IFERROR(INDEX(Sheet4!$2:$1605,MATCH(ChiTietKQKD[[#This Row],[Mã CP]],Sheet4!$B$2:$B$1605,0),_xlfn.XMATCH("*Tăng trưởng lợi nhuận sau thuế (YoY) (6M)*",Sheet4!$1:$1,2)),"")</f>
        <v>0.40010000000000001</v>
      </c>
      <c r="Q89" s="10" cm="1">
        <f t="array" ref="Q89">IFERROR(INDEX(Sheet4!$2:$1605,MATCH(ChiTietKQKD[[#This Row],[Mã CP]],Sheet4!$B$2:$B$1605,0),_xlfn.XMATCH("*Tăng trưởng doanh thu thuần (QoQ)*",Sheet4!$1:$1,2)),"")</f>
        <v>3.8800000000000001E-2</v>
      </c>
      <c r="R89" s="10" cm="1">
        <f t="array" ref="R89">IFERROR(INDEX(Sheet4!$2:$1605,MATCH(ChiTietKQKD[[#This Row],[Mã CP]],Sheet4!$B$2:$B$1605,0),_xlfn.XMATCH("*Tăng trưởng lợi nhuận sau thuế (QoQ)*",Sheet4!$1:$1,2)),"")</f>
        <v>-0.1195</v>
      </c>
    </row>
    <row r="90" spans="1:18" x14ac:dyDescent="0.25">
      <c r="A90" s="7">
        <f>Sheet4!A69</f>
        <v>68</v>
      </c>
      <c r="B90" t="str">
        <f>Sheet4!B69</f>
        <v>CSV</v>
      </c>
      <c r="C90" t="str">
        <f>Sheet4!C68</f>
        <v>Cao su Miền Nam</v>
      </c>
      <c r="D90" t="str">
        <f>Sheet4!D69</f>
        <v>HOSE</v>
      </c>
      <c r="E90" s="7">
        <f>Sheet4!AH69/1000000000</f>
        <v>2392.3230515</v>
      </c>
      <c r="F90" t="str">
        <f>Sheet4!E69</f>
        <v>Nguyên vật liệu</v>
      </c>
      <c r="G90" t="str">
        <f>Sheet4!F69</f>
        <v>Hóa chất</v>
      </c>
      <c r="H90" t="str">
        <f>Sheet4!G69</f>
        <v>Sản phẩm hóa dầu, Nông dược &amp; Hóa chất khác</v>
      </c>
      <c r="I90" s="9" cm="1">
        <f t="array" ref="I9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687.29950469799996</v>
      </c>
      <c r="J90" s="9" cm="1">
        <f t="array" ref="J9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1315.610349372</v>
      </c>
      <c r="K90" s="10" cm="1">
        <f t="array" ref="K9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0.31269999999999998</v>
      </c>
      <c r="L90" s="10" cm="1">
        <f t="array" ref="L9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0.30769999999999997</v>
      </c>
      <c r="M90" s="9" cm="1">
        <f t="array" ref="M90">_xlfn.LET(_xlpm.val,IFERROR(INDEX(Sheet4!$2:$1605,MATCH(ChiTietKQKD[[#This Row],[Mã CP]],Sheet4!$B$2:$B$1605,0),_xlfn.XMATCH("*Lợi nhuận sau thuế*Q2*2026*",Sheet4!$1:$1,2)),0),IF(OR(_xlpm.val="",_xlpm.val=0),"",_xlpm.val/1000000000))</f>
        <v>129.839514307</v>
      </c>
      <c r="N90" s="9" cm="1">
        <f t="array" ref="N90">_xlfn.LET(_xlpm.val,IFERROR(INDEX(Sheet4!$2:$1605,MATCH(ChiTietKQKD[[#This Row],[Mã CP]],Sheet4!$B$2:$B$1605,0),_xlfn.XMATCH("*Lợi nhuận sau thuế*6 tháng*2026*",Sheet4!$1:$1,2)),0),IF(OR(_xlpm.val="",_xlpm.val=0),"",_xlpm.val/1000000000))</f>
        <v>172.72555887999999</v>
      </c>
      <c r="O90" s="10" cm="1">
        <f t="array" ref="O90">IFERROR(INDEX(Sheet4!$2:$1605,MATCH(ChiTietKQKD[[#This Row],[Mã CP]],Sheet4!$B$2:$B$1605,0),_xlfn.XMATCH("*Tăng trưởng lợi nhuận sau thuế (YoY) (Quý*",Sheet4!$1:$1,2)),"")</f>
        <v>1.0728</v>
      </c>
      <c r="P90" s="10" cm="1">
        <f t="array" ref="P90">IFERROR(INDEX(Sheet4!$2:$1605,MATCH(ChiTietKQKD[[#This Row],[Mã CP]],Sheet4!$B$2:$B$1605,0),_xlfn.XMATCH("*Tăng trưởng lợi nhuận sau thuế (YoY) (6M)*",Sheet4!$1:$1,2)),"")</f>
        <v>0.50160000000000005</v>
      </c>
      <c r="Q90" s="10" cm="1">
        <f t="array" ref="Q90">IFERROR(INDEX(Sheet4!$2:$1605,MATCH(ChiTietKQKD[[#This Row],[Mã CP]],Sheet4!$B$2:$B$1605,0),_xlfn.XMATCH("*Tăng trưởng doanh thu thuần (QoQ)*",Sheet4!$1:$1,2)),"")</f>
        <v>9.3899999999999997E-2</v>
      </c>
      <c r="R90" s="10" cm="1">
        <f t="array" ref="R90">IFERROR(INDEX(Sheet4!$2:$1605,MATCH(ChiTietKQKD[[#This Row],[Mã CP]],Sheet4!$B$2:$B$1605,0),_xlfn.XMATCH("*Tăng trưởng lợi nhuận sau thuế (QoQ)*",Sheet4!$1:$1,2)),"")</f>
        <v>2.0274999999999999</v>
      </c>
    </row>
    <row r="91" spans="1:18" x14ac:dyDescent="0.25">
      <c r="A91" s="7">
        <f>Sheet4!A70</f>
        <v>69</v>
      </c>
      <c r="B91" t="str">
        <f>Sheet4!B70</f>
        <v>CTD</v>
      </c>
      <c r="C91" t="str">
        <f>Sheet4!C69</f>
        <v>Hóa chất Cơ bản miền Nam</v>
      </c>
      <c r="D91" t="str">
        <f>Sheet4!D70</f>
        <v>HOSE</v>
      </c>
      <c r="E91" s="7">
        <f>Sheet4!AH70/1000000000</f>
        <v>6262.1003199999996</v>
      </c>
      <c r="F91" t="str">
        <f>Sheet4!E70</f>
        <v>Công nghiệp</v>
      </c>
      <c r="G91" t="str">
        <f>Sheet4!F70</f>
        <v>Xây dựng và Vật liệu</v>
      </c>
      <c r="H91" t="str">
        <f>Sheet4!G70</f>
        <v>Xây dựng</v>
      </c>
      <c r="I91" s="9" t="str" cm="1">
        <f t="array" ref="I9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1" s="9" t="str" cm="1">
        <f t="array" ref="J9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1" s="10" cm="1">
        <f t="array" ref="K9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1" s="10" cm="1">
        <f t="array" ref="L9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1" s="9" t="str" cm="1">
        <f t="array" ref="M9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1" s="9" t="str" cm="1">
        <f t="array" ref="N9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1" s="10" cm="1">
        <f t="array" ref="O91">IFERROR(INDEX(Sheet4!$2:$1605,MATCH(ChiTietKQKD[[#This Row],[Mã CP]],Sheet4!$B$2:$B$1605,0),_xlfn.XMATCH("*Tăng trưởng lợi nhuận sau thuế (YoY) (Quý*",Sheet4!$1:$1,2)),"")</f>
        <v>0</v>
      </c>
      <c r="P91" s="10" cm="1">
        <f t="array" ref="P91">IFERROR(INDEX(Sheet4!$2:$1605,MATCH(ChiTietKQKD[[#This Row],[Mã CP]],Sheet4!$B$2:$B$1605,0),_xlfn.XMATCH("*Tăng trưởng lợi nhuận sau thuế (YoY) (6M)*",Sheet4!$1:$1,2)),"")</f>
        <v>0</v>
      </c>
      <c r="Q91" s="10" cm="1">
        <f t="array" ref="Q91">IFERROR(INDEX(Sheet4!$2:$1605,MATCH(ChiTietKQKD[[#This Row],[Mã CP]],Sheet4!$B$2:$B$1605,0),_xlfn.XMATCH("*Tăng trưởng doanh thu thuần (QoQ)*",Sheet4!$1:$1,2)),"")</f>
        <v>0</v>
      </c>
      <c r="R91" s="10" cm="1">
        <f t="array" ref="R91">IFERROR(INDEX(Sheet4!$2:$1605,MATCH(ChiTietKQKD[[#This Row],[Mã CP]],Sheet4!$B$2:$B$1605,0),_xlfn.XMATCH("*Tăng trưởng lợi nhuận sau thuế (QoQ)*",Sheet4!$1:$1,2)),"")</f>
        <v>0</v>
      </c>
    </row>
    <row r="92" spans="1:18" x14ac:dyDescent="0.25">
      <c r="A92" s="7">
        <f>Sheet4!A71</f>
        <v>70</v>
      </c>
      <c r="B92" t="str">
        <f>Sheet4!B71</f>
        <v>CTF</v>
      </c>
      <c r="C92" t="str">
        <f>Sheet4!C70</f>
        <v>Xây dựng Coteccons</v>
      </c>
      <c r="D92" t="str">
        <f>Sheet4!D71</f>
        <v>HOSE</v>
      </c>
      <c r="E92" s="7">
        <f>Sheet4!AH71/1000000000</f>
        <v>1616.5502171000001</v>
      </c>
      <c r="F92" t="str">
        <f>Sheet4!E71</f>
        <v>Hàng Tiêu dùng</v>
      </c>
      <c r="G92" t="str">
        <f>Sheet4!F71</f>
        <v>Ô tô và phụ tùng</v>
      </c>
      <c r="H92" t="str">
        <f>Sheet4!G71</f>
        <v>Sản xuất ô tô</v>
      </c>
      <c r="I92" s="9" t="str" cm="1">
        <f t="array" ref="I9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2" s="9" t="str" cm="1">
        <f t="array" ref="J9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2" s="10" cm="1">
        <f t="array" ref="K9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2" s="10" cm="1">
        <f t="array" ref="L9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2" s="9" t="str" cm="1">
        <f t="array" ref="M9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2" s="9" t="str" cm="1">
        <f t="array" ref="N9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2" s="10" cm="1">
        <f t="array" ref="O92">IFERROR(INDEX(Sheet4!$2:$1605,MATCH(ChiTietKQKD[[#This Row],[Mã CP]],Sheet4!$B$2:$B$1605,0),_xlfn.XMATCH("*Tăng trưởng lợi nhuận sau thuế (YoY) (Quý*",Sheet4!$1:$1,2)),"")</f>
        <v>0</v>
      </c>
      <c r="P92" s="10" cm="1">
        <f t="array" ref="P92">IFERROR(INDEX(Sheet4!$2:$1605,MATCH(ChiTietKQKD[[#This Row],[Mã CP]],Sheet4!$B$2:$B$1605,0),_xlfn.XMATCH("*Tăng trưởng lợi nhuận sau thuế (YoY) (6M)*",Sheet4!$1:$1,2)),"")</f>
        <v>0</v>
      </c>
      <c r="Q92" s="10" cm="1">
        <f t="array" ref="Q92">IFERROR(INDEX(Sheet4!$2:$1605,MATCH(ChiTietKQKD[[#This Row],[Mã CP]],Sheet4!$B$2:$B$1605,0),_xlfn.XMATCH("*Tăng trưởng doanh thu thuần (QoQ)*",Sheet4!$1:$1,2)),"")</f>
        <v>0</v>
      </c>
      <c r="R92" s="10" cm="1">
        <f t="array" ref="R92">IFERROR(INDEX(Sheet4!$2:$1605,MATCH(ChiTietKQKD[[#This Row],[Mã CP]],Sheet4!$B$2:$B$1605,0),_xlfn.XMATCH("*Tăng trưởng lợi nhuận sau thuế (QoQ)*",Sheet4!$1:$1,2)),"")</f>
        <v>0</v>
      </c>
    </row>
    <row r="93" spans="1:18" x14ac:dyDescent="0.25">
      <c r="A93" s="7">
        <f>Sheet4!A72</f>
        <v>71</v>
      </c>
      <c r="B93" t="str">
        <f>Sheet4!B72</f>
        <v>CTG</v>
      </c>
      <c r="C93" t="str">
        <f>Sheet4!C71</f>
        <v>City Auto</v>
      </c>
      <c r="D93" t="str">
        <f>Sheet4!D72</f>
        <v>HOSE</v>
      </c>
      <c r="E93" s="7">
        <f>Sheet4!AH72/1000000000</f>
        <v>230678.25571890001</v>
      </c>
      <c r="F93" t="str">
        <f>Sheet4!E72</f>
        <v>Ngân hàng</v>
      </c>
      <c r="G93" t="str">
        <f>Sheet4!F72</f>
        <v>Ngân hàng</v>
      </c>
      <c r="H93" t="str">
        <f>Sheet4!G72</f>
        <v>Ngân hàng</v>
      </c>
      <c r="I93" s="9" t="str" cm="1">
        <f t="array" ref="I9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3" s="9" t="str" cm="1">
        <f t="array" ref="J9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3" s="10" t="str" cm="1">
        <f t="array" ref="K9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93" s="10" t="str" cm="1">
        <f t="array" ref="L9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93" s="9" t="str" cm="1">
        <f t="array" ref="M9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3" s="9" t="str" cm="1">
        <f t="array" ref="N9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3" s="10" cm="1">
        <f t="array" ref="O93">IFERROR(INDEX(Sheet4!$2:$1605,MATCH(ChiTietKQKD[[#This Row],[Mã CP]],Sheet4!$B$2:$B$1605,0),_xlfn.XMATCH("*Tăng trưởng lợi nhuận sau thuế (YoY) (Quý*",Sheet4!$1:$1,2)),"")</f>
        <v>0</v>
      </c>
      <c r="P93" s="10" cm="1">
        <f t="array" ref="P93">IFERROR(INDEX(Sheet4!$2:$1605,MATCH(ChiTietKQKD[[#This Row],[Mã CP]],Sheet4!$B$2:$B$1605,0),_xlfn.XMATCH("*Tăng trưởng lợi nhuận sau thuế (YoY) (6M)*",Sheet4!$1:$1,2)),"")</f>
        <v>0</v>
      </c>
      <c r="Q93" s="10" cm="1">
        <f t="array" ref="Q93">IFERROR(INDEX(Sheet4!$2:$1605,MATCH(ChiTietKQKD[[#This Row],[Mã CP]],Sheet4!$B$2:$B$1605,0),_xlfn.XMATCH("*Tăng trưởng doanh thu thuần (QoQ)*",Sheet4!$1:$1,2)),"")</f>
        <v>0</v>
      </c>
      <c r="R93" s="10" cm="1">
        <f t="array" ref="R93">IFERROR(INDEX(Sheet4!$2:$1605,MATCH(ChiTietKQKD[[#This Row],[Mã CP]],Sheet4!$B$2:$B$1605,0),_xlfn.XMATCH("*Tăng trưởng lợi nhuận sau thuế (QoQ)*",Sheet4!$1:$1,2)),"")</f>
        <v>0</v>
      </c>
    </row>
    <row r="94" spans="1:18" x14ac:dyDescent="0.25">
      <c r="A94" s="7">
        <f>Sheet4!A73</f>
        <v>72</v>
      </c>
      <c r="B94" t="str">
        <f>Sheet4!B73</f>
        <v>CTI</v>
      </c>
      <c r="C94" t="str">
        <f>Sheet4!C72</f>
        <v>VietinBank</v>
      </c>
      <c r="D94" t="str">
        <f>Sheet4!D73</f>
        <v>HOSE</v>
      </c>
      <c r="E94" s="7">
        <f>Sheet4!AH73/1000000000</f>
        <v>1171.7999442</v>
      </c>
      <c r="F94" t="str">
        <f>Sheet4!E73</f>
        <v>Công nghiệp</v>
      </c>
      <c r="G94" t="str">
        <f>Sheet4!F73</f>
        <v>Xây dựng và Vật liệu</v>
      </c>
      <c r="H94" t="str">
        <f>Sheet4!G73</f>
        <v>Xây dựng</v>
      </c>
      <c r="I94" s="9" t="str" cm="1">
        <f t="array" ref="I9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4" s="9" t="str" cm="1">
        <f t="array" ref="J9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4" s="10" cm="1">
        <f t="array" ref="K9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4" s="10" cm="1">
        <f t="array" ref="L9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4" s="9" t="str" cm="1">
        <f t="array" ref="M9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4" s="9" t="str" cm="1">
        <f t="array" ref="N9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4" s="10" cm="1">
        <f t="array" ref="O94">IFERROR(INDEX(Sheet4!$2:$1605,MATCH(ChiTietKQKD[[#This Row],[Mã CP]],Sheet4!$B$2:$B$1605,0),_xlfn.XMATCH("*Tăng trưởng lợi nhuận sau thuế (YoY) (Quý*",Sheet4!$1:$1,2)),"")</f>
        <v>0</v>
      </c>
      <c r="P94" s="10" cm="1">
        <f t="array" ref="P94">IFERROR(INDEX(Sheet4!$2:$1605,MATCH(ChiTietKQKD[[#This Row],[Mã CP]],Sheet4!$B$2:$B$1605,0),_xlfn.XMATCH("*Tăng trưởng lợi nhuận sau thuế (YoY) (6M)*",Sheet4!$1:$1,2)),"")</f>
        <v>0</v>
      </c>
      <c r="Q94" s="10" cm="1">
        <f t="array" ref="Q94">IFERROR(INDEX(Sheet4!$2:$1605,MATCH(ChiTietKQKD[[#This Row],[Mã CP]],Sheet4!$B$2:$B$1605,0),_xlfn.XMATCH("*Tăng trưởng doanh thu thuần (QoQ)*",Sheet4!$1:$1,2)),"")</f>
        <v>0</v>
      </c>
      <c r="R94" s="10" cm="1">
        <f t="array" ref="R94">IFERROR(INDEX(Sheet4!$2:$1605,MATCH(ChiTietKQKD[[#This Row],[Mã CP]],Sheet4!$B$2:$B$1605,0),_xlfn.XMATCH("*Tăng trưởng lợi nhuận sau thuế (QoQ)*",Sheet4!$1:$1,2)),"")</f>
        <v>0</v>
      </c>
    </row>
    <row r="95" spans="1:18" x14ac:dyDescent="0.25">
      <c r="A95" s="7">
        <f>Sheet4!A74</f>
        <v>73</v>
      </c>
      <c r="B95" t="str">
        <f>Sheet4!B74</f>
        <v>CTR</v>
      </c>
      <c r="C95" t="str">
        <f>Sheet4!C73</f>
        <v>Cường Thuận IDICO</v>
      </c>
      <c r="D95" t="str">
        <f>Sheet4!D74</f>
        <v>HOSE</v>
      </c>
      <c r="E95" s="7">
        <f>Sheet4!AH74/1000000000</f>
        <v>8506.4729912000003</v>
      </c>
      <c r="F95" t="str">
        <f>Sheet4!E74</f>
        <v>Công nghiệp</v>
      </c>
      <c r="G95" t="str">
        <f>Sheet4!F74</f>
        <v>Xây dựng và Vật liệu</v>
      </c>
      <c r="H95" t="str">
        <f>Sheet4!G74</f>
        <v>Xây dựng</v>
      </c>
      <c r="I95" s="9" t="str" cm="1">
        <f t="array" ref="I9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5" s="9" t="str" cm="1">
        <f t="array" ref="J9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5" s="10" cm="1">
        <f t="array" ref="K9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5" s="10" cm="1">
        <f t="array" ref="L9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5" s="9" t="str" cm="1">
        <f t="array" ref="M9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5" s="9" t="str" cm="1">
        <f t="array" ref="N9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5" s="10" cm="1">
        <f t="array" ref="O95">IFERROR(INDEX(Sheet4!$2:$1605,MATCH(ChiTietKQKD[[#This Row],[Mã CP]],Sheet4!$B$2:$B$1605,0),_xlfn.XMATCH("*Tăng trưởng lợi nhuận sau thuế (YoY) (Quý*",Sheet4!$1:$1,2)),"")</f>
        <v>0</v>
      </c>
      <c r="P95" s="10" cm="1">
        <f t="array" ref="P95">IFERROR(INDEX(Sheet4!$2:$1605,MATCH(ChiTietKQKD[[#This Row],[Mã CP]],Sheet4!$B$2:$B$1605,0),_xlfn.XMATCH("*Tăng trưởng lợi nhuận sau thuế (YoY) (6M)*",Sheet4!$1:$1,2)),"")</f>
        <v>0</v>
      </c>
      <c r="Q95" s="10" cm="1">
        <f t="array" ref="Q95">IFERROR(INDEX(Sheet4!$2:$1605,MATCH(ChiTietKQKD[[#This Row],[Mã CP]],Sheet4!$B$2:$B$1605,0),_xlfn.XMATCH("*Tăng trưởng doanh thu thuần (QoQ)*",Sheet4!$1:$1,2)),"")</f>
        <v>0</v>
      </c>
      <c r="R95" s="10" cm="1">
        <f t="array" ref="R95">IFERROR(INDEX(Sheet4!$2:$1605,MATCH(ChiTietKQKD[[#This Row],[Mã CP]],Sheet4!$B$2:$B$1605,0),_xlfn.XMATCH("*Tăng trưởng lợi nhuận sau thuế (QoQ)*",Sheet4!$1:$1,2)),"")</f>
        <v>0</v>
      </c>
    </row>
    <row r="96" spans="1:18" x14ac:dyDescent="0.25">
      <c r="A96" s="7">
        <f>Sheet4!A75</f>
        <v>74</v>
      </c>
      <c r="B96" t="str">
        <f>Sheet4!B75</f>
        <v>CTS</v>
      </c>
      <c r="C96" t="str">
        <f>Sheet4!C74</f>
        <v>Công trình Viettel</v>
      </c>
      <c r="D96" t="str">
        <f>Sheet4!D75</f>
        <v>HOSE</v>
      </c>
      <c r="E96" s="7">
        <f>Sheet4!AH75/1000000000</f>
        <v>6234.4091030999998</v>
      </c>
      <c r="F96" t="str">
        <f>Sheet4!E75</f>
        <v>Tài chính</v>
      </c>
      <c r="G96" t="str">
        <f>Sheet4!F75</f>
        <v>Dịch vụ tài chính</v>
      </c>
      <c r="H96" t="str">
        <f>Sheet4!G75</f>
        <v>Môi giới chứng khoán</v>
      </c>
      <c r="I96" s="9" cm="1">
        <f t="array" ref="I9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357.09900162500003</v>
      </c>
      <c r="J96" s="9" cm="1">
        <f t="array" ref="J9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709.02477957500003</v>
      </c>
      <c r="K96" s="10" cm="1">
        <f t="array" ref="K9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-0.38250000000000001</v>
      </c>
      <c r="L96" s="10" cm="1">
        <f t="array" ref="L9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-0.32019999999999998</v>
      </c>
      <c r="M96" s="9" cm="1">
        <f t="array" ref="M96">_xlfn.LET(_xlpm.val,IFERROR(INDEX(Sheet4!$2:$1605,MATCH(ChiTietKQKD[[#This Row],[Mã CP]],Sheet4!$B$2:$B$1605,0),_xlfn.XMATCH("*Lợi nhuận sau thuế*Q2*2026*",Sheet4!$1:$1,2)),0),IF(OR(_xlpm.val="",_xlpm.val=0),"",_xlpm.val/1000000000))</f>
        <v>15.436425569000001</v>
      </c>
      <c r="N96" s="9" cm="1">
        <f t="array" ref="N96">_xlfn.LET(_xlpm.val,IFERROR(INDEX(Sheet4!$2:$1605,MATCH(ChiTietKQKD[[#This Row],[Mã CP]],Sheet4!$B$2:$B$1605,0),_xlfn.XMATCH("*Lợi nhuận sau thuế*6 tháng*2026*",Sheet4!$1:$1,2)),0),IF(OR(_xlpm.val="",_xlpm.val=0),"",_xlpm.val/1000000000))</f>
        <v>81.280190224999998</v>
      </c>
      <c r="O96" s="10" cm="1">
        <f t="array" ref="O96">IFERROR(INDEX(Sheet4!$2:$1605,MATCH(ChiTietKQKD[[#This Row],[Mã CP]],Sheet4!$B$2:$B$1605,0),_xlfn.XMATCH("*Tăng trưởng lợi nhuận sau thuế (YoY) (Quý*",Sheet4!$1:$1,2)),"")</f>
        <v>-0.91220000000000001</v>
      </c>
      <c r="P96" s="10" cm="1">
        <f t="array" ref="P96">IFERROR(INDEX(Sheet4!$2:$1605,MATCH(ChiTietKQKD[[#This Row],[Mã CP]],Sheet4!$B$2:$B$1605,0),_xlfn.XMATCH("*Tăng trưởng lợi nhuận sau thuế (YoY) (6M)*",Sheet4!$1:$1,2)),"")</f>
        <v>-0.71150000000000002</v>
      </c>
      <c r="Q96" s="10" cm="1">
        <f t="array" ref="Q96">IFERROR(INDEX(Sheet4!$2:$1605,MATCH(ChiTietKQKD[[#This Row],[Mã CP]],Sheet4!$B$2:$B$1605,0),_xlfn.XMATCH("*Tăng trưởng doanh thu thuần (QoQ)*",Sheet4!$1:$1,2)),"")</f>
        <v>1.47E-2</v>
      </c>
      <c r="R96" s="10" cm="1">
        <f t="array" ref="R96">IFERROR(INDEX(Sheet4!$2:$1605,MATCH(ChiTietKQKD[[#This Row],[Mã CP]],Sheet4!$B$2:$B$1605,0),_xlfn.XMATCH("*Tăng trưởng lợi nhuận sau thuế (QoQ)*",Sheet4!$1:$1,2)),"")</f>
        <v>-0.76559999999999995</v>
      </c>
    </row>
    <row r="97" spans="1:18" x14ac:dyDescent="0.25">
      <c r="A97" s="7">
        <f>Sheet4!A76</f>
        <v>75</v>
      </c>
      <c r="B97" t="str">
        <f>Sheet4!B76</f>
        <v>CVT</v>
      </c>
      <c r="C97" t="str">
        <f>Sheet4!C75</f>
        <v>Chứng khoán Vietinbank</v>
      </c>
      <c r="D97" t="str">
        <f>Sheet4!D76</f>
        <v>HOSE</v>
      </c>
      <c r="E97" s="7">
        <f>Sheet4!AH76/1000000000</f>
        <v>981.48122724999996</v>
      </c>
      <c r="F97" t="str">
        <f>Sheet4!E76</f>
        <v>Công nghiệp</v>
      </c>
      <c r="G97" t="str">
        <f>Sheet4!F76</f>
        <v>Xây dựng và Vật liệu</v>
      </c>
      <c r="H97" t="str">
        <f>Sheet4!G76</f>
        <v>Vật liệu xây dựng &amp; Nội thất</v>
      </c>
      <c r="I97" s="9" t="str" cm="1">
        <f t="array" ref="I9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7" s="9" t="str" cm="1">
        <f t="array" ref="J9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7" s="10" cm="1">
        <f t="array" ref="K9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7" s="10" cm="1">
        <f t="array" ref="L9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7" s="9" t="str" cm="1">
        <f t="array" ref="M9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7" s="9" t="str" cm="1">
        <f t="array" ref="N9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7" s="10" cm="1">
        <f t="array" ref="O97">IFERROR(INDEX(Sheet4!$2:$1605,MATCH(ChiTietKQKD[[#This Row],[Mã CP]],Sheet4!$B$2:$B$1605,0),_xlfn.XMATCH("*Tăng trưởng lợi nhuận sau thuế (YoY) (Quý*",Sheet4!$1:$1,2)),"")</f>
        <v>0</v>
      </c>
      <c r="P97" s="10" cm="1">
        <f t="array" ref="P97">IFERROR(INDEX(Sheet4!$2:$1605,MATCH(ChiTietKQKD[[#This Row],[Mã CP]],Sheet4!$B$2:$B$1605,0),_xlfn.XMATCH("*Tăng trưởng lợi nhuận sau thuế (YoY) (6M)*",Sheet4!$1:$1,2)),"")</f>
        <v>0</v>
      </c>
      <c r="Q97" s="10" cm="1">
        <f t="array" ref="Q97">IFERROR(INDEX(Sheet4!$2:$1605,MATCH(ChiTietKQKD[[#This Row],[Mã CP]],Sheet4!$B$2:$B$1605,0),_xlfn.XMATCH("*Tăng trưởng doanh thu thuần (QoQ)*",Sheet4!$1:$1,2)),"")</f>
        <v>0</v>
      </c>
      <c r="R97" s="10" cm="1">
        <f t="array" ref="R97">IFERROR(INDEX(Sheet4!$2:$1605,MATCH(ChiTietKQKD[[#This Row],[Mã CP]],Sheet4!$B$2:$B$1605,0),_xlfn.XMATCH("*Tăng trưởng lợi nhuận sau thuế (QoQ)*",Sheet4!$1:$1,2)),"")</f>
        <v>0</v>
      </c>
    </row>
    <row r="98" spans="1:18" x14ac:dyDescent="0.25">
      <c r="A98" s="7">
        <f>Sheet4!A77</f>
        <v>76</v>
      </c>
      <c r="B98" t="str">
        <f>Sheet4!B77</f>
        <v>D2D</v>
      </c>
      <c r="C98" t="str">
        <f>Sheet4!C76</f>
        <v>CMC JSC</v>
      </c>
      <c r="D98" t="str">
        <f>Sheet4!D77</f>
        <v>HOSE</v>
      </c>
      <c r="E98" s="7">
        <f>Sheet4!AH77/1000000000</f>
        <v>788.26627910000002</v>
      </c>
      <c r="F98" t="str">
        <f>Sheet4!E77</f>
        <v>Tài chính</v>
      </c>
      <c r="G98" t="str">
        <f>Sheet4!F77</f>
        <v>Bất động sản</v>
      </c>
      <c r="H98" t="str">
        <f>Sheet4!G77</f>
        <v>Bất động sản</v>
      </c>
      <c r="I98" s="9" cm="1">
        <f t="array" ref="I9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41.590751150999999</v>
      </c>
      <c r="J98" s="9" t="str" cm="1">
        <f t="array" ref="J9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8" s="10" cm="1">
        <f t="array" ref="K9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-0.92459999999999998</v>
      </c>
      <c r="L98" s="10" cm="1">
        <f t="array" ref="L9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-0.86680000000000001</v>
      </c>
      <c r="M98" s="9" cm="1">
        <f t="array" ref="M98">_xlfn.LET(_xlpm.val,IFERROR(INDEX(Sheet4!$2:$1605,MATCH(ChiTietKQKD[[#This Row],[Mã CP]],Sheet4!$B$2:$B$1605,0),_xlfn.XMATCH("*Lợi nhuận sau thuế*Q2*2026*",Sheet4!$1:$1,2)),0),IF(OR(_xlpm.val="",_xlpm.val=0),"",_xlpm.val/1000000000))</f>
        <v>2.5304330140000002</v>
      </c>
      <c r="N98" s="9" t="str" cm="1">
        <f t="array" ref="N9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8" s="10" cm="1">
        <f t="array" ref="O98">IFERROR(INDEX(Sheet4!$2:$1605,MATCH(ChiTietKQKD[[#This Row],[Mã CP]],Sheet4!$B$2:$B$1605,0),_xlfn.XMATCH("*Tăng trưởng lợi nhuận sau thuế (YoY) (Quý*",Sheet4!$1:$1,2)),"")</f>
        <v>-0.98780000000000001</v>
      </c>
      <c r="P98" s="10" cm="1">
        <f t="array" ref="P98">IFERROR(INDEX(Sheet4!$2:$1605,MATCH(ChiTietKQKD[[#This Row],[Mã CP]],Sheet4!$B$2:$B$1605,0),_xlfn.XMATCH("*Tăng trưởng lợi nhuận sau thuế (YoY) (6M)*",Sheet4!$1:$1,2)),"")</f>
        <v>-0.96360000000000001</v>
      </c>
      <c r="Q98" s="10" cm="1">
        <f t="array" ref="Q98">IFERROR(INDEX(Sheet4!$2:$1605,MATCH(ChiTietKQKD[[#This Row],[Mã CP]],Sheet4!$B$2:$B$1605,0),_xlfn.XMATCH("*Tăng trưởng doanh thu thuần (QoQ)*",Sheet4!$1:$1,2)),"")</f>
        <v>-5.7500000000000002E-2</v>
      </c>
      <c r="R98" s="10" cm="1">
        <f t="array" ref="R98">IFERROR(INDEX(Sheet4!$2:$1605,MATCH(ChiTietKQKD[[#This Row],[Mã CP]],Sheet4!$B$2:$B$1605,0),_xlfn.XMATCH("*Tăng trưởng lợi nhuận sau thuế (QoQ)*",Sheet4!$1:$1,2)),"")</f>
        <v>-0.52200000000000002</v>
      </c>
    </row>
    <row r="99" spans="1:18" x14ac:dyDescent="0.25">
      <c r="A99" s="7">
        <f>Sheet4!A78</f>
        <v>77</v>
      </c>
      <c r="B99" t="str">
        <f>Sheet4!B78</f>
        <v>DAH</v>
      </c>
      <c r="C99" t="str">
        <f>Sheet4!C77</f>
        <v>Phát triển Đô thị số 2</v>
      </c>
      <c r="D99" t="str">
        <f>Sheet4!D78</f>
        <v>HOSE</v>
      </c>
      <c r="E99" s="7">
        <f>Sheet4!AH78/1000000000</f>
        <v>224.81399999999999</v>
      </c>
      <c r="F99" t="str">
        <f>Sheet4!E78</f>
        <v>Dịch vụ Tiêu dùng</v>
      </c>
      <c r="G99" t="str">
        <f>Sheet4!F78</f>
        <v>Du lịch và Giải trí</v>
      </c>
      <c r="H99" t="str">
        <f>Sheet4!G78</f>
        <v>Khách sạn</v>
      </c>
      <c r="I99" s="9" cm="1">
        <f t="array" ref="I9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12.292729188999999</v>
      </c>
      <c r="J99" s="9" cm="1">
        <f t="array" ref="J9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22.096274169000001</v>
      </c>
      <c r="K99" s="10" cm="1">
        <f t="array" ref="K9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-9.5899999999999999E-2</v>
      </c>
      <c r="L99" s="10" cm="1">
        <f t="array" ref="L9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-0.111</v>
      </c>
      <c r="M99" s="9" cm="1">
        <f t="array" ref="M99">_xlfn.LET(_xlpm.val,IFERROR(INDEX(Sheet4!$2:$1605,MATCH(ChiTietKQKD[[#This Row],[Mã CP]],Sheet4!$B$2:$B$1605,0),_xlfn.XMATCH("*Lợi nhuận sau thuế*Q2*2026*",Sheet4!$1:$1,2)),0),IF(OR(_xlpm.val="",_xlpm.val=0),"",_xlpm.val/1000000000))</f>
        <v>1.46327198</v>
      </c>
      <c r="N99" s="9" cm="1">
        <f t="array" ref="N99">_xlfn.LET(_xlpm.val,IFERROR(INDEX(Sheet4!$2:$1605,MATCH(ChiTietKQKD[[#This Row],[Mã CP]],Sheet4!$B$2:$B$1605,0),_xlfn.XMATCH("*Lợi nhuận sau thuế*6 tháng*2026*",Sheet4!$1:$1,2)),0),IF(OR(_xlpm.val="",_xlpm.val=0),"",_xlpm.val/1000000000))</f>
        <v>0.39142537999999999</v>
      </c>
      <c r="O99" s="10" cm="1">
        <f t="array" ref="O99">IFERROR(INDEX(Sheet4!$2:$1605,MATCH(ChiTietKQKD[[#This Row],[Mã CP]],Sheet4!$B$2:$B$1605,0),_xlfn.XMATCH("*Tăng trưởng lợi nhuận sau thuế (YoY) (Quý*",Sheet4!$1:$1,2)),"")</f>
        <v>2.5154000000000001</v>
      </c>
      <c r="P99" s="10" cm="1">
        <f t="array" ref="P99">IFERROR(INDEX(Sheet4!$2:$1605,MATCH(ChiTietKQKD[[#This Row],[Mã CP]],Sheet4!$B$2:$B$1605,0),_xlfn.XMATCH("*Tăng trưởng lợi nhuận sau thuế (YoY) (6M)*",Sheet4!$1:$1,2)),"")</f>
        <v>1.1054999999999999</v>
      </c>
      <c r="Q99" s="10" cm="1">
        <f t="array" ref="Q99">IFERROR(INDEX(Sheet4!$2:$1605,MATCH(ChiTietKQKD[[#This Row],[Mã CP]],Sheet4!$B$2:$B$1605,0),_xlfn.XMATCH("*Tăng trưởng doanh thu thuần (QoQ)*",Sheet4!$1:$1,2)),"")</f>
        <v>0.25390000000000001</v>
      </c>
      <c r="R99" s="10" cm="1">
        <f t="array" ref="R99">IFERROR(INDEX(Sheet4!$2:$1605,MATCH(ChiTietKQKD[[#This Row],[Mã CP]],Sheet4!$B$2:$B$1605,0),_xlfn.XMATCH("*Tăng trưởng lợi nhuận sau thuế (QoQ)*",Sheet4!$1:$1,2)),"")</f>
        <v>2.3652000000000002</v>
      </c>
    </row>
    <row r="100" spans="1:18" x14ac:dyDescent="0.25">
      <c r="A100" s="7">
        <f>Sheet4!A79</f>
        <v>78</v>
      </c>
      <c r="B100" t="str">
        <f>Sheet4!B79</f>
        <v>DAT</v>
      </c>
      <c r="C100" t="str">
        <f>Sheet4!C78</f>
        <v>Tập đoàn Khách sạn Đông Á</v>
      </c>
      <c r="D100" t="str">
        <f>Sheet4!D79</f>
        <v>HOSE</v>
      </c>
      <c r="E100" s="7">
        <f>Sheet4!AH79/1000000000</f>
        <v>547.59617731000003</v>
      </c>
      <c r="F100" t="str">
        <f>Sheet4!E79</f>
        <v>Hàng Tiêu dùng</v>
      </c>
      <c r="G100" t="str">
        <f>Sheet4!F79</f>
        <v>Thực phẩm và đồ uống</v>
      </c>
      <c r="H100" t="str">
        <f>Sheet4!G79</f>
        <v>Nuôi trồng nông &amp; hải sản</v>
      </c>
      <c r="I100" s="9" cm="1">
        <f t="array" ref="I10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993.42032597900004</v>
      </c>
      <c r="J100" s="9" cm="1">
        <f t="array" ref="J10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1635.356205501</v>
      </c>
      <c r="K100" s="10" cm="1">
        <f t="array" ref="K10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0.38640000000000002</v>
      </c>
      <c r="L100" s="10" cm="1">
        <f t="array" ref="L10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0.26019999999999999</v>
      </c>
      <c r="M100" s="9" cm="1">
        <f t="array" ref="M100">_xlfn.LET(_xlpm.val,IFERROR(INDEX(Sheet4!$2:$1605,MATCH(ChiTietKQKD[[#This Row],[Mã CP]],Sheet4!$B$2:$B$1605,0),_xlfn.XMATCH("*Lợi nhuận sau thuế*Q2*2026*",Sheet4!$1:$1,2)),0),IF(OR(_xlpm.val="",_xlpm.val=0),"",_xlpm.val/1000000000))</f>
        <v>40.182399353000001</v>
      </c>
      <c r="N100" s="9" cm="1">
        <f t="array" ref="N100">_xlfn.LET(_xlpm.val,IFERROR(INDEX(Sheet4!$2:$1605,MATCH(ChiTietKQKD[[#This Row],[Mã CP]],Sheet4!$B$2:$B$1605,0),_xlfn.XMATCH("*Lợi nhuận sau thuế*6 tháng*2026*",Sheet4!$1:$1,2)),0),IF(OR(_xlpm.val="",_xlpm.val=0),"",_xlpm.val/1000000000))</f>
        <v>58.544598274999998</v>
      </c>
      <c r="O100" s="10" cm="1">
        <f t="array" ref="O100">IFERROR(INDEX(Sheet4!$2:$1605,MATCH(ChiTietKQKD[[#This Row],[Mã CP]],Sheet4!$B$2:$B$1605,0),_xlfn.XMATCH("*Tăng trưởng lợi nhuận sau thuế (YoY) (Quý*",Sheet4!$1:$1,2)),"")</f>
        <v>1.4261999999999999</v>
      </c>
      <c r="P100" s="10" cm="1">
        <f t="array" ref="P100">IFERROR(INDEX(Sheet4!$2:$1605,MATCH(ChiTietKQKD[[#This Row],[Mã CP]],Sheet4!$B$2:$B$1605,0),_xlfn.XMATCH("*Tăng trưởng lợi nhuận sau thuế (YoY) (6M)*",Sheet4!$1:$1,2)),"")</f>
        <v>0.95760000000000001</v>
      </c>
      <c r="Q100" s="10" cm="1">
        <f t="array" ref="Q100">IFERROR(INDEX(Sheet4!$2:$1605,MATCH(ChiTietKQKD[[#This Row],[Mã CP]],Sheet4!$B$2:$B$1605,0),_xlfn.XMATCH("*Tăng trưởng doanh thu thuần (QoQ)*",Sheet4!$1:$1,2)),"")</f>
        <v>0.54749999999999999</v>
      </c>
      <c r="R100" s="10" cm="1">
        <f t="array" ref="R100">IFERROR(INDEX(Sheet4!$2:$1605,MATCH(ChiTietKQKD[[#This Row],[Mã CP]],Sheet4!$B$2:$B$1605,0),_xlfn.XMATCH("*Tăng trưởng lợi nhuận sau thuế (QoQ)*",Sheet4!$1:$1,2)),"")</f>
        <v>1.1882999999999999</v>
      </c>
    </row>
    <row r="101" spans="1:18" x14ac:dyDescent="0.25">
      <c r="A101" s="7">
        <f>Sheet4!A80</f>
        <v>79</v>
      </c>
      <c r="B101" t="str">
        <f>Sheet4!B80</f>
        <v>DBC</v>
      </c>
      <c r="C101" t="str">
        <f>Sheet4!C79</f>
        <v>ĐT Du lịch và PT Thủy sản</v>
      </c>
      <c r="D101" t="str">
        <f>Sheet4!D80</f>
        <v>HOSE</v>
      </c>
      <c r="E101" s="7">
        <f>Sheet4!AH80/1000000000</f>
        <v>6896.7439839999997</v>
      </c>
      <c r="F101" t="str">
        <f>Sheet4!E80</f>
        <v>Hàng Tiêu dùng</v>
      </c>
      <c r="G101" t="str">
        <f>Sheet4!F80</f>
        <v>Thực phẩm và đồ uống</v>
      </c>
      <c r="H101" t="str">
        <f>Sheet4!G80</f>
        <v>Nuôi trồng nông &amp; hải sản</v>
      </c>
      <c r="I101" s="9" t="str" cm="1">
        <f t="array" ref="I10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1" s="9" t="str" cm="1">
        <f t="array" ref="J10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1" s="10" cm="1">
        <f t="array" ref="K10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1" s="10" cm="1">
        <f t="array" ref="L10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1" s="9" t="str" cm="1">
        <f t="array" ref="M10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1" s="9" t="str" cm="1">
        <f t="array" ref="N10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1" s="10" cm="1">
        <f t="array" ref="O101">IFERROR(INDEX(Sheet4!$2:$1605,MATCH(ChiTietKQKD[[#This Row],[Mã CP]],Sheet4!$B$2:$B$1605,0),_xlfn.XMATCH("*Tăng trưởng lợi nhuận sau thuế (YoY) (Quý*",Sheet4!$1:$1,2)),"")</f>
        <v>0</v>
      </c>
      <c r="P101" s="10" cm="1">
        <f t="array" ref="P101">IFERROR(INDEX(Sheet4!$2:$1605,MATCH(ChiTietKQKD[[#This Row],[Mã CP]],Sheet4!$B$2:$B$1605,0),_xlfn.XMATCH("*Tăng trưởng lợi nhuận sau thuế (YoY) (6M)*",Sheet4!$1:$1,2)),"")</f>
        <v>0</v>
      </c>
      <c r="Q101" s="10" cm="1">
        <f t="array" ref="Q101">IFERROR(INDEX(Sheet4!$2:$1605,MATCH(ChiTietKQKD[[#This Row],[Mã CP]],Sheet4!$B$2:$B$1605,0),_xlfn.XMATCH("*Tăng trưởng doanh thu thuần (QoQ)*",Sheet4!$1:$1,2)),"")</f>
        <v>0</v>
      </c>
      <c r="R101" s="10" cm="1">
        <f t="array" ref="R101">IFERROR(INDEX(Sheet4!$2:$1605,MATCH(ChiTietKQKD[[#This Row],[Mã CP]],Sheet4!$B$2:$B$1605,0),_xlfn.XMATCH("*Tăng trưởng lợi nhuận sau thuế (QoQ)*",Sheet4!$1:$1,2)),"")</f>
        <v>0</v>
      </c>
    </row>
    <row r="102" spans="1:18" x14ac:dyDescent="0.25">
      <c r="A102" s="7">
        <f>Sheet4!A81</f>
        <v>80</v>
      </c>
      <c r="B102" t="str">
        <f>Sheet4!B81</f>
        <v>DBD</v>
      </c>
      <c r="C102" t="str">
        <f>Sheet4!C80</f>
        <v>Tập đoàn DABACO</v>
      </c>
      <c r="D102" t="str">
        <f>Sheet4!D81</f>
        <v>HOSE</v>
      </c>
      <c r="E102" s="7">
        <f>Sheet4!AH81/1000000000</f>
        <v>4620.5249118000002</v>
      </c>
      <c r="F102" t="str">
        <f>Sheet4!E81</f>
        <v>Dược phẩm và Y tế</v>
      </c>
      <c r="G102" t="str">
        <f>Sheet4!F81</f>
        <v>Y tế</v>
      </c>
      <c r="H102" t="str">
        <f>Sheet4!G81</f>
        <v>Dược phẩm</v>
      </c>
      <c r="I102" s="9" t="str" cm="1">
        <f t="array" ref="I10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2" s="9" t="str" cm="1">
        <f t="array" ref="J10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2" s="10" cm="1">
        <f t="array" ref="K10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2" s="10" cm="1">
        <f t="array" ref="L10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2" s="9" t="str" cm="1">
        <f t="array" ref="M10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2" s="9" t="str" cm="1">
        <f t="array" ref="N10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2" s="10" cm="1">
        <f t="array" ref="O102">IFERROR(INDEX(Sheet4!$2:$1605,MATCH(ChiTietKQKD[[#This Row],[Mã CP]],Sheet4!$B$2:$B$1605,0),_xlfn.XMATCH("*Tăng trưởng lợi nhuận sau thuế (YoY) (Quý*",Sheet4!$1:$1,2)),"")</f>
        <v>0</v>
      </c>
      <c r="P102" s="10" cm="1">
        <f t="array" ref="P102">IFERROR(INDEX(Sheet4!$2:$1605,MATCH(ChiTietKQKD[[#This Row],[Mã CP]],Sheet4!$B$2:$B$1605,0),_xlfn.XMATCH("*Tăng trưởng lợi nhuận sau thuế (YoY) (6M)*",Sheet4!$1:$1,2)),"")</f>
        <v>0</v>
      </c>
      <c r="Q102" s="10" cm="1">
        <f t="array" ref="Q102">IFERROR(INDEX(Sheet4!$2:$1605,MATCH(ChiTietKQKD[[#This Row],[Mã CP]],Sheet4!$B$2:$B$1605,0),_xlfn.XMATCH("*Tăng trưởng doanh thu thuần (QoQ)*",Sheet4!$1:$1,2)),"")</f>
        <v>0</v>
      </c>
      <c r="R102" s="10" cm="1">
        <f t="array" ref="R102">IFERROR(INDEX(Sheet4!$2:$1605,MATCH(ChiTietKQKD[[#This Row],[Mã CP]],Sheet4!$B$2:$B$1605,0),_xlfn.XMATCH("*Tăng trưởng lợi nhuận sau thuế (QoQ)*",Sheet4!$1:$1,2)),"")</f>
        <v>0</v>
      </c>
    </row>
    <row r="103" spans="1:18" x14ac:dyDescent="0.25">
      <c r="A103" s="7">
        <f>Sheet4!A82</f>
        <v>81</v>
      </c>
      <c r="B103" t="str">
        <f>Sheet4!B82</f>
        <v>DBT</v>
      </c>
      <c r="C103" t="str">
        <f>Sheet4!C81</f>
        <v>Dược - TB Y tế Bình Định</v>
      </c>
      <c r="D103" t="str">
        <f>Sheet4!D82</f>
        <v>HOSE</v>
      </c>
      <c r="E103" s="7">
        <f>Sheet4!AH82/1000000000</f>
        <v>274.59077500000001</v>
      </c>
      <c r="F103" t="str">
        <f>Sheet4!E82</f>
        <v>Dược phẩm và Y tế</v>
      </c>
      <c r="G103" t="str">
        <f>Sheet4!F82</f>
        <v>Y tế</v>
      </c>
      <c r="H103" t="str">
        <f>Sheet4!G82</f>
        <v>Dược phẩm</v>
      </c>
      <c r="I103" s="9" t="str" cm="1">
        <f t="array" ref="I10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3" s="9" t="str" cm="1">
        <f t="array" ref="J10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3" s="10" cm="1">
        <f t="array" ref="K10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3" s="10" cm="1">
        <f t="array" ref="L10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3" s="9" t="str" cm="1">
        <f t="array" ref="M10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3" s="9" t="str" cm="1">
        <f t="array" ref="N10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3" s="10" cm="1">
        <f t="array" ref="O103">IFERROR(INDEX(Sheet4!$2:$1605,MATCH(ChiTietKQKD[[#This Row],[Mã CP]],Sheet4!$B$2:$B$1605,0),_xlfn.XMATCH("*Tăng trưởng lợi nhuận sau thuế (YoY) (Quý*",Sheet4!$1:$1,2)),"")</f>
        <v>0</v>
      </c>
      <c r="P103" s="10" cm="1">
        <f t="array" ref="P103">IFERROR(INDEX(Sheet4!$2:$1605,MATCH(ChiTietKQKD[[#This Row],[Mã CP]],Sheet4!$B$2:$B$1605,0),_xlfn.XMATCH("*Tăng trưởng lợi nhuận sau thuế (YoY) (6M)*",Sheet4!$1:$1,2)),"")</f>
        <v>0</v>
      </c>
      <c r="Q103" s="10" cm="1">
        <f t="array" ref="Q103">IFERROR(INDEX(Sheet4!$2:$1605,MATCH(ChiTietKQKD[[#This Row],[Mã CP]],Sheet4!$B$2:$B$1605,0),_xlfn.XMATCH("*Tăng trưởng doanh thu thuần (QoQ)*",Sheet4!$1:$1,2)),"")</f>
        <v>0</v>
      </c>
      <c r="R103" s="10" cm="1">
        <f t="array" ref="R103">IFERROR(INDEX(Sheet4!$2:$1605,MATCH(ChiTietKQKD[[#This Row],[Mã CP]],Sheet4!$B$2:$B$1605,0),_xlfn.XMATCH("*Tăng trưởng lợi nhuận sau thuế (QoQ)*",Sheet4!$1:$1,2)),"")</f>
        <v>0</v>
      </c>
    </row>
    <row r="104" spans="1:18" x14ac:dyDescent="0.25">
      <c r="A104" s="7">
        <f>Sheet4!A83</f>
        <v>82</v>
      </c>
      <c r="B104" t="str">
        <f>Sheet4!B83</f>
        <v>DC4</v>
      </c>
      <c r="C104" t="str">
        <f>Sheet4!C82</f>
        <v>Dược phẩm Bến Tre</v>
      </c>
      <c r="D104" t="str">
        <f>Sheet4!D83</f>
        <v>HOSE</v>
      </c>
      <c r="E104" s="7">
        <f>Sheet4!AH83/1000000000</f>
        <v>702.38133549999998</v>
      </c>
      <c r="F104" t="str">
        <f>Sheet4!E83</f>
        <v>Công nghiệp</v>
      </c>
      <c r="G104" t="str">
        <f>Sheet4!F83</f>
        <v>Xây dựng và Vật liệu</v>
      </c>
      <c r="H104" t="str">
        <f>Sheet4!G83</f>
        <v>Xây dựng</v>
      </c>
      <c r="I104" s="9" t="str" cm="1">
        <f t="array" ref="I10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4" s="9" t="str" cm="1">
        <f t="array" ref="J10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4" s="10" cm="1">
        <f t="array" ref="K10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4" s="10" cm="1">
        <f t="array" ref="L10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4" s="9" t="str" cm="1">
        <f t="array" ref="M10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4" s="9" t="str" cm="1">
        <f t="array" ref="N10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4" s="10" cm="1">
        <f t="array" ref="O104">IFERROR(INDEX(Sheet4!$2:$1605,MATCH(ChiTietKQKD[[#This Row],[Mã CP]],Sheet4!$B$2:$B$1605,0),_xlfn.XMATCH("*Tăng trưởng lợi nhuận sau thuế (YoY) (Quý*",Sheet4!$1:$1,2)),"")</f>
        <v>0</v>
      </c>
      <c r="P104" s="10" cm="1">
        <f t="array" ref="P104">IFERROR(INDEX(Sheet4!$2:$1605,MATCH(ChiTietKQKD[[#This Row],[Mã CP]],Sheet4!$B$2:$B$1605,0),_xlfn.XMATCH("*Tăng trưởng lợi nhuận sau thuế (YoY) (6M)*",Sheet4!$1:$1,2)),"")</f>
        <v>0</v>
      </c>
      <c r="Q104" s="10" cm="1">
        <f t="array" ref="Q104">IFERROR(INDEX(Sheet4!$2:$1605,MATCH(ChiTietKQKD[[#This Row],[Mã CP]],Sheet4!$B$2:$B$1605,0),_xlfn.XMATCH("*Tăng trưởng doanh thu thuần (QoQ)*",Sheet4!$1:$1,2)),"")</f>
        <v>0</v>
      </c>
      <c r="R104" s="10" cm="1">
        <f t="array" ref="R104">IFERROR(INDEX(Sheet4!$2:$1605,MATCH(ChiTietKQKD[[#This Row],[Mã CP]],Sheet4!$B$2:$B$1605,0),_xlfn.XMATCH("*Tăng trưởng lợi nhuận sau thuế (QoQ)*",Sheet4!$1:$1,2)),"")</f>
        <v>0</v>
      </c>
    </row>
    <row r="105" spans="1:18" x14ac:dyDescent="0.25">
      <c r="A105" s="7">
        <f>Sheet4!A84</f>
        <v>83</v>
      </c>
      <c r="B105" t="str">
        <f>Sheet4!B84</f>
        <v>DCL</v>
      </c>
      <c r="C105" t="str">
        <f>Sheet4!C83</f>
        <v>Dicera Holdings</v>
      </c>
      <c r="D105" t="str">
        <f>Sheet4!D84</f>
        <v>HOSE</v>
      </c>
      <c r="E105" s="7">
        <f>Sheet4!AH84/1000000000</f>
        <v>2782.8632429999998</v>
      </c>
      <c r="F105" t="str">
        <f>Sheet4!E84</f>
        <v>Dược phẩm và Y tế</v>
      </c>
      <c r="G105" t="str">
        <f>Sheet4!F84</f>
        <v>Y tế</v>
      </c>
      <c r="H105" t="str">
        <f>Sheet4!G84</f>
        <v>Dược phẩm</v>
      </c>
      <c r="I105" s="9" t="str" cm="1">
        <f t="array" ref="I10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5" s="9" t="str" cm="1">
        <f t="array" ref="J10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5" s="10" cm="1">
        <f t="array" ref="K10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5" s="10" cm="1">
        <f t="array" ref="L10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5" s="9" t="str" cm="1">
        <f t="array" ref="M10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5" s="9" t="str" cm="1">
        <f t="array" ref="N10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5" s="10" cm="1">
        <f t="array" ref="O105">IFERROR(INDEX(Sheet4!$2:$1605,MATCH(ChiTietKQKD[[#This Row],[Mã CP]],Sheet4!$B$2:$B$1605,0),_xlfn.XMATCH("*Tăng trưởng lợi nhuận sau thuế (YoY) (Quý*",Sheet4!$1:$1,2)),"")</f>
        <v>0</v>
      </c>
      <c r="P105" s="10" cm="1">
        <f t="array" ref="P105">IFERROR(INDEX(Sheet4!$2:$1605,MATCH(ChiTietKQKD[[#This Row],[Mã CP]],Sheet4!$B$2:$B$1605,0),_xlfn.XMATCH("*Tăng trưởng lợi nhuận sau thuế (YoY) (6M)*",Sheet4!$1:$1,2)),"")</f>
        <v>0</v>
      </c>
      <c r="Q105" s="10" cm="1">
        <f t="array" ref="Q105">IFERROR(INDEX(Sheet4!$2:$1605,MATCH(ChiTietKQKD[[#This Row],[Mã CP]],Sheet4!$B$2:$B$1605,0),_xlfn.XMATCH("*Tăng trưởng doanh thu thuần (QoQ)*",Sheet4!$1:$1,2)),"")</f>
        <v>0</v>
      </c>
      <c r="R105" s="10" cm="1">
        <f t="array" ref="R105">IFERROR(INDEX(Sheet4!$2:$1605,MATCH(ChiTietKQKD[[#This Row],[Mã CP]],Sheet4!$B$2:$B$1605,0),_xlfn.XMATCH("*Tăng trưởng lợi nhuận sau thuế (QoQ)*",Sheet4!$1:$1,2)),"")</f>
        <v>0</v>
      </c>
    </row>
    <row r="106" spans="1:18" x14ac:dyDescent="0.25">
      <c r="A106" s="7">
        <f>Sheet4!A85</f>
        <v>84</v>
      </c>
      <c r="B106" t="str">
        <f>Sheet4!B85</f>
        <v>DCM</v>
      </c>
      <c r="C106" t="str">
        <f>Sheet4!C84</f>
        <v>Dược phẩm Cửu Long</v>
      </c>
      <c r="D106" t="str">
        <f>Sheet4!D85</f>
        <v>HOSE</v>
      </c>
      <c r="E106" s="7">
        <f>Sheet4!AH85/1000000000</f>
        <v>15299.66</v>
      </c>
      <c r="F106" t="str">
        <f>Sheet4!E85</f>
        <v>Nguyên vật liệu</v>
      </c>
      <c r="G106" t="str">
        <f>Sheet4!F85</f>
        <v>Hóa chất</v>
      </c>
      <c r="H106" t="str">
        <f>Sheet4!G85</f>
        <v>Sản phẩm hóa dầu, Nông dược &amp; Hóa chất khác</v>
      </c>
      <c r="I106" s="9" t="str" cm="1">
        <f t="array" ref="I10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6" s="9" t="str" cm="1">
        <f t="array" ref="J10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6" s="10" cm="1">
        <f t="array" ref="K10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6" s="10" cm="1">
        <f t="array" ref="L10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6" s="9" t="str" cm="1">
        <f t="array" ref="M10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6" s="9" t="str" cm="1">
        <f t="array" ref="N10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6" s="10" cm="1">
        <f t="array" ref="O106">IFERROR(INDEX(Sheet4!$2:$1605,MATCH(ChiTietKQKD[[#This Row],[Mã CP]],Sheet4!$B$2:$B$1605,0),_xlfn.XMATCH("*Tăng trưởng lợi nhuận sau thuế (YoY) (Quý*",Sheet4!$1:$1,2)),"")</f>
        <v>0</v>
      </c>
      <c r="P106" s="10" cm="1">
        <f t="array" ref="P106">IFERROR(INDEX(Sheet4!$2:$1605,MATCH(ChiTietKQKD[[#This Row],[Mã CP]],Sheet4!$B$2:$B$1605,0),_xlfn.XMATCH("*Tăng trưởng lợi nhuận sau thuế (YoY) (6M)*",Sheet4!$1:$1,2)),"")</f>
        <v>0</v>
      </c>
      <c r="Q106" s="10" cm="1">
        <f t="array" ref="Q106">IFERROR(INDEX(Sheet4!$2:$1605,MATCH(ChiTietKQKD[[#This Row],[Mã CP]],Sheet4!$B$2:$B$1605,0),_xlfn.XMATCH("*Tăng trưởng doanh thu thuần (QoQ)*",Sheet4!$1:$1,2)),"")</f>
        <v>0</v>
      </c>
      <c r="R106" s="10" cm="1">
        <f t="array" ref="R106">IFERROR(INDEX(Sheet4!$2:$1605,MATCH(ChiTietKQKD[[#This Row],[Mã CP]],Sheet4!$B$2:$B$1605,0),_xlfn.XMATCH("*Tăng trưởng lợi nhuận sau thuế (QoQ)*",Sheet4!$1:$1,2)),"")</f>
        <v>0</v>
      </c>
    </row>
    <row r="107" spans="1:18" x14ac:dyDescent="0.25">
      <c r="A107" s="7">
        <f>Sheet4!A86</f>
        <v>85</v>
      </c>
      <c r="B107" t="str">
        <f>Sheet4!B86</f>
        <v>DGC</v>
      </c>
      <c r="C107" t="str">
        <f>Sheet4!C85</f>
        <v>Đạm Cà Mau</v>
      </c>
      <c r="D107" t="str">
        <f>Sheet4!D86</f>
        <v>HOSE</v>
      </c>
      <c r="E107" s="7">
        <f>Sheet4!AH86/1000000000</f>
        <v>15381.0257265</v>
      </c>
      <c r="F107" t="str">
        <f>Sheet4!E86</f>
        <v>Nguyên vật liệu</v>
      </c>
      <c r="G107" t="str">
        <f>Sheet4!F86</f>
        <v>Hóa chất</v>
      </c>
      <c r="H107" t="str">
        <f>Sheet4!G86</f>
        <v>Sản phẩm hóa dầu, Nông dược &amp; Hóa chất khác</v>
      </c>
      <c r="I107" s="9" cm="1">
        <f t="array" ref="I10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2415.4140343580002</v>
      </c>
      <c r="J107" s="9" cm="1">
        <f t="array" ref="J10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4540.0048049999996</v>
      </c>
      <c r="K107" s="10" cm="1">
        <f t="array" ref="K10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-0.16550000000000001</v>
      </c>
      <c r="L107" s="10" cm="1">
        <f t="array" ref="L10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7" s="9" cm="1">
        <f t="array" ref="M107">_xlfn.LET(_xlpm.val,IFERROR(INDEX(Sheet4!$2:$1605,MATCH(ChiTietKQKD[[#This Row],[Mã CP]],Sheet4!$B$2:$B$1605,0),_xlfn.XMATCH("*Lợi nhuận sau thuế*Q2*2026*",Sheet4!$1:$1,2)),0),IF(OR(_xlpm.val="",_xlpm.val=0),"",_xlpm.val/1000000000))</f>
        <v>388.55367907700003</v>
      </c>
      <c r="N107" s="9" cm="1">
        <f t="array" ref="N107">_xlfn.LET(_xlpm.val,IFERROR(INDEX(Sheet4!$2:$1605,MATCH(ChiTietKQKD[[#This Row],[Mã CP]],Sheet4!$B$2:$B$1605,0),_xlfn.XMATCH("*Lợi nhuận sau thuế*6 tháng*2026*",Sheet4!$1:$1,2)),0),IF(OR(_xlpm.val="",_xlpm.val=0),"",_xlpm.val/1000000000))</f>
        <v>797.37723179199998</v>
      </c>
      <c r="O107" s="10" cm="1">
        <f t="array" ref="O107">IFERROR(INDEX(Sheet4!$2:$1605,MATCH(ChiTietKQKD[[#This Row],[Mã CP]],Sheet4!$B$2:$B$1605,0),_xlfn.XMATCH("*Tăng trưởng lợi nhuận sau thuế (YoY) (Quý*",Sheet4!$1:$1,2)),"")</f>
        <v>-0.53869999999999996</v>
      </c>
      <c r="P107" s="10" cm="1">
        <f t="array" ref="P107">IFERROR(INDEX(Sheet4!$2:$1605,MATCH(ChiTietKQKD[[#This Row],[Mã CP]],Sheet4!$B$2:$B$1605,0),_xlfn.XMATCH("*Tăng trưởng lợi nhuận sau thuế (YoY) (6M)*",Sheet4!$1:$1,2)),"")</f>
        <v>0</v>
      </c>
      <c r="Q107" s="10" cm="1">
        <f t="array" ref="Q107">IFERROR(INDEX(Sheet4!$2:$1605,MATCH(ChiTietKQKD[[#This Row],[Mã CP]],Sheet4!$B$2:$B$1605,0),_xlfn.XMATCH("*Tăng trưởng doanh thu thuần (QoQ)*",Sheet4!$1:$1,2)),"")</f>
        <v>0.13689999999999999</v>
      </c>
      <c r="R107" s="10" cm="1">
        <f t="array" ref="R107">IFERROR(INDEX(Sheet4!$2:$1605,MATCH(ChiTietKQKD[[#This Row],[Mã CP]],Sheet4!$B$2:$B$1605,0),_xlfn.XMATCH("*Tăng trưởng lợi nhuận sau thuế (QoQ)*",Sheet4!$1:$1,2)),"")</f>
        <v>-4.9599999999999998E-2</v>
      </c>
    </row>
    <row r="108" spans="1:18" x14ac:dyDescent="0.25">
      <c r="A108" s="7">
        <f>Sheet4!A87</f>
        <v>86</v>
      </c>
      <c r="B108" t="str">
        <f>Sheet4!B87</f>
        <v>DGW</v>
      </c>
      <c r="C108" t="str">
        <f>Sheet4!C86</f>
        <v>Hóa chất Đức Giang</v>
      </c>
      <c r="D108" t="str">
        <f>Sheet4!D87</f>
        <v>HOSE</v>
      </c>
      <c r="E108" s="7">
        <f>Sheet4!AH87/1000000000</f>
        <v>7607.9384</v>
      </c>
      <c r="F108" t="str">
        <f>Sheet4!E87</f>
        <v>Dịch vụ Tiêu dùng</v>
      </c>
      <c r="G108" t="str">
        <f>Sheet4!F87</f>
        <v>Bán lẻ</v>
      </c>
      <c r="H108" t="str">
        <f>Sheet4!G87</f>
        <v>Phân phối hàng chuyên dụng</v>
      </c>
      <c r="I108" s="9" t="str" cm="1">
        <f t="array" ref="I10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8" s="9" t="str" cm="1">
        <f t="array" ref="J10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8" s="10" cm="1">
        <f t="array" ref="K10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8" s="10" cm="1">
        <f t="array" ref="L10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8" s="9" t="str" cm="1">
        <f t="array" ref="M10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8" s="9" t="str" cm="1">
        <f t="array" ref="N10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8" s="10" cm="1">
        <f t="array" ref="O108">IFERROR(INDEX(Sheet4!$2:$1605,MATCH(ChiTietKQKD[[#This Row],[Mã CP]],Sheet4!$B$2:$B$1605,0),_xlfn.XMATCH("*Tăng trưởng lợi nhuận sau thuế (YoY) (Quý*",Sheet4!$1:$1,2)),"")</f>
        <v>0</v>
      </c>
      <c r="P108" s="10" cm="1">
        <f t="array" ref="P108">IFERROR(INDEX(Sheet4!$2:$1605,MATCH(ChiTietKQKD[[#This Row],[Mã CP]],Sheet4!$B$2:$B$1605,0),_xlfn.XMATCH("*Tăng trưởng lợi nhuận sau thuế (YoY) (6M)*",Sheet4!$1:$1,2)),"")</f>
        <v>0</v>
      </c>
      <c r="Q108" s="10" cm="1">
        <f t="array" ref="Q108">IFERROR(INDEX(Sheet4!$2:$1605,MATCH(ChiTietKQKD[[#This Row],[Mã CP]],Sheet4!$B$2:$B$1605,0),_xlfn.XMATCH("*Tăng trưởng doanh thu thuần (QoQ)*",Sheet4!$1:$1,2)),"")</f>
        <v>0</v>
      </c>
      <c r="R108" s="10" cm="1">
        <f t="array" ref="R108">IFERROR(INDEX(Sheet4!$2:$1605,MATCH(ChiTietKQKD[[#This Row],[Mã CP]],Sheet4!$B$2:$B$1605,0),_xlfn.XMATCH("*Tăng trưởng lợi nhuận sau thuế (QoQ)*",Sheet4!$1:$1,2)),"")</f>
        <v>0</v>
      </c>
    </row>
    <row r="109" spans="1:18" x14ac:dyDescent="0.25">
      <c r="A109" s="7">
        <f>Sheet4!A88</f>
        <v>87</v>
      </c>
      <c r="B109" t="str">
        <f>Sheet4!B88</f>
        <v>DHA</v>
      </c>
      <c r="C109" t="str">
        <f>Sheet4!C87</f>
        <v>Thế Giới Số</v>
      </c>
      <c r="D109" t="str">
        <f>Sheet4!D88</f>
        <v>HOSE</v>
      </c>
      <c r="E109" s="7">
        <f>Sheet4!AH88/1000000000</f>
        <v>700.72307479999995</v>
      </c>
      <c r="F109" t="str">
        <f>Sheet4!E88</f>
        <v>Công nghiệp</v>
      </c>
      <c r="G109" t="str">
        <f>Sheet4!F88</f>
        <v>Xây dựng và Vật liệu</v>
      </c>
      <c r="H109" t="str">
        <f>Sheet4!G88</f>
        <v>Vật liệu xây dựng &amp; Nội thất</v>
      </c>
      <c r="I109" s="9" t="str" cm="1">
        <f t="array" ref="I10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9" s="9" t="str" cm="1">
        <f t="array" ref="J10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9" s="10" cm="1">
        <f t="array" ref="K10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9" s="10" cm="1">
        <f t="array" ref="L10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9" s="9" t="str" cm="1">
        <f t="array" ref="M10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9" s="9" t="str" cm="1">
        <f t="array" ref="N10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9" s="10" cm="1">
        <f t="array" ref="O109">IFERROR(INDEX(Sheet4!$2:$1605,MATCH(ChiTietKQKD[[#This Row],[Mã CP]],Sheet4!$B$2:$B$1605,0),_xlfn.XMATCH("*Tăng trưởng lợi nhuận sau thuế (YoY) (Quý*",Sheet4!$1:$1,2)),"")</f>
        <v>0</v>
      </c>
      <c r="P109" s="10" cm="1">
        <f t="array" ref="P109">IFERROR(INDEX(Sheet4!$2:$1605,MATCH(ChiTietKQKD[[#This Row],[Mã CP]],Sheet4!$B$2:$B$1605,0),_xlfn.XMATCH("*Tăng trưởng lợi nhuận sau thuế (YoY) (6M)*",Sheet4!$1:$1,2)),"")</f>
        <v>0</v>
      </c>
      <c r="Q109" s="10" cm="1">
        <f t="array" ref="Q109">IFERROR(INDEX(Sheet4!$2:$1605,MATCH(ChiTietKQKD[[#This Row],[Mã CP]],Sheet4!$B$2:$B$1605,0),_xlfn.XMATCH("*Tăng trưởng doanh thu thuần (QoQ)*",Sheet4!$1:$1,2)),"")</f>
        <v>0</v>
      </c>
      <c r="R109" s="10" cm="1">
        <f t="array" ref="R109">IFERROR(INDEX(Sheet4!$2:$1605,MATCH(ChiTietKQKD[[#This Row],[Mã CP]],Sheet4!$B$2:$B$1605,0),_xlfn.XMATCH("*Tăng trưởng lợi nhuận sau thuế (QoQ)*",Sheet4!$1:$1,2)),"")</f>
        <v>0</v>
      </c>
    </row>
    <row r="110" spans="1:18" x14ac:dyDescent="0.25">
      <c r="A110" s="7">
        <f>Sheet4!A89</f>
        <v>88</v>
      </c>
      <c r="B110" t="str">
        <f>Sheet4!B89</f>
        <v>DHC</v>
      </c>
      <c r="C110" t="str">
        <f>Sheet4!C88</f>
        <v>Hóa An</v>
      </c>
      <c r="D110" t="str">
        <f>Sheet4!D89</f>
        <v>HOSE</v>
      </c>
      <c r="E110" s="7">
        <f>Sheet4!AH89/1000000000</f>
        <v>3091.863942</v>
      </c>
      <c r="F110" t="str">
        <f>Sheet4!E89</f>
        <v>Nguyên vật liệu</v>
      </c>
      <c r="G110" t="str">
        <f>Sheet4!F89</f>
        <v>Tài nguyên Cơ bản</v>
      </c>
      <c r="H110" t="str">
        <f>Sheet4!G89</f>
        <v>Sản xuất giấy</v>
      </c>
      <c r="I110" s="9" t="str" cm="1">
        <f t="array" ref="I11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0" s="9" t="str" cm="1">
        <f t="array" ref="J11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0" s="10" cm="1">
        <f t="array" ref="K11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0" s="10" cm="1">
        <f t="array" ref="L11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0" s="9" t="str" cm="1">
        <f t="array" ref="M11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0" s="9" t="str" cm="1">
        <f t="array" ref="N11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0" s="10" cm="1">
        <f t="array" ref="O110">IFERROR(INDEX(Sheet4!$2:$1605,MATCH(ChiTietKQKD[[#This Row],[Mã CP]],Sheet4!$B$2:$B$1605,0),_xlfn.XMATCH("*Tăng trưởng lợi nhuận sau thuế (YoY) (Quý*",Sheet4!$1:$1,2)),"")</f>
        <v>0</v>
      </c>
      <c r="P110" s="10" cm="1">
        <f t="array" ref="P110">IFERROR(INDEX(Sheet4!$2:$1605,MATCH(ChiTietKQKD[[#This Row],[Mã CP]],Sheet4!$B$2:$B$1605,0),_xlfn.XMATCH("*Tăng trưởng lợi nhuận sau thuế (YoY) (6M)*",Sheet4!$1:$1,2)),"")</f>
        <v>0</v>
      </c>
      <c r="Q110" s="10" cm="1">
        <f t="array" ref="Q110">IFERROR(INDEX(Sheet4!$2:$1605,MATCH(ChiTietKQKD[[#This Row],[Mã CP]],Sheet4!$B$2:$B$1605,0),_xlfn.XMATCH("*Tăng trưởng doanh thu thuần (QoQ)*",Sheet4!$1:$1,2)),"")</f>
        <v>0</v>
      </c>
      <c r="R110" s="10" cm="1">
        <f t="array" ref="R110">IFERROR(INDEX(Sheet4!$2:$1605,MATCH(ChiTietKQKD[[#This Row],[Mã CP]],Sheet4!$B$2:$B$1605,0),_xlfn.XMATCH("*Tăng trưởng lợi nhuận sau thuế (QoQ)*",Sheet4!$1:$1,2)),"")</f>
        <v>0</v>
      </c>
    </row>
    <row r="111" spans="1:18" x14ac:dyDescent="0.25">
      <c r="A111" s="7">
        <f>Sheet4!A90</f>
        <v>89</v>
      </c>
      <c r="B111" t="str">
        <f>Sheet4!B90</f>
        <v>DHG</v>
      </c>
      <c r="C111" t="str">
        <f>Sheet4!C89</f>
        <v>Đông Hải Bến Tre</v>
      </c>
      <c r="D111" t="str">
        <f>Sheet4!D90</f>
        <v>HOSE</v>
      </c>
      <c r="E111" s="7">
        <f>Sheet4!AH90/1000000000</f>
        <v>11897.892460999999</v>
      </c>
      <c r="F111" t="str">
        <f>Sheet4!E90</f>
        <v>Dược phẩm và Y tế</v>
      </c>
      <c r="G111" t="str">
        <f>Sheet4!F90</f>
        <v>Y tế</v>
      </c>
      <c r="H111" t="str">
        <f>Sheet4!G90</f>
        <v>Dược phẩm</v>
      </c>
      <c r="I111" s="9" cm="1">
        <f t="array" ref="I11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1363.150471725</v>
      </c>
      <c r="J111" s="9" cm="1">
        <f t="array" ref="J11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2561.250654513</v>
      </c>
      <c r="K111" s="10" cm="1">
        <f t="array" ref="K11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0.15110000000000001</v>
      </c>
      <c r="L111" s="10" cm="1">
        <f t="array" ref="L11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7.6700000000000004E-2</v>
      </c>
      <c r="M111" s="9" cm="1">
        <f t="array" ref="M111">_xlfn.LET(_xlpm.val,IFERROR(INDEX(Sheet4!$2:$1605,MATCH(ChiTietKQKD[[#This Row],[Mã CP]],Sheet4!$B$2:$B$1605,0),_xlfn.XMATCH("*Lợi nhuận sau thuế*Q2*2026*",Sheet4!$1:$1,2)),0),IF(OR(_xlpm.val="",_xlpm.val=0),"",_xlpm.val/1000000000))</f>
        <v>298.66755920499998</v>
      </c>
      <c r="N111" s="9" cm="1">
        <f t="array" ref="N111">_xlfn.LET(_xlpm.val,IFERROR(INDEX(Sheet4!$2:$1605,MATCH(ChiTietKQKD[[#This Row],[Mã CP]],Sheet4!$B$2:$B$1605,0),_xlfn.XMATCH("*Lợi nhuận sau thuế*6 tháng*2026*",Sheet4!$1:$1,2)),0),IF(OR(_xlpm.val="",_xlpm.val=0),"",_xlpm.val/1000000000))</f>
        <v>614.34484047700005</v>
      </c>
      <c r="O111" s="10" cm="1">
        <f t="array" ref="O111">IFERROR(INDEX(Sheet4!$2:$1605,MATCH(ChiTietKQKD[[#This Row],[Mã CP]],Sheet4!$B$2:$B$1605,0),_xlfn.XMATCH("*Tăng trưởng lợi nhuận sau thuế (YoY) (Quý*",Sheet4!$1:$1,2)),"")</f>
        <v>0.26079999999999998</v>
      </c>
      <c r="P111" s="10" cm="1">
        <f t="array" ref="P111">IFERROR(INDEX(Sheet4!$2:$1605,MATCH(ChiTietKQKD[[#This Row],[Mã CP]],Sheet4!$B$2:$B$1605,0),_xlfn.XMATCH("*Tăng trưởng lợi nhuận sau thuế (YoY) (6M)*",Sheet4!$1:$1,2)),"")</f>
        <v>0.221</v>
      </c>
      <c r="Q111" s="10" cm="1">
        <f t="array" ref="Q111">IFERROR(INDEX(Sheet4!$2:$1605,MATCH(ChiTietKQKD[[#This Row],[Mã CP]],Sheet4!$B$2:$B$1605,0),_xlfn.XMATCH("*Tăng trưởng doanh thu thuần (QoQ)*",Sheet4!$1:$1,2)),"")</f>
        <v>0.13780000000000001</v>
      </c>
      <c r="R111" s="10" cm="1">
        <f t="array" ref="R111">IFERROR(INDEX(Sheet4!$2:$1605,MATCH(ChiTietKQKD[[#This Row],[Mã CP]],Sheet4!$B$2:$B$1605,0),_xlfn.XMATCH("*Tăng trưởng lợi nhuận sau thuế (QoQ)*",Sheet4!$1:$1,2)),"")</f>
        <v>-5.3900000000000003E-2</v>
      </c>
    </row>
    <row r="112" spans="1:18" x14ac:dyDescent="0.25">
      <c r="A112" s="7">
        <f>Sheet4!A91</f>
        <v>90</v>
      </c>
      <c r="B112" t="str">
        <f>Sheet4!B91</f>
        <v>DHM</v>
      </c>
      <c r="C112" t="str">
        <f>Sheet4!C90</f>
        <v>Dược Hậu Giang</v>
      </c>
      <c r="D112" t="str">
        <f>Sheet4!D91</f>
        <v>HOSE</v>
      </c>
      <c r="E112" s="7">
        <f>Sheet4!AH91/1000000000</f>
        <v>221.71918758000001</v>
      </c>
      <c r="F112" t="str">
        <f>Sheet4!E91</f>
        <v>Nguyên vật liệu</v>
      </c>
      <c r="G112" t="str">
        <f>Sheet4!F91</f>
        <v>Tài nguyên Cơ bản</v>
      </c>
      <c r="H112" t="str">
        <f>Sheet4!G91</f>
        <v>Khai khoáng</v>
      </c>
      <c r="I112" s="9" cm="1">
        <f t="array" ref="I11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861.02572630199995</v>
      </c>
      <c r="J112" s="9" cm="1">
        <f t="array" ref="J11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1943.381515537</v>
      </c>
      <c r="K112" s="10" cm="1">
        <f t="array" ref="K11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0.55579999999999996</v>
      </c>
      <c r="L112" s="10" cm="1">
        <f t="array" ref="L11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0.96899999999999997</v>
      </c>
      <c r="M112" s="9" cm="1">
        <f t="array" ref="M112">_xlfn.LET(_xlpm.val,IFERROR(INDEX(Sheet4!$2:$1605,MATCH(ChiTietKQKD[[#This Row],[Mã CP]],Sheet4!$B$2:$B$1605,0),_xlfn.XMATCH("*Lợi nhuận sau thuế*Q2*2026*",Sheet4!$1:$1,2)),0),IF(OR(_xlpm.val="",_xlpm.val=0),"",_xlpm.val/1000000000))</f>
        <v>-1.903548308</v>
      </c>
      <c r="N112" s="9" cm="1">
        <f t="array" ref="N112">_xlfn.LET(_xlpm.val,IFERROR(INDEX(Sheet4!$2:$1605,MATCH(ChiTietKQKD[[#This Row],[Mã CP]],Sheet4!$B$2:$B$1605,0),_xlfn.XMATCH("*Lợi nhuận sau thuế*6 tháng*2026*",Sheet4!$1:$1,2)),0),IF(OR(_xlpm.val="",_xlpm.val=0),"",_xlpm.val/1000000000))</f>
        <v>0.104765861</v>
      </c>
      <c r="O112" s="10" cm="1">
        <f t="array" ref="O112">IFERROR(INDEX(Sheet4!$2:$1605,MATCH(ChiTietKQKD[[#This Row],[Mã CP]],Sheet4!$B$2:$B$1605,0),_xlfn.XMATCH("*Tăng trưởng lợi nhuận sau thuế (YoY) (Quý*",Sheet4!$1:$1,2)),"")</f>
        <v>0.5464</v>
      </c>
      <c r="P112" s="10" cm="1">
        <f t="array" ref="P112">IFERROR(INDEX(Sheet4!$2:$1605,MATCH(ChiTietKQKD[[#This Row],[Mã CP]],Sheet4!$B$2:$B$1605,0),_xlfn.XMATCH("*Tăng trưởng lợi nhuận sau thuế (YoY) (6M)*",Sheet4!$1:$1,2)),"")</f>
        <v>1.0329999999999999</v>
      </c>
      <c r="Q112" s="10" cm="1">
        <f t="array" ref="Q112">IFERROR(INDEX(Sheet4!$2:$1605,MATCH(ChiTietKQKD[[#This Row],[Mã CP]],Sheet4!$B$2:$B$1605,0),_xlfn.XMATCH("*Tăng trưởng doanh thu thuần (QoQ)*",Sheet4!$1:$1,2)),"")</f>
        <v>-0.20449999999999999</v>
      </c>
      <c r="R112" s="10" cm="1">
        <f t="array" ref="R112">IFERROR(INDEX(Sheet4!$2:$1605,MATCH(ChiTietKQKD[[#This Row],[Mã CP]],Sheet4!$B$2:$B$1605,0),_xlfn.XMATCH("*Tăng trưởng lợi nhuận sau thuế (QoQ)*",Sheet4!$1:$1,2)),"")</f>
        <v>-1.9478</v>
      </c>
    </row>
    <row r="113" spans="1:18" x14ac:dyDescent="0.25">
      <c r="A113" s="7">
        <f>Sheet4!A92</f>
        <v>91</v>
      </c>
      <c r="B113" t="str">
        <f>Sheet4!B92</f>
        <v>DIG</v>
      </c>
      <c r="C113" t="str">
        <f>Sheet4!C91</f>
        <v>Đầu tư và Thương mại DHM</v>
      </c>
      <c r="D113" t="str">
        <f>Sheet4!D92</f>
        <v>HOSE</v>
      </c>
      <c r="E113" s="7">
        <f>Sheet4!AH92/1000000000</f>
        <v>8760.743101</v>
      </c>
      <c r="F113" t="str">
        <f>Sheet4!E92</f>
        <v>Tài chính</v>
      </c>
      <c r="G113" t="str">
        <f>Sheet4!F92</f>
        <v>Bất động sản</v>
      </c>
      <c r="H113" t="str">
        <f>Sheet4!G92</f>
        <v>Bất động sản</v>
      </c>
      <c r="I113" s="9" t="str" cm="1">
        <f t="array" ref="I11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3" s="9" t="str" cm="1">
        <f t="array" ref="J11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3" s="10" cm="1">
        <f t="array" ref="K11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3" s="10" cm="1">
        <f t="array" ref="L11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3" s="9" t="str" cm="1">
        <f t="array" ref="M11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3" s="9" t="str" cm="1">
        <f t="array" ref="N11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3" s="10" cm="1">
        <f t="array" ref="O113">IFERROR(INDEX(Sheet4!$2:$1605,MATCH(ChiTietKQKD[[#This Row],[Mã CP]],Sheet4!$B$2:$B$1605,0),_xlfn.XMATCH("*Tăng trưởng lợi nhuận sau thuế (YoY) (Quý*",Sheet4!$1:$1,2)),"")</f>
        <v>0</v>
      </c>
      <c r="P113" s="10" cm="1">
        <f t="array" ref="P113">IFERROR(INDEX(Sheet4!$2:$1605,MATCH(ChiTietKQKD[[#This Row],[Mã CP]],Sheet4!$B$2:$B$1605,0),_xlfn.XMATCH("*Tăng trưởng lợi nhuận sau thuế (YoY) (6M)*",Sheet4!$1:$1,2)),"")</f>
        <v>0</v>
      </c>
      <c r="Q113" s="10" cm="1">
        <f t="array" ref="Q113">IFERROR(INDEX(Sheet4!$2:$1605,MATCH(ChiTietKQKD[[#This Row],[Mã CP]],Sheet4!$B$2:$B$1605,0),_xlfn.XMATCH("*Tăng trưởng doanh thu thuần (QoQ)*",Sheet4!$1:$1,2)),"")</f>
        <v>0</v>
      </c>
      <c r="R113" s="10" cm="1">
        <f t="array" ref="R113">IFERROR(INDEX(Sheet4!$2:$1605,MATCH(ChiTietKQKD[[#This Row],[Mã CP]],Sheet4!$B$2:$B$1605,0),_xlfn.XMATCH("*Tăng trưởng lợi nhuận sau thuế (QoQ)*",Sheet4!$1:$1,2)),"")</f>
        <v>0</v>
      </c>
    </row>
    <row r="114" spans="1:18" x14ac:dyDescent="0.25">
      <c r="A114" s="7">
        <f>Sheet4!A93</f>
        <v>92</v>
      </c>
      <c r="B114" t="str">
        <f>Sheet4!B93</f>
        <v>DLG</v>
      </c>
      <c r="C114" t="str">
        <f>Sheet4!C92</f>
        <v>DIC Corp</v>
      </c>
      <c r="D114" t="str">
        <f>Sheet4!D93</f>
        <v>HOSE</v>
      </c>
      <c r="E114" s="7">
        <f>Sheet4!AH93/1000000000</f>
        <v>667.46067559999995</v>
      </c>
      <c r="F114" t="str">
        <f>Sheet4!E93</f>
        <v>Công nghiệp</v>
      </c>
      <c r="G114" t="str">
        <f>Sheet4!F93</f>
        <v>Xây dựng và Vật liệu</v>
      </c>
      <c r="H114" t="str">
        <f>Sheet4!G93</f>
        <v>Xây dựng</v>
      </c>
      <c r="I114" s="9" t="str" cm="1">
        <f t="array" ref="I11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4" s="9" t="str" cm="1">
        <f t="array" ref="J11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4" s="10" cm="1">
        <f t="array" ref="K11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4" s="10" cm="1">
        <f t="array" ref="L11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4" s="9" t="str" cm="1">
        <f t="array" ref="M11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4" s="9" t="str" cm="1">
        <f t="array" ref="N11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4" s="10" cm="1">
        <f t="array" ref="O114">IFERROR(INDEX(Sheet4!$2:$1605,MATCH(ChiTietKQKD[[#This Row],[Mã CP]],Sheet4!$B$2:$B$1605,0),_xlfn.XMATCH("*Tăng trưởng lợi nhuận sau thuế (YoY) (Quý*",Sheet4!$1:$1,2)),"")</f>
        <v>0</v>
      </c>
      <c r="P114" s="10" cm="1">
        <f t="array" ref="P114">IFERROR(INDEX(Sheet4!$2:$1605,MATCH(ChiTietKQKD[[#This Row],[Mã CP]],Sheet4!$B$2:$B$1605,0),_xlfn.XMATCH("*Tăng trưởng lợi nhuận sau thuế (YoY) (6M)*",Sheet4!$1:$1,2)),"")</f>
        <v>0</v>
      </c>
      <c r="Q114" s="10" cm="1">
        <f t="array" ref="Q114">IFERROR(INDEX(Sheet4!$2:$1605,MATCH(ChiTietKQKD[[#This Row],[Mã CP]],Sheet4!$B$2:$B$1605,0),_xlfn.XMATCH("*Tăng trưởng doanh thu thuần (QoQ)*",Sheet4!$1:$1,2)),"")</f>
        <v>0</v>
      </c>
      <c r="R114" s="10" cm="1">
        <f t="array" ref="R114">IFERROR(INDEX(Sheet4!$2:$1605,MATCH(ChiTietKQKD[[#This Row],[Mã CP]],Sheet4!$B$2:$B$1605,0),_xlfn.XMATCH("*Tăng trưởng lợi nhuận sau thuế (QoQ)*",Sheet4!$1:$1,2)),"")</f>
        <v>0</v>
      </c>
    </row>
    <row r="115" spans="1:18" x14ac:dyDescent="0.25">
      <c r="A115" s="7">
        <f>Sheet4!A94</f>
        <v>93</v>
      </c>
      <c r="B115" t="str">
        <f>Sheet4!B94</f>
        <v>DMC</v>
      </c>
      <c r="C115" t="str">
        <f>Sheet4!C93</f>
        <v>Đức Long Gia Lai</v>
      </c>
      <c r="D115" t="str">
        <f>Sheet4!D94</f>
        <v>HOSE</v>
      </c>
      <c r="E115" s="7">
        <f>Sheet4!AH94/1000000000</f>
        <v>2035.0294490000001</v>
      </c>
      <c r="F115" t="str">
        <f>Sheet4!E94</f>
        <v>Dược phẩm và Y tế</v>
      </c>
      <c r="G115" t="str">
        <f>Sheet4!F94</f>
        <v>Y tế</v>
      </c>
      <c r="H115" t="str">
        <f>Sheet4!G94</f>
        <v>Dược phẩm</v>
      </c>
      <c r="I115" s="9" cm="1">
        <f t="array" ref="I11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519.17668232599999</v>
      </c>
      <c r="J115" s="9" cm="1">
        <f t="array" ref="J11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1038.7670301129999</v>
      </c>
      <c r="K115" s="10" cm="1">
        <f t="array" ref="K11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1.7399999999999999E-2</v>
      </c>
      <c r="L115" s="10" cm="1">
        <f t="array" ref="L11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6.0600000000000001E-2</v>
      </c>
      <c r="M115" s="9" cm="1">
        <f t="array" ref="M115">_xlfn.LET(_xlpm.val,IFERROR(INDEX(Sheet4!$2:$1605,MATCH(ChiTietKQKD[[#This Row],[Mã CP]],Sheet4!$B$2:$B$1605,0),_xlfn.XMATCH("*Lợi nhuận sau thuế*Q2*2026*",Sheet4!$1:$1,2)),0),IF(OR(_xlpm.val="",_xlpm.val=0),"",_xlpm.val/1000000000))</f>
        <v>56.531790067000003</v>
      </c>
      <c r="N115" s="9" cm="1">
        <f t="array" ref="N115">_xlfn.LET(_xlpm.val,IFERROR(INDEX(Sheet4!$2:$1605,MATCH(ChiTietKQKD[[#This Row],[Mã CP]],Sheet4!$B$2:$B$1605,0),_xlfn.XMATCH("*Lợi nhuận sau thuế*6 tháng*2026*",Sheet4!$1:$1,2)),0),IF(OR(_xlpm.val="",_xlpm.val=0),"",_xlpm.val/1000000000))</f>
        <v>109.46049173599999</v>
      </c>
      <c r="O115" s="10" cm="1">
        <f t="array" ref="O115">IFERROR(INDEX(Sheet4!$2:$1605,MATCH(ChiTietKQKD[[#This Row],[Mã CP]],Sheet4!$B$2:$B$1605,0),_xlfn.XMATCH("*Tăng trưởng lợi nhuận sau thuế (YoY) (Quý*",Sheet4!$1:$1,2)),"")</f>
        <v>0.78259999999999996</v>
      </c>
      <c r="P115" s="10" cm="1">
        <f t="array" ref="P115">IFERROR(INDEX(Sheet4!$2:$1605,MATCH(ChiTietKQKD[[#This Row],[Mã CP]],Sheet4!$B$2:$B$1605,0),_xlfn.XMATCH("*Tăng trưởng lợi nhuận sau thuế (YoY) (6M)*",Sheet4!$1:$1,2)),"")</f>
        <v>0.3901</v>
      </c>
      <c r="Q115" s="10" cm="1">
        <f t="array" ref="Q115">IFERROR(INDEX(Sheet4!$2:$1605,MATCH(ChiTietKQKD[[#This Row],[Mã CP]],Sheet4!$B$2:$B$1605,0),_xlfn.XMATCH("*Tăng trưởng doanh thu thuần (QoQ)*",Sheet4!$1:$1,2)),"")</f>
        <v>-8.0000000000000004E-4</v>
      </c>
      <c r="R115" s="10" cm="1">
        <f t="array" ref="R115">IFERROR(INDEX(Sheet4!$2:$1605,MATCH(ChiTietKQKD[[#This Row],[Mã CP]],Sheet4!$B$2:$B$1605,0),_xlfn.XMATCH("*Tăng trưởng lợi nhuận sau thuế (QoQ)*",Sheet4!$1:$1,2)),"")</f>
        <v>6.8099999999999994E-2</v>
      </c>
    </row>
    <row r="116" spans="1:18" x14ac:dyDescent="0.25">
      <c r="A116" s="7">
        <f>Sheet4!A95</f>
        <v>94</v>
      </c>
      <c r="B116" t="str">
        <f>Sheet4!B95</f>
        <v>DMX</v>
      </c>
      <c r="C116" t="str">
        <f>Sheet4!C94</f>
        <v>Dược phẩm DOMESCO</v>
      </c>
      <c r="D116" t="str">
        <f>Sheet4!D95</f>
        <v>HOSE</v>
      </c>
      <c r="E116" s="7">
        <f>Sheet4!AH95/1000000000</f>
        <v>0</v>
      </c>
      <c r="F116" t="str">
        <f>Sheet4!E95</f>
        <v>Dịch vụ Tiêu dùng</v>
      </c>
      <c r="G116" t="str">
        <f>Sheet4!F95</f>
        <v>Bán lẻ</v>
      </c>
      <c r="H116" t="str">
        <f>Sheet4!G95</f>
        <v>Bán lẻ phức hợp</v>
      </c>
      <c r="I116" s="9" t="str" cm="1">
        <f t="array" ref="I11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6" s="9" t="str" cm="1">
        <f t="array" ref="J11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6" s="10" cm="1">
        <f t="array" ref="K11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6" s="10" cm="1">
        <f t="array" ref="L11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6" s="9" t="str" cm="1">
        <f t="array" ref="M11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6" s="9" t="str" cm="1">
        <f t="array" ref="N11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6" s="10" cm="1">
        <f t="array" ref="O116">IFERROR(INDEX(Sheet4!$2:$1605,MATCH(ChiTietKQKD[[#This Row],[Mã CP]],Sheet4!$B$2:$B$1605,0),_xlfn.XMATCH("*Tăng trưởng lợi nhuận sau thuế (YoY) (Quý*",Sheet4!$1:$1,2)),"")</f>
        <v>0</v>
      </c>
      <c r="P116" s="10" cm="1">
        <f t="array" ref="P116">IFERROR(INDEX(Sheet4!$2:$1605,MATCH(ChiTietKQKD[[#This Row],[Mã CP]],Sheet4!$B$2:$B$1605,0),_xlfn.XMATCH("*Tăng trưởng lợi nhuận sau thuế (YoY) (6M)*",Sheet4!$1:$1,2)),"")</f>
        <v>0</v>
      </c>
      <c r="Q116" s="10" cm="1">
        <f t="array" ref="Q116">IFERROR(INDEX(Sheet4!$2:$1605,MATCH(ChiTietKQKD[[#This Row],[Mã CP]],Sheet4!$B$2:$B$1605,0),_xlfn.XMATCH("*Tăng trưởng doanh thu thuần (QoQ)*",Sheet4!$1:$1,2)),"")</f>
        <v>0</v>
      </c>
      <c r="R116" s="10" cm="1">
        <f t="array" ref="R116">IFERROR(INDEX(Sheet4!$2:$1605,MATCH(ChiTietKQKD[[#This Row],[Mã CP]],Sheet4!$B$2:$B$1605,0),_xlfn.XMATCH("*Tăng trưởng lợi nhuận sau thuế (QoQ)*",Sheet4!$1:$1,2)),"")</f>
        <v>0</v>
      </c>
    </row>
    <row r="117" spans="1:18" x14ac:dyDescent="0.25">
      <c r="A117" s="7">
        <f>Sheet4!A96</f>
        <v>95</v>
      </c>
      <c r="B117" t="str">
        <f>Sheet4!B96</f>
        <v>DPG</v>
      </c>
      <c r="C117" t="str">
        <f>Sheet4!C95</f>
        <v>Đầu tư Điện máy Xanh</v>
      </c>
      <c r="D117" t="str">
        <f>Sheet4!D96</f>
        <v>HOSE</v>
      </c>
      <c r="E117" s="7">
        <f>Sheet4!AH96/1000000000</f>
        <v>3184.0635275999998</v>
      </c>
      <c r="F117" t="str">
        <f>Sheet4!E96</f>
        <v>Công nghiệp</v>
      </c>
      <c r="G117" t="str">
        <f>Sheet4!F96</f>
        <v>Xây dựng và Vật liệu</v>
      </c>
      <c r="H117" t="str">
        <f>Sheet4!G96</f>
        <v>Xây dựng</v>
      </c>
      <c r="I117" s="9" t="str" cm="1">
        <f t="array" ref="I11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7" s="9" t="str" cm="1">
        <f t="array" ref="J11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7" s="10" cm="1">
        <f t="array" ref="K11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7" s="10" cm="1">
        <f t="array" ref="L11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7" s="9" t="str" cm="1">
        <f t="array" ref="M11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7" s="9" t="str" cm="1">
        <f t="array" ref="N11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7" s="10" cm="1">
        <f t="array" ref="O117">IFERROR(INDEX(Sheet4!$2:$1605,MATCH(ChiTietKQKD[[#This Row],[Mã CP]],Sheet4!$B$2:$B$1605,0),_xlfn.XMATCH("*Tăng trưởng lợi nhuận sau thuế (YoY) (Quý*",Sheet4!$1:$1,2)),"")</f>
        <v>0</v>
      </c>
      <c r="P117" s="10" cm="1">
        <f t="array" ref="P117">IFERROR(INDEX(Sheet4!$2:$1605,MATCH(ChiTietKQKD[[#This Row],[Mã CP]],Sheet4!$B$2:$B$1605,0),_xlfn.XMATCH("*Tăng trưởng lợi nhuận sau thuế (YoY) (6M)*",Sheet4!$1:$1,2)),"")</f>
        <v>0</v>
      </c>
      <c r="Q117" s="10" cm="1">
        <f t="array" ref="Q117">IFERROR(INDEX(Sheet4!$2:$1605,MATCH(ChiTietKQKD[[#This Row],[Mã CP]],Sheet4!$B$2:$B$1605,0),_xlfn.XMATCH("*Tăng trưởng doanh thu thuần (QoQ)*",Sheet4!$1:$1,2)),"")</f>
        <v>0</v>
      </c>
      <c r="R117" s="10" cm="1">
        <f t="array" ref="R117">IFERROR(INDEX(Sheet4!$2:$1605,MATCH(ChiTietKQKD[[#This Row],[Mã CP]],Sheet4!$B$2:$B$1605,0),_xlfn.XMATCH("*Tăng trưởng lợi nhuận sau thuế (QoQ)*",Sheet4!$1:$1,2)),"")</f>
        <v>0</v>
      </c>
    </row>
    <row r="118" spans="1:18" x14ac:dyDescent="0.25">
      <c r="A118" s="7">
        <f>Sheet4!A97</f>
        <v>96</v>
      </c>
      <c r="B118" t="str">
        <f>Sheet4!B97</f>
        <v>DPM</v>
      </c>
      <c r="C118" t="str">
        <f>Sheet4!C96</f>
        <v>Tập đoàn Đạt Phương</v>
      </c>
      <c r="D118" t="str">
        <f>Sheet4!D97</f>
        <v>HOSE</v>
      </c>
      <c r="E118" s="7">
        <f>Sheet4!AH97/1000000000</f>
        <v>14992.346713049999</v>
      </c>
      <c r="F118" t="str">
        <f>Sheet4!E97</f>
        <v>Nguyên vật liệu</v>
      </c>
      <c r="G118" t="str">
        <f>Sheet4!F97</f>
        <v>Hóa chất</v>
      </c>
      <c r="H118" t="str">
        <f>Sheet4!G97</f>
        <v>Sản phẩm hóa dầu, Nông dược &amp; Hóa chất khác</v>
      </c>
      <c r="I118" s="9" t="str" cm="1">
        <f t="array" ref="I11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8" s="9" t="str" cm="1">
        <f t="array" ref="J11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8" s="10" cm="1">
        <f t="array" ref="K11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8" s="10" cm="1">
        <f t="array" ref="L11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8" s="9" t="str" cm="1">
        <f t="array" ref="M11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8" s="9" t="str" cm="1">
        <f t="array" ref="N11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8" s="10" cm="1">
        <f t="array" ref="O118">IFERROR(INDEX(Sheet4!$2:$1605,MATCH(ChiTietKQKD[[#This Row],[Mã CP]],Sheet4!$B$2:$B$1605,0),_xlfn.XMATCH("*Tăng trưởng lợi nhuận sau thuế (YoY) (Quý*",Sheet4!$1:$1,2)),"")</f>
        <v>0</v>
      </c>
      <c r="P118" s="10" cm="1">
        <f t="array" ref="P118">IFERROR(INDEX(Sheet4!$2:$1605,MATCH(ChiTietKQKD[[#This Row],[Mã CP]],Sheet4!$B$2:$B$1605,0),_xlfn.XMATCH("*Tăng trưởng lợi nhuận sau thuế (YoY) (6M)*",Sheet4!$1:$1,2)),"")</f>
        <v>0</v>
      </c>
      <c r="Q118" s="10" cm="1">
        <f t="array" ref="Q118">IFERROR(INDEX(Sheet4!$2:$1605,MATCH(ChiTietKQKD[[#This Row],[Mã CP]],Sheet4!$B$2:$B$1605,0),_xlfn.XMATCH("*Tăng trưởng doanh thu thuần (QoQ)*",Sheet4!$1:$1,2)),"")</f>
        <v>0</v>
      </c>
      <c r="R118" s="10" cm="1">
        <f t="array" ref="R118">IFERROR(INDEX(Sheet4!$2:$1605,MATCH(ChiTietKQKD[[#This Row],[Mã CP]],Sheet4!$B$2:$B$1605,0),_xlfn.XMATCH("*Tăng trưởng lợi nhuận sau thuế (QoQ)*",Sheet4!$1:$1,2)),"")</f>
        <v>0</v>
      </c>
    </row>
    <row r="119" spans="1:18" x14ac:dyDescent="0.25">
      <c r="A119" s="7">
        <f>Sheet4!A98</f>
        <v>97</v>
      </c>
      <c r="B119" t="str">
        <f>Sheet4!B98</f>
        <v>DPR</v>
      </c>
      <c r="C119" t="str">
        <f>Sheet4!C97</f>
        <v>Tổng Công ty Phân bón và Hóa chất Dầu khí</v>
      </c>
      <c r="D119" t="str">
        <f>Sheet4!D98</f>
        <v>HOSE</v>
      </c>
      <c r="E119" s="7">
        <f>Sheet4!AH98/1000000000</f>
        <v>3119.2049588</v>
      </c>
      <c r="F119" t="str">
        <f>Sheet4!E98</f>
        <v>Nguyên vật liệu</v>
      </c>
      <c r="G119" t="str">
        <f>Sheet4!F98</f>
        <v>Hóa chất</v>
      </c>
      <c r="H119" t="str">
        <f>Sheet4!G98</f>
        <v>Nhựa, cao su &amp; sợi</v>
      </c>
      <c r="I119" s="9" t="str" cm="1">
        <f t="array" ref="I11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9" s="9" t="str" cm="1">
        <f t="array" ref="J11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9" s="10" cm="1">
        <f t="array" ref="K11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9" s="10" cm="1">
        <f t="array" ref="L11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9" s="9" t="str" cm="1">
        <f t="array" ref="M11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9" s="9" t="str" cm="1">
        <f t="array" ref="N11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9" s="10" cm="1">
        <f t="array" ref="O119">IFERROR(INDEX(Sheet4!$2:$1605,MATCH(ChiTietKQKD[[#This Row],[Mã CP]],Sheet4!$B$2:$B$1605,0),_xlfn.XMATCH("*Tăng trưởng lợi nhuận sau thuế (YoY) (Quý*",Sheet4!$1:$1,2)),"")</f>
        <v>0</v>
      </c>
      <c r="P119" s="10" cm="1">
        <f t="array" ref="P119">IFERROR(INDEX(Sheet4!$2:$1605,MATCH(ChiTietKQKD[[#This Row],[Mã CP]],Sheet4!$B$2:$B$1605,0),_xlfn.XMATCH("*Tăng trưởng lợi nhuận sau thuế (YoY) (6M)*",Sheet4!$1:$1,2)),"")</f>
        <v>0</v>
      </c>
      <c r="Q119" s="10" cm="1">
        <f t="array" ref="Q119">IFERROR(INDEX(Sheet4!$2:$1605,MATCH(ChiTietKQKD[[#This Row],[Mã CP]],Sheet4!$B$2:$B$1605,0),_xlfn.XMATCH("*Tăng trưởng doanh thu thuần (QoQ)*",Sheet4!$1:$1,2)),"")</f>
        <v>0</v>
      </c>
      <c r="R119" s="10" cm="1">
        <f t="array" ref="R119">IFERROR(INDEX(Sheet4!$2:$1605,MATCH(ChiTietKQKD[[#This Row],[Mã CP]],Sheet4!$B$2:$B$1605,0),_xlfn.XMATCH("*Tăng trưởng lợi nhuận sau thuế (QoQ)*",Sheet4!$1:$1,2)),"")</f>
        <v>0</v>
      </c>
    </row>
    <row r="120" spans="1:18" x14ac:dyDescent="0.25">
      <c r="A120" s="7">
        <f>Sheet4!A99</f>
        <v>98</v>
      </c>
      <c r="B120" t="str">
        <f>Sheet4!B99</f>
        <v>DQC</v>
      </c>
      <c r="C120" t="str">
        <f>Sheet4!C98</f>
        <v>Cao su Đồng Phú</v>
      </c>
      <c r="D120" t="str">
        <f>Sheet4!D99</f>
        <v>HOSE</v>
      </c>
      <c r="E120" s="7">
        <f>Sheet4!AH99/1000000000</f>
        <v>274.20275670000001</v>
      </c>
      <c r="F120" t="str">
        <f>Sheet4!E99</f>
        <v>Hàng Tiêu dùng</v>
      </c>
      <c r="G120" t="str">
        <f>Sheet4!F99</f>
        <v>Hàng cá nhân &amp; Gia dụng</v>
      </c>
      <c r="H120" t="str">
        <f>Sheet4!G99</f>
        <v>Thiết bị gia dụng</v>
      </c>
      <c r="I120" s="9" t="str" cm="1">
        <f t="array" ref="I12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0" s="9" t="str" cm="1">
        <f t="array" ref="J12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0" s="10" cm="1">
        <f t="array" ref="K12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0" s="10" cm="1">
        <f t="array" ref="L12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0" s="9" t="str" cm="1">
        <f t="array" ref="M12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0" s="9" t="str" cm="1">
        <f t="array" ref="N12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0" s="10" cm="1">
        <f t="array" ref="O120">IFERROR(INDEX(Sheet4!$2:$1605,MATCH(ChiTietKQKD[[#This Row],[Mã CP]],Sheet4!$B$2:$B$1605,0),_xlfn.XMATCH("*Tăng trưởng lợi nhuận sau thuế (YoY) (Quý*",Sheet4!$1:$1,2)),"")</f>
        <v>0</v>
      </c>
      <c r="P120" s="10" cm="1">
        <f t="array" ref="P120">IFERROR(INDEX(Sheet4!$2:$1605,MATCH(ChiTietKQKD[[#This Row],[Mã CP]],Sheet4!$B$2:$B$1605,0),_xlfn.XMATCH("*Tăng trưởng lợi nhuận sau thuế (YoY) (6M)*",Sheet4!$1:$1,2)),"")</f>
        <v>0</v>
      </c>
      <c r="Q120" s="10" cm="1">
        <f t="array" ref="Q120">IFERROR(INDEX(Sheet4!$2:$1605,MATCH(ChiTietKQKD[[#This Row],[Mã CP]],Sheet4!$B$2:$B$1605,0),_xlfn.XMATCH("*Tăng trưởng doanh thu thuần (QoQ)*",Sheet4!$1:$1,2)),"")</f>
        <v>0</v>
      </c>
      <c r="R120" s="10" cm="1">
        <f t="array" ref="R120">IFERROR(INDEX(Sheet4!$2:$1605,MATCH(ChiTietKQKD[[#This Row],[Mã CP]],Sheet4!$B$2:$B$1605,0),_xlfn.XMATCH("*Tăng trưởng lợi nhuận sau thuế (QoQ)*",Sheet4!$1:$1,2)),"")</f>
        <v>0</v>
      </c>
    </row>
    <row r="121" spans="1:18" x14ac:dyDescent="0.25">
      <c r="A121" s="7">
        <f>Sheet4!A100</f>
        <v>99</v>
      </c>
      <c r="B121" t="str">
        <f>Sheet4!B100</f>
        <v>DRC</v>
      </c>
      <c r="C121" t="str">
        <f>Sheet4!C99</f>
        <v>Tập đoàn Điện Quang</v>
      </c>
      <c r="D121" t="str">
        <f>Sheet4!D100</f>
        <v>HOSE</v>
      </c>
      <c r="E121" s="7">
        <f>Sheet4!AH100/1000000000</f>
        <v>1559.7357583</v>
      </c>
      <c r="F121" t="str">
        <f>Sheet4!E100</f>
        <v>Hàng Tiêu dùng</v>
      </c>
      <c r="G121" t="str">
        <f>Sheet4!F100</f>
        <v>Ô tô và phụ tùng</v>
      </c>
      <c r="H121" t="str">
        <f>Sheet4!G100</f>
        <v>Lốp xe</v>
      </c>
      <c r="I121" s="9" cm="1">
        <f t="array" ref="I12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1175.8762700509999</v>
      </c>
      <c r="J121" s="9" cm="1">
        <f t="array" ref="J12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2330.7377313269999</v>
      </c>
      <c r="K121" s="10" cm="1">
        <f t="array" ref="K12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-0.1462</v>
      </c>
      <c r="L121" s="10" cm="1">
        <f t="array" ref="L12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-8.8499999999999995E-2</v>
      </c>
      <c r="M121" s="9" cm="1">
        <f t="array" ref="M121">_xlfn.LET(_xlpm.val,IFERROR(INDEX(Sheet4!$2:$1605,MATCH(ChiTietKQKD[[#This Row],[Mã CP]],Sheet4!$B$2:$B$1605,0),_xlfn.XMATCH("*Lợi nhuận sau thuế*Q2*2026*",Sheet4!$1:$1,2)),0),IF(OR(_xlpm.val="",_xlpm.val=0),"",_xlpm.val/1000000000))</f>
        <v>31.700962731000001</v>
      </c>
      <c r="N121" s="9" cm="1">
        <f t="array" ref="N121">_xlfn.LET(_xlpm.val,IFERROR(INDEX(Sheet4!$2:$1605,MATCH(ChiTietKQKD[[#This Row],[Mã CP]],Sheet4!$B$2:$B$1605,0),_xlfn.XMATCH("*Lợi nhuận sau thuế*6 tháng*2026*",Sheet4!$1:$1,2)),0),IF(OR(_xlpm.val="",_xlpm.val=0),"",_xlpm.val/1000000000))</f>
        <v>47.9162581</v>
      </c>
      <c r="O121" s="10" cm="1">
        <f t="array" ref="O121">IFERROR(INDEX(Sheet4!$2:$1605,MATCH(ChiTietKQKD[[#This Row],[Mã CP]],Sheet4!$B$2:$B$1605,0),_xlfn.XMATCH("*Tăng trưởng lợi nhuận sau thuế (YoY) (Quý*",Sheet4!$1:$1,2)),"")</f>
        <v>-1.14E-2</v>
      </c>
      <c r="P121" s="10" cm="1">
        <f t="array" ref="P121">IFERROR(INDEX(Sheet4!$2:$1605,MATCH(ChiTietKQKD[[#This Row],[Mã CP]],Sheet4!$B$2:$B$1605,0),_xlfn.XMATCH("*Tăng trưởng lợi nhuận sau thuế (YoY) (6M)*",Sheet4!$1:$1,2)),"")</f>
        <v>0.1535</v>
      </c>
      <c r="Q121" s="10" cm="1">
        <f t="array" ref="Q121">IFERROR(INDEX(Sheet4!$2:$1605,MATCH(ChiTietKQKD[[#This Row],[Mã CP]],Sheet4!$B$2:$B$1605,0),_xlfn.XMATCH("*Tăng trưởng doanh thu thuần (QoQ)*",Sheet4!$1:$1,2)),"")</f>
        <v>1.8200000000000001E-2</v>
      </c>
      <c r="R121" s="10" cm="1">
        <f t="array" ref="R121">IFERROR(INDEX(Sheet4!$2:$1605,MATCH(ChiTietKQKD[[#This Row],[Mã CP]],Sheet4!$B$2:$B$1605,0),_xlfn.XMATCH("*Tăng trưởng lợi nhuận sau thuế (QoQ)*",Sheet4!$1:$1,2)),"")</f>
        <v>0.95499999999999996</v>
      </c>
    </row>
    <row r="122" spans="1:18" x14ac:dyDescent="0.25">
      <c r="A122" s="7">
        <f>Sheet4!A101</f>
        <v>100</v>
      </c>
      <c r="B122" t="str">
        <f>Sheet4!B101</f>
        <v>DRH</v>
      </c>
      <c r="C122" t="str">
        <f>Sheet4!C100</f>
        <v>Cao su Đà Nẵng</v>
      </c>
      <c r="D122" t="str">
        <f>Sheet4!D101</f>
        <v>HOSE</v>
      </c>
      <c r="E122" s="7">
        <f>Sheet4!AH101/1000000000</f>
        <v>185.56179900000001</v>
      </c>
      <c r="F122" t="str">
        <f>Sheet4!E101</f>
        <v>Tài chính</v>
      </c>
      <c r="G122" t="str">
        <f>Sheet4!F101</f>
        <v>Bất động sản</v>
      </c>
      <c r="H122" t="str">
        <f>Sheet4!G101</f>
        <v>Bất động sản</v>
      </c>
      <c r="I122" s="9" t="str" cm="1">
        <f t="array" ref="I12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2" s="9" t="str" cm="1">
        <f t="array" ref="J12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2" s="10" cm="1">
        <f t="array" ref="K12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2" s="10" cm="1">
        <f t="array" ref="L12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2" s="9" t="str" cm="1">
        <f t="array" ref="M12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2" s="9" t="str" cm="1">
        <f t="array" ref="N12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2" s="10" cm="1">
        <f t="array" ref="O122">IFERROR(INDEX(Sheet4!$2:$1605,MATCH(ChiTietKQKD[[#This Row],[Mã CP]],Sheet4!$B$2:$B$1605,0),_xlfn.XMATCH("*Tăng trưởng lợi nhuận sau thuế (YoY) (Quý*",Sheet4!$1:$1,2)),"")</f>
        <v>0</v>
      </c>
      <c r="P122" s="10" cm="1">
        <f t="array" ref="P122">IFERROR(INDEX(Sheet4!$2:$1605,MATCH(ChiTietKQKD[[#This Row],[Mã CP]],Sheet4!$B$2:$B$1605,0),_xlfn.XMATCH("*Tăng trưởng lợi nhuận sau thuế (YoY) (6M)*",Sheet4!$1:$1,2)),"")</f>
        <v>0</v>
      </c>
      <c r="Q122" s="10" cm="1">
        <f t="array" ref="Q122">IFERROR(INDEX(Sheet4!$2:$1605,MATCH(ChiTietKQKD[[#This Row],[Mã CP]],Sheet4!$B$2:$B$1605,0),_xlfn.XMATCH("*Tăng trưởng doanh thu thuần (QoQ)*",Sheet4!$1:$1,2)),"")</f>
        <v>0</v>
      </c>
      <c r="R122" s="10" cm="1">
        <f t="array" ref="R122">IFERROR(INDEX(Sheet4!$2:$1605,MATCH(ChiTietKQKD[[#This Row],[Mã CP]],Sheet4!$B$2:$B$1605,0),_xlfn.XMATCH("*Tăng trưởng lợi nhuận sau thuế (QoQ)*",Sheet4!$1:$1,2)),"")</f>
        <v>0</v>
      </c>
    </row>
    <row r="123" spans="1:18" x14ac:dyDescent="0.25">
      <c r="A123" s="7">
        <f>Sheet4!A102</f>
        <v>101</v>
      </c>
      <c r="B123" t="str">
        <f>Sheet4!B102</f>
        <v>DRL</v>
      </c>
      <c r="C123" t="str">
        <f>Sheet4!C101</f>
        <v>DRH Holdings</v>
      </c>
      <c r="D123" t="str">
        <f>Sheet4!D102</f>
        <v>HOSE</v>
      </c>
      <c r="E123" s="7">
        <f>Sheet4!AH102/1000000000</f>
        <v>389.97500000000002</v>
      </c>
      <c r="F123" t="str">
        <f>Sheet4!E102</f>
        <v>Tiện ích Cộng đồng</v>
      </c>
      <c r="G123" t="str">
        <f>Sheet4!F102</f>
        <v>Điện, nước &amp; xăng dầu khí đốt</v>
      </c>
      <c r="H123" t="str">
        <f>Sheet4!G102</f>
        <v>Sản xuất &amp; Phân phối Điện</v>
      </c>
      <c r="I123" s="9" cm="1">
        <f t="array" ref="I12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21.706775446000002</v>
      </c>
      <c r="J123" s="9" cm="1">
        <f t="array" ref="J12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43.353976926999998</v>
      </c>
      <c r="K123" s="10" cm="1">
        <f t="array" ref="K12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-0.1782</v>
      </c>
      <c r="L123" s="10" cm="1">
        <f t="array" ref="L12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-0.1149</v>
      </c>
      <c r="M123" s="9" cm="1">
        <f t="array" ref="M123">_xlfn.LET(_xlpm.val,IFERROR(INDEX(Sheet4!$2:$1605,MATCH(ChiTietKQKD[[#This Row],[Mã CP]],Sheet4!$B$2:$B$1605,0),_xlfn.XMATCH("*Lợi nhuận sau thuế*Q2*2026*",Sheet4!$1:$1,2)),0),IF(OR(_xlpm.val="",_xlpm.val=0),"",_xlpm.val/1000000000))</f>
        <v>10.78139116</v>
      </c>
      <c r="N123" s="9" cm="1">
        <f t="array" ref="N123">_xlfn.LET(_xlpm.val,IFERROR(INDEX(Sheet4!$2:$1605,MATCH(ChiTietKQKD[[#This Row],[Mã CP]],Sheet4!$B$2:$B$1605,0),_xlfn.XMATCH("*Lợi nhuận sau thuế*6 tháng*2026*",Sheet4!$1:$1,2)),0),IF(OR(_xlpm.val="",_xlpm.val=0),"",_xlpm.val/1000000000))</f>
        <v>21.82438037</v>
      </c>
      <c r="O123" s="10" cm="1">
        <f t="array" ref="O123">IFERROR(INDEX(Sheet4!$2:$1605,MATCH(ChiTietKQKD[[#This Row],[Mã CP]],Sheet4!$B$2:$B$1605,0),_xlfn.XMATCH("*Tăng trưởng lợi nhuận sau thuế (YoY) (Quý*",Sheet4!$1:$1,2)),"")</f>
        <v>-0.2054</v>
      </c>
      <c r="P123" s="10" cm="1">
        <f t="array" ref="P123">IFERROR(INDEX(Sheet4!$2:$1605,MATCH(ChiTietKQKD[[#This Row],[Mã CP]],Sheet4!$B$2:$B$1605,0),_xlfn.XMATCH("*Tăng trưởng lợi nhuận sau thuế (YoY) (6M)*",Sheet4!$1:$1,2)),"")</f>
        <v>-0.16209999999999999</v>
      </c>
      <c r="Q123" s="10" cm="1">
        <f t="array" ref="Q123">IFERROR(INDEX(Sheet4!$2:$1605,MATCH(ChiTietKQKD[[#This Row],[Mã CP]],Sheet4!$B$2:$B$1605,0),_xlfn.XMATCH("*Tăng trưởng doanh thu thuần (QoQ)*",Sheet4!$1:$1,2)),"")</f>
        <v>2.8E-3</v>
      </c>
      <c r="R123" s="10" cm="1">
        <f t="array" ref="R123">IFERROR(INDEX(Sheet4!$2:$1605,MATCH(ChiTietKQKD[[#This Row],[Mã CP]],Sheet4!$B$2:$B$1605,0),_xlfn.XMATCH("*Tăng trưởng lợi nhuận sau thuế (QoQ)*",Sheet4!$1:$1,2)),"")</f>
        <v>-2.3699999999999999E-2</v>
      </c>
    </row>
    <row r="124" spans="1:18" x14ac:dyDescent="0.25">
      <c r="A124" s="7">
        <f>Sheet4!A103</f>
        <v>102</v>
      </c>
      <c r="B124" t="str">
        <f>Sheet4!B103</f>
        <v>DSC</v>
      </c>
      <c r="C124" t="str">
        <f>Sheet4!C102</f>
        <v>Thủy điện - Điện lực 3</v>
      </c>
      <c r="D124" t="str">
        <f>Sheet4!D103</f>
        <v>HOSE</v>
      </c>
      <c r="E124" s="7">
        <f>Sheet4!AH103/1000000000</f>
        <v>3035.3416499</v>
      </c>
      <c r="F124" t="str">
        <f>Sheet4!E103</f>
        <v>Tài chính</v>
      </c>
      <c r="G124" t="str">
        <f>Sheet4!F103</f>
        <v>Dịch vụ tài chính</v>
      </c>
      <c r="H124" t="str">
        <f>Sheet4!G103</f>
        <v>Môi giới chứng khoán</v>
      </c>
      <c r="I124" s="9" cm="1">
        <f t="array" ref="I12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148.185998676</v>
      </c>
      <c r="J124" s="9" cm="1">
        <f t="array" ref="J12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331.00357304699997</v>
      </c>
      <c r="K124" s="10" cm="1">
        <f t="array" ref="K12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0.16819999999999999</v>
      </c>
      <c r="L124" s="10" cm="1">
        <f t="array" ref="L12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0.2828</v>
      </c>
      <c r="M124" s="9" cm="1">
        <f t="array" ref="M124">_xlfn.LET(_xlpm.val,IFERROR(INDEX(Sheet4!$2:$1605,MATCH(ChiTietKQKD[[#This Row],[Mã CP]],Sheet4!$B$2:$B$1605,0),_xlfn.XMATCH("*Lợi nhuận sau thuế*Q2*2026*",Sheet4!$1:$1,2)),0),IF(OR(_xlpm.val="",_xlpm.val=0),"",_xlpm.val/1000000000))</f>
        <v>16.215672093999999</v>
      </c>
      <c r="N124" s="9" cm="1">
        <f t="array" ref="N124">_xlfn.LET(_xlpm.val,IFERROR(INDEX(Sheet4!$2:$1605,MATCH(ChiTietKQKD[[#This Row],[Mã CP]],Sheet4!$B$2:$B$1605,0),_xlfn.XMATCH("*Lợi nhuận sau thuế*6 tháng*2026*",Sheet4!$1:$1,2)),0),IF(OR(_xlpm.val="",_xlpm.val=0),"",_xlpm.val/1000000000))</f>
        <v>73.908866263999997</v>
      </c>
      <c r="O124" s="10" cm="1">
        <f t="array" ref="O124">IFERROR(INDEX(Sheet4!$2:$1605,MATCH(ChiTietKQKD[[#This Row],[Mã CP]],Sheet4!$B$2:$B$1605,0),_xlfn.XMATCH("*Tăng trưởng lợi nhuận sau thuế (YoY) (Quý*",Sheet4!$1:$1,2)),"")</f>
        <v>-0.63729999999999998</v>
      </c>
      <c r="P124" s="10" cm="1">
        <f t="array" ref="P124">IFERROR(INDEX(Sheet4!$2:$1605,MATCH(ChiTietKQKD[[#This Row],[Mã CP]],Sheet4!$B$2:$B$1605,0),_xlfn.XMATCH("*Tăng trưởng lợi nhuận sau thuế (YoY) (6M)*",Sheet4!$1:$1,2)),"")</f>
        <v>-0.24940000000000001</v>
      </c>
      <c r="Q124" s="10" cm="1">
        <f t="array" ref="Q124">IFERROR(INDEX(Sheet4!$2:$1605,MATCH(ChiTietKQKD[[#This Row],[Mã CP]],Sheet4!$B$2:$B$1605,0),_xlfn.XMATCH("*Tăng trưởng doanh thu thuần (QoQ)*",Sheet4!$1:$1,2)),"")</f>
        <v>-0.18940000000000001</v>
      </c>
      <c r="R124" s="10" cm="1">
        <f t="array" ref="R124">IFERROR(INDEX(Sheet4!$2:$1605,MATCH(ChiTietKQKD[[#This Row],[Mã CP]],Sheet4!$B$2:$B$1605,0),_xlfn.XMATCH("*Tăng trưởng lợi nhuận sau thuế (QoQ)*",Sheet4!$1:$1,2)),"")</f>
        <v>-0.71889999999999998</v>
      </c>
    </row>
    <row r="125" spans="1:18" x14ac:dyDescent="0.25">
      <c r="A125" s="7">
        <f>Sheet4!A104</f>
        <v>103</v>
      </c>
      <c r="B125" t="str">
        <f>Sheet4!B104</f>
        <v>DSE</v>
      </c>
      <c r="C125" t="str">
        <f>Sheet4!C103</f>
        <v>Chứng khoán DSC</v>
      </c>
      <c r="D125" t="str">
        <f>Sheet4!D104</f>
        <v>HOSE</v>
      </c>
      <c r="E125" s="7">
        <f>Sheet4!AH104/1000000000</f>
        <v>9335.8457708000005</v>
      </c>
      <c r="F125" t="str">
        <f>Sheet4!E104</f>
        <v>Tài chính</v>
      </c>
      <c r="G125" t="str">
        <f>Sheet4!F104</f>
        <v>Dịch vụ tài chính</v>
      </c>
      <c r="H125" t="str">
        <f>Sheet4!G104</f>
        <v>Môi giới chứng khoán</v>
      </c>
      <c r="I125" s="9" cm="1">
        <f t="array" ref="I12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453.085814352</v>
      </c>
      <c r="J125" s="9" cm="1">
        <f t="array" ref="J12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848.22851030000004</v>
      </c>
      <c r="K125" s="10" cm="1">
        <f t="array" ref="K12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0.56110000000000004</v>
      </c>
      <c r="L125" s="10" cm="1">
        <f t="array" ref="L12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0.58950000000000002</v>
      </c>
      <c r="M125" s="9" cm="1">
        <f t="array" ref="M125">_xlfn.LET(_xlpm.val,IFERROR(INDEX(Sheet4!$2:$1605,MATCH(ChiTietKQKD[[#This Row],[Mã CP]],Sheet4!$B$2:$B$1605,0),_xlfn.XMATCH("*Lợi nhuận sau thuế*Q2*2026*",Sheet4!$1:$1,2)),0),IF(OR(_xlpm.val="",_xlpm.val=0),"",_xlpm.val/1000000000))</f>
        <v>83.015782486000006</v>
      </c>
      <c r="N125" s="9" cm="1">
        <f t="array" ref="N125">_xlfn.LET(_xlpm.val,IFERROR(INDEX(Sheet4!$2:$1605,MATCH(ChiTietKQKD[[#This Row],[Mã CP]],Sheet4!$B$2:$B$1605,0),_xlfn.XMATCH("*Lợi nhuận sau thuế*6 tháng*2026*",Sheet4!$1:$1,2)),0),IF(OR(_xlpm.val="",_xlpm.val=0),"",_xlpm.val/1000000000))</f>
        <v>94.342436418000005</v>
      </c>
      <c r="O125" s="10" cm="1">
        <f t="array" ref="O125">IFERROR(INDEX(Sheet4!$2:$1605,MATCH(ChiTietKQKD[[#This Row],[Mã CP]],Sheet4!$B$2:$B$1605,0),_xlfn.XMATCH("*Tăng trưởng lợi nhuận sau thuế (YoY) (Quý*",Sheet4!$1:$1,2)),"")</f>
        <v>0.13170000000000001</v>
      </c>
      <c r="P125" s="10" cm="1">
        <f t="array" ref="P125">IFERROR(INDEX(Sheet4!$2:$1605,MATCH(ChiTietKQKD[[#This Row],[Mã CP]],Sheet4!$B$2:$B$1605,0),_xlfn.XMATCH("*Tăng trưởng lợi nhuận sau thuế (YoY) (6M)*",Sheet4!$1:$1,2)),"")</f>
        <v>-0.25390000000000001</v>
      </c>
      <c r="Q125" s="10" cm="1">
        <f t="array" ref="Q125">IFERROR(INDEX(Sheet4!$2:$1605,MATCH(ChiTietKQKD[[#This Row],[Mã CP]],Sheet4!$B$2:$B$1605,0),_xlfn.XMATCH("*Tăng trưởng doanh thu thuần (QoQ)*",Sheet4!$1:$1,2)),"")</f>
        <v>0.14660000000000001</v>
      </c>
      <c r="R125" s="10" cm="1">
        <f t="array" ref="R125">IFERROR(INDEX(Sheet4!$2:$1605,MATCH(ChiTietKQKD[[#This Row],[Mã CP]],Sheet4!$B$2:$B$1605,0),_xlfn.XMATCH("*Tăng trưởng lợi nhuận sau thuế (QoQ)*",Sheet4!$1:$1,2)),"")</f>
        <v>6.3292000000000002</v>
      </c>
    </row>
    <row r="126" spans="1:18" x14ac:dyDescent="0.25">
      <c r="A126" s="7">
        <f>Sheet4!A105</f>
        <v>104</v>
      </c>
      <c r="B126" t="str">
        <f>Sheet4!B105</f>
        <v>DSN</v>
      </c>
      <c r="C126" t="str">
        <f>Sheet4!C104</f>
        <v>Chứng Khoán DNSE</v>
      </c>
      <c r="D126" t="str">
        <f>Sheet4!D105</f>
        <v>HOSE</v>
      </c>
      <c r="E126" s="7">
        <f>Sheet4!AH105/1000000000</f>
        <v>417.46796095000002</v>
      </c>
      <c r="F126" t="str">
        <f>Sheet4!E105</f>
        <v>Dịch vụ Tiêu dùng</v>
      </c>
      <c r="G126" t="str">
        <f>Sheet4!F105</f>
        <v>Du lịch và Giải trí</v>
      </c>
      <c r="H126" t="str">
        <f>Sheet4!G105</f>
        <v>Dịch vụ giải trí</v>
      </c>
      <c r="I126" s="9" t="str" cm="1">
        <f t="array" ref="I12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6" s="9" t="str" cm="1">
        <f t="array" ref="J12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6" s="10" cm="1">
        <f t="array" ref="K12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6" s="10" cm="1">
        <f t="array" ref="L12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6" s="9" t="str" cm="1">
        <f t="array" ref="M12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6" s="9" t="str" cm="1">
        <f t="array" ref="N12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6" s="10" cm="1">
        <f t="array" ref="O126">IFERROR(INDEX(Sheet4!$2:$1605,MATCH(ChiTietKQKD[[#This Row],[Mã CP]],Sheet4!$B$2:$B$1605,0),_xlfn.XMATCH("*Tăng trưởng lợi nhuận sau thuế (YoY) (Quý*",Sheet4!$1:$1,2)),"")</f>
        <v>0</v>
      </c>
      <c r="P126" s="10" cm="1">
        <f t="array" ref="P126">IFERROR(INDEX(Sheet4!$2:$1605,MATCH(ChiTietKQKD[[#This Row],[Mã CP]],Sheet4!$B$2:$B$1605,0),_xlfn.XMATCH("*Tăng trưởng lợi nhuận sau thuế (YoY) (6M)*",Sheet4!$1:$1,2)),"")</f>
        <v>0</v>
      </c>
      <c r="Q126" s="10" cm="1">
        <f t="array" ref="Q126">IFERROR(INDEX(Sheet4!$2:$1605,MATCH(ChiTietKQKD[[#This Row],[Mã CP]],Sheet4!$B$2:$B$1605,0),_xlfn.XMATCH("*Tăng trưởng doanh thu thuần (QoQ)*",Sheet4!$1:$1,2)),"")</f>
        <v>0</v>
      </c>
      <c r="R126" s="10" cm="1">
        <f t="array" ref="R126">IFERROR(INDEX(Sheet4!$2:$1605,MATCH(ChiTietKQKD[[#This Row],[Mã CP]],Sheet4!$B$2:$B$1605,0),_xlfn.XMATCH("*Tăng trưởng lợi nhuận sau thuế (QoQ)*",Sheet4!$1:$1,2)),"")</f>
        <v>0</v>
      </c>
    </row>
    <row r="127" spans="1:18" x14ac:dyDescent="0.25">
      <c r="A127" s="7">
        <f>Sheet4!A106</f>
        <v>105</v>
      </c>
      <c r="B127" t="str">
        <f>Sheet4!B106</f>
        <v>DTA</v>
      </c>
      <c r="C127" t="str">
        <f>Sheet4!C105</f>
        <v>Công viên nước Đầm Sen</v>
      </c>
      <c r="D127" t="str">
        <f>Sheet4!D106</f>
        <v>HOSE</v>
      </c>
      <c r="E127" s="7">
        <f>Sheet4!AH106/1000000000</f>
        <v>66.900431569999995</v>
      </c>
      <c r="F127" t="str">
        <f>Sheet4!E106</f>
        <v>Tài chính</v>
      </c>
      <c r="G127" t="str">
        <f>Sheet4!F106</f>
        <v>Bất động sản</v>
      </c>
      <c r="H127" t="str">
        <f>Sheet4!G106</f>
        <v>Bất động sản</v>
      </c>
      <c r="I127" s="9" cm="1">
        <f t="array" ref="I12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26.059230977999999</v>
      </c>
      <c r="J127" s="9" cm="1">
        <f t="array" ref="J12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38.500622577999998</v>
      </c>
      <c r="K127" s="10" cm="1">
        <f t="array" ref="K12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-0.43359999999999999</v>
      </c>
      <c r="L127" s="10" cm="1">
        <f t="array" ref="L12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-0.49370000000000003</v>
      </c>
      <c r="M127" s="9" cm="1">
        <f t="array" ref="M127">_xlfn.LET(_xlpm.val,IFERROR(INDEX(Sheet4!$2:$1605,MATCH(ChiTietKQKD[[#This Row],[Mã CP]],Sheet4!$B$2:$B$1605,0),_xlfn.XMATCH("*Lợi nhuận sau thuế*Q2*2026*",Sheet4!$1:$1,2)),0),IF(OR(_xlpm.val="",_xlpm.val=0),"",_xlpm.val/1000000000))</f>
        <v>2.6574505259999999</v>
      </c>
      <c r="N127" s="9" cm="1">
        <f t="array" ref="N127">_xlfn.LET(_xlpm.val,IFERROR(INDEX(Sheet4!$2:$1605,MATCH(ChiTietKQKD[[#This Row],[Mã CP]],Sheet4!$B$2:$B$1605,0),_xlfn.XMATCH("*Lợi nhuận sau thuế*6 tháng*2026*",Sheet4!$1:$1,2)),0),IF(OR(_xlpm.val="",_xlpm.val=0),"",_xlpm.val/1000000000))</f>
        <v>5.1711006529999999</v>
      </c>
      <c r="O127" s="10" cm="1">
        <f t="array" ref="O127">IFERROR(INDEX(Sheet4!$2:$1605,MATCH(ChiTietKQKD[[#This Row],[Mã CP]],Sheet4!$B$2:$B$1605,0),_xlfn.XMATCH("*Tăng trưởng lợi nhuận sau thuế (YoY) (Quý*",Sheet4!$1:$1,2)),"")</f>
        <v>7.774</v>
      </c>
      <c r="P127" s="10" cm="1">
        <f t="array" ref="P127">IFERROR(INDEX(Sheet4!$2:$1605,MATCH(ChiTietKQKD[[#This Row],[Mã CP]],Sheet4!$B$2:$B$1605,0),_xlfn.XMATCH("*Tăng trưởng lợi nhuận sau thuế (YoY) (6M)*",Sheet4!$1:$1,2)),"")</f>
        <v>12.2281</v>
      </c>
      <c r="Q127" s="10" cm="1">
        <f t="array" ref="Q127">IFERROR(INDEX(Sheet4!$2:$1605,MATCH(ChiTietKQKD[[#This Row],[Mã CP]],Sheet4!$B$2:$B$1605,0),_xlfn.XMATCH("*Tăng trưởng doanh thu thuần (QoQ)*",Sheet4!$1:$1,2)),"")</f>
        <v>1.0946</v>
      </c>
      <c r="R127" s="10" cm="1">
        <f t="array" ref="R127">IFERROR(INDEX(Sheet4!$2:$1605,MATCH(ChiTietKQKD[[#This Row],[Mã CP]],Sheet4!$B$2:$B$1605,0),_xlfn.XMATCH("*Tăng trưởng lợi nhuận sau thuế (QoQ)*",Sheet4!$1:$1,2)),"")</f>
        <v>5.7200000000000001E-2</v>
      </c>
    </row>
    <row r="128" spans="1:18" x14ac:dyDescent="0.25">
      <c r="A128" s="7">
        <f>Sheet4!A107</f>
        <v>106</v>
      </c>
      <c r="B128" t="str">
        <f>Sheet4!B107</f>
        <v>DTL</v>
      </c>
      <c r="C128" t="str">
        <f>Sheet4!C106</f>
        <v>BĐS Đệ Tam</v>
      </c>
      <c r="D128" t="str">
        <f>Sheet4!D107</f>
        <v>HOSE</v>
      </c>
      <c r="E128" s="7">
        <f>Sheet4!AH107/1000000000</f>
        <v>609.34138919999998</v>
      </c>
      <c r="F128" t="str">
        <f>Sheet4!E107</f>
        <v>Nguyên vật liệu</v>
      </c>
      <c r="G128" t="str">
        <f>Sheet4!F107</f>
        <v>Tài nguyên Cơ bản</v>
      </c>
      <c r="H128" t="str">
        <f>Sheet4!G107</f>
        <v>Thép và sản phẩm thép</v>
      </c>
      <c r="I128" s="9" t="str" cm="1">
        <f t="array" ref="I12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8" s="9" t="str" cm="1">
        <f t="array" ref="J12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8" s="10" cm="1">
        <f t="array" ref="K12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8" s="10" cm="1">
        <f t="array" ref="L12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8" s="9" t="str" cm="1">
        <f t="array" ref="M12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8" s="9" t="str" cm="1">
        <f t="array" ref="N12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8" s="10" cm="1">
        <f t="array" ref="O128">IFERROR(INDEX(Sheet4!$2:$1605,MATCH(ChiTietKQKD[[#This Row],[Mã CP]],Sheet4!$B$2:$B$1605,0),_xlfn.XMATCH("*Tăng trưởng lợi nhuận sau thuế (YoY) (Quý*",Sheet4!$1:$1,2)),"")</f>
        <v>0</v>
      </c>
      <c r="P128" s="10" cm="1">
        <f t="array" ref="P128">IFERROR(INDEX(Sheet4!$2:$1605,MATCH(ChiTietKQKD[[#This Row],[Mã CP]],Sheet4!$B$2:$B$1605,0),_xlfn.XMATCH("*Tăng trưởng lợi nhuận sau thuế (YoY) (6M)*",Sheet4!$1:$1,2)),"")</f>
        <v>0</v>
      </c>
      <c r="Q128" s="10" cm="1">
        <f t="array" ref="Q128">IFERROR(INDEX(Sheet4!$2:$1605,MATCH(ChiTietKQKD[[#This Row],[Mã CP]],Sheet4!$B$2:$B$1605,0),_xlfn.XMATCH("*Tăng trưởng doanh thu thuần (QoQ)*",Sheet4!$1:$1,2)),"")</f>
        <v>0</v>
      </c>
      <c r="R128" s="10" cm="1">
        <f t="array" ref="R128">IFERROR(INDEX(Sheet4!$2:$1605,MATCH(ChiTietKQKD[[#This Row],[Mã CP]],Sheet4!$B$2:$B$1605,0),_xlfn.XMATCH("*Tăng trưởng lợi nhuận sau thuế (QoQ)*",Sheet4!$1:$1,2)),"")</f>
        <v>0</v>
      </c>
    </row>
    <row r="129" spans="1:18" x14ac:dyDescent="0.25">
      <c r="A129" s="7">
        <f>Sheet4!A108</f>
        <v>107</v>
      </c>
      <c r="B129" t="str">
        <f>Sheet4!B108</f>
        <v>DTT</v>
      </c>
      <c r="C129" t="str">
        <f>Sheet4!C107</f>
        <v>Đại Thiên Lộc</v>
      </c>
      <c r="D129" t="str">
        <f>Sheet4!D108</f>
        <v>HOSE</v>
      </c>
      <c r="E129" s="7">
        <f>Sheet4!AH108/1000000000</f>
        <v>146.73276000000001</v>
      </c>
      <c r="F129" t="str">
        <f>Sheet4!E108</f>
        <v>Nguyên vật liệu</v>
      </c>
      <c r="G129" t="str">
        <f>Sheet4!F108</f>
        <v>Hóa chất</v>
      </c>
      <c r="H129" t="str">
        <f>Sheet4!G108</f>
        <v>Nhựa, cao su &amp; sợi</v>
      </c>
      <c r="I129" s="9" cm="1">
        <f t="array" ref="I12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64.266256205999994</v>
      </c>
      <c r="J129" s="9" cm="1">
        <f t="array" ref="J12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122.038956615</v>
      </c>
      <c r="K129" s="10" cm="1">
        <f t="array" ref="K12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0.37540000000000001</v>
      </c>
      <c r="L129" s="10" cm="1">
        <f t="array" ref="L12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0.31659999999999999</v>
      </c>
      <c r="M129" s="9" cm="1">
        <f t="array" ref="M129">_xlfn.LET(_xlpm.val,IFERROR(INDEX(Sheet4!$2:$1605,MATCH(ChiTietKQKD[[#This Row],[Mã CP]],Sheet4!$B$2:$B$1605,0),_xlfn.XMATCH("*Lợi nhuận sau thuế*Q2*2026*",Sheet4!$1:$1,2)),0),IF(OR(_xlpm.val="",_xlpm.val=0),"",_xlpm.val/1000000000))</f>
        <v>6.4077128969999997</v>
      </c>
      <c r="N129" s="9" cm="1">
        <f t="array" ref="N129">_xlfn.LET(_xlpm.val,IFERROR(INDEX(Sheet4!$2:$1605,MATCH(ChiTietKQKD[[#This Row],[Mã CP]],Sheet4!$B$2:$B$1605,0),_xlfn.XMATCH("*Lợi nhuận sau thuế*6 tháng*2026*",Sheet4!$1:$1,2)),0),IF(OR(_xlpm.val="",_xlpm.val=0),"",_xlpm.val/1000000000))</f>
        <v>10.971345239</v>
      </c>
      <c r="O129" s="10" cm="1">
        <f t="array" ref="O129">IFERROR(INDEX(Sheet4!$2:$1605,MATCH(ChiTietKQKD[[#This Row],[Mã CP]],Sheet4!$B$2:$B$1605,0),_xlfn.XMATCH("*Tăng trưởng lợi nhuận sau thuế (YoY) (Quý*",Sheet4!$1:$1,2)),"")</f>
        <v>0.87809999999999999</v>
      </c>
      <c r="P129" s="10" cm="1">
        <f t="array" ref="P129">IFERROR(INDEX(Sheet4!$2:$1605,MATCH(ChiTietKQKD[[#This Row],[Mã CP]],Sheet4!$B$2:$B$1605,0),_xlfn.XMATCH("*Tăng trưởng lợi nhuận sau thuế (YoY) (6M)*",Sheet4!$1:$1,2)),"")</f>
        <v>0.8306</v>
      </c>
      <c r="Q129" s="10" cm="1">
        <f t="array" ref="Q129">IFERROR(INDEX(Sheet4!$2:$1605,MATCH(ChiTietKQKD[[#This Row],[Mã CP]],Sheet4!$B$2:$B$1605,0),_xlfn.XMATCH("*Tăng trưởng doanh thu thuần (QoQ)*",Sheet4!$1:$1,2)),"")</f>
        <v>0.1124</v>
      </c>
      <c r="R129" s="10" cm="1">
        <f t="array" ref="R129">IFERROR(INDEX(Sheet4!$2:$1605,MATCH(ChiTietKQKD[[#This Row],[Mã CP]],Sheet4!$B$2:$B$1605,0),_xlfn.XMATCH("*Tăng trưởng lợi nhuận sau thuế (QoQ)*",Sheet4!$1:$1,2)),"")</f>
        <v>0.40410000000000001</v>
      </c>
    </row>
    <row r="130" spans="1:18" x14ac:dyDescent="0.25">
      <c r="A130" s="7">
        <f>Sheet4!A109</f>
        <v>108</v>
      </c>
      <c r="B130" t="str">
        <f>Sheet4!B109</f>
        <v>DVP</v>
      </c>
      <c r="C130" t="str">
        <f>Sheet4!C108</f>
        <v>Kỹ nghệ Đô Thành</v>
      </c>
      <c r="D130" t="str">
        <f>Sheet4!D109</f>
        <v>HOSE</v>
      </c>
      <c r="E130" s="7">
        <f>Sheet4!AH109/1000000000</f>
        <v>2980</v>
      </c>
      <c r="F130" t="str">
        <f>Sheet4!E109</f>
        <v>Công nghiệp</v>
      </c>
      <c r="G130" t="str">
        <f>Sheet4!F109</f>
        <v>Hàng &amp; Dịch vụ Công nghiệp</v>
      </c>
      <c r="H130" t="str">
        <f>Sheet4!G109</f>
        <v>Kho bãi, hậu cần và bảo dưỡng</v>
      </c>
      <c r="I130" s="9" cm="1">
        <f t="array" ref="I13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181.94610415099999</v>
      </c>
      <c r="J130" s="9" cm="1">
        <f t="array" ref="J13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334.66570085900003</v>
      </c>
      <c r="K130" s="10" cm="1">
        <f t="array" ref="K13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0.22750000000000001</v>
      </c>
      <c r="L130" s="10" cm="1">
        <f t="array" ref="L13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9.0499999999999997E-2</v>
      </c>
      <c r="M130" s="9" cm="1">
        <f t="array" ref="M130">_xlfn.LET(_xlpm.val,IFERROR(INDEX(Sheet4!$2:$1605,MATCH(ChiTietKQKD[[#This Row],[Mã CP]],Sheet4!$B$2:$B$1605,0),_xlfn.XMATCH("*Lợi nhuận sau thuế*Q2*2026*",Sheet4!$1:$1,2)),0),IF(OR(_xlpm.val="",_xlpm.val=0),"",_xlpm.val/1000000000))</f>
        <v>95.814809941999997</v>
      </c>
      <c r="N130" s="9" cm="1">
        <f t="array" ref="N130">_xlfn.LET(_xlpm.val,IFERROR(INDEX(Sheet4!$2:$1605,MATCH(ChiTietKQKD[[#This Row],[Mã CP]],Sheet4!$B$2:$B$1605,0),_xlfn.XMATCH("*Lợi nhuận sau thuế*6 tháng*2026*",Sheet4!$1:$1,2)),0),IF(OR(_xlpm.val="",_xlpm.val=0),"",_xlpm.val/1000000000))</f>
        <v>157.79241074500001</v>
      </c>
      <c r="O130" s="10" cm="1">
        <f t="array" ref="O130">IFERROR(INDEX(Sheet4!$2:$1605,MATCH(ChiTietKQKD[[#This Row],[Mã CP]],Sheet4!$B$2:$B$1605,0),_xlfn.XMATCH("*Tăng trưởng lợi nhuận sau thuế (YoY) (Quý*",Sheet4!$1:$1,2)),"")</f>
        <v>0.42209999999999998</v>
      </c>
      <c r="P130" s="10" cm="1">
        <f t="array" ref="P130">IFERROR(INDEX(Sheet4!$2:$1605,MATCH(ChiTietKQKD[[#This Row],[Mã CP]],Sheet4!$B$2:$B$1605,0),_xlfn.XMATCH("*Tăng trưởng lợi nhuận sau thuế (YoY) (6M)*",Sheet4!$1:$1,2)),"")</f>
        <v>0.19900000000000001</v>
      </c>
      <c r="Q130" s="10" cm="1">
        <f t="array" ref="Q130">IFERROR(INDEX(Sheet4!$2:$1605,MATCH(ChiTietKQKD[[#This Row],[Mã CP]],Sheet4!$B$2:$B$1605,0),_xlfn.XMATCH("*Tăng trưởng doanh thu thuần (QoQ)*",Sheet4!$1:$1,2)),"")</f>
        <v>0.19139999999999999</v>
      </c>
      <c r="R130" s="10" cm="1">
        <f t="array" ref="R130">IFERROR(INDEX(Sheet4!$2:$1605,MATCH(ChiTietKQKD[[#This Row],[Mã CP]],Sheet4!$B$2:$B$1605,0),_xlfn.XMATCH("*Tăng trưởng lợi nhuận sau thuế (QoQ)*",Sheet4!$1:$1,2)),"")</f>
        <v>0.54600000000000004</v>
      </c>
    </row>
    <row r="131" spans="1:18" x14ac:dyDescent="0.25">
      <c r="A131" s="7">
        <f>Sheet4!A110</f>
        <v>109</v>
      </c>
      <c r="B131" t="str">
        <f>Sheet4!B110</f>
        <v>DXG</v>
      </c>
      <c r="C131" t="str">
        <f>Sheet4!C109</f>
        <v>ĐT và PT Cảng Đình Vũ</v>
      </c>
      <c r="D131" t="str">
        <f>Sheet4!D110</f>
        <v>HOSE</v>
      </c>
      <c r="E131" s="7">
        <f>Sheet4!AH110/1000000000</f>
        <v>14075.9651115</v>
      </c>
      <c r="F131" t="str">
        <f>Sheet4!E110</f>
        <v>Tài chính</v>
      </c>
      <c r="G131" t="str">
        <f>Sheet4!F110</f>
        <v>Bất động sản</v>
      </c>
      <c r="H131" t="str">
        <f>Sheet4!G110</f>
        <v>Bất động sản</v>
      </c>
      <c r="I131" s="9" t="str" cm="1">
        <f t="array" ref="I13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1" s="9" t="str" cm="1">
        <f t="array" ref="J13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1" s="10" cm="1">
        <f t="array" ref="K13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1" s="10" cm="1">
        <f t="array" ref="L13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1" s="9" t="str" cm="1">
        <f t="array" ref="M13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1" s="9" t="str" cm="1">
        <f t="array" ref="N13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1" s="10" cm="1">
        <f t="array" ref="O131">IFERROR(INDEX(Sheet4!$2:$1605,MATCH(ChiTietKQKD[[#This Row],[Mã CP]],Sheet4!$B$2:$B$1605,0),_xlfn.XMATCH("*Tăng trưởng lợi nhuận sau thuế (YoY) (Quý*",Sheet4!$1:$1,2)),"")</f>
        <v>0</v>
      </c>
      <c r="P131" s="10" cm="1">
        <f t="array" ref="P131">IFERROR(INDEX(Sheet4!$2:$1605,MATCH(ChiTietKQKD[[#This Row],[Mã CP]],Sheet4!$B$2:$B$1605,0),_xlfn.XMATCH("*Tăng trưởng lợi nhuận sau thuế (YoY) (6M)*",Sheet4!$1:$1,2)),"")</f>
        <v>0</v>
      </c>
      <c r="Q131" s="10" cm="1">
        <f t="array" ref="Q131">IFERROR(INDEX(Sheet4!$2:$1605,MATCH(ChiTietKQKD[[#This Row],[Mã CP]],Sheet4!$B$2:$B$1605,0),_xlfn.XMATCH("*Tăng trưởng doanh thu thuần (QoQ)*",Sheet4!$1:$1,2)),"")</f>
        <v>0</v>
      </c>
      <c r="R131" s="10" cm="1">
        <f t="array" ref="R131">IFERROR(INDEX(Sheet4!$2:$1605,MATCH(ChiTietKQKD[[#This Row],[Mã CP]],Sheet4!$B$2:$B$1605,0),_xlfn.XMATCH("*Tăng trưởng lợi nhuận sau thuế (QoQ)*",Sheet4!$1:$1,2)),"")</f>
        <v>0</v>
      </c>
    </row>
    <row r="132" spans="1:18" x14ac:dyDescent="0.25">
      <c r="A132" s="7">
        <f>Sheet4!A111</f>
        <v>110</v>
      </c>
      <c r="B132" t="str">
        <f>Sheet4!B111</f>
        <v>DXS</v>
      </c>
      <c r="C132" t="str">
        <f>Sheet4!C110</f>
        <v>Bluemarq Group</v>
      </c>
      <c r="D132" t="str">
        <f>Sheet4!D111</f>
        <v>HOSE</v>
      </c>
      <c r="E132" s="7">
        <f>Sheet4!AH111/1000000000</f>
        <v>3439.8725565599998</v>
      </c>
      <c r="F132" t="str">
        <f>Sheet4!E111</f>
        <v>Tài chính</v>
      </c>
      <c r="G132" t="str">
        <f>Sheet4!F111</f>
        <v>Bất động sản</v>
      </c>
      <c r="H132" t="str">
        <f>Sheet4!G111</f>
        <v>Tư Vấn, Định giá, Môi giới Bất động sản</v>
      </c>
      <c r="I132" s="9" t="str" cm="1">
        <f t="array" ref="I13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2" s="9" t="str" cm="1">
        <f t="array" ref="J13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2" s="10" cm="1">
        <f t="array" ref="K13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2" s="10" cm="1">
        <f t="array" ref="L13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2" s="9" t="str" cm="1">
        <f t="array" ref="M13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2" s="9" t="str" cm="1">
        <f t="array" ref="N13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2" s="10" cm="1">
        <f t="array" ref="O132">IFERROR(INDEX(Sheet4!$2:$1605,MATCH(ChiTietKQKD[[#This Row],[Mã CP]],Sheet4!$B$2:$B$1605,0),_xlfn.XMATCH("*Tăng trưởng lợi nhuận sau thuế (YoY) (Quý*",Sheet4!$1:$1,2)),"")</f>
        <v>0</v>
      </c>
      <c r="P132" s="10" cm="1">
        <f t="array" ref="P132">IFERROR(INDEX(Sheet4!$2:$1605,MATCH(ChiTietKQKD[[#This Row],[Mã CP]],Sheet4!$B$2:$B$1605,0),_xlfn.XMATCH("*Tăng trưởng lợi nhuận sau thuế (YoY) (6M)*",Sheet4!$1:$1,2)),"")</f>
        <v>0</v>
      </c>
      <c r="Q132" s="10" cm="1">
        <f t="array" ref="Q132">IFERROR(INDEX(Sheet4!$2:$1605,MATCH(ChiTietKQKD[[#This Row],[Mã CP]],Sheet4!$B$2:$B$1605,0),_xlfn.XMATCH("*Tăng trưởng doanh thu thuần (QoQ)*",Sheet4!$1:$1,2)),"")</f>
        <v>0</v>
      </c>
      <c r="R132" s="10" cm="1">
        <f t="array" ref="R132">IFERROR(INDEX(Sheet4!$2:$1605,MATCH(ChiTietKQKD[[#This Row],[Mã CP]],Sheet4!$B$2:$B$1605,0),_xlfn.XMATCH("*Tăng trưởng lợi nhuận sau thuế (QoQ)*",Sheet4!$1:$1,2)),"")</f>
        <v>0</v>
      </c>
    </row>
    <row r="133" spans="1:18" x14ac:dyDescent="0.25">
      <c r="A133" s="7">
        <f>Sheet4!A112</f>
        <v>111</v>
      </c>
      <c r="B133" t="str">
        <f>Sheet4!B112</f>
        <v>DXV</v>
      </c>
      <c r="C133" t="str">
        <f>Sheet4!C111</f>
        <v>Dịch vụ BĐS Đất Xanh</v>
      </c>
      <c r="D133" t="str">
        <f>Sheet4!D112</f>
        <v>HOSE</v>
      </c>
      <c r="E133" s="7">
        <f>Sheet4!AH112/1000000000</f>
        <v>36.630000000000003</v>
      </c>
      <c r="F133" t="str">
        <f>Sheet4!E112</f>
        <v>Công nghiệp</v>
      </c>
      <c r="G133" t="str">
        <f>Sheet4!F112</f>
        <v>Xây dựng và Vật liệu</v>
      </c>
      <c r="H133" t="str">
        <f>Sheet4!G112</f>
        <v>Vật liệu xây dựng &amp; Nội thất</v>
      </c>
      <c r="I133" s="9" cm="1">
        <f t="array" ref="I13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57.556986391000002</v>
      </c>
      <c r="J133" s="9" cm="1">
        <f t="array" ref="J13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109.99407655100001</v>
      </c>
      <c r="K133" s="10" cm="1">
        <f t="array" ref="K13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-5.8200000000000002E-2</v>
      </c>
      <c r="L133" s="10" cm="1">
        <f t="array" ref="L13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8.5000000000000006E-2</v>
      </c>
      <c r="M133" s="9" cm="1">
        <f t="array" ref="M133">_xlfn.LET(_xlpm.val,IFERROR(INDEX(Sheet4!$2:$1605,MATCH(ChiTietKQKD[[#This Row],[Mã CP]],Sheet4!$B$2:$B$1605,0),_xlfn.XMATCH("*Lợi nhuận sau thuế*Q2*2026*",Sheet4!$1:$1,2)),0),IF(OR(_xlpm.val="",_xlpm.val=0),"",_xlpm.val/1000000000))</f>
        <v>0.59241233400000004</v>
      </c>
      <c r="N133" s="9" cm="1">
        <f t="array" ref="N133">_xlfn.LET(_xlpm.val,IFERROR(INDEX(Sheet4!$2:$1605,MATCH(ChiTietKQKD[[#This Row],[Mã CP]],Sheet4!$B$2:$B$1605,0),_xlfn.XMATCH("*Lợi nhuận sau thuế*6 tháng*2026*",Sheet4!$1:$1,2)),0),IF(OR(_xlpm.val="",_xlpm.val=0),"",_xlpm.val/1000000000))</f>
        <v>0.74054522499999997</v>
      </c>
      <c r="O133" s="10" cm="1">
        <f t="array" ref="O133">IFERROR(INDEX(Sheet4!$2:$1605,MATCH(ChiTietKQKD[[#This Row],[Mã CP]],Sheet4!$B$2:$B$1605,0),_xlfn.XMATCH("*Tăng trưởng lợi nhuận sau thuế (YoY) (Quý*",Sheet4!$1:$1,2)),"")</f>
        <v>0.39360000000000001</v>
      </c>
      <c r="P133" s="10" cm="1">
        <f t="array" ref="P133">IFERROR(INDEX(Sheet4!$2:$1605,MATCH(ChiTietKQKD[[#This Row],[Mã CP]],Sheet4!$B$2:$B$1605,0),_xlfn.XMATCH("*Tăng trưởng lợi nhuận sau thuế (YoY) (6M)*",Sheet4!$1:$1,2)),"")</f>
        <v>0.61629999999999996</v>
      </c>
      <c r="Q133" s="10" cm="1">
        <f t="array" ref="Q133">IFERROR(INDEX(Sheet4!$2:$1605,MATCH(ChiTietKQKD[[#This Row],[Mã CP]],Sheet4!$B$2:$B$1605,0),_xlfn.XMATCH("*Tăng trưởng doanh thu thuần (QoQ)*",Sheet4!$1:$1,2)),"")</f>
        <v>9.7600000000000006E-2</v>
      </c>
      <c r="R133" s="10" cm="1">
        <f t="array" ref="R133">IFERROR(INDEX(Sheet4!$2:$1605,MATCH(ChiTietKQKD[[#This Row],[Mã CP]],Sheet4!$B$2:$B$1605,0),_xlfn.XMATCH("*Tăng trưởng lợi nhuận sau thuế (QoQ)*",Sheet4!$1:$1,2)),"")</f>
        <v>2.9992000000000001</v>
      </c>
    </row>
    <row r="134" spans="1:18" x14ac:dyDescent="0.25">
      <c r="A134" s="7">
        <f>Sheet4!A113</f>
        <v>112</v>
      </c>
      <c r="B134" t="str">
        <f>Sheet4!B113</f>
        <v>E1VFVN30</v>
      </c>
      <c r="C134" t="str">
        <f>Sheet4!C112</f>
        <v>Vật liệu Xây dựng Đà Nẵng</v>
      </c>
      <c r="D134" t="str">
        <f>Sheet4!D113</f>
        <v>HOSE</v>
      </c>
      <c r="E134" s="7">
        <f>Sheet4!AH113/1000000000</f>
        <v>5620.76</v>
      </c>
      <c r="F134" t="str">
        <f>Sheet4!E113</f>
        <v>Tài chính</v>
      </c>
      <c r="G134" t="str">
        <f>Sheet4!F113</f>
        <v>Dịch vụ tài chính</v>
      </c>
      <c r="H134" t="str">
        <f>Sheet4!G113</f>
        <v>Quỹ đầu tư</v>
      </c>
      <c r="I134" s="9" t="str" cm="1">
        <f t="array" ref="I13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4" s="9" t="str" cm="1">
        <f t="array" ref="J13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4" s="10" cm="1">
        <f t="array" ref="K13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4" s="10" cm="1">
        <f t="array" ref="L13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4" s="9" t="str" cm="1">
        <f t="array" ref="M13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4" s="9" t="str" cm="1">
        <f t="array" ref="N13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4" s="10" cm="1">
        <f t="array" ref="O134">IFERROR(INDEX(Sheet4!$2:$1605,MATCH(ChiTietKQKD[[#This Row],[Mã CP]],Sheet4!$B$2:$B$1605,0),_xlfn.XMATCH("*Tăng trưởng lợi nhuận sau thuế (YoY) (Quý*",Sheet4!$1:$1,2)),"")</f>
        <v>0</v>
      </c>
      <c r="P134" s="10" cm="1">
        <f t="array" ref="P134">IFERROR(INDEX(Sheet4!$2:$1605,MATCH(ChiTietKQKD[[#This Row],[Mã CP]],Sheet4!$B$2:$B$1605,0),_xlfn.XMATCH("*Tăng trưởng lợi nhuận sau thuế (YoY) (6M)*",Sheet4!$1:$1,2)),"")</f>
        <v>0</v>
      </c>
      <c r="Q134" s="10" cm="1">
        <f t="array" ref="Q134">IFERROR(INDEX(Sheet4!$2:$1605,MATCH(ChiTietKQKD[[#This Row],[Mã CP]],Sheet4!$B$2:$B$1605,0),_xlfn.XMATCH("*Tăng trưởng doanh thu thuần (QoQ)*",Sheet4!$1:$1,2)),"")</f>
        <v>0</v>
      </c>
      <c r="R134" s="10" cm="1">
        <f t="array" ref="R134">IFERROR(INDEX(Sheet4!$2:$1605,MATCH(ChiTietKQKD[[#This Row],[Mã CP]],Sheet4!$B$2:$B$1605,0),_xlfn.XMATCH("*Tăng trưởng lợi nhuận sau thuế (QoQ)*",Sheet4!$1:$1,2)),"")</f>
        <v>0</v>
      </c>
    </row>
    <row r="135" spans="1:18" x14ac:dyDescent="0.25">
      <c r="A135" s="7">
        <f>Sheet4!A114</f>
        <v>113</v>
      </c>
      <c r="B135" t="str">
        <f>Sheet4!B114</f>
        <v>EIB</v>
      </c>
      <c r="C135" t="str">
        <f>Sheet4!C113</f>
        <v>Quỹ ETF DCVFMVN30</v>
      </c>
      <c r="D135" t="str">
        <f>Sheet4!D114</f>
        <v>HOSE</v>
      </c>
      <c r="E135" s="7">
        <f>Sheet4!AH114/1000000000</f>
        <v>30734.890015500001</v>
      </c>
      <c r="F135" t="str">
        <f>Sheet4!E114</f>
        <v>Ngân hàng</v>
      </c>
      <c r="G135" t="str">
        <f>Sheet4!F114</f>
        <v>Ngân hàng</v>
      </c>
      <c r="H135" t="str">
        <f>Sheet4!G114</f>
        <v>Ngân hàng</v>
      </c>
      <c r="I135" s="9" t="str" cm="1">
        <f t="array" ref="I13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5" s="9" t="str" cm="1">
        <f t="array" ref="J13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5" s="10" t="str" cm="1">
        <f t="array" ref="K13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135" s="10" t="str" cm="1">
        <f t="array" ref="L13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135" s="9" t="str" cm="1">
        <f t="array" ref="M13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5" s="9" t="str" cm="1">
        <f t="array" ref="N13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5" s="10" cm="1">
        <f t="array" ref="O135">IFERROR(INDEX(Sheet4!$2:$1605,MATCH(ChiTietKQKD[[#This Row],[Mã CP]],Sheet4!$B$2:$B$1605,0),_xlfn.XMATCH("*Tăng trưởng lợi nhuận sau thuế (YoY) (Quý*",Sheet4!$1:$1,2)),"")</f>
        <v>0</v>
      </c>
      <c r="P135" s="10" cm="1">
        <f t="array" ref="P135">IFERROR(INDEX(Sheet4!$2:$1605,MATCH(ChiTietKQKD[[#This Row],[Mã CP]],Sheet4!$B$2:$B$1605,0),_xlfn.XMATCH("*Tăng trưởng lợi nhuận sau thuế (YoY) (6M)*",Sheet4!$1:$1,2)),"")</f>
        <v>0</v>
      </c>
      <c r="Q135" s="10" cm="1">
        <f t="array" ref="Q135">IFERROR(INDEX(Sheet4!$2:$1605,MATCH(ChiTietKQKD[[#This Row],[Mã CP]],Sheet4!$B$2:$B$1605,0),_xlfn.XMATCH("*Tăng trưởng doanh thu thuần (QoQ)*",Sheet4!$1:$1,2)),"")</f>
        <v>0</v>
      </c>
      <c r="R135" s="10" cm="1">
        <f t="array" ref="R135">IFERROR(INDEX(Sheet4!$2:$1605,MATCH(ChiTietKQKD[[#This Row],[Mã CP]],Sheet4!$B$2:$B$1605,0),_xlfn.XMATCH("*Tăng trưởng lợi nhuận sau thuế (QoQ)*",Sheet4!$1:$1,2)),"")</f>
        <v>0</v>
      </c>
    </row>
    <row r="136" spans="1:18" x14ac:dyDescent="0.25">
      <c r="A136" s="7">
        <f>Sheet4!A115</f>
        <v>114</v>
      </c>
      <c r="B136" t="str">
        <f>Sheet4!B115</f>
        <v>ELC</v>
      </c>
      <c r="C136" t="str">
        <f>Sheet4!C114</f>
        <v>Eximbank</v>
      </c>
      <c r="D136" t="str">
        <f>Sheet4!D115</f>
        <v>HOSE</v>
      </c>
      <c r="E136" s="7">
        <f>Sheet4!AH115/1000000000</f>
        <v>1628.6988263999999</v>
      </c>
      <c r="F136" t="str">
        <f>Sheet4!E115</f>
        <v>Công nghệ Thông tin</v>
      </c>
      <c r="G136" t="str">
        <f>Sheet4!F115</f>
        <v>Công nghệ Thông tin</v>
      </c>
      <c r="H136" t="str">
        <f>Sheet4!G115</f>
        <v>Thiết bị viễn thông</v>
      </c>
      <c r="I136" s="9" t="str" cm="1">
        <f t="array" ref="I13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6" s="9" t="str" cm="1">
        <f t="array" ref="J13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6" s="10" cm="1">
        <f t="array" ref="K13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6" s="10" cm="1">
        <f t="array" ref="L13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6" s="9" t="str" cm="1">
        <f t="array" ref="M13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6" s="9" t="str" cm="1">
        <f t="array" ref="N13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6" s="10" cm="1">
        <f t="array" ref="O136">IFERROR(INDEX(Sheet4!$2:$1605,MATCH(ChiTietKQKD[[#This Row],[Mã CP]],Sheet4!$B$2:$B$1605,0),_xlfn.XMATCH("*Tăng trưởng lợi nhuận sau thuế (YoY) (Quý*",Sheet4!$1:$1,2)),"")</f>
        <v>0</v>
      </c>
      <c r="P136" s="10" cm="1">
        <f t="array" ref="P136">IFERROR(INDEX(Sheet4!$2:$1605,MATCH(ChiTietKQKD[[#This Row],[Mã CP]],Sheet4!$B$2:$B$1605,0),_xlfn.XMATCH("*Tăng trưởng lợi nhuận sau thuế (YoY) (6M)*",Sheet4!$1:$1,2)),"")</f>
        <v>0</v>
      </c>
      <c r="Q136" s="10" cm="1">
        <f t="array" ref="Q136">IFERROR(INDEX(Sheet4!$2:$1605,MATCH(ChiTietKQKD[[#This Row],[Mã CP]],Sheet4!$B$2:$B$1605,0),_xlfn.XMATCH("*Tăng trưởng doanh thu thuần (QoQ)*",Sheet4!$1:$1,2)),"")</f>
        <v>0</v>
      </c>
      <c r="R136" s="10" cm="1">
        <f t="array" ref="R136">IFERROR(INDEX(Sheet4!$2:$1605,MATCH(ChiTietKQKD[[#This Row],[Mã CP]],Sheet4!$B$2:$B$1605,0),_xlfn.XMATCH("*Tăng trưởng lợi nhuận sau thuế (QoQ)*",Sheet4!$1:$1,2)),"")</f>
        <v>0</v>
      </c>
    </row>
    <row r="137" spans="1:18" x14ac:dyDescent="0.25">
      <c r="A137" s="7">
        <f>Sheet4!A116</f>
        <v>115</v>
      </c>
      <c r="B137" t="str">
        <f>Sheet4!B116</f>
        <v>EVE</v>
      </c>
      <c r="C137" t="str">
        <f>Sheet4!C115</f>
        <v>ELCOM</v>
      </c>
      <c r="D137" t="str">
        <f>Sheet4!D116</f>
        <v>HOSE</v>
      </c>
      <c r="E137" s="7">
        <f>Sheet4!AH116/1000000000</f>
        <v>349.27171135999998</v>
      </c>
      <c r="F137" t="str">
        <f>Sheet4!E116</f>
        <v>Hàng Tiêu dùng</v>
      </c>
      <c r="G137" t="str">
        <f>Sheet4!F116</f>
        <v>Hàng cá nhân &amp; Gia dụng</v>
      </c>
      <c r="H137" t="str">
        <f>Sheet4!G116</f>
        <v>Hàng May mặc</v>
      </c>
      <c r="I137" s="9" t="str" cm="1">
        <f t="array" ref="I13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7" s="9" t="str" cm="1">
        <f t="array" ref="J13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7" s="10" cm="1">
        <f t="array" ref="K13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7" s="10" cm="1">
        <f t="array" ref="L13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7" s="9" t="str" cm="1">
        <f t="array" ref="M13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7" s="9" t="str" cm="1">
        <f t="array" ref="N13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7" s="10" cm="1">
        <f t="array" ref="O137">IFERROR(INDEX(Sheet4!$2:$1605,MATCH(ChiTietKQKD[[#This Row],[Mã CP]],Sheet4!$B$2:$B$1605,0),_xlfn.XMATCH("*Tăng trưởng lợi nhuận sau thuế (YoY) (Quý*",Sheet4!$1:$1,2)),"")</f>
        <v>0</v>
      </c>
      <c r="P137" s="10" cm="1">
        <f t="array" ref="P137">IFERROR(INDEX(Sheet4!$2:$1605,MATCH(ChiTietKQKD[[#This Row],[Mã CP]],Sheet4!$B$2:$B$1605,0),_xlfn.XMATCH("*Tăng trưởng lợi nhuận sau thuế (YoY) (6M)*",Sheet4!$1:$1,2)),"")</f>
        <v>0</v>
      </c>
      <c r="Q137" s="10" cm="1">
        <f t="array" ref="Q137">IFERROR(INDEX(Sheet4!$2:$1605,MATCH(ChiTietKQKD[[#This Row],[Mã CP]],Sheet4!$B$2:$B$1605,0),_xlfn.XMATCH("*Tăng trưởng doanh thu thuần (QoQ)*",Sheet4!$1:$1,2)),"")</f>
        <v>0</v>
      </c>
      <c r="R137" s="10" cm="1">
        <f t="array" ref="R137">IFERROR(INDEX(Sheet4!$2:$1605,MATCH(ChiTietKQKD[[#This Row],[Mã CP]],Sheet4!$B$2:$B$1605,0),_xlfn.XMATCH("*Tăng trưởng lợi nhuận sau thuế (QoQ)*",Sheet4!$1:$1,2)),"")</f>
        <v>0</v>
      </c>
    </row>
    <row r="138" spans="1:18" x14ac:dyDescent="0.25">
      <c r="A138" s="7">
        <f>Sheet4!A117</f>
        <v>116</v>
      </c>
      <c r="B138" t="str">
        <f>Sheet4!B117</f>
        <v>EVF</v>
      </c>
      <c r="C138" t="str">
        <f>Sheet4!C116</f>
        <v>Everpia</v>
      </c>
      <c r="D138" t="str">
        <f>Sheet4!D117</f>
        <v>HOSE</v>
      </c>
      <c r="E138" s="7">
        <f>Sheet4!AH117/1000000000</f>
        <v>9278.9027843999993</v>
      </c>
      <c r="F138" t="str">
        <f>Sheet4!E117</f>
        <v>Tài chính</v>
      </c>
      <c r="G138" t="str">
        <f>Sheet4!F117</f>
        <v>Dịch vụ tài chính</v>
      </c>
      <c r="H138" t="str">
        <f>Sheet4!G117</f>
        <v>Tài chính cá nhân</v>
      </c>
      <c r="I138" s="9" t="str" cm="1">
        <f t="array" ref="I13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8" s="9" t="str" cm="1">
        <f t="array" ref="J13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8" s="10" cm="1">
        <f t="array" ref="K13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0.57130000000000003</v>
      </c>
      <c r="L138" s="10" cm="1">
        <f t="array" ref="L13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0.43909999999999999</v>
      </c>
      <c r="M138" s="9" cm="1">
        <f t="array" ref="M138">_xlfn.LET(_xlpm.val,IFERROR(INDEX(Sheet4!$2:$1605,MATCH(ChiTietKQKD[[#This Row],[Mã CP]],Sheet4!$B$2:$B$1605,0),_xlfn.XMATCH("*Lợi nhuận sau thuế*Q2*2026*",Sheet4!$1:$1,2)),0),IF(OR(_xlpm.val="",_xlpm.val=0),"",_xlpm.val/1000000000))</f>
        <v>289.58199999999999</v>
      </c>
      <c r="N138" s="9" cm="1">
        <f t="array" ref="N138">_xlfn.LET(_xlpm.val,IFERROR(INDEX(Sheet4!$2:$1605,MATCH(ChiTietKQKD[[#This Row],[Mã CP]],Sheet4!$B$2:$B$1605,0),_xlfn.XMATCH("*Lợi nhuận sau thuế*6 tháng*2026*",Sheet4!$1:$1,2)),0),IF(OR(_xlpm.val="",_xlpm.val=0),"",_xlpm.val/1000000000))</f>
        <v>556.22400000000005</v>
      </c>
      <c r="O138" s="10" cm="1">
        <f t="array" ref="O138">IFERROR(INDEX(Sheet4!$2:$1605,MATCH(ChiTietKQKD[[#This Row],[Mã CP]],Sheet4!$B$2:$B$1605,0),_xlfn.XMATCH("*Tăng trưởng lợi nhuận sau thuế (YoY) (Quý*",Sheet4!$1:$1,2)),"")</f>
        <v>0.19689999999999999</v>
      </c>
      <c r="P138" s="10" cm="1">
        <f t="array" ref="P138">IFERROR(INDEX(Sheet4!$2:$1605,MATCH(ChiTietKQKD[[#This Row],[Mã CP]],Sheet4!$B$2:$B$1605,0),_xlfn.XMATCH("*Tăng trưởng lợi nhuận sau thuế (YoY) (6M)*",Sheet4!$1:$1,2)),"")</f>
        <v>0.153</v>
      </c>
      <c r="Q138" s="10" cm="1">
        <f t="array" ref="Q138">IFERROR(INDEX(Sheet4!$2:$1605,MATCH(ChiTietKQKD[[#This Row],[Mã CP]],Sheet4!$B$2:$B$1605,0),_xlfn.XMATCH("*Tăng trưởng doanh thu thuần (QoQ)*",Sheet4!$1:$1,2)),"")</f>
        <v>0.2858</v>
      </c>
      <c r="R138" s="10" cm="1">
        <f t="array" ref="R138">IFERROR(INDEX(Sheet4!$2:$1605,MATCH(ChiTietKQKD[[#This Row],[Mã CP]],Sheet4!$B$2:$B$1605,0),_xlfn.XMATCH("*Tăng trưởng lợi nhuận sau thuế (QoQ)*",Sheet4!$1:$1,2)),"")</f>
        <v>8.6099999999999996E-2</v>
      </c>
    </row>
    <row r="139" spans="1:18" x14ac:dyDescent="0.25">
      <c r="A139" s="7">
        <f>Sheet4!A118</f>
        <v>117</v>
      </c>
      <c r="B139" t="str">
        <f>Sheet4!B118</f>
        <v>EVG</v>
      </c>
      <c r="C139" t="str">
        <f>Sheet4!C117</f>
        <v>Tài chính Tổng hợp Điện lực</v>
      </c>
      <c r="D139" t="str">
        <f>Sheet4!D118</f>
        <v>HOSE</v>
      </c>
      <c r="E139" s="7">
        <f>Sheet4!AH118/1000000000</f>
        <v>1066.77539864</v>
      </c>
      <c r="F139" t="str">
        <f>Sheet4!E118</f>
        <v>Công nghiệp</v>
      </c>
      <c r="G139" t="str">
        <f>Sheet4!F118</f>
        <v>Xây dựng và Vật liệu</v>
      </c>
      <c r="H139" t="str">
        <f>Sheet4!G118</f>
        <v>Xây dựng</v>
      </c>
      <c r="I139" s="9" t="str" cm="1">
        <f t="array" ref="I13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9" s="9" t="str" cm="1">
        <f t="array" ref="J13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9" s="10" cm="1">
        <f t="array" ref="K13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9" s="10" cm="1">
        <f t="array" ref="L13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9" s="9" t="str" cm="1">
        <f t="array" ref="M13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9" s="9" t="str" cm="1">
        <f t="array" ref="N13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9" s="10" cm="1">
        <f t="array" ref="O139">IFERROR(INDEX(Sheet4!$2:$1605,MATCH(ChiTietKQKD[[#This Row],[Mã CP]],Sheet4!$B$2:$B$1605,0),_xlfn.XMATCH("*Tăng trưởng lợi nhuận sau thuế (YoY) (Quý*",Sheet4!$1:$1,2)),"")</f>
        <v>0</v>
      </c>
      <c r="P139" s="10" cm="1">
        <f t="array" ref="P139">IFERROR(INDEX(Sheet4!$2:$1605,MATCH(ChiTietKQKD[[#This Row],[Mã CP]],Sheet4!$B$2:$B$1605,0),_xlfn.XMATCH("*Tăng trưởng lợi nhuận sau thuế (YoY) (6M)*",Sheet4!$1:$1,2)),"")</f>
        <v>0</v>
      </c>
      <c r="Q139" s="10" cm="1">
        <f t="array" ref="Q139">IFERROR(INDEX(Sheet4!$2:$1605,MATCH(ChiTietKQKD[[#This Row],[Mã CP]],Sheet4!$B$2:$B$1605,0),_xlfn.XMATCH("*Tăng trưởng doanh thu thuần (QoQ)*",Sheet4!$1:$1,2)),"")</f>
        <v>0</v>
      </c>
      <c r="R139" s="10" cm="1">
        <f t="array" ref="R139">IFERROR(INDEX(Sheet4!$2:$1605,MATCH(ChiTietKQKD[[#This Row],[Mã CP]],Sheet4!$B$2:$B$1605,0),_xlfn.XMATCH("*Tăng trưởng lợi nhuận sau thuế (QoQ)*",Sheet4!$1:$1,2)),"")</f>
        <v>0</v>
      </c>
    </row>
    <row r="140" spans="1:18" x14ac:dyDescent="0.25">
      <c r="A140" s="7">
        <f>Sheet4!A119</f>
        <v>118</v>
      </c>
      <c r="B140" t="str">
        <f>Sheet4!B119</f>
        <v>FCM</v>
      </c>
      <c r="C140" t="str">
        <f>Sheet4!C118</f>
        <v>Tập đoàn Everland</v>
      </c>
      <c r="D140" t="str">
        <f>Sheet4!D119</f>
        <v>HOSE</v>
      </c>
      <c r="E140" s="7">
        <f>Sheet4!AH119/1000000000</f>
        <v>144.68933938000001</v>
      </c>
      <c r="F140" t="str">
        <f>Sheet4!E119</f>
        <v>Công nghiệp</v>
      </c>
      <c r="G140" t="str">
        <f>Sheet4!F119</f>
        <v>Xây dựng và Vật liệu</v>
      </c>
      <c r="H140" t="str">
        <f>Sheet4!G119</f>
        <v>Vật liệu xây dựng &amp; Nội thất</v>
      </c>
      <c r="I140" s="9" t="str" cm="1">
        <f t="array" ref="I14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0" s="9" t="str" cm="1">
        <f t="array" ref="J14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0" s="10" cm="1">
        <f t="array" ref="K14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0" s="10" cm="1">
        <f t="array" ref="L14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0" s="9" t="str" cm="1">
        <f t="array" ref="M14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0" s="9" t="str" cm="1">
        <f t="array" ref="N14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0" s="10" cm="1">
        <f t="array" ref="O140">IFERROR(INDEX(Sheet4!$2:$1605,MATCH(ChiTietKQKD[[#This Row],[Mã CP]],Sheet4!$B$2:$B$1605,0),_xlfn.XMATCH("*Tăng trưởng lợi nhuận sau thuế (YoY) (Quý*",Sheet4!$1:$1,2)),"")</f>
        <v>0</v>
      </c>
      <c r="P140" s="10" cm="1">
        <f t="array" ref="P140">IFERROR(INDEX(Sheet4!$2:$1605,MATCH(ChiTietKQKD[[#This Row],[Mã CP]],Sheet4!$B$2:$B$1605,0),_xlfn.XMATCH("*Tăng trưởng lợi nhuận sau thuế (YoY) (6M)*",Sheet4!$1:$1,2)),"")</f>
        <v>0</v>
      </c>
      <c r="Q140" s="10" cm="1">
        <f t="array" ref="Q140">IFERROR(INDEX(Sheet4!$2:$1605,MATCH(ChiTietKQKD[[#This Row],[Mã CP]],Sheet4!$B$2:$B$1605,0),_xlfn.XMATCH("*Tăng trưởng doanh thu thuần (QoQ)*",Sheet4!$1:$1,2)),"")</f>
        <v>0</v>
      </c>
      <c r="R140" s="10" cm="1">
        <f t="array" ref="R140">IFERROR(INDEX(Sheet4!$2:$1605,MATCH(ChiTietKQKD[[#This Row],[Mã CP]],Sheet4!$B$2:$B$1605,0),_xlfn.XMATCH("*Tăng trưởng lợi nhuận sau thuế (QoQ)*",Sheet4!$1:$1,2)),"")</f>
        <v>0</v>
      </c>
    </row>
    <row r="141" spans="1:18" x14ac:dyDescent="0.25">
      <c r="A141" s="7">
        <f>Sheet4!A120</f>
        <v>119</v>
      </c>
      <c r="B141" t="str">
        <f>Sheet4!B120</f>
        <v>FCN</v>
      </c>
      <c r="C141" t="str">
        <f>Sheet4!C119</f>
        <v>Bê tông Phan Vũ Hà Nam</v>
      </c>
      <c r="D141" t="str">
        <f>Sheet4!D120</f>
        <v>HOSE</v>
      </c>
      <c r="E141" s="7">
        <f>Sheet4!AH120/1000000000</f>
        <v>1684.5973535000001</v>
      </c>
      <c r="F141" t="str">
        <f>Sheet4!E120</f>
        <v>Công nghiệp</v>
      </c>
      <c r="G141" t="str">
        <f>Sheet4!F120</f>
        <v>Xây dựng và Vật liệu</v>
      </c>
      <c r="H141" t="str">
        <f>Sheet4!G120</f>
        <v>Xây dựng</v>
      </c>
      <c r="I141" s="9" t="str" cm="1">
        <f t="array" ref="I14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1" s="9" t="str" cm="1">
        <f t="array" ref="J14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1" s="10" cm="1">
        <f t="array" ref="K14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1" s="10" cm="1">
        <f t="array" ref="L14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1" s="9" t="str" cm="1">
        <f t="array" ref="M14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1" s="9" t="str" cm="1">
        <f t="array" ref="N14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1" s="10" cm="1">
        <f t="array" ref="O141">IFERROR(INDEX(Sheet4!$2:$1605,MATCH(ChiTietKQKD[[#This Row],[Mã CP]],Sheet4!$B$2:$B$1605,0),_xlfn.XMATCH("*Tăng trưởng lợi nhuận sau thuế (YoY) (Quý*",Sheet4!$1:$1,2)),"")</f>
        <v>0</v>
      </c>
      <c r="P141" s="10" cm="1">
        <f t="array" ref="P141">IFERROR(INDEX(Sheet4!$2:$1605,MATCH(ChiTietKQKD[[#This Row],[Mã CP]],Sheet4!$B$2:$B$1605,0),_xlfn.XMATCH("*Tăng trưởng lợi nhuận sau thuế (YoY) (6M)*",Sheet4!$1:$1,2)),"")</f>
        <v>0</v>
      </c>
      <c r="Q141" s="10" cm="1">
        <f t="array" ref="Q141">IFERROR(INDEX(Sheet4!$2:$1605,MATCH(ChiTietKQKD[[#This Row],[Mã CP]],Sheet4!$B$2:$B$1605,0),_xlfn.XMATCH("*Tăng trưởng doanh thu thuần (QoQ)*",Sheet4!$1:$1,2)),"")</f>
        <v>0</v>
      </c>
      <c r="R141" s="10" cm="1">
        <f t="array" ref="R141">IFERROR(INDEX(Sheet4!$2:$1605,MATCH(ChiTietKQKD[[#This Row],[Mã CP]],Sheet4!$B$2:$B$1605,0),_xlfn.XMATCH("*Tăng trưởng lợi nhuận sau thuế (QoQ)*",Sheet4!$1:$1,2)),"")</f>
        <v>0</v>
      </c>
    </row>
    <row r="142" spans="1:18" x14ac:dyDescent="0.25">
      <c r="A142" s="7">
        <f>Sheet4!A121</f>
        <v>120</v>
      </c>
      <c r="B142" t="str">
        <f>Sheet4!B121</f>
        <v>FDC</v>
      </c>
      <c r="C142" t="str">
        <f>Sheet4!C120</f>
        <v>FECON CORP</v>
      </c>
      <c r="D142" t="str">
        <f>Sheet4!D121</f>
        <v>HOSE</v>
      </c>
      <c r="E142" s="7">
        <f>Sheet4!AH121/1000000000</f>
        <v>865.1661312</v>
      </c>
      <c r="F142" t="str">
        <f>Sheet4!E121</f>
        <v>Tài chính</v>
      </c>
      <c r="G142" t="str">
        <f>Sheet4!F121</f>
        <v>Bất động sản</v>
      </c>
      <c r="H142" t="str">
        <f>Sheet4!G121</f>
        <v>Bất động sản</v>
      </c>
      <c r="I142" s="9" cm="1">
        <f t="array" ref="I14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18.071848047</v>
      </c>
      <c r="J142" s="9" cm="1">
        <f t="array" ref="J14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36.068602718000001</v>
      </c>
      <c r="K142" s="10" cm="1">
        <f t="array" ref="K14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-4.24E-2</v>
      </c>
      <c r="L142" s="10" cm="1">
        <f t="array" ref="L14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-3.6999999999999998E-2</v>
      </c>
      <c r="M142" s="9" cm="1">
        <f t="array" ref="M142">_xlfn.LET(_xlpm.val,IFERROR(INDEX(Sheet4!$2:$1605,MATCH(ChiTietKQKD[[#This Row],[Mã CP]],Sheet4!$B$2:$B$1605,0),_xlfn.XMATCH("*Lợi nhuận sau thuế*Q2*2026*",Sheet4!$1:$1,2)),0),IF(OR(_xlpm.val="",_xlpm.val=0),"",_xlpm.val/1000000000))</f>
        <v>4.049979693</v>
      </c>
      <c r="N142" s="9" cm="1">
        <f t="array" ref="N142">_xlfn.LET(_xlpm.val,IFERROR(INDEX(Sheet4!$2:$1605,MATCH(ChiTietKQKD[[#This Row],[Mã CP]],Sheet4!$B$2:$B$1605,0),_xlfn.XMATCH("*Lợi nhuận sau thuế*6 tháng*2026*",Sheet4!$1:$1,2)),0),IF(OR(_xlpm.val="",_xlpm.val=0),"",_xlpm.val/1000000000))</f>
        <v>10.829576147999999</v>
      </c>
      <c r="O142" s="10" cm="1">
        <f t="array" ref="O142">IFERROR(INDEX(Sheet4!$2:$1605,MATCH(ChiTietKQKD[[#This Row],[Mã CP]],Sheet4!$B$2:$B$1605,0),_xlfn.XMATCH("*Tăng trưởng lợi nhuận sau thuế (YoY) (Quý*",Sheet4!$1:$1,2)),"")</f>
        <v>-0.64059999999999995</v>
      </c>
      <c r="P142" s="10" cm="1">
        <f t="array" ref="P142">IFERROR(INDEX(Sheet4!$2:$1605,MATCH(ChiTietKQKD[[#This Row],[Mã CP]],Sheet4!$B$2:$B$1605,0),_xlfn.XMATCH("*Tăng trưởng lợi nhuận sau thuế (YoY) (6M)*",Sheet4!$1:$1,2)),"")</f>
        <v>-0.51300000000000001</v>
      </c>
      <c r="Q142" s="10" cm="1">
        <f t="array" ref="Q142">IFERROR(INDEX(Sheet4!$2:$1605,MATCH(ChiTietKQKD[[#This Row],[Mã CP]],Sheet4!$B$2:$B$1605,0),_xlfn.XMATCH("*Tăng trưởng doanh thu thuần (QoQ)*",Sheet4!$1:$1,2)),"")</f>
        <v>4.1999999999999997E-3</v>
      </c>
      <c r="R142" s="10" cm="1">
        <f t="array" ref="R142">IFERROR(INDEX(Sheet4!$2:$1605,MATCH(ChiTietKQKD[[#This Row],[Mã CP]],Sheet4!$B$2:$B$1605,0),_xlfn.XMATCH("*Tăng trưởng lợi nhuận sau thuế (QoQ)*",Sheet4!$1:$1,2)),"")</f>
        <v>-0.40260000000000001</v>
      </c>
    </row>
    <row r="143" spans="1:18" x14ac:dyDescent="0.25">
      <c r="A143" s="7">
        <f>Sheet4!A122</f>
        <v>121</v>
      </c>
      <c r="B143" t="str">
        <f>Sheet4!B122</f>
        <v>FIR</v>
      </c>
      <c r="C143" t="str">
        <f>Sheet4!C121</f>
        <v>FIDECO</v>
      </c>
      <c r="D143" t="str">
        <f>Sheet4!D122</f>
        <v>HOSE</v>
      </c>
      <c r="E143" s="7">
        <f>Sheet4!AH122/1000000000</f>
        <v>341.33426459999998</v>
      </c>
      <c r="F143" t="str">
        <f>Sheet4!E122</f>
        <v>Tài chính</v>
      </c>
      <c r="G143" t="str">
        <f>Sheet4!F122</f>
        <v>Bất động sản</v>
      </c>
      <c r="H143" t="str">
        <f>Sheet4!G122</f>
        <v>Bất động sản</v>
      </c>
      <c r="I143" s="9" t="str" cm="1">
        <f t="array" ref="I14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3" s="9" t="str" cm="1">
        <f t="array" ref="J14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3" s="10" cm="1">
        <f t="array" ref="K14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3" s="10" cm="1">
        <f t="array" ref="L14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3" s="9" t="str" cm="1">
        <f t="array" ref="M14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3" s="9" t="str" cm="1">
        <f t="array" ref="N14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3" s="10" cm="1">
        <f t="array" ref="O143">IFERROR(INDEX(Sheet4!$2:$1605,MATCH(ChiTietKQKD[[#This Row],[Mã CP]],Sheet4!$B$2:$B$1605,0),_xlfn.XMATCH("*Tăng trưởng lợi nhuận sau thuế (YoY) (Quý*",Sheet4!$1:$1,2)),"")</f>
        <v>0</v>
      </c>
      <c r="P143" s="10" cm="1">
        <f t="array" ref="P143">IFERROR(INDEX(Sheet4!$2:$1605,MATCH(ChiTietKQKD[[#This Row],[Mã CP]],Sheet4!$B$2:$B$1605,0),_xlfn.XMATCH("*Tăng trưởng lợi nhuận sau thuế (YoY) (6M)*",Sheet4!$1:$1,2)),"")</f>
        <v>0</v>
      </c>
      <c r="Q143" s="10" cm="1">
        <f t="array" ref="Q143">IFERROR(INDEX(Sheet4!$2:$1605,MATCH(ChiTietKQKD[[#This Row],[Mã CP]],Sheet4!$B$2:$B$1605,0),_xlfn.XMATCH("*Tăng trưởng doanh thu thuần (QoQ)*",Sheet4!$1:$1,2)),"")</f>
        <v>0</v>
      </c>
      <c r="R143" s="10" cm="1">
        <f t="array" ref="R143">IFERROR(INDEX(Sheet4!$2:$1605,MATCH(ChiTietKQKD[[#This Row],[Mã CP]],Sheet4!$B$2:$B$1605,0),_xlfn.XMATCH("*Tăng trưởng lợi nhuận sau thuế (QoQ)*",Sheet4!$1:$1,2)),"")</f>
        <v>0</v>
      </c>
    </row>
    <row r="144" spans="1:18" x14ac:dyDescent="0.25">
      <c r="A144" s="7">
        <f>Sheet4!A123</f>
        <v>122</v>
      </c>
      <c r="B144" t="str">
        <f>Sheet4!B123</f>
        <v>FIT</v>
      </c>
      <c r="C144" t="str">
        <f>Sheet4!C122</f>
        <v>Địa ốc First Real</v>
      </c>
      <c r="D144" t="str">
        <f>Sheet4!D123</f>
        <v>HOSE</v>
      </c>
      <c r="E144" s="7">
        <f>Sheet4!AH123/1000000000</f>
        <v>1060.59106608</v>
      </c>
      <c r="F144" t="str">
        <f>Sheet4!E123</f>
        <v>Dược phẩm và Y tế</v>
      </c>
      <c r="G144" t="str">
        <f>Sheet4!F123</f>
        <v>Y tế</v>
      </c>
      <c r="H144" t="str">
        <f>Sheet4!G123</f>
        <v>Dược phẩm</v>
      </c>
      <c r="I144" s="9" t="str" cm="1">
        <f t="array" ref="I14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4" s="9" t="str" cm="1">
        <f t="array" ref="J14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4" s="10" cm="1">
        <f t="array" ref="K14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4" s="10" cm="1">
        <f t="array" ref="L14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4" s="9" t="str" cm="1">
        <f t="array" ref="M14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4" s="9" t="str" cm="1">
        <f t="array" ref="N14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4" s="10" cm="1">
        <f t="array" ref="O144">IFERROR(INDEX(Sheet4!$2:$1605,MATCH(ChiTietKQKD[[#This Row],[Mã CP]],Sheet4!$B$2:$B$1605,0),_xlfn.XMATCH("*Tăng trưởng lợi nhuận sau thuế (YoY) (Quý*",Sheet4!$1:$1,2)),"")</f>
        <v>0</v>
      </c>
      <c r="P144" s="10" cm="1">
        <f t="array" ref="P144">IFERROR(INDEX(Sheet4!$2:$1605,MATCH(ChiTietKQKD[[#This Row],[Mã CP]],Sheet4!$B$2:$B$1605,0),_xlfn.XMATCH("*Tăng trưởng lợi nhuận sau thuế (YoY) (6M)*",Sheet4!$1:$1,2)),"")</f>
        <v>0</v>
      </c>
      <c r="Q144" s="10" cm="1">
        <f t="array" ref="Q144">IFERROR(INDEX(Sheet4!$2:$1605,MATCH(ChiTietKQKD[[#This Row],[Mã CP]],Sheet4!$B$2:$B$1605,0),_xlfn.XMATCH("*Tăng trưởng doanh thu thuần (QoQ)*",Sheet4!$1:$1,2)),"")</f>
        <v>0</v>
      </c>
      <c r="R144" s="10" cm="1">
        <f t="array" ref="R144">IFERROR(INDEX(Sheet4!$2:$1605,MATCH(ChiTietKQKD[[#This Row],[Mã CP]],Sheet4!$B$2:$B$1605,0),_xlfn.XMATCH("*Tăng trưởng lợi nhuận sau thuế (QoQ)*",Sheet4!$1:$1,2)),"")</f>
        <v>0</v>
      </c>
    </row>
    <row r="145" spans="1:18" x14ac:dyDescent="0.25">
      <c r="A145" s="7">
        <f>Sheet4!A124</f>
        <v>123</v>
      </c>
      <c r="B145" t="str">
        <f>Sheet4!B124</f>
        <v>FMC</v>
      </c>
      <c r="C145" t="str">
        <f>Sheet4!C123</f>
        <v>Tập đoàn F.I.T</v>
      </c>
      <c r="D145" t="str">
        <f>Sheet4!D124</f>
        <v>HOSE</v>
      </c>
      <c r="E145" s="7">
        <f>Sheet4!AH124/1000000000</f>
        <v>2278.8027816499998</v>
      </c>
      <c r="F145" t="str">
        <f>Sheet4!E124</f>
        <v>Hàng Tiêu dùng</v>
      </c>
      <c r="G145" t="str">
        <f>Sheet4!F124</f>
        <v>Thực phẩm và đồ uống</v>
      </c>
      <c r="H145" t="str">
        <f>Sheet4!G124</f>
        <v>Nuôi trồng nông &amp; hải sản</v>
      </c>
      <c r="I145" s="9" cm="1">
        <f t="array" ref="I14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1674.5363763160001</v>
      </c>
      <c r="J145" s="9" cm="1">
        <f t="array" ref="J14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3066.0155899209999</v>
      </c>
      <c r="K145" s="10" cm="1">
        <f t="array" ref="K14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-0.1076</v>
      </c>
      <c r="L145" s="10" cm="1">
        <f t="array" ref="L14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-0.20530000000000001</v>
      </c>
      <c r="M145" s="9" cm="1">
        <f t="array" ref="M145">_xlfn.LET(_xlpm.val,IFERROR(INDEX(Sheet4!$2:$1605,MATCH(ChiTietKQKD[[#This Row],[Mã CP]],Sheet4!$B$2:$B$1605,0),_xlfn.XMATCH("*Lợi nhuận sau thuế*Q2*2026*",Sheet4!$1:$1,2)),0),IF(OR(_xlpm.val="",_xlpm.val=0),"",_xlpm.val/1000000000))</f>
        <v>154.820536385</v>
      </c>
      <c r="N145" s="9" cm="1">
        <f t="array" ref="N145">_xlfn.LET(_xlpm.val,IFERROR(INDEX(Sheet4!$2:$1605,MATCH(ChiTietKQKD[[#This Row],[Mã CP]],Sheet4!$B$2:$B$1605,0),_xlfn.XMATCH("*Lợi nhuận sau thuế*6 tháng*2026*",Sheet4!$1:$1,2)),0),IF(OR(_xlpm.val="",_xlpm.val=0),"",_xlpm.val/1000000000))</f>
        <v>195.68612016500001</v>
      </c>
      <c r="O145" s="10" cm="1">
        <f t="array" ref="O145">IFERROR(INDEX(Sheet4!$2:$1605,MATCH(ChiTietKQKD[[#This Row],[Mã CP]],Sheet4!$B$2:$B$1605,0),_xlfn.XMATCH("*Tăng trưởng lợi nhuận sau thuế (YoY) (Quý*",Sheet4!$1:$1,2)),"")</f>
        <v>0.92469999999999997</v>
      </c>
      <c r="P145" s="10" cm="1">
        <f t="array" ref="P145">IFERROR(INDEX(Sheet4!$2:$1605,MATCH(ChiTietKQKD[[#This Row],[Mã CP]],Sheet4!$B$2:$B$1605,0),_xlfn.XMATCH("*Tăng trưởng lợi nhuận sau thuế (YoY) (6M)*",Sheet4!$1:$1,2)),"")</f>
        <v>0.77790000000000004</v>
      </c>
      <c r="Q145" s="10" cm="1">
        <f t="array" ref="Q145">IFERROR(INDEX(Sheet4!$2:$1605,MATCH(ChiTietKQKD[[#This Row],[Mã CP]],Sheet4!$B$2:$B$1605,0),_xlfn.XMATCH("*Tăng trưởng doanh thu thuần (QoQ)*",Sheet4!$1:$1,2)),"")</f>
        <v>0.19739999999999999</v>
      </c>
      <c r="R145" s="10" cm="1">
        <f t="array" ref="R145">IFERROR(INDEX(Sheet4!$2:$1605,MATCH(ChiTietKQKD[[#This Row],[Mã CP]],Sheet4!$B$2:$B$1605,0),_xlfn.XMATCH("*Tăng trưởng lợi nhuận sau thuế (QoQ)*",Sheet4!$1:$1,2)),"")</f>
        <v>2.7898000000000001</v>
      </c>
    </row>
    <row r="146" spans="1:18" x14ac:dyDescent="0.25">
      <c r="A146" s="7">
        <f>Sheet4!A125</f>
        <v>124</v>
      </c>
      <c r="B146" t="str">
        <f>Sheet4!B125</f>
        <v>FPT</v>
      </c>
      <c r="C146" t="str">
        <f>Sheet4!C124</f>
        <v>Thực phẩm Sao Ta</v>
      </c>
      <c r="D146" t="str">
        <f>Sheet4!D125</f>
        <v>HOSE</v>
      </c>
      <c r="E146" s="7">
        <f>Sheet4!AH125/1000000000</f>
        <v>110745.4868612</v>
      </c>
      <c r="F146" t="str">
        <f>Sheet4!E125</f>
        <v>Công nghệ Thông tin</v>
      </c>
      <c r="G146" t="str">
        <f>Sheet4!F125</f>
        <v>Công nghệ Thông tin</v>
      </c>
      <c r="H146" t="str">
        <f>Sheet4!G125</f>
        <v>Phần mềm</v>
      </c>
      <c r="I146" s="9" t="str" cm="1">
        <f t="array" ref="I14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6" s="9" t="str" cm="1">
        <f t="array" ref="J14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6" s="10" cm="1">
        <f t="array" ref="K14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6" s="10" cm="1">
        <f t="array" ref="L14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6" s="9" t="str" cm="1">
        <f t="array" ref="M14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6" s="9" t="str" cm="1">
        <f t="array" ref="N14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6" s="10" cm="1">
        <f t="array" ref="O146">IFERROR(INDEX(Sheet4!$2:$1605,MATCH(ChiTietKQKD[[#This Row],[Mã CP]],Sheet4!$B$2:$B$1605,0),_xlfn.XMATCH("*Tăng trưởng lợi nhuận sau thuế (YoY) (Quý*",Sheet4!$1:$1,2)),"")</f>
        <v>0</v>
      </c>
      <c r="P146" s="10" cm="1">
        <f t="array" ref="P146">IFERROR(INDEX(Sheet4!$2:$1605,MATCH(ChiTietKQKD[[#This Row],[Mã CP]],Sheet4!$B$2:$B$1605,0),_xlfn.XMATCH("*Tăng trưởng lợi nhuận sau thuế (YoY) (6M)*",Sheet4!$1:$1,2)),"")</f>
        <v>0</v>
      </c>
      <c r="Q146" s="10" cm="1">
        <f t="array" ref="Q146">IFERROR(INDEX(Sheet4!$2:$1605,MATCH(ChiTietKQKD[[#This Row],[Mã CP]],Sheet4!$B$2:$B$1605,0),_xlfn.XMATCH("*Tăng trưởng doanh thu thuần (QoQ)*",Sheet4!$1:$1,2)),"")</f>
        <v>0</v>
      </c>
      <c r="R146" s="10" cm="1">
        <f t="array" ref="R146">IFERROR(INDEX(Sheet4!$2:$1605,MATCH(ChiTietKQKD[[#This Row],[Mã CP]],Sheet4!$B$2:$B$1605,0),_xlfn.XMATCH("*Tăng trưởng lợi nhuận sau thuế (QoQ)*",Sheet4!$1:$1,2)),"")</f>
        <v>0</v>
      </c>
    </row>
    <row r="147" spans="1:18" x14ac:dyDescent="0.25">
      <c r="A147" s="7">
        <f>Sheet4!A126</f>
        <v>125</v>
      </c>
      <c r="B147" t="str">
        <f>Sheet4!B126</f>
        <v>FRT</v>
      </c>
      <c r="C147" t="str">
        <f>Sheet4!C125</f>
        <v>FPT Corp</v>
      </c>
      <c r="D147" t="str">
        <f>Sheet4!D126</f>
        <v>HOSE</v>
      </c>
      <c r="E147" s="7">
        <f>Sheet4!AH126/1000000000</f>
        <v>18775.580669999999</v>
      </c>
      <c r="F147" t="str">
        <f>Sheet4!E126</f>
        <v>Dịch vụ Tiêu dùng</v>
      </c>
      <c r="G147" t="str">
        <f>Sheet4!F126</f>
        <v>Bán lẻ</v>
      </c>
      <c r="H147" t="str">
        <f>Sheet4!G126</f>
        <v>Phân phối hàng chuyên dụng</v>
      </c>
      <c r="I147" s="9" t="str" cm="1">
        <f t="array" ref="I14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7" s="9" t="str" cm="1">
        <f t="array" ref="J14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7" s="10" cm="1">
        <f t="array" ref="K14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7" s="10" cm="1">
        <f t="array" ref="L14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7" s="9" t="str" cm="1">
        <f t="array" ref="M14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7" s="9" t="str" cm="1">
        <f t="array" ref="N14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7" s="10" cm="1">
        <f t="array" ref="O147">IFERROR(INDEX(Sheet4!$2:$1605,MATCH(ChiTietKQKD[[#This Row],[Mã CP]],Sheet4!$B$2:$B$1605,0),_xlfn.XMATCH("*Tăng trưởng lợi nhuận sau thuế (YoY) (Quý*",Sheet4!$1:$1,2)),"")</f>
        <v>0</v>
      </c>
      <c r="P147" s="10" cm="1">
        <f t="array" ref="P147">IFERROR(INDEX(Sheet4!$2:$1605,MATCH(ChiTietKQKD[[#This Row],[Mã CP]],Sheet4!$B$2:$B$1605,0),_xlfn.XMATCH("*Tăng trưởng lợi nhuận sau thuế (YoY) (6M)*",Sheet4!$1:$1,2)),"")</f>
        <v>0</v>
      </c>
      <c r="Q147" s="10" cm="1">
        <f t="array" ref="Q147">IFERROR(INDEX(Sheet4!$2:$1605,MATCH(ChiTietKQKD[[#This Row],[Mã CP]],Sheet4!$B$2:$B$1605,0),_xlfn.XMATCH("*Tăng trưởng doanh thu thuần (QoQ)*",Sheet4!$1:$1,2)),"")</f>
        <v>0</v>
      </c>
      <c r="R147" s="10" cm="1">
        <f t="array" ref="R147">IFERROR(INDEX(Sheet4!$2:$1605,MATCH(ChiTietKQKD[[#This Row],[Mã CP]],Sheet4!$B$2:$B$1605,0),_xlfn.XMATCH("*Tăng trưởng lợi nhuận sau thuế (QoQ)*",Sheet4!$1:$1,2)),"")</f>
        <v>0</v>
      </c>
    </row>
    <row r="148" spans="1:18" x14ac:dyDescent="0.25">
      <c r="A148" s="7">
        <f>Sheet4!A127</f>
        <v>126</v>
      </c>
      <c r="B148" t="str">
        <f>Sheet4!B127</f>
        <v>FTS</v>
      </c>
      <c r="C148" t="str">
        <f>Sheet4!C126</f>
        <v>Bán lẻ FPT</v>
      </c>
      <c r="D148" t="str">
        <f>Sheet4!D127</f>
        <v>HOSE</v>
      </c>
      <c r="E148" s="7">
        <f>Sheet4!AH127/1000000000</f>
        <v>8652.0085249999993</v>
      </c>
      <c r="F148" t="str">
        <f>Sheet4!E127</f>
        <v>Tài chính</v>
      </c>
      <c r="G148" t="str">
        <f>Sheet4!F127</f>
        <v>Dịch vụ tài chính</v>
      </c>
      <c r="H148" t="str">
        <f>Sheet4!G127</f>
        <v>Môi giới chứng khoán</v>
      </c>
      <c r="I148" s="9" cm="1">
        <f t="array" ref="I14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309.46571017600002</v>
      </c>
      <c r="J148" s="9" cm="1">
        <f t="array" ref="J14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687.86427431200002</v>
      </c>
      <c r="K148" s="10" cm="1">
        <f t="array" ref="K14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0.29409999999999997</v>
      </c>
      <c r="L148" s="10" cm="1">
        <f t="array" ref="L14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0.24790000000000001</v>
      </c>
      <c r="M148" s="9" cm="1">
        <f t="array" ref="M148">_xlfn.LET(_xlpm.val,IFERROR(INDEX(Sheet4!$2:$1605,MATCH(ChiTietKQKD[[#This Row],[Mã CP]],Sheet4!$B$2:$B$1605,0),_xlfn.XMATCH("*Lợi nhuận sau thuế*Q2*2026*",Sheet4!$1:$1,2)),0),IF(OR(_xlpm.val="",_xlpm.val=0),"",_xlpm.val/1000000000))</f>
        <v>78.047349722999996</v>
      </c>
      <c r="N148" s="9" cm="1">
        <f t="array" ref="N148">_xlfn.LET(_xlpm.val,IFERROR(INDEX(Sheet4!$2:$1605,MATCH(ChiTietKQKD[[#This Row],[Mã CP]],Sheet4!$B$2:$B$1605,0),_xlfn.XMATCH("*Lợi nhuận sau thuế*6 tháng*2026*",Sheet4!$1:$1,2)),0),IF(OR(_xlpm.val="",_xlpm.val=0),"",_xlpm.val/1000000000))</f>
        <v>237.96240564199999</v>
      </c>
      <c r="O148" s="10" cm="1">
        <f t="array" ref="O148">IFERROR(INDEX(Sheet4!$2:$1605,MATCH(ChiTietKQKD[[#This Row],[Mã CP]],Sheet4!$B$2:$B$1605,0),_xlfn.XMATCH("*Tăng trưởng lợi nhuận sau thuế (YoY) (Quý*",Sheet4!$1:$1,2)),"")</f>
        <v>0.28760000000000002</v>
      </c>
      <c r="P148" s="10" cm="1">
        <f t="array" ref="P148">IFERROR(INDEX(Sheet4!$2:$1605,MATCH(ChiTietKQKD[[#This Row],[Mã CP]],Sheet4!$B$2:$B$1605,0),_xlfn.XMATCH("*Tăng trưởng lợi nhuận sau thuế (YoY) (6M)*",Sheet4!$1:$1,2)),"")</f>
        <v>0.11409999999999999</v>
      </c>
      <c r="Q148" s="10" cm="1">
        <f t="array" ref="Q148">IFERROR(INDEX(Sheet4!$2:$1605,MATCH(ChiTietKQKD[[#This Row],[Mã CP]],Sheet4!$B$2:$B$1605,0),_xlfn.XMATCH("*Tăng trưởng doanh thu thuần (QoQ)*",Sheet4!$1:$1,2)),"")</f>
        <v>-0.1822</v>
      </c>
      <c r="R148" s="10" cm="1">
        <f t="array" ref="R148">IFERROR(INDEX(Sheet4!$2:$1605,MATCH(ChiTietKQKD[[#This Row],[Mã CP]],Sheet4!$B$2:$B$1605,0),_xlfn.XMATCH("*Tăng trưởng lợi nhuận sau thuế (QoQ)*",Sheet4!$1:$1,2)),"")</f>
        <v>-0.51190000000000002</v>
      </c>
    </row>
    <row r="149" spans="1:18" x14ac:dyDescent="0.25">
      <c r="A149" s="7">
        <f>Sheet4!A128</f>
        <v>127</v>
      </c>
      <c r="B149" t="str">
        <f>Sheet4!B128</f>
        <v>FUCTVGF3</v>
      </c>
      <c r="C149" t="str">
        <f>Sheet4!C127</f>
        <v>Chứng khoán FPT</v>
      </c>
      <c r="D149" t="str">
        <f>Sheet4!D128</f>
        <v>HOSE</v>
      </c>
      <c r="E149" s="7">
        <f>Sheet4!AH128/1000000000</f>
        <v>290.55167999999998</v>
      </c>
      <c r="F149" t="str">
        <f>Sheet4!E128</f>
        <v>Tài chính</v>
      </c>
      <c r="G149" t="str">
        <f>Sheet4!F128</f>
        <v>Dịch vụ tài chính</v>
      </c>
      <c r="H149" t="str">
        <f>Sheet4!G128</f>
        <v>Quỹ đầu tư</v>
      </c>
      <c r="I149" s="9" t="str" cm="1">
        <f t="array" ref="I14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9" s="9" t="str" cm="1">
        <f t="array" ref="J14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9" s="10" cm="1">
        <f t="array" ref="K14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9" s="10" cm="1">
        <f t="array" ref="L14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9" s="9" t="str" cm="1">
        <f t="array" ref="M14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9" s="9" t="str" cm="1">
        <f t="array" ref="N14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9" s="10" cm="1">
        <f t="array" ref="O149">IFERROR(INDEX(Sheet4!$2:$1605,MATCH(ChiTietKQKD[[#This Row],[Mã CP]],Sheet4!$B$2:$B$1605,0),_xlfn.XMATCH("*Tăng trưởng lợi nhuận sau thuế (YoY) (Quý*",Sheet4!$1:$1,2)),"")</f>
        <v>0</v>
      </c>
      <c r="P149" s="10" cm="1">
        <f t="array" ref="P149">IFERROR(INDEX(Sheet4!$2:$1605,MATCH(ChiTietKQKD[[#This Row],[Mã CP]],Sheet4!$B$2:$B$1605,0),_xlfn.XMATCH("*Tăng trưởng lợi nhuận sau thuế (YoY) (6M)*",Sheet4!$1:$1,2)),"")</f>
        <v>0</v>
      </c>
      <c r="Q149" s="10" cm="1">
        <f t="array" ref="Q149">IFERROR(INDEX(Sheet4!$2:$1605,MATCH(ChiTietKQKD[[#This Row],[Mã CP]],Sheet4!$B$2:$B$1605,0),_xlfn.XMATCH("*Tăng trưởng doanh thu thuần (QoQ)*",Sheet4!$1:$1,2)),"")</f>
        <v>0</v>
      </c>
      <c r="R149" s="10" cm="1">
        <f t="array" ref="R149">IFERROR(INDEX(Sheet4!$2:$1605,MATCH(ChiTietKQKD[[#This Row],[Mã CP]],Sheet4!$B$2:$B$1605,0),_xlfn.XMATCH("*Tăng trưởng lợi nhuận sau thuế (QoQ)*",Sheet4!$1:$1,2)),"")</f>
        <v>0</v>
      </c>
    </row>
    <row r="150" spans="1:18" x14ac:dyDescent="0.25">
      <c r="A150" s="7">
        <f>Sheet4!A129</f>
        <v>128</v>
      </c>
      <c r="B150" t="str">
        <f>Sheet4!B129</f>
        <v>FUCTVGF4</v>
      </c>
      <c r="C150" t="str">
        <f>Sheet4!C128</f>
        <v>Quỹ Đầu tư Tăng trưởng Thiên Việt 3</v>
      </c>
      <c r="D150" t="str">
        <f>Sheet4!D129</f>
        <v>HOSE</v>
      </c>
      <c r="E150" s="7">
        <f>Sheet4!AH129/1000000000</f>
        <v>339.01400000000001</v>
      </c>
      <c r="F150" t="str">
        <f>Sheet4!E129</f>
        <v>Tài chính</v>
      </c>
      <c r="G150" t="str">
        <f>Sheet4!F129</f>
        <v>Dịch vụ tài chính</v>
      </c>
      <c r="H150" t="str">
        <f>Sheet4!G129</f>
        <v>Quỹ đầu tư</v>
      </c>
      <c r="I150" s="9" t="str" cm="1">
        <f t="array" ref="I15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0" s="9" t="str" cm="1">
        <f t="array" ref="J15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0" s="10" cm="1">
        <f t="array" ref="K15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0" s="10" cm="1">
        <f t="array" ref="L15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0" s="9" t="str" cm="1">
        <f t="array" ref="M15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0" s="9" t="str" cm="1">
        <f t="array" ref="N15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0" s="10" cm="1">
        <f t="array" ref="O150">IFERROR(INDEX(Sheet4!$2:$1605,MATCH(ChiTietKQKD[[#This Row],[Mã CP]],Sheet4!$B$2:$B$1605,0),_xlfn.XMATCH("*Tăng trưởng lợi nhuận sau thuế (YoY) (Quý*",Sheet4!$1:$1,2)),"")</f>
        <v>0</v>
      </c>
      <c r="P150" s="10" cm="1">
        <f t="array" ref="P150">IFERROR(INDEX(Sheet4!$2:$1605,MATCH(ChiTietKQKD[[#This Row],[Mã CP]],Sheet4!$B$2:$B$1605,0),_xlfn.XMATCH("*Tăng trưởng lợi nhuận sau thuế (YoY) (6M)*",Sheet4!$1:$1,2)),"")</f>
        <v>0</v>
      </c>
      <c r="Q150" s="10" cm="1">
        <f t="array" ref="Q150">IFERROR(INDEX(Sheet4!$2:$1605,MATCH(ChiTietKQKD[[#This Row],[Mã CP]],Sheet4!$B$2:$B$1605,0),_xlfn.XMATCH("*Tăng trưởng doanh thu thuần (QoQ)*",Sheet4!$1:$1,2)),"")</f>
        <v>0</v>
      </c>
      <c r="R150" s="10" cm="1">
        <f t="array" ref="R150">IFERROR(INDEX(Sheet4!$2:$1605,MATCH(ChiTietKQKD[[#This Row],[Mã CP]],Sheet4!$B$2:$B$1605,0),_xlfn.XMATCH("*Tăng trưởng lợi nhuận sau thuế (QoQ)*",Sheet4!$1:$1,2)),"")</f>
        <v>0</v>
      </c>
    </row>
    <row r="151" spans="1:18" x14ac:dyDescent="0.25">
      <c r="A151" s="7">
        <f>Sheet4!A130</f>
        <v>129</v>
      </c>
      <c r="B151" t="str">
        <f>Sheet4!B130</f>
        <v>FUCTVGF5</v>
      </c>
      <c r="C151" t="str">
        <f>Sheet4!C129</f>
        <v>Quỹ Đầu tư Tăng trưởng Thiên Việt 4</v>
      </c>
      <c r="D151" t="str">
        <f>Sheet4!D130</f>
        <v>HOSE</v>
      </c>
      <c r="E151" s="7">
        <f>Sheet4!AH130/1000000000</f>
        <v>221.184</v>
      </c>
      <c r="F151" t="str">
        <f>Sheet4!E130</f>
        <v>Tài chính</v>
      </c>
      <c r="G151" t="str">
        <f>Sheet4!F130</f>
        <v>Dịch vụ tài chính</v>
      </c>
      <c r="H151" t="str">
        <f>Sheet4!G130</f>
        <v>Quỹ đầu tư</v>
      </c>
      <c r="I151" s="9" t="str" cm="1">
        <f t="array" ref="I15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1" s="9" t="str" cm="1">
        <f t="array" ref="J15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1" s="10" cm="1">
        <f t="array" ref="K15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1" s="10" cm="1">
        <f t="array" ref="L15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1" s="9" t="str" cm="1">
        <f t="array" ref="M15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1" s="9" t="str" cm="1">
        <f t="array" ref="N15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1" s="10" cm="1">
        <f t="array" ref="O151">IFERROR(INDEX(Sheet4!$2:$1605,MATCH(ChiTietKQKD[[#This Row],[Mã CP]],Sheet4!$B$2:$B$1605,0),_xlfn.XMATCH("*Tăng trưởng lợi nhuận sau thuế (YoY) (Quý*",Sheet4!$1:$1,2)),"")</f>
        <v>0</v>
      </c>
      <c r="P151" s="10" cm="1">
        <f t="array" ref="P151">IFERROR(INDEX(Sheet4!$2:$1605,MATCH(ChiTietKQKD[[#This Row],[Mã CP]],Sheet4!$B$2:$B$1605,0),_xlfn.XMATCH("*Tăng trưởng lợi nhuận sau thuế (YoY) (6M)*",Sheet4!$1:$1,2)),"")</f>
        <v>0</v>
      </c>
      <c r="Q151" s="10" cm="1">
        <f t="array" ref="Q151">IFERROR(INDEX(Sheet4!$2:$1605,MATCH(ChiTietKQKD[[#This Row],[Mã CP]],Sheet4!$B$2:$B$1605,0),_xlfn.XMATCH("*Tăng trưởng doanh thu thuần (QoQ)*",Sheet4!$1:$1,2)),"")</f>
        <v>0</v>
      </c>
      <c r="R151" s="10" cm="1">
        <f t="array" ref="R151">IFERROR(INDEX(Sheet4!$2:$1605,MATCH(ChiTietKQKD[[#This Row],[Mã CP]],Sheet4!$B$2:$B$1605,0),_xlfn.XMATCH("*Tăng trưởng lợi nhuận sau thuế (QoQ)*",Sheet4!$1:$1,2)),"")</f>
        <v>0</v>
      </c>
    </row>
    <row r="152" spans="1:18" x14ac:dyDescent="0.25">
      <c r="A152" s="7">
        <f>Sheet4!A131</f>
        <v>130</v>
      </c>
      <c r="B152" t="str">
        <f>Sheet4!B131</f>
        <v>FUCVREIT</v>
      </c>
      <c r="C152" t="str">
        <f>Sheet4!C130</f>
        <v>Quỹ Đầu tư Tăng trưởng Thiên Việt 5</v>
      </c>
      <c r="D152" t="str">
        <f>Sheet4!D131</f>
        <v>HOSE</v>
      </c>
      <c r="E152" s="7">
        <f>Sheet4!AH131/1000000000</f>
        <v>35.549999999999997</v>
      </c>
      <c r="F152" t="str">
        <f>Sheet4!E131</f>
        <v>Tài chính</v>
      </c>
      <c r="G152" t="str">
        <f>Sheet4!F131</f>
        <v>Dịch vụ tài chính</v>
      </c>
      <c r="H152" t="str">
        <f>Sheet4!G131</f>
        <v>Quỹ đầu tư</v>
      </c>
      <c r="I152" s="9" t="str" cm="1">
        <f t="array" ref="I15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2" s="9" t="str" cm="1">
        <f t="array" ref="J15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2" s="10" cm="1">
        <f t="array" ref="K15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2" s="10" cm="1">
        <f t="array" ref="L15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2" s="9" t="str" cm="1">
        <f t="array" ref="M15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2" s="9" t="str" cm="1">
        <f t="array" ref="N15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2" s="10" cm="1">
        <f t="array" ref="O152">IFERROR(INDEX(Sheet4!$2:$1605,MATCH(ChiTietKQKD[[#This Row],[Mã CP]],Sheet4!$B$2:$B$1605,0),_xlfn.XMATCH("*Tăng trưởng lợi nhuận sau thuế (YoY) (Quý*",Sheet4!$1:$1,2)),"")</f>
        <v>0</v>
      </c>
      <c r="P152" s="10" cm="1">
        <f t="array" ref="P152">IFERROR(INDEX(Sheet4!$2:$1605,MATCH(ChiTietKQKD[[#This Row],[Mã CP]],Sheet4!$B$2:$B$1605,0),_xlfn.XMATCH("*Tăng trưởng lợi nhuận sau thuế (YoY) (6M)*",Sheet4!$1:$1,2)),"")</f>
        <v>0</v>
      </c>
      <c r="Q152" s="10" cm="1">
        <f t="array" ref="Q152">IFERROR(INDEX(Sheet4!$2:$1605,MATCH(ChiTietKQKD[[#This Row],[Mã CP]],Sheet4!$B$2:$B$1605,0),_xlfn.XMATCH("*Tăng trưởng doanh thu thuần (QoQ)*",Sheet4!$1:$1,2)),"")</f>
        <v>0</v>
      </c>
      <c r="R152" s="10" cm="1">
        <f t="array" ref="R152">IFERROR(INDEX(Sheet4!$2:$1605,MATCH(ChiTietKQKD[[#This Row],[Mã CP]],Sheet4!$B$2:$B$1605,0),_xlfn.XMATCH("*Tăng trưởng lợi nhuận sau thuế (QoQ)*",Sheet4!$1:$1,2)),"")</f>
        <v>0</v>
      </c>
    </row>
    <row r="153" spans="1:18" x14ac:dyDescent="0.25">
      <c r="A153" s="7">
        <f>Sheet4!A132</f>
        <v>131</v>
      </c>
      <c r="B153" t="str">
        <f>Sheet4!B132</f>
        <v>FUEABVND</v>
      </c>
      <c r="C153" t="str">
        <f>Sheet4!C131</f>
        <v>Quỹ Đầu tư BĐS Techcom Việt Nam</v>
      </c>
      <c r="D153" t="str">
        <f>Sheet4!D132</f>
        <v>HOSE</v>
      </c>
      <c r="E153" s="7">
        <f>Sheet4!AH132/1000000000</f>
        <v>41.34</v>
      </c>
      <c r="F153" t="str">
        <f>Sheet4!E132</f>
        <v>Tài chính</v>
      </c>
      <c r="G153" t="str">
        <f>Sheet4!F132</f>
        <v>Dịch vụ tài chính</v>
      </c>
      <c r="H153" t="str">
        <f>Sheet4!G132</f>
        <v>Quỹ đầu tư</v>
      </c>
      <c r="I153" s="9" t="str" cm="1">
        <f t="array" ref="I15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3" s="9" t="str" cm="1">
        <f t="array" ref="J15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3" s="10" cm="1">
        <f t="array" ref="K15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3" s="10" cm="1">
        <f t="array" ref="L15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3" s="9" t="str" cm="1">
        <f t="array" ref="M15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3" s="9" t="str" cm="1">
        <f t="array" ref="N15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3" s="10" cm="1">
        <f t="array" ref="O153">IFERROR(INDEX(Sheet4!$2:$1605,MATCH(ChiTietKQKD[[#This Row],[Mã CP]],Sheet4!$B$2:$B$1605,0),_xlfn.XMATCH("*Tăng trưởng lợi nhuận sau thuế (YoY) (Quý*",Sheet4!$1:$1,2)),"")</f>
        <v>0</v>
      </c>
      <c r="P153" s="10" cm="1">
        <f t="array" ref="P153">IFERROR(INDEX(Sheet4!$2:$1605,MATCH(ChiTietKQKD[[#This Row],[Mã CP]],Sheet4!$B$2:$B$1605,0),_xlfn.XMATCH("*Tăng trưởng lợi nhuận sau thuế (YoY) (6M)*",Sheet4!$1:$1,2)),"")</f>
        <v>0</v>
      </c>
      <c r="Q153" s="10" cm="1">
        <f t="array" ref="Q153">IFERROR(INDEX(Sheet4!$2:$1605,MATCH(ChiTietKQKD[[#This Row],[Mã CP]],Sheet4!$B$2:$B$1605,0),_xlfn.XMATCH("*Tăng trưởng doanh thu thuần (QoQ)*",Sheet4!$1:$1,2)),"")</f>
        <v>0</v>
      </c>
      <c r="R153" s="10" cm="1">
        <f t="array" ref="R153">IFERROR(INDEX(Sheet4!$2:$1605,MATCH(ChiTietKQKD[[#This Row],[Mã CP]],Sheet4!$B$2:$B$1605,0),_xlfn.XMATCH("*Tăng trưởng lợi nhuận sau thuế (QoQ)*",Sheet4!$1:$1,2)),"")</f>
        <v>0</v>
      </c>
    </row>
    <row r="154" spans="1:18" x14ac:dyDescent="0.25">
      <c r="A154" s="7">
        <f>Sheet4!A133</f>
        <v>132</v>
      </c>
      <c r="B154" t="str">
        <f>Sheet4!B133</f>
        <v>FUEBFVND</v>
      </c>
      <c r="C154" t="str">
        <f>Sheet4!C132</f>
        <v>Quỹ ETF ABFVN DIAMOND</v>
      </c>
      <c r="D154" t="str">
        <f>Sheet4!D133</f>
        <v>HOSE</v>
      </c>
      <c r="E154" s="7">
        <f>Sheet4!AH133/1000000000</f>
        <v>46.286999999999999</v>
      </c>
      <c r="F154" t="str">
        <f>Sheet4!E133</f>
        <v>Tài chính</v>
      </c>
      <c r="G154" t="str">
        <f>Sheet4!F133</f>
        <v>Dịch vụ tài chính</v>
      </c>
      <c r="H154" t="str">
        <f>Sheet4!G133</f>
        <v>Quỹ đầu tư</v>
      </c>
      <c r="I154" s="9" t="str" cm="1">
        <f t="array" ref="I15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4" s="9" t="str" cm="1">
        <f t="array" ref="J15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4" s="10" cm="1">
        <f t="array" ref="K15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4" s="10" cm="1">
        <f t="array" ref="L15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4" s="9" t="str" cm="1">
        <f t="array" ref="M15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4" s="9" t="str" cm="1">
        <f t="array" ref="N15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4" s="10" cm="1">
        <f t="array" ref="O154">IFERROR(INDEX(Sheet4!$2:$1605,MATCH(ChiTietKQKD[[#This Row],[Mã CP]],Sheet4!$B$2:$B$1605,0),_xlfn.XMATCH("*Tăng trưởng lợi nhuận sau thuế (YoY) (Quý*",Sheet4!$1:$1,2)),"")</f>
        <v>0</v>
      </c>
      <c r="P154" s="10" cm="1">
        <f t="array" ref="P154">IFERROR(INDEX(Sheet4!$2:$1605,MATCH(ChiTietKQKD[[#This Row],[Mã CP]],Sheet4!$B$2:$B$1605,0),_xlfn.XMATCH("*Tăng trưởng lợi nhuận sau thuế (YoY) (6M)*",Sheet4!$1:$1,2)),"")</f>
        <v>0</v>
      </c>
      <c r="Q154" s="10" cm="1">
        <f t="array" ref="Q154">IFERROR(INDEX(Sheet4!$2:$1605,MATCH(ChiTietKQKD[[#This Row],[Mã CP]],Sheet4!$B$2:$B$1605,0),_xlfn.XMATCH("*Tăng trưởng doanh thu thuần (QoQ)*",Sheet4!$1:$1,2)),"")</f>
        <v>0</v>
      </c>
      <c r="R154" s="10" cm="1">
        <f t="array" ref="R154">IFERROR(INDEX(Sheet4!$2:$1605,MATCH(ChiTietKQKD[[#This Row],[Mã CP]],Sheet4!$B$2:$B$1605,0),_xlfn.XMATCH("*Tăng trưởng lợi nhuận sau thuế (QoQ)*",Sheet4!$1:$1,2)),"")</f>
        <v>0</v>
      </c>
    </row>
    <row r="155" spans="1:18" x14ac:dyDescent="0.25">
      <c r="A155" s="7">
        <f>Sheet4!A134</f>
        <v>133</v>
      </c>
      <c r="B155" t="str">
        <f>Sheet4!B134</f>
        <v>FUEDCMID</v>
      </c>
      <c r="C155" t="str">
        <f>Sheet4!C133</f>
        <v>Quỹ ETF BVFVN DIAMOND</v>
      </c>
      <c r="D155" t="str">
        <f>Sheet4!D134</f>
        <v>HOSE</v>
      </c>
      <c r="E155" s="7">
        <f>Sheet4!AH134/1000000000</f>
        <v>284.82</v>
      </c>
      <c r="F155" t="str">
        <f>Sheet4!E134</f>
        <v>Tài chính</v>
      </c>
      <c r="G155" t="str">
        <f>Sheet4!F134</f>
        <v>Dịch vụ tài chính</v>
      </c>
      <c r="H155" t="str">
        <f>Sheet4!G134</f>
        <v>Quỹ đầu tư</v>
      </c>
      <c r="I155" s="9" t="str" cm="1">
        <f t="array" ref="I15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5" s="9" t="str" cm="1">
        <f t="array" ref="J15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5" s="10" cm="1">
        <f t="array" ref="K15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5" s="10" cm="1">
        <f t="array" ref="L15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5" s="9" t="str" cm="1">
        <f t="array" ref="M15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5" s="9" t="str" cm="1">
        <f t="array" ref="N15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5" s="10" cm="1">
        <f t="array" ref="O155">IFERROR(INDEX(Sheet4!$2:$1605,MATCH(ChiTietKQKD[[#This Row],[Mã CP]],Sheet4!$B$2:$B$1605,0),_xlfn.XMATCH("*Tăng trưởng lợi nhuận sau thuế (YoY) (Quý*",Sheet4!$1:$1,2)),"")</f>
        <v>0</v>
      </c>
      <c r="P155" s="10" cm="1">
        <f t="array" ref="P155">IFERROR(INDEX(Sheet4!$2:$1605,MATCH(ChiTietKQKD[[#This Row],[Mã CP]],Sheet4!$B$2:$B$1605,0),_xlfn.XMATCH("*Tăng trưởng lợi nhuận sau thuế (YoY) (6M)*",Sheet4!$1:$1,2)),"")</f>
        <v>0</v>
      </c>
      <c r="Q155" s="10" cm="1">
        <f t="array" ref="Q155">IFERROR(INDEX(Sheet4!$2:$1605,MATCH(ChiTietKQKD[[#This Row],[Mã CP]],Sheet4!$B$2:$B$1605,0),_xlfn.XMATCH("*Tăng trưởng doanh thu thuần (QoQ)*",Sheet4!$1:$1,2)),"")</f>
        <v>0</v>
      </c>
      <c r="R155" s="10" cm="1">
        <f t="array" ref="R155">IFERROR(INDEX(Sheet4!$2:$1605,MATCH(ChiTietKQKD[[#This Row],[Mã CP]],Sheet4!$B$2:$B$1605,0),_xlfn.XMATCH("*Tăng trưởng lợi nhuận sau thuế (QoQ)*",Sheet4!$1:$1,2)),"")</f>
        <v>0</v>
      </c>
    </row>
    <row r="156" spans="1:18" x14ac:dyDescent="0.25">
      <c r="A156" s="7">
        <f>Sheet4!A135</f>
        <v>134</v>
      </c>
      <c r="B156" t="str">
        <f>Sheet4!B135</f>
        <v>FUEFCV50</v>
      </c>
      <c r="C156" t="str">
        <f>Sheet4!C134</f>
        <v>Quỹ ETF DCVFMVNMIDCAP</v>
      </c>
      <c r="D156" t="str">
        <f>Sheet4!D135</f>
        <v>HOSE</v>
      </c>
      <c r="E156" s="7">
        <f>Sheet4!AH135/1000000000</f>
        <v>64.671999999999997</v>
      </c>
      <c r="F156" t="str">
        <f>Sheet4!E135</f>
        <v>Tài chính</v>
      </c>
      <c r="G156" t="str">
        <f>Sheet4!F135</f>
        <v>Dịch vụ tài chính</v>
      </c>
      <c r="H156" t="str">
        <f>Sheet4!G135</f>
        <v>Quỹ đầu tư</v>
      </c>
      <c r="I156" s="9" t="str" cm="1">
        <f t="array" ref="I15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6" s="9" t="str" cm="1">
        <f t="array" ref="J15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6" s="10" cm="1">
        <f t="array" ref="K15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6" s="10" cm="1">
        <f t="array" ref="L15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6" s="9" t="str" cm="1">
        <f t="array" ref="M15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6" s="9" t="str" cm="1">
        <f t="array" ref="N15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6" s="10" cm="1">
        <f t="array" ref="O156">IFERROR(INDEX(Sheet4!$2:$1605,MATCH(ChiTietKQKD[[#This Row],[Mã CP]],Sheet4!$B$2:$B$1605,0),_xlfn.XMATCH("*Tăng trưởng lợi nhuận sau thuế (YoY) (Quý*",Sheet4!$1:$1,2)),"")</f>
        <v>0</v>
      </c>
      <c r="P156" s="10" cm="1">
        <f t="array" ref="P156">IFERROR(INDEX(Sheet4!$2:$1605,MATCH(ChiTietKQKD[[#This Row],[Mã CP]],Sheet4!$B$2:$B$1605,0),_xlfn.XMATCH("*Tăng trưởng lợi nhuận sau thuế (YoY) (6M)*",Sheet4!$1:$1,2)),"")</f>
        <v>0</v>
      </c>
      <c r="Q156" s="10" cm="1">
        <f t="array" ref="Q156">IFERROR(INDEX(Sheet4!$2:$1605,MATCH(ChiTietKQKD[[#This Row],[Mã CP]],Sheet4!$B$2:$B$1605,0),_xlfn.XMATCH("*Tăng trưởng doanh thu thuần (QoQ)*",Sheet4!$1:$1,2)),"")</f>
        <v>0</v>
      </c>
      <c r="R156" s="10" cm="1">
        <f t="array" ref="R156">IFERROR(INDEX(Sheet4!$2:$1605,MATCH(ChiTietKQKD[[#This Row],[Mã CP]],Sheet4!$B$2:$B$1605,0),_xlfn.XMATCH("*Tăng trưởng lợi nhuận sau thuế (QoQ)*",Sheet4!$1:$1,2)),"")</f>
        <v>0</v>
      </c>
    </row>
    <row r="157" spans="1:18" x14ac:dyDescent="0.25">
      <c r="A157" s="7">
        <f>Sheet4!A136</f>
        <v>135</v>
      </c>
      <c r="B157" t="str">
        <f>Sheet4!B136</f>
        <v>FUEIP100</v>
      </c>
      <c r="C157" t="str">
        <f>Sheet4!C135</f>
        <v>Quỹ ETF FPT CAPITAL VNX50</v>
      </c>
      <c r="D157" t="str">
        <f>Sheet4!D136</f>
        <v>HOSE</v>
      </c>
      <c r="E157" s="7">
        <f>Sheet4!AH136/1000000000</f>
        <v>66.900000000000006</v>
      </c>
      <c r="F157" t="str">
        <f>Sheet4!E136</f>
        <v>Tài chính</v>
      </c>
      <c r="G157" t="str">
        <f>Sheet4!F136</f>
        <v>Dịch vụ tài chính</v>
      </c>
      <c r="H157" t="str">
        <f>Sheet4!G136</f>
        <v>Quỹ đầu tư</v>
      </c>
      <c r="I157" s="9" t="str" cm="1">
        <f t="array" ref="I15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7" s="9" t="str" cm="1">
        <f t="array" ref="J15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7" s="10" cm="1">
        <f t="array" ref="K15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7" s="10" cm="1">
        <f t="array" ref="L15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7" s="9" t="str" cm="1">
        <f t="array" ref="M15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7" s="9" t="str" cm="1">
        <f t="array" ref="N15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7" s="10" cm="1">
        <f t="array" ref="O157">IFERROR(INDEX(Sheet4!$2:$1605,MATCH(ChiTietKQKD[[#This Row],[Mã CP]],Sheet4!$B$2:$B$1605,0),_xlfn.XMATCH("*Tăng trưởng lợi nhuận sau thuế (YoY) (Quý*",Sheet4!$1:$1,2)),"")</f>
        <v>0</v>
      </c>
      <c r="P157" s="10" cm="1">
        <f t="array" ref="P157">IFERROR(INDEX(Sheet4!$2:$1605,MATCH(ChiTietKQKD[[#This Row],[Mã CP]],Sheet4!$B$2:$B$1605,0),_xlfn.XMATCH("*Tăng trưởng lợi nhuận sau thuế (YoY) (6M)*",Sheet4!$1:$1,2)),"")</f>
        <v>0</v>
      </c>
      <c r="Q157" s="10" cm="1">
        <f t="array" ref="Q157">IFERROR(INDEX(Sheet4!$2:$1605,MATCH(ChiTietKQKD[[#This Row],[Mã CP]],Sheet4!$B$2:$B$1605,0),_xlfn.XMATCH("*Tăng trưởng doanh thu thuần (QoQ)*",Sheet4!$1:$1,2)),"")</f>
        <v>0</v>
      </c>
      <c r="R157" s="10" cm="1">
        <f t="array" ref="R157">IFERROR(INDEX(Sheet4!$2:$1605,MATCH(ChiTietKQKD[[#This Row],[Mã CP]],Sheet4!$B$2:$B$1605,0),_xlfn.XMATCH("*Tăng trưởng lợi nhuận sau thuế (QoQ)*",Sheet4!$1:$1,2)),"")</f>
        <v>0</v>
      </c>
    </row>
    <row r="158" spans="1:18" x14ac:dyDescent="0.25">
      <c r="A158" s="7">
        <f>Sheet4!A137</f>
        <v>136</v>
      </c>
      <c r="B158" t="str">
        <f>Sheet4!B137</f>
        <v>FUEKIV30</v>
      </c>
      <c r="C158" t="str">
        <f>Sheet4!C136</f>
        <v>Quỹ ETF IPA PARTNER VN100</v>
      </c>
      <c r="D158" t="str">
        <f>Sheet4!D137</f>
        <v>HOSE</v>
      </c>
      <c r="E158" s="7">
        <f>Sheet4!AH137/1000000000</f>
        <v>2341.7910000000002</v>
      </c>
      <c r="F158" t="str">
        <f>Sheet4!E137</f>
        <v>Tài chính</v>
      </c>
      <c r="G158" t="str">
        <f>Sheet4!F137</f>
        <v>Dịch vụ tài chính</v>
      </c>
      <c r="H158" t="str">
        <f>Sheet4!G137</f>
        <v>Quỹ đầu tư</v>
      </c>
      <c r="I158" s="9" t="str" cm="1">
        <f t="array" ref="I15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8" s="9" t="str" cm="1">
        <f t="array" ref="J15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8" s="10" cm="1">
        <f t="array" ref="K15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8" s="10" cm="1">
        <f t="array" ref="L15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8" s="9" t="str" cm="1">
        <f t="array" ref="M15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8" s="9" t="str" cm="1">
        <f t="array" ref="N15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8" s="10" cm="1">
        <f t="array" ref="O158">IFERROR(INDEX(Sheet4!$2:$1605,MATCH(ChiTietKQKD[[#This Row],[Mã CP]],Sheet4!$B$2:$B$1605,0),_xlfn.XMATCH("*Tăng trưởng lợi nhuận sau thuế (YoY) (Quý*",Sheet4!$1:$1,2)),"")</f>
        <v>0</v>
      </c>
      <c r="P158" s="10" cm="1">
        <f t="array" ref="P158">IFERROR(INDEX(Sheet4!$2:$1605,MATCH(ChiTietKQKD[[#This Row],[Mã CP]],Sheet4!$B$2:$B$1605,0),_xlfn.XMATCH("*Tăng trưởng lợi nhuận sau thuế (YoY) (6M)*",Sheet4!$1:$1,2)),"")</f>
        <v>0</v>
      </c>
      <c r="Q158" s="10" cm="1">
        <f t="array" ref="Q158">IFERROR(INDEX(Sheet4!$2:$1605,MATCH(ChiTietKQKD[[#This Row],[Mã CP]],Sheet4!$B$2:$B$1605,0),_xlfn.XMATCH("*Tăng trưởng doanh thu thuần (QoQ)*",Sheet4!$1:$1,2)),"")</f>
        <v>0</v>
      </c>
      <c r="R158" s="10" cm="1">
        <f t="array" ref="R158">IFERROR(INDEX(Sheet4!$2:$1605,MATCH(ChiTietKQKD[[#This Row],[Mã CP]],Sheet4!$B$2:$B$1605,0),_xlfn.XMATCH("*Tăng trưởng lợi nhuận sau thuế (QoQ)*",Sheet4!$1:$1,2)),"")</f>
        <v>0</v>
      </c>
    </row>
    <row r="159" spans="1:18" x14ac:dyDescent="0.25">
      <c r="A159" s="7">
        <f>Sheet4!A138</f>
        <v>137</v>
      </c>
      <c r="B159" t="str">
        <f>Sheet4!B138</f>
        <v>FUEKIVFS</v>
      </c>
      <c r="C159" t="str">
        <f>Sheet4!C137</f>
        <v>KIM GROWTH VN30 ETF</v>
      </c>
      <c r="D159" t="str">
        <f>Sheet4!D138</f>
        <v>HOSE</v>
      </c>
      <c r="E159" s="7">
        <f>Sheet4!AH138/1000000000</f>
        <v>258.20999999999998</v>
      </c>
      <c r="F159" t="str">
        <f>Sheet4!E138</f>
        <v>Tài chính</v>
      </c>
      <c r="G159" t="str">
        <f>Sheet4!F138</f>
        <v>Dịch vụ tài chính</v>
      </c>
      <c r="H159" t="str">
        <f>Sheet4!G138</f>
        <v>Quỹ đầu tư</v>
      </c>
      <c r="I159" s="9" t="str" cm="1">
        <f t="array" ref="I15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9" s="9" t="str" cm="1">
        <f t="array" ref="J15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9" s="10" cm="1">
        <f t="array" ref="K15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9" s="10" cm="1">
        <f t="array" ref="L15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9" s="9" t="str" cm="1">
        <f t="array" ref="M15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9" s="9" t="str" cm="1">
        <f t="array" ref="N15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9" s="10" cm="1">
        <f t="array" ref="O159">IFERROR(INDEX(Sheet4!$2:$1605,MATCH(ChiTietKQKD[[#This Row],[Mã CP]],Sheet4!$B$2:$B$1605,0),_xlfn.XMATCH("*Tăng trưởng lợi nhuận sau thuế (YoY) (Quý*",Sheet4!$1:$1,2)),"")</f>
        <v>0</v>
      </c>
      <c r="P159" s="10" cm="1">
        <f t="array" ref="P159">IFERROR(INDEX(Sheet4!$2:$1605,MATCH(ChiTietKQKD[[#This Row],[Mã CP]],Sheet4!$B$2:$B$1605,0),_xlfn.XMATCH("*Tăng trưởng lợi nhuận sau thuế (YoY) (6M)*",Sheet4!$1:$1,2)),"")</f>
        <v>0</v>
      </c>
      <c r="Q159" s="10" cm="1">
        <f t="array" ref="Q159">IFERROR(INDEX(Sheet4!$2:$1605,MATCH(ChiTietKQKD[[#This Row],[Mã CP]],Sheet4!$B$2:$B$1605,0),_xlfn.XMATCH("*Tăng trưởng doanh thu thuần (QoQ)*",Sheet4!$1:$1,2)),"")</f>
        <v>0</v>
      </c>
      <c r="R159" s="10" cm="1">
        <f t="array" ref="R159">IFERROR(INDEX(Sheet4!$2:$1605,MATCH(ChiTietKQKD[[#This Row],[Mã CP]],Sheet4!$B$2:$B$1605,0),_xlfn.XMATCH("*Tăng trưởng lợi nhuận sau thuế (QoQ)*",Sheet4!$1:$1,2)),"")</f>
        <v>0</v>
      </c>
    </row>
    <row r="160" spans="1:18" x14ac:dyDescent="0.25">
      <c r="A160" s="7">
        <f>Sheet4!A139</f>
        <v>138</v>
      </c>
      <c r="B160" t="str">
        <f>Sheet4!B139</f>
        <v>FUEKIVND</v>
      </c>
      <c r="C160" t="str">
        <f>Sheet4!C138</f>
        <v>KIM GROWTH VNFINSELECT ETF</v>
      </c>
      <c r="D160" t="str">
        <f>Sheet4!D139</f>
        <v>HOSE</v>
      </c>
      <c r="E160" s="7">
        <f>Sheet4!AH139/1000000000</f>
        <v>66.528000000000006</v>
      </c>
      <c r="F160" t="str">
        <f>Sheet4!E139</f>
        <v>Tài chính</v>
      </c>
      <c r="G160" t="str">
        <f>Sheet4!F139</f>
        <v>Dịch vụ tài chính</v>
      </c>
      <c r="H160" t="str">
        <f>Sheet4!G139</f>
        <v>Quỹ đầu tư</v>
      </c>
      <c r="I160" s="9" t="str" cm="1">
        <f t="array" ref="I16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0" s="9" t="str" cm="1">
        <f t="array" ref="J16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0" s="10" cm="1">
        <f t="array" ref="K16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0" s="10" cm="1">
        <f t="array" ref="L16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0" s="9" t="str" cm="1">
        <f t="array" ref="M16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0" s="9" t="str" cm="1">
        <f t="array" ref="N16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0" s="10" cm="1">
        <f t="array" ref="O160">IFERROR(INDEX(Sheet4!$2:$1605,MATCH(ChiTietKQKD[[#This Row],[Mã CP]],Sheet4!$B$2:$B$1605,0),_xlfn.XMATCH("*Tăng trưởng lợi nhuận sau thuế (YoY) (Quý*",Sheet4!$1:$1,2)),"")</f>
        <v>0</v>
      </c>
      <c r="P160" s="10" cm="1">
        <f t="array" ref="P160">IFERROR(INDEX(Sheet4!$2:$1605,MATCH(ChiTietKQKD[[#This Row],[Mã CP]],Sheet4!$B$2:$B$1605,0),_xlfn.XMATCH("*Tăng trưởng lợi nhuận sau thuế (YoY) (6M)*",Sheet4!$1:$1,2)),"")</f>
        <v>0</v>
      </c>
      <c r="Q160" s="10" cm="1">
        <f t="array" ref="Q160">IFERROR(INDEX(Sheet4!$2:$1605,MATCH(ChiTietKQKD[[#This Row],[Mã CP]],Sheet4!$B$2:$B$1605,0),_xlfn.XMATCH("*Tăng trưởng doanh thu thuần (QoQ)*",Sheet4!$1:$1,2)),"")</f>
        <v>0</v>
      </c>
      <c r="R160" s="10" cm="1">
        <f t="array" ref="R160">IFERROR(INDEX(Sheet4!$2:$1605,MATCH(ChiTietKQKD[[#This Row],[Mã CP]],Sheet4!$B$2:$B$1605,0),_xlfn.XMATCH("*Tăng trưởng lợi nhuận sau thuế (QoQ)*",Sheet4!$1:$1,2)),"")</f>
        <v>0</v>
      </c>
    </row>
    <row r="161" spans="1:18" x14ac:dyDescent="0.25">
      <c r="A161" s="7">
        <f>Sheet4!A140</f>
        <v>139</v>
      </c>
      <c r="B161" t="str">
        <f>Sheet4!B140</f>
        <v>FUEMAV30</v>
      </c>
      <c r="C161" t="str">
        <f>Sheet4!C139</f>
        <v>Quỹ ETF KIM GROWTH VN DIAMOND</v>
      </c>
      <c r="D161" t="str">
        <f>Sheet4!D140</f>
        <v>HOSE</v>
      </c>
      <c r="E161" s="7">
        <f>Sheet4!AH140/1000000000</f>
        <v>583.96</v>
      </c>
      <c r="F161" t="str">
        <f>Sheet4!E140</f>
        <v>Tài chính</v>
      </c>
      <c r="G161" t="str">
        <f>Sheet4!F140</f>
        <v>Dịch vụ tài chính</v>
      </c>
      <c r="H161" t="str">
        <f>Sheet4!G140</f>
        <v>Quỹ đầu tư</v>
      </c>
      <c r="I161" s="9" t="str" cm="1">
        <f t="array" ref="I16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1" s="9" t="str" cm="1">
        <f t="array" ref="J16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1" s="10" cm="1">
        <f t="array" ref="K16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1" s="10" cm="1">
        <f t="array" ref="L16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1" s="9" t="str" cm="1">
        <f t="array" ref="M16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1" s="9" t="str" cm="1">
        <f t="array" ref="N16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1" s="10" cm="1">
        <f t="array" ref="O161">IFERROR(INDEX(Sheet4!$2:$1605,MATCH(ChiTietKQKD[[#This Row],[Mã CP]],Sheet4!$B$2:$B$1605,0),_xlfn.XMATCH("*Tăng trưởng lợi nhuận sau thuế (YoY) (Quý*",Sheet4!$1:$1,2)),"")</f>
        <v>0</v>
      </c>
      <c r="P161" s="10" cm="1">
        <f t="array" ref="P161">IFERROR(INDEX(Sheet4!$2:$1605,MATCH(ChiTietKQKD[[#This Row],[Mã CP]],Sheet4!$B$2:$B$1605,0),_xlfn.XMATCH("*Tăng trưởng lợi nhuận sau thuế (YoY) (6M)*",Sheet4!$1:$1,2)),"")</f>
        <v>0</v>
      </c>
      <c r="Q161" s="10" cm="1">
        <f t="array" ref="Q161">IFERROR(INDEX(Sheet4!$2:$1605,MATCH(ChiTietKQKD[[#This Row],[Mã CP]],Sheet4!$B$2:$B$1605,0),_xlfn.XMATCH("*Tăng trưởng doanh thu thuần (QoQ)*",Sheet4!$1:$1,2)),"")</f>
        <v>0</v>
      </c>
      <c r="R161" s="10" cm="1">
        <f t="array" ref="R161">IFERROR(INDEX(Sheet4!$2:$1605,MATCH(ChiTietKQKD[[#This Row],[Mã CP]],Sheet4!$B$2:$B$1605,0),_xlfn.XMATCH("*Tăng trưởng lợi nhuận sau thuế (QoQ)*",Sheet4!$1:$1,2)),"")</f>
        <v>0</v>
      </c>
    </row>
    <row r="162" spans="1:18" x14ac:dyDescent="0.25">
      <c r="A162" s="7">
        <f>Sheet4!A141</f>
        <v>140</v>
      </c>
      <c r="B162" t="str">
        <f>Sheet4!B141</f>
        <v>FUEMAVND</v>
      </c>
      <c r="C162" t="str">
        <f>Sheet4!C140</f>
        <v>Quỹ ETF MAFM VN30</v>
      </c>
      <c r="D162" t="str">
        <f>Sheet4!D141</f>
        <v>HOSE</v>
      </c>
      <c r="E162" s="7">
        <f>Sheet4!AH141/1000000000</f>
        <v>213.52</v>
      </c>
      <c r="F162" t="str">
        <f>Sheet4!E141</f>
        <v>Tài chính</v>
      </c>
      <c r="G162" t="str">
        <f>Sheet4!F141</f>
        <v>Dịch vụ tài chính</v>
      </c>
      <c r="H162" t="str">
        <f>Sheet4!G141</f>
        <v>Quỹ đầu tư</v>
      </c>
      <c r="I162" s="9" t="str" cm="1">
        <f t="array" ref="I16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2" s="9" t="str" cm="1">
        <f t="array" ref="J16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2" s="10" cm="1">
        <f t="array" ref="K16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2" s="10" cm="1">
        <f t="array" ref="L16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2" s="9" t="str" cm="1">
        <f t="array" ref="M16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2" s="9" t="str" cm="1">
        <f t="array" ref="N16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2" s="10" cm="1">
        <f t="array" ref="O162">IFERROR(INDEX(Sheet4!$2:$1605,MATCH(ChiTietKQKD[[#This Row],[Mã CP]],Sheet4!$B$2:$B$1605,0),_xlfn.XMATCH("*Tăng trưởng lợi nhuận sau thuế (YoY) (Quý*",Sheet4!$1:$1,2)),"")</f>
        <v>0</v>
      </c>
      <c r="P162" s="10" cm="1">
        <f t="array" ref="P162">IFERROR(INDEX(Sheet4!$2:$1605,MATCH(ChiTietKQKD[[#This Row],[Mã CP]],Sheet4!$B$2:$B$1605,0),_xlfn.XMATCH("*Tăng trưởng lợi nhuận sau thuế (YoY) (6M)*",Sheet4!$1:$1,2)),"")</f>
        <v>0</v>
      </c>
      <c r="Q162" s="10" cm="1">
        <f t="array" ref="Q162">IFERROR(INDEX(Sheet4!$2:$1605,MATCH(ChiTietKQKD[[#This Row],[Mã CP]],Sheet4!$B$2:$B$1605,0),_xlfn.XMATCH("*Tăng trưởng doanh thu thuần (QoQ)*",Sheet4!$1:$1,2)),"")</f>
        <v>0</v>
      </c>
      <c r="R162" s="10" cm="1">
        <f t="array" ref="R162">IFERROR(INDEX(Sheet4!$2:$1605,MATCH(ChiTietKQKD[[#This Row],[Mã CP]],Sheet4!$B$2:$B$1605,0),_xlfn.XMATCH("*Tăng trưởng lợi nhuận sau thuế (QoQ)*",Sheet4!$1:$1,2)),"")</f>
        <v>0</v>
      </c>
    </row>
    <row r="163" spans="1:18" x14ac:dyDescent="0.25">
      <c r="A163" s="7">
        <f>Sheet4!A142</f>
        <v>141</v>
      </c>
      <c r="B163" t="str">
        <f>Sheet4!B142</f>
        <v>FUEMITEC</v>
      </c>
      <c r="C163" t="str">
        <f>Sheet4!C141</f>
        <v>Quỹ ETF MAFM VNDIAMOND</v>
      </c>
      <c r="D163" t="str">
        <f>Sheet4!D142</f>
        <v>HOSE</v>
      </c>
      <c r="E163" s="7">
        <f>Sheet4!AH142/1000000000</f>
        <v>54.5</v>
      </c>
      <c r="F163" t="str">
        <f>Sheet4!E142</f>
        <v>Tài chính</v>
      </c>
      <c r="G163" t="str">
        <f>Sheet4!F142</f>
        <v>Dịch vụ tài chính</v>
      </c>
      <c r="H163" t="str">
        <f>Sheet4!G142</f>
        <v>Quỹ đầu tư</v>
      </c>
      <c r="I163" s="9" t="str" cm="1">
        <f t="array" ref="I16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3" s="9" t="str" cm="1">
        <f t="array" ref="J16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3" s="10" cm="1">
        <f t="array" ref="K16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3" s="10" cm="1">
        <f t="array" ref="L16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3" s="9" t="str" cm="1">
        <f t="array" ref="M16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3" s="9" t="str" cm="1">
        <f t="array" ref="N16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3" s="10" cm="1">
        <f t="array" ref="O163">IFERROR(INDEX(Sheet4!$2:$1605,MATCH(ChiTietKQKD[[#This Row],[Mã CP]],Sheet4!$B$2:$B$1605,0),_xlfn.XMATCH("*Tăng trưởng lợi nhuận sau thuế (YoY) (Quý*",Sheet4!$1:$1,2)),"")</f>
        <v>0</v>
      </c>
      <c r="P163" s="10" cm="1">
        <f t="array" ref="P163">IFERROR(INDEX(Sheet4!$2:$1605,MATCH(ChiTietKQKD[[#This Row],[Mã CP]],Sheet4!$B$2:$B$1605,0),_xlfn.XMATCH("*Tăng trưởng lợi nhuận sau thuế (YoY) (6M)*",Sheet4!$1:$1,2)),"")</f>
        <v>0</v>
      </c>
      <c r="Q163" s="10" cm="1">
        <f t="array" ref="Q163">IFERROR(INDEX(Sheet4!$2:$1605,MATCH(ChiTietKQKD[[#This Row],[Mã CP]],Sheet4!$B$2:$B$1605,0),_xlfn.XMATCH("*Tăng trưởng doanh thu thuần (QoQ)*",Sheet4!$1:$1,2)),"")</f>
        <v>0</v>
      </c>
      <c r="R163" s="10" cm="1">
        <f t="array" ref="R163">IFERROR(INDEX(Sheet4!$2:$1605,MATCH(ChiTietKQKD[[#This Row],[Mã CP]],Sheet4!$B$2:$B$1605,0),_xlfn.XMATCH("*Tăng trưởng lợi nhuận sau thuế (QoQ)*",Sheet4!$1:$1,2)),"")</f>
        <v>0</v>
      </c>
    </row>
    <row r="164" spans="1:18" x14ac:dyDescent="0.25">
      <c r="A164" s="7">
        <f>Sheet4!A143</f>
        <v>142</v>
      </c>
      <c r="B164" t="str">
        <f>Sheet4!B143</f>
        <v>FUESSV30</v>
      </c>
      <c r="C164" t="str">
        <f>Sheet4!C142</f>
        <v>VINACAPITAL VNMITECH</v>
      </c>
      <c r="D164" t="str">
        <f>Sheet4!D143</f>
        <v>HOSE</v>
      </c>
      <c r="E164" s="7">
        <f>Sheet4!AH143/1000000000</f>
        <v>233.6</v>
      </c>
      <c r="F164" t="str">
        <f>Sheet4!E143</f>
        <v>Tài chính</v>
      </c>
      <c r="G164" t="str">
        <f>Sheet4!F143</f>
        <v>Dịch vụ tài chính</v>
      </c>
      <c r="H164" t="str">
        <f>Sheet4!G143</f>
        <v>Quỹ đầu tư</v>
      </c>
      <c r="I164" s="9" t="str" cm="1">
        <f t="array" ref="I16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4" s="9" t="str" cm="1">
        <f t="array" ref="J16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4" s="10" cm="1">
        <f t="array" ref="K16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4" s="10" cm="1">
        <f t="array" ref="L16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4" s="9" t="str" cm="1">
        <f t="array" ref="M16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4" s="9" t="str" cm="1">
        <f t="array" ref="N16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4" s="10" cm="1">
        <f t="array" ref="O164">IFERROR(INDEX(Sheet4!$2:$1605,MATCH(ChiTietKQKD[[#This Row],[Mã CP]],Sheet4!$B$2:$B$1605,0),_xlfn.XMATCH("*Tăng trưởng lợi nhuận sau thuế (YoY) (Quý*",Sheet4!$1:$1,2)),"")</f>
        <v>0</v>
      </c>
      <c r="P164" s="10" cm="1">
        <f t="array" ref="P164">IFERROR(INDEX(Sheet4!$2:$1605,MATCH(ChiTietKQKD[[#This Row],[Mã CP]],Sheet4!$B$2:$B$1605,0),_xlfn.XMATCH("*Tăng trưởng lợi nhuận sau thuế (YoY) (6M)*",Sheet4!$1:$1,2)),"")</f>
        <v>0</v>
      </c>
      <c r="Q164" s="10" cm="1">
        <f t="array" ref="Q164">IFERROR(INDEX(Sheet4!$2:$1605,MATCH(ChiTietKQKD[[#This Row],[Mã CP]],Sheet4!$B$2:$B$1605,0),_xlfn.XMATCH("*Tăng trưởng doanh thu thuần (QoQ)*",Sheet4!$1:$1,2)),"")</f>
        <v>0</v>
      </c>
      <c r="R164" s="10" cm="1">
        <f t="array" ref="R164">IFERROR(INDEX(Sheet4!$2:$1605,MATCH(ChiTietKQKD[[#This Row],[Mã CP]],Sheet4!$B$2:$B$1605,0),_xlfn.XMATCH("*Tăng trưởng lợi nhuận sau thuế (QoQ)*",Sheet4!$1:$1,2)),"")</f>
        <v>0</v>
      </c>
    </row>
    <row r="165" spans="1:18" x14ac:dyDescent="0.25">
      <c r="A165" s="7">
        <f>Sheet4!A144</f>
        <v>143</v>
      </c>
      <c r="B165" t="str">
        <f>Sheet4!B144</f>
        <v>FUESSV50</v>
      </c>
      <c r="C165" t="str">
        <f>Sheet4!C143</f>
        <v>Quỹ ETF SSIAM VN30</v>
      </c>
      <c r="D165" t="str">
        <f>Sheet4!D144</f>
        <v>HOSE</v>
      </c>
      <c r="E165" s="7">
        <f>Sheet4!AH144/1000000000</f>
        <v>148.19999999999999</v>
      </c>
      <c r="F165" t="str">
        <f>Sheet4!E144</f>
        <v>Tài chính</v>
      </c>
      <c r="G165" t="str">
        <f>Sheet4!F144</f>
        <v>Dịch vụ tài chính</v>
      </c>
      <c r="H165" t="str">
        <f>Sheet4!G144</f>
        <v>Quỹ đầu tư</v>
      </c>
      <c r="I165" s="9" t="str" cm="1">
        <f t="array" ref="I16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5" s="9" t="str" cm="1">
        <f t="array" ref="J16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5" s="10" cm="1">
        <f t="array" ref="K16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5" s="10" cm="1">
        <f t="array" ref="L16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5" s="9" t="str" cm="1">
        <f t="array" ref="M16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5" s="9" t="str" cm="1">
        <f t="array" ref="N16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5" s="10" cm="1">
        <f t="array" ref="O165">IFERROR(INDEX(Sheet4!$2:$1605,MATCH(ChiTietKQKD[[#This Row],[Mã CP]],Sheet4!$B$2:$B$1605,0),_xlfn.XMATCH("*Tăng trưởng lợi nhuận sau thuế (YoY) (Quý*",Sheet4!$1:$1,2)),"")</f>
        <v>0</v>
      </c>
      <c r="P165" s="10" cm="1">
        <f t="array" ref="P165">IFERROR(INDEX(Sheet4!$2:$1605,MATCH(ChiTietKQKD[[#This Row],[Mã CP]],Sheet4!$B$2:$B$1605,0),_xlfn.XMATCH("*Tăng trưởng lợi nhuận sau thuế (YoY) (6M)*",Sheet4!$1:$1,2)),"")</f>
        <v>0</v>
      </c>
      <c r="Q165" s="10" cm="1">
        <f t="array" ref="Q165">IFERROR(INDEX(Sheet4!$2:$1605,MATCH(ChiTietKQKD[[#This Row],[Mã CP]],Sheet4!$B$2:$B$1605,0),_xlfn.XMATCH("*Tăng trưởng doanh thu thuần (QoQ)*",Sheet4!$1:$1,2)),"")</f>
        <v>0</v>
      </c>
      <c r="R165" s="10" cm="1">
        <f t="array" ref="R165">IFERROR(INDEX(Sheet4!$2:$1605,MATCH(ChiTietKQKD[[#This Row],[Mã CP]],Sheet4!$B$2:$B$1605,0),_xlfn.XMATCH("*Tăng trưởng lợi nhuận sau thuế (QoQ)*",Sheet4!$1:$1,2)),"")</f>
        <v>0</v>
      </c>
    </row>
    <row r="166" spans="1:18" x14ac:dyDescent="0.25">
      <c r="A166" s="7">
        <f>Sheet4!A145</f>
        <v>144</v>
      </c>
      <c r="B166" t="str">
        <f>Sheet4!B145</f>
        <v>FUESSVFL</v>
      </c>
      <c r="C166" t="str">
        <f>Sheet4!C144</f>
        <v>Quỹ ETF SSIAM VNX50</v>
      </c>
      <c r="D166" t="str">
        <f>Sheet4!D145</f>
        <v>HOSE</v>
      </c>
      <c r="E166" s="7">
        <f>Sheet4!AH145/1000000000</f>
        <v>516.05999999999995</v>
      </c>
      <c r="F166" t="str">
        <f>Sheet4!E145</f>
        <v>Tài chính</v>
      </c>
      <c r="G166" t="str">
        <f>Sheet4!F145</f>
        <v>Dịch vụ tài chính</v>
      </c>
      <c r="H166" t="str">
        <f>Sheet4!G145</f>
        <v>Quỹ đầu tư</v>
      </c>
      <c r="I166" s="9" t="str" cm="1">
        <f t="array" ref="I16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6" s="9" t="str" cm="1">
        <f t="array" ref="J16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6" s="10" cm="1">
        <f t="array" ref="K16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6" s="10" cm="1">
        <f t="array" ref="L16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6" s="9" t="str" cm="1">
        <f t="array" ref="M16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6" s="9" t="str" cm="1">
        <f t="array" ref="N16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6" s="10" cm="1">
        <f t="array" ref="O166">IFERROR(INDEX(Sheet4!$2:$1605,MATCH(ChiTietKQKD[[#This Row],[Mã CP]],Sheet4!$B$2:$B$1605,0),_xlfn.XMATCH("*Tăng trưởng lợi nhuận sau thuế (YoY) (Quý*",Sheet4!$1:$1,2)),"")</f>
        <v>0</v>
      </c>
      <c r="P166" s="10" cm="1">
        <f t="array" ref="P166">IFERROR(INDEX(Sheet4!$2:$1605,MATCH(ChiTietKQKD[[#This Row],[Mã CP]],Sheet4!$B$2:$B$1605,0),_xlfn.XMATCH("*Tăng trưởng lợi nhuận sau thuế (YoY) (6M)*",Sheet4!$1:$1,2)),"")</f>
        <v>0</v>
      </c>
      <c r="Q166" s="10" cm="1">
        <f t="array" ref="Q166">IFERROR(INDEX(Sheet4!$2:$1605,MATCH(ChiTietKQKD[[#This Row],[Mã CP]],Sheet4!$B$2:$B$1605,0),_xlfn.XMATCH("*Tăng trưởng doanh thu thuần (QoQ)*",Sheet4!$1:$1,2)),"")</f>
        <v>0</v>
      </c>
      <c r="R166" s="10" cm="1">
        <f t="array" ref="R166">IFERROR(INDEX(Sheet4!$2:$1605,MATCH(ChiTietKQKD[[#This Row],[Mã CP]],Sheet4!$B$2:$B$1605,0),_xlfn.XMATCH("*Tăng trưởng lợi nhuận sau thuế (QoQ)*",Sheet4!$1:$1,2)),"")</f>
        <v>0</v>
      </c>
    </row>
    <row r="167" spans="1:18" x14ac:dyDescent="0.25">
      <c r="A167" s="7">
        <f>Sheet4!A146</f>
        <v>145</v>
      </c>
      <c r="B167" t="str">
        <f>Sheet4!B146</f>
        <v>FUETCC50</v>
      </c>
      <c r="C167" t="str">
        <f>Sheet4!C145</f>
        <v>Quỹ ETF SSIAM VNFIN LEAD</v>
      </c>
      <c r="D167" t="str">
        <f>Sheet4!D146</f>
        <v>HOSE</v>
      </c>
      <c r="E167" s="7">
        <f>Sheet4!AH146/1000000000</f>
        <v>90.09</v>
      </c>
      <c r="F167" t="str">
        <f>Sheet4!E146</f>
        <v>Tài chính</v>
      </c>
      <c r="G167" t="str">
        <f>Sheet4!F146</f>
        <v>Dịch vụ tài chính</v>
      </c>
      <c r="H167" t="str">
        <f>Sheet4!G146</f>
        <v>Quỹ đầu tư</v>
      </c>
      <c r="I167" s="9" t="str" cm="1">
        <f t="array" ref="I16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7" s="9" t="str" cm="1">
        <f t="array" ref="J16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7" s="10" cm="1">
        <f t="array" ref="K16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7" s="10" cm="1">
        <f t="array" ref="L16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7" s="9" t="str" cm="1">
        <f t="array" ref="M16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7" s="9" t="str" cm="1">
        <f t="array" ref="N16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7" s="10" cm="1">
        <f t="array" ref="O167">IFERROR(INDEX(Sheet4!$2:$1605,MATCH(ChiTietKQKD[[#This Row],[Mã CP]],Sheet4!$B$2:$B$1605,0),_xlfn.XMATCH("*Tăng trưởng lợi nhuận sau thuế (YoY) (Quý*",Sheet4!$1:$1,2)),"")</f>
        <v>0</v>
      </c>
      <c r="P167" s="10" cm="1">
        <f t="array" ref="P167">IFERROR(INDEX(Sheet4!$2:$1605,MATCH(ChiTietKQKD[[#This Row],[Mã CP]],Sheet4!$B$2:$B$1605,0),_xlfn.XMATCH("*Tăng trưởng lợi nhuận sau thuế (YoY) (6M)*",Sheet4!$1:$1,2)),"")</f>
        <v>0</v>
      </c>
      <c r="Q167" s="10" cm="1">
        <f t="array" ref="Q167">IFERROR(INDEX(Sheet4!$2:$1605,MATCH(ChiTietKQKD[[#This Row],[Mã CP]],Sheet4!$B$2:$B$1605,0),_xlfn.XMATCH("*Tăng trưởng doanh thu thuần (QoQ)*",Sheet4!$1:$1,2)),"")</f>
        <v>0</v>
      </c>
      <c r="R167" s="10" cm="1">
        <f t="array" ref="R167">IFERROR(INDEX(Sheet4!$2:$1605,MATCH(ChiTietKQKD[[#This Row],[Mã CP]],Sheet4!$B$2:$B$1605,0),_xlfn.XMATCH("*Tăng trưởng lợi nhuận sau thuế (QoQ)*",Sheet4!$1:$1,2)),"")</f>
        <v>0</v>
      </c>
    </row>
    <row r="168" spans="1:18" x14ac:dyDescent="0.25">
      <c r="A168" s="7">
        <f>Sheet4!A147</f>
        <v>146</v>
      </c>
      <c r="B168" t="str">
        <f>Sheet4!B147</f>
        <v>FUETPVND</v>
      </c>
      <c r="C168" t="str">
        <f>Sheet4!C146</f>
        <v>Quỹ ETF TECHCOM CAPITAL VNX50</v>
      </c>
      <c r="D168" t="str">
        <f>Sheet4!D147</f>
        <v>HOSE</v>
      </c>
      <c r="E168" s="7">
        <f>Sheet4!AH147/1000000000</f>
        <v>61.095999999999997</v>
      </c>
      <c r="F168" t="str">
        <f>Sheet4!E147</f>
        <v>Tài chính</v>
      </c>
      <c r="G168" t="str">
        <f>Sheet4!F147</f>
        <v>Dịch vụ tài chính</v>
      </c>
      <c r="H168" t="str">
        <f>Sheet4!G147</f>
        <v>Quỹ đầu tư</v>
      </c>
      <c r="I168" s="9" t="str" cm="1">
        <f t="array" ref="I16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8" s="9" t="str" cm="1">
        <f t="array" ref="J16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8" s="10" cm="1">
        <f t="array" ref="K16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8" s="10" cm="1">
        <f t="array" ref="L16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8" s="9" t="str" cm="1">
        <f t="array" ref="M16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8" s="9" t="str" cm="1">
        <f t="array" ref="N16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8" s="10" cm="1">
        <f t="array" ref="O168">IFERROR(INDEX(Sheet4!$2:$1605,MATCH(ChiTietKQKD[[#This Row],[Mã CP]],Sheet4!$B$2:$B$1605,0),_xlfn.XMATCH("*Tăng trưởng lợi nhuận sau thuế (YoY) (Quý*",Sheet4!$1:$1,2)),"")</f>
        <v>0</v>
      </c>
      <c r="P168" s="10" cm="1">
        <f t="array" ref="P168">IFERROR(INDEX(Sheet4!$2:$1605,MATCH(ChiTietKQKD[[#This Row],[Mã CP]],Sheet4!$B$2:$B$1605,0),_xlfn.XMATCH("*Tăng trưởng lợi nhuận sau thuế (YoY) (6M)*",Sheet4!$1:$1,2)),"")</f>
        <v>0</v>
      </c>
      <c r="Q168" s="10" cm="1">
        <f t="array" ref="Q168">IFERROR(INDEX(Sheet4!$2:$1605,MATCH(ChiTietKQKD[[#This Row],[Mã CP]],Sheet4!$B$2:$B$1605,0),_xlfn.XMATCH("*Tăng trưởng doanh thu thuần (QoQ)*",Sheet4!$1:$1,2)),"")</f>
        <v>0</v>
      </c>
      <c r="R168" s="10" cm="1">
        <f t="array" ref="R168">IFERROR(INDEX(Sheet4!$2:$1605,MATCH(ChiTietKQKD[[#This Row],[Mã CP]],Sheet4!$B$2:$B$1605,0),_xlfn.XMATCH("*Tăng trưởng lợi nhuận sau thuế (QoQ)*",Sheet4!$1:$1,2)),"")</f>
        <v>0</v>
      </c>
    </row>
    <row r="169" spans="1:18" x14ac:dyDescent="0.25">
      <c r="A169" s="7">
        <f>Sheet4!A148</f>
        <v>147</v>
      </c>
      <c r="B169" t="str">
        <f>Sheet4!B148</f>
        <v>FUEVFVND</v>
      </c>
      <c r="C169" t="str">
        <f>Sheet4!C147</f>
        <v>ETF VFCVN DIAMOND</v>
      </c>
      <c r="D169" t="str">
        <f>Sheet4!D148</f>
        <v>HOSE</v>
      </c>
      <c r="E169" s="7">
        <f>Sheet4!AH148/1000000000</f>
        <v>10377.6</v>
      </c>
      <c r="F169" t="str">
        <f>Sheet4!E148</f>
        <v>Tài chính</v>
      </c>
      <c r="G169" t="str">
        <f>Sheet4!F148</f>
        <v>Dịch vụ tài chính</v>
      </c>
      <c r="H169" t="str">
        <f>Sheet4!G148</f>
        <v>Quỹ đầu tư</v>
      </c>
      <c r="I169" s="9" t="str" cm="1">
        <f t="array" ref="I16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9" s="9" t="str" cm="1">
        <f t="array" ref="J16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9" s="10" cm="1">
        <f t="array" ref="K16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9" s="10" cm="1">
        <f t="array" ref="L16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9" s="9" t="str" cm="1">
        <f t="array" ref="M16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9" s="9" t="str" cm="1">
        <f t="array" ref="N16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9" s="10" cm="1">
        <f t="array" ref="O169">IFERROR(INDEX(Sheet4!$2:$1605,MATCH(ChiTietKQKD[[#This Row],[Mã CP]],Sheet4!$B$2:$B$1605,0),_xlfn.XMATCH("*Tăng trưởng lợi nhuận sau thuế (YoY) (Quý*",Sheet4!$1:$1,2)),"")</f>
        <v>0</v>
      </c>
      <c r="P169" s="10" cm="1">
        <f t="array" ref="P169">IFERROR(INDEX(Sheet4!$2:$1605,MATCH(ChiTietKQKD[[#This Row],[Mã CP]],Sheet4!$B$2:$B$1605,0),_xlfn.XMATCH("*Tăng trưởng lợi nhuận sau thuế (YoY) (6M)*",Sheet4!$1:$1,2)),"")</f>
        <v>0</v>
      </c>
      <c r="Q169" s="10" cm="1">
        <f t="array" ref="Q169">IFERROR(INDEX(Sheet4!$2:$1605,MATCH(ChiTietKQKD[[#This Row],[Mã CP]],Sheet4!$B$2:$B$1605,0),_xlfn.XMATCH("*Tăng trưởng doanh thu thuần (QoQ)*",Sheet4!$1:$1,2)),"")</f>
        <v>0</v>
      </c>
      <c r="R169" s="10" cm="1">
        <f t="array" ref="R169">IFERROR(INDEX(Sheet4!$2:$1605,MATCH(ChiTietKQKD[[#This Row],[Mã CP]],Sheet4!$B$2:$B$1605,0),_xlfn.XMATCH("*Tăng trưởng lợi nhuận sau thuế (QoQ)*",Sheet4!$1:$1,2)),"")</f>
        <v>0</v>
      </c>
    </row>
    <row r="170" spans="1:18" x14ac:dyDescent="0.25">
      <c r="A170" s="7">
        <f>Sheet4!A149</f>
        <v>148</v>
      </c>
      <c r="B170" t="str">
        <f>Sheet4!B149</f>
        <v>FUEVN100</v>
      </c>
      <c r="C170" t="str">
        <f>Sheet4!C148</f>
        <v>Quỹ ETF DCVFMVN DIAMOND</v>
      </c>
      <c r="D170" t="str">
        <f>Sheet4!D149</f>
        <v>HOSE</v>
      </c>
      <c r="E170" s="7">
        <f>Sheet4!AH149/1000000000</f>
        <v>658.88199999999995</v>
      </c>
      <c r="F170" t="str">
        <f>Sheet4!E149</f>
        <v>Tài chính</v>
      </c>
      <c r="G170" t="str">
        <f>Sheet4!F149</f>
        <v>Dịch vụ tài chính</v>
      </c>
      <c r="H170" t="str">
        <f>Sheet4!G149</f>
        <v>Quỹ đầu tư</v>
      </c>
      <c r="I170" s="9" t="str" cm="1">
        <f t="array" ref="I17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70" s="9" t="str" cm="1">
        <f t="array" ref="J17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70" s="10" cm="1">
        <f t="array" ref="K17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70" s="10" cm="1">
        <f t="array" ref="L17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70" s="9" t="str" cm="1">
        <f t="array" ref="M17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70" s="9" t="str" cm="1">
        <f t="array" ref="N17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70" s="10" cm="1">
        <f t="array" ref="O170">IFERROR(INDEX(Sheet4!$2:$1605,MATCH(ChiTietKQKD[[#This Row],[Mã CP]],Sheet4!$B$2:$B$1605,0),_xlfn.XMATCH("*Tăng trưởng lợi nhuận sau thuế (YoY) (Quý*",Sheet4!$1:$1,2)),"")</f>
        <v>0</v>
      </c>
      <c r="P170" s="10" cm="1">
        <f t="array" ref="P170">IFERROR(INDEX(Sheet4!$2:$1605,MATCH(ChiTietKQKD[[#This Row],[Mã CP]],Sheet4!$B$2:$B$1605,0),_xlfn.XMATCH("*Tăng trưởng lợi nhuận sau thuế (YoY) (6M)*",Sheet4!$1:$1,2)),"")</f>
        <v>0</v>
      </c>
      <c r="Q170" s="10" cm="1">
        <f t="array" ref="Q170">IFERROR(INDEX(Sheet4!$2:$1605,MATCH(ChiTietKQKD[[#This Row],[Mã CP]],Sheet4!$B$2:$B$1605,0),_xlfn.XMATCH("*Tăng trưởng doanh thu thuần (QoQ)*",Sheet4!$1:$1,2)),"")</f>
        <v>0</v>
      </c>
      <c r="R170" s="10" cm="1">
        <f t="array" ref="R170">IFERROR(INDEX(Sheet4!$2:$1605,MATCH(ChiTietKQKD[[#This Row],[Mã CP]],Sheet4!$B$2:$B$1605,0),_xlfn.XMATCH("*Tăng trưởng lợi nhuận sau thuế (QoQ)*",Sheet4!$1:$1,2)),"")</f>
        <v>0</v>
      </c>
    </row>
    <row r="171" spans="1:18" x14ac:dyDescent="0.25">
      <c r="A171" s="7">
        <f>Sheet4!A150</f>
        <v>149</v>
      </c>
      <c r="B171" t="str">
        <f>Sheet4!B150</f>
        <v>FUEVN50G</v>
      </c>
      <c r="C171" t="str">
        <f>Sheet4!C149</f>
        <v>Quỹ ETF VINACAPITAL VN100</v>
      </c>
      <c r="D171" t="str">
        <f>Sheet4!D150</f>
        <v>HOSE</v>
      </c>
      <c r="E171" s="7">
        <f>Sheet4!AH150/1000000000</f>
        <v>60</v>
      </c>
      <c r="F171" t="str">
        <f>Sheet4!E150</f>
        <v>Tài chính</v>
      </c>
      <c r="G171" t="str">
        <f>Sheet4!F150</f>
        <v>Dịch vụ tài chính</v>
      </c>
      <c r="H171" t="str">
        <f>Sheet4!G150</f>
        <v>Quỹ đầu tư</v>
      </c>
      <c r="I171" s="9" t="str" cm="1">
        <f t="array" ref="I17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71" s="9" t="str" cm="1">
        <f t="array" ref="J17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71" s="10" cm="1">
        <f t="array" ref="K17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71" s="10" cm="1">
        <f t="array" ref="L17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71" s="9" t="str" cm="1">
        <f t="array" ref="M17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71" s="9" t="str" cm="1">
        <f t="array" ref="N17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71" s="10" cm="1">
        <f t="array" ref="O171">IFERROR(INDEX(Sheet4!$2:$1605,MATCH(ChiTietKQKD[[#This Row],[Mã CP]],Sheet4!$B$2:$B$1605,0),_xlfn.XMATCH("*Tăng trưởng lợi nhuận sau thuế (YoY) (Quý*",Sheet4!$1:$1,2)),"")</f>
        <v>0</v>
      </c>
      <c r="P171" s="10" cm="1">
        <f t="array" ref="P171">IFERROR(INDEX(Sheet4!$2:$1605,MATCH(ChiTietKQKD[[#This Row],[Mã CP]],Sheet4!$B$2:$B$1605,0),_xlfn.XMATCH("*Tăng trưởng lợi nhuận sau thuế (YoY) (6M)*",Sheet4!$1:$1,2)),"")</f>
        <v>0</v>
      </c>
      <c r="Q171" s="10" cm="1">
        <f t="array" ref="Q171">IFERROR(INDEX(Sheet4!$2:$1605,MATCH(ChiTietKQKD[[#This Row],[Mã CP]],Sheet4!$B$2:$B$1605,0),_xlfn.XMATCH("*Tăng trưởng doanh thu thuần (QoQ)*",Sheet4!$1:$1,2)),"")</f>
        <v>0</v>
      </c>
      <c r="R171" s="10" cm="1">
        <f t="array" ref="R171">IFERROR(INDEX(Sheet4!$2:$1605,MATCH(ChiTietKQKD[[#This Row],[Mã CP]],Sheet4!$B$2:$B$1605,0),_xlfn.XMATCH("*Tăng trưởng lợi nhuận sau thuế (QoQ)*",Sheet4!$1:$1,2)),"")</f>
        <v>0</v>
      </c>
    </row>
    <row r="172" spans="1:18" x14ac:dyDescent="0.25">
      <c r="A172" s="7">
        <f>Sheet4!A151</f>
        <v>150</v>
      </c>
      <c r="B172" t="str">
        <f>Sheet4!B151</f>
        <v>GAS</v>
      </c>
      <c r="C172" t="str">
        <f>Sheet4!C150</f>
        <v>Quỹ ETF VinaCapital VN50 Growth</v>
      </c>
      <c r="D172" t="str">
        <f>Sheet4!D151</f>
        <v>HOSE</v>
      </c>
      <c r="E172" s="7">
        <f>Sheet4!AH151/1000000000</f>
        <v>155393.96428640001</v>
      </c>
      <c r="F172" t="str">
        <f>Sheet4!E151</f>
        <v>Tiện ích Cộng đồng</v>
      </c>
      <c r="G172" t="str">
        <f>Sheet4!F151</f>
        <v>Điện, nước &amp; xăng dầu khí đốt</v>
      </c>
      <c r="H172" t="str">
        <f>Sheet4!G151</f>
        <v>Phân phối xăng dầu &amp; khí đốt</v>
      </c>
      <c r="I172" s="9" t="str" cm="1">
        <f t="array" ref="I17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72" s="9" t="str" cm="1">
        <f t="array" ref="J17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72" s="10" cm="1">
        <f t="array" ref="K17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72" s="10" cm="1">
        <f t="array" ref="L17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72" s="9" t="str" cm="1">
        <f t="array" ref="M17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72" s="9" t="str" cm="1">
        <f t="array" ref="N17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72" s="10" cm="1">
        <f t="array" ref="O172">IFERROR(INDEX(Sheet4!$2:$1605,MATCH(ChiTietKQKD[[#This Row],[Mã CP]],Sheet4!$B$2:$B$1605,0),_xlfn.XMATCH("*Tăng trưởng lợi nhuận sau thuế (YoY) (Quý*",Sheet4!$1:$1,2)),"")</f>
        <v>0</v>
      </c>
      <c r="P172" s="10" cm="1">
        <f t="array" ref="P172">IFERROR(INDEX(Sheet4!$2:$1605,MATCH(ChiTietKQKD[[#This Row],[Mã CP]],Sheet4!$B$2:$B$1605,0),_xlfn.XMATCH("*Tăng trưởng lợi nhuận sau thuế (YoY) (6M)*",Sheet4!$1:$1,2)),"")</f>
        <v>0</v>
      </c>
      <c r="Q172" s="10" cm="1">
        <f t="array" ref="Q172">IFERROR(INDEX(Sheet4!$2:$1605,MATCH(ChiTietKQKD[[#This Row],[Mã CP]],Sheet4!$B$2:$B$1605,0),_xlfn.XMATCH("*Tăng trưởng doanh thu thuần (QoQ)*",Sheet4!$1:$1,2)),"")</f>
        <v>0</v>
      </c>
      <c r="R172" s="10" cm="1">
        <f t="array" ref="R172">IFERROR(INDEX(Sheet4!$2:$1605,MATCH(ChiTietKQKD[[#This Row],[Mã CP]],Sheet4!$B$2:$B$1605,0),_xlfn.XMATCH("*Tăng trưởng lợi nhuận sau thuế (QoQ)*",Sheet4!$1:$1,2)),"")</f>
        <v>0</v>
      </c>
    </row>
    <row r="173" spans="1:18" x14ac:dyDescent="0.25">
      <c r="A173" s="7">
        <f>Sheet4!A152</f>
        <v>151</v>
      </c>
      <c r="B173" t="str">
        <f>Sheet4!B152</f>
        <v>GDT</v>
      </c>
      <c r="C173" t="str">
        <f>Sheet4!C151</f>
        <v>PV Gas</v>
      </c>
      <c r="D173" t="str">
        <f>Sheet4!D152</f>
        <v>HOSE</v>
      </c>
      <c r="E173" s="7">
        <f>Sheet4!AH152/1000000000</f>
        <v>427.79149380000001</v>
      </c>
      <c r="F173" t="str">
        <f>Sheet4!E152</f>
        <v>Hàng Tiêu dùng</v>
      </c>
      <c r="G173" t="str">
        <f>Sheet4!F152</f>
        <v>Hàng cá nhân &amp; Gia dụng</v>
      </c>
      <c r="H173" t="str">
        <f>Sheet4!G152</f>
        <v>Thiết bị gia dụng</v>
      </c>
      <c r="I173" s="9" t="str" cm="1">
        <f t="array" ref="I17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73" s="9" t="str" cm="1">
        <f t="array" ref="J17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73" s="10" cm="1">
        <f t="array" ref="K17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73" s="10" cm="1">
        <f t="array" ref="L17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73" s="9" t="str" cm="1">
        <f t="array" ref="M17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73" s="9" t="str" cm="1">
        <f t="array" ref="N17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73" s="10" cm="1">
        <f t="array" ref="O173">IFERROR(INDEX(Sheet4!$2:$1605,MATCH(ChiTietKQKD[[#This Row],[Mã CP]],Sheet4!$B$2:$B$1605,0),_xlfn.XMATCH("*Tăng trưởng lợi nhuận sau thuế (YoY) (Quý*",Sheet4!$1:$1,2)),"")</f>
        <v>0</v>
      </c>
      <c r="P173" s="10" cm="1">
        <f t="array" ref="P173">IFERROR(INDEX(Sheet4!$2:$1605,MATCH(ChiTietKQKD[[#This Row],[Mã CP]],Sheet4!$B$2:$B$1605,0),_xlfn.XMATCH("*Tăng trưởng lợi nhuận sau thuế (YoY) (6M)*",Sheet4!$1:$1,2)),"")</f>
        <v>0</v>
      </c>
      <c r="Q173" s="10" cm="1">
        <f t="array" ref="Q173">IFERROR(INDEX(Sheet4!$2:$1605,MATCH(ChiTietKQKD[[#This Row],[Mã CP]],Sheet4!$B$2:$B$1605,0),_xlfn.XMATCH("*Tăng trưởng doanh thu thuần (QoQ)*",Sheet4!$1:$1,2)),"")</f>
        <v>0</v>
      </c>
      <c r="R173" s="10" cm="1">
        <f t="array" ref="R173">IFERROR(INDEX(Sheet4!$2:$1605,MATCH(ChiTietKQKD[[#This Row],[Mã CP]],Sheet4!$B$2:$B$1605,0),_xlfn.XMATCH("*Tăng trưởng lợi nhuận sau thuế (QoQ)*",Sheet4!$1:$1,2)),"")</f>
        <v>0</v>
      </c>
    </row>
    <row r="174" spans="1:18" x14ac:dyDescent="0.25">
      <c r="A174" s="7">
        <f>Sheet4!A153</f>
        <v>152</v>
      </c>
      <c r="B174" t="str">
        <f>Sheet4!B153</f>
        <v>GEE</v>
      </c>
      <c r="C174" t="str">
        <f>Sheet4!C152</f>
        <v>Gỗ Đức Thành</v>
      </c>
      <c r="D174" t="str">
        <f>Sheet4!D153</f>
        <v>HOSE</v>
      </c>
      <c r="E174" s="7">
        <f>Sheet4!AH153/1000000000</f>
        <v>42657.247452600001</v>
      </c>
      <c r="F174" t="str">
        <f>Sheet4!E153</f>
        <v>Công nghiệp</v>
      </c>
      <c r="G174" t="str">
        <f>Sheet4!F153</f>
        <v>Hàng &amp; Dịch vụ Công nghiệp</v>
      </c>
      <c r="H174" t="str">
        <f>Sheet4!G153</f>
        <v>Thiết bị điện</v>
      </c>
      <c r="I174" s="9" cm="1">
        <f t="array" ref="I17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9523.9114870150006</v>
      </c>
      <c r="J174" s="9" cm="1">
        <f t="array" ref="J17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16621.263264399</v>
      </c>
      <c r="K174" s="10" cm="1">
        <f t="array" ref="K17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0.46300000000000002</v>
      </c>
      <c r="L174" s="10" cm="1">
        <f t="array" ref="L17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0.40970000000000001</v>
      </c>
      <c r="M174" s="9" cm="1">
        <f t="array" ref="M174">_xlfn.LET(_xlpm.val,IFERROR(INDEX(Sheet4!$2:$1605,MATCH(ChiTietKQKD[[#This Row],[Mã CP]],Sheet4!$B$2:$B$1605,0),_xlfn.XMATCH("*Lợi nhuận sau thuế*Q2*2026*",Sheet4!$1:$1,2)),0),IF(OR(_xlpm.val="",_xlpm.val=0),"",_xlpm.val/1000000000))</f>
        <v>704.99696865099997</v>
      </c>
      <c r="N174" s="9" cm="1">
        <f t="array" ref="N174">_xlfn.LET(_xlpm.val,IFERROR(INDEX(Sheet4!$2:$1605,MATCH(ChiTietKQKD[[#This Row],[Mã CP]],Sheet4!$B$2:$B$1605,0),_xlfn.XMATCH("*Lợi nhuận sau thuế*6 tháng*2026*",Sheet4!$1:$1,2)),0),IF(OR(_xlpm.val="",_xlpm.val=0),"",_xlpm.val/1000000000))</f>
        <v>1284.382923874</v>
      </c>
      <c r="O174" s="10" cm="1">
        <f t="array" ref="O174">IFERROR(INDEX(Sheet4!$2:$1605,MATCH(ChiTietKQKD[[#This Row],[Mã CP]],Sheet4!$B$2:$B$1605,0),_xlfn.XMATCH("*Tăng trưởng lợi nhuận sau thuế (YoY) (Quý*",Sheet4!$1:$1,2)),"")</f>
        <v>0.33489999999999998</v>
      </c>
      <c r="P174" s="10" cm="1">
        <f t="array" ref="P174">IFERROR(INDEX(Sheet4!$2:$1605,MATCH(ChiTietKQKD[[#This Row],[Mã CP]],Sheet4!$B$2:$B$1605,0),_xlfn.XMATCH("*Tăng trưởng lợi nhuận sau thuế (YoY) (6M)*",Sheet4!$1:$1,2)),"")</f>
        <v>0.31059999999999999</v>
      </c>
      <c r="Q174" s="10" cm="1">
        <f t="array" ref="Q174">IFERROR(INDEX(Sheet4!$2:$1605,MATCH(ChiTietKQKD[[#This Row],[Mã CP]],Sheet4!$B$2:$B$1605,0),_xlfn.XMATCH("*Tăng trưởng doanh thu thuần (QoQ)*",Sheet4!$1:$1,2)),"")</f>
        <v>0.34189999999999998</v>
      </c>
      <c r="R174" s="10" cm="1">
        <f t="array" ref="R174">IFERROR(INDEX(Sheet4!$2:$1605,MATCH(ChiTietKQKD[[#This Row],[Mã CP]],Sheet4!$B$2:$B$1605,0),_xlfn.XMATCH("*Tăng trưởng lợi nhuận sau thuế (QoQ)*",Sheet4!$1:$1,2)),"")</f>
        <v>0.21679999999999999</v>
      </c>
    </row>
    <row r="175" spans="1:18" x14ac:dyDescent="0.25">
      <c r="A175" s="7">
        <f>Sheet4!A154</f>
        <v>153</v>
      </c>
      <c r="B175" t="str">
        <f>Sheet4!B154</f>
        <v>GEG</v>
      </c>
      <c r="C175" t="str">
        <f>Sheet4!C153</f>
        <v>Điện lực Gelex</v>
      </c>
      <c r="D175" t="str">
        <f>Sheet4!D154</f>
        <v>HOSE</v>
      </c>
      <c r="E175" s="7">
        <f>Sheet4!AH154/1000000000</f>
        <v>4401.7801424999998</v>
      </c>
      <c r="F175" t="str">
        <f>Sheet4!E154</f>
        <v>Tiện ích Cộng đồng</v>
      </c>
      <c r="G175" t="str">
        <f>Sheet4!F154</f>
        <v>Điện, nước &amp; xăng dầu khí đốt</v>
      </c>
      <c r="H175" t="str">
        <f>Sheet4!G154</f>
        <v>Sản xuất &amp; Phân phối Điện</v>
      </c>
      <c r="I175" s="9" t="str" cm="1">
        <f t="array" ref="I17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75" s="9" t="str" cm="1">
        <f t="array" ref="J17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75" s="10" cm="1">
        <f t="array" ref="K17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75" s="10" cm="1">
        <f t="array" ref="L17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75" s="9" t="str" cm="1">
        <f t="array" ref="M17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75" s="9" t="str" cm="1">
        <f t="array" ref="N17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75" s="10" cm="1">
        <f t="array" ref="O175">IFERROR(INDEX(Sheet4!$2:$1605,MATCH(ChiTietKQKD[[#This Row],[Mã CP]],Sheet4!$B$2:$B$1605,0),_xlfn.XMATCH("*Tăng trưởng lợi nhuận sau thuế (YoY) (Quý*",Sheet4!$1:$1,2)),"")</f>
        <v>0</v>
      </c>
      <c r="P175" s="10" cm="1">
        <f t="array" ref="P175">IFERROR(INDEX(Sheet4!$2:$1605,MATCH(ChiTietKQKD[[#This Row],[Mã CP]],Sheet4!$B$2:$B$1605,0),_xlfn.XMATCH("*Tăng trưởng lợi nhuận sau thuế (YoY) (6M)*",Sheet4!$1:$1,2)),"")</f>
        <v>0</v>
      </c>
      <c r="Q175" s="10" cm="1">
        <f t="array" ref="Q175">IFERROR(INDEX(Sheet4!$2:$1605,MATCH(ChiTietKQKD[[#This Row],[Mã CP]],Sheet4!$B$2:$B$1605,0),_xlfn.XMATCH("*Tăng trưởng doanh thu thuần (QoQ)*",Sheet4!$1:$1,2)),"")</f>
        <v>0</v>
      </c>
      <c r="R175" s="10" cm="1">
        <f t="array" ref="R175">IFERROR(INDEX(Sheet4!$2:$1605,MATCH(ChiTietKQKD[[#This Row],[Mã CP]],Sheet4!$B$2:$B$1605,0),_xlfn.XMATCH("*Tăng trưởng lợi nhuận sau thuế (QoQ)*",Sheet4!$1:$1,2)),"")</f>
        <v>0</v>
      </c>
    </row>
    <row r="176" spans="1:18" x14ac:dyDescent="0.25">
      <c r="A176" s="7">
        <f>Sheet4!A155</f>
        <v>154</v>
      </c>
      <c r="B176" t="str">
        <f>Sheet4!B155</f>
        <v>GEL</v>
      </c>
      <c r="C176" t="str">
        <f>Sheet4!C154</f>
        <v>Điện Gia Lai</v>
      </c>
      <c r="D176" t="str">
        <f>Sheet4!D155</f>
        <v>HOSE</v>
      </c>
      <c r="E176" s="7">
        <f>Sheet4!AH155/1000000000</f>
        <v>20514.5</v>
      </c>
      <c r="F176" t="str">
        <f>Sheet4!E155</f>
        <v>Công nghiệp</v>
      </c>
      <c r="G176" t="str">
        <f>Sheet4!F155</f>
        <v>Xây dựng và Vật liệu</v>
      </c>
      <c r="H176" t="str">
        <f>Sheet4!G155</f>
        <v>Vật liệu xây dựng &amp; Nội thất</v>
      </c>
      <c r="I176" s="9" t="str" cm="1">
        <f t="array" ref="I17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76" s="9" t="str" cm="1">
        <f t="array" ref="J17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76" s="10" cm="1">
        <f t="array" ref="K17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76" s="10" cm="1">
        <f t="array" ref="L17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76" s="9" t="str" cm="1">
        <f t="array" ref="M17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76" s="9" t="str" cm="1">
        <f t="array" ref="N17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76" s="10" cm="1">
        <f t="array" ref="O176">IFERROR(INDEX(Sheet4!$2:$1605,MATCH(ChiTietKQKD[[#This Row],[Mã CP]],Sheet4!$B$2:$B$1605,0),_xlfn.XMATCH("*Tăng trưởng lợi nhuận sau thuế (YoY) (Quý*",Sheet4!$1:$1,2)),"")</f>
        <v>0</v>
      </c>
      <c r="P176" s="10" cm="1">
        <f t="array" ref="P176">IFERROR(INDEX(Sheet4!$2:$1605,MATCH(ChiTietKQKD[[#This Row],[Mã CP]],Sheet4!$B$2:$B$1605,0),_xlfn.XMATCH("*Tăng trưởng lợi nhuận sau thuế (YoY) (6M)*",Sheet4!$1:$1,2)),"")</f>
        <v>0</v>
      </c>
      <c r="Q176" s="10" cm="1">
        <f t="array" ref="Q176">IFERROR(INDEX(Sheet4!$2:$1605,MATCH(ChiTietKQKD[[#This Row],[Mã CP]],Sheet4!$B$2:$B$1605,0),_xlfn.XMATCH("*Tăng trưởng doanh thu thuần (QoQ)*",Sheet4!$1:$1,2)),"")</f>
        <v>0</v>
      </c>
      <c r="R176" s="10" cm="1">
        <f t="array" ref="R176">IFERROR(INDEX(Sheet4!$2:$1605,MATCH(ChiTietKQKD[[#This Row],[Mã CP]],Sheet4!$B$2:$B$1605,0),_xlfn.XMATCH("*Tăng trưởng lợi nhuận sau thuế (QoQ)*",Sheet4!$1:$1,2)),"")</f>
        <v>0</v>
      </c>
    </row>
    <row r="177" spans="1:18" x14ac:dyDescent="0.25">
      <c r="A177" s="7">
        <f>Sheet4!A156</f>
        <v>155</v>
      </c>
      <c r="B177" t="str">
        <f>Sheet4!B156</f>
        <v>GEX</v>
      </c>
      <c r="C177" t="str">
        <f>Sheet4!C155</f>
        <v>Hạ tầng GELEX</v>
      </c>
      <c r="D177" t="str">
        <f>Sheet4!D156</f>
        <v>HOSE</v>
      </c>
      <c r="E177" s="7">
        <f>Sheet4!AH156/1000000000</f>
        <v>27150.780678499999</v>
      </c>
      <c r="F177" t="str">
        <f>Sheet4!E156</f>
        <v>Công nghiệp</v>
      </c>
      <c r="G177" t="str">
        <f>Sheet4!F156</f>
        <v>Hàng &amp; Dịch vụ Công nghiệp</v>
      </c>
      <c r="H177" t="str">
        <f>Sheet4!G156</f>
        <v>Thiết bị điện</v>
      </c>
      <c r="I177" s="9" t="str" cm="1">
        <f t="array" ref="I17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77" s="9" t="str" cm="1">
        <f t="array" ref="J17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77" s="10" cm="1">
        <f t="array" ref="K17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77" s="10" cm="1">
        <f t="array" ref="L17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77" s="9" t="str" cm="1">
        <f t="array" ref="M17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77" s="9" t="str" cm="1">
        <f t="array" ref="N17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77" s="10" cm="1">
        <f t="array" ref="O177">IFERROR(INDEX(Sheet4!$2:$1605,MATCH(ChiTietKQKD[[#This Row],[Mã CP]],Sheet4!$B$2:$B$1605,0),_xlfn.XMATCH("*Tăng trưởng lợi nhuận sau thuế (YoY) (Quý*",Sheet4!$1:$1,2)),"")</f>
        <v>0</v>
      </c>
      <c r="P177" s="10" cm="1">
        <f t="array" ref="P177">IFERROR(INDEX(Sheet4!$2:$1605,MATCH(ChiTietKQKD[[#This Row],[Mã CP]],Sheet4!$B$2:$B$1605,0),_xlfn.XMATCH("*Tăng trưởng lợi nhuận sau thuế (YoY) (6M)*",Sheet4!$1:$1,2)),"")</f>
        <v>0</v>
      </c>
      <c r="Q177" s="10" cm="1">
        <f t="array" ref="Q177">IFERROR(INDEX(Sheet4!$2:$1605,MATCH(ChiTietKQKD[[#This Row],[Mã CP]],Sheet4!$B$2:$B$1605,0),_xlfn.XMATCH("*Tăng trưởng doanh thu thuần (QoQ)*",Sheet4!$1:$1,2)),"")</f>
        <v>0</v>
      </c>
      <c r="R177" s="10" cm="1">
        <f t="array" ref="R177">IFERROR(INDEX(Sheet4!$2:$1605,MATCH(ChiTietKQKD[[#This Row],[Mã CP]],Sheet4!$B$2:$B$1605,0),_xlfn.XMATCH("*Tăng trưởng lợi nhuận sau thuế (QoQ)*",Sheet4!$1:$1,2)),"")</f>
        <v>0</v>
      </c>
    </row>
    <row r="178" spans="1:18" x14ac:dyDescent="0.25">
      <c r="A178" s="7">
        <f>Sheet4!A157</f>
        <v>156</v>
      </c>
      <c r="B178" t="str">
        <f>Sheet4!B157</f>
        <v>GHC</v>
      </c>
      <c r="C178" t="str">
        <f>Sheet4!C156</f>
        <v>Tập đoàn Gelex</v>
      </c>
      <c r="D178" t="str">
        <f>Sheet4!D157</f>
        <v>HOSE</v>
      </c>
      <c r="E178" s="7">
        <f>Sheet4!AH157/1000000000</f>
        <v>1174.880625</v>
      </c>
      <c r="F178" t="str">
        <f>Sheet4!E157</f>
        <v>Tiện ích Cộng đồng</v>
      </c>
      <c r="G178" t="str">
        <f>Sheet4!F157</f>
        <v>Điện, nước &amp; xăng dầu khí đốt</v>
      </c>
      <c r="H178" t="str">
        <f>Sheet4!G157</f>
        <v>Sản xuất &amp; Phân phối Điện</v>
      </c>
      <c r="I178" s="9" t="str" cm="1">
        <f t="array" ref="I17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78" s="9" t="str" cm="1">
        <f t="array" ref="J17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78" s="10" cm="1">
        <f t="array" ref="K17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78" s="10" cm="1">
        <f t="array" ref="L17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78" s="9" t="str" cm="1">
        <f t="array" ref="M17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78" s="9" t="str" cm="1">
        <f t="array" ref="N17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78" s="10" cm="1">
        <f t="array" ref="O178">IFERROR(INDEX(Sheet4!$2:$1605,MATCH(ChiTietKQKD[[#This Row],[Mã CP]],Sheet4!$B$2:$B$1605,0),_xlfn.XMATCH("*Tăng trưởng lợi nhuận sau thuế (YoY) (Quý*",Sheet4!$1:$1,2)),"")</f>
        <v>0</v>
      </c>
      <c r="P178" s="10" cm="1">
        <f t="array" ref="P178">IFERROR(INDEX(Sheet4!$2:$1605,MATCH(ChiTietKQKD[[#This Row],[Mã CP]],Sheet4!$B$2:$B$1605,0),_xlfn.XMATCH("*Tăng trưởng lợi nhuận sau thuế (YoY) (6M)*",Sheet4!$1:$1,2)),"")</f>
        <v>0</v>
      </c>
      <c r="Q178" s="10" cm="1">
        <f t="array" ref="Q178">IFERROR(INDEX(Sheet4!$2:$1605,MATCH(ChiTietKQKD[[#This Row],[Mã CP]],Sheet4!$B$2:$B$1605,0),_xlfn.XMATCH("*Tăng trưởng doanh thu thuần (QoQ)*",Sheet4!$1:$1,2)),"")</f>
        <v>0</v>
      </c>
      <c r="R178" s="10" cm="1">
        <f t="array" ref="R178">IFERROR(INDEX(Sheet4!$2:$1605,MATCH(ChiTietKQKD[[#This Row],[Mã CP]],Sheet4!$B$2:$B$1605,0),_xlfn.XMATCH("*Tăng trưởng lợi nhuận sau thuế (QoQ)*",Sheet4!$1:$1,2)),"")</f>
        <v>0</v>
      </c>
    </row>
    <row r="179" spans="1:18" x14ac:dyDescent="0.25">
      <c r="A179" s="7">
        <f>Sheet4!A158</f>
        <v>157</v>
      </c>
      <c r="B179" t="str">
        <f>Sheet4!B158</f>
        <v>GIL</v>
      </c>
      <c r="C179" t="str">
        <f>Sheet4!C157</f>
        <v>Thủy điện Gia Lai</v>
      </c>
      <c r="D179" t="str">
        <f>Sheet4!D158</f>
        <v>HOSE</v>
      </c>
      <c r="E179" s="7">
        <f>Sheet4!AH158/1000000000</f>
        <v>701.01390419999996</v>
      </c>
      <c r="F179" t="str">
        <f>Sheet4!E158</f>
        <v>Hàng Tiêu dùng</v>
      </c>
      <c r="G179" t="str">
        <f>Sheet4!F158</f>
        <v>Hàng cá nhân &amp; Gia dụng</v>
      </c>
      <c r="H179" t="str">
        <f>Sheet4!G158</f>
        <v>Hàng May mặc</v>
      </c>
      <c r="I179" s="9" t="str" cm="1">
        <f t="array" ref="I17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79" s="9" t="str" cm="1">
        <f t="array" ref="J17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79" s="10" cm="1">
        <f t="array" ref="K17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79" s="10" cm="1">
        <f t="array" ref="L17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79" s="9" t="str" cm="1">
        <f t="array" ref="M17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79" s="9" t="str" cm="1">
        <f t="array" ref="N17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79" s="10" cm="1">
        <f t="array" ref="O179">IFERROR(INDEX(Sheet4!$2:$1605,MATCH(ChiTietKQKD[[#This Row],[Mã CP]],Sheet4!$B$2:$B$1605,0),_xlfn.XMATCH("*Tăng trưởng lợi nhuận sau thuế (YoY) (Quý*",Sheet4!$1:$1,2)),"")</f>
        <v>0</v>
      </c>
      <c r="P179" s="10" cm="1">
        <f t="array" ref="P179">IFERROR(INDEX(Sheet4!$2:$1605,MATCH(ChiTietKQKD[[#This Row],[Mã CP]],Sheet4!$B$2:$B$1605,0),_xlfn.XMATCH("*Tăng trưởng lợi nhuận sau thuế (YoY) (6M)*",Sheet4!$1:$1,2)),"")</f>
        <v>0</v>
      </c>
      <c r="Q179" s="10" cm="1">
        <f t="array" ref="Q179">IFERROR(INDEX(Sheet4!$2:$1605,MATCH(ChiTietKQKD[[#This Row],[Mã CP]],Sheet4!$B$2:$B$1605,0),_xlfn.XMATCH("*Tăng trưởng doanh thu thuần (QoQ)*",Sheet4!$1:$1,2)),"")</f>
        <v>0</v>
      </c>
      <c r="R179" s="10" cm="1">
        <f t="array" ref="R179">IFERROR(INDEX(Sheet4!$2:$1605,MATCH(ChiTietKQKD[[#This Row],[Mã CP]],Sheet4!$B$2:$B$1605,0),_xlfn.XMATCH("*Tăng trưởng lợi nhuận sau thuế (QoQ)*",Sheet4!$1:$1,2)),"")</f>
        <v>0</v>
      </c>
    </row>
    <row r="180" spans="1:18" x14ac:dyDescent="0.25">
      <c r="A180" s="7">
        <f>Sheet4!A159</f>
        <v>158</v>
      </c>
      <c r="B180" t="str">
        <f>Sheet4!B159</f>
        <v>GMD</v>
      </c>
      <c r="C180" t="str">
        <f>Sheet4!C158</f>
        <v>XNK Bình Thạnh</v>
      </c>
      <c r="D180" t="str">
        <f>Sheet4!D159</f>
        <v>HOSE</v>
      </c>
      <c r="E180" s="7">
        <f>Sheet4!AH159/1000000000</f>
        <v>30707.647848000001</v>
      </c>
      <c r="F180" t="str">
        <f>Sheet4!E159</f>
        <v>Công nghiệp</v>
      </c>
      <c r="G180" t="str">
        <f>Sheet4!F159</f>
        <v>Hàng &amp; Dịch vụ Công nghiệp</v>
      </c>
      <c r="H180" t="str">
        <f>Sheet4!G159</f>
        <v>Kho bãi, hậu cần và bảo dưỡng</v>
      </c>
      <c r="I180" s="9" t="str" cm="1">
        <f t="array" ref="I18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80" s="9" t="str" cm="1">
        <f t="array" ref="J18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80" s="10" cm="1">
        <f t="array" ref="K18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80" s="10" cm="1">
        <f t="array" ref="L18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80" s="9" t="str" cm="1">
        <f t="array" ref="M18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80" s="9" t="str" cm="1">
        <f t="array" ref="N18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80" s="10" cm="1">
        <f t="array" ref="O180">IFERROR(INDEX(Sheet4!$2:$1605,MATCH(ChiTietKQKD[[#This Row],[Mã CP]],Sheet4!$B$2:$B$1605,0),_xlfn.XMATCH("*Tăng trưởng lợi nhuận sau thuế (YoY) (Quý*",Sheet4!$1:$1,2)),"")</f>
        <v>0</v>
      </c>
      <c r="P180" s="10" cm="1">
        <f t="array" ref="P180">IFERROR(INDEX(Sheet4!$2:$1605,MATCH(ChiTietKQKD[[#This Row],[Mã CP]],Sheet4!$B$2:$B$1605,0),_xlfn.XMATCH("*Tăng trưởng lợi nhuận sau thuế (YoY) (6M)*",Sheet4!$1:$1,2)),"")</f>
        <v>0</v>
      </c>
      <c r="Q180" s="10" cm="1">
        <f t="array" ref="Q180">IFERROR(INDEX(Sheet4!$2:$1605,MATCH(ChiTietKQKD[[#This Row],[Mã CP]],Sheet4!$B$2:$B$1605,0),_xlfn.XMATCH("*Tăng trưởng doanh thu thuần (QoQ)*",Sheet4!$1:$1,2)),"")</f>
        <v>0</v>
      </c>
      <c r="R180" s="10" cm="1">
        <f t="array" ref="R180">IFERROR(INDEX(Sheet4!$2:$1605,MATCH(ChiTietKQKD[[#This Row],[Mã CP]],Sheet4!$B$2:$B$1605,0),_xlfn.XMATCH("*Tăng trưởng lợi nhuận sau thuế (QoQ)*",Sheet4!$1:$1,2)),"")</f>
        <v>0</v>
      </c>
    </row>
    <row r="181" spans="1:18" x14ac:dyDescent="0.25">
      <c r="A181" s="7">
        <f>Sheet4!A160</f>
        <v>159</v>
      </c>
      <c r="B181" t="str">
        <f>Sheet4!B160</f>
        <v>GMH</v>
      </c>
      <c r="C181" t="str">
        <f>Sheet4!C159</f>
        <v>Tập đoàn Gemadept</v>
      </c>
      <c r="D181" t="str">
        <f>Sheet4!D160</f>
        <v>HOSE</v>
      </c>
      <c r="E181" s="7">
        <f>Sheet4!AH160/1000000000</f>
        <v>113.85</v>
      </c>
      <c r="F181" t="str">
        <f>Sheet4!E160</f>
        <v>Công nghiệp</v>
      </c>
      <c r="G181" t="str">
        <f>Sheet4!F160</f>
        <v>Xây dựng và Vật liệu</v>
      </c>
      <c r="H181" t="str">
        <f>Sheet4!G160</f>
        <v>Vật liệu xây dựng &amp; Nội thất</v>
      </c>
      <c r="I181" s="9" cm="1">
        <f t="array" ref="I18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21.255920066000002</v>
      </c>
      <c r="J181" s="9" cm="1">
        <f t="array" ref="J18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34.592436223</v>
      </c>
      <c r="K181" s="10" cm="1">
        <f t="array" ref="K18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-0.43130000000000002</v>
      </c>
      <c r="L181" s="10" cm="1">
        <f t="array" ref="L18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-0.4007</v>
      </c>
      <c r="M181" s="9" cm="1">
        <f t="array" ref="M181">_xlfn.LET(_xlpm.val,IFERROR(INDEX(Sheet4!$2:$1605,MATCH(ChiTietKQKD[[#This Row],[Mã CP]],Sheet4!$B$2:$B$1605,0),_xlfn.XMATCH("*Lợi nhuận sau thuế*Q2*2026*",Sheet4!$1:$1,2)),0),IF(OR(_xlpm.val="",_xlpm.val=0),"",_xlpm.val/1000000000))</f>
        <v>3.9167295680000001</v>
      </c>
      <c r="N181" s="9" cm="1">
        <f t="array" ref="N181">_xlfn.LET(_xlpm.val,IFERROR(INDEX(Sheet4!$2:$1605,MATCH(ChiTietKQKD[[#This Row],[Mã CP]],Sheet4!$B$2:$B$1605,0),_xlfn.XMATCH("*Lợi nhuận sau thuế*6 tháng*2026*",Sheet4!$1:$1,2)),0),IF(OR(_xlpm.val="",_xlpm.val=0),"",_xlpm.val/1000000000))</f>
        <v>6.2779249650000004</v>
      </c>
      <c r="O181" s="10" cm="1">
        <f t="array" ref="O181">IFERROR(INDEX(Sheet4!$2:$1605,MATCH(ChiTietKQKD[[#This Row],[Mã CP]],Sheet4!$B$2:$B$1605,0),_xlfn.XMATCH("*Tăng trưởng lợi nhuận sau thuế (YoY) (Quý*",Sheet4!$1:$1,2)),"")</f>
        <v>-0.3347</v>
      </c>
      <c r="P181" s="10" cm="1">
        <f t="array" ref="P181">IFERROR(INDEX(Sheet4!$2:$1605,MATCH(ChiTietKQKD[[#This Row],[Mã CP]],Sheet4!$B$2:$B$1605,0),_xlfn.XMATCH("*Tăng trưởng lợi nhuận sau thuế (YoY) (6M)*",Sheet4!$1:$1,2)),"")</f>
        <v>-0.20469999999999999</v>
      </c>
      <c r="Q181" s="10" cm="1">
        <f t="array" ref="Q181">IFERROR(INDEX(Sheet4!$2:$1605,MATCH(ChiTietKQKD[[#This Row],[Mã CP]],Sheet4!$B$2:$B$1605,0),_xlfn.XMATCH("*Tăng trưởng doanh thu thuần (QoQ)*",Sheet4!$1:$1,2)),"")</f>
        <v>0.59379999999999999</v>
      </c>
      <c r="R181" s="10" cm="1">
        <f t="array" ref="R181">IFERROR(INDEX(Sheet4!$2:$1605,MATCH(ChiTietKQKD[[#This Row],[Mã CP]],Sheet4!$B$2:$B$1605,0),_xlfn.XMATCH("*Tăng trưởng lợi nhuận sau thuế (QoQ)*",Sheet4!$1:$1,2)),"")</f>
        <v>0.65880000000000005</v>
      </c>
    </row>
    <row r="182" spans="1:18" x14ac:dyDescent="0.25">
      <c r="A182" s="7">
        <f>Sheet4!A161</f>
        <v>160</v>
      </c>
      <c r="B182" t="str">
        <f>Sheet4!B161</f>
        <v>GSP</v>
      </c>
      <c r="C182" t="str">
        <f>Sheet4!C160</f>
        <v>Minh Hưng Quảng Trị</v>
      </c>
      <c r="D182" t="str">
        <f>Sheet4!D161</f>
        <v>HOSE</v>
      </c>
      <c r="E182" s="7">
        <f>Sheet4!AH161/1000000000</f>
        <v>715.68073000000004</v>
      </c>
      <c r="F182" t="str">
        <f>Sheet4!E161</f>
        <v>Công nghiệp</v>
      </c>
      <c r="G182" t="str">
        <f>Sheet4!F161</f>
        <v>Hàng &amp; Dịch vụ Công nghiệp</v>
      </c>
      <c r="H182" t="str">
        <f>Sheet4!G161</f>
        <v>Vận tải Thủy</v>
      </c>
      <c r="I182" s="9" cm="1">
        <f t="array" ref="I18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1488.1887227750001</v>
      </c>
      <c r="J182" s="9" cm="1">
        <f t="array" ref="J18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2201.7356296140001</v>
      </c>
      <c r="K182" s="10" cm="1">
        <f t="array" ref="K18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8.6E-3</v>
      </c>
      <c r="L182" s="10" cm="1">
        <f t="array" ref="L18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0.12939999999999999</v>
      </c>
      <c r="M182" s="9" cm="1">
        <f t="array" ref="M182">_xlfn.LET(_xlpm.val,IFERROR(INDEX(Sheet4!$2:$1605,MATCH(ChiTietKQKD[[#This Row],[Mã CP]],Sheet4!$B$2:$B$1605,0),_xlfn.XMATCH("*Lợi nhuận sau thuế*Q2*2026*",Sheet4!$1:$1,2)),0),IF(OR(_xlpm.val="",_xlpm.val=0),"",_xlpm.val/1000000000))</f>
        <v>14.583900006</v>
      </c>
      <c r="N182" s="9" cm="1">
        <f t="array" ref="N182">_xlfn.LET(_xlpm.val,IFERROR(INDEX(Sheet4!$2:$1605,MATCH(ChiTietKQKD[[#This Row],[Mã CP]],Sheet4!$B$2:$B$1605,0),_xlfn.XMATCH("*Lợi nhuận sau thuế*6 tháng*2026*",Sheet4!$1:$1,2)),0),IF(OR(_xlpm.val="",_xlpm.val=0),"",_xlpm.val/1000000000))</f>
        <v>40.954441115999998</v>
      </c>
      <c r="O182" s="10" cm="1">
        <f t="array" ref="O182">IFERROR(INDEX(Sheet4!$2:$1605,MATCH(ChiTietKQKD[[#This Row],[Mã CP]],Sheet4!$B$2:$B$1605,0),_xlfn.XMATCH("*Tăng trưởng lợi nhuận sau thuế (YoY) (Quý*",Sheet4!$1:$1,2)),"")</f>
        <v>-0.45569999999999999</v>
      </c>
      <c r="P182" s="10" cm="1">
        <f t="array" ref="P182">IFERROR(INDEX(Sheet4!$2:$1605,MATCH(ChiTietKQKD[[#This Row],[Mã CP]],Sheet4!$B$2:$B$1605,0),_xlfn.XMATCH("*Tăng trưởng lợi nhuận sau thuế (YoY) (6M)*",Sheet4!$1:$1,2)),"")</f>
        <v>-0.2742</v>
      </c>
      <c r="Q182" s="10" cm="1">
        <f t="array" ref="Q182">IFERROR(INDEX(Sheet4!$2:$1605,MATCH(ChiTietKQKD[[#This Row],[Mã CP]],Sheet4!$B$2:$B$1605,0),_xlfn.XMATCH("*Tăng trưởng doanh thu thuần (QoQ)*",Sheet4!$1:$1,2)),"")</f>
        <v>1.0855999999999999</v>
      </c>
      <c r="R182" s="10" cm="1">
        <f t="array" ref="R182">IFERROR(INDEX(Sheet4!$2:$1605,MATCH(ChiTietKQKD[[#This Row],[Mã CP]],Sheet4!$B$2:$B$1605,0),_xlfn.XMATCH("*Tăng trưởng lợi nhuận sau thuế (QoQ)*",Sheet4!$1:$1,2)),"")</f>
        <v>-0.44700000000000001</v>
      </c>
    </row>
    <row r="183" spans="1:18" x14ac:dyDescent="0.25">
      <c r="A183" s="7">
        <f>Sheet4!A162</f>
        <v>161</v>
      </c>
      <c r="B183" t="str">
        <f>Sheet4!B162</f>
        <v>GTA</v>
      </c>
      <c r="C183" t="str">
        <f>Sheet4!C161</f>
        <v>Vận tải Sản phẩm Khí Quốc tế</v>
      </c>
      <c r="D183" t="str">
        <f>Sheet4!D162</f>
        <v>HOSE</v>
      </c>
      <c r="E183" s="7">
        <f>Sheet4!AH162/1000000000</f>
        <v>86.209100000000007</v>
      </c>
      <c r="F183" t="str">
        <f>Sheet4!E162</f>
        <v>Nguyên vật liệu</v>
      </c>
      <c r="G183" t="str">
        <f>Sheet4!F162</f>
        <v>Tài nguyên Cơ bản</v>
      </c>
      <c r="H183" t="str">
        <f>Sheet4!G162</f>
        <v>Lâm sản và Chế biến gỗ</v>
      </c>
      <c r="I183" s="9" cm="1">
        <f t="array" ref="I18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66.461078846000007</v>
      </c>
      <c r="J183" s="9" cm="1">
        <f t="array" ref="J18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115.72554768000001</v>
      </c>
      <c r="K183" s="10" cm="1">
        <f t="array" ref="K18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0.33200000000000002</v>
      </c>
      <c r="L183" s="10" cm="1">
        <f t="array" ref="L18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2.63E-2</v>
      </c>
      <c r="M183" s="9" cm="1">
        <f t="array" ref="M183">_xlfn.LET(_xlpm.val,IFERROR(INDEX(Sheet4!$2:$1605,MATCH(ChiTietKQKD[[#This Row],[Mã CP]],Sheet4!$B$2:$B$1605,0),_xlfn.XMATCH("*Lợi nhuận sau thuế*Q2*2026*",Sheet4!$1:$1,2)),0),IF(OR(_xlpm.val="",_xlpm.val=0),"",_xlpm.val/1000000000))</f>
        <v>2.8226782730000002</v>
      </c>
      <c r="N183" s="9" cm="1">
        <f t="array" ref="N183">_xlfn.LET(_xlpm.val,IFERROR(INDEX(Sheet4!$2:$1605,MATCH(ChiTietKQKD[[#This Row],[Mã CP]],Sheet4!$B$2:$B$1605,0),_xlfn.XMATCH("*Lợi nhuận sau thuế*6 tháng*2026*",Sheet4!$1:$1,2)),0),IF(OR(_xlpm.val="",_xlpm.val=0),"",_xlpm.val/1000000000))</f>
        <v>4.6535856549999997</v>
      </c>
      <c r="O183" s="10" cm="1">
        <f t="array" ref="O183">IFERROR(INDEX(Sheet4!$2:$1605,MATCH(ChiTietKQKD[[#This Row],[Mã CP]],Sheet4!$B$2:$B$1605,0),_xlfn.XMATCH("*Tăng trưởng lợi nhuận sau thuế (YoY) (Quý*",Sheet4!$1:$1,2)),"")</f>
        <v>1.2054</v>
      </c>
      <c r="P183" s="10" cm="1">
        <f t="array" ref="P183">IFERROR(INDEX(Sheet4!$2:$1605,MATCH(ChiTietKQKD[[#This Row],[Mã CP]],Sheet4!$B$2:$B$1605,0),_xlfn.XMATCH("*Tăng trưởng lợi nhuận sau thuế (YoY) (6M)*",Sheet4!$1:$1,2)),"")</f>
        <v>0.81710000000000005</v>
      </c>
      <c r="Q183" s="10" cm="1">
        <f t="array" ref="Q183">IFERROR(INDEX(Sheet4!$2:$1605,MATCH(ChiTietKQKD[[#This Row],[Mã CP]],Sheet4!$B$2:$B$1605,0),_xlfn.XMATCH("*Tăng trưởng doanh thu thuần (QoQ)*",Sheet4!$1:$1,2)),"")</f>
        <v>0.34910000000000002</v>
      </c>
      <c r="R183" s="10" cm="1">
        <f t="array" ref="R183">IFERROR(INDEX(Sheet4!$2:$1605,MATCH(ChiTietKQKD[[#This Row],[Mã CP]],Sheet4!$B$2:$B$1605,0),_xlfn.XMATCH("*Tăng trưởng lợi nhuận sau thuế (QoQ)*",Sheet4!$1:$1,2)),"")</f>
        <v>0.54169999999999996</v>
      </c>
    </row>
    <row r="184" spans="1:18" x14ac:dyDescent="0.25">
      <c r="A184" s="7">
        <f>Sheet4!A163</f>
        <v>162</v>
      </c>
      <c r="B184" t="str">
        <f>Sheet4!B163</f>
        <v>GVR</v>
      </c>
      <c r="C184" t="str">
        <f>Sheet4!C162</f>
        <v>Gỗ Thuận An</v>
      </c>
      <c r="D184" t="str">
        <f>Sheet4!D163</f>
        <v>HOSE</v>
      </c>
      <c r="E184" s="7">
        <f>Sheet4!AH163/1000000000</f>
        <v>108600</v>
      </c>
      <c r="F184" t="str">
        <f>Sheet4!E163</f>
        <v>Nguyên vật liệu</v>
      </c>
      <c r="G184" t="str">
        <f>Sheet4!F163</f>
        <v>Hóa chất</v>
      </c>
      <c r="H184" t="str">
        <f>Sheet4!G163</f>
        <v>Nhựa, cao su &amp; sợi</v>
      </c>
      <c r="I184" s="9" t="str" cm="1">
        <f t="array" ref="I18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84" s="9" t="str" cm="1">
        <f t="array" ref="J18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84" s="10" cm="1">
        <f t="array" ref="K18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84" s="10" cm="1">
        <f t="array" ref="L18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84" s="9" t="str" cm="1">
        <f t="array" ref="M18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84" s="9" t="str" cm="1">
        <f t="array" ref="N18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84" s="10" cm="1">
        <f t="array" ref="O184">IFERROR(INDEX(Sheet4!$2:$1605,MATCH(ChiTietKQKD[[#This Row],[Mã CP]],Sheet4!$B$2:$B$1605,0),_xlfn.XMATCH("*Tăng trưởng lợi nhuận sau thuế (YoY) (Quý*",Sheet4!$1:$1,2)),"")</f>
        <v>0</v>
      </c>
      <c r="P184" s="10" cm="1">
        <f t="array" ref="P184">IFERROR(INDEX(Sheet4!$2:$1605,MATCH(ChiTietKQKD[[#This Row],[Mã CP]],Sheet4!$B$2:$B$1605,0),_xlfn.XMATCH("*Tăng trưởng lợi nhuận sau thuế (YoY) (6M)*",Sheet4!$1:$1,2)),"")</f>
        <v>0</v>
      </c>
      <c r="Q184" s="10" cm="1">
        <f t="array" ref="Q184">IFERROR(INDEX(Sheet4!$2:$1605,MATCH(ChiTietKQKD[[#This Row],[Mã CP]],Sheet4!$B$2:$B$1605,0),_xlfn.XMATCH("*Tăng trưởng doanh thu thuần (QoQ)*",Sheet4!$1:$1,2)),"")</f>
        <v>0</v>
      </c>
      <c r="R184" s="10" cm="1">
        <f t="array" ref="R184">IFERROR(INDEX(Sheet4!$2:$1605,MATCH(ChiTietKQKD[[#This Row],[Mã CP]],Sheet4!$B$2:$B$1605,0),_xlfn.XMATCH("*Tăng trưởng lợi nhuận sau thuế (QoQ)*",Sheet4!$1:$1,2)),"")</f>
        <v>0</v>
      </c>
    </row>
    <row r="185" spans="1:18" x14ac:dyDescent="0.25">
      <c r="A185" s="7">
        <f>Sheet4!A164</f>
        <v>163</v>
      </c>
      <c r="B185" t="str">
        <f>Sheet4!B164</f>
        <v>HAG</v>
      </c>
      <c r="C185" t="str">
        <f>Sheet4!C163</f>
        <v>Tập đoàn CN Cao su VN</v>
      </c>
      <c r="D185" t="str">
        <f>Sheet4!D164</f>
        <v>HOSE</v>
      </c>
      <c r="E185" s="7">
        <f>Sheet4!AH164/1000000000</f>
        <v>17743.589961999998</v>
      </c>
      <c r="F185" t="str">
        <f>Sheet4!E164</f>
        <v>Hàng Tiêu dùng</v>
      </c>
      <c r="G185" t="str">
        <f>Sheet4!F164</f>
        <v>Thực phẩm và đồ uống</v>
      </c>
      <c r="H185" t="str">
        <f>Sheet4!G164</f>
        <v>Nuôi trồng nông &amp; hải sản</v>
      </c>
      <c r="I185" s="9" t="str" cm="1">
        <f t="array" ref="I18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85" s="9" t="str" cm="1">
        <f t="array" ref="J18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85" s="10" cm="1">
        <f t="array" ref="K18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85" s="10" cm="1">
        <f t="array" ref="L18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85" s="9" t="str" cm="1">
        <f t="array" ref="M18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85" s="9" t="str" cm="1">
        <f t="array" ref="N18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85" s="10" cm="1">
        <f t="array" ref="O185">IFERROR(INDEX(Sheet4!$2:$1605,MATCH(ChiTietKQKD[[#This Row],[Mã CP]],Sheet4!$B$2:$B$1605,0),_xlfn.XMATCH("*Tăng trưởng lợi nhuận sau thuế (YoY) (Quý*",Sheet4!$1:$1,2)),"")</f>
        <v>0</v>
      </c>
      <c r="P185" s="10" cm="1">
        <f t="array" ref="P185">IFERROR(INDEX(Sheet4!$2:$1605,MATCH(ChiTietKQKD[[#This Row],[Mã CP]],Sheet4!$B$2:$B$1605,0),_xlfn.XMATCH("*Tăng trưởng lợi nhuận sau thuế (YoY) (6M)*",Sheet4!$1:$1,2)),"")</f>
        <v>0</v>
      </c>
      <c r="Q185" s="10" cm="1">
        <f t="array" ref="Q185">IFERROR(INDEX(Sheet4!$2:$1605,MATCH(ChiTietKQKD[[#This Row],[Mã CP]],Sheet4!$B$2:$B$1605,0),_xlfn.XMATCH("*Tăng trưởng doanh thu thuần (QoQ)*",Sheet4!$1:$1,2)),"")</f>
        <v>0</v>
      </c>
      <c r="R185" s="10" cm="1">
        <f t="array" ref="R185">IFERROR(INDEX(Sheet4!$2:$1605,MATCH(ChiTietKQKD[[#This Row],[Mã CP]],Sheet4!$B$2:$B$1605,0),_xlfn.XMATCH("*Tăng trưởng lợi nhuận sau thuế (QoQ)*",Sheet4!$1:$1,2)),"")</f>
        <v>0</v>
      </c>
    </row>
    <row r="186" spans="1:18" x14ac:dyDescent="0.25">
      <c r="A186" s="7">
        <f>Sheet4!A165</f>
        <v>164</v>
      </c>
      <c r="B186" t="str">
        <f>Sheet4!B165</f>
        <v>HAH</v>
      </c>
      <c r="C186" t="str">
        <f>Sheet4!C164</f>
        <v>Hoàng Anh Gia Lai</v>
      </c>
      <c r="D186" t="str">
        <f>Sheet4!D165</f>
        <v>HOSE</v>
      </c>
      <c r="E186" s="7">
        <f>Sheet4!AH165/1000000000</f>
        <v>8447.0669848500002</v>
      </c>
      <c r="F186" t="str">
        <f>Sheet4!E165</f>
        <v>Công nghiệp</v>
      </c>
      <c r="G186" t="str">
        <f>Sheet4!F165</f>
        <v>Hàng &amp; Dịch vụ Công nghiệp</v>
      </c>
      <c r="H186" t="str">
        <f>Sheet4!G165</f>
        <v>Kho bãi, hậu cần và bảo dưỡng</v>
      </c>
      <c r="I186" s="9" t="str" cm="1">
        <f t="array" ref="I18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86" s="9" t="str" cm="1">
        <f t="array" ref="J18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86" s="10" cm="1">
        <f t="array" ref="K18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86" s="10" cm="1">
        <f t="array" ref="L18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86" s="9" t="str" cm="1">
        <f t="array" ref="M18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86" s="9" t="str" cm="1">
        <f t="array" ref="N18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86" s="10" cm="1">
        <f t="array" ref="O186">IFERROR(INDEX(Sheet4!$2:$1605,MATCH(ChiTietKQKD[[#This Row],[Mã CP]],Sheet4!$B$2:$B$1605,0),_xlfn.XMATCH("*Tăng trưởng lợi nhuận sau thuế (YoY) (Quý*",Sheet4!$1:$1,2)),"")</f>
        <v>0</v>
      </c>
      <c r="P186" s="10" cm="1">
        <f t="array" ref="P186">IFERROR(INDEX(Sheet4!$2:$1605,MATCH(ChiTietKQKD[[#This Row],[Mã CP]],Sheet4!$B$2:$B$1605,0),_xlfn.XMATCH("*Tăng trưởng lợi nhuận sau thuế (YoY) (6M)*",Sheet4!$1:$1,2)),"")</f>
        <v>0</v>
      </c>
      <c r="Q186" s="10" cm="1">
        <f t="array" ref="Q186">IFERROR(INDEX(Sheet4!$2:$1605,MATCH(ChiTietKQKD[[#This Row],[Mã CP]],Sheet4!$B$2:$B$1605,0),_xlfn.XMATCH("*Tăng trưởng doanh thu thuần (QoQ)*",Sheet4!$1:$1,2)),"")</f>
        <v>0</v>
      </c>
      <c r="R186" s="10" cm="1">
        <f t="array" ref="R186">IFERROR(INDEX(Sheet4!$2:$1605,MATCH(ChiTietKQKD[[#This Row],[Mã CP]],Sheet4!$B$2:$B$1605,0),_xlfn.XMATCH("*Tăng trưởng lợi nhuận sau thuế (QoQ)*",Sheet4!$1:$1,2)),"")</f>
        <v>0</v>
      </c>
    </row>
    <row r="187" spans="1:18" x14ac:dyDescent="0.25">
      <c r="A187" s="7">
        <f>Sheet4!A166</f>
        <v>165</v>
      </c>
      <c r="B187" t="str">
        <f>Sheet4!B166</f>
        <v>HAP</v>
      </c>
      <c r="C187" t="str">
        <f>Sheet4!C165</f>
        <v>Vận tải và Xếp dỡ Hải An</v>
      </c>
      <c r="D187" t="str">
        <f>Sheet4!D166</f>
        <v>HOSE</v>
      </c>
      <c r="E187" s="7">
        <f>Sheet4!AH166/1000000000</f>
        <v>792.12803627999995</v>
      </c>
      <c r="F187" t="str">
        <f>Sheet4!E166</f>
        <v>Nguyên vật liệu</v>
      </c>
      <c r="G187" t="str">
        <f>Sheet4!F166</f>
        <v>Tài nguyên Cơ bản</v>
      </c>
      <c r="H187" t="str">
        <f>Sheet4!G166</f>
        <v>Sản xuất giấy</v>
      </c>
      <c r="I187" s="9" t="str" cm="1">
        <f t="array" ref="I18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87" s="9" t="str" cm="1">
        <f t="array" ref="J18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87" s="10" cm="1">
        <f t="array" ref="K18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87" s="10" cm="1">
        <f t="array" ref="L18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87" s="9" t="str" cm="1">
        <f t="array" ref="M18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87" s="9" t="str" cm="1">
        <f t="array" ref="N18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87" s="10" cm="1">
        <f t="array" ref="O187">IFERROR(INDEX(Sheet4!$2:$1605,MATCH(ChiTietKQKD[[#This Row],[Mã CP]],Sheet4!$B$2:$B$1605,0),_xlfn.XMATCH("*Tăng trưởng lợi nhuận sau thuế (YoY) (Quý*",Sheet4!$1:$1,2)),"")</f>
        <v>0</v>
      </c>
      <c r="P187" s="10" cm="1">
        <f t="array" ref="P187">IFERROR(INDEX(Sheet4!$2:$1605,MATCH(ChiTietKQKD[[#This Row],[Mã CP]],Sheet4!$B$2:$B$1605,0),_xlfn.XMATCH("*Tăng trưởng lợi nhuận sau thuế (YoY) (6M)*",Sheet4!$1:$1,2)),"")</f>
        <v>0</v>
      </c>
      <c r="Q187" s="10" cm="1">
        <f t="array" ref="Q187">IFERROR(INDEX(Sheet4!$2:$1605,MATCH(ChiTietKQKD[[#This Row],[Mã CP]],Sheet4!$B$2:$B$1605,0),_xlfn.XMATCH("*Tăng trưởng doanh thu thuần (QoQ)*",Sheet4!$1:$1,2)),"")</f>
        <v>0</v>
      </c>
      <c r="R187" s="10" cm="1">
        <f t="array" ref="R187">IFERROR(INDEX(Sheet4!$2:$1605,MATCH(ChiTietKQKD[[#This Row],[Mã CP]],Sheet4!$B$2:$B$1605,0),_xlfn.XMATCH("*Tăng trưởng lợi nhuận sau thuế (QoQ)*",Sheet4!$1:$1,2)),"")</f>
        <v>0</v>
      </c>
    </row>
    <row r="188" spans="1:18" x14ac:dyDescent="0.25">
      <c r="A188" s="7">
        <f>Sheet4!A167</f>
        <v>166</v>
      </c>
      <c r="B188" t="str">
        <f>Sheet4!B167</f>
        <v>HAR</v>
      </c>
      <c r="C188" t="str">
        <f>Sheet4!C166</f>
        <v>Tập đoàn Hapaco</v>
      </c>
      <c r="D188" t="str">
        <f>Sheet4!D167</f>
        <v>HOSE</v>
      </c>
      <c r="E188" s="7">
        <f>Sheet4!AH167/1000000000</f>
        <v>282.26806549999998</v>
      </c>
      <c r="F188" t="str">
        <f>Sheet4!E167</f>
        <v>Tài chính</v>
      </c>
      <c r="G188" t="str">
        <f>Sheet4!F167</f>
        <v>Bất động sản</v>
      </c>
      <c r="H188" t="str">
        <f>Sheet4!G167</f>
        <v>Bất động sản</v>
      </c>
      <c r="I188" s="9" cm="1">
        <f t="array" ref="I18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4.4685542649999999</v>
      </c>
      <c r="J188" s="9" cm="1">
        <f t="array" ref="J18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8.9075050289999993</v>
      </c>
      <c r="K188" s="10" cm="1">
        <f t="array" ref="K18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3.6999999999999998E-2</v>
      </c>
      <c r="L188" s="10" cm="1">
        <f t="array" ref="L18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2.4199999999999999E-2</v>
      </c>
      <c r="M188" s="9" cm="1">
        <f t="array" ref="M188">_xlfn.LET(_xlpm.val,IFERROR(INDEX(Sheet4!$2:$1605,MATCH(ChiTietKQKD[[#This Row],[Mã CP]],Sheet4!$B$2:$B$1605,0),_xlfn.XMATCH("*Lợi nhuận sau thuế*Q2*2026*",Sheet4!$1:$1,2)),0),IF(OR(_xlpm.val="",_xlpm.val=0),"",_xlpm.val/1000000000))</f>
        <v>3.8955745799999999</v>
      </c>
      <c r="N188" s="9" cm="1">
        <f t="array" ref="N188">_xlfn.LET(_xlpm.val,IFERROR(INDEX(Sheet4!$2:$1605,MATCH(ChiTietKQKD[[#This Row],[Mã CP]],Sheet4!$B$2:$B$1605,0),_xlfn.XMATCH("*Lợi nhuận sau thuế*6 tháng*2026*",Sheet4!$1:$1,2)),0),IF(OR(_xlpm.val="",_xlpm.val=0),"",_xlpm.val/1000000000))</f>
        <v>5.8147691430000004</v>
      </c>
      <c r="O188" s="10" cm="1">
        <f t="array" ref="O188">IFERROR(INDEX(Sheet4!$2:$1605,MATCH(ChiTietKQKD[[#This Row],[Mã CP]],Sheet4!$B$2:$B$1605,0),_xlfn.XMATCH("*Tăng trưởng lợi nhuận sau thuế (YoY) (Quý*",Sheet4!$1:$1,2)),"")</f>
        <v>0.3911</v>
      </c>
      <c r="P188" s="10" cm="1">
        <f t="array" ref="P188">IFERROR(INDEX(Sheet4!$2:$1605,MATCH(ChiTietKQKD[[#This Row],[Mã CP]],Sheet4!$B$2:$B$1605,0),_xlfn.XMATCH("*Tăng trưởng lợi nhuận sau thuế (YoY) (6M)*",Sheet4!$1:$1,2)),"")</f>
        <v>-0.41710000000000003</v>
      </c>
      <c r="Q188" s="10" cm="1">
        <f t="array" ref="Q188">IFERROR(INDEX(Sheet4!$2:$1605,MATCH(ChiTietKQKD[[#This Row],[Mã CP]],Sheet4!$B$2:$B$1605,0),_xlfn.XMATCH("*Tăng trưởng doanh thu thuần (QoQ)*",Sheet4!$1:$1,2)),"")</f>
        <v>6.7000000000000002E-3</v>
      </c>
      <c r="R188" s="10" cm="1">
        <f t="array" ref="R188">IFERROR(INDEX(Sheet4!$2:$1605,MATCH(ChiTietKQKD[[#This Row],[Mã CP]],Sheet4!$B$2:$B$1605,0),_xlfn.XMATCH("*Tăng trưởng lợi nhuận sau thuế (QoQ)*",Sheet4!$1:$1,2)),"")</f>
        <v>1.0298</v>
      </c>
    </row>
    <row r="189" spans="1:18" x14ac:dyDescent="0.25">
      <c r="A189" s="7">
        <f>Sheet4!A168</f>
        <v>167</v>
      </c>
      <c r="B189" t="str">
        <f>Sheet4!B168</f>
        <v>HAS</v>
      </c>
      <c r="C189" t="str">
        <f>Sheet4!C167</f>
        <v>BĐS An Dương Thảo Điền</v>
      </c>
      <c r="D189" t="str">
        <f>Sheet4!D168</f>
        <v>HOSE</v>
      </c>
      <c r="E189" s="7">
        <f>Sheet4!AH168/1000000000</f>
        <v>68.796000000000006</v>
      </c>
      <c r="F189" t="str">
        <f>Sheet4!E168</f>
        <v>Công nghiệp</v>
      </c>
      <c r="G189" t="str">
        <f>Sheet4!F168</f>
        <v>Xây dựng và Vật liệu</v>
      </c>
      <c r="H189" t="str">
        <f>Sheet4!G168</f>
        <v>Xây dựng</v>
      </c>
      <c r="I189" s="9" t="str" cm="1">
        <f t="array" ref="I18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89" s="9" t="str" cm="1">
        <f t="array" ref="J18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89" s="10" cm="1">
        <f t="array" ref="K18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89" s="10" cm="1">
        <f t="array" ref="L18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89" s="9" t="str" cm="1">
        <f t="array" ref="M18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89" s="9" t="str" cm="1">
        <f t="array" ref="N18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89" s="10" cm="1">
        <f t="array" ref="O189">IFERROR(INDEX(Sheet4!$2:$1605,MATCH(ChiTietKQKD[[#This Row],[Mã CP]],Sheet4!$B$2:$B$1605,0),_xlfn.XMATCH("*Tăng trưởng lợi nhuận sau thuế (YoY) (Quý*",Sheet4!$1:$1,2)),"")</f>
        <v>0</v>
      </c>
      <c r="P189" s="10" cm="1">
        <f t="array" ref="P189">IFERROR(INDEX(Sheet4!$2:$1605,MATCH(ChiTietKQKD[[#This Row],[Mã CP]],Sheet4!$B$2:$B$1605,0),_xlfn.XMATCH("*Tăng trưởng lợi nhuận sau thuế (YoY) (6M)*",Sheet4!$1:$1,2)),"")</f>
        <v>0</v>
      </c>
      <c r="Q189" s="10" cm="1">
        <f t="array" ref="Q189">IFERROR(INDEX(Sheet4!$2:$1605,MATCH(ChiTietKQKD[[#This Row],[Mã CP]],Sheet4!$B$2:$B$1605,0),_xlfn.XMATCH("*Tăng trưởng doanh thu thuần (QoQ)*",Sheet4!$1:$1,2)),"")</f>
        <v>0</v>
      </c>
      <c r="R189" s="10" cm="1">
        <f t="array" ref="R189">IFERROR(INDEX(Sheet4!$2:$1605,MATCH(ChiTietKQKD[[#This Row],[Mã CP]],Sheet4!$B$2:$B$1605,0),_xlfn.XMATCH("*Tăng trưởng lợi nhuận sau thuế (QoQ)*",Sheet4!$1:$1,2)),"")</f>
        <v>0</v>
      </c>
    </row>
    <row r="190" spans="1:18" x14ac:dyDescent="0.25">
      <c r="A190" s="7">
        <f>Sheet4!A169</f>
        <v>168</v>
      </c>
      <c r="B190" t="str">
        <f>Sheet4!B169</f>
        <v>HAX</v>
      </c>
      <c r="C190" t="str">
        <f>Sheet4!C168</f>
        <v>Hacisco</v>
      </c>
      <c r="D190" t="str">
        <f>Sheet4!D169</f>
        <v>HOSE</v>
      </c>
      <c r="E190" s="7">
        <f>Sheet4!AH169/1000000000</f>
        <v>917.53487573999996</v>
      </c>
      <c r="F190" t="str">
        <f>Sheet4!E169</f>
        <v>Hàng Tiêu dùng</v>
      </c>
      <c r="G190" t="str">
        <f>Sheet4!F169</f>
        <v>Ô tô và phụ tùng</v>
      </c>
      <c r="H190" t="str">
        <f>Sheet4!G169</f>
        <v>Sản xuất ô tô</v>
      </c>
      <c r="I190" s="9" t="str" cm="1">
        <f t="array" ref="I19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90" s="9" t="str" cm="1">
        <f t="array" ref="J19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90" s="10" cm="1">
        <f t="array" ref="K19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90" s="10" cm="1">
        <f t="array" ref="L19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90" s="9" t="str" cm="1">
        <f t="array" ref="M19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90" s="9" t="str" cm="1">
        <f t="array" ref="N19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90" s="10" cm="1">
        <f t="array" ref="O190">IFERROR(INDEX(Sheet4!$2:$1605,MATCH(ChiTietKQKD[[#This Row],[Mã CP]],Sheet4!$B$2:$B$1605,0),_xlfn.XMATCH("*Tăng trưởng lợi nhuận sau thuế (YoY) (Quý*",Sheet4!$1:$1,2)),"")</f>
        <v>0</v>
      </c>
      <c r="P190" s="10" cm="1">
        <f t="array" ref="P190">IFERROR(INDEX(Sheet4!$2:$1605,MATCH(ChiTietKQKD[[#This Row],[Mã CP]],Sheet4!$B$2:$B$1605,0),_xlfn.XMATCH("*Tăng trưởng lợi nhuận sau thuế (YoY) (6M)*",Sheet4!$1:$1,2)),"")</f>
        <v>0</v>
      </c>
      <c r="Q190" s="10" cm="1">
        <f t="array" ref="Q190">IFERROR(INDEX(Sheet4!$2:$1605,MATCH(ChiTietKQKD[[#This Row],[Mã CP]],Sheet4!$B$2:$B$1605,0),_xlfn.XMATCH("*Tăng trưởng doanh thu thuần (QoQ)*",Sheet4!$1:$1,2)),"")</f>
        <v>0</v>
      </c>
      <c r="R190" s="10" cm="1">
        <f t="array" ref="R190">IFERROR(INDEX(Sheet4!$2:$1605,MATCH(ChiTietKQKD[[#This Row],[Mã CP]],Sheet4!$B$2:$B$1605,0),_xlfn.XMATCH("*Tăng trưởng lợi nhuận sau thuế (QoQ)*",Sheet4!$1:$1,2)),"")</f>
        <v>0</v>
      </c>
    </row>
    <row r="191" spans="1:18" x14ac:dyDescent="0.25">
      <c r="A191" s="7">
        <f>Sheet4!A170</f>
        <v>169</v>
      </c>
      <c r="B191" t="str">
        <f>Sheet4!B170</f>
        <v>HCD</v>
      </c>
      <c r="C191" t="str">
        <f>Sheet4!C169</f>
        <v>Ô tô Hàng Xanh</v>
      </c>
      <c r="D191" t="str">
        <f>Sheet4!D170</f>
        <v>HOSE</v>
      </c>
      <c r="E191" s="7">
        <f>Sheet4!AH170/1000000000</f>
        <v>295.66605440000001</v>
      </c>
      <c r="F191" t="str">
        <f>Sheet4!E170</f>
        <v>Nguyên vật liệu</v>
      </c>
      <c r="G191" t="str">
        <f>Sheet4!F170</f>
        <v>Hóa chất</v>
      </c>
      <c r="H191" t="str">
        <f>Sheet4!G170</f>
        <v>Nhựa, cao su &amp; sợi</v>
      </c>
      <c r="I191" s="9" cm="1">
        <f t="array" ref="I19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212.45257854100001</v>
      </c>
      <c r="J191" s="9" cm="1">
        <f t="array" ref="J19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418.38112253000003</v>
      </c>
      <c r="K191" s="10" cm="1">
        <f t="array" ref="K19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0.1409</v>
      </c>
      <c r="L191" s="10" cm="1">
        <f t="array" ref="L19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0.15190000000000001</v>
      </c>
      <c r="M191" s="9" cm="1">
        <f t="array" ref="M191">_xlfn.LET(_xlpm.val,IFERROR(INDEX(Sheet4!$2:$1605,MATCH(ChiTietKQKD[[#This Row],[Mã CP]],Sheet4!$B$2:$B$1605,0),_xlfn.XMATCH("*Lợi nhuận sau thuế*Q2*2026*",Sheet4!$1:$1,2)),0),IF(OR(_xlpm.val="",_xlpm.val=0),"",_xlpm.val/1000000000))</f>
        <v>5.4098932</v>
      </c>
      <c r="N191" s="9" cm="1">
        <f t="array" ref="N191">_xlfn.LET(_xlpm.val,IFERROR(INDEX(Sheet4!$2:$1605,MATCH(ChiTietKQKD[[#This Row],[Mã CP]],Sheet4!$B$2:$B$1605,0),_xlfn.XMATCH("*Lợi nhuận sau thuế*6 tháng*2026*",Sheet4!$1:$1,2)),0),IF(OR(_xlpm.val="",_xlpm.val=0),"",_xlpm.val/1000000000))</f>
        <v>12.764452301</v>
      </c>
      <c r="O191" s="10" cm="1">
        <f t="array" ref="O191">IFERROR(INDEX(Sheet4!$2:$1605,MATCH(ChiTietKQKD[[#This Row],[Mã CP]],Sheet4!$B$2:$B$1605,0),_xlfn.XMATCH("*Tăng trưởng lợi nhuận sau thuế (YoY) (Quý*",Sheet4!$1:$1,2)),"")</f>
        <v>-7.0699999999999999E-2</v>
      </c>
      <c r="P191" s="10" cm="1">
        <f t="array" ref="P191">IFERROR(INDEX(Sheet4!$2:$1605,MATCH(ChiTietKQKD[[#This Row],[Mã CP]],Sheet4!$B$2:$B$1605,0),_xlfn.XMATCH("*Tăng trưởng lợi nhuận sau thuế (YoY) (6M)*",Sheet4!$1:$1,2)),"")</f>
        <v>-7.8700000000000006E-2</v>
      </c>
      <c r="Q191" s="10" cm="1">
        <f t="array" ref="Q191">IFERROR(INDEX(Sheet4!$2:$1605,MATCH(ChiTietKQKD[[#This Row],[Mã CP]],Sheet4!$B$2:$B$1605,0),_xlfn.XMATCH("*Tăng trưởng doanh thu thuần (QoQ)*",Sheet4!$1:$1,2)),"")</f>
        <v>3.1699999999999999E-2</v>
      </c>
      <c r="R191" s="10" cm="1">
        <f t="array" ref="R191">IFERROR(INDEX(Sheet4!$2:$1605,MATCH(ChiTietKQKD[[#This Row],[Mã CP]],Sheet4!$B$2:$B$1605,0),_xlfn.XMATCH("*Tăng trưởng lợi nhuận sau thuế (QoQ)*",Sheet4!$1:$1,2)),"")</f>
        <v>-0.26440000000000002</v>
      </c>
    </row>
    <row r="192" spans="1:18" x14ac:dyDescent="0.25">
      <c r="A192" s="7">
        <f>Sheet4!A171</f>
        <v>170</v>
      </c>
      <c r="B192" t="str">
        <f>Sheet4!B171</f>
        <v>HCM</v>
      </c>
      <c r="C192" t="str">
        <f>Sheet4!C170</f>
        <v>SX và Thương mại HCD</v>
      </c>
      <c r="D192" t="str">
        <f>Sheet4!D171</f>
        <v>HOSE</v>
      </c>
      <c r="E192" s="7">
        <f>Sheet4!AH171/1000000000</f>
        <v>34153.629701400001</v>
      </c>
      <c r="F192" t="str">
        <f>Sheet4!E171</f>
        <v>Tài chính</v>
      </c>
      <c r="G192" t="str">
        <f>Sheet4!F171</f>
        <v>Dịch vụ tài chính</v>
      </c>
      <c r="H192" t="str">
        <f>Sheet4!G171</f>
        <v>Môi giới chứng khoán</v>
      </c>
      <c r="I192" s="9" cm="1">
        <f t="array" ref="I19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1235.3899221649999</v>
      </c>
      <c r="J192" s="9" cm="1">
        <f t="array" ref="J19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2701.7931658950001</v>
      </c>
      <c r="K192" s="10" cm="1">
        <f t="array" ref="K19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0.15079999999999999</v>
      </c>
      <c r="L192" s="10" cm="1">
        <f t="array" ref="L19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0.30330000000000001</v>
      </c>
      <c r="M192" s="9" cm="1">
        <f t="array" ref="M192">_xlfn.LET(_xlpm.val,IFERROR(INDEX(Sheet4!$2:$1605,MATCH(ChiTietKQKD[[#This Row],[Mã CP]],Sheet4!$B$2:$B$1605,0),_xlfn.XMATCH("*Lợi nhuận sau thuế*Q2*2026*",Sheet4!$1:$1,2)),0),IF(OR(_xlpm.val="",_xlpm.val=0),"",_xlpm.val/1000000000))</f>
        <v>273.17593406399999</v>
      </c>
      <c r="N192" s="9" cm="1">
        <f t="array" ref="N192">_xlfn.LET(_xlpm.val,IFERROR(INDEX(Sheet4!$2:$1605,MATCH(ChiTietKQKD[[#This Row],[Mã CP]],Sheet4!$B$2:$B$1605,0),_xlfn.XMATCH("*Lợi nhuận sau thuế*6 tháng*2026*",Sheet4!$1:$1,2)),0),IF(OR(_xlpm.val="",_xlpm.val=0),"",_xlpm.val/1000000000))</f>
        <v>563.89638185800004</v>
      </c>
      <c r="O192" s="10" cm="1">
        <f t="array" ref="O192">IFERROR(INDEX(Sheet4!$2:$1605,MATCH(ChiTietKQKD[[#This Row],[Mã CP]],Sheet4!$B$2:$B$1605,0),_xlfn.XMATCH("*Tăng trưởng lợi nhuận sau thuế (YoY) (Quý*",Sheet4!$1:$1,2)),"")</f>
        <v>0.42009999999999997</v>
      </c>
      <c r="P192" s="10" cm="1">
        <f t="array" ref="P192">IFERROR(INDEX(Sheet4!$2:$1605,MATCH(ChiTietKQKD[[#This Row],[Mã CP]],Sheet4!$B$2:$B$1605,0),_xlfn.XMATCH("*Tăng trưởng lợi nhuận sau thuế (YoY) (6M)*",Sheet4!$1:$1,2)),"")</f>
        <v>0.34549999999999997</v>
      </c>
      <c r="Q192" s="10" cm="1">
        <f t="array" ref="Q192">IFERROR(INDEX(Sheet4!$2:$1605,MATCH(ChiTietKQKD[[#This Row],[Mã CP]],Sheet4!$B$2:$B$1605,0),_xlfn.XMATCH("*Tăng trưởng doanh thu thuần (QoQ)*",Sheet4!$1:$1,2)),"")</f>
        <v>-0.1575</v>
      </c>
      <c r="R192" s="10" cm="1">
        <f t="array" ref="R192">IFERROR(INDEX(Sheet4!$2:$1605,MATCH(ChiTietKQKD[[#This Row],[Mã CP]],Sheet4!$B$2:$B$1605,0),_xlfn.XMATCH("*Tăng trưởng lợi nhuận sau thuế (QoQ)*",Sheet4!$1:$1,2)),"")</f>
        <v>-6.0299999999999999E-2</v>
      </c>
    </row>
    <row r="193" spans="1:18" x14ac:dyDescent="0.25">
      <c r="A193" s="7">
        <f>Sheet4!A172</f>
        <v>171</v>
      </c>
      <c r="B193" t="str">
        <f>Sheet4!B172</f>
        <v>HDB</v>
      </c>
      <c r="C193" t="str">
        <f>Sheet4!C171</f>
        <v>Chứng khoán HSC</v>
      </c>
      <c r="D193" t="str">
        <f>Sheet4!D172</f>
        <v>HOSE</v>
      </c>
      <c r="E193" s="7">
        <f>Sheet4!AH172/1000000000</f>
        <v>129136.1291334</v>
      </c>
      <c r="F193" t="str">
        <f>Sheet4!E172</f>
        <v>Ngân hàng</v>
      </c>
      <c r="G193" t="str">
        <f>Sheet4!F172</f>
        <v>Ngân hàng</v>
      </c>
      <c r="H193" t="str">
        <f>Sheet4!G172</f>
        <v>Ngân hàng</v>
      </c>
      <c r="I193" s="9" t="str" cm="1">
        <f t="array" ref="I19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93" s="9" t="str" cm="1">
        <f t="array" ref="J19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93" s="10" t="str" cm="1">
        <f t="array" ref="K19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193" s="10" t="str" cm="1">
        <f t="array" ref="L19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193" s="9" t="str" cm="1">
        <f t="array" ref="M19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93" s="9" t="str" cm="1">
        <f t="array" ref="N19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93" s="10" cm="1">
        <f t="array" ref="O193">IFERROR(INDEX(Sheet4!$2:$1605,MATCH(ChiTietKQKD[[#This Row],[Mã CP]],Sheet4!$B$2:$B$1605,0),_xlfn.XMATCH("*Tăng trưởng lợi nhuận sau thuế (YoY) (Quý*",Sheet4!$1:$1,2)),"")</f>
        <v>0</v>
      </c>
      <c r="P193" s="10" cm="1">
        <f t="array" ref="P193">IFERROR(INDEX(Sheet4!$2:$1605,MATCH(ChiTietKQKD[[#This Row],[Mã CP]],Sheet4!$B$2:$B$1605,0),_xlfn.XMATCH("*Tăng trưởng lợi nhuận sau thuế (YoY) (6M)*",Sheet4!$1:$1,2)),"")</f>
        <v>0</v>
      </c>
      <c r="Q193" s="10" cm="1">
        <f t="array" ref="Q193">IFERROR(INDEX(Sheet4!$2:$1605,MATCH(ChiTietKQKD[[#This Row],[Mã CP]],Sheet4!$B$2:$B$1605,0),_xlfn.XMATCH("*Tăng trưởng doanh thu thuần (QoQ)*",Sheet4!$1:$1,2)),"")</f>
        <v>0</v>
      </c>
      <c r="R193" s="10" cm="1">
        <f t="array" ref="R193">IFERROR(INDEX(Sheet4!$2:$1605,MATCH(ChiTietKQKD[[#This Row],[Mã CP]],Sheet4!$B$2:$B$1605,0),_xlfn.XMATCH("*Tăng trưởng lợi nhuận sau thuế (QoQ)*",Sheet4!$1:$1,2)),"")</f>
        <v>0</v>
      </c>
    </row>
    <row r="194" spans="1:18" x14ac:dyDescent="0.25">
      <c r="A194" s="7">
        <f>Sheet4!A173</f>
        <v>172</v>
      </c>
      <c r="B194" t="str">
        <f>Sheet4!B173</f>
        <v>HDC</v>
      </c>
      <c r="C194" t="str">
        <f>Sheet4!C172</f>
        <v>HDBank</v>
      </c>
      <c r="D194" t="str">
        <f>Sheet4!D173</f>
        <v>HOSE</v>
      </c>
      <c r="E194" s="7">
        <f>Sheet4!AH173/1000000000</f>
        <v>2779.5205602999999</v>
      </c>
      <c r="F194" t="str">
        <f>Sheet4!E173</f>
        <v>Tài chính</v>
      </c>
      <c r="G194" t="str">
        <f>Sheet4!F173</f>
        <v>Bất động sản</v>
      </c>
      <c r="H194" t="str">
        <f>Sheet4!G173</f>
        <v>Bất động sản</v>
      </c>
      <c r="I194" s="9" t="str" cm="1">
        <f t="array" ref="I19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94" s="9" t="str" cm="1">
        <f t="array" ref="J19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94" s="10" cm="1">
        <f t="array" ref="K19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94" s="10" cm="1">
        <f t="array" ref="L19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94" s="9" t="str" cm="1">
        <f t="array" ref="M19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94" s="9" t="str" cm="1">
        <f t="array" ref="N19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94" s="10" cm="1">
        <f t="array" ref="O194">IFERROR(INDEX(Sheet4!$2:$1605,MATCH(ChiTietKQKD[[#This Row],[Mã CP]],Sheet4!$B$2:$B$1605,0),_xlfn.XMATCH("*Tăng trưởng lợi nhuận sau thuế (YoY) (Quý*",Sheet4!$1:$1,2)),"")</f>
        <v>0</v>
      </c>
      <c r="P194" s="10" cm="1">
        <f t="array" ref="P194">IFERROR(INDEX(Sheet4!$2:$1605,MATCH(ChiTietKQKD[[#This Row],[Mã CP]],Sheet4!$B$2:$B$1605,0),_xlfn.XMATCH("*Tăng trưởng lợi nhuận sau thuế (YoY) (6M)*",Sheet4!$1:$1,2)),"")</f>
        <v>0</v>
      </c>
      <c r="Q194" s="10" cm="1">
        <f t="array" ref="Q194">IFERROR(INDEX(Sheet4!$2:$1605,MATCH(ChiTietKQKD[[#This Row],[Mã CP]],Sheet4!$B$2:$B$1605,0),_xlfn.XMATCH("*Tăng trưởng doanh thu thuần (QoQ)*",Sheet4!$1:$1,2)),"")</f>
        <v>0</v>
      </c>
      <c r="R194" s="10" cm="1">
        <f t="array" ref="R194">IFERROR(INDEX(Sheet4!$2:$1605,MATCH(ChiTietKQKD[[#This Row],[Mã CP]],Sheet4!$B$2:$B$1605,0),_xlfn.XMATCH("*Tăng trưởng lợi nhuận sau thuế (QoQ)*",Sheet4!$1:$1,2)),"")</f>
        <v>0</v>
      </c>
    </row>
    <row r="195" spans="1:18" x14ac:dyDescent="0.25">
      <c r="A195" s="7">
        <f>Sheet4!A174</f>
        <v>173</v>
      </c>
      <c r="B195" t="str">
        <f>Sheet4!B174</f>
        <v>HDG</v>
      </c>
      <c r="C195" t="str">
        <f>Sheet4!C173</f>
        <v>Phát triển Nhà Bà Rịa Vũng Tàu</v>
      </c>
      <c r="D195" t="str">
        <f>Sheet4!D174</f>
        <v>HOSE</v>
      </c>
      <c r="E195" s="7">
        <f>Sheet4!AH174/1000000000</f>
        <v>6674.1002612000002</v>
      </c>
      <c r="F195" t="str">
        <f>Sheet4!E174</f>
        <v>Tài chính</v>
      </c>
      <c r="G195" t="str">
        <f>Sheet4!F174</f>
        <v>Bất động sản</v>
      </c>
      <c r="H195" t="str">
        <f>Sheet4!G174</f>
        <v>Bất động sản</v>
      </c>
      <c r="I195" s="9" t="str" cm="1">
        <f t="array" ref="I19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95" s="9" t="str" cm="1">
        <f t="array" ref="J19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95" s="10" cm="1">
        <f t="array" ref="K19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95" s="10" cm="1">
        <f t="array" ref="L19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95" s="9" t="str" cm="1">
        <f t="array" ref="M19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95" s="9" t="str" cm="1">
        <f t="array" ref="N19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95" s="10" cm="1">
        <f t="array" ref="O195">IFERROR(INDEX(Sheet4!$2:$1605,MATCH(ChiTietKQKD[[#This Row],[Mã CP]],Sheet4!$B$2:$B$1605,0),_xlfn.XMATCH("*Tăng trưởng lợi nhuận sau thuế (YoY) (Quý*",Sheet4!$1:$1,2)),"")</f>
        <v>0</v>
      </c>
      <c r="P195" s="10" cm="1">
        <f t="array" ref="P195">IFERROR(INDEX(Sheet4!$2:$1605,MATCH(ChiTietKQKD[[#This Row],[Mã CP]],Sheet4!$B$2:$B$1605,0),_xlfn.XMATCH("*Tăng trưởng lợi nhuận sau thuế (YoY) (6M)*",Sheet4!$1:$1,2)),"")</f>
        <v>0</v>
      </c>
      <c r="Q195" s="10" cm="1">
        <f t="array" ref="Q195">IFERROR(INDEX(Sheet4!$2:$1605,MATCH(ChiTietKQKD[[#This Row],[Mã CP]],Sheet4!$B$2:$B$1605,0),_xlfn.XMATCH("*Tăng trưởng doanh thu thuần (QoQ)*",Sheet4!$1:$1,2)),"")</f>
        <v>0</v>
      </c>
      <c r="R195" s="10" cm="1">
        <f t="array" ref="R195">IFERROR(INDEX(Sheet4!$2:$1605,MATCH(ChiTietKQKD[[#This Row],[Mã CP]],Sheet4!$B$2:$B$1605,0),_xlfn.XMATCH("*Tăng trưởng lợi nhuận sau thuế (QoQ)*",Sheet4!$1:$1,2)),"")</f>
        <v>0</v>
      </c>
    </row>
    <row r="196" spans="1:18" x14ac:dyDescent="0.25">
      <c r="A196" s="7">
        <f>Sheet4!A175</f>
        <v>174</v>
      </c>
      <c r="B196" t="str">
        <f>Sheet4!B175</f>
        <v>HHP</v>
      </c>
      <c r="C196" t="str">
        <f>Sheet4!C174</f>
        <v>Tập đoàn Hà Đô</v>
      </c>
      <c r="D196" t="str">
        <f>Sheet4!D175</f>
        <v>HOSE</v>
      </c>
      <c r="E196" s="7">
        <f>Sheet4!AH175/1000000000</f>
        <v>1298.315145</v>
      </c>
      <c r="F196" t="str">
        <f>Sheet4!E175</f>
        <v>Nguyên vật liệu</v>
      </c>
      <c r="G196" t="str">
        <f>Sheet4!F175</f>
        <v>Tài nguyên Cơ bản</v>
      </c>
      <c r="H196" t="str">
        <f>Sheet4!G175</f>
        <v>Sản xuất giấy</v>
      </c>
      <c r="I196" s="9" t="str" cm="1">
        <f t="array" ref="I19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96" s="9" t="str" cm="1">
        <f t="array" ref="J19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96" s="10" cm="1">
        <f t="array" ref="K19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96" s="10" cm="1">
        <f t="array" ref="L19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96" s="9" t="str" cm="1">
        <f t="array" ref="M19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96" s="9" t="str" cm="1">
        <f t="array" ref="N19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96" s="10" cm="1">
        <f t="array" ref="O196">IFERROR(INDEX(Sheet4!$2:$1605,MATCH(ChiTietKQKD[[#This Row],[Mã CP]],Sheet4!$B$2:$B$1605,0),_xlfn.XMATCH("*Tăng trưởng lợi nhuận sau thuế (YoY) (Quý*",Sheet4!$1:$1,2)),"")</f>
        <v>0</v>
      </c>
      <c r="P196" s="10" cm="1">
        <f t="array" ref="P196">IFERROR(INDEX(Sheet4!$2:$1605,MATCH(ChiTietKQKD[[#This Row],[Mã CP]],Sheet4!$B$2:$B$1605,0),_xlfn.XMATCH("*Tăng trưởng lợi nhuận sau thuế (YoY) (6M)*",Sheet4!$1:$1,2)),"")</f>
        <v>0</v>
      </c>
      <c r="Q196" s="10" cm="1">
        <f t="array" ref="Q196">IFERROR(INDEX(Sheet4!$2:$1605,MATCH(ChiTietKQKD[[#This Row],[Mã CP]],Sheet4!$B$2:$B$1605,0),_xlfn.XMATCH("*Tăng trưởng doanh thu thuần (QoQ)*",Sheet4!$1:$1,2)),"")</f>
        <v>0</v>
      </c>
      <c r="R196" s="10" cm="1">
        <f t="array" ref="R196">IFERROR(INDEX(Sheet4!$2:$1605,MATCH(ChiTietKQKD[[#This Row],[Mã CP]],Sheet4!$B$2:$B$1605,0),_xlfn.XMATCH("*Tăng trưởng lợi nhuận sau thuế (QoQ)*",Sheet4!$1:$1,2)),"")</f>
        <v>0</v>
      </c>
    </row>
    <row r="197" spans="1:18" x14ac:dyDescent="0.25">
      <c r="A197" s="7">
        <f>Sheet4!A176</f>
        <v>175</v>
      </c>
      <c r="B197" t="str">
        <f>Sheet4!B176</f>
        <v>HHS</v>
      </c>
      <c r="C197" t="str">
        <f>Sheet4!C175</f>
        <v>HHP Global</v>
      </c>
      <c r="D197" t="str">
        <f>Sheet4!D176</f>
        <v>HOSE</v>
      </c>
      <c r="E197" s="7">
        <f>Sheet4!AH176/1000000000</f>
        <v>4224.8227670400001</v>
      </c>
      <c r="F197" t="str">
        <f>Sheet4!E176</f>
        <v>Hàng Tiêu dùng</v>
      </c>
      <c r="G197" t="str">
        <f>Sheet4!F176</f>
        <v>Ô tô và phụ tùng</v>
      </c>
      <c r="H197" t="str">
        <f>Sheet4!G176</f>
        <v>Sản xuất ô tô</v>
      </c>
      <c r="I197" s="9" t="str" cm="1">
        <f t="array" ref="I19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97" s="9" t="str" cm="1">
        <f t="array" ref="J19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97" s="10" cm="1">
        <f t="array" ref="K19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97" s="10" cm="1">
        <f t="array" ref="L19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97" s="9" t="str" cm="1">
        <f t="array" ref="M19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97" s="9" t="str" cm="1">
        <f t="array" ref="N19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97" s="10" cm="1">
        <f t="array" ref="O197">IFERROR(INDEX(Sheet4!$2:$1605,MATCH(ChiTietKQKD[[#This Row],[Mã CP]],Sheet4!$B$2:$B$1605,0),_xlfn.XMATCH("*Tăng trưởng lợi nhuận sau thuế (YoY) (Quý*",Sheet4!$1:$1,2)),"")</f>
        <v>0</v>
      </c>
      <c r="P197" s="10" cm="1">
        <f t="array" ref="P197">IFERROR(INDEX(Sheet4!$2:$1605,MATCH(ChiTietKQKD[[#This Row],[Mã CP]],Sheet4!$B$2:$B$1605,0),_xlfn.XMATCH("*Tăng trưởng lợi nhuận sau thuế (YoY) (6M)*",Sheet4!$1:$1,2)),"")</f>
        <v>0</v>
      </c>
      <c r="Q197" s="10" cm="1">
        <f t="array" ref="Q197">IFERROR(INDEX(Sheet4!$2:$1605,MATCH(ChiTietKQKD[[#This Row],[Mã CP]],Sheet4!$B$2:$B$1605,0),_xlfn.XMATCH("*Tăng trưởng doanh thu thuần (QoQ)*",Sheet4!$1:$1,2)),"")</f>
        <v>0</v>
      </c>
      <c r="R197" s="10" cm="1">
        <f t="array" ref="R197">IFERROR(INDEX(Sheet4!$2:$1605,MATCH(ChiTietKQKD[[#This Row],[Mã CP]],Sheet4!$B$2:$B$1605,0),_xlfn.XMATCH("*Tăng trưởng lợi nhuận sau thuế (QoQ)*",Sheet4!$1:$1,2)),"")</f>
        <v>0</v>
      </c>
    </row>
    <row r="198" spans="1:18" x14ac:dyDescent="0.25">
      <c r="A198" s="7">
        <f>Sheet4!A177</f>
        <v>176</v>
      </c>
      <c r="B198" t="str">
        <f>Sheet4!B177</f>
        <v>HHV</v>
      </c>
      <c r="C198" t="str">
        <f>Sheet4!C176</f>
        <v>Đầu tư DV Hoàng Huy</v>
      </c>
      <c r="D198" t="str">
        <f>Sheet4!D177</f>
        <v>HOSE</v>
      </c>
      <c r="E198" s="7">
        <f>Sheet4!AH177/1000000000</f>
        <v>5716.3932856000001</v>
      </c>
      <c r="F198" t="str">
        <f>Sheet4!E177</f>
        <v>Công nghiệp</v>
      </c>
      <c r="G198" t="str">
        <f>Sheet4!F177</f>
        <v>Xây dựng và Vật liệu</v>
      </c>
      <c r="H198" t="str">
        <f>Sheet4!G177</f>
        <v>Xây dựng</v>
      </c>
      <c r="I198" s="9" t="str" cm="1">
        <f t="array" ref="I19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98" s="9" t="str" cm="1">
        <f t="array" ref="J19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98" s="10" cm="1">
        <f t="array" ref="K19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98" s="10" cm="1">
        <f t="array" ref="L19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98" s="9" t="str" cm="1">
        <f t="array" ref="M19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98" s="9" t="str" cm="1">
        <f t="array" ref="N19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98" s="10" cm="1">
        <f t="array" ref="O198">IFERROR(INDEX(Sheet4!$2:$1605,MATCH(ChiTietKQKD[[#This Row],[Mã CP]],Sheet4!$B$2:$B$1605,0),_xlfn.XMATCH("*Tăng trưởng lợi nhuận sau thuế (YoY) (Quý*",Sheet4!$1:$1,2)),"")</f>
        <v>0</v>
      </c>
      <c r="P198" s="10" cm="1">
        <f t="array" ref="P198">IFERROR(INDEX(Sheet4!$2:$1605,MATCH(ChiTietKQKD[[#This Row],[Mã CP]],Sheet4!$B$2:$B$1605,0),_xlfn.XMATCH("*Tăng trưởng lợi nhuận sau thuế (YoY) (6M)*",Sheet4!$1:$1,2)),"")</f>
        <v>0</v>
      </c>
      <c r="Q198" s="10" cm="1">
        <f t="array" ref="Q198">IFERROR(INDEX(Sheet4!$2:$1605,MATCH(ChiTietKQKD[[#This Row],[Mã CP]],Sheet4!$B$2:$B$1605,0),_xlfn.XMATCH("*Tăng trưởng doanh thu thuần (QoQ)*",Sheet4!$1:$1,2)),"")</f>
        <v>0</v>
      </c>
      <c r="R198" s="10" cm="1">
        <f t="array" ref="R198">IFERROR(INDEX(Sheet4!$2:$1605,MATCH(ChiTietKQKD[[#This Row],[Mã CP]],Sheet4!$B$2:$B$1605,0),_xlfn.XMATCH("*Tăng trưởng lợi nhuận sau thuế (QoQ)*",Sheet4!$1:$1,2)),"")</f>
        <v>0</v>
      </c>
    </row>
    <row r="199" spans="1:18" x14ac:dyDescent="0.25">
      <c r="A199" s="7">
        <f>Sheet4!A178</f>
        <v>177</v>
      </c>
      <c r="B199" t="str">
        <f>Sheet4!B178</f>
        <v>HID</v>
      </c>
      <c r="C199" t="str">
        <f>Sheet4!C177</f>
        <v>Đầu tư Hạ tầng Giao thông Đèo Cả</v>
      </c>
      <c r="D199" t="str">
        <f>Sheet4!D178</f>
        <v>HOSE</v>
      </c>
      <c r="E199" s="7">
        <f>Sheet4!AH178/1000000000</f>
        <v>256.36611213999998</v>
      </c>
      <c r="F199" t="str">
        <f>Sheet4!E178</f>
        <v>Công nghiệp</v>
      </c>
      <c r="G199" t="str">
        <f>Sheet4!F178</f>
        <v>Xây dựng và Vật liệu</v>
      </c>
      <c r="H199" t="str">
        <f>Sheet4!G178</f>
        <v>Xây dựng</v>
      </c>
      <c r="I199" s="9" t="str" cm="1">
        <f t="array" ref="I19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99" s="9" t="str" cm="1">
        <f t="array" ref="J19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99" s="10" cm="1">
        <f t="array" ref="K19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99" s="10" cm="1">
        <f t="array" ref="L19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99" s="9" t="str" cm="1">
        <f t="array" ref="M19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99" s="9" t="str" cm="1">
        <f t="array" ref="N19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99" s="10" cm="1">
        <f t="array" ref="O199">IFERROR(INDEX(Sheet4!$2:$1605,MATCH(ChiTietKQKD[[#This Row],[Mã CP]],Sheet4!$B$2:$B$1605,0),_xlfn.XMATCH("*Tăng trưởng lợi nhuận sau thuế (YoY) (Quý*",Sheet4!$1:$1,2)),"")</f>
        <v>0</v>
      </c>
      <c r="P199" s="10" cm="1">
        <f t="array" ref="P199">IFERROR(INDEX(Sheet4!$2:$1605,MATCH(ChiTietKQKD[[#This Row],[Mã CP]],Sheet4!$B$2:$B$1605,0),_xlfn.XMATCH("*Tăng trưởng lợi nhuận sau thuế (YoY) (6M)*",Sheet4!$1:$1,2)),"")</f>
        <v>0</v>
      </c>
      <c r="Q199" s="10" cm="1">
        <f t="array" ref="Q199">IFERROR(INDEX(Sheet4!$2:$1605,MATCH(ChiTietKQKD[[#This Row],[Mã CP]],Sheet4!$B$2:$B$1605,0),_xlfn.XMATCH("*Tăng trưởng doanh thu thuần (QoQ)*",Sheet4!$1:$1,2)),"")</f>
        <v>0</v>
      </c>
      <c r="R199" s="10" cm="1">
        <f t="array" ref="R199">IFERROR(INDEX(Sheet4!$2:$1605,MATCH(ChiTietKQKD[[#This Row],[Mã CP]],Sheet4!$B$2:$B$1605,0),_xlfn.XMATCH("*Tăng trưởng lợi nhuận sau thuế (QoQ)*",Sheet4!$1:$1,2)),"")</f>
        <v>0</v>
      </c>
    </row>
    <row r="200" spans="1:18" x14ac:dyDescent="0.25">
      <c r="A200" s="7">
        <f>Sheet4!A179</f>
        <v>178</v>
      </c>
      <c r="B200" t="str">
        <f>Sheet4!B179</f>
        <v>HII</v>
      </c>
      <c r="C200" t="str">
        <f>Sheet4!C178</f>
        <v>Halcom Vietnam</v>
      </c>
      <c r="D200" t="str">
        <f>Sheet4!D179</f>
        <v>HOSE</v>
      </c>
      <c r="E200" s="7">
        <f>Sheet4!AH179/1000000000</f>
        <v>422.82571184</v>
      </c>
      <c r="F200" t="str">
        <f>Sheet4!E179</f>
        <v>Nguyên vật liệu</v>
      </c>
      <c r="G200" t="str">
        <f>Sheet4!F179</f>
        <v>Hóa chất</v>
      </c>
      <c r="H200" t="str">
        <f>Sheet4!G179</f>
        <v>Nhựa, cao su &amp; sợi</v>
      </c>
      <c r="I200" s="9" t="str" cm="1">
        <f t="array" ref="I20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00" s="9" t="str" cm="1">
        <f t="array" ref="J20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00" s="10" cm="1">
        <f t="array" ref="K20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00" s="10" cm="1">
        <f t="array" ref="L20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00" s="9" t="str" cm="1">
        <f t="array" ref="M20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00" s="9" t="str" cm="1">
        <f t="array" ref="N20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00" s="10" cm="1">
        <f t="array" ref="O200">IFERROR(INDEX(Sheet4!$2:$1605,MATCH(ChiTietKQKD[[#This Row],[Mã CP]],Sheet4!$B$2:$B$1605,0),_xlfn.XMATCH("*Tăng trưởng lợi nhuận sau thuế (YoY) (Quý*",Sheet4!$1:$1,2)),"")</f>
        <v>0</v>
      </c>
      <c r="P200" s="10" cm="1">
        <f t="array" ref="P200">IFERROR(INDEX(Sheet4!$2:$1605,MATCH(ChiTietKQKD[[#This Row],[Mã CP]],Sheet4!$B$2:$B$1605,0),_xlfn.XMATCH("*Tăng trưởng lợi nhuận sau thuế (YoY) (6M)*",Sheet4!$1:$1,2)),"")</f>
        <v>0</v>
      </c>
      <c r="Q200" s="10" cm="1">
        <f t="array" ref="Q200">IFERROR(INDEX(Sheet4!$2:$1605,MATCH(ChiTietKQKD[[#This Row],[Mã CP]],Sheet4!$B$2:$B$1605,0),_xlfn.XMATCH("*Tăng trưởng doanh thu thuần (QoQ)*",Sheet4!$1:$1,2)),"")</f>
        <v>0</v>
      </c>
      <c r="R200" s="10" cm="1">
        <f t="array" ref="R200">IFERROR(INDEX(Sheet4!$2:$1605,MATCH(ChiTietKQKD[[#This Row],[Mã CP]],Sheet4!$B$2:$B$1605,0),_xlfn.XMATCH("*Tăng trưởng lợi nhuận sau thuế (QoQ)*",Sheet4!$1:$1,2)),"")</f>
        <v>0</v>
      </c>
    </row>
    <row r="201" spans="1:18" x14ac:dyDescent="0.25">
      <c r="A201" s="7">
        <f>Sheet4!A180</f>
        <v>179</v>
      </c>
      <c r="B201" t="str">
        <f>Sheet4!B180</f>
        <v>HMC</v>
      </c>
      <c r="C201" t="str">
        <f>Sheet4!C179</f>
        <v>An Tiến Industries</v>
      </c>
      <c r="D201" t="str">
        <f>Sheet4!D180</f>
        <v>HOSE</v>
      </c>
      <c r="E201" s="7">
        <f>Sheet4!AH180/1000000000</f>
        <v>297.56998909999999</v>
      </c>
      <c r="F201" t="str">
        <f>Sheet4!E180</f>
        <v>Nguyên vật liệu</v>
      </c>
      <c r="G201" t="str">
        <f>Sheet4!F180</f>
        <v>Tài nguyên Cơ bản</v>
      </c>
      <c r="H201" t="str">
        <f>Sheet4!G180</f>
        <v>Thép và sản phẩm thép</v>
      </c>
      <c r="I201" s="9" t="str" cm="1">
        <f t="array" ref="I20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01" s="9" t="str" cm="1">
        <f t="array" ref="J20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01" s="10" cm="1">
        <f t="array" ref="K20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01" s="10" cm="1">
        <f t="array" ref="L20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01" s="9" t="str" cm="1">
        <f t="array" ref="M20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01" s="9" t="str" cm="1">
        <f t="array" ref="N20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01" s="10" cm="1">
        <f t="array" ref="O201">IFERROR(INDEX(Sheet4!$2:$1605,MATCH(ChiTietKQKD[[#This Row],[Mã CP]],Sheet4!$B$2:$B$1605,0),_xlfn.XMATCH("*Tăng trưởng lợi nhuận sau thuế (YoY) (Quý*",Sheet4!$1:$1,2)),"")</f>
        <v>0</v>
      </c>
      <c r="P201" s="10" cm="1">
        <f t="array" ref="P201">IFERROR(INDEX(Sheet4!$2:$1605,MATCH(ChiTietKQKD[[#This Row],[Mã CP]],Sheet4!$B$2:$B$1605,0),_xlfn.XMATCH("*Tăng trưởng lợi nhuận sau thuế (YoY) (6M)*",Sheet4!$1:$1,2)),"")</f>
        <v>0</v>
      </c>
      <c r="Q201" s="10" cm="1">
        <f t="array" ref="Q201">IFERROR(INDEX(Sheet4!$2:$1605,MATCH(ChiTietKQKD[[#This Row],[Mã CP]],Sheet4!$B$2:$B$1605,0),_xlfn.XMATCH("*Tăng trưởng doanh thu thuần (QoQ)*",Sheet4!$1:$1,2)),"")</f>
        <v>0</v>
      </c>
      <c r="R201" s="10" cm="1">
        <f t="array" ref="R201">IFERROR(INDEX(Sheet4!$2:$1605,MATCH(ChiTietKQKD[[#This Row],[Mã CP]],Sheet4!$B$2:$B$1605,0),_xlfn.XMATCH("*Tăng trưởng lợi nhuận sau thuế (QoQ)*",Sheet4!$1:$1,2)),"")</f>
        <v>0</v>
      </c>
    </row>
    <row r="202" spans="1:18" x14ac:dyDescent="0.25">
      <c r="A202" s="7">
        <f>Sheet4!A181</f>
        <v>180</v>
      </c>
      <c r="B202" t="str">
        <f>Sheet4!B181</f>
        <v>HNA</v>
      </c>
      <c r="C202" t="str">
        <f>Sheet4!C180</f>
        <v>Kim khí TP.HCM</v>
      </c>
      <c r="D202" t="str">
        <f>Sheet4!D181</f>
        <v>HOSE</v>
      </c>
      <c r="E202" s="7">
        <f>Sheet4!AH181/1000000000</f>
        <v>4963.3996310000002</v>
      </c>
      <c r="F202" t="str">
        <f>Sheet4!E181</f>
        <v>Tiện ích Cộng đồng</v>
      </c>
      <c r="G202" t="str">
        <f>Sheet4!F181</f>
        <v>Điện, nước &amp; xăng dầu khí đốt</v>
      </c>
      <c r="H202" t="str">
        <f>Sheet4!G181</f>
        <v>Sản xuất &amp; Phân phối Điện</v>
      </c>
      <c r="I202" s="9" cm="1">
        <f t="array" ref="I20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239.36445587</v>
      </c>
      <c r="J202" s="9" cm="1">
        <f t="array" ref="J20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444.79522461099998</v>
      </c>
      <c r="K202" s="10" cm="1">
        <f t="array" ref="K20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-2.4799999999999999E-2</v>
      </c>
      <c r="L202" s="10" cm="1">
        <f t="array" ref="L20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5.6399999999999999E-2</v>
      </c>
      <c r="M202" s="9" cm="1">
        <f t="array" ref="M202">_xlfn.LET(_xlpm.val,IFERROR(INDEX(Sheet4!$2:$1605,MATCH(ChiTietKQKD[[#This Row],[Mã CP]],Sheet4!$B$2:$B$1605,0),_xlfn.XMATCH("*Lợi nhuận sau thuế*Q2*2026*",Sheet4!$1:$1,2)),0),IF(OR(_xlpm.val="",_xlpm.val=0),"",_xlpm.val/1000000000))</f>
        <v>114.22182227099999</v>
      </c>
      <c r="N202" s="9" cm="1">
        <f t="array" ref="N202">_xlfn.LET(_xlpm.val,IFERROR(INDEX(Sheet4!$2:$1605,MATCH(ChiTietKQKD[[#This Row],[Mã CP]],Sheet4!$B$2:$B$1605,0),_xlfn.XMATCH("*Lợi nhuận sau thuế*6 tháng*2026*",Sheet4!$1:$1,2)),0),IF(OR(_xlpm.val="",_xlpm.val=0),"",_xlpm.val/1000000000))</f>
        <v>209.02992240500001</v>
      </c>
      <c r="O202" s="10" cm="1">
        <f t="array" ref="O202">IFERROR(INDEX(Sheet4!$2:$1605,MATCH(ChiTietKQKD[[#This Row],[Mã CP]],Sheet4!$B$2:$B$1605,0),_xlfn.XMATCH("*Tăng trưởng lợi nhuận sau thuế (YoY) (Quý*",Sheet4!$1:$1,2)),"")</f>
        <v>0.22869999999999999</v>
      </c>
      <c r="P202" s="10" cm="1">
        <f t="array" ref="P202">IFERROR(INDEX(Sheet4!$2:$1605,MATCH(ChiTietKQKD[[#This Row],[Mã CP]],Sheet4!$B$2:$B$1605,0),_xlfn.XMATCH("*Tăng trưởng lợi nhuận sau thuế (YoY) (6M)*",Sheet4!$1:$1,2)),"")</f>
        <v>0.56579999999999997</v>
      </c>
      <c r="Q202" s="10" cm="1">
        <f t="array" ref="Q202">IFERROR(INDEX(Sheet4!$2:$1605,MATCH(ChiTietKQKD[[#This Row],[Mã CP]],Sheet4!$B$2:$B$1605,0),_xlfn.XMATCH("*Tăng trưởng doanh thu thuần (QoQ)*",Sheet4!$1:$1,2)),"")</f>
        <v>0.16520000000000001</v>
      </c>
      <c r="R202" s="10" cm="1">
        <f t="array" ref="R202">IFERROR(INDEX(Sheet4!$2:$1605,MATCH(ChiTietKQKD[[#This Row],[Mã CP]],Sheet4!$B$2:$B$1605,0),_xlfn.XMATCH("*Tăng trưởng lợi nhuận sau thuế (QoQ)*",Sheet4!$1:$1,2)),"")</f>
        <v>0.20480000000000001</v>
      </c>
    </row>
    <row r="203" spans="1:18" x14ac:dyDescent="0.25">
      <c r="A203" s="7">
        <f>Sheet4!A182</f>
        <v>181</v>
      </c>
      <c r="B203" t="str">
        <f>Sheet4!B182</f>
        <v>HPA</v>
      </c>
      <c r="C203" t="str">
        <f>Sheet4!C181</f>
        <v>Thủy điện Hủa Na</v>
      </c>
      <c r="D203" t="str">
        <f>Sheet4!D182</f>
        <v>HOSE</v>
      </c>
      <c r="E203" s="7">
        <f>Sheet4!AH182/1000000000</f>
        <v>8892</v>
      </c>
      <c r="F203" t="str">
        <f>Sheet4!E182</f>
        <v>Hàng Tiêu dùng</v>
      </c>
      <c r="G203" t="str">
        <f>Sheet4!F182</f>
        <v>Thực phẩm và đồ uống</v>
      </c>
      <c r="H203" t="str">
        <f>Sheet4!G182</f>
        <v>Nuôi trồng nông &amp; hải sản</v>
      </c>
      <c r="I203" s="9" t="str" cm="1">
        <f t="array" ref="I20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03" s="9" t="str" cm="1">
        <f t="array" ref="J20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03" s="10" cm="1">
        <f t="array" ref="K20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03" s="10" cm="1">
        <f t="array" ref="L20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03" s="9" t="str" cm="1">
        <f t="array" ref="M20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03" s="9" t="str" cm="1">
        <f t="array" ref="N20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03" s="10" cm="1">
        <f t="array" ref="O203">IFERROR(INDEX(Sheet4!$2:$1605,MATCH(ChiTietKQKD[[#This Row],[Mã CP]],Sheet4!$B$2:$B$1605,0),_xlfn.XMATCH("*Tăng trưởng lợi nhuận sau thuế (YoY) (Quý*",Sheet4!$1:$1,2)),"")</f>
        <v>0</v>
      </c>
      <c r="P203" s="10" cm="1">
        <f t="array" ref="P203">IFERROR(INDEX(Sheet4!$2:$1605,MATCH(ChiTietKQKD[[#This Row],[Mã CP]],Sheet4!$B$2:$B$1605,0),_xlfn.XMATCH("*Tăng trưởng lợi nhuận sau thuế (YoY) (6M)*",Sheet4!$1:$1,2)),"")</f>
        <v>0</v>
      </c>
      <c r="Q203" s="10" cm="1">
        <f t="array" ref="Q203">IFERROR(INDEX(Sheet4!$2:$1605,MATCH(ChiTietKQKD[[#This Row],[Mã CP]],Sheet4!$B$2:$B$1605,0),_xlfn.XMATCH("*Tăng trưởng doanh thu thuần (QoQ)*",Sheet4!$1:$1,2)),"")</f>
        <v>0</v>
      </c>
      <c r="R203" s="10" cm="1">
        <f t="array" ref="R203">IFERROR(INDEX(Sheet4!$2:$1605,MATCH(ChiTietKQKD[[#This Row],[Mã CP]],Sheet4!$B$2:$B$1605,0),_xlfn.XMATCH("*Tăng trưởng lợi nhuận sau thuế (QoQ)*",Sheet4!$1:$1,2)),"")</f>
        <v>0</v>
      </c>
    </row>
    <row r="204" spans="1:18" x14ac:dyDescent="0.25">
      <c r="A204" s="7">
        <f>Sheet4!A183</f>
        <v>182</v>
      </c>
      <c r="B204" t="str">
        <f>Sheet4!B183</f>
        <v>HPG</v>
      </c>
      <c r="C204" t="str">
        <f>Sheet4!C182</f>
        <v>Phát triển Nông nghiệp Hoà Phát</v>
      </c>
      <c r="D204" t="str">
        <f>Sheet4!D183</f>
        <v>HOSE</v>
      </c>
      <c r="E204" s="7">
        <f>Sheet4!AH183/1000000000</f>
        <v>174769.36556400001</v>
      </c>
      <c r="F204" t="str">
        <f>Sheet4!E183</f>
        <v>Nguyên vật liệu</v>
      </c>
      <c r="G204" t="str">
        <f>Sheet4!F183</f>
        <v>Tài nguyên Cơ bản</v>
      </c>
      <c r="H204" t="str">
        <f>Sheet4!G183</f>
        <v>Thép và sản phẩm thép</v>
      </c>
      <c r="I204" s="9" t="str" cm="1">
        <f t="array" ref="I20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04" s="9" t="str" cm="1">
        <f t="array" ref="J20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04" s="10" cm="1">
        <f t="array" ref="K20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04" s="10" cm="1">
        <f t="array" ref="L20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04" s="9" t="str" cm="1">
        <f t="array" ref="M20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04" s="9" t="str" cm="1">
        <f t="array" ref="N20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04" s="10" cm="1">
        <f t="array" ref="O204">IFERROR(INDEX(Sheet4!$2:$1605,MATCH(ChiTietKQKD[[#This Row],[Mã CP]],Sheet4!$B$2:$B$1605,0),_xlfn.XMATCH("*Tăng trưởng lợi nhuận sau thuế (YoY) (Quý*",Sheet4!$1:$1,2)),"")</f>
        <v>0</v>
      </c>
      <c r="P204" s="10" cm="1">
        <f t="array" ref="P204">IFERROR(INDEX(Sheet4!$2:$1605,MATCH(ChiTietKQKD[[#This Row],[Mã CP]],Sheet4!$B$2:$B$1605,0),_xlfn.XMATCH("*Tăng trưởng lợi nhuận sau thuế (YoY) (6M)*",Sheet4!$1:$1,2)),"")</f>
        <v>0</v>
      </c>
      <c r="Q204" s="10" cm="1">
        <f t="array" ref="Q204">IFERROR(INDEX(Sheet4!$2:$1605,MATCH(ChiTietKQKD[[#This Row],[Mã CP]],Sheet4!$B$2:$B$1605,0),_xlfn.XMATCH("*Tăng trưởng doanh thu thuần (QoQ)*",Sheet4!$1:$1,2)),"")</f>
        <v>0</v>
      </c>
      <c r="R204" s="10" cm="1">
        <f t="array" ref="R204">IFERROR(INDEX(Sheet4!$2:$1605,MATCH(ChiTietKQKD[[#This Row],[Mã CP]],Sheet4!$B$2:$B$1605,0),_xlfn.XMATCH("*Tăng trưởng lợi nhuận sau thuế (QoQ)*",Sheet4!$1:$1,2)),"")</f>
        <v>0</v>
      </c>
    </row>
    <row r="205" spans="1:18" x14ac:dyDescent="0.25">
      <c r="A205" s="7">
        <f>Sheet4!A184</f>
        <v>183</v>
      </c>
      <c r="B205" t="str">
        <f>Sheet4!B184</f>
        <v>HPX</v>
      </c>
      <c r="C205" t="str">
        <f>Sheet4!C183</f>
        <v>Hòa Phát</v>
      </c>
      <c r="D205" t="str">
        <f>Sheet4!D184</f>
        <v>HOSE</v>
      </c>
      <c r="E205" s="7">
        <f>Sheet4!AH184/1000000000</f>
        <v>1244.04949629</v>
      </c>
      <c r="F205" t="str">
        <f>Sheet4!E184</f>
        <v>Tài chính</v>
      </c>
      <c r="G205" t="str">
        <f>Sheet4!F184</f>
        <v>Bất động sản</v>
      </c>
      <c r="H205" t="str">
        <f>Sheet4!G184</f>
        <v>Bất động sản</v>
      </c>
      <c r="I205" s="9" t="str" cm="1">
        <f t="array" ref="I20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05" s="9" t="str" cm="1">
        <f t="array" ref="J20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05" s="10" cm="1">
        <f t="array" ref="K20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05" s="10" cm="1">
        <f t="array" ref="L20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05" s="9" t="str" cm="1">
        <f t="array" ref="M20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05" s="9" t="str" cm="1">
        <f t="array" ref="N20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05" s="10" cm="1">
        <f t="array" ref="O205">IFERROR(INDEX(Sheet4!$2:$1605,MATCH(ChiTietKQKD[[#This Row],[Mã CP]],Sheet4!$B$2:$B$1605,0),_xlfn.XMATCH("*Tăng trưởng lợi nhuận sau thuế (YoY) (Quý*",Sheet4!$1:$1,2)),"")</f>
        <v>0</v>
      </c>
      <c r="P205" s="10" cm="1">
        <f t="array" ref="P205">IFERROR(INDEX(Sheet4!$2:$1605,MATCH(ChiTietKQKD[[#This Row],[Mã CP]],Sheet4!$B$2:$B$1605,0),_xlfn.XMATCH("*Tăng trưởng lợi nhuận sau thuế (YoY) (6M)*",Sheet4!$1:$1,2)),"")</f>
        <v>0</v>
      </c>
      <c r="Q205" s="10" cm="1">
        <f t="array" ref="Q205">IFERROR(INDEX(Sheet4!$2:$1605,MATCH(ChiTietKQKD[[#This Row],[Mã CP]],Sheet4!$B$2:$B$1605,0),_xlfn.XMATCH("*Tăng trưởng doanh thu thuần (QoQ)*",Sheet4!$1:$1,2)),"")</f>
        <v>0</v>
      </c>
      <c r="R205" s="10" cm="1">
        <f t="array" ref="R205">IFERROR(INDEX(Sheet4!$2:$1605,MATCH(ChiTietKQKD[[#This Row],[Mã CP]],Sheet4!$B$2:$B$1605,0),_xlfn.XMATCH("*Tăng trưởng lợi nhuận sau thuế (QoQ)*",Sheet4!$1:$1,2)),"")</f>
        <v>0</v>
      </c>
    </row>
    <row r="206" spans="1:18" x14ac:dyDescent="0.25">
      <c r="A206" s="7">
        <f>Sheet4!A185</f>
        <v>184</v>
      </c>
      <c r="B206" t="str">
        <f>Sheet4!B185</f>
        <v>HQC</v>
      </c>
      <c r="C206" t="str">
        <f>Sheet4!C184</f>
        <v>Đầu tư Hải Phát</v>
      </c>
      <c r="D206" t="str">
        <f>Sheet4!D185</f>
        <v>HOSE</v>
      </c>
      <c r="E206" s="7">
        <f>Sheet4!AH185/1000000000</f>
        <v>1378.5184028000001</v>
      </c>
      <c r="F206" t="str">
        <f>Sheet4!E185</f>
        <v>Tài chính</v>
      </c>
      <c r="G206" t="str">
        <f>Sheet4!F185</f>
        <v>Bất động sản</v>
      </c>
      <c r="H206" t="str">
        <f>Sheet4!G185</f>
        <v>Bất động sản</v>
      </c>
      <c r="I206" s="9" t="str" cm="1">
        <f t="array" ref="I20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06" s="9" t="str" cm="1">
        <f t="array" ref="J20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06" s="10" cm="1">
        <f t="array" ref="K20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06" s="10" cm="1">
        <f t="array" ref="L20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06" s="9" t="str" cm="1">
        <f t="array" ref="M20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06" s="9" t="str" cm="1">
        <f t="array" ref="N20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06" s="10" cm="1">
        <f t="array" ref="O206">IFERROR(INDEX(Sheet4!$2:$1605,MATCH(ChiTietKQKD[[#This Row],[Mã CP]],Sheet4!$B$2:$B$1605,0),_xlfn.XMATCH("*Tăng trưởng lợi nhuận sau thuế (YoY) (Quý*",Sheet4!$1:$1,2)),"")</f>
        <v>0</v>
      </c>
      <c r="P206" s="10" cm="1">
        <f t="array" ref="P206">IFERROR(INDEX(Sheet4!$2:$1605,MATCH(ChiTietKQKD[[#This Row],[Mã CP]],Sheet4!$B$2:$B$1605,0),_xlfn.XMATCH("*Tăng trưởng lợi nhuận sau thuế (YoY) (6M)*",Sheet4!$1:$1,2)),"")</f>
        <v>0</v>
      </c>
      <c r="Q206" s="10" cm="1">
        <f t="array" ref="Q206">IFERROR(INDEX(Sheet4!$2:$1605,MATCH(ChiTietKQKD[[#This Row],[Mã CP]],Sheet4!$B$2:$B$1605,0),_xlfn.XMATCH("*Tăng trưởng doanh thu thuần (QoQ)*",Sheet4!$1:$1,2)),"")</f>
        <v>0</v>
      </c>
      <c r="R206" s="10" cm="1">
        <f t="array" ref="R206">IFERROR(INDEX(Sheet4!$2:$1605,MATCH(ChiTietKQKD[[#This Row],[Mã CP]],Sheet4!$B$2:$B$1605,0),_xlfn.XMATCH("*Tăng trưởng lợi nhuận sau thuế (QoQ)*",Sheet4!$1:$1,2)),"")</f>
        <v>0</v>
      </c>
    </row>
    <row r="207" spans="1:18" x14ac:dyDescent="0.25">
      <c r="A207" s="7">
        <f>Sheet4!A186</f>
        <v>185</v>
      </c>
      <c r="B207" t="str">
        <f>Sheet4!B186</f>
        <v>HRC</v>
      </c>
      <c r="C207" t="str">
        <f>Sheet4!C185</f>
        <v>Địa ốc Hoàng Quân</v>
      </c>
      <c r="D207" t="str">
        <f>Sheet4!D186</f>
        <v>HOSE</v>
      </c>
      <c r="E207" s="7">
        <f>Sheet4!AH186/1000000000</f>
        <v>1011.921837</v>
      </c>
      <c r="F207" t="str">
        <f>Sheet4!E186</f>
        <v>Nguyên vật liệu</v>
      </c>
      <c r="G207" t="str">
        <f>Sheet4!F186</f>
        <v>Hóa chất</v>
      </c>
      <c r="H207" t="str">
        <f>Sheet4!G186</f>
        <v>Nhựa, cao su &amp; sợi</v>
      </c>
      <c r="I207" s="9" cm="1">
        <f t="array" ref="I20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64.634327428999995</v>
      </c>
      <c r="J207" s="9" cm="1">
        <f t="array" ref="J20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159.905861461</v>
      </c>
      <c r="K207" s="10" cm="1">
        <f t="array" ref="K20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8.6999999999999994E-2</v>
      </c>
      <c r="L207" s="10" cm="1">
        <f t="array" ref="L20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0.65180000000000005</v>
      </c>
      <c r="M207" s="9" cm="1">
        <f t="array" ref="M207">_xlfn.LET(_xlpm.val,IFERROR(INDEX(Sheet4!$2:$1605,MATCH(ChiTietKQKD[[#This Row],[Mã CP]],Sheet4!$B$2:$B$1605,0),_xlfn.XMATCH("*Lợi nhuận sau thuế*Q2*2026*",Sheet4!$1:$1,2)),0),IF(OR(_xlpm.val="",_xlpm.val=0),"",_xlpm.val/1000000000))</f>
        <v>35.654212630000004</v>
      </c>
      <c r="N207" s="9" cm="1">
        <f t="array" ref="N207">_xlfn.LET(_xlpm.val,IFERROR(INDEX(Sheet4!$2:$1605,MATCH(ChiTietKQKD[[#This Row],[Mã CP]],Sheet4!$B$2:$B$1605,0),_xlfn.XMATCH("*Lợi nhuận sau thuế*6 tháng*2026*",Sheet4!$1:$1,2)),0),IF(OR(_xlpm.val="",_xlpm.val=0),"",_xlpm.val/1000000000))</f>
        <v>42.673132189</v>
      </c>
      <c r="O207" s="10" cm="1">
        <f t="array" ref="O207">IFERROR(INDEX(Sheet4!$2:$1605,MATCH(ChiTietKQKD[[#This Row],[Mã CP]],Sheet4!$B$2:$B$1605,0),_xlfn.XMATCH("*Tăng trưởng lợi nhuận sau thuế (YoY) (Quý*",Sheet4!$1:$1,2)),"")</f>
        <v>9.7324999999999999</v>
      </c>
      <c r="P207" s="10" cm="1">
        <f t="array" ref="P207">IFERROR(INDEX(Sheet4!$2:$1605,MATCH(ChiTietKQKD[[#This Row],[Mã CP]],Sheet4!$B$2:$B$1605,0),_xlfn.XMATCH("*Tăng trưởng lợi nhuận sau thuế (YoY) (6M)*",Sheet4!$1:$1,2)),"")</f>
        <v>7.9843999999999999</v>
      </c>
      <c r="Q207" s="10" cm="1">
        <f t="array" ref="Q207">IFERROR(INDEX(Sheet4!$2:$1605,MATCH(ChiTietKQKD[[#This Row],[Mã CP]],Sheet4!$B$2:$B$1605,0),_xlfn.XMATCH("*Tăng trưởng doanh thu thuần (QoQ)*",Sheet4!$1:$1,2)),"")</f>
        <v>-0.3216</v>
      </c>
      <c r="R207" s="10" cm="1">
        <f t="array" ref="R207">IFERROR(INDEX(Sheet4!$2:$1605,MATCH(ChiTietKQKD[[#This Row],[Mã CP]],Sheet4!$B$2:$B$1605,0),_xlfn.XMATCH("*Tăng trưởng lợi nhuận sau thuế (QoQ)*",Sheet4!$1:$1,2)),"")</f>
        <v>4.0796999999999999</v>
      </c>
    </row>
    <row r="208" spans="1:18" x14ac:dyDescent="0.25">
      <c r="A208" s="7">
        <f>Sheet4!A187</f>
        <v>186</v>
      </c>
      <c r="B208" t="str">
        <f>Sheet4!B187</f>
        <v>HSG</v>
      </c>
      <c r="C208" t="str">
        <f>Sheet4!C186</f>
        <v>Cao su Hòa Bình</v>
      </c>
      <c r="D208" t="str">
        <f>Sheet4!D187</f>
        <v>HOSE</v>
      </c>
      <c r="E208" s="7">
        <f>Sheet4!AH187/1000000000</f>
        <v>8435.8952568000004</v>
      </c>
      <c r="F208" t="str">
        <f>Sheet4!E187</f>
        <v>Nguyên vật liệu</v>
      </c>
      <c r="G208" t="str">
        <f>Sheet4!F187</f>
        <v>Tài nguyên Cơ bản</v>
      </c>
      <c r="H208" t="str">
        <f>Sheet4!G187</f>
        <v>Thép và sản phẩm thép</v>
      </c>
      <c r="I208" s="9" t="str" cm="1">
        <f t="array" ref="I20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08" s="9" t="str" cm="1">
        <f t="array" ref="J20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08" s="10" cm="1">
        <f t="array" ref="K20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08" s="10" cm="1">
        <f t="array" ref="L20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08" s="9" t="str" cm="1">
        <f t="array" ref="M20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08" s="9" t="str" cm="1">
        <f t="array" ref="N20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08" s="10" cm="1">
        <f t="array" ref="O208">IFERROR(INDEX(Sheet4!$2:$1605,MATCH(ChiTietKQKD[[#This Row],[Mã CP]],Sheet4!$B$2:$B$1605,0),_xlfn.XMATCH("*Tăng trưởng lợi nhuận sau thuế (YoY) (Quý*",Sheet4!$1:$1,2)),"")</f>
        <v>0</v>
      </c>
      <c r="P208" s="10" cm="1">
        <f t="array" ref="P208">IFERROR(INDEX(Sheet4!$2:$1605,MATCH(ChiTietKQKD[[#This Row],[Mã CP]],Sheet4!$B$2:$B$1605,0),_xlfn.XMATCH("*Tăng trưởng lợi nhuận sau thuế (YoY) (6M)*",Sheet4!$1:$1,2)),"")</f>
        <v>0</v>
      </c>
      <c r="Q208" s="10" cm="1">
        <f t="array" ref="Q208">IFERROR(INDEX(Sheet4!$2:$1605,MATCH(ChiTietKQKD[[#This Row],[Mã CP]],Sheet4!$B$2:$B$1605,0),_xlfn.XMATCH("*Tăng trưởng doanh thu thuần (QoQ)*",Sheet4!$1:$1,2)),"")</f>
        <v>0</v>
      </c>
      <c r="R208" s="10" cm="1">
        <f t="array" ref="R208">IFERROR(INDEX(Sheet4!$2:$1605,MATCH(ChiTietKQKD[[#This Row],[Mã CP]],Sheet4!$B$2:$B$1605,0),_xlfn.XMATCH("*Tăng trưởng lợi nhuận sau thuế (QoQ)*",Sheet4!$1:$1,2)),"")</f>
        <v>0</v>
      </c>
    </row>
    <row r="209" spans="1:18" x14ac:dyDescent="0.25">
      <c r="A209" s="7">
        <f>Sheet4!A188</f>
        <v>187</v>
      </c>
      <c r="B209" t="str">
        <f>Sheet4!B188</f>
        <v>HSL</v>
      </c>
      <c r="C209" t="str">
        <f>Sheet4!C187</f>
        <v>Tập đoàn Hoa Sen</v>
      </c>
      <c r="D209" t="str">
        <f>Sheet4!D188</f>
        <v>HOSE</v>
      </c>
      <c r="E209" s="7">
        <f>Sheet4!AH188/1000000000</f>
        <v>310.08159852</v>
      </c>
      <c r="F209" t="str">
        <f>Sheet4!E188</f>
        <v>Hàng Tiêu dùng</v>
      </c>
      <c r="G209" t="str">
        <f>Sheet4!F188</f>
        <v>Thực phẩm và đồ uống</v>
      </c>
      <c r="H209" t="str">
        <f>Sheet4!G188</f>
        <v>Thực phẩm</v>
      </c>
      <c r="I209" s="9" t="str" cm="1">
        <f t="array" ref="I20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09" s="9" t="str" cm="1">
        <f t="array" ref="J20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09" s="10" cm="1">
        <f t="array" ref="K20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09" s="10" cm="1">
        <f t="array" ref="L20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09" s="9" t="str" cm="1">
        <f t="array" ref="M20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09" s="9" t="str" cm="1">
        <f t="array" ref="N20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09" s="10" cm="1">
        <f t="array" ref="O209">IFERROR(INDEX(Sheet4!$2:$1605,MATCH(ChiTietKQKD[[#This Row],[Mã CP]],Sheet4!$B$2:$B$1605,0),_xlfn.XMATCH("*Tăng trưởng lợi nhuận sau thuế (YoY) (Quý*",Sheet4!$1:$1,2)),"")</f>
        <v>0</v>
      </c>
      <c r="P209" s="10" cm="1">
        <f t="array" ref="P209">IFERROR(INDEX(Sheet4!$2:$1605,MATCH(ChiTietKQKD[[#This Row],[Mã CP]],Sheet4!$B$2:$B$1605,0),_xlfn.XMATCH("*Tăng trưởng lợi nhuận sau thuế (YoY) (6M)*",Sheet4!$1:$1,2)),"")</f>
        <v>0</v>
      </c>
      <c r="Q209" s="10" cm="1">
        <f t="array" ref="Q209">IFERROR(INDEX(Sheet4!$2:$1605,MATCH(ChiTietKQKD[[#This Row],[Mã CP]],Sheet4!$B$2:$B$1605,0),_xlfn.XMATCH("*Tăng trưởng doanh thu thuần (QoQ)*",Sheet4!$1:$1,2)),"")</f>
        <v>0</v>
      </c>
      <c r="R209" s="10" cm="1">
        <f t="array" ref="R209">IFERROR(INDEX(Sheet4!$2:$1605,MATCH(ChiTietKQKD[[#This Row],[Mã CP]],Sheet4!$B$2:$B$1605,0),_xlfn.XMATCH("*Tăng trưởng lợi nhuận sau thuế (QoQ)*",Sheet4!$1:$1,2)),"")</f>
        <v>0</v>
      </c>
    </row>
    <row r="210" spans="1:18" x14ac:dyDescent="0.25">
      <c r="A210" s="7">
        <f>Sheet4!A189</f>
        <v>188</v>
      </c>
      <c r="B210" t="str">
        <f>Sheet4!B189</f>
        <v>HT1</v>
      </c>
      <c r="C210" t="str">
        <f>Sheet4!C188</f>
        <v>Thực phẩm Hồng Hà</v>
      </c>
      <c r="D210" t="str">
        <f>Sheet4!D189</f>
        <v>HOSE</v>
      </c>
      <c r="E210" s="7">
        <f>Sheet4!AH189/1000000000</f>
        <v>4655.3969141999996</v>
      </c>
      <c r="F210" t="str">
        <f>Sheet4!E189</f>
        <v>Công nghiệp</v>
      </c>
      <c r="G210" t="str">
        <f>Sheet4!F189</f>
        <v>Xây dựng và Vật liệu</v>
      </c>
      <c r="H210" t="str">
        <f>Sheet4!G189</f>
        <v>Vật liệu xây dựng &amp; Nội thất</v>
      </c>
      <c r="I210" s="9" cm="1">
        <f t="array" ref="I21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2260.9968758780001</v>
      </c>
      <c r="J210" s="9" cm="1">
        <f t="array" ref="J21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4120.9940210739996</v>
      </c>
      <c r="K210" s="10" cm="1">
        <f t="array" ref="K21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0.17100000000000001</v>
      </c>
      <c r="L210" s="10" cm="1">
        <f t="array" ref="L21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0.17150000000000001</v>
      </c>
      <c r="M210" s="9" cm="1">
        <f t="array" ref="M210">_xlfn.LET(_xlpm.val,IFERROR(INDEX(Sheet4!$2:$1605,MATCH(ChiTietKQKD[[#This Row],[Mã CP]],Sheet4!$B$2:$B$1605,0),_xlfn.XMATCH("*Lợi nhuận sau thuế*Q2*2026*",Sheet4!$1:$1,2)),0),IF(OR(_xlpm.val="",_xlpm.val=0),"",_xlpm.val/1000000000))</f>
        <v>138.226368753</v>
      </c>
      <c r="N210" s="9" cm="1">
        <f t="array" ref="N210">_xlfn.LET(_xlpm.val,IFERROR(INDEX(Sheet4!$2:$1605,MATCH(ChiTietKQKD[[#This Row],[Mã CP]],Sheet4!$B$2:$B$1605,0),_xlfn.XMATCH("*Lợi nhuận sau thuế*6 tháng*2026*",Sheet4!$1:$1,2)),0),IF(OR(_xlpm.val="",_xlpm.val=0),"",_xlpm.val/1000000000))</f>
        <v>216.066311154</v>
      </c>
      <c r="O210" s="10" cm="1">
        <f t="array" ref="O210">IFERROR(INDEX(Sheet4!$2:$1605,MATCH(ChiTietKQKD[[#This Row],[Mã CP]],Sheet4!$B$2:$B$1605,0),_xlfn.XMATCH("*Tăng trưởng lợi nhuận sau thuế (YoY) (Quý*",Sheet4!$1:$1,2)),"")</f>
        <v>0.23050000000000001</v>
      </c>
      <c r="P210" s="10" cm="1">
        <f t="array" ref="P210">IFERROR(INDEX(Sheet4!$2:$1605,MATCH(ChiTietKQKD[[#This Row],[Mã CP]],Sheet4!$B$2:$B$1605,0),_xlfn.XMATCH("*Tăng trưởng lợi nhuận sau thuế (YoY) (6M)*",Sheet4!$1:$1,2)),"")</f>
        <v>1.0946</v>
      </c>
      <c r="Q210" s="10" cm="1">
        <f t="array" ref="Q210">IFERROR(INDEX(Sheet4!$2:$1605,MATCH(ChiTietKQKD[[#This Row],[Mã CP]],Sheet4!$B$2:$B$1605,0),_xlfn.XMATCH("*Tăng trưởng doanh thu thuần (QoQ)*",Sheet4!$1:$1,2)),"")</f>
        <v>0.21560000000000001</v>
      </c>
      <c r="R210" s="10" cm="1">
        <f t="array" ref="R210">IFERROR(INDEX(Sheet4!$2:$1605,MATCH(ChiTietKQKD[[#This Row],[Mã CP]],Sheet4!$B$2:$B$1605,0),_xlfn.XMATCH("*Tăng trưởng lợi nhuận sau thuế (QoQ)*",Sheet4!$1:$1,2)),"")</f>
        <v>0.77580000000000005</v>
      </c>
    </row>
    <row r="211" spans="1:18" x14ac:dyDescent="0.25">
      <c r="A211" s="7">
        <f>Sheet4!A190</f>
        <v>189</v>
      </c>
      <c r="B211" t="str">
        <f>Sheet4!B190</f>
        <v>HTG</v>
      </c>
      <c r="C211" t="str">
        <f>Sheet4!C189</f>
        <v>VICEM Hà Tiên</v>
      </c>
      <c r="D211" t="str">
        <f>Sheet4!D190</f>
        <v>HOSE</v>
      </c>
      <c r="E211" s="7">
        <f>Sheet4!AH190/1000000000</f>
        <v>1479.7112782500001</v>
      </c>
      <c r="F211" t="str">
        <f>Sheet4!E190</f>
        <v>Hàng Tiêu dùng</v>
      </c>
      <c r="G211" t="str">
        <f>Sheet4!F190</f>
        <v>Hàng cá nhân &amp; Gia dụng</v>
      </c>
      <c r="H211" t="str">
        <f>Sheet4!G190</f>
        <v>Hàng May mặc</v>
      </c>
      <c r="I211" s="9" t="str" cm="1">
        <f t="array" ref="I21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11" s="9" t="str" cm="1">
        <f t="array" ref="J21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11" s="10" cm="1">
        <f t="array" ref="K21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11" s="10" cm="1">
        <f t="array" ref="L21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11" s="9" t="str" cm="1">
        <f t="array" ref="M21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11" s="9" t="str" cm="1">
        <f t="array" ref="N21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11" s="10" cm="1">
        <f t="array" ref="O211">IFERROR(INDEX(Sheet4!$2:$1605,MATCH(ChiTietKQKD[[#This Row],[Mã CP]],Sheet4!$B$2:$B$1605,0),_xlfn.XMATCH("*Tăng trưởng lợi nhuận sau thuế (YoY) (Quý*",Sheet4!$1:$1,2)),"")</f>
        <v>0</v>
      </c>
      <c r="P211" s="10" cm="1">
        <f t="array" ref="P211">IFERROR(INDEX(Sheet4!$2:$1605,MATCH(ChiTietKQKD[[#This Row],[Mã CP]],Sheet4!$B$2:$B$1605,0),_xlfn.XMATCH("*Tăng trưởng lợi nhuận sau thuế (YoY) (6M)*",Sheet4!$1:$1,2)),"")</f>
        <v>0</v>
      </c>
      <c r="Q211" s="10" cm="1">
        <f t="array" ref="Q211">IFERROR(INDEX(Sheet4!$2:$1605,MATCH(ChiTietKQKD[[#This Row],[Mã CP]],Sheet4!$B$2:$B$1605,0),_xlfn.XMATCH("*Tăng trưởng doanh thu thuần (QoQ)*",Sheet4!$1:$1,2)),"")</f>
        <v>0</v>
      </c>
      <c r="R211" s="10" cm="1">
        <f t="array" ref="R211">IFERROR(INDEX(Sheet4!$2:$1605,MATCH(ChiTietKQKD[[#This Row],[Mã CP]],Sheet4!$B$2:$B$1605,0),_xlfn.XMATCH("*Tăng trưởng lợi nhuận sau thuế (QoQ)*",Sheet4!$1:$1,2)),"")</f>
        <v>0</v>
      </c>
    </row>
    <row r="212" spans="1:18" x14ac:dyDescent="0.25">
      <c r="A212" s="7">
        <f>Sheet4!A191</f>
        <v>190</v>
      </c>
      <c r="B212" t="str">
        <f>Sheet4!B191</f>
        <v>HTI</v>
      </c>
      <c r="C212" t="str">
        <f>Sheet4!C190</f>
        <v>Dệt may Hòa Thọ</v>
      </c>
      <c r="D212" t="str">
        <f>Sheet4!D191</f>
        <v>HOSE</v>
      </c>
      <c r="E212" s="7">
        <f>Sheet4!AH191/1000000000</f>
        <v>450.33305999999999</v>
      </c>
      <c r="F212" t="str">
        <f>Sheet4!E191</f>
        <v>Công nghiệp</v>
      </c>
      <c r="G212" t="str">
        <f>Sheet4!F191</f>
        <v>Xây dựng và Vật liệu</v>
      </c>
      <c r="H212" t="str">
        <f>Sheet4!G191</f>
        <v>Xây dựng</v>
      </c>
      <c r="I212" s="9" cm="1">
        <f t="array" ref="I21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123.305572316</v>
      </c>
      <c r="J212" s="9" cm="1">
        <f t="array" ref="J21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243.561738045</v>
      </c>
      <c r="K212" s="10" cm="1">
        <f t="array" ref="K21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-5.4300000000000001E-2</v>
      </c>
      <c r="L212" s="10" cm="1">
        <f t="array" ref="L21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2E-3</v>
      </c>
      <c r="M212" s="9" cm="1">
        <f t="array" ref="M212">_xlfn.LET(_xlpm.val,IFERROR(INDEX(Sheet4!$2:$1605,MATCH(ChiTietKQKD[[#This Row],[Mã CP]],Sheet4!$B$2:$B$1605,0),_xlfn.XMATCH("*Lợi nhuận sau thuế*Q2*2026*",Sheet4!$1:$1,2)),0),IF(OR(_xlpm.val="",_xlpm.val=0),"",_xlpm.val/1000000000))</f>
        <v>34.272376020000003</v>
      </c>
      <c r="N212" s="9" cm="1">
        <f t="array" ref="N212">_xlfn.LET(_xlpm.val,IFERROR(INDEX(Sheet4!$2:$1605,MATCH(ChiTietKQKD[[#This Row],[Mã CP]],Sheet4!$B$2:$B$1605,0),_xlfn.XMATCH("*Lợi nhuận sau thuế*6 tháng*2026*",Sheet4!$1:$1,2)),0),IF(OR(_xlpm.val="",_xlpm.val=0),"",_xlpm.val/1000000000))</f>
        <v>64.176367587000001</v>
      </c>
      <c r="O212" s="10" cm="1">
        <f t="array" ref="O212">IFERROR(INDEX(Sheet4!$2:$1605,MATCH(ChiTietKQKD[[#This Row],[Mã CP]],Sheet4!$B$2:$B$1605,0),_xlfn.XMATCH("*Tăng trưởng lợi nhuận sau thuế (YoY) (Quý*",Sheet4!$1:$1,2)),"")</f>
        <v>-7.7399999999999997E-2</v>
      </c>
      <c r="P212" s="10" cm="1">
        <f t="array" ref="P212">IFERROR(INDEX(Sheet4!$2:$1605,MATCH(ChiTietKQKD[[#This Row],[Mã CP]],Sheet4!$B$2:$B$1605,0),_xlfn.XMATCH("*Tăng trưởng lợi nhuận sau thuế (YoY) (6M)*",Sheet4!$1:$1,2)),"")</f>
        <v>-0.33179999999999998</v>
      </c>
      <c r="Q212" s="10" cm="1">
        <f t="array" ref="Q212">IFERROR(INDEX(Sheet4!$2:$1605,MATCH(ChiTietKQKD[[#This Row],[Mã CP]],Sheet4!$B$2:$B$1605,0),_xlfn.XMATCH("*Tăng trưởng doanh thu thuần (QoQ)*",Sheet4!$1:$1,2)),"")</f>
        <v>2.5399999999999999E-2</v>
      </c>
      <c r="R212" s="10" cm="1">
        <f t="array" ref="R212">IFERROR(INDEX(Sheet4!$2:$1605,MATCH(ChiTietKQKD[[#This Row],[Mã CP]],Sheet4!$B$2:$B$1605,0),_xlfn.XMATCH("*Tăng trưởng lợi nhuận sau thuế (QoQ)*",Sheet4!$1:$1,2)),"")</f>
        <v>0.14610000000000001</v>
      </c>
    </row>
    <row r="213" spans="1:18" x14ac:dyDescent="0.25">
      <c r="A213" s="7">
        <f>Sheet4!A192</f>
        <v>191</v>
      </c>
      <c r="B213" t="str">
        <f>Sheet4!B192</f>
        <v>HTL</v>
      </c>
      <c r="C213" t="str">
        <f>Sheet4!C191</f>
        <v>PT Hạ tầng IDICO</v>
      </c>
      <c r="D213" t="str">
        <f>Sheet4!D192</f>
        <v>HOSE</v>
      </c>
      <c r="E213" s="7">
        <f>Sheet4!AH192/1000000000</f>
        <v>250.8</v>
      </c>
      <c r="F213" t="str">
        <f>Sheet4!E192</f>
        <v>Hàng Tiêu dùng</v>
      </c>
      <c r="G213" t="str">
        <f>Sheet4!F192</f>
        <v>Ô tô và phụ tùng</v>
      </c>
      <c r="H213" t="str">
        <f>Sheet4!G192</f>
        <v>Sản xuất ô tô</v>
      </c>
      <c r="I213" s="9" t="str" cm="1">
        <f t="array" ref="I21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13" s="9" t="str" cm="1">
        <f t="array" ref="J21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13" s="10" cm="1">
        <f t="array" ref="K21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13" s="10" cm="1">
        <f t="array" ref="L21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13" s="9" t="str" cm="1">
        <f t="array" ref="M21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13" s="9" t="str" cm="1">
        <f t="array" ref="N21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13" s="10" cm="1">
        <f t="array" ref="O213">IFERROR(INDEX(Sheet4!$2:$1605,MATCH(ChiTietKQKD[[#This Row],[Mã CP]],Sheet4!$B$2:$B$1605,0),_xlfn.XMATCH("*Tăng trưởng lợi nhuận sau thuế (YoY) (Quý*",Sheet4!$1:$1,2)),"")</f>
        <v>0</v>
      </c>
      <c r="P213" s="10" cm="1">
        <f t="array" ref="P213">IFERROR(INDEX(Sheet4!$2:$1605,MATCH(ChiTietKQKD[[#This Row],[Mã CP]],Sheet4!$B$2:$B$1605,0),_xlfn.XMATCH("*Tăng trưởng lợi nhuận sau thuế (YoY) (6M)*",Sheet4!$1:$1,2)),"")</f>
        <v>0</v>
      </c>
      <c r="Q213" s="10" cm="1">
        <f t="array" ref="Q213">IFERROR(INDEX(Sheet4!$2:$1605,MATCH(ChiTietKQKD[[#This Row],[Mã CP]],Sheet4!$B$2:$B$1605,0),_xlfn.XMATCH("*Tăng trưởng doanh thu thuần (QoQ)*",Sheet4!$1:$1,2)),"")</f>
        <v>0</v>
      </c>
      <c r="R213" s="10" cm="1">
        <f t="array" ref="R213">IFERROR(INDEX(Sheet4!$2:$1605,MATCH(ChiTietKQKD[[#This Row],[Mã CP]],Sheet4!$B$2:$B$1605,0),_xlfn.XMATCH("*Tăng trưởng lợi nhuận sau thuế (QoQ)*",Sheet4!$1:$1,2)),"")</f>
        <v>0</v>
      </c>
    </row>
    <row r="214" spans="1:18" x14ac:dyDescent="0.25">
      <c r="A214" s="7">
        <f>Sheet4!A193</f>
        <v>192</v>
      </c>
      <c r="B214" t="str">
        <f>Sheet4!B193</f>
        <v>HTN</v>
      </c>
      <c r="C214" t="str">
        <f>Sheet4!C192</f>
        <v>Ô tô Trường Long</v>
      </c>
      <c r="D214" t="str">
        <f>Sheet4!D193</f>
        <v>HOSE</v>
      </c>
      <c r="E214" s="7">
        <f>Sheet4!AH193/1000000000</f>
        <v>600.64461014000005</v>
      </c>
      <c r="F214" t="str">
        <f>Sheet4!E193</f>
        <v>Tài chính</v>
      </c>
      <c r="G214" t="str">
        <f>Sheet4!F193</f>
        <v>Bất động sản</v>
      </c>
      <c r="H214" t="str">
        <f>Sheet4!G193</f>
        <v>Bất động sản</v>
      </c>
      <c r="I214" s="9" t="str" cm="1">
        <f t="array" ref="I21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14" s="9" t="str" cm="1">
        <f t="array" ref="J21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14" s="10" cm="1">
        <f t="array" ref="K21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14" s="10" cm="1">
        <f t="array" ref="L21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14" s="9" t="str" cm="1">
        <f t="array" ref="M21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14" s="9" t="str" cm="1">
        <f t="array" ref="N21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14" s="10" cm="1">
        <f t="array" ref="O214">IFERROR(INDEX(Sheet4!$2:$1605,MATCH(ChiTietKQKD[[#This Row],[Mã CP]],Sheet4!$B$2:$B$1605,0),_xlfn.XMATCH("*Tăng trưởng lợi nhuận sau thuế (YoY) (Quý*",Sheet4!$1:$1,2)),"")</f>
        <v>0</v>
      </c>
      <c r="P214" s="10" cm="1">
        <f t="array" ref="P214">IFERROR(INDEX(Sheet4!$2:$1605,MATCH(ChiTietKQKD[[#This Row],[Mã CP]],Sheet4!$B$2:$B$1605,0),_xlfn.XMATCH("*Tăng trưởng lợi nhuận sau thuế (YoY) (6M)*",Sheet4!$1:$1,2)),"")</f>
        <v>0</v>
      </c>
      <c r="Q214" s="10" cm="1">
        <f t="array" ref="Q214">IFERROR(INDEX(Sheet4!$2:$1605,MATCH(ChiTietKQKD[[#This Row],[Mã CP]],Sheet4!$B$2:$B$1605,0),_xlfn.XMATCH("*Tăng trưởng doanh thu thuần (QoQ)*",Sheet4!$1:$1,2)),"")</f>
        <v>0</v>
      </c>
      <c r="R214" s="10" cm="1">
        <f t="array" ref="R214">IFERROR(INDEX(Sheet4!$2:$1605,MATCH(ChiTietKQKD[[#This Row],[Mã CP]],Sheet4!$B$2:$B$1605,0),_xlfn.XMATCH("*Tăng trưởng lợi nhuận sau thuế (QoQ)*",Sheet4!$1:$1,2)),"")</f>
        <v>0</v>
      </c>
    </row>
    <row r="215" spans="1:18" x14ac:dyDescent="0.25">
      <c r="A215" s="7">
        <f>Sheet4!A194</f>
        <v>193</v>
      </c>
      <c r="B215" t="str">
        <f>Sheet4!B194</f>
        <v>HTV</v>
      </c>
      <c r="C215" t="str">
        <f>Sheet4!C193</f>
        <v>Hưng Thịnh Incons</v>
      </c>
      <c r="D215" t="str">
        <f>Sheet4!D194</f>
        <v>HOSE</v>
      </c>
      <c r="E215" s="7">
        <f>Sheet4!AH194/1000000000</f>
        <v>180.83519999999999</v>
      </c>
      <c r="F215" t="str">
        <f>Sheet4!E194</f>
        <v>Công nghiệp</v>
      </c>
      <c r="G215" t="str">
        <f>Sheet4!F194</f>
        <v>Hàng &amp; Dịch vụ Công nghiệp</v>
      </c>
      <c r="H215" t="str">
        <f>Sheet4!G194</f>
        <v>Vận tải Thủy</v>
      </c>
      <c r="I215" s="9" cm="1">
        <f t="array" ref="I21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80.408667350000002</v>
      </c>
      <c r="J215" s="9" cm="1">
        <f t="array" ref="J21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148.39098244199999</v>
      </c>
      <c r="K215" s="10" cm="1">
        <f t="array" ref="K21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0.1386</v>
      </c>
      <c r="L215" s="10" cm="1">
        <f t="array" ref="L21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0.13450000000000001</v>
      </c>
      <c r="M215" s="9" cm="1">
        <f t="array" ref="M215">_xlfn.LET(_xlpm.val,IFERROR(INDEX(Sheet4!$2:$1605,MATCH(ChiTietKQKD[[#This Row],[Mã CP]],Sheet4!$B$2:$B$1605,0),_xlfn.XMATCH("*Lợi nhuận sau thuế*Q2*2026*",Sheet4!$1:$1,2)),0),IF(OR(_xlpm.val="",_xlpm.val=0),"",_xlpm.val/1000000000))</f>
        <v>7.884010076</v>
      </c>
      <c r="N215" s="9" cm="1">
        <f t="array" ref="N215">_xlfn.LET(_xlpm.val,IFERROR(INDEX(Sheet4!$2:$1605,MATCH(ChiTietKQKD[[#This Row],[Mã CP]],Sheet4!$B$2:$B$1605,0),_xlfn.XMATCH("*Lợi nhuận sau thuế*6 tháng*2026*",Sheet4!$1:$1,2)),0),IF(OR(_xlpm.val="",_xlpm.val=0),"",_xlpm.val/1000000000))</f>
        <v>13.091122877</v>
      </c>
      <c r="O215" s="10" cm="1">
        <f t="array" ref="O215">IFERROR(INDEX(Sheet4!$2:$1605,MATCH(ChiTietKQKD[[#This Row],[Mã CP]],Sheet4!$B$2:$B$1605,0),_xlfn.XMATCH("*Tăng trưởng lợi nhuận sau thuế (YoY) (Quý*",Sheet4!$1:$1,2)),"")</f>
        <v>0.44850000000000001</v>
      </c>
      <c r="P215" s="10" cm="1">
        <f t="array" ref="P215">IFERROR(INDEX(Sheet4!$2:$1605,MATCH(ChiTietKQKD[[#This Row],[Mã CP]],Sheet4!$B$2:$B$1605,0),_xlfn.XMATCH("*Tăng trưởng lợi nhuận sau thuế (YoY) (6M)*",Sheet4!$1:$1,2)),"")</f>
        <v>0.45329999999999998</v>
      </c>
      <c r="Q215" s="10" cm="1">
        <f t="array" ref="Q215">IFERROR(INDEX(Sheet4!$2:$1605,MATCH(ChiTietKQKD[[#This Row],[Mã CP]],Sheet4!$B$2:$B$1605,0),_xlfn.XMATCH("*Tăng trưởng doanh thu thuần (QoQ)*",Sheet4!$1:$1,2)),"")</f>
        <v>0.18279999999999999</v>
      </c>
      <c r="R215" s="10" cm="1">
        <f t="array" ref="R215">IFERROR(INDEX(Sheet4!$2:$1605,MATCH(ChiTietKQKD[[#This Row],[Mã CP]],Sheet4!$B$2:$B$1605,0),_xlfn.XMATCH("*Tăng trưởng lợi nhuận sau thuế (QoQ)*",Sheet4!$1:$1,2)),"")</f>
        <v>0.5141</v>
      </c>
    </row>
    <row r="216" spans="1:18" x14ac:dyDescent="0.25">
      <c r="A216" s="7">
        <f>Sheet4!A195</f>
        <v>194</v>
      </c>
      <c r="B216" t="str">
        <f>Sheet4!B195</f>
        <v>HU1</v>
      </c>
      <c r="C216" t="str">
        <f>Sheet4!C194</f>
        <v>Logistics Vicem</v>
      </c>
      <c r="D216" t="str">
        <f>Sheet4!D195</f>
        <v>HOSE</v>
      </c>
      <c r="E216" s="7">
        <f>Sheet4!AH195/1000000000</f>
        <v>140</v>
      </c>
      <c r="F216" t="str">
        <f>Sheet4!E195</f>
        <v>Công nghiệp</v>
      </c>
      <c r="G216" t="str">
        <f>Sheet4!F195</f>
        <v>Xây dựng và Vật liệu</v>
      </c>
      <c r="H216" t="str">
        <f>Sheet4!G195</f>
        <v>Xây dựng</v>
      </c>
      <c r="I216" s="9" t="str" cm="1">
        <f t="array" ref="I21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16" s="9" t="str" cm="1">
        <f t="array" ref="J21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16" s="10" cm="1">
        <f t="array" ref="K21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16" s="10" cm="1">
        <f t="array" ref="L21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16" s="9" t="str" cm="1">
        <f t="array" ref="M21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16" s="9" t="str" cm="1">
        <f t="array" ref="N21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16" s="10" cm="1">
        <f t="array" ref="O216">IFERROR(INDEX(Sheet4!$2:$1605,MATCH(ChiTietKQKD[[#This Row],[Mã CP]],Sheet4!$B$2:$B$1605,0),_xlfn.XMATCH("*Tăng trưởng lợi nhuận sau thuế (YoY) (Quý*",Sheet4!$1:$1,2)),"")</f>
        <v>0</v>
      </c>
      <c r="P216" s="10" cm="1">
        <f t="array" ref="P216">IFERROR(INDEX(Sheet4!$2:$1605,MATCH(ChiTietKQKD[[#This Row],[Mã CP]],Sheet4!$B$2:$B$1605,0),_xlfn.XMATCH("*Tăng trưởng lợi nhuận sau thuế (YoY) (6M)*",Sheet4!$1:$1,2)),"")</f>
        <v>0</v>
      </c>
      <c r="Q216" s="10" cm="1">
        <f t="array" ref="Q216">IFERROR(INDEX(Sheet4!$2:$1605,MATCH(ChiTietKQKD[[#This Row],[Mã CP]],Sheet4!$B$2:$B$1605,0),_xlfn.XMATCH("*Tăng trưởng doanh thu thuần (QoQ)*",Sheet4!$1:$1,2)),"")</f>
        <v>0</v>
      </c>
      <c r="R216" s="10" cm="1">
        <f t="array" ref="R216">IFERROR(INDEX(Sheet4!$2:$1605,MATCH(ChiTietKQKD[[#This Row],[Mã CP]],Sheet4!$B$2:$B$1605,0),_xlfn.XMATCH("*Tăng trưởng lợi nhuận sau thuế (QoQ)*",Sheet4!$1:$1,2)),"")</f>
        <v>0</v>
      </c>
    </row>
    <row r="217" spans="1:18" x14ac:dyDescent="0.25">
      <c r="A217" s="7">
        <f>Sheet4!A196</f>
        <v>195</v>
      </c>
      <c r="B217" t="str">
        <f>Sheet4!B196</f>
        <v>HUB</v>
      </c>
      <c r="C217" t="str">
        <f>Sheet4!C195</f>
        <v>Xây dựng HUD1</v>
      </c>
      <c r="D217" t="str">
        <f>Sheet4!D196</f>
        <v>HOSE</v>
      </c>
      <c r="E217" s="7">
        <f>Sheet4!AH196/1000000000</f>
        <v>371.98739940000002</v>
      </c>
      <c r="F217" t="str">
        <f>Sheet4!E196</f>
        <v>Công nghiệp</v>
      </c>
      <c r="G217" t="str">
        <f>Sheet4!F196</f>
        <v>Xây dựng và Vật liệu</v>
      </c>
      <c r="H217" t="str">
        <f>Sheet4!G196</f>
        <v>Xây dựng</v>
      </c>
      <c r="I217" s="9" cm="1">
        <f t="array" ref="I21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114.031391505</v>
      </c>
      <c r="J217" s="9" t="str" cm="1">
        <f t="array" ref="J21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17" s="10" cm="1">
        <f t="array" ref="K21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0.33579999999999999</v>
      </c>
      <c r="L217" s="10" cm="1">
        <f t="array" ref="L21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0.15210000000000001</v>
      </c>
      <c r="M217" s="9" cm="1">
        <f t="array" ref="M217">_xlfn.LET(_xlpm.val,IFERROR(INDEX(Sheet4!$2:$1605,MATCH(ChiTietKQKD[[#This Row],[Mã CP]],Sheet4!$B$2:$B$1605,0),_xlfn.XMATCH("*Lợi nhuận sau thuế*Q2*2026*",Sheet4!$1:$1,2)),0),IF(OR(_xlpm.val="",_xlpm.val=0),"",_xlpm.val/1000000000))</f>
        <v>22.887991269</v>
      </c>
      <c r="N217" s="9" t="str" cm="1">
        <f t="array" ref="N21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17" s="10" cm="1">
        <f t="array" ref="O217">IFERROR(INDEX(Sheet4!$2:$1605,MATCH(ChiTietKQKD[[#This Row],[Mã CP]],Sheet4!$B$2:$B$1605,0),_xlfn.XMATCH("*Tăng trưởng lợi nhuận sau thuế (YoY) (Quý*",Sheet4!$1:$1,2)),"")</f>
        <v>0.56220000000000003</v>
      </c>
      <c r="P217" s="10" cm="1">
        <f t="array" ref="P217">IFERROR(INDEX(Sheet4!$2:$1605,MATCH(ChiTietKQKD[[#This Row],[Mã CP]],Sheet4!$B$2:$B$1605,0),_xlfn.XMATCH("*Tăng trưởng lợi nhuận sau thuế (YoY) (6M)*",Sheet4!$1:$1,2)),"")</f>
        <v>0.38979999999999998</v>
      </c>
      <c r="Q217" s="10" cm="1">
        <f t="array" ref="Q217">IFERROR(INDEX(Sheet4!$2:$1605,MATCH(ChiTietKQKD[[#This Row],[Mã CP]],Sheet4!$B$2:$B$1605,0),_xlfn.XMATCH("*Tăng trưởng doanh thu thuần (QoQ)*",Sheet4!$1:$1,2)),"")</f>
        <v>0.66669999999999996</v>
      </c>
      <c r="R217" s="10" cm="1">
        <f t="array" ref="R217">IFERROR(INDEX(Sheet4!$2:$1605,MATCH(ChiTietKQKD[[#This Row],[Mã CP]],Sheet4!$B$2:$B$1605,0),_xlfn.XMATCH("*Tăng trưởng lợi nhuận sau thuế (QoQ)*",Sheet4!$1:$1,2)),"")</f>
        <v>0.70989999999999998</v>
      </c>
    </row>
    <row r="218" spans="1:18" x14ac:dyDescent="0.25">
      <c r="A218" s="7">
        <f>Sheet4!A197</f>
        <v>196</v>
      </c>
      <c r="B218" t="str">
        <f>Sheet4!B197</f>
        <v>HVH</v>
      </c>
      <c r="C218" t="str">
        <f>Sheet4!C196</f>
        <v>Xây lắp Huế</v>
      </c>
      <c r="D218" t="str">
        <f>Sheet4!D197</f>
        <v>HOSE</v>
      </c>
      <c r="E218" s="7">
        <f>Sheet4!AH197/1000000000</f>
        <v>696.28240738</v>
      </c>
      <c r="F218" t="str">
        <f>Sheet4!E197</f>
        <v>Công nghiệp</v>
      </c>
      <c r="G218" t="str">
        <f>Sheet4!F197</f>
        <v>Xây dựng và Vật liệu</v>
      </c>
      <c r="H218" t="str">
        <f>Sheet4!G197</f>
        <v>Xây dựng</v>
      </c>
      <c r="I218" s="9" t="str" cm="1">
        <f t="array" ref="I21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18" s="9" t="str" cm="1">
        <f t="array" ref="J21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18" s="10" cm="1">
        <f t="array" ref="K21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18" s="10" cm="1">
        <f t="array" ref="L21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18" s="9" t="str" cm="1">
        <f t="array" ref="M21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18" s="9" t="str" cm="1">
        <f t="array" ref="N21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18" s="10" cm="1">
        <f t="array" ref="O218">IFERROR(INDEX(Sheet4!$2:$1605,MATCH(ChiTietKQKD[[#This Row],[Mã CP]],Sheet4!$B$2:$B$1605,0),_xlfn.XMATCH("*Tăng trưởng lợi nhuận sau thuế (YoY) (Quý*",Sheet4!$1:$1,2)),"")</f>
        <v>0</v>
      </c>
      <c r="P218" s="10" cm="1">
        <f t="array" ref="P218">IFERROR(INDEX(Sheet4!$2:$1605,MATCH(ChiTietKQKD[[#This Row],[Mã CP]],Sheet4!$B$2:$B$1605,0),_xlfn.XMATCH("*Tăng trưởng lợi nhuận sau thuế (YoY) (6M)*",Sheet4!$1:$1,2)),"")</f>
        <v>0</v>
      </c>
      <c r="Q218" s="10" cm="1">
        <f t="array" ref="Q218">IFERROR(INDEX(Sheet4!$2:$1605,MATCH(ChiTietKQKD[[#This Row],[Mã CP]],Sheet4!$B$2:$B$1605,0),_xlfn.XMATCH("*Tăng trưởng doanh thu thuần (QoQ)*",Sheet4!$1:$1,2)),"")</f>
        <v>0</v>
      </c>
      <c r="R218" s="10" cm="1">
        <f t="array" ref="R218">IFERROR(INDEX(Sheet4!$2:$1605,MATCH(ChiTietKQKD[[#This Row],[Mã CP]],Sheet4!$B$2:$B$1605,0),_xlfn.XMATCH("*Tăng trưởng lợi nhuận sau thuế (QoQ)*",Sheet4!$1:$1,2)),"")</f>
        <v>0</v>
      </c>
    </row>
    <row r="219" spans="1:18" x14ac:dyDescent="0.25">
      <c r="A219" s="7">
        <f>Sheet4!A198</f>
        <v>197</v>
      </c>
      <c r="B219" t="str">
        <f>Sheet4!B198</f>
        <v>HVN</v>
      </c>
      <c r="C219" t="str">
        <f>Sheet4!C197</f>
        <v>Đầu tư và Công nghệ HVC</v>
      </c>
      <c r="D219" t="str">
        <f>Sheet4!D198</f>
        <v>HOSE</v>
      </c>
      <c r="E219" s="7">
        <f>Sheet4!AH198/1000000000</f>
        <v>67363.936268150006</v>
      </c>
      <c r="F219" t="str">
        <f>Sheet4!E198</f>
        <v>Dịch vụ Tiêu dùng</v>
      </c>
      <c r="G219" t="str">
        <f>Sheet4!F198</f>
        <v>Du lịch và Giải trí</v>
      </c>
      <c r="H219" t="str">
        <f>Sheet4!G198</f>
        <v>Dịch vụ hàng không</v>
      </c>
      <c r="I219" s="9" t="str" cm="1">
        <f t="array" ref="I21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19" s="9" t="str" cm="1">
        <f t="array" ref="J21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19" s="10" cm="1">
        <f t="array" ref="K21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19" s="10" cm="1">
        <f t="array" ref="L21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19" s="9" t="str" cm="1">
        <f t="array" ref="M21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19" s="9" t="str" cm="1">
        <f t="array" ref="N21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19" s="10" cm="1">
        <f t="array" ref="O219">IFERROR(INDEX(Sheet4!$2:$1605,MATCH(ChiTietKQKD[[#This Row],[Mã CP]],Sheet4!$B$2:$B$1605,0),_xlfn.XMATCH("*Tăng trưởng lợi nhuận sau thuế (YoY) (Quý*",Sheet4!$1:$1,2)),"")</f>
        <v>0</v>
      </c>
      <c r="P219" s="10" cm="1">
        <f t="array" ref="P219">IFERROR(INDEX(Sheet4!$2:$1605,MATCH(ChiTietKQKD[[#This Row],[Mã CP]],Sheet4!$B$2:$B$1605,0),_xlfn.XMATCH("*Tăng trưởng lợi nhuận sau thuế (YoY) (6M)*",Sheet4!$1:$1,2)),"")</f>
        <v>0</v>
      </c>
      <c r="Q219" s="10" cm="1">
        <f t="array" ref="Q219">IFERROR(INDEX(Sheet4!$2:$1605,MATCH(ChiTietKQKD[[#This Row],[Mã CP]],Sheet4!$B$2:$B$1605,0),_xlfn.XMATCH("*Tăng trưởng doanh thu thuần (QoQ)*",Sheet4!$1:$1,2)),"")</f>
        <v>0</v>
      </c>
      <c r="R219" s="10" cm="1">
        <f t="array" ref="R219">IFERROR(INDEX(Sheet4!$2:$1605,MATCH(ChiTietKQKD[[#This Row],[Mã CP]],Sheet4!$B$2:$B$1605,0),_xlfn.XMATCH("*Tăng trưởng lợi nhuận sau thuế (QoQ)*",Sheet4!$1:$1,2)),"")</f>
        <v>0</v>
      </c>
    </row>
    <row r="220" spans="1:18" x14ac:dyDescent="0.25">
      <c r="A220" s="7">
        <f>Sheet4!A199</f>
        <v>198</v>
      </c>
      <c r="B220" t="str">
        <f>Sheet4!B199</f>
        <v>ICT</v>
      </c>
      <c r="C220" t="str">
        <f>Sheet4!C198</f>
        <v>Vietnam Airlines</v>
      </c>
      <c r="D220" t="str">
        <f>Sheet4!D199</f>
        <v>HOSE</v>
      </c>
      <c r="E220" s="7">
        <f>Sheet4!AH199/1000000000</f>
        <v>529.44325000000003</v>
      </c>
      <c r="F220" t="str">
        <f>Sheet4!E199</f>
        <v>Công nghệ Thông tin</v>
      </c>
      <c r="G220" t="str">
        <f>Sheet4!F199</f>
        <v>Công nghệ Thông tin</v>
      </c>
      <c r="H220" t="str">
        <f>Sheet4!G199</f>
        <v>Phần mềm</v>
      </c>
      <c r="I220" s="9" t="str" cm="1">
        <f t="array" ref="I22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20" s="9" t="str" cm="1">
        <f t="array" ref="J22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20" s="10" cm="1">
        <f t="array" ref="K22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20" s="10" cm="1">
        <f t="array" ref="L22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20" s="9" t="str" cm="1">
        <f t="array" ref="M22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20" s="9" t="str" cm="1">
        <f t="array" ref="N22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20" s="10" cm="1">
        <f t="array" ref="O220">IFERROR(INDEX(Sheet4!$2:$1605,MATCH(ChiTietKQKD[[#This Row],[Mã CP]],Sheet4!$B$2:$B$1605,0),_xlfn.XMATCH("*Tăng trưởng lợi nhuận sau thuế (YoY) (Quý*",Sheet4!$1:$1,2)),"")</f>
        <v>0</v>
      </c>
      <c r="P220" s="10" cm="1">
        <f t="array" ref="P220">IFERROR(INDEX(Sheet4!$2:$1605,MATCH(ChiTietKQKD[[#This Row],[Mã CP]],Sheet4!$B$2:$B$1605,0),_xlfn.XMATCH("*Tăng trưởng lợi nhuận sau thuế (YoY) (6M)*",Sheet4!$1:$1,2)),"")</f>
        <v>0</v>
      </c>
      <c r="Q220" s="10" cm="1">
        <f t="array" ref="Q220">IFERROR(INDEX(Sheet4!$2:$1605,MATCH(ChiTietKQKD[[#This Row],[Mã CP]],Sheet4!$B$2:$B$1605,0),_xlfn.XMATCH("*Tăng trưởng doanh thu thuần (QoQ)*",Sheet4!$1:$1,2)),"")</f>
        <v>0</v>
      </c>
      <c r="R220" s="10" cm="1">
        <f t="array" ref="R220">IFERROR(INDEX(Sheet4!$2:$1605,MATCH(ChiTietKQKD[[#This Row],[Mã CP]],Sheet4!$B$2:$B$1605,0),_xlfn.XMATCH("*Tăng trưởng lợi nhuận sau thuế (QoQ)*",Sheet4!$1:$1,2)),"")</f>
        <v>0</v>
      </c>
    </row>
    <row r="221" spans="1:18" x14ac:dyDescent="0.25">
      <c r="A221" s="7">
        <f>Sheet4!A200</f>
        <v>199</v>
      </c>
      <c r="B221" t="str">
        <f>Sheet4!B200</f>
        <v>IDI</v>
      </c>
      <c r="C221" t="str">
        <f>Sheet4!C199</f>
        <v>Viễn thông - Tin học Bưu điện</v>
      </c>
      <c r="D221" t="str">
        <f>Sheet4!D200</f>
        <v>HOSE</v>
      </c>
      <c r="E221" s="7">
        <f>Sheet4!AH200/1000000000</f>
        <v>1275.71635956</v>
      </c>
      <c r="F221" t="str">
        <f>Sheet4!E200</f>
        <v>Hàng Tiêu dùng</v>
      </c>
      <c r="G221" t="str">
        <f>Sheet4!F200</f>
        <v>Thực phẩm và đồ uống</v>
      </c>
      <c r="H221" t="str">
        <f>Sheet4!G200</f>
        <v>Nuôi trồng nông &amp; hải sản</v>
      </c>
      <c r="I221" s="9" t="str" cm="1">
        <f t="array" ref="I22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21" s="9" t="str" cm="1">
        <f t="array" ref="J22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21" s="10" cm="1">
        <f t="array" ref="K22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21" s="10" cm="1">
        <f t="array" ref="L22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21" s="9" t="str" cm="1">
        <f t="array" ref="M22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21" s="9" t="str" cm="1">
        <f t="array" ref="N22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21" s="10" cm="1">
        <f t="array" ref="O221">IFERROR(INDEX(Sheet4!$2:$1605,MATCH(ChiTietKQKD[[#This Row],[Mã CP]],Sheet4!$B$2:$B$1605,0),_xlfn.XMATCH("*Tăng trưởng lợi nhuận sau thuế (YoY) (Quý*",Sheet4!$1:$1,2)),"")</f>
        <v>0</v>
      </c>
      <c r="P221" s="10" cm="1">
        <f t="array" ref="P221">IFERROR(INDEX(Sheet4!$2:$1605,MATCH(ChiTietKQKD[[#This Row],[Mã CP]],Sheet4!$B$2:$B$1605,0),_xlfn.XMATCH("*Tăng trưởng lợi nhuận sau thuế (YoY) (6M)*",Sheet4!$1:$1,2)),"")</f>
        <v>0</v>
      </c>
      <c r="Q221" s="10" cm="1">
        <f t="array" ref="Q221">IFERROR(INDEX(Sheet4!$2:$1605,MATCH(ChiTietKQKD[[#This Row],[Mã CP]],Sheet4!$B$2:$B$1605,0),_xlfn.XMATCH("*Tăng trưởng doanh thu thuần (QoQ)*",Sheet4!$1:$1,2)),"")</f>
        <v>0</v>
      </c>
      <c r="R221" s="10" cm="1">
        <f t="array" ref="R221">IFERROR(INDEX(Sheet4!$2:$1605,MATCH(ChiTietKQKD[[#This Row],[Mã CP]],Sheet4!$B$2:$B$1605,0),_xlfn.XMATCH("*Tăng trưởng lợi nhuận sau thuế (QoQ)*",Sheet4!$1:$1,2)),"")</f>
        <v>0</v>
      </c>
    </row>
    <row r="222" spans="1:18" x14ac:dyDescent="0.25">
      <c r="A222" s="7">
        <f>Sheet4!A201</f>
        <v>200</v>
      </c>
      <c r="B222" t="str">
        <f>Sheet4!B201</f>
        <v>IJC</v>
      </c>
      <c r="C222" t="str">
        <f>Sheet4!C200</f>
        <v>Đầu tư và PT Đa Quốc Gia I.D.I</v>
      </c>
      <c r="D222" t="str">
        <f>Sheet4!D201</f>
        <v>HOSE</v>
      </c>
      <c r="E222" s="7">
        <f>Sheet4!AH201/1000000000</f>
        <v>4526.6848016000004</v>
      </c>
      <c r="F222" t="str">
        <f>Sheet4!E201</f>
        <v>Tài chính</v>
      </c>
      <c r="G222" t="str">
        <f>Sheet4!F201</f>
        <v>Bất động sản</v>
      </c>
      <c r="H222" t="str">
        <f>Sheet4!G201</f>
        <v>Bất động sản</v>
      </c>
      <c r="I222" s="9" t="str" cm="1">
        <f t="array" ref="I22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22" s="9" t="str" cm="1">
        <f t="array" ref="J22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22" s="10" cm="1">
        <f t="array" ref="K22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22" s="10" cm="1">
        <f t="array" ref="L22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22" s="9" t="str" cm="1">
        <f t="array" ref="M22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22" s="9" t="str" cm="1">
        <f t="array" ref="N22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22" s="10" cm="1">
        <f t="array" ref="O222">IFERROR(INDEX(Sheet4!$2:$1605,MATCH(ChiTietKQKD[[#This Row],[Mã CP]],Sheet4!$B$2:$B$1605,0),_xlfn.XMATCH("*Tăng trưởng lợi nhuận sau thuế (YoY) (Quý*",Sheet4!$1:$1,2)),"")</f>
        <v>0</v>
      </c>
      <c r="P222" s="10" cm="1">
        <f t="array" ref="P222">IFERROR(INDEX(Sheet4!$2:$1605,MATCH(ChiTietKQKD[[#This Row],[Mã CP]],Sheet4!$B$2:$B$1605,0),_xlfn.XMATCH("*Tăng trưởng lợi nhuận sau thuế (YoY) (6M)*",Sheet4!$1:$1,2)),"")</f>
        <v>0</v>
      </c>
      <c r="Q222" s="10" cm="1">
        <f t="array" ref="Q222">IFERROR(INDEX(Sheet4!$2:$1605,MATCH(ChiTietKQKD[[#This Row],[Mã CP]],Sheet4!$B$2:$B$1605,0),_xlfn.XMATCH("*Tăng trưởng doanh thu thuần (QoQ)*",Sheet4!$1:$1,2)),"")</f>
        <v>0</v>
      </c>
      <c r="R222" s="10" cm="1">
        <f t="array" ref="R222">IFERROR(INDEX(Sheet4!$2:$1605,MATCH(ChiTietKQKD[[#This Row],[Mã CP]],Sheet4!$B$2:$B$1605,0),_xlfn.XMATCH("*Tăng trưởng lợi nhuận sau thuế (QoQ)*",Sheet4!$1:$1,2)),"")</f>
        <v>0</v>
      </c>
    </row>
    <row r="223" spans="1:18" x14ac:dyDescent="0.25">
      <c r="A223" s="7">
        <f>Sheet4!A202</f>
        <v>201</v>
      </c>
      <c r="B223" t="str">
        <f>Sheet4!B202</f>
        <v>ILB</v>
      </c>
      <c r="C223" t="str">
        <f>Sheet4!C201</f>
        <v>Becamex IJC</v>
      </c>
      <c r="D223" t="str">
        <f>Sheet4!D202</f>
        <v>HOSE</v>
      </c>
      <c r="E223" s="7">
        <f>Sheet4!AH202/1000000000</f>
        <v>769.71976380000001</v>
      </c>
      <c r="F223" t="str">
        <f>Sheet4!E202</f>
        <v>Công nghiệp</v>
      </c>
      <c r="G223" t="str">
        <f>Sheet4!F202</f>
        <v>Hàng &amp; Dịch vụ Công nghiệp</v>
      </c>
      <c r="H223" t="str">
        <f>Sheet4!G202</f>
        <v>Kho bãi, hậu cần và bảo dưỡng</v>
      </c>
      <c r="I223" s="9" t="str" cm="1">
        <f t="array" ref="I22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23" s="9" t="str" cm="1">
        <f t="array" ref="J22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23" s="10" cm="1">
        <f t="array" ref="K22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23" s="10" cm="1">
        <f t="array" ref="L22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23" s="9" t="str" cm="1">
        <f t="array" ref="M22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23" s="9" t="str" cm="1">
        <f t="array" ref="N22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23" s="10" cm="1">
        <f t="array" ref="O223">IFERROR(INDEX(Sheet4!$2:$1605,MATCH(ChiTietKQKD[[#This Row],[Mã CP]],Sheet4!$B$2:$B$1605,0),_xlfn.XMATCH("*Tăng trưởng lợi nhuận sau thuế (YoY) (Quý*",Sheet4!$1:$1,2)),"")</f>
        <v>0</v>
      </c>
      <c r="P223" s="10" cm="1">
        <f t="array" ref="P223">IFERROR(INDEX(Sheet4!$2:$1605,MATCH(ChiTietKQKD[[#This Row],[Mã CP]],Sheet4!$B$2:$B$1605,0),_xlfn.XMATCH("*Tăng trưởng lợi nhuận sau thuế (YoY) (6M)*",Sheet4!$1:$1,2)),"")</f>
        <v>0</v>
      </c>
      <c r="Q223" s="10" cm="1">
        <f t="array" ref="Q223">IFERROR(INDEX(Sheet4!$2:$1605,MATCH(ChiTietKQKD[[#This Row],[Mã CP]],Sheet4!$B$2:$B$1605,0),_xlfn.XMATCH("*Tăng trưởng doanh thu thuần (QoQ)*",Sheet4!$1:$1,2)),"")</f>
        <v>0</v>
      </c>
      <c r="R223" s="10" cm="1">
        <f t="array" ref="R223">IFERROR(INDEX(Sheet4!$2:$1605,MATCH(ChiTietKQKD[[#This Row],[Mã CP]],Sheet4!$B$2:$B$1605,0),_xlfn.XMATCH("*Tăng trưởng lợi nhuận sau thuế (QoQ)*",Sheet4!$1:$1,2)),"")</f>
        <v>0</v>
      </c>
    </row>
    <row r="224" spans="1:18" x14ac:dyDescent="0.25">
      <c r="A224" s="7">
        <f>Sheet4!A203</f>
        <v>202</v>
      </c>
      <c r="B224" t="str">
        <f>Sheet4!B203</f>
        <v>IMP</v>
      </c>
      <c r="C224" t="str">
        <f>Sheet4!C202</f>
        <v>ICD Tân Cảng Long Bình</v>
      </c>
      <c r="D224" t="str">
        <f>Sheet4!D203</f>
        <v>HOSE</v>
      </c>
      <c r="E224" s="7">
        <f>Sheet4!AH203/1000000000</f>
        <v>5513.5208395999998</v>
      </c>
      <c r="F224" t="str">
        <f>Sheet4!E203</f>
        <v>Dược phẩm và Y tế</v>
      </c>
      <c r="G224" t="str">
        <f>Sheet4!F203</f>
        <v>Y tế</v>
      </c>
      <c r="H224" t="str">
        <f>Sheet4!G203</f>
        <v>Dược phẩm</v>
      </c>
      <c r="I224" s="9" cm="1">
        <f t="array" ref="I22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562.235220164</v>
      </c>
      <c r="J224" s="9" t="str" cm="1">
        <f t="array" ref="J22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24" s="10" cm="1">
        <f t="array" ref="K22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-0.1114</v>
      </c>
      <c r="L224" s="10" cm="1">
        <f t="array" ref="L22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-9.64E-2</v>
      </c>
      <c r="M224" s="9" cm="1">
        <f t="array" ref="M224">_xlfn.LET(_xlpm.val,IFERROR(INDEX(Sheet4!$2:$1605,MATCH(ChiTietKQKD[[#This Row],[Mã CP]],Sheet4!$B$2:$B$1605,0),_xlfn.XMATCH("*Lợi nhuận sau thuế*Q2*2026*",Sheet4!$1:$1,2)),0),IF(OR(_xlpm.val="",_xlpm.val=0),"",_xlpm.val/1000000000))</f>
        <v>93.927293599999999</v>
      </c>
      <c r="N224" s="9" t="str" cm="1">
        <f t="array" ref="N22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24" s="10" cm="1">
        <f t="array" ref="O224">IFERROR(INDEX(Sheet4!$2:$1605,MATCH(ChiTietKQKD[[#This Row],[Mã CP]],Sheet4!$B$2:$B$1605,0),_xlfn.XMATCH("*Tăng trưởng lợi nhuận sau thuế (YoY) (Quý*",Sheet4!$1:$1,2)),"")</f>
        <v>4.02E-2</v>
      </c>
      <c r="P224" s="10" cm="1">
        <f t="array" ref="P224">IFERROR(INDEX(Sheet4!$2:$1605,MATCH(ChiTietKQKD[[#This Row],[Mã CP]],Sheet4!$B$2:$B$1605,0),_xlfn.XMATCH("*Tăng trưởng lợi nhuận sau thuế (YoY) (6M)*",Sheet4!$1:$1,2)),"")</f>
        <v>6.7900000000000002E-2</v>
      </c>
      <c r="Q224" s="10" cm="1">
        <f t="array" ref="Q224">IFERROR(INDEX(Sheet4!$2:$1605,MATCH(ChiTietKQKD[[#This Row],[Mã CP]],Sheet4!$B$2:$B$1605,0),_xlfn.XMATCH("*Tăng trưởng doanh thu thuần (QoQ)*",Sheet4!$1:$1,2)),"")</f>
        <v>2.93E-2</v>
      </c>
      <c r="R224" s="10" cm="1">
        <f t="array" ref="R224">IFERROR(INDEX(Sheet4!$2:$1605,MATCH(ChiTietKQKD[[#This Row],[Mã CP]],Sheet4!$B$2:$B$1605,0),_xlfn.XMATCH("*Tăng trưởng lợi nhuận sau thuế (QoQ)*",Sheet4!$1:$1,2)),"")</f>
        <v>0.1452</v>
      </c>
    </row>
    <row r="225" spans="1:18" x14ac:dyDescent="0.25">
      <c r="A225" s="7">
        <f>Sheet4!A204</f>
        <v>203</v>
      </c>
      <c r="B225" t="str">
        <f>Sheet4!B204</f>
        <v>ITC</v>
      </c>
      <c r="C225" t="str">
        <f>Sheet4!C203</f>
        <v>Dược phẩm Imexpharm</v>
      </c>
      <c r="D225" t="str">
        <f>Sheet4!D204</f>
        <v>HOSE</v>
      </c>
      <c r="E225" s="7">
        <f>Sheet4!AH204/1000000000</f>
        <v>983.33425224999996</v>
      </c>
      <c r="F225" t="str">
        <f>Sheet4!E204</f>
        <v>Tài chính</v>
      </c>
      <c r="G225" t="str">
        <f>Sheet4!F204</f>
        <v>Bất động sản</v>
      </c>
      <c r="H225" t="str">
        <f>Sheet4!G204</f>
        <v>Bất động sản</v>
      </c>
      <c r="I225" s="9" t="str" cm="1">
        <f t="array" ref="I22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25" s="9" t="str" cm="1">
        <f t="array" ref="J22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25" s="10" cm="1">
        <f t="array" ref="K22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25" s="10" cm="1">
        <f t="array" ref="L22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25" s="9" t="str" cm="1">
        <f t="array" ref="M22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25" s="9" t="str" cm="1">
        <f t="array" ref="N22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25" s="10" cm="1">
        <f t="array" ref="O225">IFERROR(INDEX(Sheet4!$2:$1605,MATCH(ChiTietKQKD[[#This Row],[Mã CP]],Sheet4!$B$2:$B$1605,0),_xlfn.XMATCH("*Tăng trưởng lợi nhuận sau thuế (YoY) (Quý*",Sheet4!$1:$1,2)),"")</f>
        <v>0</v>
      </c>
      <c r="P225" s="10" cm="1">
        <f t="array" ref="P225">IFERROR(INDEX(Sheet4!$2:$1605,MATCH(ChiTietKQKD[[#This Row],[Mã CP]],Sheet4!$B$2:$B$1605,0),_xlfn.XMATCH("*Tăng trưởng lợi nhuận sau thuế (YoY) (6M)*",Sheet4!$1:$1,2)),"")</f>
        <v>0</v>
      </c>
      <c r="Q225" s="10" cm="1">
        <f t="array" ref="Q225">IFERROR(INDEX(Sheet4!$2:$1605,MATCH(ChiTietKQKD[[#This Row],[Mã CP]],Sheet4!$B$2:$B$1605,0),_xlfn.XMATCH("*Tăng trưởng doanh thu thuần (QoQ)*",Sheet4!$1:$1,2)),"")</f>
        <v>0</v>
      </c>
      <c r="R225" s="10" cm="1">
        <f t="array" ref="R225">IFERROR(INDEX(Sheet4!$2:$1605,MATCH(ChiTietKQKD[[#This Row],[Mã CP]],Sheet4!$B$2:$B$1605,0),_xlfn.XMATCH("*Tăng trưởng lợi nhuận sau thuế (QoQ)*",Sheet4!$1:$1,2)),"")</f>
        <v>0</v>
      </c>
    </row>
    <row r="226" spans="1:18" x14ac:dyDescent="0.25">
      <c r="A226" s="7">
        <f>Sheet4!A205</f>
        <v>204</v>
      </c>
      <c r="B226" t="str">
        <f>Sheet4!B205</f>
        <v>ITD</v>
      </c>
      <c r="C226" t="str">
        <f>Sheet4!C204</f>
        <v>Đầu tư kinh doanh Nhà</v>
      </c>
      <c r="D226" t="str">
        <f>Sheet4!D205</f>
        <v>HOSE</v>
      </c>
      <c r="E226" s="7">
        <f>Sheet4!AH205/1000000000</f>
        <v>388.66618395</v>
      </c>
      <c r="F226" t="str">
        <f>Sheet4!E205</f>
        <v>Công nghệ Thông tin</v>
      </c>
      <c r="G226" t="str">
        <f>Sheet4!F205</f>
        <v>Công nghệ Thông tin</v>
      </c>
      <c r="H226" t="str">
        <f>Sheet4!G205</f>
        <v>Phần mềm</v>
      </c>
      <c r="I226" s="9" t="str" cm="1">
        <f t="array" ref="I22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26" s="9" t="str" cm="1">
        <f t="array" ref="J22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26" s="10" cm="1">
        <f t="array" ref="K22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26" s="10" cm="1">
        <f t="array" ref="L22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26" s="9" t="str" cm="1">
        <f t="array" ref="M22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26" s="9" t="str" cm="1">
        <f t="array" ref="N22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26" s="10" cm="1">
        <f t="array" ref="O226">IFERROR(INDEX(Sheet4!$2:$1605,MATCH(ChiTietKQKD[[#This Row],[Mã CP]],Sheet4!$B$2:$B$1605,0),_xlfn.XMATCH("*Tăng trưởng lợi nhuận sau thuế (YoY) (Quý*",Sheet4!$1:$1,2)),"")</f>
        <v>0</v>
      </c>
      <c r="P226" s="10" cm="1">
        <f t="array" ref="P226">IFERROR(INDEX(Sheet4!$2:$1605,MATCH(ChiTietKQKD[[#This Row],[Mã CP]],Sheet4!$B$2:$B$1605,0),_xlfn.XMATCH("*Tăng trưởng lợi nhuận sau thuế (YoY) (6M)*",Sheet4!$1:$1,2)),"")</f>
        <v>0</v>
      </c>
      <c r="Q226" s="10" cm="1">
        <f t="array" ref="Q226">IFERROR(INDEX(Sheet4!$2:$1605,MATCH(ChiTietKQKD[[#This Row],[Mã CP]],Sheet4!$B$2:$B$1605,0),_xlfn.XMATCH("*Tăng trưởng doanh thu thuần (QoQ)*",Sheet4!$1:$1,2)),"")</f>
        <v>0</v>
      </c>
      <c r="R226" s="10" cm="1">
        <f t="array" ref="R226">IFERROR(INDEX(Sheet4!$2:$1605,MATCH(ChiTietKQKD[[#This Row],[Mã CP]],Sheet4!$B$2:$B$1605,0),_xlfn.XMATCH("*Tăng trưởng lợi nhuận sau thuế (QoQ)*",Sheet4!$1:$1,2)),"")</f>
        <v>0</v>
      </c>
    </row>
    <row r="227" spans="1:18" x14ac:dyDescent="0.25">
      <c r="A227" s="7">
        <f>Sheet4!A206</f>
        <v>205</v>
      </c>
      <c r="B227" t="str">
        <f>Sheet4!B206</f>
        <v>JVC</v>
      </c>
      <c r="C227" t="str">
        <f>Sheet4!C205</f>
        <v>Công nghệ ITD</v>
      </c>
      <c r="D227" t="str">
        <f>Sheet4!D206</f>
        <v>HOSE</v>
      </c>
      <c r="E227" s="7">
        <f>Sheet4!AH206/1000000000</f>
        <v>337.50051300000001</v>
      </c>
      <c r="F227" t="str">
        <f>Sheet4!E206</f>
        <v>Dược phẩm và Y tế</v>
      </c>
      <c r="G227" t="str">
        <f>Sheet4!F206</f>
        <v>Y tế</v>
      </c>
      <c r="H227" t="str">
        <f>Sheet4!G206</f>
        <v>Thiết bị y tế</v>
      </c>
      <c r="I227" s="9" t="str" cm="1">
        <f t="array" ref="I22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27" s="9" t="str" cm="1">
        <f t="array" ref="J22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27" s="10" cm="1">
        <f t="array" ref="K22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27" s="10" cm="1">
        <f t="array" ref="L22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27" s="9" t="str" cm="1">
        <f t="array" ref="M22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27" s="9" t="str" cm="1">
        <f t="array" ref="N22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27" s="10" cm="1">
        <f t="array" ref="O227">IFERROR(INDEX(Sheet4!$2:$1605,MATCH(ChiTietKQKD[[#This Row],[Mã CP]],Sheet4!$B$2:$B$1605,0),_xlfn.XMATCH("*Tăng trưởng lợi nhuận sau thuế (YoY) (Quý*",Sheet4!$1:$1,2)),"")</f>
        <v>0</v>
      </c>
      <c r="P227" s="10" cm="1">
        <f t="array" ref="P227">IFERROR(INDEX(Sheet4!$2:$1605,MATCH(ChiTietKQKD[[#This Row],[Mã CP]],Sheet4!$B$2:$B$1605,0),_xlfn.XMATCH("*Tăng trưởng lợi nhuận sau thuế (YoY) (6M)*",Sheet4!$1:$1,2)),"")</f>
        <v>0</v>
      </c>
      <c r="Q227" s="10" cm="1">
        <f t="array" ref="Q227">IFERROR(INDEX(Sheet4!$2:$1605,MATCH(ChiTietKQKD[[#This Row],[Mã CP]],Sheet4!$B$2:$B$1605,0),_xlfn.XMATCH("*Tăng trưởng doanh thu thuần (QoQ)*",Sheet4!$1:$1,2)),"")</f>
        <v>0</v>
      </c>
      <c r="R227" s="10" cm="1">
        <f t="array" ref="R227">IFERROR(INDEX(Sheet4!$2:$1605,MATCH(ChiTietKQKD[[#This Row],[Mã CP]],Sheet4!$B$2:$B$1605,0),_xlfn.XMATCH("*Tăng trưởng lợi nhuận sau thuế (QoQ)*",Sheet4!$1:$1,2)),"")</f>
        <v>0</v>
      </c>
    </row>
    <row r="228" spans="1:18" x14ac:dyDescent="0.25">
      <c r="A228" s="7">
        <f>Sheet4!A207</f>
        <v>206</v>
      </c>
      <c r="B228" t="str">
        <f>Sheet4!B207</f>
        <v>KBC</v>
      </c>
      <c r="C228" t="str">
        <f>Sheet4!C206</f>
        <v>Đầu tư Y tế - Dược phẩm Việt Nam</v>
      </c>
      <c r="D228" t="str">
        <f>Sheet4!D207</f>
        <v>HOSE</v>
      </c>
      <c r="E228" s="7">
        <f>Sheet4!AH207/1000000000</f>
        <v>25239.027541200001</v>
      </c>
      <c r="F228" t="str">
        <f>Sheet4!E207</f>
        <v>Tài chính</v>
      </c>
      <c r="G228" t="str">
        <f>Sheet4!F207</f>
        <v>Bất động sản</v>
      </c>
      <c r="H228" t="str">
        <f>Sheet4!G207</f>
        <v>Bất động sản</v>
      </c>
      <c r="I228" s="9" t="str" cm="1">
        <f t="array" ref="I22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28" s="9" t="str" cm="1">
        <f t="array" ref="J22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28" s="10" cm="1">
        <f t="array" ref="K22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28" s="10" cm="1">
        <f t="array" ref="L22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28" s="9" t="str" cm="1">
        <f t="array" ref="M22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28" s="9" t="str" cm="1">
        <f t="array" ref="N22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28" s="10" cm="1">
        <f t="array" ref="O228">IFERROR(INDEX(Sheet4!$2:$1605,MATCH(ChiTietKQKD[[#This Row],[Mã CP]],Sheet4!$B$2:$B$1605,0),_xlfn.XMATCH("*Tăng trưởng lợi nhuận sau thuế (YoY) (Quý*",Sheet4!$1:$1,2)),"")</f>
        <v>0</v>
      </c>
      <c r="P228" s="10" cm="1">
        <f t="array" ref="P228">IFERROR(INDEX(Sheet4!$2:$1605,MATCH(ChiTietKQKD[[#This Row],[Mã CP]],Sheet4!$B$2:$B$1605,0),_xlfn.XMATCH("*Tăng trưởng lợi nhuận sau thuế (YoY) (6M)*",Sheet4!$1:$1,2)),"")</f>
        <v>0</v>
      </c>
      <c r="Q228" s="10" cm="1">
        <f t="array" ref="Q228">IFERROR(INDEX(Sheet4!$2:$1605,MATCH(ChiTietKQKD[[#This Row],[Mã CP]],Sheet4!$B$2:$B$1605,0),_xlfn.XMATCH("*Tăng trưởng doanh thu thuần (QoQ)*",Sheet4!$1:$1,2)),"")</f>
        <v>0</v>
      </c>
      <c r="R228" s="10" cm="1">
        <f t="array" ref="R228">IFERROR(INDEX(Sheet4!$2:$1605,MATCH(ChiTietKQKD[[#This Row],[Mã CP]],Sheet4!$B$2:$B$1605,0),_xlfn.XMATCH("*Tăng trưởng lợi nhuận sau thuế (QoQ)*",Sheet4!$1:$1,2)),"")</f>
        <v>0</v>
      </c>
    </row>
    <row r="229" spans="1:18" x14ac:dyDescent="0.25">
      <c r="A229" s="7">
        <f>Sheet4!A208</f>
        <v>207</v>
      </c>
      <c r="B229" t="str">
        <f>Sheet4!B208</f>
        <v>KDC</v>
      </c>
      <c r="C229" t="str">
        <f>Sheet4!C207</f>
        <v>TCT Đô thị Kinh Bắc</v>
      </c>
      <c r="D229" t="str">
        <f>Sheet4!D208</f>
        <v>HOSE</v>
      </c>
      <c r="E229" s="7">
        <f>Sheet4!AH208/1000000000</f>
        <v>13485.65064</v>
      </c>
      <c r="F229" t="str">
        <f>Sheet4!E208</f>
        <v>Hàng Tiêu dùng</v>
      </c>
      <c r="G229" t="str">
        <f>Sheet4!F208</f>
        <v>Thực phẩm và đồ uống</v>
      </c>
      <c r="H229" t="str">
        <f>Sheet4!G208</f>
        <v>Thực phẩm</v>
      </c>
      <c r="I229" s="9" t="str" cm="1">
        <f t="array" ref="I22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29" s="9" t="str" cm="1">
        <f t="array" ref="J22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29" s="10" cm="1">
        <f t="array" ref="K22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29" s="10" cm="1">
        <f t="array" ref="L22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29" s="9" t="str" cm="1">
        <f t="array" ref="M22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29" s="9" t="str" cm="1">
        <f t="array" ref="N22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29" s="10" cm="1">
        <f t="array" ref="O229">IFERROR(INDEX(Sheet4!$2:$1605,MATCH(ChiTietKQKD[[#This Row],[Mã CP]],Sheet4!$B$2:$B$1605,0),_xlfn.XMATCH("*Tăng trưởng lợi nhuận sau thuế (YoY) (Quý*",Sheet4!$1:$1,2)),"")</f>
        <v>0</v>
      </c>
      <c r="P229" s="10" cm="1">
        <f t="array" ref="P229">IFERROR(INDEX(Sheet4!$2:$1605,MATCH(ChiTietKQKD[[#This Row],[Mã CP]],Sheet4!$B$2:$B$1605,0),_xlfn.XMATCH("*Tăng trưởng lợi nhuận sau thuế (YoY) (6M)*",Sheet4!$1:$1,2)),"")</f>
        <v>0</v>
      </c>
      <c r="Q229" s="10" cm="1">
        <f t="array" ref="Q229">IFERROR(INDEX(Sheet4!$2:$1605,MATCH(ChiTietKQKD[[#This Row],[Mã CP]],Sheet4!$B$2:$B$1605,0),_xlfn.XMATCH("*Tăng trưởng doanh thu thuần (QoQ)*",Sheet4!$1:$1,2)),"")</f>
        <v>0</v>
      </c>
      <c r="R229" s="10" cm="1">
        <f t="array" ref="R229">IFERROR(INDEX(Sheet4!$2:$1605,MATCH(ChiTietKQKD[[#This Row],[Mã CP]],Sheet4!$B$2:$B$1605,0),_xlfn.XMATCH("*Tăng trưởng lợi nhuận sau thuế (QoQ)*",Sheet4!$1:$1,2)),"")</f>
        <v>0</v>
      </c>
    </row>
    <row r="230" spans="1:18" x14ac:dyDescent="0.25">
      <c r="A230" s="7">
        <f>Sheet4!A209</f>
        <v>208</v>
      </c>
      <c r="B230" t="str">
        <f>Sheet4!B209</f>
        <v>KDH</v>
      </c>
      <c r="C230" t="str">
        <f>Sheet4!C208</f>
        <v>Tập đoàn KIDO</v>
      </c>
      <c r="D230" t="str">
        <f>Sheet4!D209</f>
        <v>HOSE</v>
      </c>
      <c r="E230" s="7">
        <f>Sheet4!AH209/1000000000</f>
        <v>20199.868181999998</v>
      </c>
      <c r="F230" t="str">
        <f>Sheet4!E209</f>
        <v>Tài chính</v>
      </c>
      <c r="G230" t="str">
        <f>Sheet4!F209</f>
        <v>Bất động sản</v>
      </c>
      <c r="H230" t="str">
        <f>Sheet4!G209</f>
        <v>Bất động sản</v>
      </c>
      <c r="I230" s="9" t="str" cm="1">
        <f t="array" ref="I23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30" s="9" t="str" cm="1">
        <f t="array" ref="J23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30" s="10" cm="1">
        <f t="array" ref="K23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30" s="10" cm="1">
        <f t="array" ref="L23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30" s="9" t="str" cm="1">
        <f t="array" ref="M23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30" s="9" t="str" cm="1">
        <f t="array" ref="N23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30" s="10" cm="1">
        <f t="array" ref="O230">IFERROR(INDEX(Sheet4!$2:$1605,MATCH(ChiTietKQKD[[#This Row],[Mã CP]],Sheet4!$B$2:$B$1605,0),_xlfn.XMATCH("*Tăng trưởng lợi nhuận sau thuế (YoY) (Quý*",Sheet4!$1:$1,2)),"")</f>
        <v>0</v>
      </c>
      <c r="P230" s="10" cm="1">
        <f t="array" ref="P230">IFERROR(INDEX(Sheet4!$2:$1605,MATCH(ChiTietKQKD[[#This Row],[Mã CP]],Sheet4!$B$2:$B$1605,0),_xlfn.XMATCH("*Tăng trưởng lợi nhuận sau thuế (YoY) (6M)*",Sheet4!$1:$1,2)),"")</f>
        <v>0</v>
      </c>
      <c r="Q230" s="10" cm="1">
        <f t="array" ref="Q230">IFERROR(INDEX(Sheet4!$2:$1605,MATCH(ChiTietKQKD[[#This Row],[Mã CP]],Sheet4!$B$2:$B$1605,0),_xlfn.XMATCH("*Tăng trưởng doanh thu thuần (QoQ)*",Sheet4!$1:$1,2)),"")</f>
        <v>0</v>
      </c>
      <c r="R230" s="10" cm="1">
        <f t="array" ref="R230">IFERROR(INDEX(Sheet4!$2:$1605,MATCH(ChiTietKQKD[[#This Row],[Mã CP]],Sheet4!$B$2:$B$1605,0),_xlfn.XMATCH("*Tăng trưởng lợi nhuận sau thuế (QoQ)*",Sheet4!$1:$1,2)),"")</f>
        <v>0</v>
      </c>
    </row>
    <row r="231" spans="1:18" x14ac:dyDescent="0.25">
      <c r="A231" s="7">
        <f>Sheet4!A210</f>
        <v>209</v>
      </c>
      <c r="B231" t="str">
        <f>Sheet4!B210</f>
        <v>KHG</v>
      </c>
      <c r="C231" t="str">
        <f>Sheet4!C209</f>
        <v>Nhà Khang Điền</v>
      </c>
      <c r="D231" t="str">
        <f>Sheet4!D210</f>
        <v>HOSE</v>
      </c>
      <c r="E231" s="7">
        <f>Sheet4!AH210/1000000000</f>
        <v>2175.2663922000002</v>
      </c>
      <c r="F231" t="str">
        <f>Sheet4!E210</f>
        <v>Tài chính</v>
      </c>
      <c r="G231" t="str">
        <f>Sheet4!F210</f>
        <v>Bất động sản</v>
      </c>
      <c r="H231" t="str">
        <f>Sheet4!G210</f>
        <v>Bất động sản</v>
      </c>
      <c r="I231" s="9" t="str" cm="1">
        <f t="array" ref="I23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31" s="9" t="str" cm="1">
        <f t="array" ref="J23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31" s="10" cm="1">
        <f t="array" ref="K23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31" s="10" cm="1">
        <f t="array" ref="L23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31" s="9" t="str" cm="1">
        <f t="array" ref="M23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31" s="9" t="str" cm="1">
        <f t="array" ref="N23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31" s="10" cm="1">
        <f t="array" ref="O231">IFERROR(INDEX(Sheet4!$2:$1605,MATCH(ChiTietKQKD[[#This Row],[Mã CP]],Sheet4!$B$2:$B$1605,0),_xlfn.XMATCH("*Tăng trưởng lợi nhuận sau thuế (YoY) (Quý*",Sheet4!$1:$1,2)),"")</f>
        <v>0</v>
      </c>
      <c r="P231" s="10" cm="1">
        <f t="array" ref="P231">IFERROR(INDEX(Sheet4!$2:$1605,MATCH(ChiTietKQKD[[#This Row],[Mã CP]],Sheet4!$B$2:$B$1605,0),_xlfn.XMATCH("*Tăng trưởng lợi nhuận sau thuế (YoY) (6M)*",Sheet4!$1:$1,2)),"")</f>
        <v>0</v>
      </c>
      <c r="Q231" s="10" cm="1">
        <f t="array" ref="Q231">IFERROR(INDEX(Sheet4!$2:$1605,MATCH(ChiTietKQKD[[#This Row],[Mã CP]],Sheet4!$B$2:$B$1605,0),_xlfn.XMATCH("*Tăng trưởng doanh thu thuần (QoQ)*",Sheet4!$1:$1,2)),"")</f>
        <v>0</v>
      </c>
      <c r="R231" s="10" cm="1">
        <f t="array" ref="R231">IFERROR(INDEX(Sheet4!$2:$1605,MATCH(ChiTietKQKD[[#This Row],[Mã CP]],Sheet4!$B$2:$B$1605,0),_xlfn.XMATCH("*Tăng trưởng lợi nhuận sau thuế (QoQ)*",Sheet4!$1:$1,2)),"")</f>
        <v>0</v>
      </c>
    </row>
    <row r="232" spans="1:18" x14ac:dyDescent="0.25">
      <c r="A232" s="7">
        <f>Sheet4!A211</f>
        <v>210</v>
      </c>
      <c r="B232" t="str">
        <f>Sheet4!B211</f>
        <v>KHP</v>
      </c>
      <c r="C232" t="str">
        <f>Sheet4!C210</f>
        <v>Tập đoàn Khải Hoàn Land</v>
      </c>
      <c r="D232" t="str">
        <f>Sheet4!D211</f>
        <v>HOSE</v>
      </c>
      <c r="E232" s="7">
        <f>Sheet4!AH211/1000000000</f>
        <v>582.63559889999999</v>
      </c>
      <c r="F232" t="str">
        <f>Sheet4!E211</f>
        <v>Tiện ích Cộng đồng</v>
      </c>
      <c r="G232" t="str">
        <f>Sheet4!F211</f>
        <v>Điện, nước &amp; xăng dầu khí đốt</v>
      </c>
      <c r="H232" t="str">
        <f>Sheet4!G211</f>
        <v>Sản xuất &amp; Phân phối Điện</v>
      </c>
      <c r="I232" s="9" cm="1">
        <f t="array" ref="I23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2460.6808929849999</v>
      </c>
      <c r="J232" s="9" cm="1">
        <f t="array" ref="J23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4213.4599702400001</v>
      </c>
      <c r="K232" s="10" cm="1">
        <f t="array" ref="K23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0.15629999999999999</v>
      </c>
      <c r="L232" s="10" cm="1">
        <f t="array" ref="L23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0.15859999999999999</v>
      </c>
      <c r="M232" s="9" cm="1">
        <f t="array" ref="M232">_xlfn.LET(_xlpm.val,IFERROR(INDEX(Sheet4!$2:$1605,MATCH(ChiTietKQKD[[#This Row],[Mã CP]],Sheet4!$B$2:$B$1605,0),_xlfn.XMATCH("*Lợi nhuận sau thuế*Q2*2026*",Sheet4!$1:$1,2)),0),IF(OR(_xlpm.val="",_xlpm.val=0),"",_xlpm.val/1000000000))</f>
        <v>-0.81818065200000001</v>
      </c>
      <c r="N232" s="9" cm="1">
        <f t="array" ref="N232">_xlfn.LET(_xlpm.val,IFERROR(INDEX(Sheet4!$2:$1605,MATCH(ChiTietKQKD[[#This Row],[Mã CP]],Sheet4!$B$2:$B$1605,0),_xlfn.XMATCH("*Lợi nhuận sau thuế*6 tháng*2026*",Sheet4!$1:$1,2)),0),IF(OR(_xlpm.val="",_xlpm.val=0),"",_xlpm.val/1000000000))</f>
        <v>1.097688896</v>
      </c>
      <c r="O232" s="10" cm="1">
        <f t="array" ref="O232">IFERROR(INDEX(Sheet4!$2:$1605,MATCH(ChiTietKQKD[[#This Row],[Mã CP]],Sheet4!$B$2:$B$1605,0),_xlfn.XMATCH("*Tăng trưởng lợi nhuận sau thuế (YoY) (Quý*",Sheet4!$1:$1,2)),"")</f>
        <v>-1.0193000000000001</v>
      </c>
      <c r="P232" s="10" cm="1">
        <f t="array" ref="P232">IFERROR(INDEX(Sheet4!$2:$1605,MATCH(ChiTietKQKD[[#This Row],[Mã CP]],Sheet4!$B$2:$B$1605,0),_xlfn.XMATCH("*Tăng trưởng lợi nhuận sau thuế (YoY) (6M)*",Sheet4!$1:$1,2)),"")</f>
        <v>-0.91239999999999999</v>
      </c>
      <c r="Q232" s="10" cm="1">
        <f t="array" ref="Q232">IFERROR(INDEX(Sheet4!$2:$1605,MATCH(ChiTietKQKD[[#This Row],[Mã CP]],Sheet4!$B$2:$B$1605,0),_xlfn.XMATCH("*Tăng trưởng doanh thu thuần (QoQ)*",Sheet4!$1:$1,2)),"")</f>
        <v>0.40389999999999998</v>
      </c>
      <c r="R232" s="10" cm="1">
        <f t="array" ref="R232">IFERROR(INDEX(Sheet4!$2:$1605,MATCH(ChiTietKQKD[[#This Row],[Mã CP]],Sheet4!$B$2:$B$1605,0),_xlfn.XMATCH("*Tăng trưởng lợi nhuận sau thuế (QoQ)*",Sheet4!$1:$1,2)),"")</f>
        <v>-1.4271</v>
      </c>
    </row>
    <row r="233" spans="1:18" x14ac:dyDescent="0.25">
      <c r="A233" s="7">
        <f>Sheet4!A212</f>
        <v>211</v>
      </c>
      <c r="B233" t="str">
        <f>Sheet4!B212</f>
        <v>KLB</v>
      </c>
      <c r="C233" t="str">
        <f>Sheet4!C211</f>
        <v>Điện lực Khánh Hòa</v>
      </c>
      <c r="D233" t="str">
        <f>Sheet4!D212</f>
        <v>HOSE</v>
      </c>
      <c r="E233" s="7">
        <f>Sheet4!AH212/1000000000</f>
        <v>8463.5682080999995</v>
      </c>
      <c r="F233" t="str">
        <f>Sheet4!E212</f>
        <v>Ngân hàng</v>
      </c>
      <c r="G233" t="str">
        <f>Sheet4!F212</f>
        <v>Ngân hàng</v>
      </c>
      <c r="H233" t="str">
        <f>Sheet4!G212</f>
        <v>Ngân hàng</v>
      </c>
      <c r="I233" s="9" t="str" cm="1">
        <f t="array" ref="I23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33" s="9" t="str" cm="1">
        <f t="array" ref="J23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33" s="10" t="str" cm="1">
        <f t="array" ref="K23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233" s="10" t="str" cm="1">
        <f t="array" ref="L23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233" s="9" t="str" cm="1">
        <f t="array" ref="M23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33" s="9" t="str" cm="1">
        <f t="array" ref="N23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33" s="10" cm="1">
        <f t="array" ref="O233">IFERROR(INDEX(Sheet4!$2:$1605,MATCH(ChiTietKQKD[[#This Row],[Mã CP]],Sheet4!$B$2:$B$1605,0),_xlfn.XMATCH("*Tăng trưởng lợi nhuận sau thuế (YoY) (Quý*",Sheet4!$1:$1,2)),"")</f>
        <v>0</v>
      </c>
      <c r="P233" s="10" cm="1">
        <f t="array" ref="P233">IFERROR(INDEX(Sheet4!$2:$1605,MATCH(ChiTietKQKD[[#This Row],[Mã CP]],Sheet4!$B$2:$B$1605,0),_xlfn.XMATCH("*Tăng trưởng lợi nhuận sau thuế (YoY) (6M)*",Sheet4!$1:$1,2)),"")</f>
        <v>0</v>
      </c>
      <c r="Q233" s="10" cm="1">
        <f t="array" ref="Q233">IFERROR(INDEX(Sheet4!$2:$1605,MATCH(ChiTietKQKD[[#This Row],[Mã CP]],Sheet4!$B$2:$B$1605,0),_xlfn.XMATCH("*Tăng trưởng doanh thu thuần (QoQ)*",Sheet4!$1:$1,2)),"")</f>
        <v>0</v>
      </c>
      <c r="R233" s="10" cm="1">
        <f t="array" ref="R233">IFERROR(INDEX(Sheet4!$2:$1605,MATCH(ChiTietKQKD[[#This Row],[Mã CP]],Sheet4!$B$2:$B$1605,0),_xlfn.XMATCH("*Tăng trưởng lợi nhuận sau thuế (QoQ)*",Sheet4!$1:$1,2)),"")</f>
        <v>0</v>
      </c>
    </row>
    <row r="234" spans="1:18" x14ac:dyDescent="0.25">
      <c r="A234" s="7">
        <f>Sheet4!A213</f>
        <v>212</v>
      </c>
      <c r="B234" t="str">
        <f>Sheet4!B213</f>
        <v>KMR</v>
      </c>
      <c r="C234" t="str">
        <f>Sheet4!C212</f>
        <v>KienlongBank</v>
      </c>
      <c r="D234" t="str">
        <f>Sheet4!D213</f>
        <v>HOSE</v>
      </c>
      <c r="E234" s="7">
        <f>Sheet4!AH213/1000000000</f>
        <v>134.80040259</v>
      </c>
      <c r="F234" t="str">
        <f>Sheet4!E213</f>
        <v>Hàng Tiêu dùng</v>
      </c>
      <c r="G234" t="str">
        <f>Sheet4!F213</f>
        <v>Hàng cá nhân &amp; Gia dụng</v>
      </c>
      <c r="H234" t="str">
        <f>Sheet4!G213</f>
        <v>Hàng May mặc</v>
      </c>
      <c r="I234" s="9" cm="1">
        <f t="array" ref="I23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93.264333002000001</v>
      </c>
      <c r="J234" s="9" cm="1">
        <f t="array" ref="J23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177.58749863400001</v>
      </c>
      <c r="K234" s="10" cm="1">
        <f t="array" ref="K23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0.33739999999999998</v>
      </c>
      <c r="L234" s="10" cm="1">
        <f t="array" ref="L23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1E-3</v>
      </c>
      <c r="M234" s="9" cm="1">
        <f t="array" ref="M234">_xlfn.LET(_xlpm.val,IFERROR(INDEX(Sheet4!$2:$1605,MATCH(ChiTietKQKD[[#This Row],[Mã CP]],Sheet4!$B$2:$B$1605,0),_xlfn.XMATCH("*Lợi nhuận sau thuế*Q2*2026*",Sheet4!$1:$1,2)),0),IF(OR(_xlpm.val="",_xlpm.val=0),"",_xlpm.val/1000000000))</f>
        <v>1.7097774939999999</v>
      </c>
      <c r="N234" s="9" cm="1">
        <f t="array" ref="N234">_xlfn.LET(_xlpm.val,IFERROR(INDEX(Sheet4!$2:$1605,MATCH(ChiTietKQKD[[#This Row],[Mã CP]],Sheet4!$B$2:$B$1605,0),_xlfn.XMATCH("*Lợi nhuận sau thuế*6 tháng*2026*",Sheet4!$1:$1,2)),0),IF(OR(_xlpm.val="",_xlpm.val=0),"",_xlpm.val/1000000000))</f>
        <v>1.8746674029999999</v>
      </c>
      <c r="O234" s="10" cm="1">
        <f t="array" ref="O234">IFERROR(INDEX(Sheet4!$2:$1605,MATCH(ChiTietKQKD[[#This Row],[Mã CP]],Sheet4!$B$2:$B$1605,0),_xlfn.XMATCH("*Tăng trưởng lợi nhuận sau thuế (YoY) (Quý*",Sheet4!$1:$1,2)),"")</f>
        <v>1.4278</v>
      </c>
      <c r="P234" s="10" cm="1">
        <f t="array" ref="P234">IFERROR(INDEX(Sheet4!$2:$1605,MATCH(ChiTietKQKD[[#This Row],[Mã CP]],Sheet4!$B$2:$B$1605,0),_xlfn.XMATCH("*Tăng trưởng lợi nhuận sau thuế (YoY) (6M)*",Sheet4!$1:$1,2)),"")</f>
        <v>0.34449999999999997</v>
      </c>
      <c r="Q234" s="10" cm="1">
        <f t="array" ref="Q234">IFERROR(INDEX(Sheet4!$2:$1605,MATCH(ChiTietKQKD[[#This Row],[Mã CP]],Sheet4!$B$2:$B$1605,0),_xlfn.XMATCH("*Tăng trưởng doanh thu thuần (QoQ)*",Sheet4!$1:$1,2)),"")</f>
        <v>0.106</v>
      </c>
      <c r="R234" s="10" cm="1">
        <f t="array" ref="R234">IFERROR(INDEX(Sheet4!$2:$1605,MATCH(ChiTietKQKD[[#This Row],[Mã CP]],Sheet4!$B$2:$B$1605,0),_xlfn.XMATCH("*Tăng trưởng lợi nhuận sau thuế (QoQ)*",Sheet4!$1:$1,2)),"")</f>
        <v>9.3691999999999993</v>
      </c>
    </row>
    <row r="235" spans="1:18" x14ac:dyDescent="0.25">
      <c r="A235" s="7">
        <f>Sheet4!A214</f>
        <v>213</v>
      </c>
      <c r="B235" t="str">
        <f>Sheet4!B214</f>
        <v>KOS</v>
      </c>
      <c r="C235" t="str">
        <f>Sheet4!C213</f>
        <v>MIRAE</v>
      </c>
      <c r="D235" t="str">
        <f>Sheet4!D214</f>
        <v>HOSE</v>
      </c>
      <c r="E235" s="7">
        <f>Sheet4!AH214/1000000000</f>
        <v>7685.0873924999996</v>
      </c>
      <c r="F235" t="str">
        <f>Sheet4!E214</f>
        <v>Tài chính</v>
      </c>
      <c r="G235" t="str">
        <f>Sheet4!F214</f>
        <v>Bất động sản</v>
      </c>
      <c r="H235" t="str">
        <f>Sheet4!G214</f>
        <v>Bất động sản</v>
      </c>
      <c r="I235" s="9" t="str" cm="1">
        <f t="array" ref="I23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35" s="9" t="str" cm="1">
        <f t="array" ref="J23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35" s="10" cm="1">
        <f t="array" ref="K23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35" s="10" cm="1">
        <f t="array" ref="L23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35" s="9" t="str" cm="1">
        <f t="array" ref="M23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35" s="9" t="str" cm="1">
        <f t="array" ref="N23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35" s="10" cm="1">
        <f t="array" ref="O235">IFERROR(INDEX(Sheet4!$2:$1605,MATCH(ChiTietKQKD[[#This Row],[Mã CP]],Sheet4!$B$2:$B$1605,0),_xlfn.XMATCH("*Tăng trưởng lợi nhuận sau thuế (YoY) (Quý*",Sheet4!$1:$1,2)),"")</f>
        <v>0</v>
      </c>
      <c r="P235" s="10" cm="1">
        <f t="array" ref="P235">IFERROR(INDEX(Sheet4!$2:$1605,MATCH(ChiTietKQKD[[#This Row],[Mã CP]],Sheet4!$B$2:$B$1605,0),_xlfn.XMATCH("*Tăng trưởng lợi nhuận sau thuế (YoY) (6M)*",Sheet4!$1:$1,2)),"")</f>
        <v>0</v>
      </c>
      <c r="Q235" s="10" cm="1">
        <f t="array" ref="Q235">IFERROR(INDEX(Sheet4!$2:$1605,MATCH(ChiTietKQKD[[#This Row],[Mã CP]],Sheet4!$B$2:$B$1605,0),_xlfn.XMATCH("*Tăng trưởng doanh thu thuần (QoQ)*",Sheet4!$1:$1,2)),"")</f>
        <v>0</v>
      </c>
      <c r="R235" s="10" cm="1">
        <f t="array" ref="R235">IFERROR(INDEX(Sheet4!$2:$1605,MATCH(ChiTietKQKD[[#This Row],[Mã CP]],Sheet4!$B$2:$B$1605,0),_xlfn.XMATCH("*Tăng trưởng lợi nhuận sau thuế (QoQ)*",Sheet4!$1:$1,2)),"")</f>
        <v>0</v>
      </c>
    </row>
    <row r="236" spans="1:18" x14ac:dyDescent="0.25">
      <c r="A236" s="7">
        <f>Sheet4!A215</f>
        <v>214</v>
      </c>
      <c r="B236" t="str">
        <f>Sheet4!B215</f>
        <v>KSB</v>
      </c>
      <c r="C236" t="str">
        <f>Sheet4!C214</f>
        <v>Công ty KOSY</v>
      </c>
      <c r="D236" t="str">
        <f>Sheet4!D215</f>
        <v>HOSE</v>
      </c>
      <c r="E236" s="7">
        <f>Sheet4!AH215/1000000000</f>
        <v>1510.6568795999999</v>
      </c>
      <c r="F236" t="str">
        <f>Sheet4!E215</f>
        <v>Công nghiệp</v>
      </c>
      <c r="G236" t="str">
        <f>Sheet4!F215</f>
        <v>Xây dựng và Vật liệu</v>
      </c>
      <c r="H236" t="str">
        <f>Sheet4!G215</f>
        <v>Vật liệu xây dựng &amp; Nội thất</v>
      </c>
      <c r="I236" s="9" t="str" cm="1">
        <f t="array" ref="I23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36" s="9" t="str" cm="1">
        <f t="array" ref="J23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36" s="10" cm="1">
        <f t="array" ref="K23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36" s="10" cm="1">
        <f t="array" ref="L23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36" s="9" t="str" cm="1">
        <f t="array" ref="M23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36" s="9" t="str" cm="1">
        <f t="array" ref="N23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36" s="10" cm="1">
        <f t="array" ref="O236">IFERROR(INDEX(Sheet4!$2:$1605,MATCH(ChiTietKQKD[[#This Row],[Mã CP]],Sheet4!$B$2:$B$1605,0),_xlfn.XMATCH("*Tăng trưởng lợi nhuận sau thuế (YoY) (Quý*",Sheet4!$1:$1,2)),"")</f>
        <v>0</v>
      </c>
      <c r="P236" s="10" cm="1">
        <f t="array" ref="P236">IFERROR(INDEX(Sheet4!$2:$1605,MATCH(ChiTietKQKD[[#This Row],[Mã CP]],Sheet4!$B$2:$B$1605,0),_xlfn.XMATCH("*Tăng trưởng lợi nhuận sau thuế (YoY) (6M)*",Sheet4!$1:$1,2)),"")</f>
        <v>0</v>
      </c>
      <c r="Q236" s="10" cm="1">
        <f t="array" ref="Q236">IFERROR(INDEX(Sheet4!$2:$1605,MATCH(ChiTietKQKD[[#This Row],[Mã CP]],Sheet4!$B$2:$B$1605,0),_xlfn.XMATCH("*Tăng trưởng doanh thu thuần (QoQ)*",Sheet4!$1:$1,2)),"")</f>
        <v>0</v>
      </c>
      <c r="R236" s="10" cm="1">
        <f t="array" ref="R236">IFERROR(INDEX(Sheet4!$2:$1605,MATCH(ChiTietKQKD[[#This Row],[Mã CP]],Sheet4!$B$2:$B$1605,0),_xlfn.XMATCH("*Tăng trưởng lợi nhuận sau thuế (QoQ)*",Sheet4!$1:$1,2)),"")</f>
        <v>0</v>
      </c>
    </row>
    <row r="237" spans="1:18" x14ac:dyDescent="0.25">
      <c r="A237" s="7">
        <f>Sheet4!A216</f>
        <v>215</v>
      </c>
      <c r="B237" t="str">
        <f>Sheet4!B216</f>
        <v>L10</v>
      </c>
      <c r="C237" t="str">
        <f>Sheet4!C215</f>
        <v>Khoáng sản Bình Dương</v>
      </c>
      <c r="D237" t="str">
        <f>Sheet4!D216</f>
        <v>HOSE</v>
      </c>
      <c r="E237" s="7">
        <f>Sheet4!AH216/1000000000</f>
        <v>227.12799999999999</v>
      </c>
      <c r="F237" t="str">
        <f>Sheet4!E216</f>
        <v>Công nghiệp</v>
      </c>
      <c r="G237" t="str">
        <f>Sheet4!F216</f>
        <v>Hàng &amp; Dịch vụ Công nghiệp</v>
      </c>
      <c r="H237" t="str">
        <f>Sheet4!G216</f>
        <v>Máy công nghiệp</v>
      </c>
      <c r="I237" s="9" cm="1">
        <f t="array" ref="I23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392.370132969</v>
      </c>
      <c r="J237" s="9" cm="1">
        <f t="array" ref="J23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807.30298619500002</v>
      </c>
      <c r="K237" s="10" cm="1">
        <f t="array" ref="K23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0.1326</v>
      </c>
      <c r="L237" s="10" cm="1">
        <f t="array" ref="L23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9.5299999999999996E-2</v>
      </c>
      <c r="M237" s="9" cm="1">
        <f t="array" ref="M237">_xlfn.LET(_xlpm.val,IFERROR(INDEX(Sheet4!$2:$1605,MATCH(ChiTietKQKD[[#This Row],[Mã CP]],Sheet4!$B$2:$B$1605,0),_xlfn.XMATCH("*Lợi nhuận sau thuế*Q2*2026*",Sheet4!$1:$1,2)),0),IF(OR(_xlpm.val="",_xlpm.val=0),"",_xlpm.val/1000000000))</f>
        <v>33.861201586</v>
      </c>
      <c r="N237" s="9" cm="1">
        <f t="array" ref="N237">_xlfn.LET(_xlpm.val,IFERROR(INDEX(Sheet4!$2:$1605,MATCH(ChiTietKQKD[[#This Row],[Mã CP]],Sheet4!$B$2:$B$1605,0),_xlfn.XMATCH("*Lợi nhuận sau thuế*6 tháng*2026*",Sheet4!$1:$1,2)),0),IF(OR(_xlpm.val="",_xlpm.val=0),"",_xlpm.val/1000000000))</f>
        <v>40.108186418000003</v>
      </c>
      <c r="O237" s="10" cm="1">
        <f t="array" ref="O237">IFERROR(INDEX(Sheet4!$2:$1605,MATCH(ChiTietKQKD[[#This Row],[Mã CP]],Sheet4!$B$2:$B$1605,0),_xlfn.XMATCH("*Tăng trưởng lợi nhuận sau thuế (YoY) (Quý*",Sheet4!$1:$1,2)),"")</f>
        <v>3.7574000000000001</v>
      </c>
      <c r="P237" s="10" cm="1">
        <f t="array" ref="P237">IFERROR(INDEX(Sheet4!$2:$1605,MATCH(ChiTietKQKD[[#This Row],[Mã CP]],Sheet4!$B$2:$B$1605,0),_xlfn.XMATCH("*Tăng trưởng lợi nhuận sau thuế (YoY) (6M)*",Sheet4!$1:$1,2)),"")</f>
        <v>2.3149000000000002</v>
      </c>
      <c r="Q237" s="10" cm="1">
        <f t="array" ref="Q237">IFERROR(INDEX(Sheet4!$2:$1605,MATCH(ChiTietKQKD[[#This Row],[Mã CP]],Sheet4!$B$2:$B$1605,0),_xlfn.XMATCH("*Tăng trưởng doanh thu thuần (QoQ)*",Sheet4!$1:$1,2)),"")</f>
        <v>-5.4399999999999997E-2</v>
      </c>
      <c r="R237" s="10" cm="1">
        <f t="array" ref="R237">IFERROR(INDEX(Sheet4!$2:$1605,MATCH(ChiTietKQKD[[#This Row],[Mã CP]],Sheet4!$B$2:$B$1605,0),_xlfn.XMATCH("*Tăng trưởng lợi nhuận sau thuế (QoQ)*",Sheet4!$1:$1,2)),"")</f>
        <v>4.4203999999999999</v>
      </c>
    </row>
    <row r="238" spans="1:18" x14ac:dyDescent="0.25">
      <c r="A238" s="7">
        <f>Sheet4!A217</f>
        <v>216</v>
      </c>
      <c r="B238" t="str">
        <f>Sheet4!B217</f>
        <v>LAF</v>
      </c>
      <c r="C238" t="str">
        <f>Sheet4!C216</f>
        <v>LILAMA 10</v>
      </c>
      <c r="D238" t="str">
        <f>Sheet4!D217</f>
        <v>HOSE</v>
      </c>
      <c r="E238" s="7">
        <f>Sheet4!AH217/1000000000</f>
        <v>296.9463705</v>
      </c>
      <c r="F238" t="str">
        <f>Sheet4!E217</f>
        <v>Hàng Tiêu dùng</v>
      </c>
      <c r="G238" t="str">
        <f>Sheet4!F217</f>
        <v>Thực phẩm và đồ uống</v>
      </c>
      <c r="H238" t="str">
        <f>Sheet4!G217</f>
        <v>Thực phẩm</v>
      </c>
      <c r="I238" s="9" cm="1">
        <f t="array" ref="I23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175.37197897799999</v>
      </c>
      <c r="J238" s="9" cm="1">
        <f t="array" ref="J23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309.41332399800001</v>
      </c>
      <c r="K238" s="10" cm="1">
        <f t="array" ref="K23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0.30330000000000001</v>
      </c>
      <c r="L238" s="10" cm="1">
        <f t="array" ref="L23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0.47060000000000002</v>
      </c>
      <c r="M238" s="9" cm="1">
        <f t="array" ref="M238">_xlfn.LET(_xlpm.val,IFERROR(INDEX(Sheet4!$2:$1605,MATCH(ChiTietKQKD[[#This Row],[Mã CP]],Sheet4!$B$2:$B$1605,0),_xlfn.XMATCH("*Lợi nhuận sau thuế*Q2*2026*",Sheet4!$1:$1,2)),0),IF(OR(_xlpm.val="",_xlpm.val=0),"",_xlpm.val/1000000000))</f>
        <v>5.8509729159999999</v>
      </c>
      <c r="N238" s="9" cm="1">
        <f t="array" ref="N238">_xlfn.LET(_xlpm.val,IFERROR(INDEX(Sheet4!$2:$1605,MATCH(ChiTietKQKD[[#This Row],[Mã CP]],Sheet4!$B$2:$B$1605,0),_xlfn.XMATCH("*Lợi nhuận sau thuế*6 tháng*2026*",Sheet4!$1:$1,2)),0),IF(OR(_xlpm.val="",_xlpm.val=0),"",_xlpm.val/1000000000))</f>
        <v>12.111726268</v>
      </c>
      <c r="O238" s="10" cm="1">
        <f t="array" ref="O238">IFERROR(INDEX(Sheet4!$2:$1605,MATCH(ChiTietKQKD[[#This Row],[Mã CP]],Sheet4!$B$2:$B$1605,0),_xlfn.XMATCH("*Tăng trưởng lợi nhuận sau thuế (YoY) (Quý*",Sheet4!$1:$1,2)),"")</f>
        <v>-0.52810000000000001</v>
      </c>
      <c r="P238" s="10" cm="1">
        <f t="array" ref="P238">IFERROR(INDEX(Sheet4!$2:$1605,MATCH(ChiTietKQKD[[#This Row],[Mã CP]],Sheet4!$B$2:$B$1605,0),_xlfn.XMATCH("*Tăng trưởng lợi nhuận sau thuế (YoY) (6M)*",Sheet4!$1:$1,2)),"")</f>
        <v>-0.25419999999999998</v>
      </c>
      <c r="Q238" s="10" cm="1">
        <f t="array" ref="Q238">IFERROR(INDEX(Sheet4!$2:$1605,MATCH(ChiTietKQKD[[#This Row],[Mã CP]],Sheet4!$B$2:$B$1605,0),_xlfn.XMATCH("*Tăng trưởng doanh thu thuần (QoQ)*",Sheet4!$1:$1,2)),"")</f>
        <v>0.30830000000000002</v>
      </c>
      <c r="R238" s="10" cm="1">
        <f t="array" ref="R238">IFERROR(INDEX(Sheet4!$2:$1605,MATCH(ChiTietKQKD[[#This Row],[Mã CP]],Sheet4!$B$2:$B$1605,0),_xlfn.XMATCH("*Tăng trưởng lợi nhuận sau thuế (QoQ)*",Sheet4!$1:$1,2)),"")</f>
        <v>-6.5500000000000003E-2</v>
      </c>
    </row>
    <row r="239" spans="1:18" x14ac:dyDescent="0.25">
      <c r="A239" s="7">
        <f>Sheet4!A218</f>
        <v>217</v>
      </c>
      <c r="B239" t="str">
        <f>Sheet4!B218</f>
        <v>LBM</v>
      </c>
      <c r="C239" t="str">
        <f>Sheet4!C217</f>
        <v>Chế biến Hàng XK Long An</v>
      </c>
      <c r="D239" t="str">
        <f>Sheet4!D218</f>
        <v>HOSE</v>
      </c>
      <c r="E239" s="7">
        <f>Sheet4!AH218/1000000000</f>
        <v>1385</v>
      </c>
      <c r="F239" t="str">
        <f>Sheet4!E218</f>
        <v>Công nghiệp</v>
      </c>
      <c r="G239" t="str">
        <f>Sheet4!F218</f>
        <v>Xây dựng và Vật liệu</v>
      </c>
      <c r="H239" t="str">
        <f>Sheet4!G218</f>
        <v>Vật liệu xây dựng &amp; Nội thất</v>
      </c>
      <c r="I239" s="9" t="str" cm="1">
        <f t="array" ref="I23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39" s="9" t="str" cm="1">
        <f t="array" ref="J23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39" s="10" cm="1">
        <f t="array" ref="K23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39" s="10" cm="1">
        <f t="array" ref="L23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39" s="9" t="str" cm="1">
        <f t="array" ref="M23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39" s="9" t="str" cm="1">
        <f t="array" ref="N23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39" s="10" cm="1">
        <f t="array" ref="O239">IFERROR(INDEX(Sheet4!$2:$1605,MATCH(ChiTietKQKD[[#This Row],[Mã CP]],Sheet4!$B$2:$B$1605,0),_xlfn.XMATCH("*Tăng trưởng lợi nhuận sau thuế (YoY) (Quý*",Sheet4!$1:$1,2)),"")</f>
        <v>0</v>
      </c>
      <c r="P239" s="10" cm="1">
        <f t="array" ref="P239">IFERROR(INDEX(Sheet4!$2:$1605,MATCH(ChiTietKQKD[[#This Row],[Mã CP]],Sheet4!$B$2:$B$1605,0),_xlfn.XMATCH("*Tăng trưởng lợi nhuận sau thuế (YoY) (6M)*",Sheet4!$1:$1,2)),"")</f>
        <v>0</v>
      </c>
      <c r="Q239" s="10" cm="1">
        <f t="array" ref="Q239">IFERROR(INDEX(Sheet4!$2:$1605,MATCH(ChiTietKQKD[[#This Row],[Mã CP]],Sheet4!$B$2:$B$1605,0),_xlfn.XMATCH("*Tăng trưởng doanh thu thuần (QoQ)*",Sheet4!$1:$1,2)),"")</f>
        <v>0</v>
      </c>
      <c r="R239" s="10" cm="1">
        <f t="array" ref="R239">IFERROR(INDEX(Sheet4!$2:$1605,MATCH(ChiTietKQKD[[#This Row],[Mã CP]],Sheet4!$B$2:$B$1605,0),_xlfn.XMATCH("*Tăng trưởng lợi nhuận sau thuế (QoQ)*",Sheet4!$1:$1,2)),"")</f>
        <v>0</v>
      </c>
    </row>
    <row r="240" spans="1:18" x14ac:dyDescent="0.25">
      <c r="A240" s="7">
        <f>Sheet4!A219</f>
        <v>218</v>
      </c>
      <c r="B240" t="str">
        <f>Sheet4!B219</f>
        <v>LCG</v>
      </c>
      <c r="C240" t="str">
        <f>Sheet4!C218</f>
        <v>Khoáng sản Lâm Đồng</v>
      </c>
      <c r="D240" t="str">
        <f>Sheet4!D219</f>
        <v>HOSE</v>
      </c>
      <c r="E240" s="7">
        <f>Sheet4!AH219/1000000000</f>
        <v>1456.54500945</v>
      </c>
      <c r="F240" t="str">
        <f>Sheet4!E219</f>
        <v>Công nghiệp</v>
      </c>
      <c r="G240" t="str">
        <f>Sheet4!F219</f>
        <v>Xây dựng và Vật liệu</v>
      </c>
      <c r="H240" t="str">
        <f>Sheet4!G219</f>
        <v>Xây dựng</v>
      </c>
      <c r="I240" s="9" t="str" cm="1">
        <f t="array" ref="I24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40" s="9" t="str" cm="1">
        <f t="array" ref="J24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40" s="10" cm="1">
        <f t="array" ref="K24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40" s="10" cm="1">
        <f t="array" ref="L24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40" s="9" t="str" cm="1">
        <f t="array" ref="M24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40" s="9" t="str" cm="1">
        <f t="array" ref="N24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40" s="10" cm="1">
        <f t="array" ref="O240">IFERROR(INDEX(Sheet4!$2:$1605,MATCH(ChiTietKQKD[[#This Row],[Mã CP]],Sheet4!$B$2:$B$1605,0),_xlfn.XMATCH("*Tăng trưởng lợi nhuận sau thuế (YoY) (Quý*",Sheet4!$1:$1,2)),"")</f>
        <v>0</v>
      </c>
      <c r="P240" s="10" cm="1">
        <f t="array" ref="P240">IFERROR(INDEX(Sheet4!$2:$1605,MATCH(ChiTietKQKD[[#This Row],[Mã CP]],Sheet4!$B$2:$B$1605,0),_xlfn.XMATCH("*Tăng trưởng lợi nhuận sau thuế (YoY) (6M)*",Sheet4!$1:$1,2)),"")</f>
        <v>0</v>
      </c>
      <c r="Q240" s="10" cm="1">
        <f t="array" ref="Q240">IFERROR(INDEX(Sheet4!$2:$1605,MATCH(ChiTietKQKD[[#This Row],[Mã CP]],Sheet4!$B$2:$B$1605,0),_xlfn.XMATCH("*Tăng trưởng doanh thu thuần (QoQ)*",Sheet4!$1:$1,2)),"")</f>
        <v>0</v>
      </c>
      <c r="R240" s="10" cm="1">
        <f t="array" ref="R240">IFERROR(INDEX(Sheet4!$2:$1605,MATCH(ChiTietKQKD[[#This Row],[Mã CP]],Sheet4!$B$2:$B$1605,0),_xlfn.XMATCH("*Tăng trưởng lợi nhuận sau thuế (QoQ)*",Sheet4!$1:$1,2)),"")</f>
        <v>0</v>
      </c>
    </row>
    <row r="241" spans="1:18" x14ac:dyDescent="0.25">
      <c r="A241" s="7">
        <f>Sheet4!A220</f>
        <v>219</v>
      </c>
      <c r="B241" t="str">
        <f>Sheet4!B220</f>
        <v>LDG</v>
      </c>
      <c r="C241" t="str">
        <f>Sheet4!C219</f>
        <v>LIZEN</v>
      </c>
      <c r="D241" t="str">
        <f>Sheet4!D220</f>
        <v>HOSE</v>
      </c>
      <c r="E241" s="7">
        <f>Sheet4!AH220/1000000000</f>
        <v>687.60663380999995</v>
      </c>
      <c r="F241" t="str">
        <f>Sheet4!E220</f>
        <v>Tài chính</v>
      </c>
      <c r="G241" t="str">
        <f>Sheet4!F220</f>
        <v>Bất động sản</v>
      </c>
      <c r="H241" t="str">
        <f>Sheet4!G220</f>
        <v>Bất động sản</v>
      </c>
      <c r="I241" s="9" t="str" cm="1">
        <f t="array" ref="I24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41" s="9" t="str" cm="1">
        <f t="array" ref="J24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41" s="10" cm="1">
        <f t="array" ref="K24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41" s="10" cm="1">
        <f t="array" ref="L24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41" s="9" t="str" cm="1">
        <f t="array" ref="M24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41" s="9" t="str" cm="1">
        <f t="array" ref="N24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41" s="10" cm="1">
        <f t="array" ref="O241">IFERROR(INDEX(Sheet4!$2:$1605,MATCH(ChiTietKQKD[[#This Row],[Mã CP]],Sheet4!$B$2:$B$1605,0),_xlfn.XMATCH("*Tăng trưởng lợi nhuận sau thuế (YoY) (Quý*",Sheet4!$1:$1,2)),"")</f>
        <v>0</v>
      </c>
      <c r="P241" s="10" cm="1">
        <f t="array" ref="P241">IFERROR(INDEX(Sheet4!$2:$1605,MATCH(ChiTietKQKD[[#This Row],[Mã CP]],Sheet4!$B$2:$B$1605,0),_xlfn.XMATCH("*Tăng trưởng lợi nhuận sau thuế (YoY) (6M)*",Sheet4!$1:$1,2)),"")</f>
        <v>0</v>
      </c>
      <c r="Q241" s="10" cm="1">
        <f t="array" ref="Q241">IFERROR(INDEX(Sheet4!$2:$1605,MATCH(ChiTietKQKD[[#This Row],[Mã CP]],Sheet4!$B$2:$B$1605,0),_xlfn.XMATCH("*Tăng trưởng doanh thu thuần (QoQ)*",Sheet4!$1:$1,2)),"")</f>
        <v>0</v>
      </c>
      <c r="R241" s="10" cm="1">
        <f t="array" ref="R241">IFERROR(INDEX(Sheet4!$2:$1605,MATCH(ChiTietKQKD[[#This Row],[Mã CP]],Sheet4!$B$2:$B$1605,0),_xlfn.XMATCH("*Tăng trưởng lợi nhuận sau thuế (QoQ)*",Sheet4!$1:$1,2)),"")</f>
        <v>0</v>
      </c>
    </row>
    <row r="242" spans="1:18" x14ac:dyDescent="0.25">
      <c r="A242" s="7">
        <f>Sheet4!A221</f>
        <v>220</v>
      </c>
      <c r="B242" t="str">
        <f>Sheet4!B221</f>
        <v>LGC</v>
      </c>
      <c r="C242" t="str">
        <f>Sheet4!C220</f>
        <v>Đầu tư LDG</v>
      </c>
      <c r="D242" t="str">
        <f>Sheet4!D221</f>
        <v>HOSE</v>
      </c>
      <c r="E242" s="7">
        <f>Sheet4!AH221/1000000000</f>
        <v>13746.0439584</v>
      </c>
      <c r="F242" t="str">
        <f>Sheet4!E221</f>
        <v>Công nghiệp</v>
      </c>
      <c r="G242" t="str">
        <f>Sheet4!F221</f>
        <v>Xây dựng và Vật liệu</v>
      </c>
      <c r="H242" t="str">
        <f>Sheet4!G221</f>
        <v>Xây dựng</v>
      </c>
      <c r="I242" s="9" t="str" cm="1">
        <f t="array" ref="I24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42" s="9" t="str" cm="1">
        <f t="array" ref="J24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42" s="10" cm="1">
        <f t="array" ref="K24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42" s="10" cm="1">
        <f t="array" ref="L24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42" s="9" t="str" cm="1">
        <f t="array" ref="M24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42" s="9" t="str" cm="1">
        <f t="array" ref="N24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42" s="10" cm="1">
        <f t="array" ref="O242">IFERROR(INDEX(Sheet4!$2:$1605,MATCH(ChiTietKQKD[[#This Row],[Mã CP]],Sheet4!$B$2:$B$1605,0),_xlfn.XMATCH("*Tăng trưởng lợi nhuận sau thuế (YoY) (Quý*",Sheet4!$1:$1,2)),"")</f>
        <v>0</v>
      </c>
      <c r="P242" s="10" cm="1">
        <f t="array" ref="P242">IFERROR(INDEX(Sheet4!$2:$1605,MATCH(ChiTietKQKD[[#This Row],[Mã CP]],Sheet4!$B$2:$B$1605,0),_xlfn.XMATCH("*Tăng trưởng lợi nhuận sau thuế (YoY) (6M)*",Sheet4!$1:$1,2)),"")</f>
        <v>0</v>
      </c>
      <c r="Q242" s="10" cm="1">
        <f t="array" ref="Q242">IFERROR(INDEX(Sheet4!$2:$1605,MATCH(ChiTietKQKD[[#This Row],[Mã CP]],Sheet4!$B$2:$B$1605,0),_xlfn.XMATCH("*Tăng trưởng doanh thu thuần (QoQ)*",Sheet4!$1:$1,2)),"")</f>
        <v>0</v>
      </c>
      <c r="R242" s="10" cm="1">
        <f t="array" ref="R242">IFERROR(INDEX(Sheet4!$2:$1605,MATCH(ChiTietKQKD[[#This Row],[Mã CP]],Sheet4!$B$2:$B$1605,0),_xlfn.XMATCH("*Tăng trưởng lợi nhuận sau thuế (QoQ)*",Sheet4!$1:$1,2)),"")</f>
        <v>0</v>
      </c>
    </row>
    <row r="243" spans="1:18" x14ac:dyDescent="0.25">
      <c r="A243" s="7">
        <f>Sheet4!A222</f>
        <v>221</v>
      </c>
      <c r="B243" t="str">
        <f>Sheet4!B222</f>
        <v>LGL</v>
      </c>
      <c r="C243" t="str">
        <f>Sheet4!C221</f>
        <v>Đầu tư Cầu đường CII</v>
      </c>
      <c r="D243" t="str">
        <f>Sheet4!D222</f>
        <v>HOSE</v>
      </c>
      <c r="E243" s="7">
        <f>Sheet4!AH222/1000000000</f>
        <v>255.42561599999999</v>
      </c>
      <c r="F243" t="str">
        <f>Sheet4!E222</f>
        <v>Tài chính</v>
      </c>
      <c r="G243" t="str">
        <f>Sheet4!F222</f>
        <v>Bất động sản</v>
      </c>
      <c r="H243" t="str">
        <f>Sheet4!G222</f>
        <v>Bất động sản</v>
      </c>
      <c r="I243" s="9" cm="1">
        <f t="array" ref="I24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19.465146771000001</v>
      </c>
      <c r="J243" s="9" t="str" cm="1">
        <f t="array" ref="J24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43" s="10" cm="1">
        <f t="array" ref="K24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3.0070999999999999</v>
      </c>
      <c r="L243" s="10" cm="1">
        <f t="array" ref="L24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-0.33610000000000001</v>
      </c>
      <c r="M243" s="9" cm="1">
        <f t="array" ref="M243">_xlfn.LET(_xlpm.val,IFERROR(INDEX(Sheet4!$2:$1605,MATCH(ChiTietKQKD[[#This Row],[Mã CP]],Sheet4!$B$2:$B$1605,0),_xlfn.XMATCH("*Lợi nhuận sau thuế*Q2*2026*",Sheet4!$1:$1,2)),0),IF(OR(_xlpm.val="",_xlpm.val=0),"",_xlpm.val/1000000000))</f>
        <v>1.4893873550000001</v>
      </c>
      <c r="N243" s="9" t="str" cm="1">
        <f t="array" ref="N24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43" s="10" cm="1">
        <f t="array" ref="O243">IFERROR(INDEX(Sheet4!$2:$1605,MATCH(ChiTietKQKD[[#This Row],[Mã CP]],Sheet4!$B$2:$B$1605,0),_xlfn.XMATCH("*Tăng trưởng lợi nhuận sau thuế (YoY) (Quý*",Sheet4!$1:$1,2)),"")</f>
        <v>-8.1199999999999994E-2</v>
      </c>
      <c r="P243" s="10" cm="1">
        <f t="array" ref="P243">IFERROR(INDEX(Sheet4!$2:$1605,MATCH(ChiTietKQKD[[#This Row],[Mã CP]],Sheet4!$B$2:$B$1605,0),_xlfn.XMATCH("*Tăng trưởng lợi nhuận sau thuế (YoY) (6M)*",Sheet4!$1:$1,2)),"")</f>
        <v>-0.49220000000000003</v>
      </c>
      <c r="Q243" s="10" cm="1">
        <f t="array" ref="Q243">IFERROR(INDEX(Sheet4!$2:$1605,MATCH(ChiTietKQKD[[#This Row],[Mã CP]],Sheet4!$B$2:$B$1605,0),_xlfn.XMATCH("*Tăng trưởng doanh thu thuần (QoQ)*",Sheet4!$1:$1,2)),"")</f>
        <v>1.8027</v>
      </c>
      <c r="R243" s="10" cm="1">
        <f t="array" ref="R243">IFERROR(INDEX(Sheet4!$2:$1605,MATCH(ChiTietKQKD[[#This Row],[Mã CP]],Sheet4!$B$2:$B$1605,0),_xlfn.XMATCH("*Tăng trưởng lợi nhuận sau thuế (QoQ)*",Sheet4!$1:$1,2)),"")</f>
        <v>-9.6100000000000005E-2</v>
      </c>
    </row>
    <row r="244" spans="1:18" x14ac:dyDescent="0.25">
      <c r="A244" s="7">
        <f>Sheet4!A223</f>
        <v>222</v>
      </c>
      <c r="B244" t="str">
        <f>Sheet4!B223</f>
        <v>LHG</v>
      </c>
      <c r="C244" t="str">
        <f>Sheet4!C222</f>
        <v>Long Giang Land</v>
      </c>
      <c r="D244" t="str">
        <f>Sheet4!D223</f>
        <v>HOSE</v>
      </c>
      <c r="E244" s="7">
        <f>Sheet4!AH223/1000000000</f>
        <v>1370.329074</v>
      </c>
      <c r="F244" t="str">
        <f>Sheet4!E223</f>
        <v>Tài chính</v>
      </c>
      <c r="G244" t="str">
        <f>Sheet4!F223</f>
        <v>Bất động sản</v>
      </c>
      <c r="H244" t="str">
        <f>Sheet4!G223</f>
        <v>Bất động sản</v>
      </c>
      <c r="I244" s="9" cm="1">
        <f t="array" ref="I24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189.15478034899999</v>
      </c>
      <c r="J244" s="9" cm="1">
        <f t="array" ref="J24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365.36536885800001</v>
      </c>
      <c r="K244" s="10" cm="1">
        <f t="array" ref="K24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-0.1527</v>
      </c>
      <c r="L244" s="10" cm="1">
        <f t="array" ref="L24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-0.20050000000000001</v>
      </c>
      <c r="M244" s="9" cm="1">
        <f t="array" ref="M244">_xlfn.LET(_xlpm.val,IFERROR(INDEX(Sheet4!$2:$1605,MATCH(ChiTietKQKD[[#This Row],[Mã CP]],Sheet4!$B$2:$B$1605,0),_xlfn.XMATCH("*Lợi nhuận sau thuế*Q2*2026*",Sheet4!$1:$1,2)),0),IF(OR(_xlpm.val="",_xlpm.val=0),"",_xlpm.val/1000000000))</f>
        <v>75.112564202000002</v>
      </c>
      <c r="N244" s="9" cm="1">
        <f t="array" ref="N244">_xlfn.LET(_xlpm.val,IFERROR(INDEX(Sheet4!$2:$1605,MATCH(ChiTietKQKD[[#This Row],[Mã CP]],Sheet4!$B$2:$B$1605,0),_xlfn.XMATCH("*Lợi nhuận sau thuế*6 tháng*2026*",Sheet4!$1:$1,2)),0),IF(OR(_xlpm.val="",_xlpm.val=0),"",_xlpm.val/1000000000))</f>
        <v>187.29578040199999</v>
      </c>
      <c r="O244" s="10" cm="1">
        <f t="array" ref="O244">IFERROR(INDEX(Sheet4!$2:$1605,MATCH(ChiTietKQKD[[#This Row],[Mã CP]],Sheet4!$B$2:$B$1605,0),_xlfn.XMATCH("*Tăng trưởng lợi nhuận sau thuế (YoY) (Quý*",Sheet4!$1:$1,2)),"")</f>
        <v>-0.16370000000000001</v>
      </c>
      <c r="P244" s="10" cm="1">
        <f t="array" ref="P244">IFERROR(INDEX(Sheet4!$2:$1605,MATCH(ChiTietKQKD[[#This Row],[Mã CP]],Sheet4!$B$2:$B$1605,0),_xlfn.XMATCH("*Tăng trưởng lợi nhuận sau thuế (YoY) (6M)*",Sheet4!$1:$1,2)),"")</f>
        <v>-6.3E-2</v>
      </c>
      <c r="Q244" s="10" cm="1">
        <f t="array" ref="Q244">IFERROR(INDEX(Sheet4!$2:$1605,MATCH(ChiTietKQKD[[#This Row],[Mã CP]],Sheet4!$B$2:$B$1605,0),_xlfn.XMATCH("*Tăng trưởng doanh thu thuần (QoQ)*",Sheet4!$1:$1,2)),"")</f>
        <v>7.3499999999999996E-2</v>
      </c>
      <c r="R244" s="10" cm="1">
        <f t="array" ref="R244">IFERROR(INDEX(Sheet4!$2:$1605,MATCH(ChiTietKQKD[[#This Row],[Mã CP]],Sheet4!$B$2:$B$1605,0),_xlfn.XMATCH("*Tăng trưởng lợi nhuận sau thuế (QoQ)*",Sheet4!$1:$1,2)),"")</f>
        <v>-0.33040000000000003</v>
      </c>
    </row>
    <row r="245" spans="1:18" x14ac:dyDescent="0.25">
      <c r="A245" s="7">
        <f>Sheet4!A224</f>
        <v>223</v>
      </c>
      <c r="B245" t="str">
        <f>Sheet4!B224</f>
        <v>LIX</v>
      </c>
      <c r="C245" t="str">
        <f>Sheet4!C223</f>
        <v>KCN Long Hậu</v>
      </c>
      <c r="D245" t="str">
        <f>Sheet4!D224</f>
        <v>HOSE</v>
      </c>
      <c r="E245" s="7">
        <f>Sheet4!AH224/1000000000</f>
        <v>1658.88</v>
      </c>
      <c r="F245" t="str">
        <f>Sheet4!E224</f>
        <v>Hàng Tiêu dùng</v>
      </c>
      <c r="G245" t="str">
        <f>Sheet4!F224</f>
        <v>Hàng cá nhân &amp; Gia dụng</v>
      </c>
      <c r="H245" t="str">
        <f>Sheet4!G224</f>
        <v>Hàng cá nhân</v>
      </c>
      <c r="I245" s="9" cm="1">
        <f t="array" ref="I24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1029.5732327979999</v>
      </c>
      <c r="J245" s="9" cm="1">
        <f t="array" ref="J24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1867.783610104</v>
      </c>
      <c r="K245" s="10" cm="1">
        <f t="array" ref="K24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0.43269999999999997</v>
      </c>
      <c r="L245" s="10" cm="1">
        <f t="array" ref="L24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0.3553</v>
      </c>
      <c r="M245" s="9" cm="1">
        <f t="array" ref="M245">_xlfn.LET(_xlpm.val,IFERROR(INDEX(Sheet4!$2:$1605,MATCH(ChiTietKQKD[[#This Row],[Mã CP]],Sheet4!$B$2:$B$1605,0),_xlfn.XMATCH("*Lợi nhuận sau thuế*Q2*2026*",Sheet4!$1:$1,2)),0),IF(OR(_xlpm.val="",_xlpm.val=0),"",_xlpm.val/1000000000))</f>
        <v>40.062924350000003</v>
      </c>
      <c r="N245" s="9" cm="1">
        <f t="array" ref="N245">_xlfn.LET(_xlpm.val,IFERROR(INDEX(Sheet4!$2:$1605,MATCH(ChiTietKQKD[[#This Row],[Mã CP]],Sheet4!$B$2:$B$1605,0),_xlfn.XMATCH("*Lợi nhuận sau thuế*6 tháng*2026*",Sheet4!$1:$1,2)),0),IF(OR(_xlpm.val="",_xlpm.val=0),"",_xlpm.val/1000000000))</f>
        <v>80.094984080000003</v>
      </c>
      <c r="O245" s="10" cm="1">
        <f t="array" ref="O245">IFERROR(INDEX(Sheet4!$2:$1605,MATCH(ChiTietKQKD[[#This Row],[Mã CP]],Sheet4!$B$2:$B$1605,0),_xlfn.XMATCH("*Tăng trưởng lợi nhuận sau thuế (YoY) (Quý*",Sheet4!$1:$1,2)),"")</f>
        <v>-0.2712</v>
      </c>
      <c r="P245" s="10" cm="1">
        <f t="array" ref="P245">IFERROR(INDEX(Sheet4!$2:$1605,MATCH(ChiTietKQKD[[#This Row],[Mã CP]],Sheet4!$B$2:$B$1605,0),_xlfn.XMATCH("*Tăng trưởng lợi nhuận sau thuế (YoY) (6M)*",Sheet4!$1:$1,2)),"")</f>
        <v>-0.15709999999999999</v>
      </c>
      <c r="Q245" s="10" cm="1">
        <f t="array" ref="Q245">IFERROR(INDEX(Sheet4!$2:$1605,MATCH(ChiTietKQKD[[#This Row],[Mã CP]],Sheet4!$B$2:$B$1605,0),_xlfn.XMATCH("*Tăng trưởng doanh thu thuần (QoQ)*",Sheet4!$1:$1,2)),"")</f>
        <v>0.2283</v>
      </c>
      <c r="R245" s="10" cm="1">
        <f t="array" ref="R245">IFERROR(INDEX(Sheet4!$2:$1605,MATCH(ChiTietKQKD[[#This Row],[Mã CP]],Sheet4!$B$2:$B$1605,0),_xlfn.XMATCH("*Tăng trưởng lợi nhuận sau thuế (QoQ)*",Sheet4!$1:$1,2)),"")</f>
        <v>8.0000000000000004E-4</v>
      </c>
    </row>
    <row r="246" spans="1:18" x14ac:dyDescent="0.25">
      <c r="A246" s="7">
        <f>Sheet4!A225</f>
        <v>224</v>
      </c>
      <c r="B246" t="str">
        <f>Sheet4!B225</f>
        <v>LM8</v>
      </c>
      <c r="C246" t="str">
        <f>Sheet4!C224</f>
        <v>Bột Giặt LIX</v>
      </c>
      <c r="D246" t="str">
        <f>Sheet4!D225</f>
        <v>HOSE</v>
      </c>
      <c r="E246" s="7">
        <f>Sheet4!AH225/1000000000</f>
        <v>140.3607959</v>
      </c>
      <c r="F246" t="str">
        <f>Sheet4!E225</f>
        <v>Công nghiệp</v>
      </c>
      <c r="G246" t="str">
        <f>Sheet4!F225</f>
        <v>Xây dựng và Vật liệu</v>
      </c>
      <c r="H246" t="str">
        <f>Sheet4!G225</f>
        <v>Xây dựng</v>
      </c>
      <c r="I246" s="9" cm="1">
        <f t="array" ref="I24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292.02385397900002</v>
      </c>
      <c r="J246" s="9" cm="1">
        <f t="array" ref="J24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567.86292432300002</v>
      </c>
      <c r="K246" s="10" cm="1">
        <f t="array" ref="K24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-5.2600000000000001E-2</v>
      </c>
      <c r="L246" s="10" cm="1">
        <f t="array" ref="L24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-0.2155</v>
      </c>
      <c r="M246" s="9" cm="1">
        <f t="array" ref="M246">_xlfn.LET(_xlpm.val,IFERROR(INDEX(Sheet4!$2:$1605,MATCH(ChiTietKQKD[[#This Row],[Mã CP]],Sheet4!$B$2:$B$1605,0),_xlfn.XMATCH("*Lợi nhuận sau thuế*Q2*2026*",Sheet4!$1:$1,2)),0),IF(OR(_xlpm.val="",_xlpm.val=0),"",_xlpm.val/1000000000))</f>
        <v>1.9655253070000001</v>
      </c>
      <c r="N246" s="9" cm="1">
        <f t="array" ref="N246">_xlfn.LET(_xlpm.val,IFERROR(INDEX(Sheet4!$2:$1605,MATCH(ChiTietKQKD[[#This Row],[Mã CP]],Sheet4!$B$2:$B$1605,0),_xlfn.XMATCH("*Lợi nhuận sau thuế*6 tháng*2026*",Sheet4!$1:$1,2)),0),IF(OR(_xlpm.val="",_xlpm.val=0),"",_xlpm.val/1000000000))</f>
        <v>4.2146270430000001</v>
      </c>
      <c r="O246" s="10" cm="1">
        <f t="array" ref="O246">IFERROR(INDEX(Sheet4!$2:$1605,MATCH(ChiTietKQKD[[#This Row],[Mã CP]],Sheet4!$B$2:$B$1605,0),_xlfn.XMATCH("*Tăng trưởng lợi nhuận sau thuế (YoY) (Quý*",Sheet4!$1:$1,2)),"")</f>
        <v>7.5227000000000004</v>
      </c>
      <c r="P246" s="10" cm="1">
        <f t="array" ref="P246">IFERROR(INDEX(Sheet4!$2:$1605,MATCH(ChiTietKQKD[[#This Row],[Mã CP]],Sheet4!$B$2:$B$1605,0),_xlfn.XMATCH("*Tăng trưởng lợi nhuận sau thuế (YoY) (6M)*",Sheet4!$1:$1,2)),"")</f>
        <v>-0.27479999999999999</v>
      </c>
      <c r="Q246" s="10" cm="1">
        <f t="array" ref="Q246">IFERROR(INDEX(Sheet4!$2:$1605,MATCH(ChiTietKQKD[[#This Row],[Mã CP]],Sheet4!$B$2:$B$1605,0),_xlfn.XMATCH("*Tăng trưởng doanh thu thuần (QoQ)*",Sheet4!$1:$1,2)),"")</f>
        <v>5.8700000000000002E-2</v>
      </c>
      <c r="R246" s="10" cm="1">
        <f t="array" ref="R246">IFERROR(INDEX(Sheet4!$2:$1605,MATCH(ChiTietKQKD[[#This Row],[Mã CP]],Sheet4!$B$2:$B$1605,0),_xlfn.XMATCH("*Tăng trưởng lợi nhuận sau thuế (QoQ)*",Sheet4!$1:$1,2)),"")</f>
        <v>-0.12609999999999999</v>
      </c>
    </row>
    <row r="247" spans="1:18" x14ac:dyDescent="0.25">
      <c r="A247" s="7">
        <f>Sheet4!A226</f>
        <v>225</v>
      </c>
      <c r="B247" t="str">
        <f>Sheet4!B226</f>
        <v>LPB</v>
      </c>
      <c r="C247" t="str">
        <f>Sheet4!C225</f>
        <v>LILAMA 18</v>
      </c>
      <c r="D247" t="str">
        <f>Sheet4!D226</f>
        <v>HOSE</v>
      </c>
      <c r="E247" s="7">
        <f>Sheet4!AH226/1000000000</f>
        <v>162508.14624</v>
      </c>
      <c r="F247" t="str">
        <f>Sheet4!E226</f>
        <v>Ngân hàng</v>
      </c>
      <c r="G247" t="str">
        <f>Sheet4!F226</f>
        <v>Ngân hàng</v>
      </c>
      <c r="H247" t="str">
        <f>Sheet4!G226</f>
        <v>Ngân hàng</v>
      </c>
      <c r="I247" s="9" cm="1">
        <f t="array" ref="I24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3888.306</v>
      </c>
      <c r="J247" s="9" cm="1">
        <f t="array" ref="J24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7766.5510000000004</v>
      </c>
      <c r="K247" s="10" cm="1">
        <f t="array" ref="K24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4.0807804587652541E-2</v>
      </c>
      <c r="L247" s="10" cm="1">
        <f t="array" ref="L24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0.10669880035863266</v>
      </c>
      <c r="M247" s="9" cm="1">
        <f t="array" ref="M247">_xlfn.LET(_xlpm.val,IFERROR(INDEX(Sheet4!$2:$1605,MATCH(ChiTietKQKD[[#This Row],[Mã CP]],Sheet4!$B$2:$B$1605,0),_xlfn.XMATCH("*Lợi nhuận sau thuế*Q2*2026*",Sheet4!$1:$1,2)),0),IF(OR(_xlpm.val="",_xlpm.val=0),"",_xlpm.val/1000000000))</f>
        <v>2520.6619999999998</v>
      </c>
      <c r="N247" s="9" cm="1">
        <f t="array" ref="N247">_xlfn.LET(_xlpm.val,IFERROR(INDEX(Sheet4!$2:$1605,MATCH(ChiTietKQKD[[#This Row],[Mã CP]],Sheet4!$B$2:$B$1605,0),_xlfn.XMATCH("*Lợi nhuận sau thuế*6 tháng*2026*",Sheet4!$1:$1,2)),0),IF(OR(_xlpm.val="",_xlpm.val=0),"",_xlpm.val/1000000000))</f>
        <v>4799.8530000000001</v>
      </c>
      <c r="O247" s="10" cm="1">
        <f t="array" ref="O247">IFERROR(INDEX(Sheet4!$2:$1605,MATCH(ChiTietKQKD[[#This Row],[Mã CP]],Sheet4!$B$2:$B$1605,0),_xlfn.XMATCH("*Tăng trưởng lợi nhuận sau thuế (YoY) (Quý*",Sheet4!$1:$1,2)),"")</f>
        <v>5.21E-2</v>
      </c>
      <c r="P247" s="10" cm="1">
        <f t="array" ref="P247">IFERROR(INDEX(Sheet4!$2:$1605,MATCH(ChiTietKQKD[[#This Row],[Mã CP]],Sheet4!$B$2:$B$1605,0),_xlfn.XMATCH("*Tăng trưởng lợi nhuận sau thuế (YoY) (6M)*",Sheet4!$1:$1,2)),"")</f>
        <v>-2.64E-2</v>
      </c>
      <c r="Q247" s="10" cm="1">
        <f t="array" ref="Q247">IFERROR(INDEX(Sheet4!$2:$1605,MATCH(ChiTietKQKD[[#This Row],[Mã CP]],Sheet4!$B$2:$B$1605,0),_xlfn.XMATCH("*Tăng trưởng doanh thu thuần (QoQ)*",Sheet4!$1:$1,2)),"")</f>
        <v>0.21279999999999999</v>
      </c>
      <c r="R247" s="10" cm="1">
        <f t="array" ref="R247">IFERROR(INDEX(Sheet4!$2:$1605,MATCH(ChiTietKQKD[[#This Row],[Mã CP]],Sheet4!$B$2:$B$1605,0),_xlfn.XMATCH("*Tăng trưởng lợi nhuận sau thuế (QoQ)*",Sheet4!$1:$1,2)),"")</f>
        <v>0.10589999999999999</v>
      </c>
    </row>
    <row r="248" spans="1:18" x14ac:dyDescent="0.25">
      <c r="A248" s="7">
        <f>Sheet4!A227</f>
        <v>226</v>
      </c>
      <c r="B248" t="str">
        <f>Sheet4!B227</f>
        <v>LPS</v>
      </c>
      <c r="C248" t="str">
        <f>Sheet4!C226</f>
        <v>LPBank</v>
      </c>
      <c r="D248" t="str">
        <f>Sheet4!D227</f>
        <v>HOSE</v>
      </c>
      <c r="E248" s="7">
        <f>Sheet4!AH227/1000000000</f>
        <v>0</v>
      </c>
      <c r="F248" t="str">
        <f>Sheet4!E227</f>
        <v>Tài chính</v>
      </c>
      <c r="G248" t="str">
        <f>Sheet4!F227</f>
        <v>Dịch vụ tài chính</v>
      </c>
      <c r="H248" t="str">
        <f>Sheet4!G227</f>
        <v>Môi giới chứng khoán</v>
      </c>
      <c r="I248" s="9" cm="1">
        <f t="array" ref="I24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1663.7406775239999</v>
      </c>
      <c r="J248" s="9" cm="1">
        <f t="array" ref="J24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2717.2144294509999</v>
      </c>
      <c r="K248" s="10" cm="1">
        <f t="array" ref="K24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2.762</v>
      </c>
      <c r="L248" s="10" cm="1">
        <f t="array" ref="L24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3.9803000000000002</v>
      </c>
      <c r="M248" s="9" cm="1">
        <f t="array" ref="M248">_xlfn.LET(_xlpm.val,IFERROR(INDEX(Sheet4!$2:$1605,MATCH(ChiTietKQKD[[#This Row],[Mã CP]],Sheet4!$B$2:$B$1605,0),_xlfn.XMATCH("*Lợi nhuận sau thuế*Q2*2026*",Sheet4!$1:$1,2)),0),IF(OR(_xlpm.val="",_xlpm.val=0),"",_xlpm.val/1000000000))</f>
        <v>502.61793963100001</v>
      </c>
      <c r="N248" s="9" cm="1">
        <f t="array" ref="N248">_xlfn.LET(_xlpm.val,IFERROR(INDEX(Sheet4!$2:$1605,MATCH(ChiTietKQKD[[#This Row],[Mã CP]],Sheet4!$B$2:$B$1605,0),_xlfn.XMATCH("*Lợi nhuận sau thuế*6 tháng*2026*",Sheet4!$1:$1,2)),0),IF(OR(_xlpm.val="",_xlpm.val=0),"",_xlpm.val/1000000000))</f>
        <v>574.673706907</v>
      </c>
      <c r="O248" s="10" cm="1">
        <f t="array" ref="O248">IFERROR(INDEX(Sheet4!$2:$1605,MATCH(ChiTietKQKD[[#This Row],[Mã CP]],Sheet4!$B$2:$B$1605,0),_xlfn.XMATCH("*Tăng trưởng lợi nhuận sau thuế (YoY) (Quý*",Sheet4!$1:$1,2)),"")</f>
        <v>1.4374</v>
      </c>
      <c r="P248" s="10" cm="1">
        <f t="array" ref="P248">IFERROR(INDEX(Sheet4!$2:$1605,MATCH(ChiTietKQKD[[#This Row],[Mã CP]],Sheet4!$B$2:$B$1605,0),_xlfn.XMATCH("*Tăng trưởng lợi nhuận sau thuế (YoY) (6M)*",Sheet4!$1:$1,2)),"")</f>
        <v>1.3305</v>
      </c>
      <c r="Q248" s="10" cm="1">
        <f t="array" ref="Q248">IFERROR(INDEX(Sheet4!$2:$1605,MATCH(ChiTietKQKD[[#This Row],[Mã CP]],Sheet4!$B$2:$B$1605,0),_xlfn.XMATCH("*Tăng trưởng doanh thu thuần (QoQ)*",Sheet4!$1:$1,2)),"")</f>
        <v>0.57930000000000004</v>
      </c>
      <c r="R248" s="10" cm="1">
        <f t="array" ref="R248">IFERROR(INDEX(Sheet4!$2:$1605,MATCH(ChiTietKQKD[[#This Row],[Mã CP]],Sheet4!$B$2:$B$1605,0),_xlfn.XMATCH("*Tăng trưởng lợi nhuận sau thuế (QoQ)*",Sheet4!$1:$1,2)),"")</f>
        <v>5.9753999999999996</v>
      </c>
    </row>
    <row r="249" spans="1:18" x14ac:dyDescent="0.25">
      <c r="A249" s="7">
        <f>Sheet4!A228</f>
        <v>227</v>
      </c>
      <c r="B249" t="str">
        <f>Sheet4!B228</f>
        <v>LSS</v>
      </c>
      <c r="C249" t="str">
        <f>Sheet4!C227</f>
        <v>Chứng khoán LPBank</v>
      </c>
      <c r="D249" t="str">
        <f>Sheet4!D228</f>
        <v>HOSE</v>
      </c>
      <c r="E249" s="7">
        <f>Sheet4!AH228/1000000000</f>
        <v>723.81379967999999</v>
      </c>
      <c r="F249" t="str">
        <f>Sheet4!E228</f>
        <v>Hàng Tiêu dùng</v>
      </c>
      <c r="G249" t="str">
        <f>Sheet4!F228</f>
        <v>Thực phẩm và đồ uống</v>
      </c>
      <c r="H249" t="str">
        <f>Sheet4!G228</f>
        <v>Thực phẩm</v>
      </c>
      <c r="I249" s="9" t="str" cm="1">
        <f t="array" ref="I24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49" s="9" t="str" cm="1">
        <f t="array" ref="J24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49" s="10" cm="1">
        <f t="array" ref="K24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49" s="10" cm="1">
        <f t="array" ref="L24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49" s="9" t="str" cm="1">
        <f t="array" ref="M24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49" s="9" t="str" cm="1">
        <f t="array" ref="N24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49" s="10" cm="1">
        <f t="array" ref="O249">IFERROR(INDEX(Sheet4!$2:$1605,MATCH(ChiTietKQKD[[#This Row],[Mã CP]],Sheet4!$B$2:$B$1605,0),_xlfn.XMATCH("*Tăng trưởng lợi nhuận sau thuế (YoY) (Quý*",Sheet4!$1:$1,2)),"")</f>
        <v>0</v>
      </c>
      <c r="P249" s="10" cm="1">
        <f t="array" ref="P249">IFERROR(INDEX(Sheet4!$2:$1605,MATCH(ChiTietKQKD[[#This Row],[Mã CP]],Sheet4!$B$2:$B$1605,0),_xlfn.XMATCH("*Tăng trưởng lợi nhuận sau thuế (YoY) (6M)*",Sheet4!$1:$1,2)),"")</f>
        <v>0</v>
      </c>
      <c r="Q249" s="10" cm="1">
        <f t="array" ref="Q249">IFERROR(INDEX(Sheet4!$2:$1605,MATCH(ChiTietKQKD[[#This Row],[Mã CP]],Sheet4!$B$2:$B$1605,0),_xlfn.XMATCH("*Tăng trưởng doanh thu thuần (QoQ)*",Sheet4!$1:$1,2)),"")</f>
        <v>0</v>
      </c>
      <c r="R249" s="10" cm="1">
        <f t="array" ref="R249">IFERROR(INDEX(Sheet4!$2:$1605,MATCH(ChiTietKQKD[[#This Row],[Mã CP]],Sheet4!$B$2:$B$1605,0),_xlfn.XMATCH("*Tăng trưởng lợi nhuận sau thuế (QoQ)*",Sheet4!$1:$1,2)),"")</f>
        <v>0</v>
      </c>
    </row>
    <row r="250" spans="1:18" x14ac:dyDescent="0.25">
      <c r="A250" s="7">
        <f>Sheet4!A229</f>
        <v>228</v>
      </c>
      <c r="B250" t="str">
        <f>Sheet4!B229</f>
        <v>MBB</v>
      </c>
      <c r="C250" t="str">
        <f>Sheet4!C228</f>
        <v>Mía đường Lam Sơn</v>
      </c>
      <c r="D250" t="str">
        <f>Sheet4!D229</f>
        <v>HOSE</v>
      </c>
      <c r="E250" s="7">
        <f>Sheet4!AH229/1000000000</f>
        <v>180029.24796615</v>
      </c>
      <c r="F250" t="str">
        <f>Sheet4!E229</f>
        <v>Ngân hàng</v>
      </c>
      <c r="G250" t="str">
        <f>Sheet4!F229</f>
        <v>Ngân hàng</v>
      </c>
      <c r="H250" t="str">
        <f>Sheet4!G229</f>
        <v>Ngân hàng</v>
      </c>
      <c r="I250" s="9" t="str" cm="1">
        <f t="array" ref="I25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50" s="9" t="str" cm="1">
        <f t="array" ref="J25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50" s="10" t="str" cm="1">
        <f t="array" ref="K25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250" s="10" t="str" cm="1">
        <f t="array" ref="L25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250" s="9" t="str" cm="1">
        <f t="array" ref="M25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50" s="9" t="str" cm="1">
        <f t="array" ref="N25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50" s="10" cm="1">
        <f t="array" ref="O250">IFERROR(INDEX(Sheet4!$2:$1605,MATCH(ChiTietKQKD[[#This Row],[Mã CP]],Sheet4!$B$2:$B$1605,0),_xlfn.XMATCH("*Tăng trưởng lợi nhuận sau thuế (YoY) (Quý*",Sheet4!$1:$1,2)),"")</f>
        <v>0</v>
      </c>
      <c r="P250" s="10" cm="1">
        <f t="array" ref="P250">IFERROR(INDEX(Sheet4!$2:$1605,MATCH(ChiTietKQKD[[#This Row],[Mã CP]],Sheet4!$B$2:$B$1605,0),_xlfn.XMATCH("*Tăng trưởng lợi nhuận sau thuế (YoY) (6M)*",Sheet4!$1:$1,2)),"")</f>
        <v>0</v>
      </c>
      <c r="Q250" s="10" cm="1">
        <f t="array" ref="Q250">IFERROR(INDEX(Sheet4!$2:$1605,MATCH(ChiTietKQKD[[#This Row],[Mã CP]],Sheet4!$B$2:$B$1605,0),_xlfn.XMATCH("*Tăng trưởng doanh thu thuần (QoQ)*",Sheet4!$1:$1,2)),"")</f>
        <v>0</v>
      </c>
      <c r="R250" s="10" cm="1">
        <f t="array" ref="R250">IFERROR(INDEX(Sheet4!$2:$1605,MATCH(ChiTietKQKD[[#This Row],[Mã CP]],Sheet4!$B$2:$B$1605,0),_xlfn.XMATCH("*Tăng trưởng lợi nhuận sau thuế (QoQ)*",Sheet4!$1:$1,2)),"")</f>
        <v>0</v>
      </c>
    </row>
    <row r="251" spans="1:18" x14ac:dyDescent="0.25">
      <c r="A251" s="7">
        <f>Sheet4!A230</f>
        <v>229</v>
      </c>
      <c r="B251" t="str">
        <f>Sheet4!B230</f>
        <v>MCH</v>
      </c>
      <c r="C251" t="str">
        <f>Sheet4!C229</f>
        <v>MBBank</v>
      </c>
      <c r="D251" t="str">
        <f>Sheet4!D230</f>
        <v>HOSE</v>
      </c>
      <c r="E251" s="7">
        <f>Sheet4!AH230/1000000000</f>
        <v>176238.1871252</v>
      </c>
      <c r="F251" t="str">
        <f>Sheet4!E230</f>
        <v>Hàng Tiêu dùng</v>
      </c>
      <c r="G251" t="str">
        <f>Sheet4!F230</f>
        <v>Thực phẩm và đồ uống</v>
      </c>
      <c r="H251" t="str">
        <f>Sheet4!G230</f>
        <v>Thực phẩm</v>
      </c>
      <c r="I251" s="9" t="str" cm="1">
        <f t="array" ref="I25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51" s="9" t="str" cm="1">
        <f t="array" ref="J25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51" s="10" cm="1">
        <f t="array" ref="K25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51" s="10" cm="1">
        <f t="array" ref="L25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51" s="9" t="str" cm="1">
        <f t="array" ref="M25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51" s="9" t="str" cm="1">
        <f t="array" ref="N25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51" s="10" cm="1">
        <f t="array" ref="O251">IFERROR(INDEX(Sheet4!$2:$1605,MATCH(ChiTietKQKD[[#This Row],[Mã CP]],Sheet4!$B$2:$B$1605,0),_xlfn.XMATCH("*Tăng trưởng lợi nhuận sau thuế (YoY) (Quý*",Sheet4!$1:$1,2)),"")</f>
        <v>0</v>
      </c>
      <c r="P251" s="10" cm="1">
        <f t="array" ref="P251">IFERROR(INDEX(Sheet4!$2:$1605,MATCH(ChiTietKQKD[[#This Row],[Mã CP]],Sheet4!$B$2:$B$1605,0),_xlfn.XMATCH("*Tăng trưởng lợi nhuận sau thuế (YoY) (6M)*",Sheet4!$1:$1,2)),"")</f>
        <v>0</v>
      </c>
      <c r="Q251" s="10" cm="1">
        <f t="array" ref="Q251">IFERROR(INDEX(Sheet4!$2:$1605,MATCH(ChiTietKQKD[[#This Row],[Mã CP]],Sheet4!$B$2:$B$1605,0),_xlfn.XMATCH("*Tăng trưởng doanh thu thuần (QoQ)*",Sheet4!$1:$1,2)),"")</f>
        <v>0</v>
      </c>
      <c r="R251" s="10" cm="1">
        <f t="array" ref="R251">IFERROR(INDEX(Sheet4!$2:$1605,MATCH(ChiTietKQKD[[#This Row],[Mã CP]],Sheet4!$B$2:$B$1605,0),_xlfn.XMATCH("*Tăng trưởng lợi nhuận sau thuế (QoQ)*",Sheet4!$1:$1,2)),"")</f>
        <v>0</v>
      </c>
    </row>
    <row r="252" spans="1:18" x14ac:dyDescent="0.25">
      <c r="A252" s="7">
        <f>Sheet4!A231</f>
        <v>230</v>
      </c>
      <c r="B252" t="str">
        <f>Sheet4!B231</f>
        <v>MCM</v>
      </c>
      <c r="C252" t="str">
        <f>Sheet4!C230</f>
        <v>Hàng Tiêu Dùng MaSan</v>
      </c>
      <c r="D252" t="str">
        <f>Sheet4!D231</f>
        <v>HOSE</v>
      </c>
      <c r="E252" s="7">
        <f>Sheet4!AH231/1000000000</f>
        <v>2970</v>
      </c>
      <c r="F252" t="str">
        <f>Sheet4!E231</f>
        <v>Hàng Tiêu dùng</v>
      </c>
      <c r="G252" t="str">
        <f>Sheet4!F231</f>
        <v>Thực phẩm và đồ uống</v>
      </c>
      <c r="H252" t="str">
        <f>Sheet4!G231</f>
        <v>Thực phẩm</v>
      </c>
      <c r="I252" s="9" cm="1">
        <f t="array" ref="I25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760.45361327499995</v>
      </c>
      <c r="J252" s="9" cm="1">
        <f t="array" ref="J25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1502.0036239030001</v>
      </c>
      <c r="K252" s="10" cm="1">
        <f t="array" ref="K25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-5.6800000000000003E-2</v>
      </c>
      <c r="L252" s="10" cm="1">
        <f t="array" ref="L25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7.4800000000000005E-2</v>
      </c>
      <c r="M252" s="9" cm="1">
        <f t="array" ref="M252">_xlfn.LET(_xlpm.val,IFERROR(INDEX(Sheet4!$2:$1605,MATCH(ChiTietKQKD[[#This Row],[Mã CP]],Sheet4!$B$2:$B$1605,0),_xlfn.XMATCH("*Lợi nhuận sau thuế*Q2*2026*",Sheet4!$1:$1,2)),0),IF(OR(_xlpm.val="",_xlpm.val=0),"",_xlpm.val/1000000000))</f>
        <v>88.507126337000003</v>
      </c>
      <c r="N252" s="9" cm="1">
        <f t="array" ref="N252">_xlfn.LET(_xlpm.val,IFERROR(INDEX(Sheet4!$2:$1605,MATCH(ChiTietKQKD[[#This Row],[Mã CP]],Sheet4!$B$2:$B$1605,0),_xlfn.XMATCH("*Lợi nhuận sau thuế*6 tháng*2026*",Sheet4!$1:$1,2)),0),IF(OR(_xlpm.val="",_xlpm.val=0),"",_xlpm.val/1000000000))</f>
        <v>168.62568374099999</v>
      </c>
      <c r="O252" s="10" cm="1">
        <f t="array" ref="O252">IFERROR(INDEX(Sheet4!$2:$1605,MATCH(ChiTietKQKD[[#This Row],[Mã CP]],Sheet4!$B$2:$B$1605,0),_xlfn.XMATCH("*Tăng trưởng lợi nhuận sau thuế (YoY) (Quý*",Sheet4!$1:$1,2)),"")</f>
        <v>0.16850000000000001</v>
      </c>
      <c r="P252" s="10" cm="1">
        <f t="array" ref="P252">IFERROR(INDEX(Sheet4!$2:$1605,MATCH(ChiTietKQKD[[#This Row],[Mã CP]],Sheet4!$B$2:$B$1605,0),_xlfn.XMATCH("*Tăng trưởng lợi nhuận sau thuế (YoY) (6M)*",Sheet4!$1:$1,2)),"")</f>
        <v>0.36530000000000001</v>
      </c>
      <c r="Q252" s="10" cm="1">
        <f t="array" ref="Q252">IFERROR(INDEX(Sheet4!$2:$1605,MATCH(ChiTietKQKD[[#This Row],[Mã CP]],Sheet4!$B$2:$B$1605,0),_xlfn.XMATCH("*Tăng trưởng doanh thu thuần (QoQ)*",Sheet4!$1:$1,2)),"")</f>
        <v>2.5499999999999998E-2</v>
      </c>
      <c r="R252" s="10" cm="1">
        <f t="array" ref="R252">IFERROR(INDEX(Sheet4!$2:$1605,MATCH(ChiTietKQKD[[#This Row],[Mã CP]],Sheet4!$B$2:$B$1605,0),_xlfn.XMATCH("*Tăng trưởng lợi nhuận sau thuế (QoQ)*",Sheet4!$1:$1,2)),"")</f>
        <v>0.1047</v>
      </c>
    </row>
    <row r="253" spans="1:18" x14ac:dyDescent="0.25">
      <c r="A253" s="7">
        <f>Sheet4!A232</f>
        <v>231</v>
      </c>
      <c r="B253" t="str">
        <f>Sheet4!B232</f>
        <v>MCP</v>
      </c>
      <c r="C253" t="str">
        <f>Sheet4!C231</f>
        <v>Giống bò sữa Mộc Châu</v>
      </c>
      <c r="D253" t="str">
        <f>Sheet4!D232</f>
        <v>HOSE</v>
      </c>
      <c r="E253" s="7">
        <f>Sheet4!AH232/1000000000</f>
        <v>544.38728260000005</v>
      </c>
      <c r="F253" t="str">
        <f>Sheet4!E232</f>
        <v>Công nghiệp</v>
      </c>
      <c r="G253" t="str">
        <f>Sheet4!F232</f>
        <v>Hàng &amp; Dịch vụ Công nghiệp</v>
      </c>
      <c r="H253" t="str">
        <f>Sheet4!G232</f>
        <v>Containers &amp; Đóng gói</v>
      </c>
      <c r="I253" s="9" cm="1">
        <f t="array" ref="I25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114.53917711699999</v>
      </c>
      <c r="J253" s="9" t="str" cm="1">
        <f t="array" ref="J25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53" s="10" cm="1">
        <f t="array" ref="K25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0.14069999999999999</v>
      </c>
      <c r="L253" s="10" cm="1">
        <f t="array" ref="L25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7.0400000000000004E-2</v>
      </c>
      <c r="M253" s="9" cm="1">
        <f t="array" ref="M253">_xlfn.LET(_xlpm.val,IFERROR(INDEX(Sheet4!$2:$1605,MATCH(ChiTietKQKD[[#This Row],[Mã CP]],Sheet4!$B$2:$B$1605,0),_xlfn.XMATCH("*Lợi nhuận sau thuế*Q2*2026*",Sheet4!$1:$1,2)),0),IF(OR(_xlpm.val="",_xlpm.val=0),"",_xlpm.val/1000000000))</f>
        <v>1.5997814480000001</v>
      </c>
      <c r="N253" s="9" t="str" cm="1">
        <f t="array" ref="N25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53" s="10" cm="1">
        <f t="array" ref="O253">IFERROR(INDEX(Sheet4!$2:$1605,MATCH(ChiTietKQKD[[#This Row],[Mã CP]],Sheet4!$B$2:$B$1605,0),_xlfn.XMATCH("*Tăng trưởng lợi nhuận sau thuế (YoY) (Quý*",Sheet4!$1:$1,2)),"")</f>
        <v>0.56879999999999997</v>
      </c>
      <c r="P253" s="10" cm="1">
        <f t="array" ref="P253">IFERROR(INDEX(Sheet4!$2:$1605,MATCH(ChiTietKQKD[[#This Row],[Mã CP]],Sheet4!$B$2:$B$1605,0),_xlfn.XMATCH("*Tăng trưởng lợi nhuận sau thuế (YoY) (6M)*",Sheet4!$1:$1,2)),"")</f>
        <v>-1.3252999999999999</v>
      </c>
      <c r="Q253" s="10" cm="1">
        <f t="array" ref="Q253">IFERROR(INDEX(Sheet4!$2:$1605,MATCH(ChiTietKQKD[[#This Row],[Mã CP]],Sheet4!$B$2:$B$1605,0),_xlfn.XMATCH("*Tăng trưởng doanh thu thuần (QoQ)*",Sheet4!$1:$1,2)),"")</f>
        <v>0.29289999999999999</v>
      </c>
      <c r="R253" s="10" cm="1">
        <f t="array" ref="R253">IFERROR(INDEX(Sheet4!$2:$1605,MATCH(ChiTietKQKD[[#This Row],[Mã CP]],Sheet4!$B$2:$B$1605,0),_xlfn.XMATCH("*Tăng trưởng lợi nhuận sau thuế (QoQ)*",Sheet4!$1:$1,2)),"")</f>
        <v>1.7311000000000001</v>
      </c>
    </row>
    <row r="254" spans="1:18" x14ac:dyDescent="0.25">
      <c r="A254" s="7">
        <f>Sheet4!A233</f>
        <v>232</v>
      </c>
      <c r="B254" t="str">
        <f>Sheet4!B233</f>
        <v>MDG</v>
      </c>
      <c r="C254" t="str">
        <f>Sheet4!C232</f>
        <v>In và Bao bì Mỹ Châu</v>
      </c>
      <c r="D254" t="str">
        <f>Sheet4!D233</f>
        <v>HOSE</v>
      </c>
      <c r="E254" s="7">
        <f>Sheet4!AH233/1000000000</f>
        <v>405.76389330000001</v>
      </c>
      <c r="F254" t="str">
        <f>Sheet4!E233</f>
        <v>Công nghiệp</v>
      </c>
      <c r="G254" t="str">
        <f>Sheet4!F233</f>
        <v>Xây dựng và Vật liệu</v>
      </c>
      <c r="H254" t="str">
        <f>Sheet4!G233</f>
        <v>Vật liệu xây dựng &amp; Nội thất</v>
      </c>
      <c r="I254" s="9" cm="1">
        <f t="array" ref="I25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153.101224148</v>
      </c>
      <c r="J254" s="9" cm="1">
        <f t="array" ref="J25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249.22100570699999</v>
      </c>
      <c r="K254" s="10" cm="1">
        <f t="array" ref="K25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5.7041000000000004</v>
      </c>
      <c r="L254" s="10" cm="1">
        <f t="array" ref="L25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2.8212999999999999</v>
      </c>
      <c r="M254" s="9" cm="1">
        <f t="array" ref="M254">_xlfn.LET(_xlpm.val,IFERROR(INDEX(Sheet4!$2:$1605,MATCH(ChiTietKQKD[[#This Row],[Mã CP]],Sheet4!$B$2:$B$1605,0),_xlfn.XMATCH("*Lợi nhuận sau thuế*Q2*2026*",Sheet4!$1:$1,2)),0),IF(OR(_xlpm.val="",_xlpm.val=0),"",_xlpm.val/1000000000))</f>
        <v>39.164141831000002</v>
      </c>
      <c r="N254" s="9" cm="1">
        <f t="array" ref="N254">_xlfn.LET(_xlpm.val,IFERROR(INDEX(Sheet4!$2:$1605,MATCH(ChiTietKQKD[[#This Row],[Mã CP]],Sheet4!$B$2:$B$1605,0),_xlfn.XMATCH("*Lợi nhuận sau thuế*6 tháng*2026*",Sheet4!$1:$1,2)),0),IF(OR(_xlpm.val="",_xlpm.val=0),"",_xlpm.val/1000000000))</f>
        <v>65.055293473000006</v>
      </c>
      <c r="O254" s="10" cm="1">
        <f t="array" ref="O254">IFERROR(INDEX(Sheet4!$2:$1605,MATCH(ChiTietKQKD[[#This Row],[Mã CP]],Sheet4!$B$2:$B$1605,0),_xlfn.XMATCH("*Tăng trưởng lợi nhuận sau thuế (YoY) (Quý*",Sheet4!$1:$1,2)),"")</f>
        <v>200.01</v>
      </c>
      <c r="P254" s="10" cm="1">
        <f t="array" ref="P254">IFERROR(INDEX(Sheet4!$2:$1605,MATCH(ChiTietKQKD[[#This Row],[Mã CP]],Sheet4!$B$2:$B$1605,0),_xlfn.XMATCH("*Tăng trưởng lợi nhuận sau thuế (YoY) (6M)*",Sheet4!$1:$1,2)),"")</f>
        <v>20.6038</v>
      </c>
      <c r="Q254" s="10" cm="1">
        <f t="array" ref="Q254">IFERROR(INDEX(Sheet4!$2:$1605,MATCH(ChiTietKQKD[[#This Row],[Mã CP]],Sheet4!$B$2:$B$1605,0),_xlfn.XMATCH("*Tăng trưởng doanh thu thuần (QoQ)*",Sheet4!$1:$1,2)),"")</f>
        <v>0.59279999999999999</v>
      </c>
      <c r="R254" s="10" cm="1">
        <f t="array" ref="R254">IFERROR(INDEX(Sheet4!$2:$1605,MATCH(ChiTietKQKD[[#This Row],[Mã CP]],Sheet4!$B$2:$B$1605,0),_xlfn.XMATCH("*Tăng trưởng lợi nhuận sau thuế (QoQ)*",Sheet4!$1:$1,2)),"")</f>
        <v>0.51259999999999994</v>
      </c>
    </row>
    <row r="255" spans="1:18" x14ac:dyDescent="0.25">
      <c r="A255" s="7">
        <f>Sheet4!A234</f>
        <v>233</v>
      </c>
      <c r="B255" t="str">
        <f>Sheet4!B234</f>
        <v>MHC</v>
      </c>
      <c r="C255" t="str">
        <f>Sheet4!C233</f>
        <v>Xây dựng Miền Đông</v>
      </c>
      <c r="D255" t="str">
        <f>Sheet4!D234</f>
        <v>HOSE</v>
      </c>
      <c r="E255" s="7">
        <f>Sheet4!AH234/1000000000</f>
        <v>369.98244498000003</v>
      </c>
      <c r="F255" t="str">
        <f>Sheet4!E234</f>
        <v>Công nghiệp</v>
      </c>
      <c r="G255" t="str">
        <f>Sheet4!F234</f>
        <v>Hàng &amp; Dịch vụ Công nghiệp</v>
      </c>
      <c r="H255" t="str">
        <f>Sheet4!G234</f>
        <v>Dịch vụ vận tải</v>
      </c>
      <c r="I255" s="9" t="str" cm="1">
        <f t="array" ref="I25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55" s="9" t="str" cm="1">
        <f t="array" ref="J25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55" s="10" cm="1">
        <f t="array" ref="K25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55" s="10" cm="1">
        <f t="array" ref="L25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55" s="9" t="str" cm="1">
        <f t="array" ref="M25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55" s="9" t="str" cm="1">
        <f t="array" ref="N25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55" s="10" cm="1">
        <f t="array" ref="O255">IFERROR(INDEX(Sheet4!$2:$1605,MATCH(ChiTietKQKD[[#This Row],[Mã CP]],Sheet4!$B$2:$B$1605,0),_xlfn.XMATCH("*Tăng trưởng lợi nhuận sau thuế (YoY) (Quý*",Sheet4!$1:$1,2)),"")</f>
        <v>0</v>
      </c>
      <c r="P255" s="10" cm="1">
        <f t="array" ref="P255">IFERROR(INDEX(Sheet4!$2:$1605,MATCH(ChiTietKQKD[[#This Row],[Mã CP]],Sheet4!$B$2:$B$1605,0),_xlfn.XMATCH("*Tăng trưởng lợi nhuận sau thuế (YoY) (6M)*",Sheet4!$1:$1,2)),"")</f>
        <v>0</v>
      </c>
      <c r="Q255" s="10" cm="1">
        <f t="array" ref="Q255">IFERROR(INDEX(Sheet4!$2:$1605,MATCH(ChiTietKQKD[[#This Row],[Mã CP]],Sheet4!$B$2:$B$1605,0),_xlfn.XMATCH("*Tăng trưởng doanh thu thuần (QoQ)*",Sheet4!$1:$1,2)),"")</f>
        <v>0</v>
      </c>
      <c r="R255" s="10" cm="1">
        <f t="array" ref="R255">IFERROR(INDEX(Sheet4!$2:$1605,MATCH(ChiTietKQKD[[#This Row],[Mã CP]],Sheet4!$B$2:$B$1605,0),_xlfn.XMATCH("*Tăng trưởng lợi nhuận sau thuế (QoQ)*",Sheet4!$1:$1,2)),"")</f>
        <v>0</v>
      </c>
    </row>
    <row r="256" spans="1:18" x14ac:dyDescent="0.25">
      <c r="A256" s="7">
        <f>Sheet4!A235</f>
        <v>234</v>
      </c>
      <c r="B256" t="str">
        <f>Sheet4!B235</f>
        <v>MIG</v>
      </c>
      <c r="C256" t="str">
        <f>Sheet4!C234</f>
        <v>CTCP MHC</v>
      </c>
      <c r="D256" t="str">
        <f>Sheet4!D235</f>
        <v>HOSE</v>
      </c>
      <c r="E256" s="7">
        <f>Sheet4!AH235/1000000000</f>
        <v>3532.1078321</v>
      </c>
      <c r="F256" t="str">
        <f>Sheet4!E235</f>
        <v>Tài chính</v>
      </c>
      <c r="G256" t="str">
        <f>Sheet4!F235</f>
        <v>Bảo hiểm</v>
      </c>
      <c r="H256" t="str">
        <f>Sheet4!G235</f>
        <v>Bảo hiểm phi nhân thọ</v>
      </c>
      <c r="I256" s="9" cm="1">
        <f t="array" ref="I25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1349.7440487440001</v>
      </c>
      <c r="J256" s="9" cm="1">
        <f t="array" ref="J25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2367.8542100620002</v>
      </c>
      <c r="K256" s="10" cm="1">
        <f t="array" ref="K25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0.37580000000000002</v>
      </c>
      <c r="L256" s="10" cm="1">
        <f t="array" ref="L25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0.2001</v>
      </c>
      <c r="M256" s="9" cm="1">
        <f t="array" ref="M256">_xlfn.LET(_xlpm.val,IFERROR(INDEX(Sheet4!$2:$1605,MATCH(ChiTietKQKD[[#This Row],[Mã CP]],Sheet4!$B$2:$B$1605,0),_xlfn.XMATCH("*Lợi nhuận sau thuế*Q2*2026*",Sheet4!$1:$1,2)),0),IF(OR(_xlpm.val="",_xlpm.val=0),"",_xlpm.val/1000000000))</f>
        <v>92.157181461999997</v>
      </c>
      <c r="N256" s="9" cm="1">
        <f t="array" ref="N256">_xlfn.LET(_xlpm.val,IFERROR(INDEX(Sheet4!$2:$1605,MATCH(ChiTietKQKD[[#This Row],[Mã CP]],Sheet4!$B$2:$B$1605,0),_xlfn.XMATCH("*Lợi nhuận sau thuế*6 tháng*2026*",Sheet4!$1:$1,2)),0),IF(OR(_xlpm.val="",_xlpm.val=0),"",_xlpm.val/1000000000))</f>
        <v>194.387958943</v>
      </c>
      <c r="O256" s="10" cm="1">
        <f t="array" ref="O256">IFERROR(INDEX(Sheet4!$2:$1605,MATCH(ChiTietKQKD[[#This Row],[Mã CP]],Sheet4!$B$2:$B$1605,0),_xlfn.XMATCH("*Tăng trưởng lợi nhuận sau thuế (YoY) (Quý*",Sheet4!$1:$1,2)),"")</f>
        <v>9.6699999999999994E-2</v>
      </c>
      <c r="P256" s="10" cm="1">
        <f t="array" ref="P256">IFERROR(INDEX(Sheet4!$2:$1605,MATCH(ChiTietKQKD[[#This Row],[Mã CP]],Sheet4!$B$2:$B$1605,0),_xlfn.XMATCH("*Tăng trưởng lợi nhuận sau thuế (YoY) (6M)*",Sheet4!$1:$1,2)),"")</f>
        <v>5.3699999999999998E-2</v>
      </c>
      <c r="Q256" s="10" cm="1">
        <f t="array" ref="Q256">IFERROR(INDEX(Sheet4!$2:$1605,MATCH(ChiTietKQKD[[#This Row],[Mã CP]],Sheet4!$B$2:$B$1605,0),_xlfn.XMATCH("*Tăng trưởng doanh thu thuần (QoQ)*",Sheet4!$1:$1,2)),"")</f>
        <v>0.32569999999999999</v>
      </c>
      <c r="R256" s="10" cm="1">
        <f t="array" ref="R256">IFERROR(INDEX(Sheet4!$2:$1605,MATCH(ChiTietKQKD[[#This Row],[Mã CP]],Sheet4!$B$2:$B$1605,0),_xlfn.XMATCH("*Tăng trưởng lợi nhuận sau thuế (QoQ)*",Sheet4!$1:$1,2)),"")</f>
        <v>-9.8500000000000004E-2</v>
      </c>
    </row>
    <row r="257" spans="1:18" x14ac:dyDescent="0.25">
      <c r="A257" s="7">
        <f>Sheet4!A236</f>
        <v>235</v>
      </c>
      <c r="B257" t="str">
        <f>Sheet4!B236</f>
        <v>MSB</v>
      </c>
      <c r="C257" t="str">
        <f>Sheet4!C235</f>
        <v>Bảo hiểm Quân đội</v>
      </c>
      <c r="D257" t="str">
        <f>Sheet4!D236</f>
        <v>HOSE</v>
      </c>
      <c r="E257" s="7">
        <f>Sheet4!AH236/1000000000</f>
        <v>49608</v>
      </c>
      <c r="F257" t="str">
        <f>Sheet4!E236</f>
        <v>Ngân hàng</v>
      </c>
      <c r="G257" t="str">
        <f>Sheet4!F236</f>
        <v>Ngân hàng</v>
      </c>
      <c r="H257" t="str">
        <f>Sheet4!G236</f>
        <v>Ngân hàng</v>
      </c>
      <c r="I257" s="9" t="str" cm="1">
        <f t="array" ref="I25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57" s="9" t="str" cm="1">
        <f t="array" ref="J25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57" s="10" t="str" cm="1">
        <f t="array" ref="K25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257" s="10" t="str" cm="1">
        <f t="array" ref="L25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257" s="9" t="str" cm="1">
        <f t="array" ref="M25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57" s="9" t="str" cm="1">
        <f t="array" ref="N25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57" s="10" cm="1">
        <f t="array" ref="O257">IFERROR(INDEX(Sheet4!$2:$1605,MATCH(ChiTietKQKD[[#This Row],[Mã CP]],Sheet4!$B$2:$B$1605,0),_xlfn.XMATCH("*Tăng trưởng lợi nhuận sau thuế (YoY) (Quý*",Sheet4!$1:$1,2)),"")</f>
        <v>0</v>
      </c>
      <c r="P257" s="10" cm="1">
        <f t="array" ref="P257">IFERROR(INDEX(Sheet4!$2:$1605,MATCH(ChiTietKQKD[[#This Row],[Mã CP]],Sheet4!$B$2:$B$1605,0),_xlfn.XMATCH("*Tăng trưởng lợi nhuận sau thuế (YoY) (6M)*",Sheet4!$1:$1,2)),"")</f>
        <v>0</v>
      </c>
      <c r="Q257" s="10" cm="1">
        <f t="array" ref="Q257">IFERROR(INDEX(Sheet4!$2:$1605,MATCH(ChiTietKQKD[[#This Row],[Mã CP]],Sheet4!$B$2:$B$1605,0),_xlfn.XMATCH("*Tăng trưởng doanh thu thuần (QoQ)*",Sheet4!$1:$1,2)),"")</f>
        <v>0</v>
      </c>
      <c r="R257" s="10" cm="1">
        <f t="array" ref="R257">IFERROR(INDEX(Sheet4!$2:$1605,MATCH(ChiTietKQKD[[#This Row],[Mã CP]],Sheet4!$B$2:$B$1605,0),_xlfn.XMATCH("*Tăng trưởng lợi nhuận sau thuế (QoQ)*",Sheet4!$1:$1,2)),"")</f>
        <v>0</v>
      </c>
    </row>
    <row r="258" spans="1:18" x14ac:dyDescent="0.25">
      <c r="A258" s="7">
        <f>Sheet4!A237</f>
        <v>236</v>
      </c>
      <c r="B258" t="str">
        <f>Sheet4!B237</f>
        <v>MSH</v>
      </c>
      <c r="C258" t="str">
        <f>Sheet4!C236</f>
        <v>MSB Bank</v>
      </c>
      <c r="D258" t="str">
        <f>Sheet4!D237</f>
        <v>HOSE</v>
      </c>
      <c r="E258" s="7">
        <f>Sheet4!AH237/1000000000</f>
        <v>3431.89111</v>
      </c>
      <c r="F258" t="str">
        <f>Sheet4!E237</f>
        <v>Hàng Tiêu dùng</v>
      </c>
      <c r="G258" t="str">
        <f>Sheet4!F237</f>
        <v>Hàng cá nhân &amp; Gia dụng</v>
      </c>
      <c r="H258" t="str">
        <f>Sheet4!G237</f>
        <v>Hàng May mặc</v>
      </c>
      <c r="I258" s="9" t="str" cm="1">
        <f t="array" ref="I25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58" s="9" t="str" cm="1">
        <f t="array" ref="J25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58" s="10" cm="1">
        <f t="array" ref="K25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58" s="10" cm="1">
        <f t="array" ref="L25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58" s="9" t="str" cm="1">
        <f t="array" ref="M25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58" s="9" t="str" cm="1">
        <f t="array" ref="N25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58" s="10" cm="1">
        <f t="array" ref="O258">IFERROR(INDEX(Sheet4!$2:$1605,MATCH(ChiTietKQKD[[#This Row],[Mã CP]],Sheet4!$B$2:$B$1605,0),_xlfn.XMATCH("*Tăng trưởng lợi nhuận sau thuế (YoY) (Quý*",Sheet4!$1:$1,2)),"")</f>
        <v>0</v>
      </c>
      <c r="P258" s="10" cm="1">
        <f t="array" ref="P258">IFERROR(INDEX(Sheet4!$2:$1605,MATCH(ChiTietKQKD[[#This Row],[Mã CP]],Sheet4!$B$2:$B$1605,0),_xlfn.XMATCH("*Tăng trưởng lợi nhuận sau thuế (YoY) (6M)*",Sheet4!$1:$1,2)),"")</f>
        <v>0</v>
      </c>
      <c r="Q258" s="10" cm="1">
        <f t="array" ref="Q258">IFERROR(INDEX(Sheet4!$2:$1605,MATCH(ChiTietKQKD[[#This Row],[Mã CP]],Sheet4!$B$2:$B$1605,0),_xlfn.XMATCH("*Tăng trưởng doanh thu thuần (QoQ)*",Sheet4!$1:$1,2)),"")</f>
        <v>0</v>
      </c>
      <c r="R258" s="10" cm="1">
        <f t="array" ref="R258">IFERROR(INDEX(Sheet4!$2:$1605,MATCH(ChiTietKQKD[[#This Row],[Mã CP]],Sheet4!$B$2:$B$1605,0),_xlfn.XMATCH("*Tăng trưởng lợi nhuận sau thuế (QoQ)*",Sheet4!$1:$1,2)),"")</f>
        <v>0</v>
      </c>
    </row>
    <row r="259" spans="1:18" x14ac:dyDescent="0.25">
      <c r="A259" s="7">
        <f>Sheet4!A238</f>
        <v>237</v>
      </c>
      <c r="B259" t="str">
        <f>Sheet4!B238</f>
        <v>MSN</v>
      </c>
      <c r="C259" t="str">
        <f>Sheet4!C237</f>
        <v>May Sông Hồng</v>
      </c>
      <c r="D259" t="str">
        <f>Sheet4!D238</f>
        <v>HOSE</v>
      </c>
      <c r="E259" s="7">
        <f>Sheet4!AH238/1000000000</f>
        <v>93317.937642899997</v>
      </c>
      <c r="F259" t="str">
        <f>Sheet4!E238</f>
        <v>Hàng Tiêu dùng</v>
      </c>
      <c r="G259" t="str">
        <f>Sheet4!F238</f>
        <v>Thực phẩm và đồ uống</v>
      </c>
      <c r="H259" t="str">
        <f>Sheet4!G238</f>
        <v>Thực phẩm</v>
      </c>
      <c r="I259" s="9" t="str" cm="1">
        <f t="array" ref="I25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59" s="9" t="str" cm="1">
        <f t="array" ref="J25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59" s="10" cm="1">
        <f t="array" ref="K25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59" s="10" cm="1">
        <f t="array" ref="L25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59" s="9" t="str" cm="1">
        <f t="array" ref="M25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59" s="9" t="str" cm="1">
        <f t="array" ref="N25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59" s="10" cm="1">
        <f t="array" ref="O259">IFERROR(INDEX(Sheet4!$2:$1605,MATCH(ChiTietKQKD[[#This Row],[Mã CP]],Sheet4!$B$2:$B$1605,0),_xlfn.XMATCH("*Tăng trưởng lợi nhuận sau thuế (YoY) (Quý*",Sheet4!$1:$1,2)),"")</f>
        <v>0</v>
      </c>
      <c r="P259" s="10" cm="1">
        <f t="array" ref="P259">IFERROR(INDEX(Sheet4!$2:$1605,MATCH(ChiTietKQKD[[#This Row],[Mã CP]],Sheet4!$B$2:$B$1605,0),_xlfn.XMATCH("*Tăng trưởng lợi nhuận sau thuế (YoY) (6M)*",Sheet4!$1:$1,2)),"")</f>
        <v>0</v>
      </c>
      <c r="Q259" s="10" cm="1">
        <f t="array" ref="Q259">IFERROR(INDEX(Sheet4!$2:$1605,MATCH(ChiTietKQKD[[#This Row],[Mã CP]],Sheet4!$B$2:$B$1605,0),_xlfn.XMATCH("*Tăng trưởng doanh thu thuần (QoQ)*",Sheet4!$1:$1,2)),"")</f>
        <v>0</v>
      </c>
      <c r="R259" s="10" cm="1">
        <f t="array" ref="R259">IFERROR(INDEX(Sheet4!$2:$1605,MATCH(ChiTietKQKD[[#This Row],[Mã CP]],Sheet4!$B$2:$B$1605,0),_xlfn.XMATCH("*Tăng trưởng lợi nhuận sau thuế (QoQ)*",Sheet4!$1:$1,2)),"")</f>
        <v>0</v>
      </c>
    </row>
    <row r="260" spans="1:18" x14ac:dyDescent="0.25">
      <c r="A260" s="7">
        <f>Sheet4!A239</f>
        <v>238</v>
      </c>
      <c r="B260" t="str">
        <f>Sheet4!B239</f>
        <v>MWG</v>
      </c>
      <c r="C260" t="str">
        <f>Sheet4!C238</f>
        <v>Tập đoàn Masan</v>
      </c>
      <c r="D260" t="str">
        <f>Sheet4!D239</f>
        <v>HOSE</v>
      </c>
      <c r="E260" s="7">
        <f>Sheet4!AH239/1000000000</f>
        <v>104189.0546076</v>
      </c>
      <c r="F260" t="str">
        <f>Sheet4!E239</f>
        <v>Dịch vụ Tiêu dùng</v>
      </c>
      <c r="G260" t="str">
        <f>Sheet4!F239</f>
        <v>Bán lẻ</v>
      </c>
      <c r="H260" t="str">
        <f>Sheet4!G239</f>
        <v>Phân phối hàng chuyên dụng</v>
      </c>
      <c r="I260" s="9" t="str" cm="1">
        <f t="array" ref="I26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60" s="9" t="str" cm="1">
        <f t="array" ref="J26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60" s="10" cm="1">
        <f t="array" ref="K26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60" s="10" cm="1">
        <f t="array" ref="L26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60" s="9" t="str" cm="1">
        <f t="array" ref="M26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60" s="9" t="str" cm="1">
        <f t="array" ref="N26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60" s="10" cm="1">
        <f t="array" ref="O260">IFERROR(INDEX(Sheet4!$2:$1605,MATCH(ChiTietKQKD[[#This Row],[Mã CP]],Sheet4!$B$2:$B$1605,0),_xlfn.XMATCH("*Tăng trưởng lợi nhuận sau thuế (YoY) (Quý*",Sheet4!$1:$1,2)),"")</f>
        <v>0</v>
      </c>
      <c r="P260" s="10" cm="1">
        <f t="array" ref="P260">IFERROR(INDEX(Sheet4!$2:$1605,MATCH(ChiTietKQKD[[#This Row],[Mã CP]],Sheet4!$B$2:$B$1605,0),_xlfn.XMATCH("*Tăng trưởng lợi nhuận sau thuế (YoY) (6M)*",Sheet4!$1:$1,2)),"")</f>
        <v>0</v>
      </c>
      <c r="Q260" s="10" cm="1">
        <f t="array" ref="Q260">IFERROR(INDEX(Sheet4!$2:$1605,MATCH(ChiTietKQKD[[#This Row],[Mã CP]],Sheet4!$B$2:$B$1605,0),_xlfn.XMATCH("*Tăng trưởng doanh thu thuần (QoQ)*",Sheet4!$1:$1,2)),"")</f>
        <v>0</v>
      </c>
      <c r="R260" s="10" cm="1">
        <f t="array" ref="R260">IFERROR(INDEX(Sheet4!$2:$1605,MATCH(ChiTietKQKD[[#This Row],[Mã CP]],Sheet4!$B$2:$B$1605,0),_xlfn.XMATCH("*Tăng trưởng lợi nhuận sau thuế (QoQ)*",Sheet4!$1:$1,2)),"")</f>
        <v>0</v>
      </c>
    </row>
    <row r="261" spans="1:18" x14ac:dyDescent="0.25">
      <c r="A261" s="7">
        <f>Sheet4!A240</f>
        <v>239</v>
      </c>
      <c r="B261" t="str">
        <f>Sheet4!B240</f>
        <v>MZG</v>
      </c>
      <c r="C261" t="str">
        <f>Sheet4!C239</f>
        <v>Thế giới di động</v>
      </c>
      <c r="D261" t="str">
        <f>Sheet4!D240</f>
        <v>HOSE</v>
      </c>
      <c r="E261" s="7">
        <f>Sheet4!AH240/1000000000</f>
        <v>1409.7295409999999</v>
      </c>
      <c r="F261" t="str">
        <f>Sheet4!E240</f>
        <v>Nguyên vật liệu</v>
      </c>
      <c r="G261" t="str">
        <f>Sheet4!F240</f>
        <v>Tài nguyên Cơ bản</v>
      </c>
      <c r="H261" t="str">
        <f>Sheet4!G240</f>
        <v>Sản xuất giấy</v>
      </c>
      <c r="I261" s="9" t="str" cm="1">
        <f t="array" ref="I26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61" s="9" t="str" cm="1">
        <f t="array" ref="J26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61" s="10" cm="1">
        <f t="array" ref="K26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61" s="10" cm="1">
        <f t="array" ref="L26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61" s="9" t="str" cm="1">
        <f t="array" ref="M26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61" s="9" t="str" cm="1">
        <f t="array" ref="N26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61" s="10" cm="1">
        <f t="array" ref="O261">IFERROR(INDEX(Sheet4!$2:$1605,MATCH(ChiTietKQKD[[#This Row],[Mã CP]],Sheet4!$B$2:$B$1605,0),_xlfn.XMATCH("*Tăng trưởng lợi nhuận sau thuế (YoY) (Quý*",Sheet4!$1:$1,2)),"")</f>
        <v>0</v>
      </c>
      <c r="P261" s="10" cm="1">
        <f t="array" ref="P261">IFERROR(INDEX(Sheet4!$2:$1605,MATCH(ChiTietKQKD[[#This Row],[Mã CP]],Sheet4!$B$2:$B$1605,0),_xlfn.XMATCH("*Tăng trưởng lợi nhuận sau thuế (YoY) (6M)*",Sheet4!$1:$1,2)),"")</f>
        <v>0</v>
      </c>
      <c r="Q261" s="10" cm="1">
        <f t="array" ref="Q261">IFERROR(INDEX(Sheet4!$2:$1605,MATCH(ChiTietKQKD[[#This Row],[Mã CP]],Sheet4!$B$2:$B$1605,0),_xlfn.XMATCH("*Tăng trưởng doanh thu thuần (QoQ)*",Sheet4!$1:$1,2)),"")</f>
        <v>0</v>
      </c>
      <c r="R261" s="10" cm="1">
        <f t="array" ref="R261">IFERROR(INDEX(Sheet4!$2:$1605,MATCH(ChiTietKQKD[[#This Row],[Mã CP]],Sheet4!$B$2:$B$1605,0),_xlfn.XMATCH("*Tăng trưởng lợi nhuận sau thuế (QoQ)*",Sheet4!$1:$1,2)),"")</f>
        <v>0</v>
      </c>
    </row>
    <row r="262" spans="1:18" x14ac:dyDescent="0.25">
      <c r="A262" s="7">
        <f>Sheet4!A241</f>
        <v>240</v>
      </c>
      <c r="B262" t="str">
        <f>Sheet4!B241</f>
        <v>NAB</v>
      </c>
      <c r="C262" t="str">
        <f>Sheet4!C240</f>
        <v>Miza Corp</v>
      </c>
      <c r="D262" t="str">
        <f>Sheet4!D241</f>
        <v>HOSE</v>
      </c>
      <c r="E262" s="7">
        <f>Sheet4!AH241/1000000000</f>
        <v>26661.4551827</v>
      </c>
      <c r="F262" t="str">
        <f>Sheet4!E241</f>
        <v>Ngân hàng</v>
      </c>
      <c r="G262" t="str">
        <f>Sheet4!F241</f>
        <v>Ngân hàng</v>
      </c>
      <c r="H262" t="str">
        <f>Sheet4!G241</f>
        <v>Ngân hàng</v>
      </c>
      <c r="I262" s="9" t="str" cm="1">
        <f t="array" ref="I26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62" s="9" t="str" cm="1">
        <f t="array" ref="J26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62" s="10" t="str" cm="1">
        <f t="array" ref="K26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262" s="10" t="str" cm="1">
        <f t="array" ref="L26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262" s="9" t="str" cm="1">
        <f t="array" ref="M26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62" s="9" t="str" cm="1">
        <f t="array" ref="N26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62" s="10" cm="1">
        <f t="array" ref="O262">IFERROR(INDEX(Sheet4!$2:$1605,MATCH(ChiTietKQKD[[#This Row],[Mã CP]],Sheet4!$B$2:$B$1605,0),_xlfn.XMATCH("*Tăng trưởng lợi nhuận sau thuế (YoY) (Quý*",Sheet4!$1:$1,2)),"")</f>
        <v>0</v>
      </c>
      <c r="P262" s="10" cm="1">
        <f t="array" ref="P262">IFERROR(INDEX(Sheet4!$2:$1605,MATCH(ChiTietKQKD[[#This Row],[Mã CP]],Sheet4!$B$2:$B$1605,0),_xlfn.XMATCH("*Tăng trưởng lợi nhuận sau thuế (YoY) (6M)*",Sheet4!$1:$1,2)),"")</f>
        <v>0</v>
      </c>
      <c r="Q262" s="10" cm="1">
        <f t="array" ref="Q262">IFERROR(INDEX(Sheet4!$2:$1605,MATCH(ChiTietKQKD[[#This Row],[Mã CP]],Sheet4!$B$2:$B$1605,0),_xlfn.XMATCH("*Tăng trưởng doanh thu thuần (QoQ)*",Sheet4!$1:$1,2)),"")</f>
        <v>0</v>
      </c>
      <c r="R262" s="10" cm="1">
        <f t="array" ref="R262">IFERROR(INDEX(Sheet4!$2:$1605,MATCH(ChiTietKQKD[[#This Row],[Mã CP]],Sheet4!$B$2:$B$1605,0),_xlfn.XMATCH("*Tăng trưởng lợi nhuận sau thuế (QoQ)*",Sheet4!$1:$1,2)),"")</f>
        <v>0</v>
      </c>
    </row>
    <row r="263" spans="1:18" x14ac:dyDescent="0.25">
      <c r="A263" s="7">
        <f>Sheet4!A242</f>
        <v>241</v>
      </c>
      <c r="B263" t="str">
        <f>Sheet4!B242</f>
        <v>NAF</v>
      </c>
      <c r="C263" t="str">
        <f>Sheet4!C241</f>
        <v>Ngân hàng Nam Á</v>
      </c>
      <c r="D263" t="str">
        <f>Sheet4!D242</f>
        <v>HOSE</v>
      </c>
      <c r="E263" s="7">
        <f>Sheet4!AH242/1000000000</f>
        <v>2988.7403092</v>
      </c>
      <c r="F263" t="str">
        <f>Sheet4!E242</f>
        <v>Hàng Tiêu dùng</v>
      </c>
      <c r="G263" t="str">
        <f>Sheet4!F242</f>
        <v>Thực phẩm và đồ uống</v>
      </c>
      <c r="H263" t="str">
        <f>Sheet4!G242</f>
        <v>Đồ uống &amp; giải khát</v>
      </c>
      <c r="I263" s="9" t="str" cm="1">
        <f t="array" ref="I26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63" s="9" t="str" cm="1">
        <f t="array" ref="J26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63" s="10" cm="1">
        <f t="array" ref="K26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63" s="10" cm="1">
        <f t="array" ref="L26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63" s="9" t="str" cm="1">
        <f t="array" ref="M26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63" s="9" t="str" cm="1">
        <f t="array" ref="N26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63" s="10" cm="1">
        <f t="array" ref="O263">IFERROR(INDEX(Sheet4!$2:$1605,MATCH(ChiTietKQKD[[#This Row],[Mã CP]],Sheet4!$B$2:$B$1605,0),_xlfn.XMATCH("*Tăng trưởng lợi nhuận sau thuế (YoY) (Quý*",Sheet4!$1:$1,2)),"")</f>
        <v>0</v>
      </c>
      <c r="P263" s="10" cm="1">
        <f t="array" ref="P263">IFERROR(INDEX(Sheet4!$2:$1605,MATCH(ChiTietKQKD[[#This Row],[Mã CP]],Sheet4!$B$2:$B$1605,0),_xlfn.XMATCH("*Tăng trưởng lợi nhuận sau thuế (YoY) (6M)*",Sheet4!$1:$1,2)),"")</f>
        <v>0</v>
      </c>
      <c r="Q263" s="10" cm="1">
        <f t="array" ref="Q263">IFERROR(INDEX(Sheet4!$2:$1605,MATCH(ChiTietKQKD[[#This Row],[Mã CP]],Sheet4!$B$2:$B$1605,0),_xlfn.XMATCH("*Tăng trưởng doanh thu thuần (QoQ)*",Sheet4!$1:$1,2)),"")</f>
        <v>0</v>
      </c>
      <c r="R263" s="10" cm="1">
        <f t="array" ref="R263">IFERROR(INDEX(Sheet4!$2:$1605,MATCH(ChiTietKQKD[[#This Row],[Mã CP]],Sheet4!$B$2:$B$1605,0),_xlfn.XMATCH("*Tăng trưởng lợi nhuận sau thuế (QoQ)*",Sheet4!$1:$1,2)),"")</f>
        <v>0</v>
      </c>
    </row>
    <row r="264" spans="1:18" x14ac:dyDescent="0.25">
      <c r="A264" s="7">
        <f>Sheet4!A243</f>
        <v>242</v>
      </c>
      <c r="B264" t="str">
        <f>Sheet4!B243</f>
        <v>NAV</v>
      </c>
      <c r="C264" t="str">
        <f>Sheet4!C242</f>
        <v>Nafoods Group</v>
      </c>
      <c r="D264" t="str">
        <f>Sheet4!D243</f>
        <v>HOSE</v>
      </c>
      <c r="E264" s="7">
        <f>Sheet4!AH243/1000000000</f>
        <v>119.9997</v>
      </c>
      <c r="F264" t="str">
        <f>Sheet4!E243</f>
        <v>Công nghiệp</v>
      </c>
      <c r="G264" t="str">
        <f>Sheet4!F243</f>
        <v>Xây dựng và Vật liệu</v>
      </c>
      <c r="H264" t="str">
        <f>Sheet4!G243</f>
        <v>Vật liệu xây dựng &amp; Nội thất</v>
      </c>
      <c r="I264" s="9" cm="1">
        <f t="array" ref="I26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16.527641225</v>
      </c>
      <c r="J264" s="9" cm="1">
        <f t="array" ref="J26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33.037870951999999</v>
      </c>
      <c r="K264" s="10" cm="1">
        <f t="array" ref="K26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-0.58840000000000003</v>
      </c>
      <c r="L264" s="10" cm="1">
        <f t="array" ref="L26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-0.54910000000000003</v>
      </c>
      <c r="M264" s="9" cm="1">
        <f t="array" ref="M264">_xlfn.LET(_xlpm.val,IFERROR(INDEX(Sheet4!$2:$1605,MATCH(ChiTietKQKD[[#This Row],[Mã CP]],Sheet4!$B$2:$B$1605,0),_xlfn.XMATCH("*Lợi nhuận sau thuế*Q2*2026*",Sheet4!$1:$1,2)),0),IF(OR(_xlpm.val="",_xlpm.val=0),"",_xlpm.val/1000000000))</f>
        <v>10.422305525000001</v>
      </c>
      <c r="N264" s="9" cm="1">
        <f t="array" ref="N264">_xlfn.LET(_xlpm.val,IFERROR(INDEX(Sheet4!$2:$1605,MATCH(ChiTietKQKD[[#This Row],[Mã CP]],Sheet4!$B$2:$B$1605,0),_xlfn.XMATCH("*Lợi nhuận sau thuế*6 tháng*2026*",Sheet4!$1:$1,2)),0),IF(OR(_xlpm.val="",_xlpm.val=0),"",_xlpm.val/1000000000))</f>
        <v>12.222897923</v>
      </c>
      <c r="O264" s="10" cm="1">
        <f t="array" ref="O264">IFERROR(INDEX(Sheet4!$2:$1605,MATCH(ChiTietKQKD[[#This Row],[Mã CP]],Sheet4!$B$2:$B$1605,0),_xlfn.XMATCH("*Tăng trưởng lợi nhuận sau thuế (YoY) (Quý*",Sheet4!$1:$1,2)),"")</f>
        <v>6.1100000000000002E-2</v>
      </c>
      <c r="P264" s="10" cm="1">
        <f t="array" ref="P264">IFERROR(INDEX(Sheet4!$2:$1605,MATCH(ChiTietKQKD[[#This Row],[Mã CP]],Sheet4!$B$2:$B$1605,0),_xlfn.XMATCH("*Tăng trưởng lợi nhuận sau thuế (YoY) (6M)*",Sheet4!$1:$1,2)),"")</f>
        <v>1.35E-2</v>
      </c>
      <c r="Q264" s="10" cm="1">
        <f t="array" ref="Q264">IFERROR(INDEX(Sheet4!$2:$1605,MATCH(ChiTietKQKD[[#This Row],[Mã CP]],Sheet4!$B$2:$B$1605,0),_xlfn.XMATCH("*Tăng trưởng doanh thu thuần (QoQ)*",Sheet4!$1:$1,2)),"")</f>
        <v>1.1000000000000001E-3</v>
      </c>
      <c r="R264" s="10" cm="1">
        <f t="array" ref="R264">IFERROR(INDEX(Sheet4!$2:$1605,MATCH(ChiTietKQKD[[#This Row],[Mã CP]],Sheet4!$B$2:$B$1605,0),_xlfn.XMATCH("*Tăng trưởng lợi nhuận sau thuế (QoQ)*",Sheet4!$1:$1,2)),"")</f>
        <v>4.7882999999999996</v>
      </c>
    </row>
    <row r="265" spans="1:18" x14ac:dyDescent="0.25">
      <c r="A265" s="7">
        <f>Sheet4!A244</f>
        <v>243</v>
      </c>
      <c r="B265" t="str">
        <f>Sheet4!B244</f>
        <v>NBB</v>
      </c>
      <c r="C265" t="str">
        <f>Sheet4!C243</f>
        <v>Tấm lợp và gỗ Nam Việt</v>
      </c>
      <c r="D265" t="str">
        <f>Sheet4!D244</f>
        <v>HOSE</v>
      </c>
      <c r="E265" s="7">
        <f>Sheet4!AH244/1000000000</f>
        <v>1713.1099348</v>
      </c>
      <c r="F265" t="str">
        <f>Sheet4!E244</f>
        <v>Tài chính</v>
      </c>
      <c r="G265" t="str">
        <f>Sheet4!F244</f>
        <v>Bất động sản</v>
      </c>
      <c r="H265" t="str">
        <f>Sheet4!G244</f>
        <v>Bất động sản</v>
      </c>
      <c r="I265" s="9" t="str" cm="1">
        <f t="array" ref="I26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65" s="9" t="str" cm="1">
        <f t="array" ref="J26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65" s="10" cm="1">
        <f t="array" ref="K26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65" s="10" cm="1">
        <f t="array" ref="L26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65" s="9" t="str" cm="1">
        <f t="array" ref="M26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65" s="9" t="str" cm="1">
        <f t="array" ref="N26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65" s="10" cm="1">
        <f t="array" ref="O265">IFERROR(INDEX(Sheet4!$2:$1605,MATCH(ChiTietKQKD[[#This Row],[Mã CP]],Sheet4!$B$2:$B$1605,0),_xlfn.XMATCH("*Tăng trưởng lợi nhuận sau thuế (YoY) (Quý*",Sheet4!$1:$1,2)),"")</f>
        <v>0</v>
      </c>
      <c r="P265" s="10" cm="1">
        <f t="array" ref="P265">IFERROR(INDEX(Sheet4!$2:$1605,MATCH(ChiTietKQKD[[#This Row],[Mã CP]],Sheet4!$B$2:$B$1605,0),_xlfn.XMATCH("*Tăng trưởng lợi nhuận sau thuế (YoY) (6M)*",Sheet4!$1:$1,2)),"")</f>
        <v>0</v>
      </c>
      <c r="Q265" s="10" cm="1">
        <f t="array" ref="Q265">IFERROR(INDEX(Sheet4!$2:$1605,MATCH(ChiTietKQKD[[#This Row],[Mã CP]],Sheet4!$B$2:$B$1605,0),_xlfn.XMATCH("*Tăng trưởng doanh thu thuần (QoQ)*",Sheet4!$1:$1,2)),"")</f>
        <v>0</v>
      </c>
      <c r="R265" s="10" cm="1">
        <f t="array" ref="R265">IFERROR(INDEX(Sheet4!$2:$1605,MATCH(ChiTietKQKD[[#This Row],[Mã CP]],Sheet4!$B$2:$B$1605,0),_xlfn.XMATCH("*Tăng trưởng lợi nhuận sau thuế (QoQ)*",Sheet4!$1:$1,2)),"")</f>
        <v>0</v>
      </c>
    </row>
    <row r="266" spans="1:18" x14ac:dyDescent="0.25">
      <c r="A266" s="7">
        <f>Sheet4!A245</f>
        <v>244</v>
      </c>
      <c r="B266" t="str">
        <f>Sheet4!B245</f>
        <v>NCT</v>
      </c>
      <c r="C266" t="str">
        <f>Sheet4!C244</f>
        <v>577 CORP</v>
      </c>
      <c r="D266" t="str">
        <f>Sheet4!D245</f>
        <v>HOSE</v>
      </c>
      <c r="E266" s="7">
        <f>Sheet4!AH245/1000000000</f>
        <v>2456.9622347999998</v>
      </c>
      <c r="F266" t="str">
        <f>Sheet4!E245</f>
        <v>Công nghiệp</v>
      </c>
      <c r="G266" t="str">
        <f>Sheet4!F245</f>
        <v>Hàng &amp; Dịch vụ Công nghiệp</v>
      </c>
      <c r="H266" t="str">
        <f>Sheet4!G245</f>
        <v>Kho bãi, hậu cần và bảo dưỡng</v>
      </c>
      <c r="I266" s="9" cm="1">
        <f t="array" ref="I26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319.20434293400001</v>
      </c>
      <c r="J266" s="9" cm="1">
        <f t="array" ref="J26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611.88578598599997</v>
      </c>
      <c r="K266" s="10" cm="1">
        <f t="array" ref="K26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0.13830000000000001</v>
      </c>
      <c r="L266" s="10" cm="1">
        <f t="array" ref="L26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0.17299999999999999</v>
      </c>
      <c r="M266" s="9" cm="1">
        <f t="array" ref="M266">_xlfn.LET(_xlpm.val,IFERROR(INDEX(Sheet4!$2:$1605,MATCH(ChiTietKQKD[[#This Row],[Mã CP]],Sheet4!$B$2:$B$1605,0),_xlfn.XMATCH("*Lợi nhuận sau thuế*Q2*2026*",Sheet4!$1:$1,2)),0),IF(OR(_xlpm.val="",_xlpm.val=0),"",_xlpm.val/1000000000))</f>
        <v>112.92557027700001</v>
      </c>
      <c r="N266" s="9" cm="1">
        <f t="array" ref="N266">_xlfn.LET(_xlpm.val,IFERROR(INDEX(Sheet4!$2:$1605,MATCH(ChiTietKQKD[[#This Row],[Mã CP]],Sheet4!$B$2:$B$1605,0),_xlfn.XMATCH("*Lợi nhuận sau thuế*6 tháng*2026*",Sheet4!$1:$1,2)),0),IF(OR(_xlpm.val="",_xlpm.val=0),"",_xlpm.val/1000000000))</f>
        <v>218.9122686</v>
      </c>
      <c r="O266" s="10" cm="1">
        <f t="array" ref="O266">IFERROR(INDEX(Sheet4!$2:$1605,MATCH(ChiTietKQKD[[#This Row],[Mã CP]],Sheet4!$B$2:$B$1605,0),_xlfn.XMATCH("*Tăng trưởng lợi nhuận sau thuế (YoY) (Quý*",Sheet4!$1:$1,2)),"")</f>
        <v>0.32250000000000001</v>
      </c>
      <c r="P266" s="10" cm="1">
        <f t="array" ref="P266">IFERROR(INDEX(Sheet4!$2:$1605,MATCH(ChiTietKQKD[[#This Row],[Mã CP]],Sheet4!$B$2:$B$1605,0),_xlfn.XMATCH("*Tăng trưởng lợi nhuận sau thuế (YoY) (6M)*",Sheet4!$1:$1,2)),"")</f>
        <v>0.46129999999999999</v>
      </c>
      <c r="Q266" s="10" cm="1">
        <f t="array" ref="Q266">IFERROR(INDEX(Sheet4!$2:$1605,MATCH(ChiTietKQKD[[#This Row],[Mã CP]],Sheet4!$B$2:$B$1605,0),_xlfn.XMATCH("*Tăng trưởng doanh thu thuần (QoQ)*",Sheet4!$1:$1,2)),"")</f>
        <v>9.06E-2</v>
      </c>
      <c r="R266" s="10" cm="1">
        <f t="array" ref="R266">IFERROR(INDEX(Sheet4!$2:$1605,MATCH(ChiTietKQKD[[#This Row],[Mã CP]],Sheet4!$B$2:$B$1605,0),_xlfn.XMATCH("*Tăng trưởng lợi nhuận sau thuế (QoQ)*",Sheet4!$1:$1,2)),"")</f>
        <v>6.5500000000000003E-2</v>
      </c>
    </row>
    <row r="267" spans="1:18" x14ac:dyDescent="0.25">
      <c r="A267" s="7">
        <f>Sheet4!A246</f>
        <v>245</v>
      </c>
      <c r="B267" t="str">
        <f>Sheet4!B246</f>
        <v>NHA</v>
      </c>
      <c r="C267" t="str">
        <f>Sheet4!C245</f>
        <v>DV Hàng hóa Nội Bài</v>
      </c>
      <c r="D267" t="str">
        <f>Sheet4!D246</f>
        <v>HOSE</v>
      </c>
      <c r="E267" s="7">
        <f>Sheet4!AH246/1000000000</f>
        <v>592.23574209000003</v>
      </c>
      <c r="F267" t="str">
        <f>Sheet4!E246</f>
        <v>Công nghiệp</v>
      </c>
      <c r="G267" t="str">
        <f>Sheet4!F246</f>
        <v>Xây dựng và Vật liệu</v>
      </c>
      <c r="H267" t="str">
        <f>Sheet4!G246</f>
        <v>Xây dựng</v>
      </c>
      <c r="I267" s="9" cm="1">
        <f t="array" ref="I26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4.7502106919999996</v>
      </c>
      <c r="J267" s="9" cm="1">
        <f t="array" ref="J26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19.092474831000001</v>
      </c>
      <c r="K267" s="10" cm="1">
        <f t="array" ref="K26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-0.93700000000000006</v>
      </c>
      <c r="L267" s="10" cm="1">
        <f t="array" ref="L26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-0.88900000000000001</v>
      </c>
      <c r="M267" s="9" cm="1">
        <f t="array" ref="M267">_xlfn.LET(_xlpm.val,IFERROR(INDEX(Sheet4!$2:$1605,MATCH(ChiTietKQKD[[#This Row],[Mã CP]],Sheet4!$B$2:$B$1605,0),_xlfn.XMATCH("*Lợi nhuận sau thuế*Q2*2026*",Sheet4!$1:$1,2)),0),IF(OR(_xlpm.val="",_xlpm.val=0),"",_xlpm.val/1000000000))</f>
        <v>-9.0429164409999991</v>
      </c>
      <c r="N267" s="9" cm="1">
        <f t="array" ref="N267">_xlfn.LET(_xlpm.val,IFERROR(INDEX(Sheet4!$2:$1605,MATCH(ChiTietKQKD[[#This Row],[Mã CP]],Sheet4!$B$2:$B$1605,0),_xlfn.XMATCH("*Lợi nhuận sau thuế*6 tháng*2026*",Sheet4!$1:$1,2)),0),IF(OR(_xlpm.val="",_xlpm.val=0),"",_xlpm.val/1000000000))</f>
        <v>-8.3468267310000002</v>
      </c>
      <c r="O267" s="10" cm="1">
        <f t="array" ref="O267">IFERROR(INDEX(Sheet4!$2:$1605,MATCH(ChiTietKQKD[[#This Row],[Mã CP]],Sheet4!$B$2:$B$1605,0),_xlfn.XMATCH("*Tăng trưởng lợi nhuận sau thuế (YoY) (Quý*",Sheet4!$1:$1,2)),"")</f>
        <v>-1.6138999999999999</v>
      </c>
      <c r="P267" s="10" cm="1">
        <f t="array" ref="P267">IFERROR(INDEX(Sheet4!$2:$1605,MATCH(ChiTietKQKD[[#This Row],[Mã CP]],Sheet4!$B$2:$B$1605,0),_xlfn.XMATCH("*Tăng trưởng lợi nhuận sau thuế (YoY) (6M)*",Sheet4!$1:$1,2)),"")</f>
        <v>-1.171</v>
      </c>
      <c r="Q267" s="10" cm="1">
        <f t="array" ref="Q267">IFERROR(INDEX(Sheet4!$2:$1605,MATCH(ChiTietKQKD[[#This Row],[Mã CP]],Sheet4!$B$2:$B$1605,0),_xlfn.XMATCH("*Tăng trưởng doanh thu thuần (QoQ)*",Sheet4!$1:$1,2)),"")</f>
        <v>-0.66879999999999995</v>
      </c>
      <c r="R267" s="10" cm="1">
        <f t="array" ref="R267">IFERROR(INDEX(Sheet4!$2:$1605,MATCH(ChiTietKQKD[[#This Row],[Mã CP]],Sheet4!$B$2:$B$1605,0),_xlfn.XMATCH("*Tăng trưởng lợi nhuận sau thuế (QoQ)*",Sheet4!$1:$1,2)),"")</f>
        <v>-13.991</v>
      </c>
    </row>
    <row r="268" spans="1:18" x14ac:dyDescent="0.25">
      <c r="A268" s="7">
        <f>Sheet4!A247</f>
        <v>246</v>
      </c>
      <c r="B268" t="str">
        <f>Sheet4!B247</f>
        <v>NHH</v>
      </c>
      <c r="C268" t="str">
        <f>Sheet4!C246</f>
        <v>PT Nhà và Đô thị Nam HN</v>
      </c>
      <c r="D268" t="str">
        <f>Sheet4!D247</f>
        <v>HOSE</v>
      </c>
      <c r="E268" s="7">
        <f>Sheet4!AH247/1000000000</f>
        <v>1117.21396</v>
      </c>
      <c r="F268" t="str">
        <f>Sheet4!E247</f>
        <v>Nguyên vật liệu</v>
      </c>
      <c r="G268" t="str">
        <f>Sheet4!F247</f>
        <v>Hóa chất</v>
      </c>
      <c r="H268" t="str">
        <f>Sheet4!G247</f>
        <v>Nhựa, cao su &amp; sợi</v>
      </c>
      <c r="I268" s="9" t="str" cm="1">
        <f t="array" ref="I26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68" s="9" t="str" cm="1">
        <f t="array" ref="J26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68" s="10" cm="1">
        <f t="array" ref="K26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68" s="10" cm="1">
        <f t="array" ref="L26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68" s="9" t="str" cm="1">
        <f t="array" ref="M26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68" s="9" t="str" cm="1">
        <f t="array" ref="N26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68" s="10" cm="1">
        <f t="array" ref="O268">IFERROR(INDEX(Sheet4!$2:$1605,MATCH(ChiTietKQKD[[#This Row],[Mã CP]],Sheet4!$B$2:$B$1605,0),_xlfn.XMATCH("*Tăng trưởng lợi nhuận sau thuế (YoY) (Quý*",Sheet4!$1:$1,2)),"")</f>
        <v>0</v>
      </c>
      <c r="P268" s="10" cm="1">
        <f t="array" ref="P268">IFERROR(INDEX(Sheet4!$2:$1605,MATCH(ChiTietKQKD[[#This Row],[Mã CP]],Sheet4!$B$2:$B$1605,0),_xlfn.XMATCH("*Tăng trưởng lợi nhuận sau thuế (YoY) (6M)*",Sheet4!$1:$1,2)),"")</f>
        <v>0</v>
      </c>
      <c r="Q268" s="10" cm="1">
        <f t="array" ref="Q268">IFERROR(INDEX(Sheet4!$2:$1605,MATCH(ChiTietKQKD[[#This Row],[Mã CP]],Sheet4!$B$2:$B$1605,0),_xlfn.XMATCH("*Tăng trưởng doanh thu thuần (QoQ)*",Sheet4!$1:$1,2)),"")</f>
        <v>0</v>
      </c>
      <c r="R268" s="10" cm="1">
        <f t="array" ref="R268">IFERROR(INDEX(Sheet4!$2:$1605,MATCH(ChiTietKQKD[[#This Row],[Mã CP]],Sheet4!$B$2:$B$1605,0),_xlfn.XMATCH("*Tăng trưởng lợi nhuận sau thuế (QoQ)*",Sheet4!$1:$1,2)),"")</f>
        <v>0</v>
      </c>
    </row>
    <row r="269" spans="1:18" x14ac:dyDescent="0.25">
      <c r="A269" s="7">
        <f>Sheet4!A248</f>
        <v>247</v>
      </c>
      <c r="B269" t="str">
        <f>Sheet4!B248</f>
        <v>NHT</v>
      </c>
      <c r="C269" t="str">
        <f>Sheet4!C247</f>
        <v>Nhựa Hà Nội</v>
      </c>
      <c r="D269" t="str">
        <f>Sheet4!D248</f>
        <v>HOSE</v>
      </c>
      <c r="E269" s="7">
        <f>Sheet4!AH248/1000000000</f>
        <v>272.44197229999997</v>
      </c>
      <c r="F269" t="str">
        <f>Sheet4!E248</f>
        <v>Hàng Tiêu dùng</v>
      </c>
      <c r="G269" t="str">
        <f>Sheet4!F248</f>
        <v>Hàng cá nhân &amp; Gia dụng</v>
      </c>
      <c r="H269" t="str">
        <f>Sheet4!G248</f>
        <v>Đồ chơi</v>
      </c>
      <c r="I269" s="9" t="str" cm="1">
        <f t="array" ref="I26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69" s="9" t="str" cm="1">
        <f t="array" ref="J26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69" s="10" cm="1">
        <f t="array" ref="K26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69" s="10" cm="1">
        <f t="array" ref="L26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69" s="9" t="str" cm="1">
        <f t="array" ref="M26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69" s="9" t="str" cm="1">
        <f t="array" ref="N26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69" s="10" cm="1">
        <f t="array" ref="O269">IFERROR(INDEX(Sheet4!$2:$1605,MATCH(ChiTietKQKD[[#This Row],[Mã CP]],Sheet4!$B$2:$B$1605,0),_xlfn.XMATCH("*Tăng trưởng lợi nhuận sau thuế (YoY) (Quý*",Sheet4!$1:$1,2)),"")</f>
        <v>0</v>
      </c>
      <c r="P269" s="10" cm="1">
        <f t="array" ref="P269">IFERROR(INDEX(Sheet4!$2:$1605,MATCH(ChiTietKQKD[[#This Row],[Mã CP]],Sheet4!$B$2:$B$1605,0),_xlfn.XMATCH("*Tăng trưởng lợi nhuận sau thuế (YoY) (6M)*",Sheet4!$1:$1,2)),"")</f>
        <v>0</v>
      </c>
      <c r="Q269" s="10" cm="1">
        <f t="array" ref="Q269">IFERROR(INDEX(Sheet4!$2:$1605,MATCH(ChiTietKQKD[[#This Row],[Mã CP]],Sheet4!$B$2:$B$1605,0),_xlfn.XMATCH("*Tăng trưởng doanh thu thuần (QoQ)*",Sheet4!$1:$1,2)),"")</f>
        <v>0</v>
      </c>
      <c r="R269" s="10" cm="1">
        <f t="array" ref="R269">IFERROR(INDEX(Sheet4!$2:$1605,MATCH(ChiTietKQKD[[#This Row],[Mã CP]],Sheet4!$B$2:$B$1605,0),_xlfn.XMATCH("*Tăng trưởng lợi nhuận sau thuế (QoQ)*",Sheet4!$1:$1,2)),"")</f>
        <v>0</v>
      </c>
    </row>
    <row r="270" spans="1:18" x14ac:dyDescent="0.25">
      <c r="A270" s="7">
        <f>Sheet4!A249</f>
        <v>248</v>
      </c>
      <c r="B270" t="str">
        <f>Sheet4!B249</f>
        <v>NKG</v>
      </c>
      <c r="C270" t="str">
        <f>Sheet4!C248</f>
        <v>Sản xuất và Thương mại Nam Hoa</v>
      </c>
      <c r="D270" t="str">
        <f>Sheet4!D249</f>
        <v>HOSE</v>
      </c>
      <c r="E270" s="7">
        <f>Sheet4!AH249/1000000000</f>
        <v>5169.4015904999997</v>
      </c>
      <c r="F270" t="str">
        <f>Sheet4!E249</f>
        <v>Nguyên vật liệu</v>
      </c>
      <c r="G270" t="str">
        <f>Sheet4!F249</f>
        <v>Tài nguyên Cơ bản</v>
      </c>
      <c r="H270" t="str">
        <f>Sheet4!G249</f>
        <v>Thép và sản phẩm thép</v>
      </c>
      <c r="I270" s="9" t="str" cm="1">
        <f t="array" ref="I27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70" s="9" t="str" cm="1">
        <f t="array" ref="J27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70" s="10" cm="1">
        <f t="array" ref="K27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70" s="10" cm="1">
        <f t="array" ref="L27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70" s="9" t="str" cm="1">
        <f t="array" ref="M27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70" s="9" t="str" cm="1">
        <f t="array" ref="N27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70" s="10" cm="1">
        <f t="array" ref="O270">IFERROR(INDEX(Sheet4!$2:$1605,MATCH(ChiTietKQKD[[#This Row],[Mã CP]],Sheet4!$B$2:$B$1605,0),_xlfn.XMATCH("*Tăng trưởng lợi nhuận sau thuế (YoY) (Quý*",Sheet4!$1:$1,2)),"")</f>
        <v>0</v>
      </c>
      <c r="P270" s="10" cm="1">
        <f t="array" ref="P270">IFERROR(INDEX(Sheet4!$2:$1605,MATCH(ChiTietKQKD[[#This Row],[Mã CP]],Sheet4!$B$2:$B$1605,0),_xlfn.XMATCH("*Tăng trưởng lợi nhuận sau thuế (YoY) (6M)*",Sheet4!$1:$1,2)),"")</f>
        <v>0</v>
      </c>
      <c r="Q270" s="10" cm="1">
        <f t="array" ref="Q270">IFERROR(INDEX(Sheet4!$2:$1605,MATCH(ChiTietKQKD[[#This Row],[Mã CP]],Sheet4!$B$2:$B$1605,0),_xlfn.XMATCH("*Tăng trưởng doanh thu thuần (QoQ)*",Sheet4!$1:$1,2)),"")</f>
        <v>0</v>
      </c>
      <c r="R270" s="10" cm="1">
        <f t="array" ref="R270">IFERROR(INDEX(Sheet4!$2:$1605,MATCH(ChiTietKQKD[[#This Row],[Mã CP]],Sheet4!$B$2:$B$1605,0),_xlfn.XMATCH("*Tăng trưởng lợi nhuận sau thuế (QoQ)*",Sheet4!$1:$1,2)),"")</f>
        <v>0</v>
      </c>
    </row>
    <row r="271" spans="1:18" x14ac:dyDescent="0.25">
      <c r="A271" s="7">
        <f>Sheet4!A250</f>
        <v>249</v>
      </c>
      <c r="B271" t="str">
        <f>Sheet4!B250</f>
        <v>NLG</v>
      </c>
      <c r="C271" t="str">
        <f>Sheet4!C249</f>
        <v>Thép Nam Kim</v>
      </c>
      <c r="D271" t="str">
        <f>Sheet4!D250</f>
        <v>HOSE</v>
      </c>
      <c r="E271" s="7">
        <f>Sheet4!AH250/1000000000</f>
        <v>10987.455724949999</v>
      </c>
      <c r="F271" t="str">
        <f>Sheet4!E250</f>
        <v>Tài chính</v>
      </c>
      <c r="G271" t="str">
        <f>Sheet4!F250</f>
        <v>Bất động sản</v>
      </c>
      <c r="H271" t="str">
        <f>Sheet4!G250</f>
        <v>Bất động sản</v>
      </c>
      <c r="I271" s="9" t="str" cm="1">
        <f t="array" ref="I27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71" s="9" t="str" cm="1">
        <f t="array" ref="J27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71" s="10" cm="1">
        <f t="array" ref="K27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71" s="10" cm="1">
        <f t="array" ref="L27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71" s="9" t="str" cm="1">
        <f t="array" ref="M27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71" s="9" t="str" cm="1">
        <f t="array" ref="N27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71" s="10" cm="1">
        <f t="array" ref="O271">IFERROR(INDEX(Sheet4!$2:$1605,MATCH(ChiTietKQKD[[#This Row],[Mã CP]],Sheet4!$B$2:$B$1605,0),_xlfn.XMATCH("*Tăng trưởng lợi nhuận sau thuế (YoY) (Quý*",Sheet4!$1:$1,2)),"")</f>
        <v>0</v>
      </c>
      <c r="P271" s="10" cm="1">
        <f t="array" ref="P271">IFERROR(INDEX(Sheet4!$2:$1605,MATCH(ChiTietKQKD[[#This Row],[Mã CP]],Sheet4!$B$2:$B$1605,0),_xlfn.XMATCH("*Tăng trưởng lợi nhuận sau thuế (YoY) (6M)*",Sheet4!$1:$1,2)),"")</f>
        <v>0</v>
      </c>
      <c r="Q271" s="10" cm="1">
        <f t="array" ref="Q271">IFERROR(INDEX(Sheet4!$2:$1605,MATCH(ChiTietKQKD[[#This Row],[Mã CP]],Sheet4!$B$2:$B$1605,0),_xlfn.XMATCH("*Tăng trưởng doanh thu thuần (QoQ)*",Sheet4!$1:$1,2)),"")</f>
        <v>0</v>
      </c>
      <c r="R271" s="10" cm="1">
        <f t="array" ref="R271">IFERROR(INDEX(Sheet4!$2:$1605,MATCH(ChiTietKQKD[[#This Row],[Mã CP]],Sheet4!$B$2:$B$1605,0),_xlfn.XMATCH("*Tăng trưởng lợi nhuận sau thuế (QoQ)*",Sheet4!$1:$1,2)),"")</f>
        <v>0</v>
      </c>
    </row>
    <row r="272" spans="1:18" x14ac:dyDescent="0.25">
      <c r="A272" s="7">
        <f>Sheet4!A251</f>
        <v>250</v>
      </c>
      <c r="B272" t="str">
        <f>Sheet4!B251</f>
        <v>NNC</v>
      </c>
      <c r="C272" t="str">
        <f>Sheet4!C250</f>
        <v>BĐS Nam Long</v>
      </c>
      <c r="D272" t="str">
        <f>Sheet4!D251</f>
        <v>HOSE</v>
      </c>
      <c r="E272" s="7">
        <f>Sheet4!AH251/1000000000</f>
        <v>938.17600000000004</v>
      </c>
      <c r="F272" t="str">
        <f>Sheet4!E251</f>
        <v>Công nghiệp</v>
      </c>
      <c r="G272" t="str">
        <f>Sheet4!F251</f>
        <v>Xây dựng và Vật liệu</v>
      </c>
      <c r="H272" t="str">
        <f>Sheet4!G251</f>
        <v>Vật liệu xây dựng &amp; Nội thất</v>
      </c>
      <c r="I272" s="9" cm="1">
        <f t="array" ref="I27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132.357383911</v>
      </c>
      <c r="J272" s="9" cm="1">
        <f t="array" ref="J27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252.70243297600001</v>
      </c>
      <c r="K272" s="10" cm="1">
        <f t="array" ref="K27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0.44679999999999997</v>
      </c>
      <c r="L272" s="10" cm="1">
        <f t="array" ref="L27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0.56359999999999999</v>
      </c>
      <c r="M272" s="9" cm="1">
        <f t="array" ref="M272">_xlfn.LET(_xlpm.val,IFERROR(INDEX(Sheet4!$2:$1605,MATCH(ChiTietKQKD[[#This Row],[Mã CP]],Sheet4!$B$2:$B$1605,0),_xlfn.XMATCH("*Lợi nhuận sau thuế*Q2*2026*",Sheet4!$1:$1,2)),0),IF(OR(_xlpm.val="",_xlpm.val=0),"",_xlpm.val/1000000000))</f>
        <v>46.383161319000003</v>
      </c>
      <c r="N272" s="9" cm="1">
        <f t="array" ref="N272">_xlfn.LET(_xlpm.val,IFERROR(INDEX(Sheet4!$2:$1605,MATCH(ChiTietKQKD[[#This Row],[Mã CP]],Sheet4!$B$2:$B$1605,0),_xlfn.XMATCH("*Lợi nhuận sau thuế*6 tháng*2026*",Sheet4!$1:$1,2)),0),IF(OR(_xlpm.val="",_xlpm.val=0),"",_xlpm.val/1000000000))</f>
        <v>85.990077267999993</v>
      </c>
      <c r="O272" s="10" cm="1">
        <f t="array" ref="O272">IFERROR(INDEX(Sheet4!$2:$1605,MATCH(ChiTietKQKD[[#This Row],[Mã CP]],Sheet4!$B$2:$B$1605,0),_xlfn.XMATCH("*Tăng trưởng lợi nhuận sau thuế (YoY) (Quý*",Sheet4!$1:$1,2)),"")</f>
        <v>0.3196</v>
      </c>
      <c r="P272" s="10" cm="1">
        <f t="array" ref="P272">IFERROR(INDEX(Sheet4!$2:$1605,MATCH(ChiTietKQKD[[#This Row],[Mã CP]],Sheet4!$B$2:$B$1605,0),_xlfn.XMATCH("*Tăng trưởng lợi nhuận sau thuế (YoY) (6M)*",Sheet4!$1:$1,2)),"")</f>
        <v>0.67320000000000002</v>
      </c>
      <c r="Q272" s="10" cm="1">
        <f t="array" ref="Q272">IFERROR(INDEX(Sheet4!$2:$1605,MATCH(ChiTietKQKD[[#This Row],[Mã CP]],Sheet4!$B$2:$B$1605,0),_xlfn.XMATCH("*Tăng trưởng doanh thu thuần (QoQ)*",Sheet4!$1:$1,2)),"")</f>
        <v>9.98E-2</v>
      </c>
      <c r="R272" s="10" cm="1">
        <f t="array" ref="R272">IFERROR(INDEX(Sheet4!$2:$1605,MATCH(ChiTietKQKD[[#This Row],[Mã CP]],Sheet4!$B$2:$B$1605,0),_xlfn.XMATCH("*Tăng trưởng lợi nhuận sau thuế (QoQ)*",Sheet4!$1:$1,2)),"")</f>
        <v>0.1711</v>
      </c>
    </row>
    <row r="273" spans="1:18" x14ac:dyDescent="0.25">
      <c r="A273" s="7">
        <f>Sheet4!A252</f>
        <v>251</v>
      </c>
      <c r="B273" t="str">
        <f>Sheet4!B252</f>
        <v>NO1</v>
      </c>
      <c r="C273" t="str">
        <f>Sheet4!C251</f>
        <v>Đá Núi Nhỏ</v>
      </c>
      <c r="D273" t="str">
        <f>Sheet4!D252</f>
        <v>HOSE</v>
      </c>
      <c r="E273" s="7">
        <f>Sheet4!AH252/1000000000</f>
        <v>122.50699404</v>
      </c>
      <c r="F273" t="str">
        <f>Sheet4!E252</f>
        <v>Công nghiệp</v>
      </c>
      <c r="G273" t="str">
        <f>Sheet4!F252</f>
        <v>Hàng &amp; Dịch vụ Công nghiệp</v>
      </c>
      <c r="H273" t="str">
        <f>Sheet4!G252</f>
        <v>Máy công nghiệp</v>
      </c>
      <c r="I273" s="9" t="str" cm="1">
        <f t="array" ref="I27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73" s="9" t="str" cm="1">
        <f t="array" ref="J27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73" s="10" cm="1">
        <f t="array" ref="K27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73" s="10" cm="1">
        <f t="array" ref="L27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73" s="9" t="str" cm="1">
        <f t="array" ref="M27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73" s="9" t="str" cm="1">
        <f t="array" ref="N27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73" s="10" cm="1">
        <f t="array" ref="O273">IFERROR(INDEX(Sheet4!$2:$1605,MATCH(ChiTietKQKD[[#This Row],[Mã CP]],Sheet4!$B$2:$B$1605,0),_xlfn.XMATCH("*Tăng trưởng lợi nhuận sau thuế (YoY) (Quý*",Sheet4!$1:$1,2)),"")</f>
        <v>0</v>
      </c>
      <c r="P273" s="10" cm="1">
        <f t="array" ref="P273">IFERROR(INDEX(Sheet4!$2:$1605,MATCH(ChiTietKQKD[[#This Row],[Mã CP]],Sheet4!$B$2:$B$1605,0),_xlfn.XMATCH("*Tăng trưởng lợi nhuận sau thuế (YoY) (6M)*",Sheet4!$1:$1,2)),"")</f>
        <v>0</v>
      </c>
      <c r="Q273" s="10" cm="1">
        <f t="array" ref="Q273">IFERROR(INDEX(Sheet4!$2:$1605,MATCH(ChiTietKQKD[[#This Row],[Mã CP]],Sheet4!$B$2:$B$1605,0),_xlfn.XMATCH("*Tăng trưởng doanh thu thuần (QoQ)*",Sheet4!$1:$1,2)),"")</f>
        <v>0</v>
      </c>
      <c r="R273" s="10" cm="1">
        <f t="array" ref="R273">IFERROR(INDEX(Sheet4!$2:$1605,MATCH(ChiTietKQKD[[#This Row],[Mã CP]],Sheet4!$B$2:$B$1605,0),_xlfn.XMATCH("*Tăng trưởng lợi nhuận sau thuế (QoQ)*",Sheet4!$1:$1,2)),"")</f>
        <v>0</v>
      </c>
    </row>
    <row r="274" spans="1:18" x14ac:dyDescent="0.25">
      <c r="A274" s="7">
        <f>Sheet4!A253</f>
        <v>252</v>
      </c>
      <c r="B274" t="str">
        <f>Sheet4!B253</f>
        <v>NSC</v>
      </c>
      <c r="C274" t="str">
        <f>Sheet4!C252</f>
        <v>Tâp đoàn 911</v>
      </c>
      <c r="D274" t="str">
        <f>Sheet4!D253</f>
        <v>HOSE</v>
      </c>
      <c r="E274" s="7">
        <f>Sheet4!AH253/1000000000</f>
        <v>1230.21612</v>
      </c>
      <c r="F274" t="str">
        <f>Sheet4!E253</f>
        <v>Hàng Tiêu dùng</v>
      </c>
      <c r="G274" t="str">
        <f>Sheet4!F253</f>
        <v>Thực phẩm và đồ uống</v>
      </c>
      <c r="H274" t="str">
        <f>Sheet4!G253</f>
        <v>Nuôi trồng nông &amp; hải sản</v>
      </c>
      <c r="I274" s="9" t="str" cm="1">
        <f t="array" ref="I27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74" s="9" t="str" cm="1">
        <f t="array" ref="J27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74" s="10" cm="1">
        <f t="array" ref="K27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74" s="10" cm="1">
        <f t="array" ref="L27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74" s="9" t="str" cm="1">
        <f t="array" ref="M27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74" s="9" t="str" cm="1">
        <f t="array" ref="N27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74" s="10" cm="1">
        <f t="array" ref="O274">IFERROR(INDEX(Sheet4!$2:$1605,MATCH(ChiTietKQKD[[#This Row],[Mã CP]],Sheet4!$B$2:$B$1605,0),_xlfn.XMATCH("*Tăng trưởng lợi nhuận sau thuế (YoY) (Quý*",Sheet4!$1:$1,2)),"")</f>
        <v>0</v>
      </c>
      <c r="P274" s="10" cm="1">
        <f t="array" ref="P274">IFERROR(INDEX(Sheet4!$2:$1605,MATCH(ChiTietKQKD[[#This Row],[Mã CP]],Sheet4!$B$2:$B$1605,0),_xlfn.XMATCH("*Tăng trưởng lợi nhuận sau thuế (YoY) (6M)*",Sheet4!$1:$1,2)),"")</f>
        <v>0</v>
      </c>
      <c r="Q274" s="10" cm="1">
        <f t="array" ref="Q274">IFERROR(INDEX(Sheet4!$2:$1605,MATCH(ChiTietKQKD[[#This Row],[Mã CP]],Sheet4!$B$2:$B$1605,0),_xlfn.XMATCH("*Tăng trưởng doanh thu thuần (QoQ)*",Sheet4!$1:$1,2)),"")</f>
        <v>0</v>
      </c>
      <c r="R274" s="10" cm="1">
        <f t="array" ref="R274">IFERROR(INDEX(Sheet4!$2:$1605,MATCH(ChiTietKQKD[[#This Row],[Mã CP]],Sheet4!$B$2:$B$1605,0),_xlfn.XMATCH("*Tăng trưởng lợi nhuận sau thuế (QoQ)*",Sheet4!$1:$1,2)),"")</f>
        <v>0</v>
      </c>
    </row>
    <row r="275" spans="1:18" x14ac:dyDescent="0.25">
      <c r="A275" s="7">
        <f>Sheet4!A254</f>
        <v>253</v>
      </c>
      <c r="B275" t="str">
        <f>Sheet4!B254</f>
        <v>NT2</v>
      </c>
      <c r="C275" t="str">
        <f>Sheet4!C253</f>
        <v>Tập đoàn Giống cây trồng Việt Nam</v>
      </c>
      <c r="D275" t="str">
        <f>Sheet4!D254</f>
        <v>HOSE</v>
      </c>
      <c r="E275" s="7">
        <f>Sheet4!AH254/1000000000</f>
        <v>6102.9718148000002</v>
      </c>
      <c r="F275" t="str">
        <f>Sheet4!E254</f>
        <v>Tiện ích Cộng đồng</v>
      </c>
      <c r="G275" t="str">
        <f>Sheet4!F254</f>
        <v>Điện, nước &amp; xăng dầu khí đốt</v>
      </c>
      <c r="H275" t="str">
        <f>Sheet4!G254</f>
        <v>Sản xuất &amp; Phân phối Điện</v>
      </c>
      <c r="I275" s="9" cm="1">
        <f t="array" ref="I27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2824.5448364839999</v>
      </c>
      <c r="J275" s="9" cm="1">
        <f t="array" ref="J27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4996.2031944760001</v>
      </c>
      <c r="K275" s="10" cm="1">
        <f t="array" ref="K27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0.35709999999999997</v>
      </c>
      <c r="L275" s="10" cm="1">
        <f t="array" ref="L27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0.42420000000000002</v>
      </c>
      <c r="M275" s="9" cm="1">
        <f t="array" ref="M275">_xlfn.LET(_xlpm.val,IFERROR(INDEX(Sheet4!$2:$1605,MATCH(ChiTietKQKD[[#This Row],[Mã CP]],Sheet4!$B$2:$B$1605,0),_xlfn.XMATCH("*Lợi nhuận sau thuế*Q2*2026*",Sheet4!$1:$1,2)),0),IF(OR(_xlpm.val="",_xlpm.val=0),"",_xlpm.val/1000000000))</f>
        <v>402.99778147500001</v>
      </c>
      <c r="N275" s="9" cm="1">
        <f t="array" ref="N275">_xlfn.LET(_xlpm.val,IFERROR(INDEX(Sheet4!$2:$1605,MATCH(ChiTietKQKD[[#This Row],[Mã CP]],Sheet4!$B$2:$B$1605,0),_xlfn.XMATCH("*Lợi nhuận sau thuế*6 tháng*2026*",Sheet4!$1:$1,2)),0),IF(OR(_xlpm.val="",_xlpm.val=0),"",_xlpm.val/1000000000))</f>
        <v>582.97581549699999</v>
      </c>
      <c r="O275" s="10" cm="1">
        <f t="array" ref="O275">IFERROR(INDEX(Sheet4!$2:$1605,MATCH(ChiTietKQKD[[#This Row],[Mã CP]],Sheet4!$B$2:$B$1605,0),_xlfn.XMATCH("*Tăng trưởng lợi nhuận sau thuế (YoY) (Quý*",Sheet4!$1:$1,2)),"")</f>
        <v>0.23530000000000001</v>
      </c>
      <c r="P275" s="10" cm="1">
        <f t="array" ref="P275">IFERROR(INDEX(Sheet4!$2:$1605,MATCH(ChiTietKQKD[[#This Row],[Mã CP]],Sheet4!$B$2:$B$1605,0),_xlfn.XMATCH("*Tăng trưởng lợi nhuận sau thuế (YoY) (6M)*",Sheet4!$1:$1,2)),"")</f>
        <v>0.60509999999999997</v>
      </c>
      <c r="Q275" s="10" cm="1">
        <f t="array" ref="Q275">IFERROR(INDEX(Sheet4!$2:$1605,MATCH(ChiTietKQKD[[#This Row],[Mã CP]],Sheet4!$B$2:$B$1605,0),_xlfn.XMATCH("*Tăng trưởng doanh thu thuần (QoQ)*",Sheet4!$1:$1,2)),"")</f>
        <v>0.30059999999999998</v>
      </c>
      <c r="R275" s="10" cm="1">
        <f t="array" ref="R275">IFERROR(INDEX(Sheet4!$2:$1605,MATCH(ChiTietKQKD[[#This Row],[Mã CP]],Sheet4!$B$2:$B$1605,0),_xlfn.XMATCH("*Tăng trưởng lợi nhuận sau thuế (QoQ)*",Sheet4!$1:$1,2)),"")</f>
        <v>1.2391000000000001</v>
      </c>
    </row>
    <row r="276" spans="1:18" x14ac:dyDescent="0.25">
      <c r="A276" s="7">
        <f>Sheet4!A255</f>
        <v>254</v>
      </c>
      <c r="B276" t="str">
        <f>Sheet4!B255</f>
        <v>NTC</v>
      </c>
      <c r="C276" t="str">
        <f>Sheet4!C254</f>
        <v>Điện lực Nhơn Trạch 2</v>
      </c>
      <c r="D276" t="str">
        <f>Sheet4!D255</f>
        <v>HOSE</v>
      </c>
      <c r="E276" s="7">
        <f>Sheet4!AH255/1000000000</f>
        <v>3112.7974060000001</v>
      </c>
      <c r="F276" t="str">
        <f>Sheet4!E255</f>
        <v>Tài chính</v>
      </c>
      <c r="G276" t="str">
        <f>Sheet4!F255</f>
        <v>Bất động sản</v>
      </c>
      <c r="H276" t="str">
        <f>Sheet4!G255</f>
        <v>Bất động sản</v>
      </c>
      <c r="I276" s="9" cm="1">
        <f t="array" ref="I27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81.774101630999994</v>
      </c>
      <c r="J276" s="9" cm="1">
        <f t="array" ref="J27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163.55698598800001</v>
      </c>
      <c r="K276" s="10" cm="1">
        <f t="array" ref="K27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-0.42909999999999998</v>
      </c>
      <c r="L276" s="10" cm="1">
        <f t="array" ref="L27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-0.4103</v>
      </c>
      <c r="M276" s="9" cm="1">
        <f t="array" ref="M276">_xlfn.LET(_xlpm.val,IFERROR(INDEX(Sheet4!$2:$1605,MATCH(ChiTietKQKD[[#This Row],[Mã CP]],Sheet4!$B$2:$B$1605,0),_xlfn.XMATCH("*Lợi nhuận sau thuế*Q2*2026*",Sheet4!$1:$1,2)),0),IF(OR(_xlpm.val="",_xlpm.val=0),"",_xlpm.val/1000000000))</f>
        <v>131.92975664400001</v>
      </c>
      <c r="N276" s="9" cm="1">
        <f t="array" ref="N276">_xlfn.LET(_xlpm.val,IFERROR(INDEX(Sheet4!$2:$1605,MATCH(ChiTietKQKD[[#This Row],[Mã CP]],Sheet4!$B$2:$B$1605,0),_xlfn.XMATCH("*Lợi nhuận sau thuế*6 tháng*2026*",Sheet4!$1:$1,2)),0),IF(OR(_xlpm.val="",_xlpm.val=0),"",_xlpm.val/1000000000))</f>
        <v>171.06724021700001</v>
      </c>
      <c r="O276" s="10" cm="1">
        <f t="array" ref="O276">IFERROR(INDEX(Sheet4!$2:$1605,MATCH(ChiTietKQKD[[#This Row],[Mã CP]],Sheet4!$B$2:$B$1605,0),_xlfn.XMATCH("*Tăng trưởng lợi nhuận sau thuế (YoY) (Quý*",Sheet4!$1:$1,2)),"")</f>
        <v>0.32390000000000002</v>
      </c>
      <c r="P276" s="10" cm="1">
        <f t="array" ref="P276">IFERROR(INDEX(Sheet4!$2:$1605,MATCH(ChiTietKQKD[[#This Row],[Mã CP]],Sheet4!$B$2:$B$1605,0),_xlfn.XMATCH("*Tăng trưởng lợi nhuận sau thuế (YoY) (6M)*",Sheet4!$1:$1,2)),"")</f>
        <v>1.43E-2</v>
      </c>
      <c r="Q276" s="10" cm="1">
        <f t="array" ref="Q276">IFERROR(INDEX(Sheet4!$2:$1605,MATCH(ChiTietKQKD[[#This Row],[Mã CP]],Sheet4!$B$2:$B$1605,0),_xlfn.XMATCH("*Tăng trưởng doanh thu thuần (QoQ)*",Sheet4!$1:$1,2)),"")</f>
        <v>-1E-4</v>
      </c>
      <c r="R276" s="10" cm="1">
        <f t="array" ref="R276">IFERROR(INDEX(Sheet4!$2:$1605,MATCH(ChiTietKQKD[[#This Row],[Mã CP]],Sheet4!$B$2:$B$1605,0),_xlfn.XMATCH("*Tăng trưởng lợi nhuận sau thuế (QoQ)*",Sheet4!$1:$1,2)),"")</f>
        <v>2.3708999999999998</v>
      </c>
    </row>
    <row r="277" spans="1:18" x14ac:dyDescent="0.25">
      <c r="A277" s="7">
        <f>Sheet4!A256</f>
        <v>255</v>
      </c>
      <c r="B277" t="str">
        <f>Sheet4!B256</f>
        <v>NTL</v>
      </c>
      <c r="C277" t="str">
        <f>Sheet4!C255</f>
        <v>KCN Nam Tân Uyên</v>
      </c>
      <c r="D277" t="str">
        <f>Sheet4!D256</f>
        <v>HOSE</v>
      </c>
      <c r="E277" s="7">
        <f>Sheet4!AH256/1000000000</f>
        <v>1774.8075449999999</v>
      </c>
      <c r="F277" t="str">
        <f>Sheet4!E256</f>
        <v>Tài chính</v>
      </c>
      <c r="G277" t="str">
        <f>Sheet4!F256</f>
        <v>Bất động sản</v>
      </c>
      <c r="H277" t="str">
        <f>Sheet4!G256</f>
        <v>Bất động sản</v>
      </c>
      <c r="I277" s="9" t="str" cm="1">
        <f t="array" ref="I27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77" s="9" t="str" cm="1">
        <f t="array" ref="J27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77" s="10" cm="1">
        <f t="array" ref="K27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77" s="10" cm="1">
        <f t="array" ref="L27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77" s="9" t="str" cm="1">
        <f t="array" ref="M27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77" s="9" t="str" cm="1">
        <f t="array" ref="N27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77" s="10" cm="1">
        <f t="array" ref="O277">IFERROR(INDEX(Sheet4!$2:$1605,MATCH(ChiTietKQKD[[#This Row],[Mã CP]],Sheet4!$B$2:$B$1605,0),_xlfn.XMATCH("*Tăng trưởng lợi nhuận sau thuế (YoY) (Quý*",Sheet4!$1:$1,2)),"")</f>
        <v>0</v>
      </c>
      <c r="P277" s="10" cm="1">
        <f t="array" ref="P277">IFERROR(INDEX(Sheet4!$2:$1605,MATCH(ChiTietKQKD[[#This Row],[Mã CP]],Sheet4!$B$2:$B$1605,0),_xlfn.XMATCH("*Tăng trưởng lợi nhuận sau thuế (YoY) (6M)*",Sheet4!$1:$1,2)),"")</f>
        <v>0</v>
      </c>
      <c r="Q277" s="10" cm="1">
        <f t="array" ref="Q277">IFERROR(INDEX(Sheet4!$2:$1605,MATCH(ChiTietKQKD[[#This Row],[Mã CP]],Sheet4!$B$2:$B$1605,0),_xlfn.XMATCH("*Tăng trưởng doanh thu thuần (QoQ)*",Sheet4!$1:$1,2)),"")</f>
        <v>0</v>
      </c>
      <c r="R277" s="10" cm="1">
        <f t="array" ref="R277">IFERROR(INDEX(Sheet4!$2:$1605,MATCH(ChiTietKQKD[[#This Row],[Mã CP]],Sheet4!$B$2:$B$1605,0),_xlfn.XMATCH("*Tăng trưởng lợi nhuận sau thuế (QoQ)*",Sheet4!$1:$1,2)),"")</f>
        <v>0</v>
      </c>
    </row>
    <row r="278" spans="1:18" x14ac:dyDescent="0.25">
      <c r="A278" s="7">
        <f>Sheet4!A257</f>
        <v>256</v>
      </c>
      <c r="B278" t="str">
        <f>Sheet4!B257</f>
        <v>NVL</v>
      </c>
      <c r="C278" t="str">
        <f>Sheet4!C256</f>
        <v>Đô thị Từ Liêm</v>
      </c>
      <c r="D278" t="str">
        <f>Sheet4!D257</f>
        <v>HOSE</v>
      </c>
      <c r="E278" s="7">
        <f>Sheet4!AH257/1000000000</f>
        <v>30266.056447200001</v>
      </c>
      <c r="F278" t="str">
        <f>Sheet4!E257</f>
        <v>Tài chính</v>
      </c>
      <c r="G278" t="str">
        <f>Sheet4!F257</f>
        <v>Bất động sản</v>
      </c>
      <c r="H278" t="str">
        <f>Sheet4!G257</f>
        <v>Bất động sản</v>
      </c>
      <c r="I278" s="9" t="str" cm="1">
        <f t="array" ref="I27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78" s="9" t="str" cm="1">
        <f t="array" ref="J27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78" s="10" cm="1">
        <f t="array" ref="K27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78" s="10" cm="1">
        <f t="array" ref="L27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78" s="9" t="str" cm="1">
        <f t="array" ref="M27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78" s="9" t="str" cm="1">
        <f t="array" ref="N27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78" s="10" cm="1">
        <f t="array" ref="O278">IFERROR(INDEX(Sheet4!$2:$1605,MATCH(ChiTietKQKD[[#This Row],[Mã CP]],Sheet4!$B$2:$B$1605,0),_xlfn.XMATCH("*Tăng trưởng lợi nhuận sau thuế (YoY) (Quý*",Sheet4!$1:$1,2)),"")</f>
        <v>0</v>
      </c>
      <c r="P278" s="10" cm="1">
        <f t="array" ref="P278">IFERROR(INDEX(Sheet4!$2:$1605,MATCH(ChiTietKQKD[[#This Row],[Mã CP]],Sheet4!$B$2:$B$1605,0),_xlfn.XMATCH("*Tăng trưởng lợi nhuận sau thuế (YoY) (6M)*",Sheet4!$1:$1,2)),"")</f>
        <v>0</v>
      </c>
      <c r="Q278" s="10" cm="1">
        <f t="array" ref="Q278">IFERROR(INDEX(Sheet4!$2:$1605,MATCH(ChiTietKQKD[[#This Row],[Mã CP]],Sheet4!$B$2:$B$1605,0),_xlfn.XMATCH("*Tăng trưởng doanh thu thuần (QoQ)*",Sheet4!$1:$1,2)),"")</f>
        <v>0</v>
      </c>
      <c r="R278" s="10" cm="1">
        <f t="array" ref="R278">IFERROR(INDEX(Sheet4!$2:$1605,MATCH(ChiTietKQKD[[#This Row],[Mã CP]],Sheet4!$B$2:$B$1605,0),_xlfn.XMATCH("*Tăng trưởng lợi nhuận sau thuế (QoQ)*",Sheet4!$1:$1,2)),"")</f>
        <v>0</v>
      </c>
    </row>
    <row r="279" spans="1:18" x14ac:dyDescent="0.25">
      <c r="A279" s="7">
        <f>Sheet4!A258</f>
        <v>257</v>
      </c>
      <c r="B279" t="str">
        <f>Sheet4!B258</f>
        <v>NVT</v>
      </c>
      <c r="C279" t="str">
        <f>Sheet4!C257</f>
        <v>Novaland</v>
      </c>
      <c r="D279" t="str">
        <f>Sheet4!D258</f>
        <v>HOSE</v>
      </c>
      <c r="E279" s="7">
        <f>Sheet4!AH258/1000000000</f>
        <v>674.22500000000002</v>
      </c>
      <c r="F279" t="str">
        <f>Sheet4!E258</f>
        <v>Tài chính</v>
      </c>
      <c r="G279" t="str">
        <f>Sheet4!F258</f>
        <v>Bất động sản</v>
      </c>
      <c r="H279" t="str">
        <f>Sheet4!G258</f>
        <v>Bất động sản</v>
      </c>
      <c r="I279" s="9" t="str" cm="1">
        <f t="array" ref="I27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79" s="9" t="str" cm="1">
        <f t="array" ref="J27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79" s="10" cm="1">
        <f t="array" ref="K27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79" s="10" cm="1">
        <f t="array" ref="L27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79" s="9" t="str" cm="1">
        <f t="array" ref="M27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79" s="9" t="str" cm="1">
        <f t="array" ref="N27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79" s="10" cm="1">
        <f t="array" ref="O279">IFERROR(INDEX(Sheet4!$2:$1605,MATCH(ChiTietKQKD[[#This Row],[Mã CP]],Sheet4!$B$2:$B$1605,0),_xlfn.XMATCH("*Tăng trưởng lợi nhuận sau thuế (YoY) (Quý*",Sheet4!$1:$1,2)),"")</f>
        <v>0</v>
      </c>
      <c r="P279" s="10" cm="1">
        <f t="array" ref="P279">IFERROR(INDEX(Sheet4!$2:$1605,MATCH(ChiTietKQKD[[#This Row],[Mã CP]],Sheet4!$B$2:$B$1605,0),_xlfn.XMATCH("*Tăng trưởng lợi nhuận sau thuế (YoY) (6M)*",Sheet4!$1:$1,2)),"")</f>
        <v>0</v>
      </c>
      <c r="Q279" s="10" cm="1">
        <f t="array" ref="Q279">IFERROR(INDEX(Sheet4!$2:$1605,MATCH(ChiTietKQKD[[#This Row],[Mã CP]],Sheet4!$B$2:$B$1605,0),_xlfn.XMATCH("*Tăng trưởng doanh thu thuần (QoQ)*",Sheet4!$1:$1,2)),"")</f>
        <v>0</v>
      </c>
      <c r="R279" s="10" cm="1">
        <f t="array" ref="R279">IFERROR(INDEX(Sheet4!$2:$1605,MATCH(ChiTietKQKD[[#This Row],[Mã CP]],Sheet4!$B$2:$B$1605,0),_xlfn.XMATCH("*Tăng trưởng lợi nhuận sau thuế (QoQ)*",Sheet4!$1:$1,2)),"")</f>
        <v>0</v>
      </c>
    </row>
    <row r="280" spans="1:18" x14ac:dyDescent="0.25">
      <c r="A280" s="7">
        <f>Sheet4!A259</f>
        <v>258</v>
      </c>
      <c r="B280" t="str">
        <f>Sheet4!B259</f>
        <v>OCB</v>
      </c>
      <c r="C280" t="str">
        <f>Sheet4!C258</f>
        <v>Ninh Vân Bay</v>
      </c>
      <c r="D280" t="str">
        <f>Sheet4!D259</f>
        <v>HOSE</v>
      </c>
      <c r="E280" s="7">
        <f>Sheet4!AH259/1000000000</f>
        <v>31390.728791500002</v>
      </c>
      <c r="F280" t="str">
        <f>Sheet4!E259</f>
        <v>Ngân hàng</v>
      </c>
      <c r="G280" t="str">
        <f>Sheet4!F259</f>
        <v>Ngân hàng</v>
      </c>
      <c r="H280" t="str">
        <f>Sheet4!G259</f>
        <v>Ngân hàng</v>
      </c>
      <c r="I280" s="9" t="str" cm="1">
        <f t="array" ref="I28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80" s="9" t="str" cm="1">
        <f t="array" ref="J28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80" s="10" t="str" cm="1">
        <f t="array" ref="K28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280" s="10" t="str" cm="1">
        <f t="array" ref="L28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280" s="9" t="str" cm="1">
        <f t="array" ref="M28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80" s="9" t="str" cm="1">
        <f t="array" ref="N28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80" s="10" cm="1">
        <f t="array" ref="O280">IFERROR(INDEX(Sheet4!$2:$1605,MATCH(ChiTietKQKD[[#This Row],[Mã CP]],Sheet4!$B$2:$B$1605,0),_xlfn.XMATCH("*Tăng trưởng lợi nhuận sau thuế (YoY) (Quý*",Sheet4!$1:$1,2)),"")</f>
        <v>0</v>
      </c>
      <c r="P280" s="10" cm="1">
        <f t="array" ref="P280">IFERROR(INDEX(Sheet4!$2:$1605,MATCH(ChiTietKQKD[[#This Row],[Mã CP]],Sheet4!$B$2:$B$1605,0),_xlfn.XMATCH("*Tăng trưởng lợi nhuận sau thuế (YoY) (6M)*",Sheet4!$1:$1,2)),"")</f>
        <v>0</v>
      </c>
      <c r="Q280" s="10" cm="1">
        <f t="array" ref="Q280">IFERROR(INDEX(Sheet4!$2:$1605,MATCH(ChiTietKQKD[[#This Row],[Mã CP]],Sheet4!$B$2:$B$1605,0),_xlfn.XMATCH("*Tăng trưởng doanh thu thuần (QoQ)*",Sheet4!$1:$1,2)),"")</f>
        <v>0</v>
      </c>
      <c r="R280" s="10" cm="1">
        <f t="array" ref="R280">IFERROR(INDEX(Sheet4!$2:$1605,MATCH(ChiTietKQKD[[#This Row],[Mã CP]],Sheet4!$B$2:$B$1605,0),_xlfn.XMATCH("*Tăng trưởng lợi nhuận sau thuế (QoQ)*",Sheet4!$1:$1,2)),"")</f>
        <v>0</v>
      </c>
    </row>
    <row r="281" spans="1:18" x14ac:dyDescent="0.25">
      <c r="A281" s="7">
        <f>Sheet4!A260</f>
        <v>259</v>
      </c>
      <c r="B281" t="str">
        <f>Sheet4!B260</f>
        <v>OGC</v>
      </c>
      <c r="C281" t="str">
        <f>Sheet4!C259</f>
        <v>Ngân hàng Phương Đông</v>
      </c>
      <c r="D281" t="str">
        <f>Sheet4!D260</f>
        <v>HOSE</v>
      </c>
      <c r="E281" s="7">
        <f>Sheet4!AH260/1000000000</f>
        <v>644.99999785</v>
      </c>
      <c r="F281" t="str">
        <f>Sheet4!E260</f>
        <v>Tài chính</v>
      </c>
      <c r="G281" t="str">
        <f>Sheet4!F260</f>
        <v>Dịch vụ tài chính</v>
      </c>
      <c r="H281" t="str">
        <f>Sheet4!G260</f>
        <v>Tài chính đặc biệt</v>
      </c>
      <c r="I281" s="9" t="str" cm="1">
        <f t="array" ref="I28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81" s="9" t="str" cm="1">
        <f t="array" ref="J28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81" s="10" cm="1">
        <f t="array" ref="K28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81" s="10" cm="1">
        <f t="array" ref="L28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81" s="9" t="str" cm="1">
        <f t="array" ref="M28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81" s="9" t="str" cm="1">
        <f t="array" ref="N28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81" s="10" cm="1">
        <f t="array" ref="O281">IFERROR(INDEX(Sheet4!$2:$1605,MATCH(ChiTietKQKD[[#This Row],[Mã CP]],Sheet4!$B$2:$B$1605,0),_xlfn.XMATCH("*Tăng trưởng lợi nhuận sau thuế (YoY) (Quý*",Sheet4!$1:$1,2)),"")</f>
        <v>0</v>
      </c>
      <c r="P281" s="10" cm="1">
        <f t="array" ref="P281">IFERROR(INDEX(Sheet4!$2:$1605,MATCH(ChiTietKQKD[[#This Row],[Mã CP]],Sheet4!$B$2:$B$1605,0),_xlfn.XMATCH("*Tăng trưởng lợi nhuận sau thuế (YoY) (6M)*",Sheet4!$1:$1,2)),"")</f>
        <v>0</v>
      </c>
      <c r="Q281" s="10" cm="1">
        <f t="array" ref="Q281">IFERROR(INDEX(Sheet4!$2:$1605,MATCH(ChiTietKQKD[[#This Row],[Mã CP]],Sheet4!$B$2:$B$1605,0),_xlfn.XMATCH("*Tăng trưởng doanh thu thuần (QoQ)*",Sheet4!$1:$1,2)),"")</f>
        <v>0</v>
      </c>
      <c r="R281" s="10" cm="1">
        <f t="array" ref="R281">IFERROR(INDEX(Sheet4!$2:$1605,MATCH(ChiTietKQKD[[#This Row],[Mã CP]],Sheet4!$B$2:$B$1605,0),_xlfn.XMATCH("*Tăng trưởng lợi nhuận sau thuế (QoQ)*",Sheet4!$1:$1,2)),"")</f>
        <v>0</v>
      </c>
    </row>
    <row r="282" spans="1:18" x14ac:dyDescent="0.25">
      <c r="A282" s="7">
        <f>Sheet4!A261</f>
        <v>260</v>
      </c>
      <c r="B282" t="str">
        <f>Sheet4!B261</f>
        <v>OPC</v>
      </c>
      <c r="C282" t="str">
        <f>Sheet4!C260</f>
        <v>Tập đoàn Đại Dương</v>
      </c>
      <c r="D282" t="str">
        <f>Sheet4!D261</f>
        <v>HOSE</v>
      </c>
      <c r="E282" s="7">
        <f>Sheet4!AH261/1000000000</f>
        <v>1573.730403</v>
      </c>
      <c r="F282" t="str">
        <f>Sheet4!E261</f>
        <v>Dược phẩm và Y tế</v>
      </c>
      <c r="G282" t="str">
        <f>Sheet4!F261</f>
        <v>Y tế</v>
      </c>
      <c r="H282" t="str">
        <f>Sheet4!G261</f>
        <v>Dược phẩm</v>
      </c>
      <c r="I282" s="9" t="str" cm="1">
        <f t="array" ref="I28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82" s="9" t="str" cm="1">
        <f t="array" ref="J28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82" s="10" cm="1">
        <f t="array" ref="K28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82" s="10" cm="1">
        <f t="array" ref="L28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82" s="9" t="str" cm="1">
        <f t="array" ref="M28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82" s="9" t="str" cm="1">
        <f t="array" ref="N28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82" s="10" cm="1">
        <f t="array" ref="O282">IFERROR(INDEX(Sheet4!$2:$1605,MATCH(ChiTietKQKD[[#This Row],[Mã CP]],Sheet4!$B$2:$B$1605,0),_xlfn.XMATCH("*Tăng trưởng lợi nhuận sau thuế (YoY) (Quý*",Sheet4!$1:$1,2)),"")</f>
        <v>0</v>
      </c>
      <c r="P282" s="10" cm="1">
        <f t="array" ref="P282">IFERROR(INDEX(Sheet4!$2:$1605,MATCH(ChiTietKQKD[[#This Row],[Mã CP]],Sheet4!$B$2:$B$1605,0),_xlfn.XMATCH("*Tăng trưởng lợi nhuận sau thuế (YoY) (6M)*",Sheet4!$1:$1,2)),"")</f>
        <v>0</v>
      </c>
      <c r="Q282" s="10" cm="1">
        <f t="array" ref="Q282">IFERROR(INDEX(Sheet4!$2:$1605,MATCH(ChiTietKQKD[[#This Row],[Mã CP]],Sheet4!$B$2:$B$1605,0),_xlfn.XMATCH("*Tăng trưởng doanh thu thuần (QoQ)*",Sheet4!$1:$1,2)),"")</f>
        <v>0</v>
      </c>
      <c r="R282" s="10" cm="1">
        <f t="array" ref="R282">IFERROR(INDEX(Sheet4!$2:$1605,MATCH(ChiTietKQKD[[#This Row],[Mã CP]],Sheet4!$B$2:$B$1605,0),_xlfn.XMATCH("*Tăng trưởng lợi nhuận sau thuế (QoQ)*",Sheet4!$1:$1,2)),"")</f>
        <v>0</v>
      </c>
    </row>
    <row r="283" spans="1:18" x14ac:dyDescent="0.25">
      <c r="A283" s="7">
        <f>Sheet4!A262</f>
        <v>261</v>
      </c>
      <c r="B283" t="str">
        <f>Sheet4!B262</f>
        <v>ORS</v>
      </c>
      <c r="C283" t="str">
        <f>Sheet4!C261</f>
        <v>Dược phẩm OPC</v>
      </c>
      <c r="D283" t="str">
        <f>Sheet4!D262</f>
        <v>HOSE</v>
      </c>
      <c r="E283" s="7">
        <f>Sheet4!AH262/1000000000</f>
        <v>8360.6741136000001</v>
      </c>
      <c r="F283" t="str">
        <f>Sheet4!E262</f>
        <v>Tài chính</v>
      </c>
      <c r="G283" t="str">
        <f>Sheet4!F262</f>
        <v>Dịch vụ tài chính</v>
      </c>
      <c r="H283" t="str">
        <f>Sheet4!G262</f>
        <v>Môi giới chứng khoán</v>
      </c>
      <c r="I283" s="9" cm="1">
        <f t="array" ref="I28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365.68802007800002</v>
      </c>
      <c r="J283" s="9" cm="1">
        <f t="array" ref="J28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636.22270044200002</v>
      </c>
      <c r="K283" s="10" cm="1">
        <f t="array" ref="K28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0.25629999999999997</v>
      </c>
      <c r="L283" s="10" cm="1">
        <f t="array" ref="L28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-0.13780000000000001</v>
      </c>
      <c r="M283" s="9" cm="1">
        <f t="array" ref="M283">_xlfn.LET(_xlpm.val,IFERROR(INDEX(Sheet4!$2:$1605,MATCH(ChiTietKQKD[[#This Row],[Mã CP]],Sheet4!$B$2:$B$1605,0),_xlfn.XMATCH("*Lợi nhuận sau thuế*Q2*2026*",Sheet4!$1:$1,2)),0),IF(OR(_xlpm.val="",_xlpm.val=0),"",_xlpm.val/1000000000))</f>
        <v>129.43935148200001</v>
      </c>
      <c r="N283" s="9" cm="1">
        <f t="array" ref="N283">_xlfn.LET(_xlpm.val,IFERROR(INDEX(Sheet4!$2:$1605,MATCH(ChiTietKQKD[[#This Row],[Mã CP]],Sheet4!$B$2:$B$1605,0),_xlfn.XMATCH("*Lợi nhuận sau thuế*6 tháng*2026*",Sheet4!$1:$1,2)),0),IF(OR(_xlpm.val="",_xlpm.val=0),"",_xlpm.val/1000000000))</f>
        <v>163.17172942600001</v>
      </c>
      <c r="O283" s="10" cm="1">
        <f t="array" ref="O283">IFERROR(INDEX(Sheet4!$2:$1605,MATCH(ChiTietKQKD[[#This Row],[Mã CP]],Sheet4!$B$2:$B$1605,0),_xlfn.XMATCH("*Tăng trưởng lợi nhuận sau thuế (YoY) (Quý*",Sheet4!$1:$1,2)),"")</f>
        <v>2.2265000000000001</v>
      </c>
      <c r="P283" s="10" cm="1">
        <f t="array" ref="P283">IFERROR(INDEX(Sheet4!$2:$1605,MATCH(ChiTietKQKD[[#This Row],[Mã CP]],Sheet4!$B$2:$B$1605,0),_xlfn.XMATCH("*Tăng trưởng lợi nhuận sau thuế (YoY) (6M)*",Sheet4!$1:$1,2)),"")</f>
        <v>2.4479000000000002</v>
      </c>
      <c r="Q283" s="10" cm="1">
        <f t="array" ref="Q283">IFERROR(INDEX(Sheet4!$2:$1605,MATCH(ChiTietKQKD[[#This Row],[Mã CP]],Sheet4!$B$2:$B$1605,0),_xlfn.XMATCH("*Tăng trưởng doanh thu thuần (QoQ)*",Sheet4!$1:$1,2)),"")</f>
        <v>0.35170000000000001</v>
      </c>
      <c r="R283" s="10" cm="1">
        <f t="array" ref="R283">IFERROR(INDEX(Sheet4!$2:$1605,MATCH(ChiTietKQKD[[#This Row],[Mã CP]],Sheet4!$B$2:$B$1605,0),_xlfn.XMATCH("*Tăng trưởng lợi nhuận sau thuế (QoQ)*",Sheet4!$1:$1,2)),"")</f>
        <v>2.8372000000000002</v>
      </c>
    </row>
    <row r="284" spans="1:18" x14ac:dyDescent="0.25">
      <c r="A284" s="7">
        <f>Sheet4!A263</f>
        <v>262</v>
      </c>
      <c r="B284" t="str">
        <f>Sheet4!B263</f>
        <v>PAC</v>
      </c>
      <c r="C284" t="str">
        <f>Sheet4!C262</f>
        <v>Chứng khoán Tiên Phong</v>
      </c>
      <c r="D284" t="str">
        <f>Sheet4!D263</f>
        <v>HOSE</v>
      </c>
      <c r="E284" s="7">
        <f>Sheet4!AH263/1000000000</f>
        <v>1165.4999152</v>
      </c>
      <c r="F284" t="str">
        <f>Sheet4!E263</f>
        <v>Công nghiệp</v>
      </c>
      <c r="G284" t="str">
        <f>Sheet4!F263</f>
        <v>Hàng &amp; Dịch vụ Công nghiệp</v>
      </c>
      <c r="H284" t="str">
        <f>Sheet4!G263</f>
        <v>Hàng điện &amp; điện tử</v>
      </c>
      <c r="I284" s="9" cm="1">
        <f t="array" ref="I28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1007.106027043</v>
      </c>
      <c r="J284" s="9" cm="1">
        <f t="array" ref="J28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1886.3844650250001</v>
      </c>
      <c r="K284" s="10" cm="1">
        <f t="array" ref="K28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0.1114</v>
      </c>
      <c r="L284" s="10" cm="1">
        <f t="array" ref="L28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6.6900000000000001E-2</v>
      </c>
      <c r="M284" s="9" cm="1">
        <f t="array" ref="M284">_xlfn.LET(_xlpm.val,IFERROR(INDEX(Sheet4!$2:$1605,MATCH(ChiTietKQKD[[#This Row],[Mã CP]],Sheet4!$B$2:$B$1605,0),_xlfn.XMATCH("*Lợi nhuận sau thuế*Q2*2026*",Sheet4!$1:$1,2)),0),IF(OR(_xlpm.val="",_xlpm.val=0),"",_xlpm.val/1000000000))</f>
        <v>25.839264575000001</v>
      </c>
      <c r="N284" s="9" cm="1">
        <f t="array" ref="N284">_xlfn.LET(_xlpm.val,IFERROR(INDEX(Sheet4!$2:$1605,MATCH(ChiTietKQKD[[#This Row],[Mã CP]],Sheet4!$B$2:$B$1605,0),_xlfn.XMATCH("*Lợi nhuận sau thuế*6 tháng*2026*",Sheet4!$1:$1,2)),0),IF(OR(_xlpm.val="",_xlpm.val=0),"",_xlpm.val/1000000000))</f>
        <v>47.949854674999997</v>
      </c>
      <c r="O284" s="10" cm="1">
        <f t="array" ref="O284">IFERROR(INDEX(Sheet4!$2:$1605,MATCH(ChiTietKQKD[[#This Row],[Mã CP]],Sheet4!$B$2:$B$1605,0),_xlfn.XMATCH("*Tăng trưởng lợi nhuận sau thuế (YoY) (Quý*",Sheet4!$1:$1,2)),"")</f>
        <v>-0.33950000000000002</v>
      </c>
      <c r="P284" s="10" cm="1">
        <f t="array" ref="P284">IFERROR(INDEX(Sheet4!$2:$1605,MATCH(ChiTietKQKD[[#This Row],[Mã CP]],Sheet4!$B$2:$B$1605,0),_xlfn.XMATCH("*Tăng trưởng lợi nhuận sau thuế (YoY) (6M)*",Sheet4!$1:$1,2)),"")</f>
        <v>-0.29749999999999999</v>
      </c>
      <c r="Q284" s="10" cm="1">
        <f t="array" ref="Q284">IFERROR(INDEX(Sheet4!$2:$1605,MATCH(ChiTietKQKD[[#This Row],[Mã CP]],Sheet4!$B$2:$B$1605,0),_xlfn.XMATCH("*Tăng trưởng doanh thu thuần (QoQ)*",Sheet4!$1:$1,2)),"")</f>
        <v>0.1454</v>
      </c>
      <c r="R284" s="10" cm="1">
        <f t="array" ref="R284">IFERROR(INDEX(Sheet4!$2:$1605,MATCH(ChiTietKQKD[[#This Row],[Mã CP]],Sheet4!$B$2:$B$1605,0),_xlfn.XMATCH("*Tăng trưởng lợi nhuận sau thuế (QoQ)*",Sheet4!$1:$1,2)),"")</f>
        <v>0.1686</v>
      </c>
    </row>
    <row r="285" spans="1:18" x14ac:dyDescent="0.25">
      <c r="A285" s="7">
        <f>Sheet4!A264</f>
        <v>263</v>
      </c>
      <c r="B285" t="str">
        <f>Sheet4!B264</f>
        <v>PAN</v>
      </c>
      <c r="C285" t="str">
        <f>Sheet4!C263</f>
        <v>Pin Ắc quy Miền Nam</v>
      </c>
      <c r="D285" t="str">
        <f>Sheet4!D264</f>
        <v>HOSE</v>
      </c>
      <c r="E285" s="7">
        <f>Sheet4!AH264/1000000000</f>
        <v>5276.6701443000002</v>
      </c>
      <c r="F285" t="str">
        <f>Sheet4!E264</f>
        <v>Hàng Tiêu dùng</v>
      </c>
      <c r="G285" t="str">
        <f>Sheet4!F264</f>
        <v>Thực phẩm và đồ uống</v>
      </c>
      <c r="H285" t="str">
        <f>Sheet4!G264</f>
        <v>Thực phẩm</v>
      </c>
      <c r="I285" s="9" t="str" cm="1">
        <f t="array" ref="I28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85" s="9" t="str" cm="1">
        <f t="array" ref="J28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85" s="10" cm="1">
        <f t="array" ref="K28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85" s="10" cm="1">
        <f t="array" ref="L28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85" s="9" t="str" cm="1">
        <f t="array" ref="M28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85" s="9" t="str" cm="1">
        <f t="array" ref="N28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85" s="10" cm="1">
        <f t="array" ref="O285">IFERROR(INDEX(Sheet4!$2:$1605,MATCH(ChiTietKQKD[[#This Row],[Mã CP]],Sheet4!$B$2:$B$1605,0),_xlfn.XMATCH("*Tăng trưởng lợi nhuận sau thuế (YoY) (Quý*",Sheet4!$1:$1,2)),"")</f>
        <v>0</v>
      </c>
      <c r="P285" s="10" cm="1">
        <f t="array" ref="P285">IFERROR(INDEX(Sheet4!$2:$1605,MATCH(ChiTietKQKD[[#This Row],[Mã CP]],Sheet4!$B$2:$B$1605,0),_xlfn.XMATCH("*Tăng trưởng lợi nhuận sau thuế (YoY) (6M)*",Sheet4!$1:$1,2)),"")</f>
        <v>0</v>
      </c>
      <c r="Q285" s="10" cm="1">
        <f t="array" ref="Q285">IFERROR(INDEX(Sheet4!$2:$1605,MATCH(ChiTietKQKD[[#This Row],[Mã CP]],Sheet4!$B$2:$B$1605,0),_xlfn.XMATCH("*Tăng trưởng doanh thu thuần (QoQ)*",Sheet4!$1:$1,2)),"")</f>
        <v>0</v>
      </c>
      <c r="R285" s="10" cm="1">
        <f t="array" ref="R285">IFERROR(INDEX(Sheet4!$2:$1605,MATCH(ChiTietKQKD[[#This Row],[Mã CP]],Sheet4!$B$2:$B$1605,0),_xlfn.XMATCH("*Tăng trưởng lợi nhuận sau thuế (QoQ)*",Sheet4!$1:$1,2)),"")</f>
        <v>0</v>
      </c>
    </row>
    <row r="286" spans="1:18" x14ac:dyDescent="0.25">
      <c r="A286" s="7">
        <f>Sheet4!A265</f>
        <v>264</v>
      </c>
      <c r="B286" t="str">
        <f>Sheet4!B265</f>
        <v>PC1</v>
      </c>
      <c r="C286" t="str">
        <f>Sheet4!C264</f>
        <v>Tập đoàn PAN</v>
      </c>
      <c r="D286" t="str">
        <f>Sheet4!D265</f>
        <v>HOSE</v>
      </c>
      <c r="E286" s="7">
        <f>Sheet4!AH265/1000000000</f>
        <v>8451.9137986500009</v>
      </c>
      <c r="F286" t="str">
        <f>Sheet4!E265</f>
        <v>Công nghiệp</v>
      </c>
      <c r="G286" t="str">
        <f>Sheet4!F265</f>
        <v>Xây dựng và Vật liệu</v>
      </c>
      <c r="H286" t="str">
        <f>Sheet4!G265</f>
        <v>Xây dựng</v>
      </c>
      <c r="I286" s="9" t="str" cm="1">
        <f t="array" ref="I28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86" s="9" t="str" cm="1">
        <f t="array" ref="J28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86" s="10" cm="1">
        <f t="array" ref="K28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86" s="10" cm="1">
        <f t="array" ref="L28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86" s="9" t="str" cm="1">
        <f t="array" ref="M28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86" s="9" t="str" cm="1">
        <f t="array" ref="N28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86" s="10" cm="1">
        <f t="array" ref="O286">IFERROR(INDEX(Sheet4!$2:$1605,MATCH(ChiTietKQKD[[#This Row],[Mã CP]],Sheet4!$B$2:$B$1605,0),_xlfn.XMATCH("*Tăng trưởng lợi nhuận sau thuế (YoY) (Quý*",Sheet4!$1:$1,2)),"")</f>
        <v>0</v>
      </c>
      <c r="P286" s="10" cm="1">
        <f t="array" ref="P286">IFERROR(INDEX(Sheet4!$2:$1605,MATCH(ChiTietKQKD[[#This Row],[Mã CP]],Sheet4!$B$2:$B$1605,0),_xlfn.XMATCH("*Tăng trưởng lợi nhuận sau thuế (YoY) (6M)*",Sheet4!$1:$1,2)),"")</f>
        <v>0</v>
      </c>
      <c r="Q286" s="10" cm="1">
        <f t="array" ref="Q286">IFERROR(INDEX(Sheet4!$2:$1605,MATCH(ChiTietKQKD[[#This Row],[Mã CP]],Sheet4!$B$2:$B$1605,0),_xlfn.XMATCH("*Tăng trưởng doanh thu thuần (QoQ)*",Sheet4!$1:$1,2)),"")</f>
        <v>0</v>
      </c>
      <c r="R286" s="10" cm="1">
        <f t="array" ref="R286">IFERROR(INDEX(Sheet4!$2:$1605,MATCH(ChiTietKQKD[[#This Row],[Mã CP]],Sheet4!$B$2:$B$1605,0),_xlfn.XMATCH("*Tăng trưởng lợi nhuận sau thuế (QoQ)*",Sheet4!$1:$1,2)),"")</f>
        <v>0</v>
      </c>
    </row>
    <row r="287" spans="1:18" x14ac:dyDescent="0.25">
      <c r="A287" s="7">
        <f>Sheet4!A266</f>
        <v>265</v>
      </c>
      <c r="B287" t="str">
        <f>Sheet4!B266</f>
        <v>PDN</v>
      </c>
      <c r="C287" t="str">
        <f>Sheet4!C265</f>
        <v>Tập đoàn PC1</v>
      </c>
      <c r="D287" t="str">
        <f>Sheet4!D266</f>
        <v>HOSE</v>
      </c>
      <c r="E287" s="7">
        <f>Sheet4!AH266/1000000000</f>
        <v>5456.5635240000001</v>
      </c>
      <c r="F287" t="str">
        <f>Sheet4!E266</f>
        <v>Công nghiệp</v>
      </c>
      <c r="G287" t="str">
        <f>Sheet4!F266</f>
        <v>Hàng &amp; Dịch vụ Công nghiệp</v>
      </c>
      <c r="H287" t="str">
        <f>Sheet4!G266</f>
        <v>Kho bãi, hậu cần và bảo dưỡng</v>
      </c>
      <c r="I287" s="9" cm="1">
        <f t="array" ref="I28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439.12777197200001</v>
      </c>
      <c r="J287" s="9" t="str" cm="1">
        <f t="array" ref="J28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87" s="10" cm="1">
        <f t="array" ref="K28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0.1203</v>
      </c>
      <c r="L287" s="10" cm="1">
        <f t="array" ref="L28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9.1899999999999996E-2</v>
      </c>
      <c r="M287" s="9" cm="1">
        <f t="array" ref="M287">_xlfn.LET(_xlpm.val,IFERROR(INDEX(Sheet4!$2:$1605,MATCH(ChiTietKQKD[[#This Row],[Mã CP]],Sheet4!$B$2:$B$1605,0),_xlfn.XMATCH("*Lợi nhuận sau thuế*Q2*2026*",Sheet4!$1:$1,2)),0),IF(OR(_xlpm.val="",_xlpm.val=0),"",_xlpm.val/1000000000))</f>
        <v>140.077845381</v>
      </c>
      <c r="N287" s="9" t="str" cm="1">
        <f t="array" ref="N28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87" s="10" cm="1">
        <f t="array" ref="O287">IFERROR(INDEX(Sheet4!$2:$1605,MATCH(ChiTietKQKD[[#This Row],[Mã CP]],Sheet4!$B$2:$B$1605,0),_xlfn.XMATCH("*Tăng trưởng lợi nhuận sau thuế (YoY) (Quý*",Sheet4!$1:$1,2)),"")</f>
        <v>0.11650000000000001</v>
      </c>
      <c r="P287" s="10" cm="1">
        <f t="array" ref="P287">IFERROR(INDEX(Sheet4!$2:$1605,MATCH(ChiTietKQKD[[#This Row],[Mã CP]],Sheet4!$B$2:$B$1605,0),_xlfn.XMATCH("*Tăng trưởng lợi nhuận sau thuế (YoY) (6M)*",Sheet4!$1:$1,2)),"")</f>
        <v>0.11559999999999999</v>
      </c>
      <c r="Q287" s="10" cm="1">
        <f t="array" ref="Q287">IFERROR(INDEX(Sheet4!$2:$1605,MATCH(ChiTietKQKD[[#This Row],[Mã CP]],Sheet4!$B$2:$B$1605,0),_xlfn.XMATCH("*Tăng trưởng doanh thu thuần (QoQ)*",Sheet4!$1:$1,2)),"")</f>
        <v>0.16800000000000001</v>
      </c>
      <c r="R287" s="10" cm="1">
        <f t="array" ref="R287">IFERROR(INDEX(Sheet4!$2:$1605,MATCH(ChiTietKQKD[[#This Row],[Mã CP]],Sheet4!$B$2:$B$1605,0),_xlfn.XMATCH("*Tăng trưởng lợi nhuận sau thuế (QoQ)*",Sheet4!$1:$1,2)),"")</f>
        <v>0.2676</v>
      </c>
    </row>
    <row r="288" spans="1:18" x14ac:dyDescent="0.25">
      <c r="A288" s="7">
        <f>Sheet4!A267</f>
        <v>266</v>
      </c>
      <c r="B288" t="str">
        <f>Sheet4!B267</f>
        <v>PDR</v>
      </c>
      <c r="C288" t="str">
        <f>Sheet4!C266</f>
        <v>Cảng Đồng Nai</v>
      </c>
      <c r="D288" t="str">
        <f>Sheet4!D267</f>
        <v>HOSE</v>
      </c>
      <c r="E288" s="7">
        <f>Sheet4!AH267/1000000000</f>
        <v>12073.4934859</v>
      </c>
      <c r="F288" t="str">
        <f>Sheet4!E267</f>
        <v>Tài chính</v>
      </c>
      <c r="G288" t="str">
        <f>Sheet4!F267</f>
        <v>Bất động sản</v>
      </c>
      <c r="H288" t="str">
        <f>Sheet4!G267</f>
        <v>Bất động sản</v>
      </c>
      <c r="I288" s="9" t="str" cm="1">
        <f t="array" ref="I28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88" s="9" t="str" cm="1">
        <f t="array" ref="J28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88" s="10" cm="1">
        <f t="array" ref="K28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88" s="10" cm="1">
        <f t="array" ref="L28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88" s="9" t="str" cm="1">
        <f t="array" ref="M28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88" s="9" t="str" cm="1">
        <f t="array" ref="N28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88" s="10" cm="1">
        <f t="array" ref="O288">IFERROR(INDEX(Sheet4!$2:$1605,MATCH(ChiTietKQKD[[#This Row],[Mã CP]],Sheet4!$B$2:$B$1605,0),_xlfn.XMATCH("*Tăng trưởng lợi nhuận sau thuế (YoY) (Quý*",Sheet4!$1:$1,2)),"")</f>
        <v>0</v>
      </c>
      <c r="P288" s="10" cm="1">
        <f t="array" ref="P288">IFERROR(INDEX(Sheet4!$2:$1605,MATCH(ChiTietKQKD[[#This Row],[Mã CP]],Sheet4!$B$2:$B$1605,0),_xlfn.XMATCH("*Tăng trưởng lợi nhuận sau thuế (YoY) (6M)*",Sheet4!$1:$1,2)),"")</f>
        <v>0</v>
      </c>
      <c r="Q288" s="10" cm="1">
        <f t="array" ref="Q288">IFERROR(INDEX(Sheet4!$2:$1605,MATCH(ChiTietKQKD[[#This Row],[Mã CP]],Sheet4!$B$2:$B$1605,0),_xlfn.XMATCH("*Tăng trưởng doanh thu thuần (QoQ)*",Sheet4!$1:$1,2)),"")</f>
        <v>0</v>
      </c>
      <c r="R288" s="10" cm="1">
        <f t="array" ref="R288">IFERROR(INDEX(Sheet4!$2:$1605,MATCH(ChiTietKQKD[[#This Row],[Mã CP]],Sheet4!$B$2:$B$1605,0),_xlfn.XMATCH("*Tăng trưởng lợi nhuận sau thuế (QoQ)*",Sheet4!$1:$1,2)),"")</f>
        <v>0</v>
      </c>
    </row>
    <row r="289" spans="1:18" x14ac:dyDescent="0.25">
      <c r="A289" s="7">
        <f>Sheet4!A268</f>
        <v>267</v>
      </c>
      <c r="B289" t="str">
        <f>Sheet4!B268</f>
        <v>PDV</v>
      </c>
      <c r="C289" t="str">
        <f>Sheet4!C267</f>
        <v>BĐS Phát Đạt</v>
      </c>
      <c r="D289" t="str">
        <f>Sheet4!D268</f>
        <v>HOSE</v>
      </c>
      <c r="E289" s="7">
        <f>Sheet4!AH268/1000000000</f>
        <v>664.65907988000004</v>
      </c>
      <c r="F289" t="str">
        <f>Sheet4!E268</f>
        <v>Công nghiệp</v>
      </c>
      <c r="G289" t="str">
        <f>Sheet4!F268</f>
        <v>Hàng &amp; Dịch vụ Công nghiệp</v>
      </c>
      <c r="H289" t="str">
        <f>Sheet4!G268</f>
        <v>Vận tải Thủy</v>
      </c>
      <c r="I289" s="9" cm="1">
        <f t="array" ref="I28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687.847607079</v>
      </c>
      <c r="J289" s="9" cm="1">
        <f t="array" ref="J28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1128.780237917</v>
      </c>
      <c r="K289" s="10" cm="1">
        <f t="array" ref="K28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0.46129999999999999</v>
      </c>
      <c r="L289" s="10" cm="1">
        <f t="array" ref="L28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0.37380000000000002</v>
      </c>
      <c r="M289" s="9" cm="1">
        <f t="array" ref="M289">_xlfn.LET(_xlpm.val,IFERROR(INDEX(Sheet4!$2:$1605,MATCH(ChiTietKQKD[[#This Row],[Mã CP]],Sheet4!$B$2:$B$1605,0),_xlfn.XMATCH("*Lợi nhuận sau thuế*Q2*2026*",Sheet4!$1:$1,2)),0),IF(OR(_xlpm.val="",_xlpm.val=0),"",_xlpm.val/1000000000))</f>
        <v>16.715870455000001</v>
      </c>
      <c r="N289" s="9" cm="1">
        <f t="array" ref="N289">_xlfn.LET(_xlpm.val,IFERROR(INDEX(Sheet4!$2:$1605,MATCH(ChiTietKQKD[[#This Row],[Mã CP]],Sheet4!$B$2:$B$1605,0),_xlfn.XMATCH("*Lợi nhuận sau thuế*6 tháng*2026*",Sheet4!$1:$1,2)),0),IF(OR(_xlpm.val="",_xlpm.val=0),"",_xlpm.val/1000000000))</f>
        <v>35.750244008999999</v>
      </c>
      <c r="O289" s="10" cm="1">
        <f t="array" ref="O289">IFERROR(INDEX(Sheet4!$2:$1605,MATCH(ChiTietKQKD[[#This Row],[Mã CP]],Sheet4!$B$2:$B$1605,0),_xlfn.XMATCH("*Tăng trưởng lợi nhuận sau thuế (YoY) (Quý*",Sheet4!$1:$1,2)),"")</f>
        <v>5.9999000000000002</v>
      </c>
      <c r="P289" s="10" cm="1">
        <f t="array" ref="P289">IFERROR(INDEX(Sheet4!$2:$1605,MATCH(ChiTietKQKD[[#This Row],[Mã CP]],Sheet4!$B$2:$B$1605,0),_xlfn.XMATCH("*Tăng trưởng lợi nhuận sau thuế (YoY) (6M)*",Sheet4!$1:$1,2)),"")</f>
        <v>1.2149000000000001</v>
      </c>
      <c r="Q289" s="10" cm="1">
        <f t="array" ref="Q289">IFERROR(INDEX(Sheet4!$2:$1605,MATCH(ChiTietKQKD[[#This Row],[Mã CP]],Sheet4!$B$2:$B$1605,0),_xlfn.XMATCH("*Tăng trưởng doanh thu thuần (QoQ)*",Sheet4!$1:$1,2)),"")</f>
        <v>0.56000000000000005</v>
      </c>
      <c r="R289" s="10" cm="1">
        <f t="array" ref="R289">IFERROR(INDEX(Sheet4!$2:$1605,MATCH(ChiTietKQKD[[#This Row],[Mã CP]],Sheet4!$B$2:$B$1605,0),_xlfn.XMATCH("*Tăng trưởng lợi nhuận sau thuế (QoQ)*",Sheet4!$1:$1,2)),"")</f>
        <v>-0.12180000000000001</v>
      </c>
    </row>
    <row r="290" spans="1:18" x14ac:dyDescent="0.25">
      <c r="A290" s="7">
        <f>Sheet4!A269</f>
        <v>268</v>
      </c>
      <c r="B290" t="str">
        <f>Sheet4!B269</f>
        <v>PET</v>
      </c>
      <c r="C290" t="str">
        <f>Sheet4!C268</f>
        <v>Vận tải Phương Đông Việt</v>
      </c>
      <c r="D290" t="str">
        <f>Sheet4!D269</f>
        <v>HOSE</v>
      </c>
      <c r="E290" s="7">
        <f>Sheet4!AH269/1000000000</f>
        <v>5385.0828131999997</v>
      </c>
      <c r="F290" t="str">
        <f>Sheet4!E269</f>
        <v>Dịch vụ Tiêu dùng</v>
      </c>
      <c r="G290" t="str">
        <f>Sheet4!F269</f>
        <v>Bán lẻ</v>
      </c>
      <c r="H290" t="str">
        <f>Sheet4!G269</f>
        <v>Phân phối hàng chuyên dụng</v>
      </c>
      <c r="I290" s="9" t="str" cm="1">
        <f t="array" ref="I29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90" s="9" t="str" cm="1">
        <f t="array" ref="J29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90" s="10" cm="1">
        <f t="array" ref="K29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90" s="10" cm="1">
        <f t="array" ref="L29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90" s="9" t="str" cm="1">
        <f t="array" ref="M29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90" s="9" t="str" cm="1">
        <f t="array" ref="N29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90" s="10" cm="1">
        <f t="array" ref="O290">IFERROR(INDEX(Sheet4!$2:$1605,MATCH(ChiTietKQKD[[#This Row],[Mã CP]],Sheet4!$B$2:$B$1605,0),_xlfn.XMATCH("*Tăng trưởng lợi nhuận sau thuế (YoY) (Quý*",Sheet4!$1:$1,2)),"")</f>
        <v>0</v>
      </c>
      <c r="P290" s="10" cm="1">
        <f t="array" ref="P290">IFERROR(INDEX(Sheet4!$2:$1605,MATCH(ChiTietKQKD[[#This Row],[Mã CP]],Sheet4!$B$2:$B$1605,0),_xlfn.XMATCH("*Tăng trưởng lợi nhuận sau thuế (YoY) (6M)*",Sheet4!$1:$1,2)),"")</f>
        <v>0</v>
      </c>
      <c r="Q290" s="10" cm="1">
        <f t="array" ref="Q290">IFERROR(INDEX(Sheet4!$2:$1605,MATCH(ChiTietKQKD[[#This Row],[Mã CP]],Sheet4!$B$2:$B$1605,0),_xlfn.XMATCH("*Tăng trưởng doanh thu thuần (QoQ)*",Sheet4!$1:$1,2)),"")</f>
        <v>0</v>
      </c>
      <c r="R290" s="10" cm="1">
        <f t="array" ref="R290">IFERROR(INDEX(Sheet4!$2:$1605,MATCH(ChiTietKQKD[[#This Row],[Mã CP]],Sheet4!$B$2:$B$1605,0),_xlfn.XMATCH("*Tăng trưởng lợi nhuận sau thuế (QoQ)*",Sheet4!$1:$1,2)),"")</f>
        <v>0</v>
      </c>
    </row>
    <row r="291" spans="1:18" x14ac:dyDescent="0.25">
      <c r="A291" s="7">
        <f>Sheet4!A270</f>
        <v>269</v>
      </c>
      <c r="B291" t="str">
        <f>Sheet4!B270</f>
        <v>PGC</v>
      </c>
      <c r="C291" t="str">
        <f>Sheet4!C269</f>
        <v>Dịch vụ Tổng hợp Dầu khí</v>
      </c>
      <c r="D291" t="str">
        <f>Sheet4!D270</f>
        <v>HOSE</v>
      </c>
      <c r="E291" s="7">
        <f>Sheet4!AH270/1000000000</f>
        <v>730.10534849999999</v>
      </c>
      <c r="F291" t="str">
        <f>Sheet4!E270</f>
        <v>Tiện ích Cộng đồng</v>
      </c>
      <c r="G291" t="str">
        <f>Sheet4!F270</f>
        <v>Điện, nước &amp; xăng dầu khí đốt</v>
      </c>
      <c r="H291" t="str">
        <f>Sheet4!G270</f>
        <v>Phân phối xăng dầu &amp; khí đốt</v>
      </c>
      <c r="I291" s="9" t="str" cm="1">
        <f t="array" ref="I29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91" s="9" t="str" cm="1">
        <f t="array" ref="J29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91" s="10" cm="1">
        <f t="array" ref="K29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91" s="10" cm="1">
        <f t="array" ref="L29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91" s="9" t="str" cm="1">
        <f t="array" ref="M29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91" s="9" t="str" cm="1">
        <f t="array" ref="N29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91" s="10" cm="1">
        <f t="array" ref="O291">IFERROR(INDEX(Sheet4!$2:$1605,MATCH(ChiTietKQKD[[#This Row],[Mã CP]],Sheet4!$B$2:$B$1605,0),_xlfn.XMATCH("*Tăng trưởng lợi nhuận sau thuế (YoY) (Quý*",Sheet4!$1:$1,2)),"")</f>
        <v>0</v>
      </c>
      <c r="P291" s="10" cm="1">
        <f t="array" ref="P291">IFERROR(INDEX(Sheet4!$2:$1605,MATCH(ChiTietKQKD[[#This Row],[Mã CP]],Sheet4!$B$2:$B$1605,0),_xlfn.XMATCH("*Tăng trưởng lợi nhuận sau thuế (YoY) (6M)*",Sheet4!$1:$1,2)),"")</f>
        <v>0</v>
      </c>
      <c r="Q291" s="10" cm="1">
        <f t="array" ref="Q291">IFERROR(INDEX(Sheet4!$2:$1605,MATCH(ChiTietKQKD[[#This Row],[Mã CP]],Sheet4!$B$2:$B$1605,0),_xlfn.XMATCH("*Tăng trưởng doanh thu thuần (QoQ)*",Sheet4!$1:$1,2)),"")</f>
        <v>0</v>
      </c>
      <c r="R291" s="10" cm="1">
        <f t="array" ref="R291">IFERROR(INDEX(Sheet4!$2:$1605,MATCH(ChiTietKQKD[[#This Row],[Mã CP]],Sheet4!$B$2:$B$1605,0),_xlfn.XMATCH("*Tăng trưởng lợi nhuận sau thuế (QoQ)*",Sheet4!$1:$1,2)),"")</f>
        <v>0</v>
      </c>
    </row>
    <row r="292" spans="1:18" x14ac:dyDescent="0.25">
      <c r="A292" s="7">
        <f>Sheet4!A271</f>
        <v>270</v>
      </c>
      <c r="B292" t="str">
        <f>Sheet4!B271</f>
        <v>PGD</v>
      </c>
      <c r="C292" t="str">
        <f>Sheet4!C270</f>
        <v>Gas Petrolimex</v>
      </c>
      <c r="D292" t="str">
        <f>Sheet4!D271</f>
        <v>HOSE</v>
      </c>
      <c r="E292" s="7">
        <f>Sheet4!AH271/1000000000</f>
        <v>2237.3392285999998</v>
      </c>
      <c r="F292" t="str">
        <f>Sheet4!E271</f>
        <v>Tiện ích Cộng đồng</v>
      </c>
      <c r="G292" t="str">
        <f>Sheet4!F271</f>
        <v>Điện, nước &amp; xăng dầu khí đốt</v>
      </c>
      <c r="H292" t="str">
        <f>Sheet4!G271</f>
        <v>Phân phối xăng dầu &amp; khí đốt</v>
      </c>
      <c r="I292" s="9" cm="1">
        <f t="array" ref="I29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3858.5251170910001</v>
      </c>
      <c r="J292" s="9" cm="1">
        <f t="array" ref="J29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6348.3793319409997</v>
      </c>
      <c r="K292" s="10" cm="1">
        <f t="array" ref="K29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0.2974</v>
      </c>
      <c r="L292" s="10" cm="1">
        <f t="array" ref="L29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0.1474</v>
      </c>
      <c r="M292" s="9" cm="1">
        <f t="array" ref="M292">_xlfn.LET(_xlpm.val,IFERROR(INDEX(Sheet4!$2:$1605,MATCH(ChiTietKQKD[[#This Row],[Mã CP]],Sheet4!$B$2:$B$1605,0),_xlfn.XMATCH("*Lợi nhuận sau thuế*Q2*2026*",Sheet4!$1:$1,2)),0),IF(OR(_xlpm.val="",_xlpm.val=0),"",_xlpm.val/1000000000))</f>
        <v>-44.714049007</v>
      </c>
      <c r="N292" s="9" cm="1">
        <f t="array" ref="N292">_xlfn.LET(_xlpm.val,IFERROR(INDEX(Sheet4!$2:$1605,MATCH(ChiTietKQKD[[#This Row],[Mã CP]],Sheet4!$B$2:$B$1605,0),_xlfn.XMATCH("*Lợi nhuận sau thuế*6 tháng*2026*",Sheet4!$1:$1,2)),0),IF(OR(_xlpm.val="",_xlpm.val=0),"",_xlpm.val/1000000000))</f>
        <v>20.251615810000001</v>
      </c>
      <c r="O292" s="10" cm="1">
        <f t="array" ref="O292">IFERROR(INDEX(Sheet4!$2:$1605,MATCH(ChiTietKQKD[[#This Row],[Mã CP]],Sheet4!$B$2:$B$1605,0),_xlfn.XMATCH("*Tăng trưởng lợi nhuận sau thuế (YoY) (Quý*",Sheet4!$1:$1,2)),"")</f>
        <v>-1.6951000000000001</v>
      </c>
      <c r="P292" s="10" cm="1">
        <f t="array" ref="P292">IFERROR(INDEX(Sheet4!$2:$1605,MATCH(ChiTietKQKD[[#This Row],[Mã CP]],Sheet4!$B$2:$B$1605,0),_xlfn.XMATCH("*Tăng trưởng lợi nhuận sau thuế (YoY) (6M)*",Sheet4!$1:$1,2)),"")</f>
        <v>-0.68530000000000002</v>
      </c>
      <c r="Q292" s="10" cm="1">
        <f t="array" ref="Q292">IFERROR(INDEX(Sheet4!$2:$1605,MATCH(ChiTietKQKD[[#This Row],[Mã CP]],Sheet4!$B$2:$B$1605,0),_xlfn.XMATCH("*Tăng trưởng doanh thu thuần (QoQ)*",Sheet4!$1:$1,2)),"")</f>
        <v>0.54969999999999997</v>
      </c>
      <c r="R292" s="10" cm="1">
        <f t="array" ref="R292">IFERROR(INDEX(Sheet4!$2:$1605,MATCH(ChiTietKQKD[[#This Row],[Mã CP]],Sheet4!$B$2:$B$1605,0),_xlfn.XMATCH("*Tăng trưởng lợi nhuận sau thuế (QoQ)*",Sheet4!$1:$1,2)),"")</f>
        <v>-1.6882999999999999</v>
      </c>
    </row>
    <row r="293" spans="1:18" x14ac:dyDescent="0.25">
      <c r="A293" s="7">
        <f>Sheet4!A272</f>
        <v>271</v>
      </c>
      <c r="B293" t="str">
        <f>Sheet4!B272</f>
        <v>PGI</v>
      </c>
      <c r="C293" t="str">
        <f>Sheet4!C271</f>
        <v>PV GAS D</v>
      </c>
      <c r="D293" t="str">
        <f>Sheet4!D272</f>
        <v>HOSE</v>
      </c>
      <c r="E293" s="7">
        <f>Sheet4!AH272/1000000000</f>
        <v>1951.7836096000001</v>
      </c>
      <c r="F293" t="str">
        <f>Sheet4!E272</f>
        <v>Tài chính</v>
      </c>
      <c r="G293" t="str">
        <f>Sheet4!F272</f>
        <v>Bảo hiểm</v>
      </c>
      <c r="H293" t="str">
        <f>Sheet4!G272</f>
        <v>Bảo hiểm phi nhân thọ</v>
      </c>
      <c r="I293" s="9" t="str" cm="1">
        <f t="array" ref="I29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93" s="9" t="str" cm="1">
        <f t="array" ref="J29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93" s="10" cm="1">
        <f t="array" ref="K29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93" s="10" cm="1">
        <f t="array" ref="L29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93" s="9" t="str" cm="1">
        <f t="array" ref="M29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93" s="9" t="str" cm="1">
        <f t="array" ref="N29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93" s="10" cm="1">
        <f t="array" ref="O293">IFERROR(INDEX(Sheet4!$2:$1605,MATCH(ChiTietKQKD[[#This Row],[Mã CP]],Sheet4!$B$2:$B$1605,0),_xlfn.XMATCH("*Tăng trưởng lợi nhuận sau thuế (YoY) (Quý*",Sheet4!$1:$1,2)),"")</f>
        <v>0</v>
      </c>
      <c r="P293" s="10" cm="1">
        <f t="array" ref="P293">IFERROR(INDEX(Sheet4!$2:$1605,MATCH(ChiTietKQKD[[#This Row],[Mã CP]],Sheet4!$B$2:$B$1605,0),_xlfn.XMATCH("*Tăng trưởng lợi nhuận sau thuế (YoY) (6M)*",Sheet4!$1:$1,2)),"")</f>
        <v>0</v>
      </c>
      <c r="Q293" s="10" cm="1">
        <f t="array" ref="Q293">IFERROR(INDEX(Sheet4!$2:$1605,MATCH(ChiTietKQKD[[#This Row],[Mã CP]],Sheet4!$B$2:$B$1605,0),_xlfn.XMATCH("*Tăng trưởng doanh thu thuần (QoQ)*",Sheet4!$1:$1,2)),"")</f>
        <v>0</v>
      </c>
      <c r="R293" s="10" cm="1">
        <f t="array" ref="R293">IFERROR(INDEX(Sheet4!$2:$1605,MATCH(ChiTietKQKD[[#This Row],[Mã CP]],Sheet4!$B$2:$B$1605,0),_xlfn.XMATCH("*Tăng trưởng lợi nhuận sau thuế (QoQ)*",Sheet4!$1:$1,2)),"")</f>
        <v>0</v>
      </c>
    </row>
    <row r="294" spans="1:18" x14ac:dyDescent="0.25">
      <c r="A294" s="7">
        <f>Sheet4!A273</f>
        <v>272</v>
      </c>
      <c r="B294" t="str">
        <f>Sheet4!B273</f>
        <v>PGV</v>
      </c>
      <c r="C294" t="str">
        <f>Sheet4!C272</f>
        <v>Bảo hiểm PJICO</v>
      </c>
      <c r="D294" t="str">
        <f>Sheet4!D273</f>
        <v>HOSE</v>
      </c>
      <c r="E294" s="7">
        <f>Sheet4!AH273/1000000000</f>
        <v>25839.765058000001</v>
      </c>
      <c r="F294" t="str">
        <f>Sheet4!E273</f>
        <v>Tiện ích Cộng đồng</v>
      </c>
      <c r="G294" t="str">
        <f>Sheet4!F273</f>
        <v>Điện, nước &amp; xăng dầu khí đốt</v>
      </c>
      <c r="H294" t="str">
        <f>Sheet4!G273</f>
        <v>Sản xuất &amp; Phân phối Điện</v>
      </c>
      <c r="I294" s="9" t="str" cm="1">
        <f t="array" ref="I29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94" s="9" t="str" cm="1">
        <f t="array" ref="J29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94" s="10" cm="1">
        <f t="array" ref="K29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94" s="10" cm="1">
        <f t="array" ref="L29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94" s="9" t="str" cm="1">
        <f t="array" ref="M29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94" s="9" t="str" cm="1">
        <f t="array" ref="N29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94" s="10" cm="1">
        <f t="array" ref="O294">IFERROR(INDEX(Sheet4!$2:$1605,MATCH(ChiTietKQKD[[#This Row],[Mã CP]],Sheet4!$B$2:$B$1605,0),_xlfn.XMATCH("*Tăng trưởng lợi nhuận sau thuế (YoY) (Quý*",Sheet4!$1:$1,2)),"")</f>
        <v>0</v>
      </c>
      <c r="P294" s="10" cm="1">
        <f t="array" ref="P294">IFERROR(INDEX(Sheet4!$2:$1605,MATCH(ChiTietKQKD[[#This Row],[Mã CP]],Sheet4!$B$2:$B$1605,0),_xlfn.XMATCH("*Tăng trưởng lợi nhuận sau thuế (YoY) (6M)*",Sheet4!$1:$1,2)),"")</f>
        <v>0</v>
      </c>
      <c r="Q294" s="10" cm="1">
        <f t="array" ref="Q294">IFERROR(INDEX(Sheet4!$2:$1605,MATCH(ChiTietKQKD[[#This Row],[Mã CP]],Sheet4!$B$2:$B$1605,0),_xlfn.XMATCH("*Tăng trưởng doanh thu thuần (QoQ)*",Sheet4!$1:$1,2)),"")</f>
        <v>0</v>
      </c>
      <c r="R294" s="10" cm="1">
        <f t="array" ref="R294">IFERROR(INDEX(Sheet4!$2:$1605,MATCH(ChiTietKQKD[[#This Row],[Mã CP]],Sheet4!$B$2:$B$1605,0),_xlfn.XMATCH("*Tăng trưởng lợi nhuận sau thuế (QoQ)*",Sheet4!$1:$1,2)),"")</f>
        <v>0</v>
      </c>
    </row>
    <row r="295" spans="1:18" x14ac:dyDescent="0.25">
      <c r="A295" s="7">
        <f>Sheet4!A274</f>
        <v>273</v>
      </c>
      <c r="B295" t="str">
        <f>Sheet4!B274</f>
        <v>PHC</v>
      </c>
      <c r="C295" t="str">
        <f>Sheet4!C273</f>
        <v>Tổng Công ty Phát điện 3</v>
      </c>
      <c r="D295" t="str">
        <f>Sheet4!D274</f>
        <v>HOSE</v>
      </c>
      <c r="E295" s="7">
        <f>Sheet4!AH274/1000000000</f>
        <v>221.48002099000001</v>
      </c>
      <c r="F295" t="str">
        <f>Sheet4!E274</f>
        <v>Công nghiệp</v>
      </c>
      <c r="G295" t="str">
        <f>Sheet4!F274</f>
        <v>Xây dựng và Vật liệu</v>
      </c>
      <c r="H295" t="str">
        <f>Sheet4!G274</f>
        <v>Xây dựng</v>
      </c>
      <c r="I295" s="9" t="str" cm="1">
        <f t="array" ref="I29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95" s="9" t="str" cm="1">
        <f t="array" ref="J29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95" s="10" cm="1">
        <f t="array" ref="K29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95" s="10" cm="1">
        <f t="array" ref="L29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95" s="9" t="str" cm="1">
        <f t="array" ref="M29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95" s="9" t="str" cm="1">
        <f t="array" ref="N29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95" s="10" cm="1">
        <f t="array" ref="O295">IFERROR(INDEX(Sheet4!$2:$1605,MATCH(ChiTietKQKD[[#This Row],[Mã CP]],Sheet4!$B$2:$B$1605,0),_xlfn.XMATCH("*Tăng trưởng lợi nhuận sau thuế (YoY) (Quý*",Sheet4!$1:$1,2)),"")</f>
        <v>0</v>
      </c>
      <c r="P295" s="10" cm="1">
        <f t="array" ref="P295">IFERROR(INDEX(Sheet4!$2:$1605,MATCH(ChiTietKQKD[[#This Row],[Mã CP]],Sheet4!$B$2:$B$1605,0),_xlfn.XMATCH("*Tăng trưởng lợi nhuận sau thuế (YoY) (6M)*",Sheet4!$1:$1,2)),"")</f>
        <v>0</v>
      </c>
      <c r="Q295" s="10" cm="1">
        <f t="array" ref="Q295">IFERROR(INDEX(Sheet4!$2:$1605,MATCH(ChiTietKQKD[[#This Row],[Mã CP]],Sheet4!$B$2:$B$1605,0),_xlfn.XMATCH("*Tăng trưởng doanh thu thuần (QoQ)*",Sheet4!$1:$1,2)),"")</f>
        <v>0</v>
      </c>
      <c r="R295" s="10" cm="1">
        <f t="array" ref="R295">IFERROR(INDEX(Sheet4!$2:$1605,MATCH(ChiTietKQKD[[#This Row],[Mã CP]],Sheet4!$B$2:$B$1605,0),_xlfn.XMATCH("*Tăng trưởng lợi nhuận sau thuế (QoQ)*",Sheet4!$1:$1,2)),"")</f>
        <v>0</v>
      </c>
    </row>
    <row r="296" spans="1:18" x14ac:dyDescent="0.25">
      <c r="A296" s="7">
        <f>Sheet4!A275</f>
        <v>274</v>
      </c>
      <c r="B296" t="str">
        <f>Sheet4!B275</f>
        <v>PHR</v>
      </c>
      <c r="C296" t="str">
        <f>Sheet4!C274</f>
        <v>Xây dựng Phục Hưng Holdings</v>
      </c>
      <c r="D296" t="str">
        <f>Sheet4!D275</f>
        <v>HOSE</v>
      </c>
      <c r="E296" s="7">
        <f>Sheet4!AH275/1000000000</f>
        <v>7831.8536444000001</v>
      </c>
      <c r="F296" t="str">
        <f>Sheet4!E275</f>
        <v>Nguyên vật liệu</v>
      </c>
      <c r="G296" t="str">
        <f>Sheet4!F275</f>
        <v>Hóa chất</v>
      </c>
      <c r="H296" t="str">
        <f>Sheet4!G275</f>
        <v>Nhựa, cao su &amp; sợi</v>
      </c>
      <c r="I296" s="9" t="str" cm="1">
        <f t="array" ref="I29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96" s="9" t="str" cm="1">
        <f t="array" ref="J29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96" s="10" cm="1">
        <f t="array" ref="K29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96" s="10" cm="1">
        <f t="array" ref="L29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96" s="9" t="str" cm="1">
        <f t="array" ref="M29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96" s="9" t="str" cm="1">
        <f t="array" ref="N29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96" s="10" cm="1">
        <f t="array" ref="O296">IFERROR(INDEX(Sheet4!$2:$1605,MATCH(ChiTietKQKD[[#This Row],[Mã CP]],Sheet4!$B$2:$B$1605,0),_xlfn.XMATCH("*Tăng trưởng lợi nhuận sau thuế (YoY) (Quý*",Sheet4!$1:$1,2)),"")</f>
        <v>0</v>
      </c>
      <c r="P296" s="10" cm="1">
        <f t="array" ref="P296">IFERROR(INDEX(Sheet4!$2:$1605,MATCH(ChiTietKQKD[[#This Row],[Mã CP]],Sheet4!$B$2:$B$1605,0),_xlfn.XMATCH("*Tăng trưởng lợi nhuận sau thuế (YoY) (6M)*",Sheet4!$1:$1,2)),"")</f>
        <v>0</v>
      </c>
      <c r="Q296" s="10" cm="1">
        <f t="array" ref="Q296">IFERROR(INDEX(Sheet4!$2:$1605,MATCH(ChiTietKQKD[[#This Row],[Mã CP]],Sheet4!$B$2:$B$1605,0),_xlfn.XMATCH("*Tăng trưởng doanh thu thuần (QoQ)*",Sheet4!$1:$1,2)),"")</f>
        <v>0</v>
      </c>
      <c r="R296" s="10" cm="1">
        <f t="array" ref="R296">IFERROR(INDEX(Sheet4!$2:$1605,MATCH(ChiTietKQKD[[#This Row],[Mã CP]],Sheet4!$B$2:$B$1605,0),_xlfn.XMATCH("*Tăng trưởng lợi nhuận sau thuế (QoQ)*",Sheet4!$1:$1,2)),"")</f>
        <v>0</v>
      </c>
    </row>
    <row r="297" spans="1:18" x14ac:dyDescent="0.25">
      <c r="A297" s="7">
        <f>Sheet4!A276</f>
        <v>275</v>
      </c>
      <c r="B297" t="str">
        <f>Sheet4!B276</f>
        <v>PIT</v>
      </c>
      <c r="C297" t="str">
        <f>Sheet4!C275</f>
        <v>Cao su Phước Hòa</v>
      </c>
      <c r="D297" t="str">
        <f>Sheet4!D276</f>
        <v>HOSE</v>
      </c>
      <c r="E297" s="7">
        <f>Sheet4!AH276/1000000000</f>
        <v>106.57668750000001</v>
      </c>
      <c r="F297" t="str">
        <f>Sheet4!E276</f>
        <v>Dịch vụ Tiêu dùng</v>
      </c>
      <c r="G297" t="str">
        <f>Sheet4!F276</f>
        <v>Bán lẻ</v>
      </c>
      <c r="H297" t="str">
        <f>Sheet4!G276</f>
        <v>Bán lẻ phức hợp</v>
      </c>
      <c r="I297" s="9" cm="1">
        <f t="array" ref="I29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113.07580738</v>
      </c>
      <c r="J297" s="9" cm="1">
        <f t="array" ref="J29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264.60121155299998</v>
      </c>
      <c r="K297" s="10" cm="1">
        <f t="array" ref="K29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-0.42870000000000003</v>
      </c>
      <c r="L297" s="10" cm="1">
        <f t="array" ref="L29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-0.16969999999999999</v>
      </c>
      <c r="M297" s="9" cm="1">
        <f t="array" ref="M297">_xlfn.LET(_xlpm.val,IFERROR(INDEX(Sheet4!$2:$1605,MATCH(ChiTietKQKD[[#This Row],[Mã CP]],Sheet4!$B$2:$B$1605,0),_xlfn.XMATCH("*Lợi nhuận sau thuế*Q2*2026*",Sheet4!$1:$1,2)),0),IF(OR(_xlpm.val="",_xlpm.val=0),"",_xlpm.val/1000000000))</f>
        <v>-11.591352612</v>
      </c>
      <c r="N297" s="9" cm="1">
        <f t="array" ref="N297">_xlfn.LET(_xlpm.val,IFERROR(INDEX(Sheet4!$2:$1605,MATCH(ChiTietKQKD[[#This Row],[Mã CP]],Sheet4!$B$2:$B$1605,0),_xlfn.XMATCH("*Lợi nhuận sau thuế*6 tháng*2026*",Sheet4!$1:$1,2)),0),IF(OR(_xlpm.val="",_xlpm.val=0),"",_xlpm.val/1000000000))</f>
        <v>-12.208677478</v>
      </c>
      <c r="O297" s="10" cm="1">
        <f t="array" ref="O297">IFERROR(INDEX(Sheet4!$2:$1605,MATCH(ChiTietKQKD[[#This Row],[Mã CP]],Sheet4!$B$2:$B$1605,0),_xlfn.XMATCH("*Tăng trưởng lợi nhuận sau thuế (YoY) (Quý*",Sheet4!$1:$1,2)),"")</f>
        <v>-4.3693999999999997</v>
      </c>
      <c r="P297" s="10" cm="1">
        <f t="array" ref="P297">IFERROR(INDEX(Sheet4!$2:$1605,MATCH(ChiTietKQKD[[#This Row],[Mã CP]],Sheet4!$B$2:$B$1605,0),_xlfn.XMATCH("*Tăng trưởng lợi nhuận sau thuế (YoY) (6M)*",Sheet4!$1:$1,2)),"")</f>
        <v>-33.9086</v>
      </c>
      <c r="Q297" s="10" cm="1">
        <f t="array" ref="Q297">IFERROR(INDEX(Sheet4!$2:$1605,MATCH(ChiTietKQKD[[#This Row],[Mã CP]],Sheet4!$B$2:$B$1605,0),_xlfn.XMATCH("*Tăng trưởng doanh thu thuần (QoQ)*",Sheet4!$1:$1,2)),"")</f>
        <v>-0.25380000000000003</v>
      </c>
      <c r="R297" s="10" cm="1">
        <f t="array" ref="R297">IFERROR(INDEX(Sheet4!$2:$1605,MATCH(ChiTietKQKD[[#This Row],[Mã CP]],Sheet4!$B$2:$B$1605,0),_xlfn.XMATCH("*Tăng trưởng lợi nhuận sau thuế (QoQ)*",Sheet4!$1:$1,2)),"")</f>
        <v>-17.776700000000002</v>
      </c>
    </row>
    <row r="298" spans="1:18" x14ac:dyDescent="0.25">
      <c r="A298" s="7">
        <f>Sheet4!A277</f>
        <v>276</v>
      </c>
      <c r="B298" t="str">
        <f>Sheet4!B277</f>
        <v>PJT</v>
      </c>
      <c r="C298" t="str">
        <f>Sheet4!C276</f>
        <v>XNK PETROLIMEX</v>
      </c>
      <c r="D298" t="str">
        <f>Sheet4!D277</f>
        <v>HOSE</v>
      </c>
      <c r="E298" s="7">
        <f>Sheet4!AH277/1000000000</f>
        <v>206.52711550000001</v>
      </c>
      <c r="F298" t="str">
        <f>Sheet4!E277</f>
        <v>Công nghiệp</v>
      </c>
      <c r="G298" t="str">
        <f>Sheet4!F277</f>
        <v>Hàng &amp; Dịch vụ Công nghiệp</v>
      </c>
      <c r="H298" t="str">
        <f>Sheet4!G277</f>
        <v>Vận tải Thủy</v>
      </c>
      <c r="I298" s="9" t="str" cm="1">
        <f t="array" ref="I29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98" s="9" t="str" cm="1">
        <f t="array" ref="J29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98" s="10" cm="1">
        <f t="array" ref="K29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98" s="10" cm="1">
        <f t="array" ref="L29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98" s="9" t="str" cm="1">
        <f t="array" ref="M29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98" s="9" t="str" cm="1">
        <f t="array" ref="N29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98" s="10" cm="1">
        <f t="array" ref="O298">IFERROR(INDEX(Sheet4!$2:$1605,MATCH(ChiTietKQKD[[#This Row],[Mã CP]],Sheet4!$B$2:$B$1605,0),_xlfn.XMATCH("*Tăng trưởng lợi nhuận sau thuế (YoY) (Quý*",Sheet4!$1:$1,2)),"")</f>
        <v>0</v>
      </c>
      <c r="P298" s="10" cm="1">
        <f t="array" ref="P298">IFERROR(INDEX(Sheet4!$2:$1605,MATCH(ChiTietKQKD[[#This Row],[Mã CP]],Sheet4!$B$2:$B$1605,0),_xlfn.XMATCH("*Tăng trưởng lợi nhuận sau thuế (YoY) (6M)*",Sheet4!$1:$1,2)),"")</f>
        <v>0</v>
      </c>
      <c r="Q298" s="10" cm="1">
        <f t="array" ref="Q298">IFERROR(INDEX(Sheet4!$2:$1605,MATCH(ChiTietKQKD[[#This Row],[Mã CP]],Sheet4!$B$2:$B$1605,0),_xlfn.XMATCH("*Tăng trưởng doanh thu thuần (QoQ)*",Sheet4!$1:$1,2)),"")</f>
        <v>0</v>
      </c>
      <c r="R298" s="10" cm="1">
        <f t="array" ref="R298">IFERROR(INDEX(Sheet4!$2:$1605,MATCH(ChiTietKQKD[[#This Row],[Mã CP]],Sheet4!$B$2:$B$1605,0),_xlfn.XMATCH("*Tăng trưởng lợi nhuận sau thuế (QoQ)*",Sheet4!$1:$1,2)),"")</f>
        <v>0</v>
      </c>
    </row>
    <row r="299" spans="1:18" x14ac:dyDescent="0.25">
      <c r="A299" s="7">
        <f>Sheet4!A278</f>
        <v>277</v>
      </c>
      <c r="B299" t="str">
        <f>Sheet4!B278</f>
        <v>PLP</v>
      </c>
      <c r="C299" t="str">
        <f>Sheet4!C277</f>
        <v>Vận tải thủy PETROLIMEX</v>
      </c>
      <c r="D299" t="str">
        <f>Sheet4!D278</f>
        <v>HOSE</v>
      </c>
      <c r="E299" s="7">
        <f>Sheet4!AH278/1000000000</f>
        <v>346.49941095000003</v>
      </c>
      <c r="F299" t="str">
        <f>Sheet4!E278</f>
        <v>Nguyên vật liệu</v>
      </c>
      <c r="G299" t="str">
        <f>Sheet4!F278</f>
        <v>Hóa chất</v>
      </c>
      <c r="H299" t="str">
        <f>Sheet4!G278</f>
        <v>Nhựa, cao su &amp; sợi</v>
      </c>
      <c r="I299" s="9" t="str" cm="1">
        <f t="array" ref="I29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299" s="9" t="str" cm="1">
        <f t="array" ref="J29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299" s="10" cm="1">
        <f t="array" ref="K29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299" s="10" cm="1">
        <f t="array" ref="L29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299" s="9" t="str" cm="1">
        <f t="array" ref="M29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299" s="9" t="str" cm="1">
        <f t="array" ref="N29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299" s="10" cm="1">
        <f t="array" ref="O299">IFERROR(INDEX(Sheet4!$2:$1605,MATCH(ChiTietKQKD[[#This Row],[Mã CP]],Sheet4!$B$2:$B$1605,0),_xlfn.XMATCH("*Tăng trưởng lợi nhuận sau thuế (YoY) (Quý*",Sheet4!$1:$1,2)),"")</f>
        <v>0</v>
      </c>
      <c r="P299" s="10" cm="1">
        <f t="array" ref="P299">IFERROR(INDEX(Sheet4!$2:$1605,MATCH(ChiTietKQKD[[#This Row],[Mã CP]],Sheet4!$B$2:$B$1605,0),_xlfn.XMATCH("*Tăng trưởng lợi nhuận sau thuế (YoY) (6M)*",Sheet4!$1:$1,2)),"")</f>
        <v>0</v>
      </c>
      <c r="Q299" s="10" cm="1">
        <f t="array" ref="Q299">IFERROR(INDEX(Sheet4!$2:$1605,MATCH(ChiTietKQKD[[#This Row],[Mã CP]],Sheet4!$B$2:$B$1605,0),_xlfn.XMATCH("*Tăng trưởng doanh thu thuần (QoQ)*",Sheet4!$1:$1,2)),"")</f>
        <v>0</v>
      </c>
      <c r="R299" s="10" cm="1">
        <f t="array" ref="R299">IFERROR(INDEX(Sheet4!$2:$1605,MATCH(ChiTietKQKD[[#This Row],[Mã CP]],Sheet4!$B$2:$B$1605,0),_xlfn.XMATCH("*Tăng trưởng lợi nhuận sau thuế (QoQ)*",Sheet4!$1:$1,2)),"")</f>
        <v>0</v>
      </c>
    </row>
    <row r="300" spans="1:18" x14ac:dyDescent="0.25">
      <c r="A300" s="7">
        <f>Sheet4!A279</f>
        <v>278</v>
      </c>
      <c r="B300" t="str">
        <f>Sheet4!B279</f>
        <v>PLX</v>
      </c>
      <c r="C300" t="str">
        <f>Sheet4!C278</f>
        <v>SX và CN Nhựa Pha Lê</v>
      </c>
      <c r="D300" t="str">
        <f>Sheet4!D279</f>
        <v>HOSE</v>
      </c>
      <c r="E300" s="7">
        <f>Sheet4!AH279/1000000000</f>
        <v>41611.895696250001</v>
      </c>
      <c r="F300" t="str">
        <f>Sheet4!E279</f>
        <v>Dầu khí</v>
      </c>
      <c r="G300" t="str">
        <f>Sheet4!F279</f>
        <v>Dầu khí</v>
      </c>
      <c r="H300" t="str">
        <f>Sheet4!G279</f>
        <v>Sản xuất và Khai thác dầu khí</v>
      </c>
      <c r="I300" s="9" t="str" cm="1">
        <f t="array" ref="I30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00" s="9" t="str" cm="1">
        <f t="array" ref="J30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00" s="10" cm="1">
        <f t="array" ref="K30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00" s="10" cm="1">
        <f t="array" ref="L30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00" s="9" t="str" cm="1">
        <f t="array" ref="M30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00" s="9" t="str" cm="1">
        <f t="array" ref="N30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00" s="10" cm="1">
        <f t="array" ref="O300">IFERROR(INDEX(Sheet4!$2:$1605,MATCH(ChiTietKQKD[[#This Row],[Mã CP]],Sheet4!$B$2:$B$1605,0),_xlfn.XMATCH("*Tăng trưởng lợi nhuận sau thuế (YoY) (Quý*",Sheet4!$1:$1,2)),"")</f>
        <v>0</v>
      </c>
      <c r="P300" s="10" cm="1">
        <f t="array" ref="P300">IFERROR(INDEX(Sheet4!$2:$1605,MATCH(ChiTietKQKD[[#This Row],[Mã CP]],Sheet4!$B$2:$B$1605,0),_xlfn.XMATCH("*Tăng trưởng lợi nhuận sau thuế (YoY) (6M)*",Sheet4!$1:$1,2)),"")</f>
        <v>0</v>
      </c>
      <c r="Q300" s="10" cm="1">
        <f t="array" ref="Q300">IFERROR(INDEX(Sheet4!$2:$1605,MATCH(ChiTietKQKD[[#This Row],[Mã CP]],Sheet4!$B$2:$B$1605,0),_xlfn.XMATCH("*Tăng trưởng doanh thu thuần (QoQ)*",Sheet4!$1:$1,2)),"")</f>
        <v>0</v>
      </c>
      <c r="R300" s="10" cm="1">
        <f t="array" ref="R300">IFERROR(INDEX(Sheet4!$2:$1605,MATCH(ChiTietKQKD[[#This Row],[Mã CP]],Sheet4!$B$2:$B$1605,0),_xlfn.XMATCH("*Tăng trưởng lợi nhuận sau thuế (QoQ)*",Sheet4!$1:$1,2)),"")</f>
        <v>0</v>
      </c>
    </row>
    <row r="301" spans="1:18" x14ac:dyDescent="0.25">
      <c r="A301" s="7">
        <f>Sheet4!A280</f>
        <v>279</v>
      </c>
      <c r="B301" t="str">
        <f>Sheet4!B280</f>
        <v>PMG</v>
      </c>
      <c r="C301" t="str">
        <f>Sheet4!C279</f>
        <v>Petrolimex</v>
      </c>
      <c r="D301" t="str">
        <f>Sheet4!D280</f>
        <v>HOSE</v>
      </c>
      <c r="E301" s="7">
        <f>Sheet4!AH280/1000000000</f>
        <v>288.21164915999998</v>
      </c>
      <c r="F301" t="str">
        <f>Sheet4!E280</f>
        <v>Tiện ích Cộng đồng</v>
      </c>
      <c r="G301" t="str">
        <f>Sheet4!F280</f>
        <v>Điện, nước &amp; xăng dầu khí đốt</v>
      </c>
      <c r="H301" t="str">
        <f>Sheet4!G280</f>
        <v>Phân phối xăng dầu &amp; khí đốt</v>
      </c>
      <c r="I301" s="9" t="str" cm="1">
        <f t="array" ref="I30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01" s="9" t="str" cm="1">
        <f t="array" ref="J30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01" s="10" cm="1">
        <f t="array" ref="K30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01" s="10" cm="1">
        <f t="array" ref="L30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01" s="9" t="str" cm="1">
        <f t="array" ref="M30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01" s="9" t="str" cm="1">
        <f t="array" ref="N30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01" s="10" cm="1">
        <f t="array" ref="O301">IFERROR(INDEX(Sheet4!$2:$1605,MATCH(ChiTietKQKD[[#This Row],[Mã CP]],Sheet4!$B$2:$B$1605,0),_xlfn.XMATCH("*Tăng trưởng lợi nhuận sau thuế (YoY) (Quý*",Sheet4!$1:$1,2)),"")</f>
        <v>0</v>
      </c>
      <c r="P301" s="10" cm="1">
        <f t="array" ref="P301">IFERROR(INDEX(Sheet4!$2:$1605,MATCH(ChiTietKQKD[[#This Row],[Mã CP]],Sheet4!$B$2:$B$1605,0),_xlfn.XMATCH("*Tăng trưởng lợi nhuận sau thuế (YoY) (6M)*",Sheet4!$1:$1,2)),"")</f>
        <v>0</v>
      </c>
      <c r="Q301" s="10" cm="1">
        <f t="array" ref="Q301">IFERROR(INDEX(Sheet4!$2:$1605,MATCH(ChiTietKQKD[[#This Row],[Mã CP]],Sheet4!$B$2:$B$1605,0),_xlfn.XMATCH("*Tăng trưởng doanh thu thuần (QoQ)*",Sheet4!$1:$1,2)),"")</f>
        <v>0</v>
      </c>
      <c r="R301" s="10" cm="1">
        <f t="array" ref="R301">IFERROR(INDEX(Sheet4!$2:$1605,MATCH(ChiTietKQKD[[#This Row],[Mã CP]],Sheet4!$B$2:$B$1605,0),_xlfn.XMATCH("*Tăng trưởng lợi nhuận sau thuế (QoQ)*",Sheet4!$1:$1,2)),"")</f>
        <v>0</v>
      </c>
    </row>
    <row r="302" spans="1:18" x14ac:dyDescent="0.25">
      <c r="A302" s="7">
        <f>Sheet4!A281</f>
        <v>280</v>
      </c>
      <c r="B302" t="str">
        <f>Sheet4!B281</f>
        <v>PNC</v>
      </c>
      <c r="C302" t="str">
        <f>Sheet4!C280</f>
        <v>ĐT và SX Petro Miền Trung</v>
      </c>
      <c r="D302" t="str">
        <f>Sheet4!D281</f>
        <v>HOSE</v>
      </c>
      <c r="E302" s="7">
        <f>Sheet4!AH281/1000000000</f>
        <v>322.90059489999999</v>
      </c>
      <c r="F302" t="str">
        <f>Sheet4!E281</f>
        <v>Dịch vụ Tiêu dùng</v>
      </c>
      <c r="G302" t="str">
        <f>Sheet4!F281</f>
        <v>Truyền thông</v>
      </c>
      <c r="H302" t="str">
        <f>Sheet4!G281</f>
        <v>Sách, ấn bản &amp; sản phẩm văn hóa</v>
      </c>
      <c r="I302" s="9" t="str" cm="1">
        <f t="array" ref="I30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02" s="9" t="str" cm="1">
        <f t="array" ref="J30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02" s="10" cm="1">
        <f t="array" ref="K30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02" s="10" cm="1">
        <f t="array" ref="L30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02" s="9" t="str" cm="1">
        <f t="array" ref="M30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02" s="9" t="str" cm="1">
        <f t="array" ref="N30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02" s="10" cm="1">
        <f t="array" ref="O302">IFERROR(INDEX(Sheet4!$2:$1605,MATCH(ChiTietKQKD[[#This Row],[Mã CP]],Sheet4!$B$2:$B$1605,0),_xlfn.XMATCH("*Tăng trưởng lợi nhuận sau thuế (YoY) (Quý*",Sheet4!$1:$1,2)),"")</f>
        <v>0</v>
      </c>
      <c r="P302" s="10" cm="1">
        <f t="array" ref="P302">IFERROR(INDEX(Sheet4!$2:$1605,MATCH(ChiTietKQKD[[#This Row],[Mã CP]],Sheet4!$B$2:$B$1605,0),_xlfn.XMATCH("*Tăng trưởng lợi nhuận sau thuế (YoY) (6M)*",Sheet4!$1:$1,2)),"")</f>
        <v>0</v>
      </c>
      <c r="Q302" s="10" cm="1">
        <f t="array" ref="Q302">IFERROR(INDEX(Sheet4!$2:$1605,MATCH(ChiTietKQKD[[#This Row],[Mã CP]],Sheet4!$B$2:$B$1605,0),_xlfn.XMATCH("*Tăng trưởng doanh thu thuần (QoQ)*",Sheet4!$1:$1,2)),"")</f>
        <v>0</v>
      </c>
      <c r="R302" s="10" cm="1">
        <f t="array" ref="R302">IFERROR(INDEX(Sheet4!$2:$1605,MATCH(ChiTietKQKD[[#This Row],[Mã CP]],Sheet4!$B$2:$B$1605,0),_xlfn.XMATCH("*Tăng trưởng lợi nhuận sau thuế (QoQ)*",Sheet4!$1:$1,2)),"")</f>
        <v>0</v>
      </c>
    </row>
    <row r="303" spans="1:18" x14ac:dyDescent="0.25">
      <c r="A303" s="7">
        <f>Sheet4!A282</f>
        <v>281</v>
      </c>
      <c r="B303" t="str">
        <f>Sheet4!B282</f>
        <v>PNJ</v>
      </c>
      <c r="C303" t="str">
        <f>Sheet4!C281</f>
        <v>Văn hóa Phương Nam</v>
      </c>
      <c r="D303" t="str">
        <f>Sheet4!D282</f>
        <v>HOSE</v>
      </c>
      <c r="E303" s="7">
        <f>Sheet4!AH282/1000000000</f>
        <v>18166.1295445</v>
      </c>
      <c r="F303" t="str">
        <f>Sheet4!E282</f>
        <v>Hàng Tiêu dùng</v>
      </c>
      <c r="G303" t="str">
        <f>Sheet4!F282</f>
        <v>Hàng cá nhân &amp; Gia dụng</v>
      </c>
      <c r="H303" t="str">
        <f>Sheet4!G282</f>
        <v>Hàng cá nhân</v>
      </c>
      <c r="I303" s="9" t="str" cm="1">
        <f t="array" ref="I30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03" s="9" t="str" cm="1">
        <f t="array" ref="J30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03" s="10" cm="1">
        <f t="array" ref="K30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03" s="10" cm="1">
        <f t="array" ref="L30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03" s="9" t="str" cm="1">
        <f t="array" ref="M30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03" s="9" t="str" cm="1">
        <f t="array" ref="N30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03" s="10" cm="1">
        <f t="array" ref="O303">IFERROR(INDEX(Sheet4!$2:$1605,MATCH(ChiTietKQKD[[#This Row],[Mã CP]],Sheet4!$B$2:$B$1605,0),_xlfn.XMATCH("*Tăng trưởng lợi nhuận sau thuế (YoY) (Quý*",Sheet4!$1:$1,2)),"")</f>
        <v>0</v>
      </c>
      <c r="P303" s="10" cm="1">
        <f t="array" ref="P303">IFERROR(INDEX(Sheet4!$2:$1605,MATCH(ChiTietKQKD[[#This Row],[Mã CP]],Sheet4!$B$2:$B$1605,0),_xlfn.XMATCH("*Tăng trưởng lợi nhuận sau thuế (YoY) (6M)*",Sheet4!$1:$1,2)),"")</f>
        <v>0</v>
      </c>
      <c r="Q303" s="10" cm="1">
        <f t="array" ref="Q303">IFERROR(INDEX(Sheet4!$2:$1605,MATCH(ChiTietKQKD[[#This Row],[Mã CP]],Sheet4!$B$2:$B$1605,0),_xlfn.XMATCH("*Tăng trưởng doanh thu thuần (QoQ)*",Sheet4!$1:$1,2)),"")</f>
        <v>0</v>
      </c>
      <c r="R303" s="10" cm="1">
        <f t="array" ref="R303">IFERROR(INDEX(Sheet4!$2:$1605,MATCH(ChiTietKQKD[[#This Row],[Mã CP]],Sheet4!$B$2:$B$1605,0),_xlfn.XMATCH("*Tăng trưởng lợi nhuận sau thuế (QoQ)*",Sheet4!$1:$1,2)),"")</f>
        <v>0</v>
      </c>
    </row>
    <row r="304" spans="1:18" x14ac:dyDescent="0.25">
      <c r="A304" s="7">
        <f>Sheet4!A283</f>
        <v>282</v>
      </c>
      <c r="B304" t="str">
        <f>Sheet4!B283</f>
        <v>POW</v>
      </c>
      <c r="C304" t="str">
        <f>Sheet4!C282</f>
        <v>Vàng Phú Nhuận</v>
      </c>
      <c r="D304" t="str">
        <f>Sheet4!D283</f>
        <v>HOSE</v>
      </c>
      <c r="E304" s="7">
        <f>Sheet4!AH283/1000000000</f>
        <v>40495.563081599998</v>
      </c>
      <c r="F304" t="str">
        <f>Sheet4!E283</f>
        <v>Tiện ích Cộng đồng</v>
      </c>
      <c r="G304" t="str">
        <f>Sheet4!F283</f>
        <v>Điện, nước &amp; xăng dầu khí đốt</v>
      </c>
      <c r="H304" t="str">
        <f>Sheet4!G283</f>
        <v>Sản xuất &amp; Phân phối Điện</v>
      </c>
      <c r="I304" s="9" t="str" cm="1">
        <f t="array" ref="I30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04" s="9" t="str" cm="1">
        <f t="array" ref="J30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04" s="10" cm="1">
        <f t="array" ref="K30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04" s="10" cm="1">
        <f t="array" ref="L30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04" s="9" t="str" cm="1">
        <f t="array" ref="M30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04" s="9" t="str" cm="1">
        <f t="array" ref="N30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04" s="10" cm="1">
        <f t="array" ref="O304">IFERROR(INDEX(Sheet4!$2:$1605,MATCH(ChiTietKQKD[[#This Row],[Mã CP]],Sheet4!$B$2:$B$1605,0),_xlfn.XMATCH("*Tăng trưởng lợi nhuận sau thuế (YoY) (Quý*",Sheet4!$1:$1,2)),"")</f>
        <v>0</v>
      </c>
      <c r="P304" s="10" cm="1">
        <f t="array" ref="P304">IFERROR(INDEX(Sheet4!$2:$1605,MATCH(ChiTietKQKD[[#This Row],[Mã CP]],Sheet4!$B$2:$B$1605,0),_xlfn.XMATCH("*Tăng trưởng lợi nhuận sau thuế (YoY) (6M)*",Sheet4!$1:$1,2)),"")</f>
        <v>0</v>
      </c>
      <c r="Q304" s="10" cm="1">
        <f t="array" ref="Q304">IFERROR(INDEX(Sheet4!$2:$1605,MATCH(ChiTietKQKD[[#This Row],[Mã CP]],Sheet4!$B$2:$B$1605,0),_xlfn.XMATCH("*Tăng trưởng doanh thu thuần (QoQ)*",Sheet4!$1:$1,2)),"")</f>
        <v>0</v>
      </c>
      <c r="R304" s="10" cm="1">
        <f t="array" ref="R304">IFERROR(INDEX(Sheet4!$2:$1605,MATCH(ChiTietKQKD[[#This Row],[Mã CP]],Sheet4!$B$2:$B$1605,0),_xlfn.XMATCH("*Tăng trưởng lợi nhuận sau thuế (QoQ)*",Sheet4!$1:$1,2)),"")</f>
        <v>0</v>
      </c>
    </row>
    <row r="305" spans="1:18" x14ac:dyDescent="0.25">
      <c r="A305" s="7">
        <f>Sheet4!A284</f>
        <v>283</v>
      </c>
      <c r="B305" t="str">
        <f>Sheet4!B284</f>
        <v>PPC</v>
      </c>
      <c r="C305" t="str">
        <f>Sheet4!C283</f>
        <v>Điện lực Dầu khí Việt Nam</v>
      </c>
      <c r="D305" t="str">
        <f>Sheet4!D284</f>
        <v>HOSE</v>
      </c>
      <c r="E305" s="7">
        <f>Sheet4!AH284/1000000000</f>
        <v>2885.5174860000002</v>
      </c>
      <c r="F305" t="str">
        <f>Sheet4!E284</f>
        <v>Tiện ích Cộng đồng</v>
      </c>
      <c r="G305" t="str">
        <f>Sheet4!F284</f>
        <v>Điện, nước &amp; xăng dầu khí đốt</v>
      </c>
      <c r="H305" t="str">
        <f>Sheet4!G284</f>
        <v>Sản xuất &amp; Phân phối Điện</v>
      </c>
      <c r="I305" s="9" cm="1">
        <f t="array" ref="I30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2858.0450647500002</v>
      </c>
      <c r="J305" s="9" cm="1">
        <f t="array" ref="J30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4656.2257219849998</v>
      </c>
      <c r="K305" s="10" cm="1">
        <f t="array" ref="K30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0.47310000000000002</v>
      </c>
      <c r="L305" s="10" cm="1">
        <f t="array" ref="L30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0.33939999999999998</v>
      </c>
      <c r="M305" s="9" cm="1">
        <f t="array" ref="M305">_xlfn.LET(_xlpm.val,IFERROR(INDEX(Sheet4!$2:$1605,MATCH(ChiTietKQKD[[#This Row],[Mã CP]],Sheet4!$B$2:$B$1605,0),_xlfn.XMATCH("*Lợi nhuận sau thuế*Q2*2026*",Sheet4!$1:$1,2)),0),IF(OR(_xlpm.val="",_xlpm.val=0),"",_xlpm.val/1000000000))</f>
        <v>70.268062920000006</v>
      </c>
      <c r="N305" s="9" cm="1">
        <f t="array" ref="N305">_xlfn.LET(_xlpm.val,IFERROR(INDEX(Sheet4!$2:$1605,MATCH(ChiTietKQKD[[#This Row],[Mã CP]],Sheet4!$B$2:$B$1605,0),_xlfn.XMATCH("*Lợi nhuận sau thuế*6 tháng*2026*",Sheet4!$1:$1,2)),0),IF(OR(_xlpm.val="",_xlpm.val=0),"",_xlpm.val/1000000000))</f>
        <v>165.99956933600001</v>
      </c>
      <c r="O305" s="10" cm="1">
        <f t="array" ref="O305">IFERROR(INDEX(Sheet4!$2:$1605,MATCH(ChiTietKQKD[[#This Row],[Mã CP]],Sheet4!$B$2:$B$1605,0),_xlfn.XMATCH("*Tăng trưởng lợi nhuận sau thuế (YoY) (Quý*",Sheet4!$1:$1,2)),"")</f>
        <v>10.534800000000001</v>
      </c>
      <c r="P305" s="10" cm="1">
        <f t="array" ref="P305">IFERROR(INDEX(Sheet4!$2:$1605,MATCH(ChiTietKQKD[[#This Row],[Mã CP]],Sheet4!$B$2:$B$1605,0),_xlfn.XMATCH("*Tăng trưởng lợi nhuận sau thuế (YoY) (6M)*",Sheet4!$1:$1,2)),"")</f>
        <v>1.8414999999999999</v>
      </c>
      <c r="Q305" s="10" cm="1">
        <f t="array" ref="Q305">IFERROR(INDEX(Sheet4!$2:$1605,MATCH(ChiTietKQKD[[#This Row],[Mã CP]],Sheet4!$B$2:$B$1605,0),_xlfn.XMATCH("*Tăng trưởng doanh thu thuần (QoQ)*",Sheet4!$1:$1,2)),"")</f>
        <v>0.58940000000000003</v>
      </c>
      <c r="R305" s="10" cm="1">
        <f t="array" ref="R305">IFERROR(INDEX(Sheet4!$2:$1605,MATCH(ChiTietKQKD[[#This Row],[Mã CP]],Sheet4!$B$2:$B$1605,0),_xlfn.XMATCH("*Tăng trưởng lợi nhuận sau thuế (QoQ)*",Sheet4!$1:$1,2)),"")</f>
        <v>-0.26600000000000001</v>
      </c>
    </row>
    <row r="306" spans="1:18" x14ac:dyDescent="0.25">
      <c r="A306" s="7">
        <f>Sheet4!A285</f>
        <v>284</v>
      </c>
      <c r="B306" t="str">
        <f>Sheet4!B285</f>
        <v>PTB</v>
      </c>
      <c r="C306" t="str">
        <f>Sheet4!C284</f>
        <v>Nhiệt điện Phả Lại</v>
      </c>
      <c r="D306" t="str">
        <f>Sheet4!D285</f>
        <v>HOSE</v>
      </c>
      <c r="E306" s="7">
        <f>Sheet4!AH285/1000000000</f>
        <v>3373.6776863999999</v>
      </c>
      <c r="F306" t="str">
        <f>Sheet4!E285</f>
        <v>Nguyên vật liệu</v>
      </c>
      <c r="G306" t="str">
        <f>Sheet4!F285</f>
        <v>Tài nguyên Cơ bản</v>
      </c>
      <c r="H306" t="str">
        <f>Sheet4!G285</f>
        <v>Lâm sản và Chế biến gỗ</v>
      </c>
      <c r="I306" s="9" t="str" cm="1">
        <f t="array" ref="I30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06" s="9" t="str" cm="1">
        <f t="array" ref="J30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06" s="10" cm="1">
        <f t="array" ref="K30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06" s="10" cm="1">
        <f t="array" ref="L30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06" s="9" t="str" cm="1">
        <f t="array" ref="M30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06" s="9" t="str" cm="1">
        <f t="array" ref="N30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06" s="10" cm="1">
        <f t="array" ref="O306">IFERROR(INDEX(Sheet4!$2:$1605,MATCH(ChiTietKQKD[[#This Row],[Mã CP]],Sheet4!$B$2:$B$1605,0),_xlfn.XMATCH("*Tăng trưởng lợi nhuận sau thuế (YoY) (Quý*",Sheet4!$1:$1,2)),"")</f>
        <v>0</v>
      </c>
      <c r="P306" s="10" cm="1">
        <f t="array" ref="P306">IFERROR(INDEX(Sheet4!$2:$1605,MATCH(ChiTietKQKD[[#This Row],[Mã CP]],Sheet4!$B$2:$B$1605,0),_xlfn.XMATCH("*Tăng trưởng lợi nhuận sau thuế (YoY) (6M)*",Sheet4!$1:$1,2)),"")</f>
        <v>0</v>
      </c>
      <c r="Q306" s="10" cm="1">
        <f t="array" ref="Q306">IFERROR(INDEX(Sheet4!$2:$1605,MATCH(ChiTietKQKD[[#This Row],[Mã CP]],Sheet4!$B$2:$B$1605,0),_xlfn.XMATCH("*Tăng trưởng doanh thu thuần (QoQ)*",Sheet4!$1:$1,2)),"")</f>
        <v>0</v>
      </c>
      <c r="R306" s="10" cm="1">
        <f t="array" ref="R306">IFERROR(INDEX(Sheet4!$2:$1605,MATCH(ChiTietKQKD[[#This Row],[Mã CP]],Sheet4!$B$2:$B$1605,0),_xlfn.XMATCH("*Tăng trưởng lợi nhuận sau thuế (QoQ)*",Sheet4!$1:$1,2)),"")</f>
        <v>0</v>
      </c>
    </row>
    <row r="307" spans="1:18" x14ac:dyDescent="0.25">
      <c r="A307" s="7">
        <f>Sheet4!A286</f>
        <v>285</v>
      </c>
      <c r="B307" t="str">
        <f>Sheet4!B286</f>
        <v>PTC</v>
      </c>
      <c r="C307" t="str">
        <f>Sheet4!C285</f>
        <v>Công ty Cổ phần Phú Tài</v>
      </c>
      <c r="D307" t="str">
        <f>Sheet4!D286</f>
        <v>HOSE</v>
      </c>
      <c r="E307" s="7">
        <f>Sheet4!AH286/1000000000</f>
        <v>209.24555599999999</v>
      </c>
      <c r="F307" t="str">
        <f>Sheet4!E286</f>
        <v>Công nghiệp</v>
      </c>
      <c r="G307" t="str">
        <f>Sheet4!F286</f>
        <v>Xây dựng và Vật liệu</v>
      </c>
      <c r="H307" t="str">
        <f>Sheet4!G286</f>
        <v>Xây dựng</v>
      </c>
      <c r="I307" s="9" cm="1">
        <f t="array" ref="I30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1.4999999999999999E-2</v>
      </c>
      <c r="J307" s="9" cm="1">
        <f t="array" ref="J30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0.03</v>
      </c>
      <c r="K307" s="10" cm="1">
        <f t="array" ref="K30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07" s="10" cm="1">
        <f t="array" ref="L30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07" s="9" cm="1">
        <f t="array" ref="M307">_xlfn.LET(_xlpm.val,IFERROR(INDEX(Sheet4!$2:$1605,MATCH(ChiTietKQKD[[#This Row],[Mã CP]],Sheet4!$B$2:$B$1605,0),_xlfn.XMATCH("*Lợi nhuận sau thuế*Q2*2026*",Sheet4!$1:$1,2)),0),IF(OR(_xlpm.val="",_xlpm.val=0),"",_xlpm.val/1000000000))</f>
        <v>3.7108997540000002</v>
      </c>
      <c r="N307" s="9" cm="1">
        <f t="array" ref="N307">_xlfn.LET(_xlpm.val,IFERROR(INDEX(Sheet4!$2:$1605,MATCH(ChiTietKQKD[[#This Row],[Mã CP]],Sheet4!$B$2:$B$1605,0),_xlfn.XMATCH("*Lợi nhuận sau thuế*6 tháng*2026*",Sheet4!$1:$1,2)),0),IF(OR(_xlpm.val="",_xlpm.val=0),"",_xlpm.val/1000000000))</f>
        <v>8.0901820240000006</v>
      </c>
      <c r="O307" s="10" cm="1">
        <f t="array" ref="O307">IFERROR(INDEX(Sheet4!$2:$1605,MATCH(ChiTietKQKD[[#This Row],[Mã CP]],Sheet4!$B$2:$B$1605,0),_xlfn.XMATCH("*Tăng trưởng lợi nhuận sau thuế (YoY) (Quý*",Sheet4!$1:$1,2)),"")</f>
        <v>-0.48659999999999998</v>
      </c>
      <c r="P307" s="10" cm="1">
        <f t="array" ref="P307">IFERROR(INDEX(Sheet4!$2:$1605,MATCH(ChiTietKQKD[[#This Row],[Mã CP]],Sheet4!$B$2:$B$1605,0),_xlfn.XMATCH("*Tăng trưởng lợi nhuận sau thuế (YoY) (6M)*",Sheet4!$1:$1,2)),"")</f>
        <v>-0.29909999999999998</v>
      </c>
      <c r="Q307" s="10" cm="1">
        <f t="array" ref="Q307">IFERROR(INDEX(Sheet4!$2:$1605,MATCH(ChiTietKQKD[[#This Row],[Mã CP]],Sheet4!$B$2:$B$1605,0),_xlfn.XMATCH("*Tăng trưởng doanh thu thuần (QoQ)*",Sheet4!$1:$1,2)),"")</f>
        <v>0</v>
      </c>
      <c r="R307" s="10" cm="1">
        <f t="array" ref="R307">IFERROR(INDEX(Sheet4!$2:$1605,MATCH(ChiTietKQKD[[#This Row],[Mã CP]],Sheet4!$B$2:$B$1605,0),_xlfn.XMATCH("*Tăng trưởng lợi nhuận sau thuế (QoQ)*",Sheet4!$1:$1,2)),"")</f>
        <v>-0.15260000000000001</v>
      </c>
    </row>
    <row r="308" spans="1:18" x14ac:dyDescent="0.25">
      <c r="A308" s="7">
        <f>Sheet4!A287</f>
        <v>286</v>
      </c>
      <c r="B308" t="str">
        <f>Sheet4!B287</f>
        <v>PTL</v>
      </c>
      <c r="C308" t="str">
        <f>Sheet4!C286</f>
        <v>Đầu tư ICAPITAL</v>
      </c>
      <c r="D308" t="str">
        <f>Sheet4!D287</f>
        <v>HOSE</v>
      </c>
      <c r="E308" s="7">
        <f>Sheet4!AH287/1000000000</f>
        <v>187</v>
      </c>
      <c r="F308" t="str">
        <f>Sheet4!E287</f>
        <v>Tài chính</v>
      </c>
      <c r="G308" t="str">
        <f>Sheet4!F287</f>
        <v>Bất động sản</v>
      </c>
      <c r="H308" t="str">
        <f>Sheet4!G287</f>
        <v>Bất động sản</v>
      </c>
      <c r="I308" s="9" t="str" cm="1">
        <f t="array" ref="I30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08" s="9" t="str" cm="1">
        <f t="array" ref="J30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08" s="10" cm="1">
        <f t="array" ref="K30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08" s="10" cm="1">
        <f t="array" ref="L30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08" s="9" t="str" cm="1">
        <f t="array" ref="M30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08" s="9" t="str" cm="1">
        <f t="array" ref="N30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08" s="10" cm="1">
        <f t="array" ref="O308">IFERROR(INDEX(Sheet4!$2:$1605,MATCH(ChiTietKQKD[[#This Row],[Mã CP]],Sheet4!$B$2:$B$1605,0),_xlfn.XMATCH("*Tăng trưởng lợi nhuận sau thuế (YoY) (Quý*",Sheet4!$1:$1,2)),"")</f>
        <v>0</v>
      </c>
      <c r="P308" s="10" cm="1">
        <f t="array" ref="P308">IFERROR(INDEX(Sheet4!$2:$1605,MATCH(ChiTietKQKD[[#This Row],[Mã CP]],Sheet4!$B$2:$B$1605,0),_xlfn.XMATCH("*Tăng trưởng lợi nhuận sau thuế (YoY) (6M)*",Sheet4!$1:$1,2)),"")</f>
        <v>0</v>
      </c>
      <c r="Q308" s="10" cm="1">
        <f t="array" ref="Q308">IFERROR(INDEX(Sheet4!$2:$1605,MATCH(ChiTietKQKD[[#This Row],[Mã CP]],Sheet4!$B$2:$B$1605,0),_xlfn.XMATCH("*Tăng trưởng doanh thu thuần (QoQ)*",Sheet4!$1:$1,2)),"")</f>
        <v>0</v>
      </c>
      <c r="R308" s="10" cm="1">
        <f t="array" ref="R308">IFERROR(INDEX(Sheet4!$2:$1605,MATCH(ChiTietKQKD[[#This Row],[Mã CP]],Sheet4!$B$2:$B$1605,0),_xlfn.XMATCH("*Tăng trưởng lợi nhuận sau thuế (QoQ)*",Sheet4!$1:$1,2)),"")</f>
        <v>0</v>
      </c>
    </row>
    <row r="309" spans="1:18" x14ac:dyDescent="0.25">
      <c r="A309" s="7">
        <f>Sheet4!A288</f>
        <v>287</v>
      </c>
      <c r="B309" t="str">
        <f>Sheet4!B288</f>
        <v>PVD</v>
      </c>
      <c r="C309" t="str">
        <f>Sheet4!C287</f>
        <v>Victory Group</v>
      </c>
      <c r="D309" t="str">
        <f>Sheet4!D288</f>
        <v>HOSE</v>
      </c>
      <c r="E309" s="7">
        <f>Sheet4!AH288/1000000000</f>
        <v>16235.865275</v>
      </c>
      <c r="F309" t="str">
        <f>Sheet4!E288</f>
        <v>Dầu khí</v>
      </c>
      <c r="G309" t="str">
        <f>Sheet4!F288</f>
        <v>Dầu khí</v>
      </c>
      <c r="H309" t="str">
        <f>Sheet4!G288</f>
        <v>Thiết bị và Dịch vụ Dầu khí</v>
      </c>
      <c r="I309" s="9" t="str" cm="1">
        <f t="array" ref="I30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09" s="9" t="str" cm="1">
        <f t="array" ref="J30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09" s="10" cm="1">
        <f t="array" ref="K30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09" s="10" cm="1">
        <f t="array" ref="L30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09" s="9" t="str" cm="1">
        <f t="array" ref="M30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09" s="9" t="str" cm="1">
        <f t="array" ref="N30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09" s="10" cm="1">
        <f t="array" ref="O309">IFERROR(INDEX(Sheet4!$2:$1605,MATCH(ChiTietKQKD[[#This Row],[Mã CP]],Sheet4!$B$2:$B$1605,0),_xlfn.XMATCH("*Tăng trưởng lợi nhuận sau thuế (YoY) (Quý*",Sheet4!$1:$1,2)),"")</f>
        <v>0</v>
      </c>
      <c r="P309" s="10" cm="1">
        <f t="array" ref="P309">IFERROR(INDEX(Sheet4!$2:$1605,MATCH(ChiTietKQKD[[#This Row],[Mã CP]],Sheet4!$B$2:$B$1605,0),_xlfn.XMATCH("*Tăng trưởng lợi nhuận sau thuế (YoY) (6M)*",Sheet4!$1:$1,2)),"")</f>
        <v>0</v>
      </c>
      <c r="Q309" s="10" cm="1">
        <f t="array" ref="Q309">IFERROR(INDEX(Sheet4!$2:$1605,MATCH(ChiTietKQKD[[#This Row],[Mã CP]],Sheet4!$B$2:$B$1605,0),_xlfn.XMATCH("*Tăng trưởng doanh thu thuần (QoQ)*",Sheet4!$1:$1,2)),"")</f>
        <v>0</v>
      </c>
      <c r="R309" s="10" cm="1">
        <f t="array" ref="R309">IFERROR(INDEX(Sheet4!$2:$1605,MATCH(ChiTietKQKD[[#This Row],[Mã CP]],Sheet4!$B$2:$B$1605,0),_xlfn.XMATCH("*Tăng trưởng lợi nhuận sau thuế (QoQ)*",Sheet4!$1:$1,2)),"")</f>
        <v>0</v>
      </c>
    </row>
    <row r="310" spans="1:18" x14ac:dyDescent="0.25">
      <c r="A310" s="7">
        <f>Sheet4!A289</f>
        <v>288</v>
      </c>
      <c r="B310" t="str">
        <f>Sheet4!B289</f>
        <v>PVP</v>
      </c>
      <c r="C310" t="str">
        <f>Sheet4!C288</f>
        <v>Khoan Dầu khí PVDrilling</v>
      </c>
      <c r="D310" t="str">
        <f>Sheet4!D289</f>
        <v>HOSE</v>
      </c>
      <c r="E310" s="7">
        <f>Sheet4!AH289/1000000000</f>
        <v>1783.6821743999999</v>
      </c>
      <c r="F310" t="str">
        <f>Sheet4!E289</f>
        <v>Công nghiệp</v>
      </c>
      <c r="G310" t="str">
        <f>Sheet4!F289</f>
        <v>Hàng &amp; Dịch vụ Công nghiệp</v>
      </c>
      <c r="H310" t="str">
        <f>Sheet4!G289</f>
        <v>Dịch vụ vận tải</v>
      </c>
      <c r="I310" s="9" cm="1">
        <f t="array" ref="I31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722.76863979300003</v>
      </c>
      <c r="J310" s="9" cm="1">
        <f t="array" ref="J31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1367.5866815889999</v>
      </c>
      <c r="K310" s="10" cm="1">
        <f t="array" ref="K31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0.29780000000000001</v>
      </c>
      <c r="L310" s="10" cm="1">
        <f t="array" ref="L31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0.3982</v>
      </c>
      <c r="M310" s="9" cm="1">
        <f t="array" ref="M310">_xlfn.LET(_xlpm.val,IFERROR(INDEX(Sheet4!$2:$1605,MATCH(ChiTietKQKD[[#This Row],[Mã CP]],Sheet4!$B$2:$B$1605,0),_xlfn.XMATCH("*Lợi nhuận sau thuế*Q2*2026*",Sheet4!$1:$1,2)),0),IF(OR(_xlpm.val="",_xlpm.val=0),"",_xlpm.val/1000000000))</f>
        <v>134.19062887699999</v>
      </c>
      <c r="N310" s="9" cm="1">
        <f t="array" ref="N310">_xlfn.LET(_xlpm.val,IFERROR(INDEX(Sheet4!$2:$1605,MATCH(ChiTietKQKD[[#This Row],[Mã CP]],Sheet4!$B$2:$B$1605,0),_xlfn.XMATCH("*Lợi nhuận sau thuế*6 tháng*2026*",Sheet4!$1:$1,2)),0),IF(OR(_xlpm.val="",_xlpm.val=0),"",_xlpm.val/1000000000))</f>
        <v>209.73382848899999</v>
      </c>
      <c r="O310" s="10" cm="1">
        <f t="array" ref="O310">IFERROR(INDEX(Sheet4!$2:$1605,MATCH(ChiTietKQKD[[#This Row],[Mã CP]],Sheet4!$B$2:$B$1605,0),_xlfn.XMATCH("*Tăng trưởng lợi nhuận sau thuế (YoY) (Quý*",Sheet4!$1:$1,2)),"")</f>
        <v>1.9807999999999999</v>
      </c>
      <c r="P310" s="10" cm="1">
        <f t="array" ref="P310">IFERROR(INDEX(Sheet4!$2:$1605,MATCH(ChiTietKQKD[[#This Row],[Mã CP]],Sheet4!$B$2:$B$1605,0),_xlfn.XMATCH("*Tăng trưởng lợi nhuận sau thuế (YoY) (6M)*",Sheet4!$1:$1,2)),"")</f>
        <v>1.456</v>
      </c>
      <c r="Q310" s="10" cm="1">
        <f t="array" ref="Q310">IFERROR(INDEX(Sheet4!$2:$1605,MATCH(ChiTietKQKD[[#This Row],[Mã CP]],Sheet4!$B$2:$B$1605,0),_xlfn.XMATCH("*Tăng trưởng doanh thu thuần (QoQ)*",Sheet4!$1:$1,2)),"")</f>
        <v>0.12089999999999999</v>
      </c>
      <c r="R310" s="10" cm="1">
        <f t="array" ref="R310">IFERROR(INDEX(Sheet4!$2:$1605,MATCH(ChiTietKQKD[[#This Row],[Mã CP]],Sheet4!$B$2:$B$1605,0),_xlfn.XMATCH("*Tăng trưởng lợi nhuận sau thuế (QoQ)*",Sheet4!$1:$1,2)),"")</f>
        <v>0.77629999999999999</v>
      </c>
    </row>
    <row r="311" spans="1:18" x14ac:dyDescent="0.25">
      <c r="A311" s="7">
        <f>Sheet4!A290</f>
        <v>289</v>
      </c>
      <c r="B311" t="str">
        <f>Sheet4!B290</f>
        <v>PVT</v>
      </c>
      <c r="C311" t="str">
        <f>Sheet4!C289</f>
        <v>Vận tải Dầu khí Thái Bình Dương</v>
      </c>
      <c r="D311" t="str">
        <f>Sheet4!D290</f>
        <v>HOSE</v>
      </c>
      <c r="E311" s="7">
        <f>Sheet4!AH290/1000000000</f>
        <v>8684.2381583999995</v>
      </c>
      <c r="F311" t="str">
        <f>Sheet4!E290</f>
        <v>Công nghiệp</v>
      </c>
      <c r="G311" t="str">
        <f>Sheet4!F290</f>
        <v>Hàng &amp; Dịch vụ Công nghiệp</v>
      </c>
      <c r="H311" t="str">
        <f>Sheet4!G290</f>
        <v>Vận tải Thủy</v>
      </c>
      <c r="I311" s="9" t="str" cm="1">
        <f t="array" ref="I31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11" s="9" t="str" cm="1">
        <f t="array" ref="J31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11" s="10" cm="1">
        <f t="array" ref="K31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11" s="10" cm="1">
        <f t="array" ref="L31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11" s="9" t="str" cm="1">
        <f t="array" ref="M31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11" s="9" t="str" cm="1">
        <f t="array" ref="N31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11" s="10" cm="1">
        <f t="array" ref="O311">IFERROR(INDEX(Sheet4!$2:$1605,MATCH(ChiTietKQKD[[#This Row],[Mã CP]],Sheet4!$B$2:$B$1605,0),_xlfn.XMATCH("*Tăng trưởng lợi nhuận sau thuế (YoY) (Quý*",Sheet4!$1:$1,2)),"")</f>
        <v>0</v>
      </c>
      <c r="P311" s="10" cm="1">
        <f t="array" ref="P311">IFERROR(INDEX(Sheet4!$2:$1605,MATCH(ChiTietKQKD[[#This Row],[Mã CP]],Sheet4!$B$2:$B$1605,0),_xlfn.XMATCH("*Tăng trưởng lợi nhuận sau thuế (YoY) (6M)*",Sheet4!$1:$1,2)),"")</f>
        <v>0</v>
      </c>
      <c r="Q311" s="10" cm="1">
        <f t="array" ref="Q311">IFERROR(INDEX(Sheet4!$2:$1605,MATCH(ChiTietKQKD[[#This Row],[Mã CP]],Sheet4!$B$2:$B$1605,0),_xlfn.XMATCH("*Tăng trưởng doanh thu thuần (QoQ)*",Sheet4!$1:$1,2)),"")</f>
        <v>0</v>
      </c>
      <c r="R311" s="10" cm="1">
        <f t="array" ref="R311">IFERROR(INDEX(Sheet4!$2:$1605,MATCH(ChiTietKQKD[[#This Row],[Mã CP]],Sheet4!$B$2:$B$1605,0),_xlfn.XMATCH("*Tăng trưởng lợi nhuận sau thuế (QoQ)*",Sheet4!$1:$1,2)),"")</f>
        <v>0</v>
      </c>
    </row>
    <row r="312" spans="1:18" x14ac:dyDescent="0.25">
      <c r="A312" s="7">
        <f>Sheet4!A291</f>
        <v>290</v>
      </c>
      <c r="B312" t="str">
        <f>Sheet4!B291</f>
        <v>QCG</v>
      </c>
      <c r="C312" t="str">
        <f>Sheet4!C290</f>
        <v>Vận tải Dầu khí PVTrans</v>
      </c>
      <c r="D312" t="str">
        <f>Sheet4!D291</f>
        <v>HOSE</v>
      </c>
      <c r="E312" s="7">
        <f>Sheet4!AH291/1000000000</f>
        <v>2778.8043241</v>
      </c>
      <c r="F312" t="str">
        <f>Sheet4!E291</f>
        <v>Tài chính</v>
      </c>
      <c r="G312" t="str">
        <f>Sheet4!F291</f>
        <v>Bất động sản</v>
      </c>
      <c r="H312" t="str">
        <f>Sheet4!G291</f>
        <v>Bất động sản</v>
      </c>
      <c r="I312" s="9" t="str" cm="1">
        <f t="array" ref="I31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12" s="9" t="str" cm="1">
        <f t="array" ref="J31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12" s="10" cm="1">
        <f t="array" ref="K31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12" s="10" cm="1">
        <f t="array" ref="L31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12" s="9" t="str" cm="1">
        <f t="array" ref="M31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12" s="9" t="str" cm="1">
        <f t="array" ref="N31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12" s="10" cm="1">
        <f t="array" ref="O312">IFERROR(INDEX(Sheet4!$2:$1605,MATCH(ChiTietKQKD[[#This Row],[Mã CP]],Sheet4!$B$2:$B$1605,0),_xlfn.XMATCH("*Tăng trưởng lợi nhuận sau thuế (YoY) (Quý*",Sheet4!$1:$1,2)),"")</f>
        <v>0</v>
      </c>
      <c r="P312" s="10" cm="1">
        <f t="array" ref="P312">IFERROR(INDEX(Sheet4!$2:$1605,MATCH(ChiTietKQKD[[#This Row],[Mã CP]],Sheet4!$B$2:$B$1605,0),_xlfn.XMATCH("*Tăng trưởng lợi nhuận sau thuế (YoY) (6M)*",Sheet4!$1:$1,2)),"")</f>
        <v>0</v>
      </c>
      <c r="Q312" s="10" cm="1">
        <f t="array" ref="Q312">IFERROR(INDEX(Sheet4!$2:$1605,MATCH(ChiTietKQKD[[#This Row],[Mã CP]],Sheet4!$B$2:$B$1605,0),_xlfn.XMATCH("*Tăng trưởng doanh thu thuần (QoQ)*",Sheet4!$1:$1,2)),"")</f>
        <v>0</v>
      </c>
      <c r="R312" s="10" cm="1">
        <f t="array" ref="R312">IFERROR(INDEX(Sheet4!$2:$1605,MATCH(ChiTietKQKD[[#This Row],[Mã CP]],Sheet4!$B$2:$B$1605,0),_xlfn.XMATCH("*Tăng trưởng lợi nhuận sau thuế (QoQ)*",Sheet4!$1:$1,2)),"")</f>
        <v>0</v>
      </c>
    </row>
    <row r="313" spans="1:18" x14ac:dyDescent="0.25">
      <c r="A313" s="7">
        <f>Sheet4!A292</f>
        <v>291</v>
      </c>
      <c r="B313" t="str">
        <f>Sheet4!B292</f>
        <v>QNP</v>
      </c>
      <c r="C313" t="str">
        <f>Sheet4!C291</f>
        <v>Quốc Cường Gia Lai</v>
      </c>
      <c r="D313" t="str">
        <f>Sheet4!D292</f>
        <v>HOSE</v>
      </c>
      <c r="E313" s="7">
        <f>Sheet4!AH292/1000000000</f>
        <v>1289.077405</v>
      </c>
      <c r="F313" t="str">
        <f>Sheet4!E292</f>
        <v>Công nghiệp</v>
      </c>
      <c r="G313" t="str">
        <f>Sheet4!F292</f>
        <v>Hàng &amp; Dịch vụ Công nghiệp</v>
      </c>
      <c r="H313" t="str">
        <f>Sheet4!G292</f>
        <v>Kho bãi, hậu cần và bảo dưỡng</v>
      </c>
      <c r="I313" s="9" cm="1">
        <f t="array" ref="I31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381.16229638499999</v>
      </c>
      <c r="J313" s="9" cm="1">
        <f t="array" ref="J31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738.84472030500001</v>
      </c>
      <c r="K313" s="10" cm="1">
        <f t="array" ref="K31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0.36209999999999998</v>
      </c>
      <c r="L313" s="10" cm="1">
        <f t="array" ref="L31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0.39190000000000003</v>
      </c>
      <c r="M313" s="9" cm="1">
        <f t="array" ref="M313">_xlfn.LET(_xlpm.val,IFERROR(INDEX(Sheet4!$2:$1605,MATCH(ChiTietKQKD[[#This Row],[Mã CP]],Sheet4!$B$2:$B$1605,0),_xlfn.XMATCH("*Lợi nhuận sau thuế*Q2*2026*",Sheet4!$1:$1,2)),0),IF(OR(_xlpm.val="",_xlpm.val=0),"",_xlpm.val/1000000000))</f>
        <v>43.095459587999997</v>
      </c>
      <c r="N313" s="9" cm="1">
        <f t="array" ref="N313">_xlfn.LET(_xlpm.val,IFERROR(INDEX(Sheet4!$2:$1605,MATCH(ChiTietKQKD[[#This Row],[Mã CP]],Sheet4!$B$2:$B$1605,0),_xlfn.XMATCH("*Lợi nhuận sau thuế*6 tháng*2026*",Sheet4!$1:$1,2)),0),IF(OR(_xlpm.val="",_xlpm.val=0),"",_xlpm.val/1000000000))</f>
        <v>85.204456081999993</v>
      </c>
      <c r="O313" s="10" cm="1">
        <f t="array" ref="O313">IFERROR(INDEX(Sheet4!$2:$1605,MATCH(ChiTietKQKD[[#This Row],[Mã CP]],Sheet4!$B$2:$B$1605,0),_xlfn.XMATCH("*Tăng trưởng lợi nhuận sau thuế (YoY) (Quý*",Sheet4!$1:$1,2)),"")</f>
        <v>9.4E-2</v>
      </c>
      <c r="P313" s="10" cm="1">
        <f t="array" ref="P313">IFERROR(INDEX(Sheet4!$2:$1605,MATCH(ChiTietKQKD[[#This Row],[Mã CP]],Sheet4!$B$2:$B$1605,0),_xlfn.XMATCH("*Tăng trưởng lợi nhuận sau thuế (YoY) (6M)*",Sheet4!$1:$1,2)),"")</f>
        <v>0.3054</v>
      </c>
      <c r="Q313" s="10" cm="1">
        <f t="array" ref="Q313">IFERROR(INDEX(Sheet4!$2:$1605,MATCH(ChiTietKQKD[[#This Row],[Mã CP]],Sheet4!$B$2:$B$1605,0),_xlfn.XMATCH("*Tăng trưởng doanh thu thuần (QoQ)*",Sheet4!$1:$1,2)),"")</f>
        <v>6.5600000000000006E-2</v>
      </c>
      <c r="R313" s="10" cm="1">
        <f t="array" ref="R313">IFERROR(INDEX(Sheet4!$2:$1605,MATCH(ChiTietKQKD[[#This Row],[Mã CP]],Sheet4!$B$2:$B$1605,0),_xlfn.XMATCH("*Tăng trưởng lợi nhuận sau thuế (QoQ)*",Sheet4!$1:$1,2)),"")</f>
        <v>2.3400000000000001E-2</v>
      </c>
    </row>
    <row r="314" spans="1:18" x14ac:dyDescent="0.25">
      <c r="A314" s="7">
        <f>Sheet4!A293</f>
        <v>292</v>
      </c>
      <c r="B314" t="str">
        <f>Sheet4!B293</f>
        <v>RAL</v>
      </c>
      <c r="C314" t="str">
        <f>Sheet4!C292</f>
        <v>Cảng Quy Nhơn</v>
      </c>
      <c r="D314" t="str">
        <f>Sheet4!D293</f>
        <v>HOSE</v>
      </c>
      <c r="E314" s="7">
        <f>Sheet4!AH293/1000000000</f>
        <v>1883.7935199999999</v>
      </c>
      <c r="F314" t="str">
        <f>Sheet4!E293</f>
        <v>Hàng Tiêu dùng</v>
      </c>
      <c r="G314" t="str">
        <f>Sheet4!F293</f>
        <v>Hàng cá nhân &amp; Gia dụng</v>
      </c>
      <c r="H314" t="str">
        <f>Sheet4!G293</f>
        <v>Thiết bị gia dụng</v>
      </c>
      <c r="I314" s="9" t="str" cm="1">
        <f t="array" ref="I31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14" s="9" t="str" cm="1">
        <f t="array" ref="J31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14" s="10" cm="1">
        <f t="array" ref="K31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14" s="10" cm="1">
        <f t="array" ref="L31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14" s="9" t="str" cm="1">
        <f t="array" ref="M31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14" s="9" t="str" cm="1">
        <f t="array" ref="N31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14" s="10" cm="1">
        <f t="array" ref="O314">IFERROR(INDEX(Sheet4!$2:$1605,MATCH(ChiTietKQKD[[#This Row],[Mã CP]],Sheet4!$B$2:$B$1605,0),_xlfn.XMATCH("*Tăng trưởng lợi nhuận sau thuế (YoY) (Quý*",Sheet4!$1:$1,2)),"")</f>
        <v>0</v>
      </c>
      <c r="P314" s="10" cm="1">
        <f t="array" ref="P314">IFERROR(INDEX(Sheet4!$2:$1605,MATCH(ChiTietKQKD[[#This Row],[Mã CP]],Sheet4!$B$2:$B$1605,0),_xlfn.XMATCH("*Tăng trưởng lợi nhuận sau thuế (YoY) (6M)*",Sheet4!$1:$1,2)),"")</f>
        <v>0</v>
      </c>
      <c r="Q314" s="10" cm="1">
        <f t="array" ref="Q314">IFERROR(INDEX(Sheet4!$2:$1605,MATCH(ChiTietKQKD[[#This Row],[Mã CP]],Sheet4!$B$2:$B$1605,0),_xlfn.XMATCH("*Tăng trưởng doanh thu thuần (QoQ)*",Sheet4!$1:$1,2)),"")</f>
        <v>0</v>
      </c>
      <c r="R314" s="10" cm="1">
        <f t="array" ref="R314">IFERROR(INDEX(Sheet4!$2:$1605,MATCH(ChiTietKQKD[[#This Row],[Mã CP]],Sheet4!$B$2:$B$1605,0),_xlfn.XMATCH("*Tăng trưởng lợi nhuận sau thuế (QoQ)*",Sheet4!$1:$1,2)),"")</f>
        <v>0</v>
      </c>
    </row>
    <row r="315" spans="1:18" x14ac:dyDescent="0.25">
      <c r="A315" s="7">
        <f>Sheet4!A294</f>
        <v>293</v>
      </c>
      <c r="B315" t="str">
        <f>Sheet4!B294</f>
        <v>REE</v>
      </c>
      <c r="C315" t="str">
        <f>Sheet4!C293</f>
        <v>Bóng đèn Phích nước Rạng Đông</v>
      </c>
      <c r="D315" t="str">
        <f>Sheet4!D294</f>
        <v>HOSE</v>
      </c>
      <c r="E315" s="7">
        <f>Sheet4!AH294/1000000000</f>
        <v>27314.122728599999</v>
      </c>
      <c r="F315" t="str">
        <f>Sheet4!E294</f>
        <v>Tiện ích Cộng đồng</v>
      </c>
      <c r="G315" t="str">
        <f>Sheet4!F294</f>
        <v>Điện, nước &amp; xăng dầu khí đốt</v>
      </c>
      <c r="H315" t="str">
        <f>Sheet4!G294</f>
        <v>Sản xuất &amp; Phân phối Điện</v>
      </c>
      <c r="I315" s="9" t="str" cm="1">
        <f t="array" ref="I31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15" s="9" t="str" cm="1">
        <f t="array" ref="J31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15" s="10" cm="1">
        <f t="array" ref="K31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15" s="10" cm="1">
        <f t="array" ref="L31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15" s="9" t="str" cm="1">
        <f t="array" ref="M31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15" s="9" t="str" cm="1">
        <f t="array" ref="N31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15" s="10" cm="1">
        <f t="array" ref="O315">IFERROR(INDEX(Sheet4!$2:$1605,MATCH(ChiTietKQKD[[#This Row],[Mã CP]],Sheet4!$B$2:$B$1605,0),_xlfn.XMATCH("*Tăng trưởng lợi nhuận sau thuế (YoY) (Quý*",Sheet4!$1:$1,2)),"")</f>
        <v>0</v>
      </c>
      <c r="P315" s="10" cm="1">
        <f t="array" ref="P315">IFERROR(INDEX(Sheet4!$2:$1605,MATCH(ChiTietKQKD[[#This Row],[Mã CP]],Sheet4!$B$2:$B$1605,0),_xlfn.XMATCH("*Tăng trưởng lợi nhuận sau thuế (YoY) (6M)*",Sheet4!$1:$1,2)),"")</f>
        <v>0</v>
      </c>
      <c r="Q315" s="10" cm="1">
        <f t="array" ref="Q315">IFERROR(INDEX(Sheet4!$2:$1605,MATCH(ChiTietKQKD[[#This Row],[Mã CP]],Sheet4!$B$2:$B$1605,0),_xlfn.XMATCH("*Tăng trưởng doanh thu thuần (QoQ)*",Sheet4!$1:$1,2)),"")</f>
        <v>0</v>
      </c>
      <c r="R315" s="10" cm="1">
        <f t="array" ref="R315">IFERROR(INDEX(Sheet4!$2:$1605,MATCH(ChiTietKQKD[[#This Row],[Mã CP]],Sheet4!$B$2:$B$1605,0),_xlfn.XMATCH("*Tăng trưởng lợi nhuận sau thuế (QoQ)*",Sheet4!$1:$1,2)),"")</f>
        <v>0</v>
      </c>
    </row>
    <row r="316" spans="1:18" x14ac:dyDescent="0.25">
      <c r="A316" s="7">
        <f>Sheet4!A295</f>
        <v>294</v>
      </c>
      <c r="B316" t="str">
        <f>Sheet4!B295</f>
        <v>RYG</v>
      </c>
      <c r="C316" t="str">
        <f>Sheet4!C294</f>
        <v>Cơ Điện Lạnh REE</v>
      </c>
      <c r="D316" t="str">
        <f>Sheet4!D295</f>
        <v>HOSE</v>
      </c>
      <c r="E316" s="7">
        <f>Sheet4!AH295/1000000000</f>
        <v>412.65</v>
      </c>
      <c r="F316" t="str">
        <f>Sheet4!E295</f>
        <v>Công nghiệp</v>
      </c>
      <c r="G316" t="str">
        <f>Sheet4!F295</f>
        <v>Xây dựng và Vật liệu</v>
      </c>
      <c r="H316" t="str">
        <f>Sheet4!G295</f>
        <v>Vật liệu xây dựng &amp; Nội thất</v>
      </c>
      <c r="I316" s="9" t="str" cm="1">
        <f t="array" ref="I31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16" s="9" t="str" cm="1">
        <f t="array" ref="J31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16" s="10" cm="1">
        <f t="array" ref="K31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16" s="10" cm="1">
        <f t="array" ref="L31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16" s="9" t="str" cm="1">
        <f t="array" ref="M31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16" s="9" t="str" cm="1">
        <f t="array" ref="N31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16" s="10" cm="1">
        <f t="array" ref="O316">IFERROR(INDEX(Sheet4!$2:$1605,MATCH(ChiTietKQKD[[#This Row],[Mã CP]],Sheet4!$B$2:$B$1605,0),_xlfn.XMATCH("*Tăng trưởng lợi nhuận sau thuế (YoY) (Quý*",Sheet4!$1:$1,2)),"")</f>
        <v>0</v>
      </c>
      <c r="P316" s="10" cm="1">
        <f t="array" ref="P316">IFERROR(INDEX(Sheet4!$2:$1605,MATCH(ChiTietKQKD[[#This Row],[Mã CP]],Sheet4!$B$2:$B$1605,0),_xlfn.XMATCH("*Tăng trưởng lợi nhuận sau thuế (YoY) (6M)*",Sheet4!$1:$1,2)),"")</f>
        <v>0</v>
      </c>
      <c r="Q316" s="10" cm="1">
        <f t="array" ref="Q316">IFERROR(INDEX(Sheet4!$2:$1605,MATCH(ChiTietKQKD[[#This Row],[Mã CP]],Sheet4!$B$2:$B$1605,0),_xlfn.XMATCH("*Tăng trưởng doanh thu thuần (QoQ)*",Sheet4!$1:$1,2)),"")</f>
        <v>0</v>
      </c>
      <c r="R316" s="10" cm="1">
        <f t="array" ref="R316">IFERROR(INDEX(Sheet4!$2:$1605,MATCH(ChiTietKQKD[[#This Row],[Mã CP]],Sheet4!$B$2:$B$1605,0),_xlfn.XMATCH("*Tăng trưởng lợi nhuận sau thuế (QoQ)*",Sheet4!$1:$1,2)),"")</f>
        <v>0</v>
      </c>
    </row>
    <row r="317" spans="1:18" x14ac:dyDescent="0.25">
      <c r="A317" s="7">
        <f>Sheet4!A296</f>
        <v>295</v>
      </c>
      <c r="B317" t="str">
        <f>Sheet4!B296</f>
        <v>S4A</v>
      </c>
      <c r="C317" t="str">
        <f>Sheet4!C295</f>
        <v>Sản xuất và Đầu tư Hoàng Gia</v>
      </c>
      <c r="D317" t="str">
        <f>Sheet4!D296</f>
        <v>HOSE</v>
      </c>
      <c r="E317" s="7">
        <f>Sheet4!AH296/1000000000</f>
        <v>1367.28</v>
      </c>
      <c r="F317" t="str">
        <f>Sheet4!E296</f>
        <v>Tiện ích Cộng đồng</v>
      </c>
      <c r="G317" t="str">
        <f>Sheet4!F296</f>
        <v>Điện, nước &amp; xăng dầu khí đốt</v>
      </c>
      <c r="H317" t="str">
        <f>Sheet4!G296</f>
        <v>Sản xuất &amp; Phân phối Điện</v>
      </c>
      <c r="I317" s="9" cm="1">
        <f t="array" ref="I31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62.433393301000002</v>
      </c>
      <c r="J317" s="9" cm="1">
        <f t="array" ref="J31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116.05443497</v>
      </c>
      <c r="K317" s="10" cm="1">
        <f t="array" ref="K31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-1.7000000000000001E-2</v>
      </c>
      <c r="L317" s="10" cm="1">
        <f t="array" ref="L31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4.8099999999999997E-2</v>
      </c>
      <c r="M317" s="9" cm="1">
        <f t="array" ref="M317">_xlfn.LET(_xlpm.val,IFERROR(INDEX(Sheet4!$2:$1605,MATCH(ChiTietKQKD[[#This Row],[Mã CP]],Sheet4!$B$2:$B$1605,0),_xlfn.XMATCH("*Lợi nhuận sau thuế*Q2*2026*",Sheet4!$1:$1,2)),0),IF(OR(_xlpm.val="",_xlpm.val=0),"",_xlpm.val/1000000000))</f>
        <v>16.641560521999999</v>
      </c>
      <c r="N317" s="9" cm="1">
        <f t="array" ref="N317">_xlfn.LET(_xlpm.val,IFERROR(INDEX(Sheet4!$2:$1605,MATCH(ChiTietKQKD[[#This Row],[Mã CP]],Sheet4!$B$2:$B$1605,0),_xlfn.XMATCH("*Lợi nhuận sau thuế*6 tháng*2026*",Sheet4!$1:$1,2)),0),IF(OR(_xlpm.val="",_xlpm.val=0),"",_xlpm.val/1000000000))</f>
        <v>64.060282232000006</v>
      </c>
      <c r="O317" s="10" cm="1">
        <f t="array" ref="O317">IFERROR(INDEX(Sheet4!$2:$1605,MATCH(ChiTietKQKD[[#This Row],[Mã CP]],Sheet4!$B$2:$B$1605,0),_xlfn.XMATCH("*Tăng trưởng lợi nhuận sau thuế (YoY) (Quý*",Sheet4!$1:$1,2)),"")</f>
        <v>0.18</v>
      </c>
      <c r="P317" s="10" cm="1">
        <f t="array" ref="P317">IFERROR(INDEX(Sheet4!$2:$1605,MATCH(ChiTietKQKD[[#This Row],[Mã CP]],Sheet4!$B$2:$B$1605,0),_xlfn.XMATCH("*Tăng trưởng lợi nhuận sau thuế (YoY) (6M)*",Sheet4!$1:$1,2)),"")</f>
        <v>0.96750000000000003</v>
      </c>
      <c r="Q317" s="10" cm="1">
        <f t="array" ref="Q317">IFERROR(INDEX(Sheet4!$2:$1605,MATCH(ChiTietKQKD[[#This Row],[Mã CP]],Sheet4!$B$2:$B$1605,0),_xlfn.XMATCH("*Tăng trưởng doanh thu thuần (QoQ)*",Sheet4!$1:$1,2)),"")</f>
        <v>0.1643</v>
      </c>
      <c r="R317" s="10" cm="1">
        <f t="array" ref="R317">IFERROR(INDEX(Sheet4!$2:$1605,MATCH(ChiTietKQKD[[#This Row],[Mã CP]],Sheet4!$B$2:$B$1605,0),_xlfn.XMATCH("*Tăng trưởng lợi nhuận sau thuế (QoQ)*",Sheet4!$1:$1,2)),"")</f>
        <v>-0.64910000000000001</v>
      </c>
    </row>
    <row r="318" spans="1:18" x14ac:dyDescent="0.25">
      <c r="A318" s="7">
        <f>Sheet4!A297</f>
        <v>296</v>
      </c>
      <c r="B318" t="str">
        <f>Sheet4!B297</f>
        <v>SAB</v>
      </c>
      <c r="C318" t="str">
        <f>Sheet4!C296</f>
        <v>Thủy điện Sê San 4A</v>
      </c>
      <c r="D318" t="str">
        <f>Sheet4!D297</f>
        <v>HOSE</v>
      </c>
      <c r="E318" s="7">
        <f>Sheet4!AH297/1000000000</f>
        <v>60216.303365400003</v>
      </c>
      <c r="F318" t="str">
        <f>Sheet4!E297</f>
        <v>Hàng Tiêu dùng</v>
      </c>
      <c r="G318" t="str">
        <f>Sheet4!F297</f>
        <v>Thực phẩm và đồ uống</v>
      </c>
      <c r="H318" t="str">
        <f>Sheet4!G297</f>
        <v>Sản xuất bia</v>
      </c>
      <c r="I318" s="9" t="str" cm="1">
        <f t="array" ref="I31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18" s="9" t="str" cm="1">
        <f t="array" ref="J31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18" s="10" cm="1">
        <f t="array" ref="K31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18" s="10" cm="1">
        <f t="array" ref="L31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18" s="9" t="str" cm="1">
        <f t="array" ref="M31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18" s="9" t="str" cm="1">
        <f t="array" ref="N31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18" s="10" cm="1">
        <f t="array" ref="O318">IFERROR(INDEX(Sheet4!$2:$1605,MATCH(ChiTietKQKD[[#This Row],[Mã CP]],Sheet4!$B$2:$B$1605,0),_xlfn.XMATCH("*Tăng trưởng lợi nhuận sau thuế (YoY) (Quý*",Sheet4!$1:$1,2)),"")</f>
        <v>0</v>
      </c>
      <c r="P318" s="10" cm="1">
        <f t="array" ref="P318">IFERROR(INDEX(Sheet4!$2:$1605,MATCH(ChiTietKQKD[[#This Row],[Mã CP]],Sheet4!$B$2:$B$1605,0),_xlfn.XMATCH("*Tăng trưởng lợi nhuận sau thuế (YoY) (6M)*",Sheet4!$1:$1,2)),"")</f>
        <v>0</v>
      </c>
      <c r="Q318" s="10" cm="1">
        <f t="array" ref="Q318">IFERROR(INDEX(Sheet4!$2:$1605,MATCH(ChiTietKQKD[[#This Row],[Mã CP]],Sheet4!$B$2:$B$1605,0),_xlfn.XMATCH("*Tăng trưởng doanh thu thuần (QoQ)*",Sheet4!$1:$1,2)),"")</f>
        <v>0</v>
      </c>
      <c r="R318" s="10" cm="1">
        <f t="array" ref="R318">IFERROR(INDEX(Sheet4!$2:$1605,MATCH(ChiTietKQKD[[#This Row],[Mã CP]],Sheet4!$B$2:$B$1605,0),_xlfn.XMATCH("*Tăng trưởng lợi nhuận sau thuế (QoQ)*",Sheet4!$1:$1,2)),"")</f>
        <v>0</v>
      </c>
    </row>
    <row r="319" spans="1:18" x14ac:dyDescent="0.25">
      <c r="A319" s="7">
        <f>Sheet4!A298</f>
        <v>297</v>
      </c>
      <c r="B319" t="str">
        <f>Sheet4!B298</f>
        <v>SAM</v>
      </c>
      <c r="C319" t="str">
        <f>Sheet4!C297</f>
        <v>SABECO</v>
      </c>
      <c r="D319" t="str">
        <f>Sheet4!D298</f>
        <v>HOSE</v>
      </c>
      <c r="E319" s="7">
        <f>Sheet4!AH298/1000000000</f>
        <v>2287.6389882399999</v>
      </c>
      <c r="F319" t="str">
        <f>Sheet4!E298</f>
        <v>Công nghệ Thông tin</v>
      </c>
      <c r="G319" t="str">
        <f>Sheet4!F298</f>
        <v>Công nghệ Thông tin</v>
      </c>
      <c r="H319" t="str">
        <f>Sheet4!G298</f>
        <v>Thiết bị viễn thông</v>
      </c>
      <c r="I319" s="9" t="str" cm="1">
        <f t="array" ref="I31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19" s="9" t="str" cm="1">
        <f t="array" ref="J31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19" s="10" cm="1">
        <f t="array" ref="K31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19" s="10" cm="1">
        <f t="array" ref="L31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19" s="9" t="str" cm="1">
        <f t="array" ref="M31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19" s="9" t="str" cm="1">
        <f t="array" ref="N31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19" s="10" cm="1">
        <f t="array" ref="O319">IFERROR(INDEX(Sheet4!$2:$1605,MATCH(ChiTietKQKD[[#This Row],[Mã CP]],Sheet4!$B$2:$B$1605,0),_xlfn.XMATCH("*Tăng trưởng lợi nhuận sau thuế (YoY) (Quý*",Sheet4!$1:$1,2)),"")</f>
        <v>0</v>
      </c>
      <c r="P319" s="10" cm="1">
        <f t="array" ref="P319">IFERROR(INDEX(Sheet4!$2:$1605,MATCH(ChiTietKQKD[[#This Row],[Mã CP]],Sheet4!$B$2:$B$1605,0),_xlfn.XMATCH("*Tăng trưởng lợi nhuận sau thuế (YoY) (6M)*",Sheet4!$1:$1,2)),"")</f>
        <v>0</v>
      </c>
      <c r="Q319" s="10" cm="1">
        <f t="array" ref="Q319">IFERROR(INDEX(Sheet4!$2:$1605,MATCH(ChiTietKQKD[[#This Row],[Mã CP]],Sheet4!$B$2:$B$1605,0),_xlfn.XMATCH("*Tăng trưởng doanh thu thuần (QoQ)*",Sheet4!$1:$1,2)),"")</f>
        <v>0</v>
      </c>
      <c r="R319" s="10" cm="1">
        <f t="array" ref="R319">IFERROR(INDEX(Sheet4!$2:$1605,MATCH(ChiTietKQKD[[#This Row],[Mã CP]],Sheet4!$B$2:$B$1605,0),_xlfn.XMATCH("*Tăng trưởng lợi nhuận sau thuế (QoQ)*",Sheet4!$1:$1,2)),"")</f>
        <v>0</v>
      </c>
    </row>
    <row r="320" spans="1:18" x14ac:dyDescent="0.25">
      <c r="A320" s="7">
        <f>Sheet4!A299</f>
        <v>298</v>
      </c>
      <c r="B320" t="str">
        <f>Sheet4!B299</f>
        <v>SAV</v>
      </c>
      <c r="C320" t="str">
        <f>Sheet4!C298</f>
        <v>SAM Holdings</v>
      </c>
      <c r="D320" t="str">
        <f>Sheet4!D299</f>
        <v>HOSE</v>
      </c>
      <c r="E320" s="7">
        <f>Sheet4!AH299/1000000000</f>
        <v>348.51755250000002</v>
      </c>
      <c r="F320" t="str">
        <f>Sheet4!E299</f>
        <v>Nguyên vật liệu</v>
      </c>
      <c r="G320" t="str">
        <f>Sheet4!F299</f>
        <v>Tài nguyên Cơ bản</v>
      </c>
      <c r="H320" t="str">
        <f>Sheet4!G299</f>
        <v>Lâm sản và Chế biến gỗ</v>
      </c>
      <c r="I320" s="9" cm="1">
        <f t="array" ref="I32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304.19044776800001</v>
      </c>
      <c r="J320" s="9" cm="1">
        <f t="array" ref="J32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603.51159950099998</v>
      </c>
      <c r="K320" s="10" cm="1">
        <f t="array" ref="K32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0.2797</v>
      </c>
      <c r="L320" s="10" cm="1">
        <f t="array" ref="L32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0.17649999999999999</v>
      </c>
      <c r="M320" s="9" cm="1">
        <f t="array" ref="M320">_xlfn.LET(_xlpm.val,IFERROR(INDEX(Sheet4!$2:$1605,MATCH(ChiTietKQKD[[#This Row],[Mã CP]],Sheet4!$B$2:$B$1605,0),_xlfn.XMATCH("*Lợi nhuận sau thuế*Q2*2026*",Sheet4!$1:$1,2)),0),IF(OR(_xlpm.val="",_xlpm.val=0),"",_xlpm.val/1000000000))</f>
        <v>2.2415685220000001</v>
      </c>
      <c r="N320" s="9" cm="1">
        <f t="array" ref="N320">_xlfn.LET(_xlpm.val,IFERROR(INDEX(Sheet4!$2:$1605,MATCH(ChiTietKQKD[[#This Row],[Mã CP]],Sheet4!$B$2:$B$1605,0),_xlfn.XMATCH("*Lợi nhuận sau thuế*6 tháng*2026*",Sheet4!$1:$1,2)),0),IF(OR(_xlpm.val="",_xlpm.val=0),"",_xlpm.val/1000000000))</f>
        <v>24.034811514000001</v>
      </c>
      <c r="O320" s="10" cm="1">
        <f t="array" ref="O320">IFERROR(INDEX(Sheet4!$2:$1605,MATCH(ChiTietKQKD[[#This Row],[Mã CP]],Sheet4!$B$2:$B$1605,0),_xlfn.XMATCH("*Tăng trưởng lợi nhuận sau thuế (YoY) (Quý*",Sheet4!$1:$1,2)),"")</f>
        <v>1.0992999999999999</v>
      </c>
      <c r="P320" s="10" cm="1">
        <f t="array" ref="P320">IFERROR(INDEX(Sheet4!$2:$1605,MATCH(ChiTietKQKD[[#This Row],[Mã CP]],Sheet4!$B$2:$B$1605,0),_xlfn.XMATCH("*Tăng trưởng lợi nhuận sau thuế (YoY) (6M)*",Sheet4!$1:$1,2)),"")</f>
        <v>5.1482000000000001</v>
      </c>
      <c r="Q320" s="10" cm="1">
        <f t="array" ref="Q320">IFERROR(INDEX(Sheet4!$2:$1605,MATCH(ChiTietKQKD[[#This Row],[Mã CP]],Sheet4!$B$2:$B$1605,0),_xlfn.XMATCH("*Tăng trưởng doanh thu thuần (QoQ)*",Sheet4!$1:$1,2)),"")</f>
        <v>1.6299999999999999E-2</v>
      </c>
      <c r="R320" s="10" cm="1">
        <f t="array" ref="R320">IFERROR(INDEX(Sheet4!$2:$1605,MATCH(ChiTietKQKD[[#This Row],[Mã CP]],Sheet4!$B$2:$B$1605,0),_xlfn.XMATCH("*Tăng trưởng lợi nhuận sau thuế (QoQ)*",Sheet4!$1:$1,2)),"")</f>
        <v>-0.89710000000000001</v>
      </c>
    </row>
    <row r="321" spans="1:18" x14ac:dyDescent="0.25">
      <c r="A321" s="7">
        <f>Sheet4!A300</f>
        <v>299</v>
      </c>
      <c r="B321" t="str">
        <f>Sheet4!B300</f>
        <v>SBA</v>
      </c>
      <c r="C321" t="str">
        <f>Sheet4!C299</f>
        <v>Savimex</v>
      </c>
      <c r="D321" t="str">
        <f>Sheet4!D300</f>
        <v>HOSE</v>
      </c>
      <c r="E321" s="7">
        <f>Sheet4!AH300/1000000000</f>
        <v>1548.4994816000001</v>
      </c>
      <c r="F321" t="str">
        <f>Sheet4!E300</f>
        <v>Tiện ích Cộng đồng</v>
      </c>
      <c r="G321" t="str">
        <f>Sheet4!F300</f>
        <v>Điện, nước &amp; xăng dầu khí đốt</v>
      </c>
      <c r="H321" t="str">
        <f>Sheet4!G300</f>
        <v>Sản xuất &amp; Phân phối Điện</v>
      </c>
      <c r="I321" s="9" cm="1">
        <f t="array" ref="I32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48.234623008</v>
      </c>
      <c r="J321" s="9" cm="1">
        <f t="array" ref="J32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120.58626819200001</v>
      </c>
      <c r="K321" s="10" cm="1">
        <f t="array" ref="K32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-0.17749999999999999</v>
      </c>
      <c r="L321" s="10" cm="1">
        <f t="array" ref="L32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-0.14030000000000001</v>
      </c>
      <c r="M321" s="9" cm="1">
        <f t="array" ref="M321">_xlfn.LET(_xlpm.val,IFERROR(INDEX(Sheet4!$2:$1605,MATCH(ChiTietKQKD[[#This Row],[Mã CP]],Sheet4!$B$2:$B$1605,0),_xlfn.XMATCH("*Lợi nhuận sau thuế*Q2*2026*",Sheet4!$1:$1,2)),0),IF(OR(_xlpm.val="",_xlpm.val=0),"",_xlpm.val/1000000000))</f>
        <v>18.904023373000001</v>
      </c>
      <c r="N321" s="9" cm="1">
        <f t="array" ref="N321">_xlfn.LET(_xlpm.val,IFERROR(INDEX(Sheet4!$2:$1605,MATCH(ChiTietKQKD[[#This Row],[Mã CP]],Sheet4!$B$2:$B$1605,0),_xlfn.XMATCH("*Lợi nhuận sau thuế*6 tháng*2026*",Sheet4!$1:$1,2)),0),IF(OR(_xlpm.val="",_xlpm.val=0),"",_xlpm.val/1000000000))</f>
        <v>51.584402756999999</v>
      </c>
      <c r="O321" s="10" cm="1">
        <f t="array" ref="O321">IFERROR(INDEX(Sheet4!$2:$1605,MATCH(ChiTietKQKD[[#This Row],[Mã CP]],Sheet4!$B$2:$B$1605,0),_xlfn.XMATCH("*Tăng trưởng lợi nhuận sau thuế (YoY) (Quý*",Sheet4!$1:$1,2)),"")</f>
        <v>-0.23</v>
      </c>
      <c r="P321" s="10" cm="1">
        <f t="array" ref="P321">IFERROR(INDEX(Sheet4!$2:$1605,MATCH(ChiTietKQKD[[#This Row],[Mã CP]],Sheet4!$B$2:$B$1605,0),_xlfn.XMATCH("*Tăng trưởng lợi nhuận sau thuế (YoY) (6M)*",Sheet4!$1:$1,2)),"")</f>
        <v>-0.15029999999999999</v>
      </c>
      <c r="Q321" s="10" cm="1">
        <f t="array" ref="Q321">IFERROR(INDEX(Sheet4!$2:$1605,MATCH(ChiTietKQKD[[#This Row],[Mã CP]],Sheet4!$B$2:$B$1605,0),_xlfn.XMATCH("*Tăng trưởng doanh thu thuần (QoQ)*",Sheet4!$1:$1,2)),"")</f>
        <v>-0.33329999999999999</v>
      </c>
      <c r="R321" s="10" cm="1">
        <f t="array" ref="R321">IFERROR(INDEX(Sheet4!$2:$1605,MATCH(ChiTietKQKD[[#This Row],[Mã CP]],Sheet4!$B$2:$B$1605,0),_xlfn.XMATCH("*Tăng trưởng lợi nhuận sau thuế (QoQ)*",Sheet4!$1:$1,2)),"")</f>
        <v>-0.42149999999999999</v>
      </c>
    </row>
    <row r="322" spans="1:18" x14ac:dyDescent="0.25">
      <c r="A322" s="7">
        <f>Sheet4!A301</f>
        <v>300</v>
      </c>
      <c r="B322" t="str">
        <f>Sheet4!B301</f>
        <v>SBG</v>
      </c>
      <c r="C322" t="str">
        <f>Sheet4!C300</f>
        <v>Sông Ba JSC</v>
      </c>
      <c r="D322" t="str">
        <f>Sheet4!D301</f>
        <v>HOSE</v>
      </c>
      <c r="E322" s="7">
        <f>Sheet4!AH301/1000000000</f>
        <v>716.99900815000001</v>
      </c>
      <c r="F322" t="str">
        <f>Sheet4!E301</f>
        <v>Công nghiệp</v>
      </c>
      <c r="G322" t="str">
        <f>Sheet4!F301</f>
        <v>Hàng &amp; Dịch vụ Công nghiệp</v>
      </c>
      <c r="H322" t="str">
        <f>Sheet4!G301</f>
        <v>Công nghiệp phức hợp</v>
      </c>
      <c r="I322" s="9" t="str" cm="1">
        <f t="array" ref="I32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22" s="9" t="str" cm="1">
        <f t="array" ref="J32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22" s="10" cm="1">
        <f t="array" ref="K32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22" s="10" cm="1">
        <f t="array" ref="L32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22" s="9" t="str" cm="1">
        <f t="array" ref="M32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22" s="9" t="str" cm="1">
        <f t="array" ref="N32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22" s="10" cm="1">
        <f t="array" ref="O322">IFERROR(INDEX(Sheet4!$2:$1605,MATCH(ChiTietKQKD[[#This Row],[Mã CP]],Sheet4!$B$2:$B$1605,0),_xlfn.XMATCH("*Tăng trưởng lợi nhuận sau thuế (YoY) (Quý*",Sheet4!$1:$1,2)),"")</f>
        <v>0</v>
      </c>
      <c r="P322" s="10" cm="1">
        <f t="array" ref="P322">IFERROR(INDEX(Sheet4!$2:$1605,MATCH(ChiTietKQKD[[#This Row],[Mã CP]],Sheet4!$B$2:$B$1605,0),_xlfn.XMATCH("*Tăng trưởng lợi nhuận sau thuế (YoY) (6M)*",Sheet4!$1:$1,2)),"")</f>
        <v>0</v>
      </c>
      <c r="Q322" s="10" cm="1">
        <f t="array" ref="Q322">IFERROR(INDEX(Sheet4!$2:$1605,MATCH(ChiTietKQKD[[#This Row],[Mã CP]],Sheet4!$B$2:$B$1605,0),_xlfn.XMATCH("*Tăng trưởng doanh thu thuần (QoQ)*",Sheet4!$1:$1,2)),"")</f>
        <v>0</v>
      </c>
      <c r="R322" s="10" cm="1">
        <f t="array" ref="R322">IFERROR(INDEX(Sheet4!$2:$1605,MATCH(ChiTietKQKD[[#This Row],[Mã CP]],Sheet4!$B$2:$B$1605,0),_xlfn.XMATCH("*Tăng trưởng lợi nhuận sau thuế (QoQ)*",Sheet4!$1:$1,2)),"")</f>
        <v>0</v>
      </c>
    </row>
    <row r="323" spans="1:18" x14ac:dyDescent="0.25">
      <c r="A323" s="7">
        <f>Sheet4!A302</f>
        <v>301</v>
      </c>
      <c r="B323" t="str">
        <f>Sheet4!B302</f>
        <v>SBT</v>
      </c>
      <c r="C323" t="str">
        <f>Sheet4!C301</f>
        <v>Tập Đoàn Cơ Khí Công Nghệ Cao Siba</v>
      </c>
      <c r="D323" t="str">
        <f>Sheet4!D302</f>
        <v>HOSE</v>
      </c>
      <c r="E323" s="7">
        <f>Sheet4!AH302/1000000000</f>
        <v>18898.753625699999</v>
      </c>
      <c r="F323" t="str">
        <f>Sheet4!E302</f>
        <v>Hàng Tiêu dùng</v>
      </c>
      <c r="G323" t="str">
        <f>Sheet4!F302</f>
        <v>Thực phẩm và đồ uống</v>
      </c>
      <c r="H323" t="str">
        <f>Sheet4!G302</f>
        <v>Thực phẩm</v>
      </c>
      <c r="I323" s="9" t="str" cm="1">
        <f t="array" ref="I32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23" s="9" t="str" cm="1">
        <f t="array" ref="J32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23" s="10" cm="1">
        <f t="array" ref="K32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23" s="10" cm="1">
        <f t="array" ref="L32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23" s="9" t="str" cm="1">
        <f t="array" ref="M32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23" s="9" t="str" cm="1">
        <f t="array" ref="N32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23" s="10" cm="1">
        <f t="array" ref="O323">IFERROR(INDEX(Sheet4!$2:$1605,MATCH(ChiTietKQKD[[#This Row],[Mã CP]],Sheet4!$B$2:$B$1605,0),_xlfn.XMATCH("*Tăng trưởng lợi nhuận sau thuế (YoY) (Quý*",Sheet4!$1:$1,2)),"")</f>
        <v>0</v>
      </c>
      <c r="P323" s="10" cm="1">
        <f t="array" ref="P323">IFERROR(INDEX(Sheet4!$2:$1605,MATCH(ChiTietKQKD[[#This Row],[Mã CP]],Sheet4!$B$2:$B$1605,0),_xlfn.XMATCH("*Tăng trưởng lợi nhuận sau thuế (YoY) (6M)*",Sheet4!$1:$1,2)),"")</f>
        <v>0</v>
      </c>
      <c r="Q323" s="10" cm="1">
        <f t="array" ref="Q323">IFERROR(INDEX(Sheet4!$2:$1605,MATCH(ChiTietKQKD[[#This Row],[Mã CP]],Sheet4!$B$2:$B$1605,0),_xlfn.XMATCH("*Tăng trưởng doanh thu thuần (QoQ)*",Sheet4!$1:$1,2)),"")</f>
        <v>0</v>
      </c>
      <c r="R323" s="10" cm="1">
        <f t="array" ref="R323">IFERROR(INDEX(Sheet4!$2:$1605,MATCH(ChiTietKQKD[[#This Row],[Mã CP]],Sheet4!$B$2:$B$1605,0),_xlfn.XMATCH("*Tăng trưởng lợi nhuận sau thuế (QoQ)*",Sheet4!$1:$1,2)),"")</f>
        <v>0</v>
      </c>
    </row>
    <row r="324" spans="1:18" x14ac:dyDescent="0.25">
      <c r="A324" s="7">
        <f>Sheet4!A303</f>
        <v>302</v>
      </c>
      <c r="B324" t="str">
        <f>Sheet4!B303</f>
        <v>SBV</v>
      </c>
      <c r="C324" t="str">
        <f>Sheet4!C302</f>
        <v>Mía đường Thành Thành Công - Biên Hòa</v>
      </c>
      <c r="D324" t="str">
        <f>Sheet4!D303</f>
        <v>HOSE</v>
      </c>
      <c r="E324" s="7">
        <f>Sheet4!AH303/1000000000</f>
        <v>169.27134219999999</v>
      </c>
      <c r="F324" t="str">
        <f>Sheet4!E303</f>
        <v>Dịch vụ Tiêu dùng</v>
      </c>
      <c r="G324" t="str">
        <f>Sheet4!F303</f>
        <v>Bán lẻ</v>
      </c>
      <c r="H324" t="str">
        <f>Sheet4!G303</f>
        <v>Phân phối hàng chuyên dụng</v>
      </c>
      <c r="I324" s="9" t="str" cm="1">
        <f t="array" ref="I32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24" s="9" t="str" cm="1">
        <f t="array" ref="J32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24" s="10" cm="1">
        <f t="array" ref="K32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24" s="10" cm="1">
        <f t="array" ref="L32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24" s="9" t="str" cm="1">
        <f t="array" ref="M32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24" s="9" t="str" cm="1">
        <f t="array" ref="N32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24" s="10" cm="1">
        <f t="array" ref="O324">IFERROR(INDEX(Sheet4!$2:$1605,MATCH(ChiTietKQKD[[#This Row],[Mã CP]],Sheet4!$B$2:$B$1605,0),_xlfn.XMATCH("*Tăng trưởng lợi nhuận sau thuế (YoY) (Quý*",Sheet4!$1:$1,2)),"")</f>
        <v>0</v>
      </c>
      <c r="P324" s="10" cm="1">
        <f t="array" ref="P324">IFERROR(INDEX(Sheet4!$2:$1605,MATCH(ChiTietKQKD[[#This Row],[Mã CP]],Sheet4!$B$2:$B$1605,0),_xlfn.XMATCH("*Tăng trưởng lợi nhuận sau thuế (YoY) (6M)*",Sheet4!$1:$1,2)),"")</f>
        <v>0</v>
      </c>
      <c r="Q324" s="10" cm="1">
        <f t="array" ref="Q324">IFERROR(INDEX(Sheet4!$2:$1605,MATCH(ChiTietKQKD[[#This Row],[Mã CP]],Sheet4!$B$2:$B$1605,0),_xlfn.XMATCH("*Tăng trưởng doanh thu thuần (QoQ)*",Sheet4!$1:$1,2)),"")</f>
        <v>0</v>
      </c>
      <c r="R324" s="10" cm="1">
        <f t="array" ref="R324">IFERROR(INDEX(Sheet4!$2:$1605,MATCH(ChiTietKQKD[[#This Row],[Mã CP]],Sheet4!$B$2:$B$1605,0),_xlfn.XMATCH("*Tăng trưởng lợi nhuận sau thuế (QoQ)*",Sheet4!$1:$1,2)),"")</f>
        <v>0</v>
      </c>
    </row>
    <row r="325" spans="1:18" x14ac:dyDescent="0.25">
      <c r="A325" s="7">
        <f>Sheet4!A304</f>
        <v>303</v>
      </c>
      <c r="B325" t="str">
        <f>Sheet4!B304</f>
        <v>SC5</v>
      </c>
      <c r="C325" t="str">
        <f>Sheet4!C303</f>
        <v>Siam Brothers Việt Nam</v>
      </c>
      <c r="D325" t="str">
        <f>Sheet4!D304</f>
        <v>HOSE</v>
      </c>
      <c r="E325" s="7">
        <f>Sheet4!AH304/1000000000</f>
        <v>239.735984</v>
      </c>
      <c r="F325" t="str">
        <f>Sheet4!E304</f>
        <v>Công nghiệp</v>
      </c>
      <c r="G325" t="str">
        <f>Sheet4!F304</f>
        <v>Xây dựng và Vật liệu</v>
      </c>
      <c r="H325" t="str">
        <f>Sheet4!G304</f>
        <v>Xây dựng</v>
      </c>
      <c r="I325" s="9" t="str" cm="1">
        <f t="array" ref="I32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25" s="9" t="str" cm="1">
        <f t="array" ref="J32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25" s="10" cm="1">
        <f t="array" ref="K32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25" s="10" cm="1">
        <f t="array" ref="L32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25" s="9" t="str" cm="1">
        <f t="array" ref="M32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25" s="9" t="str" cm="1">
        <f t="array" ref="N32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25" s="10" cm="1">
        <f t="array" ref="O325">IFERROR(INDEX(Sheet4!$2:$1605,MATCH(ChiTietKQKD[[#This Row],[Mã CP]],Sheet4!$B$2:$B$1605,0),_xlfn.XMATCH("*Tăng trưởng lợi nhuận sau thuế (YoY) (Quý*",Sheet4!$1:$1,2)),"")</f>
        <v>0</v>
      </c>
      <c r="P325" s="10" cm="1">
        <f t="array" ref="P325">IFERROR(INDEX(Sheet4!$2:$1605,MATCH(ChiTietKQKD[[#This Row],[Mã CP]],Sheet4!$B$2:$B$1605,0),_xlfn.XMATCH("*Tăng trưởng lợi nhuận sau thuế (YoY) (6M)*",Sheet4!$1:$1,2)),"")</f>
        <v>0</v>
      </c>
      <c r="Q325" s="10" cm="1">
        <f t="array" ref="Q325">IFERROR(INDEX(Sheet4!$2:$1605,MATCH(ChiTietKQKD[[#This Row],[Mã CP]],Sheet4!$B$2:$B$1605,0),_xlfn.XMATCH("*Tăng trưởng doanh thu thuần (QoQ)*",Sheet4!$1:$1,2)),"")</f>
        <v>0</v>
      </c>
      <c r="R325" s="10" cm="1">
        <f t="array" ref="R325">IFERROR(INDEX(Sheet4!$2:$1605,MATCH(ChiTietKQKD[[#This Row],[Mã CP]],Sheet4!$B$2:$B$1605,0),_xlfn.XMATCH("*Tăng trưởng lợi nhuận sau thuế (QoQ)*",Sheet4!$1:$1,2)),"")</f>
        <v>0</v>
      </c>
    </row>
    <row r="326" spans="1:18" x14ac:dyDescent="0.25">
      <c r="A326" s="7">
        <f>Sheet4!A305</f>
        <v>304</v>
      </c>
      <c r="B326" t="str">
        <f>Sheet4!B305</f>
        <v>SCR</v>
      </c>
      <c r="C326" t="str">
        <f>Sheet4!C304</f>
        <v>Xây dựng Số 5</v>
      </c>
      <c r="D326" t="str">
        <f>Sheet4!D305</f>
        <v>HOSE</v>
      </c>
      <c r="E326" s="7">
        <f>Sheet4!AH305/1000000000</f>
        <v>2023.7966692</v>
      </c>
      <c r="F326" t="str">
        <f>Sheet4!E305</f>
        <v>Tài chính</v>
      </c>
      <c r="G326" t="str">
        <f>Sheet4!F305</f>
        <v>Bất động sản</v>
      </c>
      <c r="H326" t="str">
        <f>Sheet4!G305</f>
        <v>Bất động sản</v>
      </c>
      <c r="I326" s="9" t="str" cm="1">
        <f t="array" ref="I32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26" s="9" t="str" cm="1">
        <f t="array" ref="J32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26" s="10" cm="1">
        <f t="array" ref="K32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26" s="10" cm="1">
        <f t="array" ref="L32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26" s="9" t="str" cm="1">
        <f t="array" ref="M32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26" s="9" t="str" cm="1">
        <f t="array" ref="N32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26" s="10" cm="1">
        <f t="array" ref="O326">IFERROR(INDEX(Sheet4!$2:$1605,MATCH(ChiTietKQKD[[#This Row],[Mã CP]],Sheet4!$B$2:$B$1605,0),_xlfn.XMATCH("*Tăng trưởng lợi nhuận sau thuế (YoY) (Quý*",Sheet4!$1:$1,2)),"")</f>
        <v>0</v>
      </c>
      <c r="P326" s="10" cm="1">
        <f t="array" ref="P326">IFERROR(INDEX(Sheet4!$2:$1605,MATCH(ChiTietKQKD[[#This Row],[Mã CP]],Sheet4!$B$2:$B$1605,0),_xlfn.XMATCH("*Tăng trưởng lợi nhuận sau thuế (YoY) (6M)*",Sheet4!$1:$1,2)),"")</f>
        <v>0</v>
      </c>
      <c r="Q326" s="10" cm="1">
        <f t="array" ref="Q326">IFERROR(INDEX(Sheet4!$2:$1605,MATCH(ChiTietKQKD[[#This Row],[Mã CP]],Sheet4!$B$2:$B$1605,0),_xlfn.XMATCH("*Tăng trưởng doanh thu thuần (QoQ)*",Sheet4!$1:$1,2)),"")</f>
        <v>0</v>
      </c>
      <c r="R326" s="10" cm="1">
        <f t="array" ref="R326">IFERROR(INDEX(Sheet4!$2:$1605,MATCH(ChiTietKQKD[[#This Row],[Mã CP]],Sheet4!$B$2:$B$1605,0),_xlfn.XMATCH("*Tăng trưởng lợi nhuận sau thuế (QoQ)*",Sheet4!$1:$1,2)),"")</f>
        <v>0</v>
      </c>
    </row>
    <row r="327" spans="1:18" x14ac:dyDescent="0.25">
      <c r="A327" s="7">
        <f>Sheet4!A306</f>
        <v>305</v>
      </c>
      <c r="B327" t="str">
        <f>Sheet4!B306</f>
        <v>SCS</v>
      </c>
      <c r="C327" t="str">
        <f>Sheet4!C305</f>
        <v>TTC Land</v>
      </c>
      <c r="D327" t="str">
        <f>Sheet4!D306</f>
        <v>HOSE</v>
      </c>
      <c r="E327" s="7">
        <f>Sheet4!AH306/1000000000</f>
        <v>4502.8656699000003</v>
      </c>
      <c r="F327" t="str">
        <f>Sheet4!E306</f>
        <v>Dịch vụ Tiêu dùng</v>
      </c>
      <c r="G327" t="str">
        <f>Sheet4!F306</f>
        <v>Du lịch và Giải trí</v>
      </c>
      <c r="H327" t="str">
        <f>Sheet4!G306</f>
        <v>Dịch vụ hàng không</v>
      </c>
      <c r="I327" s="9" cm="1">
        <f t="array" ref="I32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279.25834213299999</v>
      </c>
      <c r="J327" s="9" cm="1">
        <f t="array" ref="J32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551.22749324999995</v>
      </c>
      <c r="K327" s="10" cm="1">
        <f t="array" ref="K32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-4.2799999999999998E-2</v>
      </c>
      <c r="L327" s="10" cm="1">
        <f t="array" ref="L32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-1.23E-2</v>
      </c>
      <c r="M327" s="9" cm="1">
        <f t="array" ref="M327">_xlfn.LET(_xlpm.val,IFERROR(INDEX(Sheet4!$2:$1605,MATCH(ChiTietKQKD[[#This Row],[Mã CP]],Sheet4!$B$2:$B$1605,0),_xlfn.XMATCH("*Lợi nhuận sau thuế*Q2*2026*",Sheet4!$1:$1,2)),0),IF(OR(_xlpm.val="",_xlpm.val=0),"",_xlpm.val/1000000000))</f>
        <v>187.336717196</v>
      </c>
      <c r="N327" s="9" cm="1">
        <f t="array" ref="N327">_xlfn.LET(_xlpm.val,IFERROR(INDEX(Sheet4!$2:$1605,MATCH(ChiTietKQKD[[#This Row],[Mã CP]],Sheet4!$B$2:$B$1605,0),_xlfn.XMATCH("*Lợi nhuận sau thuế*6 tháng*2026*",Sheet4!$1:$1,2)),0),IF(OR(_xlpm.val="",_xlpm.val=0),"",_xlpm.val/1000000000))</f>
        <v>360.62864650900002</v>
      </c>
      <c r="O327" s="10" cm="1">
        <f t="array" ref="O327">IFERROR(INDEX(Sheet4!$2:$1605,MATCH(ChiTietKQKD[[#This Row],[Mã CP]],Sheet4!$B$2:$B$1605,0),_xlfn.XMATCH("*Tăng trưởng lợi nhuận sau thuế (YoY) (Quý*",Sheet4!$1:$1,2)),"")</f>
        <v>-9.1000000000000004E-3</v>
      </c>
      <c r="P327" s="10" cm="1">
        <f t="array" ref="P327">IFERROR(INDEX(Sheet4!$2:$1605,MATCH(ChiTietKQKD[[#This Row],[Mã CP]],Sheet4!$B$2:$B$1605,0),_xlfn.XMATCH("*Tăng trưởng lợi nhuận sau thuế (YoY) (6M)*",Sheet4!$1:$1,2)),"")</f>
        <v>4.5999999999999999E-3</v>
      </c>
      <c r="Q327" s="10" cm="1">
        <f t="array" ref="Q327">IFERROR(INDEX(Sheet4!$2:$1605,MATCH(ChiTietKQKD[[#This Row],[Mã CP]],Sheet4!$B$2:$B$1605,0),_xlfn.XMATCH("*Tăng trưởng doanh thu thuần (QoQ)*",Sheet4!$1:$1,2)),"")</f>
        <v>2.6800000000000001E-2</v>
      </c>
      <c r="R327" s="10" cm="1">
        <f t="array" ref="R327">IFERROR(INDEX(Sheet4!$2:$1605,MATCH(ChiTietKQKD[[#This Row],[Mã CP]],Sheet4!$B$2:$B$1605,0),_xlfn.XMATCH("*Tăng trưởng lợi nhuận sau thuế (QoQ)*",Sheet4!$1:$1,2)),"")</f>
        <v>8.1000000000000003E-2</v>
      </c>
    </row>
    <row r="328" spans="1:18" x14ac:dyDescent="0.25">
      <c r="A328" s="7">
        <f>Sheet4!A307</f>
        <v>306</v>
      </c>
      <c r="B328" t="str">
        <f>Sheet4!B307</f>
        <v>SFC</v>
      </c>
      <c r="C328" t="str">
        <f>Sheet4!C306</f>
        <v>DV Hàng hóa Sài Gòn</v>
      </c>
      <c r="D328" t="str">
        <f>Sheet4!D307</f>
        <v>HOSE</v>
      </c>
      <c r="E328" s="7">
        <f>Sheet4!AH307/1000000000</f>
        <v>190.26108414999999</v>
      </c>
      <c r="F328" t="str">
        <f>Sheet4!E307</f>
        <v>Tiện ích Cộng đồng</v>
      </c>
      <c r="G328" t="str">
        <f>Sheet4!F307</f>
        <v>Điện, nước &amp; xăng dầu khí đốt</v>
      </c>
      <c r="H328" t="str">
        <f>Sheet4!G307</f>
        <v>Phân phối xăng dầu &amp; khí đốt</v>
      </c>
      <c r="I328" s="9" t="str" cm="1">
        <f t="array" ref="I32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28" s="9" t="str" cm="1">
        <f t="array" ref="J32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28" s="10" cm="1">
        <f t="array" ref="K32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28" s="10" cm="1">
        <f t="array" ref="L32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28" s="9" t="str" cm="1">
        <f t="array" ref="M32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28" s="9" t="str" cm="1">
        <f t="array" ref="N32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28" s="10" cm="1">
        <f t="array" ref="O328">IFERROR(INDEX(Sheet4!$2:$1605,MATCH(ChiTietKQKD[[#This Row],[Mã CP]],Sheet4!$B$2:$B$1605,0),_xlfn.XMATCH("*Tăng trưởng lợi nhuận sau thuế (YoY) (Quý*",Sheet4!$1:$1,2)),"")</f>
        <v>0</v>
      </c>
      <c r="P328" s="10" cm="1">
        <f t="array" ref="P328">IFERROR(INDEX(Sheet4!$2:$1605,MATCH(ChiTietKQKD[[#This Row],[Mã CP]],Sheet4!$B$2:$B$1605,0),_xlfn.XMATCH("*Tăng trưởng lợi nhuận sau thuế (YoY) (6M)*",Sheet4!$1:$1,2)),"")</f>
        <v>0</v>
      </c>
      <c r="Q328" s="10" cm="1">
        <f t="array" ref="Q328">IFERROR(INDEX(Sheet4!$2:$1605,MATCH(ChiTietKQKD[[#This Row],[Mã CP]],Sheet4!$B$2:$B$1605,0),_xlfn.XMATCH("*Tăng trưởng doanh thu thuần (QoQ)*",Sheet4!$1:$1,2)),"")</f>
        <v>0</v>
      </c>
      <c r="R328" s="10" cm="1">
        <f t="array" ref="R328">IFERROR(INDEX(Sheet4!$2:$1605,MATCH(ChiTietKQKD[[#This Row],[Mã CP]],Sheet4!$B$2:$B$1605,0),_xlfn.XMATCH("*Tăng trưởng lợi nhuận sau thuế (QoQ)*",Sheet4!$1:$1,2)),"")</f>
        <v>0</v>
      </c>
    </row>
    <row r="329" spans="1:18" x14ac:dyDescent="0.25">
      <c r="A329" s="7">
        <f>Sheet4!A308</f>
        <v>307</v>
      </c>
      <c r="B329" t="str">
        <f>Sheet4!B308</f>
        <v>SFG</v>
      </c>
      <c r="C329" t="str">
        <f>Sheet4!C307</f>
        <v>Nhiên liệu Sài Gòn</v>
      </c>
      <c r="D329" t="str">
        <f>Sheet4!D308</f>
        <v>HOSE</v>
      </c>
      <c r="E329" s="7">
        <f>Sheet4!AH308/1000000000</f>
        <v>519.68606305000003</v>
      </c>
      <c r="F329" t="str">
        <f>Sheet4!E308</f>
        <v>Nguyên vật liệu</v>
      </c>
      <c r="G329" t="str">
        <f>Sheet4!F308</f>
        <v>Hóa chất</v>
      </c>
      <c r="H329" t="str">
        <f>Sheet4!G308</f>
        <v>Sản phẩm hóa dầu, Nông dược &amp; Hóa chất khác</v>
      </c>
      <c r="I329" s="9" cm="1">
        <f t="array" ref="I32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687.817064792</v>
      </c>
      <c r="J329" s="9" cm="1">
        <f t="array" ref="J32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1706.7278835340001</v>
      </c>
      <c r="K329" s="10" cm="1">
        <f t="array" ref="K32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0.20150000000000001</v>
      </c>
      <c r="L329" s="10" cm="1">
        <f t="array" ref="L32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0.61050000000000004</v>
      </c>
      <c r="M329" s="9" cm="1">
        <f t="array" ref="M329">_xlfn.LET(_xlpm.val,IFERROR(INDEX(Sheet4!$2:$1605,MATCH(ChiTietKQKD[[#This Row],[Mã CP]],Sheet4!$B$2:$B$1605,0),_xlfn.XMATCH("*Lợi nhuận sau thuế*Q2*2026*",Sheet4!$1:$1,2)),0),IF(OR(_xlpm.val="",_xlpm.val=0),"",_xlpm.val/1000000000))</f>
        <v>16.024070246000001</v>
      </c>
      <c r="N329" s="9" cm="1">
        <f t="array" ref="N329">_xlfn.LET(_xlpm.val,IFERROR(INDEX(Sheet4!$2:$1605,MATCH(ChiTietKQKD[[#This Row],[Mã CP]],Sheet4!$B$2:$B$1605,0),_xlfn.XMATCH("*Lợi nhuận sau thuế*6 tháng*2026*",Sheet4!$1:$1,2)),0),IF(OR(_xlpm.val="",_xlpm.val=0),"",_xlpm.val/1000000000))</f>
        <v>25.679409887999999</v>
      </c>
      <c r="O329" s="10" cm="1">
        <f t="array" ref="O329">IFERROR(INDEX(Sheet4!$2:$1605,MATCH(ChiTietKQKD[[#This Row],[Mã CP]],Sheet4!$B$2:$B$1605,0),_xlfn.XMATCH("*Tăng trưởng lợi nhuận sau thuế (YoY) (Quý*",Sheet4!$1:$1,2)),"")</f>
        <v>0.33069999999999999</v>
      </c>
      <c r="P329" s="10" cm="1">
        <f t="array" ref="P329">IFERROR(INDEX(Sheet4!$2:$1605,MATCH(ChiTietKQKD[[#This Row],[Mã CP]],Sheet4!$B$2:$B$1605,0),_xlfn.XMATCH("*Tăng trưởng lợi nhuận sau thuế (YoY) (6M)*",Sheet4!$1:$1,2)),"")</f>
        <v>0.39169999999999999</v>
      </c>
      <c r="Q329" s="10" cm="1">
        <f t="array" ref="Q329">IFERROR(INDEX(Sheet4!$2:$1605,MATCH(ChiTietKQKD[[#This Row],[Mã CP]],Sheet4!$B$2:$B$1605,0),_xlfn.XMATCH("*Tăng trưởng doanh thu thuần (QoQ)*",Sheet4!$1:$1,2)),"")</f>
        <v>-0.32490000000000002</v>
      </c>
      <c r="R329" s="10" cm="1">
        <f t="array" ref="R329">IFERROR(INDEX(Sheet4!$2:$1605,MATCH(ChiTietKQKD[[#This Row],[Mã CP]],Sheet4!$B$2:$B$1605,0),_xlfn.XMATCH("*Tăng trưởng lợi nhuận sau thuế (QoQ)*",Sheet4!$1:$1,2)),"")</f>
        <v>0.65959999999999996</v>
      </c>
    </row>
    <row r="330" spans="1:18" x14ac:dyDescent="0.25">
      <c r="A330" s="7">
        <f>Sheet4!A309</f>
        <v>308</v>
      </c>
      <c r="B330" t="str">
        <f>Sheet4!B309</f>
        <v>SFI</v>
      </c>
      <c r="C330" t="str">
        <f>Sheet4!C308</f>
        <v>Phân bón Miền Nam</v>
      </c>
      <c r="D330" t="str">
        <f>Sheet4!D309</f>
        <v>HOSE</v>
      </c>
      <c r="E330" s="7">
        <f>Sheet4!AH309/1000000000</f>
        <v>632.11288400000001</v>
      </c>
      <c r="F330" t="str">
        <f>Sheet4!E309</f>
        <v>Công nghiệp</v>
      </c>
      <c r="G330" t="str">
        <f>Sheet4!F309</f>
        <v>Hàng &amp; Dịch vụ Công nghiệp</v>
      </c>
      <c r="H330" t="str">
        <f>Sheet4!G309</f>
        <v>Vận tải Thủy</v>
      </c>
      <c r="I330" s="9" t="str" cm="1">
        <f t="array" ref="I33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30" s="9" t="str" cm="1">
        <f t="array" ref="J33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30" s="10" cm="1">
        <f t="array" ref="K33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30" s="10" cm="1">
        <f t="array" ref="L33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30" s="9" t="str" cm="1">
        <f t="array" ref="M33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30" s="9" t="str" cm="1">
        <f t="array" ref="N33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30" s="10" cm="1">
        <f t="array" ref="O330">IFERROR(INDEX(Sheet4!$2:$1605,MATCH(ChiTietKQKD[[#This Row],[Mã CP]],Sheet4!$B$2:$B$1605,0),_xlfn.XMATCH("*Tăng trưởng lợi nhuận sau thuế (YoY) (Quý*",Sheet4!$1:$1,2)),"")</f>
        <v>0</v>
      </c>
      <c r="P330" s="10" cm="1">
        <f t="array" ref="P330">IFERROR(INDEX(Sheet4!$2:$1605,MATCH(ChiTietKQKD[[#This Row],[Mã CP]],Sheet4!$B$2:$B$1605,0),_xlfn.XMATCH("*Tăng trưởng lợi nhuận sau thuế (YoY) (6M)*",Sheet4!$1:$1,2)),"")</f>
        <v>0</v>
      </c>
      <c r="Q330" s="10" cm="1">
        <f t="array" ref="Q330">IFERROR(INDEX(Sheet4!$2:$1605,MATCH(ChiTietKQKD[[#This Row],[Mã CP]],Sheet4!$B$2:$B$1605,0),_xlfn.XMATCH("*Tăng trưởng doanh thu thuần (QoQ)*",Sheet4!$1:$1,2)),"")</f>
        <v>0</v>
      </c>
      <c r="R330" s="10" cm="1">
        <f t="array" ref="R330">IFERROR(INDEX(Sheet4!$2:$1605,MATCH(ChiTietKQKD[[#This Row],[Mã CP]],Sheet4!$B$2:$B$1605,0),_xlfn.XMATCH("*Tăng trưởng lợi nhuận sau thuế (QoQ)*",Sheet4!$1:$1,2)),"")</f>
        <v>0</v>
      </c>
    </row>
    <row r="331" spans="1:18" x14ac:dyDescent="0.25">
      <c r="A331" s="7">
        <f>Sheet4!A310</f>
        <v>309</v>
      </c>
      <c r="B331" t="str">
        <f>Sheet4!B310</f>
        <v>SGN</v>
      </c>
      <c r="C331" t="str">
        <f>Sheet4!C309</f>
        <v>Vận tải SAFI</v>
      </c>
      <c r="D331" t="str">
        <f>Sheet4!D310</f>
        <v>HOSE</v>
      </c>
      <c r="E331" s="7">
        <f>Sheet4!AH310/1000000000</f>
        <v>1785.4749002999999</v>
      </c>
      <c r="F331" t="str">
        <f>Sheet4!E310</f>
        <v>Công nghiệp</v>
      </c>
      <c r="G331" t="str">
        <f>Sheet4!F310</f>
        <v>Hàng &amp; Dịch vụ Công nghiệp</v>
      </c>
      <c r="H331" t="str">
        <f>Sheet4!G310</f>
        <v>Kho bãi, hậu cần và bảo dưỡng</v>
      </c>
      <c r="I331" s="9" t="str" cm="1">
        <f t="array" ref="I33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31" s="9" t="str" cm="1">
        <f t="array" ref="J33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31" s="10" cm="1">
        <f t="array" ref="K33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31" s="10" cm="1">
        <f t="array" ref="L33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31" s="9" t="str" cm="1">
        <f t="array" ref="M33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31" s="9" t="str" cm="1">
        <f t="array" ref="N33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31" s="10" cm="1">
        <f t="array" ref="O331">IFERROR(INDEX(Sheet4!$2:$1605,MATCH(ChiTietKQKD[[#This Row],[Mã CP]],Sheet4!$B$2:$B$1605,0),_xlfn.XMATCH("*Tăng trưởng lợi nhuận sau thuế (YoY) (Quý*",Sheet4!$1:$1,2)),"")</f>
        <v>0</v>
      </c>
      <c r="P331" s="10" cm="1">
        <f t="array" ref="P331">IFERROR(INDEX(Sheet4!$2:$1605,MATCH(ChiTietKQKD[[#This Row],[Mã CP]],Sheet4!$B$2:$B$1605,0),_xlfn.XMATCH("*Tăng trưởng lợi nhuận sau thuế (YoY) (6M)*",Sheet4!$1:$1,2)),"")</f>
        <v>0</v>
      </c>
      <c r="Q331" s="10" cm="1">
        <f t="array" ref="Q331">IFERROR(INDEX(Sheet4!$2:$1605,MATCH(ChiTietKQKD[[#This Row],[Mã CP]],Sheet4!$B$2:$B$1605,0),_xlfn.XMATCH("*Tăng trưởng doanh thu thuần (QoQ)*",Sheet4!$1:$1,2)),"")</f>
        <v>0</v>
      </c>
      <c r="R331" s="10" cm="1">
        <f t="array" ref="R331">IFERROR(INDEX(Sheet4!$2:$1605,MATCH(ChiTietKQKD[[#This Row],[Mã CP]],Sheet4!$B$2:$B$1605,0),_xlfn.XMATCH("*Tăng trưởng lợi nhuận sau thuế (QoQ)*",Sheet4!$1:$1,2)),"")</f>
        <v>0</v>
      </c>
    </row>
    <row r="332" spans="1:18" x14ac:dyDescent="0.25">
      <c r="A332" s="7">
        <f>Sheet4!A311</f>
        <v>310</v>
      </c>
      <c r="B332" t="str">
        <f>Sheet4!B311</f>
        <v>SGR</v>
      </c>
      <c r="C332" t="str">
        <f>Sheet4!C310</f>
        <v>Phục vụ mặt đất Sài Gòn</v>
      </c>
      <c r="D332" t="str">
        <f>Sheet4!D311</f>
        <v>HOSE</v>
      </c>
      <c r="E332" s="7">
        <f>Sheet4!AH311/1000000000</f>
        <v>841.99361744999999</v>
      </c>
      <c r="F332" t="str">
        <f>Sheet4!E311</f>
        <v>Tài chính</v>
      </c>
      <c r="G332" t="str">
        <f>Sheet4!F311</f>
        <v>Bất động sản</v>
      </c>
      <c r="H332" t="str">
        <f>Sheet4!G311</f>
        <v>Bất động sản</v>
      </c>
      <c r="I332" s="9" t="str" cm="1">
        <f t="array" ref="I33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32" s="9" t="str" cm="1">
        <f t="array" ref="J33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32" s="10" cm="1">
        <f t="array" ref="K33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32" s="10" cm="1">
        <f t="array" ref="L33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32" s="9" t="str" cm="1">
        <f t="array" ref="M33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32" s="9" t="str" cm="1">
        <f t="array" ref="N33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32" s="10" cm="1">
        <f t="array" ref="O332">IFERROR(INDEX(Sheet4!$2:$1605,MATCH(ChiTietKQKD[[#This Row],[Mã CP]],Sheet4!$B$2:$B$1605,0),_xlfn.XMATCH("*Tăng trưởng lợi nhuận sau thuế (YoY) (Quý*",Sheet4!$1:$1,2)),"")</f>
        <v>0</v>
      </c>
      <c r="P332" s="10" cm="1">
        <f t="array" ref="P332">IFERROR(INDEX(Sheet4!$2:$1605,MATCH(ChiTietKQKD[[#This Row],[Mã CP]],Sheet4!$B$2:$B$1605,0),_xlfn.XMATCH("*Tăng trưởng lợi nhuận sau thuế (YoY) (6M)*",Sheet4!$1:$1,2)),"")</f>
        <v>0</v>
      </c>
      <c r="Q332" s="10" cm="1">
        <f t="array" ref="Q332">IFERROR(INDEX(Sheet4!$2:$1605,MATCH(ChiTietKQKD[[#This Row],[Mã CP]],Sheet4!$B$2:$B$1605,0),_xlfn.XMATCH("*Tăng trưởng doanh thu thuần (QoQ)*",Sheet4!$1:$1,2)),"")</f>
        <v>0</v>
      </c>
      <c r="R332" s="10" cm="1">
        <f t="array" ref="R332">IFERROR(INDEX(Sheet4!$2:$1605,MATCH(ChiTietKQKD[[#This Row],[Mã CP]],Sheet4!$B$2:$B$1605,0),_xlfn.XMATCH("*Tăng trưởng lợi nhuận sau thuế (QoQ)*",Sheet4!$1:$1,2)),"")</f>
        <v>0</v>
      </c>
    </row>
    <row r="333" spans="1:18" x14ac:dyDescent="0.25">
      <c r="A333" s="7">
        <f>Sheet4!A312</f>
        <v>311</v>
      </c>
      <c r="B333" t="str">
        <f>Sheet4!B312</f>
        <v>SGT</v>
      </c>
      <c r="C333" t="str">
        <f>Sheet4!C311</f>
        <v>Địa ốc Sài Gòn</v>
      </c>
      <c r="D333" t="str">
        <f>Sheet4!D312</f>
        <v>HOSE</v>
      </c>
      <c r="E333" s="7">
        <f>Sheet4!AH312/1000000000</f>
        <v>1591.034486</v>
      </c>
      <c r="F333" t="str">
        <f>Sheet4!E312</f>
        <v>Công nghệ Thông tin</v>
      </c>
      <c r="G333" t="str">
        <f>Sheet4!F312</f>
        <v>Công nghệ Thông tin</v>
      </c>
      <c r="H333" t="str">
        <f>Sheet4!G312</f>
        <v>Internet</v>
      </c>
      <c r="I333" s="9" t="str" cm="1">
        <f t="array" ref="I33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33" s="9" t="str" cm="1">
        <f t="array" ref="J33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33" s="10" cm="1">
        <f t="array" ref="K33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33" s="10" cm="1">
        <f t="array" ref="L33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33" s="9" t="str" cm="1">
        <f t="array" ref="M33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33" s="9" t="str" cm="1">
        <f t="array" ref="N33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33" s="10" cm="1">
        <f t="array" ref="O333">IFERROR(INDEX(Sheet4!$2:$1605,MATCH(ChiTietKQKD[[#This Row],[Mã CP]],Sheet4!$B$2:$B$1605,0),_xlfn.XMATCH("*Tăng trưởng lợi nhuận sau thuế (YoY) (Quý*",Sheet4!$1:$1,2)),"")</f>
        <v>0</v>
      </c>
      <c r="P333" s="10" cm="1">
        <f t="array" ref="P333">IFERROR(INDEX(Sheet4!$2:$1605,MATCH(ChiTietKQKD[[#This Row],[Mã CP]],Sheet4!$B$2:$B$1605,0),_xlfn.XMATCH("*Tăng trưởng lợi nhuận sau thuế (YoY) (6M)*",Sheet4!$1:$1,2)),"")</f>
        <v>0</v>
      </c>
      <c r="Q333" s="10" cm="1">
        <f t="array" ref="Q333">IFERROR(INDEX(Sheet4!$2:$1605,MATCH(ChiTietKQKD[[#This Row],[Mã CP]],Sheet4!$B$2:$B$1605,0),_xlfn.XMATCH("*Tăng trưởng doanh thu thuần (QoQ)*",Sheet4!$1:$1,2)),"")</f>
        <v>0</v>
      </c>
      <c r="R333" s="10" cm="1">
        <f t="array" ref="R333">IFERROR(INDEX(Sheet4!$2:$1605,MATCH(ChiTietKQKD[[#This Row],[Mã CP]],Sheet4!$B$2:$B$1605,0),_xlfn.XMATCH("*Tăng trưởng lợi nhuận sau thuế (QoQ)*",Sheet4!$1:$1,2)),"")</f>
        <v>0</v>
      </c>
    </row>
    <row r="334" spans="1:18" x14ac:dyDescent="0.25">
      <c r="A334" s="7">
        <f>Sheet4!A313</f>
        <v>312</v>
      </c>
      <c r="B334" t="str">
        <f>Sheet4!B313</f>
        <v>SHA</v>
      </c>
      <c r="C334" t="str">
        <f>Sheet4!C312</f>
        <v>Sài Gòn Telecom</v>
      </c>
      <c r="D334" t="str">
        <f>Sheet4!D313</f>
        <v>HOSE</v>
      </c>
      <c r="E334" s="7">
        <f>Sheet4!AH313/1000000000</f>
        <v>136.61147847999999</v>
      </c>
      <c r="F334" t="str">
        <f>Sheet4!E313</f>
        <v>Nguyên vật liệu</v>
      </c>
      <c r="G334" t="str">
        <f>Sheet4!F313</f>
        <v>Tài nguyên Cơ bản</v>
      </c>
      <c r="H334" t="str">
        <f>Sheet4!G313</f>
        <v>Thép và sản phẩm thép</v>
      </c>
      <c r="I334" s="9" t="str" cm="1">
        <f t="array" ref="I33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34" s="9" t="str" cm="1">
        <f t="array" ref="J33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34" s="10" cm="1">
        <f t="array" ref="K33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34" s="10" cm="1">
        <f t="array" ref="L33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34" s="9" t="str" cm="1">
        <f t="array" ref="M33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34" s="9" t="str" cm="1">
        <f t="array" ref="N33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34" s="10" cm="1">
        <f t="array" ref="O334">IFERROR(INDEX(Sheet4!$2:$1605,MATCH(ChiTietKQKD[[#This Row],[Mã CP]],Sheet4!$B$2:$B$1605,0),_xlfn.XMATCH("*Tăng trưởng lợi nhuận sau thuế (YoY) (Quý*",Sheet4!$1:$1,2)),"")</f>
        <v>0</v>
      </c>
      <c r="P334" s="10" cm="1">
        <f t="array" ref="P334">IFERROR(INDEX(Sheet4!$2:$1605,MATCH(ChiTietKQKD[[#This Row],[Mã CP]],Sheet4!$B$2:$B$1605,0),_xlfn.XMATCH("*Tăng trưởng lợi nhuận sau thuế (YoY) (6M)*",Sheet4!$1:$1,2)),"")</f>
        <v>0</v>
      </c>
      <c r="Q334" s="10" cm="1">
        <f t="array" ref="Q334">IFERROR(INDEX(Sheet4!$2:$1605,MATCH(ChiTietKQKD[[#This Row],[Mã CP]],Sheet4!$B$2:$B$1605,0),_xlfn.XMATCH("*Tăng trưởng doanh thu thuần (QoQ)*",Sheet4!$1:$1,2)),"")</f>
        <v>0</v>
      </c>
      <c r="R334" s="10" cm="1">
        <f t="array" ref="R334">IFERROR(INDEX(Sheet4!$2:$1605,MATCH(ChiTietKQKD[[#This Row],[Mã CP]],Sheet4!$B$2:$B$1605,0),_xlfn.XMATCH("*Tăng trưởng lợi nhuận sau thuế (QoQ)*",Sheet4!$1:$1,2)),"")</f>
        <v>0</v>
      </c>
    </row>
    <row r="335" spans="1:18" x14ac:dyDescent="0.25">
      <c r="A335" s="7">
        <f>Sheet4!A314</f>
        <v>313</v>
      </c>
      <c r="B335" t="str">
        <f>Sheet4!B314</f>
        <v>SHB</v>
      </c>
      <c r="C335" t="str">
        <f>Sheet4!C313</f>
        <v>Sơn Hà Sài Gòn</v>
      </c>
      <c r="D335" t="str">
        <f>Sheet4!D314</f>
        <v>HOSE</v>
      </c>
      <c r="E335" s="7">
        <f>Sheet4!AH314/1000000000</f>
        <v>62521.3349046</v>
      </c>
      <c r="F335" t="str">
        <f>Sheet4!E314</f>
        <v>Ngân hàng</v>
      </c>
      <c r="G335" t="str">
        <f>Sheet4!F314</f>
        <v>Ngân hàng</v>
      </c>
      <c r="H335" t="str">
        <f>Sheet4!G314</f>
        <v>Ngân hàng</v>
      </c>
      <c r="I335" s="9" t="str" cm="1">
        <f t="array" ref="I33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35" s="9" t="str" cm="1">
        <f t="array" ref="J33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35" s="10" t="str" cm="1">
        <f t="array" ref="K33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335" s="10" t="str" cm="1">
        <f t="array" ref="L33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335" s="9" t="str" cm="1">
        <f t="array" ref="M33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35" s="9" t="str" cm="1">
        <f t="array" ref="N33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35" s="10" cm="1">
        <f t="array" ref="O335">IFERROR(INDEX(Sheet4!$2:$1605,MATCH(ChiTietKQKD[[#This Row],[Mã CP]],Sheet4!$B$2:$B$1605,0),_xlfn.XMATCH("*Tăng trưởng lợi nhuận sau thuế (YoY) (Quý*",Sheet4!$1:$1,2)),"")</f>
        <v>0</v>
      </c>
      <c r="P335" s="10" cm="1">
        <f t="array" ref="P335">IFERROR(INDEX(Sheet4!$2:$1605,MATCH(ChiTietKQKD[[#This Row],[Mã CP]],Sheet4!$B$2:$B$1605,0),_xlfn.XMATCH("*Tăng trưởng lợi nhuận sau thuế (YoY) (6M)*",Sheet4!$1:$1,2)),"")</f>
        <v>0</v>
      </c>
      <c r="Q335" s="10" cm="1">
        <f t="array" ref="Q335">IFERROR(INDEX(Sheet4!$2:$1605,MATCH(ChiTietKQKD[[#This Row],[Mã CP]],Sheet4!$B$2:$B$1605,0),_xlfn.XMATCH("*Tăng trưởng doanh thu thuần (QoQ)*",Sheet4!$1:$1,2)),"")</f>
        <v>0</v>
      </c>
      <c r="R335" s="10" cm="1">
        <f t="array" ref="R335">IFERROR(INDEX(Sheet4!$2:$1605,MATCH(ChiTietKQKD[[#This Row],[Mã CP]],Sheet4!$B$2:$B$1605,0),_xlfn.XMATCH("*Tăng trưởng lợi nhuận sau thuế (QoQ)*",Sheet4!$1:$1,2)),"")</f>
        <v>0</v>
      </c>
    </row>
    <row r="336" spans="1:18" x14ac:dyDescent="0.25">
      <c r="A336" s="7">
        <f>Sheet4!A315</f>
        <v>314</v>
      </c>
      <c r="B336" t="str">
        <f>Sheet4!B315</f>
        <v>SHI</v>
      </c>
      <c r="C336" t="str">
        <f>Sheet4!C314</f>
        <v>SHB</v>
      </c>
      <c r="D336" t="str">
        <f>Sheet4!D315</f>
        <v>HOSE</v>
      </c>
      <c r="E336" s="7">
        <f>Sheet4!AH315/1000000000</f>
        <v>2404.7861183499999</v>
      </c>
      <c r="F336" t="str">
        <f>Sheet4!E315</f>
        <v>Nguyên vật liệu</v>
      </c>
      <c r="G336" t="str">
        <f>Sheet4!F315</f>
        <v>Tài nguyên Cơ bản</v>
      </c>
      <c r="H336" t="str">
        <f>Sheet4!G315</f>
        <v>Thép và sản phẩm thép</v>
      </c>
      <c r="I336" s="9" t="str" cm="1">
        <f t="array" ref="I33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36" s="9" t="str" cm="1">
        <f t="array" ref="J33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36" s="10" cm="1">
        <f t="array" ref="K33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36" s="10" cm="1">
        <f t="array" ref="L33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36" s="9" t="str" cm="1">
        <f t="array" ref="M33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36" s="9" t="str" cm="1">
        <f t="array" ref="N33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36" s="10" cm="1">
        <f t="array" ref="O336">IFERROR(INDEX(Sheet4!$2:$1605,MATCH(ChiTietKQKD[[#This Row],[Mã CP]],Sheet4!$B$2:$B$1605,0),_xlfn.XMATCH("*Tăng trưởng lợi nhuận sau thuế (YoY) (Quý*",Sheet4!$1:$1,2)),"")</f>
        <v>0</v>
      </c>
      <c r="P336" s="10" cm="1">
        <f t="array" ref="P336">IFERROR(INDEX(Sheet4!$2:$1605,MATCH(ChiTietKQKD[[#This Row],[Mã CP]],Sheet4!$B$2:$B$1605,0),_xlfn.XMATCH("*Tăng trưởng lợi nhuận sau thuế (YoY) (6M)*",Sheet4!$1:$1,2)),"")</f>
        <v>0</v>
      </c>
      <c r="Q336" s="10" cm="1">
        <f t="array" ref="Q336">IFERROR(INDEX(Sheet4!$2:$1605,MATCH(ChiTietKQKD[[#This Row],[Mã CP]],Sheet4!$B$2:$B$1605,0),_xlfn.XMATCH("*Tăng trưởng doanh thu thuần (QoQ)*",Sheet4!$1:$1,2)),"")</f>
        <v>0</v>
      </c>
      <c r="R336" s="10" cm="1">
        <f t="array" ref="R336">IFERROR(INDEX(Sheet4!$2:$1605,MATCH(ChiTietKQKD[[#This Row],[Mã CP]],Sheet4!$B$2:$B$1605,0),_xlfn.XMATCH("*Tăng trưởng lợi nhuận sau thuế (QoQ)*",Sheet4!$1:$1,2)),"")</f>
        <v>0</v>
      </c>
    </row>
    <row r="337" spans="1:18" x14ac:dyDescent="0.25">
      <c r="A337" s="7">
        <f>Sheet4!A316</f>
        <v>315</v>
      </c>
      <c r="B337" t="str">
        <f>Sheet4!B316</f>
        <v>SHP</v>
      </c>
      <c r="C337" t="str">
        <f>Sheet4!C315</f>
        <v>Quốc tế Sơn Hà</v>
      </c>
      <c r="D337" t="str">
        <f>Sheet4!D316</f>
        <v>HOSE</v>
      </c>
      <c r="E337" s="7">
        <f>Sheet4!AH316/1000000000</f>
        <v>3243.6635815999998</v>
      </c>
      <c r="F337" t="str">
        <f>Sheet4!E316</f>
        <v>Tiện ích Cộng đồng</v>
      </c>
      <c r="G337" t="str">
        <f>Sheet4!F316</f>
        <v>Điện, nước &amp; xăng dầu khí đốt</v>
      </c>
      <c r="H337" t="str">
        <f>Sheet4!G316</f>
        <v>Sản xuất &amp; Phân phối Điện</v>
      </c>
      <c r="I337" s="9" cm="1">
        <f t="array" ref="I33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98.687874624000003</v>
      </c>
      <c r="J337" s="9" cm="1">
        <f t="array" ref="J33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195.71151269800001</v>
      </c>
      <c r="K337" s="10" cm="1">
        <f t="array" ref="K33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-0.28820000000000001</v>
      </c>
      <c r="L337" s="10" cm="1">
        <f t="array" ref="L33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-4.4299999999999999E-2</v>
      </c>
      <c r="M337" s="9" cm="1">
        <f t="array" ref="M337">_xlfn.LET(_xlpm.val,IFERROR(INDEX(Sheet4!$2:$1605,MATCH(ChiTietKQKD[[#This Row],[Mã CP]],Sheet4!$B$2:$B$1605,0),_xlfn.XMATCH("*Lợi nhuận sau thuế*Q2*2026*",Sheet4!$1:$1,2)),0),IF(OR(_xlpm.val="",_xlpm.val=0),"",_xlpm.val/1000000000))</f>
        <v>31.898849514999998</v>
      </c>
      <c r="N337" s="9" cm="1">
        <f t="array" ref="N337">_xlfn.LET(_xlpm.val,IFERROR(INDEX(Sheet4!$2:$1605,MATCH(ChiTietKQKD[[#This Row],[Mã CP]],Sheet4!$B$2:$B$1605,0),_xlfn.XMATCH("*Lợi nhuận sau thuế*6 tháng*2026*",Sheet4!$1:$1,2)),0),IF(OR(_xlpm.val="",_xlpm.val=0),"",_xlpm.val/1000000000))</f>
        <v>69.475730055</v>
      </c>
      <c r="O337" s="10" cm="1">
        <f t="array" ref="O337">IFERROR(INDEX(Sheet4!$2:$1605,MATCH(ChiTietKQKD[[#This Row],[Mã CP]],Sheet4!$B$2:$B$1605,0),_xlfn.XMATCH("*Tăng trưởng lợi nhuận sau thuế (YoY) (Quý*",Sheet4!$1:$1,2)),"")</f>
        <v>-0.45789999999999997</v>
      </c>
      <c r="P337" s="10" cm="1">
        <f t="array" ref="P337">IFERROR(INDEX(Sheet4!$2:$1605,MATCH(ChiTietKQKD[[#This Row],[Mã CP]],Sheet4!$B$2:$B$1605,0),_xlfn.XMATCH("*Tăng trưởng lợi nhuận sau thuế (YoY) (6M)*",Sheet4!$1:$1,2)),"")</f>
        <v>-3.56E-2</v>
      </c>
      <c r="Q337" s="10" cm="1">
        <f t="array" ref="Q337">IFERROR(INDEX(Sheet4!$2:$1605,MATCH(ChiTietKQKD[[#This Row],[Mã CP]],Sheet4!$B$2:$B$1605,0),_xlfn.XMATCH("*Tăng trưởng doanh thu thuần (QoQ)*",Sheet4!$1:$1,2)),"")</f>
        <v>1.72E-2</v>
      </c>
      <c r="R337" s="10" cm="1">
        <f t="array" ref="R337">IFERROR(INDEX(Sheet4!$2:$1605,MATCH(ChiTietKQKD[[#This Row],[Mã CP]],Sheet4!$B$2:$B$1605,0),_xlfn.XMATCH("*Tăng trưởng lợi nhuận sau thuế (QoQ)*",Sheet4!$1:$1,2)),"")</f>
        <v>-0.15110000000000001</v>
      </c>
    </row>
    <row r="338" spans="1:18" x14ac:dyDescent="0.25">
      <c r="A338" s="7">
        <f>Sheet4!A317</f>
        <v>316</v>
      </c>
      <c r="B338" t="str">
        <f>Sheet4!B317</f>
        <v>SIP</v>
      </c>
      <c r="C338" t="str">
        <f>Sheet4!C316</f>
        <v>Thủy điện Miền Nam</v>
      </c>
      <c r="D338" t="str">
        <f>Sheet4!D317</f>
        <v>HOSE</v>
      </c>
      <c r="E338" s="7">
        <f>Sheet4!AH317/1000000000</f>
        <v>11330.8857324</v>
      </c>
      <c r="F338" t="str">
        <f>Sheet4!E317</f>
        <v>Tài chính</v>
      </c>
      <c r="G338" t="str">
        <f>Sheet4!F317</f>
        <v>Bất động sản</v>
      </c>
      <c r="H338" t="str">
        <f>Sheet4!G317</f>
        <v>Bất động sản</v>
      </c>
      <c r="I338" s="9" t="str" cm="1">
        <f t="array" ref="I33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38" s="9" t="str" cm="1">
        <f t="array" ref="J33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38" s="10" cm="1">
        <f t="array" ref="K33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38" s="10" cm="1">
        <f t="array" ref="L33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38" s="9" t="str" cm="1">
        <f t="array" ref="M33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38" s="9" t="str" cm="1">
        <f t="array" ref="N33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38" s="10" cm="1">
        <f t="array" ref="O338">IFERROR(INDEX(Sheet4!$2:$1605,MATCH(ChiTietKQKD[[#This Row],[Mã CP]],Sheet4!$B$2:$B$1605,0),_xlfn.XMATCH("*Tăng trưởng lợi nhuận sau thuế (YoY) (Quý*",Sheet4!$1:$1,2)),"")</f>
        <v>0</v>
      </c>
      <c r="P338" s="10" cm="1">
        <f t="array" ref="P338">IFERROR(INDEX(Sheet4!$2:$1605,MATCH(ChiTietKQKD[[#This Row],[Mã CP]],Sheet4!$B$2:$B$1605,0),_xlfn.XMATCH("*Tăng trưởng lợi nhuận sau thuế (YoY) (6M)*",Sheet4!$1:$1,2)),"")</f>
        <v>0</v>
      </c>
      <c r="Q338" s="10" cm="1">
        <f t="array" ref="Q338">IFERROR(INDEX(Sheet4!$2:$1605,MATCH(ChiTietKQKD[[#This Row],[Mã CP]],Sheet4!$B$2:$B$1605,0),_xlfn.XMATCH("*Tăng trưởng doanh thu thuần (QoQ)*",Sheet4!$1:$1,2)),"")</f>
        <v>0</v>
      </c>
      <c r="R338" s="10" cm="1">
        <f t="array" ref="R338">IFERROR(INDEX(Sheet4!$2:$1605,MATCH(ChiTietKQKD[[#This Row],[Mã CP]],Sheet4!$B$2:$B$1605,0),_xlfn.XMATCH("*Tăng trưởng lợi nhuận sau thuế (QoQ)*",Sheet4!$1:$1,2)),"")</f>
        <v>0</v>
      </c>
    </row>
    <row r="339" spans="1:18" x14ac:dyDescent="0.25">
      <c r="A339" s="7">
        <f>Sheet4!A318</f>
        <v>317</v>
      </c>
      <c r="B339" t="str">
        <f>Sheet4!B318</f>
        <v>SJD</v>
      </c>
      <c r="C339" t="str">
        <f>Sheet4!C317</f>
        <v>Đầu tư Sài Gòn VRG</v>
      </c>
      <c r="D339" t="str">
        <f>Sheet4!D318</f>
        <v>HOSE</v>
      </c>
      <c r="E339" s="7">
        <f>Sheet4!AH318/1000000000</f>
        <v>955.63088700000003</v>
      </c>
      <c r="F339" t="str">
        <f>Sheet4!E318</f>
        <v>Tiện ích Cộng đồng</v>
      </c>
      <c r="G339" t="str">
        <f>Sheet4!F318</f>
        <v>Điện, nước &amp; xăng dầu khí đốt</v>
      </c>
      <c r="H339" t="str">
        <f>Sheet4!G318</f>
        <v>Sản xuất &amp; Phân phối Điện</v>
      </c>
      <c r="I339" s="9" t="str" cm="1">
        <f t="array" ref="I33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39" s="9" t="str" cm="1">
        <f t="array" ref="J33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39" s="10" cm="1">
        <f t="array" ref="K33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39" s="10" cm="1">
        <f t="array" ref="L33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39" s="9" t="str" cm="1">
        <f t="array" ref="M33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39" s="9" t="str" cm="1">
        <f t="array" ref="N33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39" s="10" cm="1">
        <f t="array" ref="O339">IFERROR(INDEX(Sheet4!$2:$1605,MATCH(ChiTietKQKD[[#This Row],[Mã CP]],Sheet4!$B$2:$B$1605,0),_xlfn.XMATCH("*Tăng trưởng lợi nhuận sau thuế (YoY) (Quý*",Sheet4!$1:$1,2)),"")</f>
        <v>0</v>
      </c>
      <c r="P339" s="10" cm="1">
        <f t="array" ref="P339">IFERROR(INDEX(Sheet4!$2:$1605,MATCH(ChiTietKQKD[[#This Row],[Mã CP]],Sheet4!$B$2:$B$1605,0),_xlfn.XMATCH("*Tăng trưởng lợi nhuận sau thuế (YoY) (6M)*",Sheet4!$1:$1,2)),"")</f>
        <v>0</v>
      </c>
      <c r="Q339" s="10" cm="1">
        <f t="array" ref="Q339">IFERROR(INDEX(Sheet4!$2:$1605,MATCH(ChiTietKQKD[[#This Row],[Mã CP]],Sheet4!$B$2:$B$1605,0),_xlfn.XMATCH("*Tăng trưởng doanh thu thuần (QoQ)*",Sheet4!$1:$1,2)),"")</f>
        <v>0</v>
      </c>
      <c r="R339" s="10" cm="1">
        <f t="array" ref="R339">IFERROR(INDEX(Sheet4!$2:$1605,MATCH(ChiTietKQKD[[#This Row],[Mã CP]],Sheet4!$B$2:$B$1605,0),_xlfn.XMATCH("*Tăng trưởng lợi nhuận sau thuế (QoQ)*",Sheet4!$1:$1,2)),"")</f>
        <v>0</v>
      </c>
    </row>
    <row r="340" spans="1:18" x14ac:dyDescent="0.25">
      <c r="A340" s="7">
        <f>Sheet4!A319</f>
        <v>318</v>
      </c>
      <c r="B340" t="str">
        <f>Sheet4!B319</f>
        <v>SJS</v>
      </c>
      <c r="C340" t="str">
        <f>Sheet4!C318</f>
        <v>Thủy điện Cần Đơn</v>
      </c>
      <c r="D340" t="str">
        <f>Sheet4!D319</f>
        <v>HOSE</v>
      </c>
      <c r="E340" s="7">
        <f>Sheet4!AH319/1000000000</f>
        <v>14040.811881600001</v>
      </c>
      <c r="F340" t="str">
        <f>Sheet4!E319</f>
        <v>Tài chính</v>
      </c>
      <c r="G340" t="str">
        <f>Sheet4!F319</f>
        <v>Bất động sản</v>
      </c>
      <c r="H340" t="str">
        <f>Sheet4!G319</f>
        <v>Bất động sản</v>
      </c>
      <c r="I340" s="9" t="str" cm="1">
        <f t="array" ref="I34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40" s="9" t="str" cm="1">
        <f t="array" ref="J34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40" s="10" cm="1">
        <f t="array" ref="K34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40" s="10" cm="1">
        <f t="array" ref="L34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40" s="9" t="str" cm="1">
        <f t="array" ref="M34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40" s="9" t="str" cm="1">
        <f t="array" ref="N34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40" s="10" cm="1">
        <f t="array" ref="O340">IFERROR(INDEX(Sheet4!$2:$1605,MATCH(ChiTietKQKD[[#This Row],[Mã CP]],Sheet4!$B$2:$B$1605,0),_xlfn.XMATCH("*Tăng trưởng lợi nhuận sau thuế (YoY) (Quý*",Sheet4!$1:$1,2)),"")</f>
        <v>0</v>
      </c>
      <c r="P340" s="10" cm="1">
        <f t="array" ref="P340">IFERROR(INDEX(Sheet4!$2:$1605,MATCH(ChiTietKQKD[[#This Row],[Mã CP]],Sheet4!$B$2:$B$1605,0),_xlfn.XMATCH("*Tăng trưởng lợi nhuận sau thuế (YoY) (6M)*",Sheet4!$1:$1,2)),"")</f>
        <v>0</v>
      </c>
      <c r="Q340" s="10" cm="1">
        <f t="array" ref="Q340">IFERROR(INDEX(Sheet4!$2:$1605,MATCH(ChiTietKQKD[[#This Row],[Mã CP]],Sheet4!$B$2:$B$1605,0),_xlfn.XMATCH("*Tăng trưởng doanh thu thuần (QoQ)*",Sheet4!$1:$1,2)),"")</f>
        <v>0</v>
      </c>
      <c r="R340" s="10" cm="1">
        <f t="array" ref="R340">IFERROR(INDEX(Sheet4!$2:$1605,MATCH(ChiTietKQKD[[#This Row],[Mã CP]],Sheet4!$B$2:$B$1605,0),_xlfn.XMATCH("*Tăng trưởng lợi nhuận sau thuế (QoQ)*",Sheet4!$1:$1,2)),"")</f>
        <v>0</v>
      </c>
    </row>
    <row r="341" spans="1:18" x14ac:dyDescent="0.25">
      <c r="A341" s="7">
        <f>Sheet4!A320</f>
        <v>319</v>
      </c>
      <c r="B341" t="str">
        <f>Sheet4!B320</f>
        <v>SKG</v>
      </c>
      <c r="C341" t="str">
        <f>Sheet4!C319</f>
        <v>SJ Group</v>
      </c>
      <c r="D341" t="str">
        <f>Sheet4!D320</f>
        <v>HOSE</v>
      </c>
      <c r="E341" s="7">
        <f>Sheet4!AH320/1000000000</f>
        <v>528.65669115000003</v>
      </c>
      <c r="F341" t="str">
        <f>Sheet4!E320</f>
        <v>Dịch vụ Tiêu dùng</v>
      </c>
      <c r="G341" t="str">
        <f>Sheet4!F320</f>
        <v>Du lịch và Giải trí</v>
      </c>
      <c r="H341" t="str">
        <f>Sheet4!G320</f>
        <v>Vận tải hành khách &amp; Du lịch</v>
      </c>
      <c r="I341" s="9" cm="1">
        <f t="array" ref="I34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167.055629563</v>
      </c>
      <c r="J341" s="9" cm="1">
        <f t="array" ref="J34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293.54710841299999</v>
      </c>
      <c r="K341" s="10" cm="1">
        <f t="array" ref="K34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0.2102</v>
      </c>
      <c r="L341" s="10" cm="1">
        <f t="array" ref="L34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0.17910000000000001</v>
      </c>
      <c r="M341" s="9" cm="1">
        <f t="array" ref="M341">_xlfn.LET(_xlpm.val,IFERROR(INDEX(Sheet4!$2:$1605,MATCH(ChiTietKQKD[[#This Row],[Mã CP]],Sheet4!$B$2:$B$1605,0),_xlfn.XMATCH("*Lợi nhuận sau thuế*Q2*2026*",Sheet4!$1:$1,2)),0),IF(OR(_xlpm.val="",_xlpm.val=0),"",_xlpm.val/1000000000))</f>
        <v>25.942059261000001</v>
      </c>
      <c r="N341" s="9" cm="1">
        <f t="array" ref="N341">_xlfn.LET(_xlpm.val,IFERROR(INDEX(Sheet4!$2:$1605,MATCH(ChiTietKQKD[[#This Row],[Mã CP]],Sheet4!$B$2:$B$1605,0),_xlfn.XMATCH("*Lợi nhuận sau thuế*6 tháng*2026*",Sheet4!$1:$1,2)),0),IF(OR(_xlpm.val="",_xlpm.val=0),"",_xlpm.val/1000000000))</f>
        <v>50.889953474999999</v>
      </c>
      <c r="O341" s="10" cm="1">
        <f t="array" ref="O341">IFERROR(INDEX(Sheet4!$2:$1605,MATCH(ChiTietKQKD[[#This Row],[Mã CP]],Sheet4!$B$2:$B$1605,0),_xlfn.XMATCH("*Tăng trưởng lợi nhuận sau thuế (YoY) (Quý*",Sheet4!$1:$1,2)),"")</f>
        <v>-0.2329</v>
      </c>
      <c r="P341" s="10" cm="1">
        <f t="array" ref="P341">IFERROR(INDEX(Sheet4!$2:$1605,MATCH(ChiTietKQKD[[#This Row],[Mã CP]],Sheet4!$B$2:$B$1605,0),_xlfn.XMATCH("*Tăng trưởng lợi nhuận sau thuế (YoY) (6M)*",Sheet4!$1:$1,2)),"")</f>
        <v>2.8199999999999999E-2</v>
      </c>
      <c r="Q341" s="10" cm="1">
        <f t="array" ref="Q341">IFERROR(INDEX(Sheet4!$2:$1605,MATCH(ChiTietKQKD[[#This Row],[Mã CP]],Sheet4!$B$2:$B$1605,0),_xlfn.XMATCH("*Tăng trưởng doanh thu thuần (QoQ)*",Sheet4!$1:$1,2)),"")</f>
        <v>0.32069999999999999</v>
      </c>
      <c r="R341" s="10" cm="1">
        <f t="array" ref="R341">IFERROR(INDEX(Sheet4!$2:$1605,MATCH(ChiTietKQKD[[#This Row],[Mã CP]],Sheet4!$B$2:$B$1605,0),_xlfn.XMATCH("*Tăng trưởng lợi nhuận sau thuế (QoQ)*",Sheet4!$1:$1,2)),"")</f>
        <v>3.9800000000000002E-2</v>
      </c>
    </row>
    <row r="342" spans="1:18" x14ac:dyDescent="0.25">
      <c r="A342" s="7">
        <f>Sheet4!A321</f>
        <v>320</v>
      </c>
      <c r="B342" t="str">
        <f>Sheet4!B321</f>
        <v>SMA</v>
      </c>
      <c r="C342" t="str">
        <f>Sheet4!C320</f>
        <v>Tàu Cao tốc Superdong</v>
      </c>
      <c r="D342" t="str">
        <f>Sheet4!D321</f>
        <v>HOSE</v>
      </c>
      <c r="E342" s="7">
        <f>Sheet4!AH321/1000000000</f>
        <v>152.64626999999999</v>
      </c>
      <c r="F342" t="str">
        <f>Sheet4!E321</f>
        <v>Tiện ích Cộng đồng</v>
      </c>
      <c r="G342" t="str">
        <f>Sheet4!F321</f>
        <v>Điện, nước &amp; xăng dầu khí đốt</v>
      </c>
      <c r="H342" t="str">
        <f>Sheet4!G321</f>
        <v>Sản xuất &amp; Phân phối Điện</v>
      </c>
      <c r="I342" s="9" cm="1">
        <f t="array" ref="I34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10.274778701000001</v>
      </c>
      <c r="J342" s="9" cm="1">
        <f t="array" ref="J34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15.753293814999999</v>
      </c>
      <c r="K342" s="10" cm="1">
        <f t="array" ref="K34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-0.37330000000000002</v>
      </c>
      <c r="L342" s="10" cm="1">
        <f t="array" ref="L34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-0.21479999999999999</v>
      </c>
      <c r="M342" s="9" cm="1">
        <f t="array" ref="M342">_xlfn.LET(_xlpm.val,IFERROR(INDEX(Sheet4!$2:$1605,MATCH(ChiTietKQKD[[#This Row],[Mã CP]],Sheet4!$B$2:$B$1605,0),_xlfn.XMATCH("*Lợi nhuận sau thuế*Q2*2026*",Sheet4!$1:$1,2)),0),IF(OR(_xlpm.val="",_xlpm.val=0),"",_xlpm.val/1000000000))</f>
        <v>-1.352496535</v>
      </c>
      <c r="N342" s="9" cm="1">
        <f t="array" ref="N342">_xlfn.LET(_xlpm.val,IFERROR(INDEX(Sheet4!$2:$1605,MATCH(ChiTietKQKD[[#This Row],[Mã CP]],Sheet4!$B$2:$B$1605,0),_xlfn.XMATCH("*Lợi nhuận sau thuế*6 tháng*2026*",Sheet4!$1:$1,2)),0),IF(OR(_xlpm.val="",_xlpm.val=0),"",_xlpm.val/1000000000))</f>
        <v>-6.4102660739999999</v>
      </c>
      <c r="O342" s="10" cm="1">
        <f t="array" ref="O342">IFERROR(INDEX(Sheet4!$2:$1605,MATCH(ChiTietKQKD[[#This Row],[Mã CP]],Sheet4!$B$2:$B$1605,0),_xlfn.XMATCH("*Tăng trưởng lợi nhuận sau thuế (YoY) (Quý*",Sheet4!$1:$1,2)),"")</f>
        <v>-1.3813</v>
      </c>
      <c r="P342" s="10" cm="1">
        <f t="array" ref="P342">IFERROR(INDEX(Sheet4!$2:$1605,MATCH(ChiTietKQKD[[#This Row],[Mã CP]],Sheet4!$B$2:$B$1605,0),_xlfn.XMATCH("*Tăng trưởng lợi nhuận sau thuế (YoY) (6M)*",Sheet4!$1:$1,2)),"")</f>
        <v>-0.76719999999999999</v>
      </c>
      <c r="Q342" s="10" cm="1">
        <f t="array" ref="Q342">IFERROR(INDEX(Sheet4!$2:$1605,MATCH(ChiTietKQKD[[#This Row],[Mã CP]],Sheet4!$B$2:$B$1605,0),_xlfn.XMATCH("*Tăng trưởng doanh thu thuần (QoQ)*",Sheet4!$1:$1,2)),"")</f>
        <v>0.87549999999999994</v>
      </c>
      <c r="R342" s="10" cm="1">
        <f t="array" ref="R342">IFERROR(INDEX(Sheet4!$2:$1605,MATCH(ChiTietKQKD[[#This Row],[Mã CP]],Sheet4!$B$2:$B$1605,0),_xlfn.XMATCH("*Tăng trưởng lợi nhuận sau thuế (QoQ)*",Sheet4!$1:$1,2)),"")</f>
        <v>0.73260000000000003</v>
      </c>
    </row>
    <row r="343" spans="1:18" x14ac:dyDescent="0.25">
      <c r="A343" s="7">
        <f>Sheet4!A322</f>
        <v>321</v>
      </c>
      <c r="B343" t="str">
        <f>Sheet4!B322</f>
        <v>SMB</v>
      </c>
      <c r="C343" t="str">
        <f>Sheet4!C321</f>
        <v>Thiết bị Phụ tùng Sài Gòn</v>
      </c>
      <c r="D343" t="str">
        <f>Sheet4!D322</f>
        <v>HOSE</v>
      </c>
      <c r="E343" s="7">
        <f>Sheet4!AH322/1000000000</f>
        <v>1155.0652775999999</v>
      </c>
      <c r="F343" t="str">
        <f>Sheet4!E322</f>
        <v>Hàng Tiêu dùng</v>
      </c>
      <c r="G343" t="str">
        <f>Sheet4!F322</f>
        <v>Thực phẩm và đồ uống</v>
      </c>
      <c r="H343" t="str">
        <f>Sheet4!G322</f>
        <v>Sản xuất bia</v>
      </c>
      <c r="I343" s="9" t="str" cm="1">
        <f t="array" ref="I34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43" s="9" t="str" cm="1">
        <f t="array" ref="J34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43" s="10" cm="1">
        <f t="array" ref="K34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43" s="10" cm="1">
        <f t="array" ref="L34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43" s="9" t="str" cm="1">
        <f t="array" ref="M34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43" s="9" t="str" cm="1">
        <f t="array" ref="N34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43" s="10" cm="1">
        <f t="array" ref="O343">IFERROR(INDEX(Sheet4!$2:$1605,MATCH(ChiTietKQKD[[#This Row],[Mã CP]],Sheet4!$B$2:$B$1605,0),_xlfn.XMATCH("*Tăng trưởng lợi nhuận sau thuế (YoY) (Quý*",Sheet4!$1:$1,2)),"")</f>
        <v>0</v>
      </c>
      <c r="P343" s="10" cm="1">
        <f t="array" ref="P343">IFERROR(INDEX(Sheet4!$2:$1605,MATCH(ChiTietKQKD[[#This Row],[Mã CP]],Sheet4!$B$2:$B$1605,0),_xlfn.XMATCH("*Tăng trưởng lợi nhuận sau thuế (YoY) (6M)*",Sheet4!$1:$1,2)),"")</f>
        <v>0</v>
      </c>
      <c r="Q343" s="10" cm="1">
        <f t="array" ref="Q343">IFERROR(INDEX(Sheet4!$2:$1605,MATCH(ChiTietKQKD[[#This Row],[Mã CP]],Sheet4!$B$2:$B$1605,0),_xlfn.XMATCH("*Tăng trưởng doanh thu thuần (QoQ)*",Sheet4!$1:$1,2)),"")</f>
        <v>0</v>
      </c>
      <c r="R343" s="10" cm="1">
        <f t="array" ref="R343">IFERROR(INDEX(Sheet4!$2:$1605,MATCH(ChiTietKQKD[[#This Row],[Mã CP]],Sheet4!$B$2:$B$1605,0),_xlfn.XMATCH("*Tăng trưởng lợi nhuận sau thuế (QoQ)*",Sheet4!$1:$1,2)),"")</f>
        <v>0</v>
      </c>
    </row>
    <row r="344" spans="1:18" x14ac:dyDescent="0.25">
      <c r="A344" s="7">
        <f>Sheet4!A323</f>
        <v>322</v>
      </c>
      <c r="B344" t="str">
        <f>Sheet4!B323</f>
        <v>SMC</v>
      </c>
      <c r="C344" t="str">
        <f>Sheet4!C322</f>
        <v>Bia Sài Gòn - Miền Trung</v>
      </c>
      <c r="D344" t="str">
        <f>Sheet4!D323</f>
        <v>HOSE</v>
      </c>
      <c r="E344" s="7">
        <f>Sheet4!AH323/1000000000</f>
        <v>699.26495150000005</v>
      </c>
      <c r="F344" t="str">
        <f>Sheet4!E323</f>
        <v>Nguyên vật liệu</v>
      </c>
      <c r="G344" t="str">
        <f>Sheet4!F323</f>
        <v>Tài nguyên Cơ bản</v>
      </c>
      <c r="H344" t="str">
        <f>Sheet4!G323</f>
        <v>Thép và sản phẩm thép</v>
      </c>
      <c r="I344" s="9" t="str" cm="1">
        <f t="array" ref="I34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44" s="9" t="str" cm="1">
        <f t="array" ref="J34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44" s="10" cm="1">
        <f t="array" ref="K34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44" s="10" cm="1">
        <f t="array" ref="L34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44" s="9" t="str" cm="1">
        <f t="array" ref="M34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44" s="9" t="str" cm="1">
        <f t="array" ref="N34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44" s="10" cm="1">
        <f t="array" ref="O344">IFERROR(INDEX(Sheet4!$2:$1605,MATCH(ChiTietKQKD[[#This Row],[Mã CP]],Sheet4!$B$2:$B$1605,0),_xlfn.XMATCH("*Tăng trưởng lợi nhuận sau thuế (YoY) (Quý*",Sheet4!$1:$1,2)),"")</f>
        <v>0</v>
      </c>
      <c r="P344" s="10" cm="1">
        <f t="array" ref="P344">IFERROR(INDEX(Sheet4!$2:$1605,MATCH(ChiTietKQKD[[#This Row],[Mã CP]],Sheet4!$B$2:$B$1605,0),_xlfn.XMATCH("*Tăng trưởng lợi nhuận sau thuế (YoY) (6M)*",Sheet4!$1:$1,2)),"")</f>
        <v>0</v>
      </c>
      <c r="Q344" s="10" cm="1">
        <f t="array" ref="Q344">IFERROR(INDEX(Sheet4!$2:$1605,MATCH(ChiTietKQKD[[#This Row],[Mã CP]],Sheet4!$B$2:$B$1605,0),_xlfn.XMATCH("*Tăng trưởng doanh thu thuần (QoQ)*",Sheet4!$1:$1,2)),"")</f>
        <v>0</v>
      </c>
      <c r="R344" s="10" cm="1">
        <f t="array" ref="R344">IFERROR(INDEX(Sheet4!$2:$1605,MATCH(ChiTietKQKD[[#This Row],[Mã CP]],Sheet4!$B$2:$B$1605,0),_xlfn.XMATCH("*Tăng trưởng lợi nhuận sau thuế (QoQ)*",Sheet4!$1:$1,2)),"")</f>
        <v>0</v>
      </c>
    </row>
    <row r="345" spans="1:18" x14ac:dyDescent="0.25">
      <c r="A345" s="7">
        <f>Sheet4!A324</f>
        <v>323</v>
      </c>
      <c r="B345" t="str">
        <f>Sheet4!B324</f>
        <v>SPM</v>
      </c>
      <c r="C345" t="str">
        <f>Sheet4!C323</f>
        <v>Đầu tư Thương mại SMC</v>
      </c>
      <c r="D345" t="str">
        <f>Sheet4!D324</f>
        <v>HOSE</v>
      </c>
      <c r="E345" s="7">
        <f>Sheet4!AH324/1000000000</f>
        <v>139.7655</v>
      </c>
      <c r="F345" t="str">
        <f>Sheet4!E324</f>
        <v>Dược phẩm và Y tế</v>
      </c>
      <c r="G345" t="str">
        <f>Sheet4!F324</f>
        <v>Y tế</v>
      </c>
      <c r="H345" t="str">
        <f>Sheet4!G324</f>
        <v>Dược phẩm</v>
      </c>
      <c r="I345" s="9" cm="1">
        <f t="array" ref="I34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56.68055099</v>
      </c>
      <c r="J345" s="9" cm="1">
        <f t="array" ref="J34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102.688041895</v>
      </c>
      <c r="K345" s="10" cm="1">
        <f t="array" ref="K34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-0.1366</v>
      </c>
      <c r="L345" s="10" cm="1">
        <f t="array" ref="L34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-0.30690000000000001</v>
      </c>
      <c r="M345" s="9" cm="1">
        <f t="array" ref="M345">_xlfn.LET(_xlpm.val,IFERROR(INDEX(Sheet4!$2:$1605,MATCH(ChiTietKQKD[[#This Row],[Mã CP]],Sheet4!$B$2:$B$1605,0),_xlfn.XMATCH("*Lợi nhuận sau thuế*Q2*2026*",Sheet4!$1:$1,2)),0),IF(OR(_xlpm.val="",_xlpm.val=0),"",_xlpm.val/1000000000))</f>
        <v>8.8386276319999997</v>
      </c>
      <c r="N345" s="9" cm="1">
        <f t="array" ref="N345">_xlfn.LET(_xlpm.val,IFERROR(INDEX(Sheet4!$2:$1605,MATCH(ChiTietKQKD[[#This Row],[Mã CP]],Sheet4!$B$2:$B$1605,0),_xlfn.XMATCH("*Lợi nhuận sau thuế*6 tháng*2026*",Sheet4!$1:$1,2)),0),IF(OR(_xlpm.val="",_xlpm.val=0),"",_xlpm.val/1000000000))</f>
        <v>12.054843533</v>
      </c>
      <c r="O345" s="10" cm="1">
        <f t="array" ref="O345">IFERROR(INDEX(Sheet4!$2:$1605,MATCH(ChiTietKQKD[[#This Row],[Mã CP]],Sheet4!$B$2:$B$1605,0),_xlfn.XMATCH("*Tăng trưởng lợi nhuận sau thuế (YoY) (Quý*",Sheet4!$1:$1,2)),"")</f>
        <v>133.3287</v>
      </c>
      <c r="P345" s="10" cm="1">
        <f t="array" ref="P345">IFERROR(INDEX(Sheet4!$2:$1605,MATCH(ChiTietKQKD[[#This Row],[Mã CP]],Sheet4!$B$2:$B$1605,0),_xlfn.XMATCH("*Tăng trưởng lợi nhuận sau thuế (YoY) (6M)*",Sheet4!$1:$1,2)),"")</f>
        <v>2.7502</v>
      </c>
      <c r="Q345" s="10" cm="1">
        <f t="array" ref="Q345">IFERROR(INDEX(Sheet4!$2:$1605,MATCH(ChiTietKQKD[[#This Row],[Mã CP]],Sheet4!$B$2:$B$1605,0),_xlfn.XMATCH("*Tăng trưởng doanh thu thuần (QoQ)*",Sheet4!$1:$1,2)),"")</f>
        <v>0.23200000000000001</v>
      </c>
      <c r="R345" s="10" cm="1">
        <f t="array" ref="R345">IFERROR(INDEX(Sheet4!$2:$1605,MATCH(ChiTietKQKD[[#This Row],[Mã CP]],Sheet4!$B$2:$B$1605,0),_xlfn.XMATCH("*Tăng trưởng lợi nhuận sau thuế (QoQ)*",Sheet4!$1:$1,2)),"")</f>
        <v>1.7481</v>
      </c>
    </row>
    <row r="346" spans="1:18" x14ac:dyDescent="0.25">
      <c r="A346" s="7">
        <f>Sheet4!A325</f>
        <v>324</v>
      </c>
      <c r="B346" t="str">
        <f>Sheet4!B325</f>
        <v>SRC</v>
      </c>
      <c r="C346" t="str">
        <f>Sheet4!C324</f>
        <v>S.P.M CORP</v>
      </c>
      <c r="D346" t="str">
        <f>Sheet4!D325</f>
        <v>HOSE</v>
      </c>
      <c r="E346" s="7">
        <f>Sheet4!AH325/1000000000</f>
        <v>1386.3056260000001</v>
      </c>
      <c r="F346" t="str">
        <f>Sheet4!E325</f>
        <v>Hàng Tiêu dùng</v>
      </c>
      <c r="G346" t="str">
        <f>Sheet4!F325</f>
        <v>Ô tô và phụ tùng</v>
      </c>
      <c r="H346" t="str">
        <f>Sheet4!G325</f>
        <v>Lốp xe</v>
      </c>
      <c r="I346" s="9" cm="1">
        <f t="array" ref="I34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326.427545356</v>
      </c>
      <c r="J346" s="9" t="str" cm="1">
        <f t="array" ref="J34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46" s="10" cm="1">
        <f t="array" ref="K34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-0.13070000000000001</v>
      </c>
      <c r="L346" s="10" cm="1">
        <f t="array" ref="L34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5.6099999999999997E-2</v>
      </c>
      <c r="M346" s="9" cm="1">
        <f t="array" ref="M346">_xlfn.LET(_xlpm.val,IFERROR(INDEX(Sheet4!$2:$1605,MATCH(ChiTietKQKD[[#This Row],[Mã CP]],Sheet4!$B$2:$B$1605,0),_xlfn.XMATCH("*Lợi nhuận sau thuế*Q2*2026*",Sheet4!$1:$1,2)),0),IF(OR(_xlpm.val="",_xlpm.val=0),"",_xlpm.val/1000000000))</f>
        <v>1.9371312119999999</v>
      </c>
      <c r="N346" s="9" t="str" cm="1">
        <f t="array" ref="N34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46" s="10" cm="1">
        <f t="array" ref="O346">IFERROR(INDEX(Sheet4!$2:$1605,MATCH(ChiTietKQKD[[#This Row],[Mã CP]],Sheet4!$B$2:$B$1605,0),_xlfn.XMATCH("*Tăng trưởng lợi nhuận sau thuế (YoY) (Quý*",Sheet4!$1:$1,2)),"")</f>
        <v>-0.76</v>
      </c>
      <c r="P346" s="10" cm="1">
        <f t="array" ref="P346">IFERROR(INDEX(Sheet4!$2:$1605,MATCH(ChiTietKQKD[[#This Row],[Mã CP]],Sheet4!$B$2:$B$1605,0),_xlfn.XMATCH("*Tăng trưởng lợi nhuận sau thuế (YoY) (6M)*",Sheet4!$1:$1,2)),"")</f>
        <v>5.3999999999999999E-2</v>
      </c>
      <c r="Q346" s="10" cm="1">
        <f t="array" ref="Q346">IFERROR(INDEX(Sheet4!$2:$1605,MATCH(ChiTietKQKD[[#This Row],[Mã CP]],Sheet4!$B$2:$B$1605,0),_xlfn.XMATCH("*Tăng trưởng doanh thu thuần (QoQ)*",Sheet4!$1:$1,2)),"")</f>
        <v>-5.6399999999999999E-2</v>
      </c>
      <c r="R346" s="10" cm="1">
        <f t="array" ref="R346">IFERROR(INDEX(Sheet4!$2:$1605,MATCH(ChiTietKQKD[[#This Row],[Mã CP]],Sheet4!$B$2:$B$1605,0),_xlfn.XMATCH("*Tăng trưởng lợi nhuận sau thuế (QoQ)*",Sheet4!$1:$1,2)),"")</f>
        <v>-0.79410000000000003</v>
      </c>
    </row>
    <row r="347" spans="1:18" x14ac:dyDescent="0.25">
      <c r="A347" s="7">
        <f>Sheet4!A326</f>
        <v>325</v>
      </c>
      <c r="B347" t="str">
        <f>Sheet4!B326</f>
        <v>SRF</v>
      </c>
      <c r="C347" t="str">
        <f>Sheet4!C325</f>
        <v>Cao su Sao Vàng</v>
      </c>
      <c r="D347" t="str">
        <f>Sheet4!D326</f>
        <v>HOSE</v>
      </c>
      <c r="E347" s="7">
        <f>Sheet4!AH326/1000000000</f>
        <v>243.264816</v>
      </c>
      <c r="F347" t="str">
        <f>Sheet4!E326</f>
        <v>Công nghiệp</v>
      </c>
      <c r="G347" t="str">
        <f>Sheet4!F326</f>
        <v>Hàng &amp; Dịch vụ Công nghiệp</v>
      </c>
      <c r="H347" t="str">
        <f>Sheet4!G326</f>
        <v>Máy công nghiệp</v>
      </c>
      <c r="I347" s="9" t="str" cm="1">
        <f t="array" ref="I34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47" s="9" t="str" cm="1">
        <f t="array" ref="J34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47" s="10" cm="1">
        <f t="array" ref="K34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47" s="10" cm="1">
        <f t="array" ref="L34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47" s="9" t="str" cm="1">
        <f t="array" ref="M34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47" s="9" t="str" cm="1">
        <f t="array" ref="N34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47" s="10" cm="1">
        <f t="array" ref="O347">IFERROR(INDEX(Sheet4!$2:$1605,MATCH(ChiTietKQKD[[#This Row],[Mã CP]],Sheet4!$B$2:$B$1605,0),_xlfn.XMATCH("*Tăng trưởng lợi nhuận sau thuế (YoY) (Quý*",Sheet4!$1:$1,2)),"")</f>
        <v>0</v>
      </c>
      <c r="P347" s="10" cm="1">
        <f t="array" ref="P347">IFERROR(INDEX(Sheet4!$2:$1605,MATCH(ChiTietKQKD[[#This Row],[Mã CP]],Sheet4!$B$2:$B$1605,0),_xlfn.XMATCH("*Tăng trưởng lợi nhuận sau thuế (YoY) (6M)*",Sheet4!$1:$1,2)),"")</f>
        <v>0</v>
      </c>
      <c r="Q347" s="10" cm="1">
        <f t="array" ref="Q347">IFERROR(INDEX(Sheet4!$2:$1605,MATCH(ChiTietKQKD[[#This Row],[Mã CP]],Sheet4!$B$2:$B$1605,0),_xlfn.XMATCH("*Tăng trưởng doanh thu thuần (QoQ)*",Sheet4!$1:$1,2)),"")</f>
        <v>0</v>
      </c>
      <c r="R347" s="10" cm="1">
        <f t="array" ref="R347">IFERROR(INDEX(Sheet4!$2:$1605,MATCH(ChiTietKQKD[[#This Row],[Mã CP]],Sheet4!$B$2:$B$1605,0),_xlfn.XMATCH("*Tăng trưởng lợi nhuận sau thuế (QoQ)*",Sheet4!$1:$1,2)),"")</f>
        <v>0</v>
      </c>
    </row>
    <row r="348" spans="1:18" x14ac:dyDescent="0.25">
      <c r="A348" s="7">
        <f>Sheet4!A327</f>
        <v>326</v>
      </c>
      <c r="B348" t="str">
        <f>Sheet4!B327</f>
        <v>SSB</v>
      </c>
      <c r="C348" t="str">
        <f>Sheet4!C326</f>
        <v>SEAREFICO</v>
      </c>
      <c r="D348" t="str">
        <f>Sheet4!D327</f>
        <v>HOSE</v>
      </c>
      <c r="E348" s="7">
        <f>Sheet4!AH327/1000000000</f>
        <v>53660.72</v>
      </c>
      <c r="F348" t="str">
        <f>Sheet4!E327</f>
        <v>Ngân hàng</v>
      </c>
      <c r="G348" t="str">
        <f>Sheet4!F327</f>
        <v>Ngân hàng</v>
      </c>
      <c r="H348" t="str">
        <f>Sheet4!G327</f>
        <v>Ngân hàng</v>
      </c>
      <c r="I348" s="9" t="str" cm="1">
        <f t="array" ref="I34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48" s="9" t="str" cm="1">
        <f t="array" ref="J34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48" s="10" t="str" cm="1">
        <f t="array" ref="K34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348" s="10" t="str" cm="1">
        <f t="array" ref="L34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348" s="9" t="str" cm="1">
        <f t="array" ref="M34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48" s="9" t="str" cm="1">
        <f t="array" ref="N34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48" s="10" cm="1">
        <f t="array" ref="O348">IFERROR(INDEX(Sheet4!$2:$1605,MATCH(ChiTietKQKD[[#This Row],[Mã CP]],Sheet4!$B$2:$B$1605,0),_xlfn.XMATCH("*Tăng trưởng lợi nhuận sau thuế (YoY) (Quý*",Sheet4!$1:$1,2)),"")</f>
        <v>0</v>
      </c>
      <c r="P348" s="10" cm="1">
        <f t="array" ref="P348">IFERROR(INDEX(Sheet4!$2:$1605,MATCH(ChiTietKQKD[[#This Row],[Mã CP]],Sheet4!$B$2:$B$1605,0),_xlfn.XMATCH("*Tăng trưởng lợi nhuận sau thuế (YoY) (6M)*",Sheet4!$1:$1,2)),"")</f>
        <v>0</v>
      </c>
      <c r="Q348" s="10" cm="1">
        <f t="array" ref="Q348">IFERROR(INDEX(Sheet4!$2:$1605,MATCH(ChiTietKQKD[[#This Row],[Mã CP]],Sheet4!$B$2:$B$1605,0),_xlfn.XMATCH("*Tăng trưởng doanh thu thuần (QoQ)*",Sheet4!$1:$1,2)),"")</f>
        <v>0</v>
      </c>
      <c r="R348" s="10" cm="1">
        <f t="array" ref="R348">IFERROR(INDEX(Sheet4!$2:$1605,MATCH(ChiTietKQKD[[#This Row],[Mã CP]],Sheet4!$B$2:$B$1605,0),_xlfn.XMATCH("*Tăng trưởng lợi nhuận sau thuế (QoQ)*",Sheet4!$1:$1,2)),"")</f>
        <v>0</v>
      </c>
    </row>
    <row r="349" spans="1:18" x14ac:dyDescent="0.25">
      <c r="A349" s="7">
        <f>Sheet4!A328</f>
        <v>327</v>
      </c>
      <c r="B349" t="str">
        <f>Sheet4!B328</f>
        <v>SSC</v>
      </c>
      <c r="C349" t="str">
        <f>Sheet4!C327</f>
        <v>SeABank</v>
      </c>
      <c r="D349" t="str">
        <f>Sheet4!D328</f>
        <v>HOSE</v>
      </c>
      <c r="E349" s="7">
        <f>Sheet4!AH328/1000000000</f>
        <v>371.60998000000001</v>
      </c>
      <c r="F349" t="str">
        <f>Sheet4!E328</f>
        <v>Hàng Tiêu dùng</v>
      </c>
      <c r="G349" t="str">
        <f>Sheet4!F328</f>
        <v>Thực phẩm và đồ uống</v>
      </c>
      <c r="H349" t="str">
        <f>Sheet4!G328</f>
        <v>Nuôi trồng nông &amp; hải sản</v>
      </c>
      <c r="I349" s="9" cm="1">
        <f t="array" ref="I34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69.623163538</v>
      </c>
      <c r="J349" s="9" t="str" cm="1">
        <f t="array" ref="J34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49" s="10" cm="1">
        <f t="array" ref="K34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-0.21440000000000001</v>
      </c>
      <c r="L349" s="10" cm="1">
        <f t="array" ref="L34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-0.2427</v>
      </c>
      <c r="M349" s="9" cm="1">
        <f t="array" ref="M349">_xlfn.LET(_xlpm.val,IFERROR(INDEX(Sheet4!$2:$1605,MATCH(ChiTietKQKD[[#This Row],[Mã CP]],Sheet4!$B$2:$B$1605,0),_xlfn.XMATCH("*Lợi nhuận sau thuế*Q2*2026*",Sheet4!$1:$1,2)),0),IF(OR(_xlpm.val="",_xlpm.val=0),"",_xlpm.val/1000000000))</f>
        <v>0.60030749699999997</v>
      </c>
      <c r="N349" s="9" t="str" cm="1">
        <f t="array" ref="N34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49" s="10" cm="1">
        <f t="array" ref="O349">IFERROR(INDEX(Sheet4!$2:$1605,MATCH(ChiTietKQKD[[#This Row],[Mã CP]],Sheet4!$B$2:$B$1605,0),_xlfn.XMATCH("*Tăng trưởng lợi nhuận sau thuế (YoY) (Quý*",Sheet4!$1:$1,2)),"")</f>
        <v>-0.94589999999999996</v>
      </c>
      <c r="P349" s="10" cm="1">
        <f t="array" ref="P349">IFERROR(INDEX(Sheet4!$2:$1605,MATCH(ChiTietKQKD[[#This Row],[Mã CP]],Sheet4!$B$2:$B$1605,0),_xlfn.XMATCH("*Tăng trưởng lợi nhuận sau thuế (YoY) (6M)*",Sheet4!$1:$1,2)),"")</f>
        <v>-0.95350000000000001</v>
      </c>
      <c r="Q349" s="10" cm="1">
        <f t="array" ref="Q349">IFERROR(INDEX(Sheet4!$2:$1605,MATCH(ChiTietKQKD[[#This Row],[Mã CP]],Sheet4!$B$2:$B$1605,0),_xlfn.XMATCH("*Tăng trưởng doanh thu thuần (QoQ)*",Sheet4!$1:$1,2)),"")</f>
        <v>0.86950000000000005</v>
      </c>
      <c r="R349" s="10" cm="1">
        <f t="array" ref="R349">IFERROR(INDEX(Sheet4!$2:$1605,MATCH(ChiTietKQKD[[#This Row],[Mã CP]],Sheet4!$B$2:$B$1605,0),_xlfn.XMATCH("*Tăng trưởng lợi nhuận sau thuế (QoQ)*",Sheet4!$1:$1,2)),"")</f>
        <v>18.5092</v>
      </c>
    </row>
    <row r="350" spans="1:18" x14ac:dyDescent="0.25">
      <c r="A350" s="7">
        <f>Sheet4!A329</f>
        <v>328</v>
      </c>
      <c r="B350" t="str">
        <f>Sheet4!B329</f>
        <v>SSI</v>
      </c>
      <c r="C350" t="str">
        <f>Sheet4!C328</f>
        <v>Giống cây trồng Miền Nam</v>
      </c>
      <c r="D350" t="str">
        <f>Sheet4!D329</f>
        <v>HOSE</v>
      </c>
      <c r="E350" s="7">
        <f>Sheet4!AH329/1000000000</f>
        <v>56649.864082799999</v>
      </c>
      <c r="F350" t="str">
        <f>Sheet4!E329</f>
        <v>Tài chính</v>
      </c>
      <c r="G350" t="str">
        <f>Sheet4!F329</f>
        <v>Dịch vụ tài chính</v>
      </c>
      <c r="H350" t="str">
        <f>Sheet4!G329</f>
        <v>Môi giới chứng khoán</v>
      </c>
      <c r="I350" s="9" t="str" cm="1">
        <f t="array" ref="I35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50" s="9" t="str" cm="1">
        <f t="array" ref="J35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50" s="10" cm="1">
        <f t="array" ref="K35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50" s="10" cm="1">
        <f t="array" ref="L35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50" s="9" t="str" cm="1">
        <f t="array" ref="M35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50" s="9" t="str" cm="1">
        <f t="array" ref="N35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50" s="10" cm="1">
        <f t="array" ref="O350">IFERROR(INDEX(Sheet4!$2:$1605,MATCH(ChiTietKQKD[[#This Row],[Mã CP]],Sheet4!$B$2:$B$1605,0),_xlfn.XMATCH("*Tăng trưởng lợi nhuận sau thuế (YoY) (Quý*",Sheet4!$1:$1,2)),"")</f>
        <v>0</v>
      </c>
      <c r="P350" s="10" cm="1">
        <f t="array" ref="P350">IFERROR(INDEX(Sheet4!$2:$1605,MATCH(ChiTietKQKD[[#This Row],[Mã CP]],Sheet4!$B$2:$B$1605,0),_xlfn.XMATCH("*Tăng trưởng lợi nhuận sau thuế (YoY) (6M)*",Sheet4!$1:$1,2)),"")</f>
        <v>0</v>
      </c>
      <c r="Q350" s="10" cm="1">
        <f t="array" ref="Q350">IFERROR(INDEX(Sheet4!$2:$1605,MATCH(ChiTietKQKD[[#This Row],[Mã CP]],Sheet4!$B$2:$B$1605,0),_xlfn.XMATCH("*Tăng trưởng doanh thu thuần (QoQ)*",Sheet4!$1:$1,2)),"")</f>
        <v>0</v>
      </c>
      <c r="R350" s="10" cm="1">
        <f t="array" ref="R350">IFERROR(INDEX(Sheet4!$2:$1605,MATCH(ChiTietKQKD[[#This Row],[Mã CP]],Sheet4!$B$2:$B$1605,0),_xlfn.XMATCH("*Tăng trưởng lợi nhuận sau thuế (QoQ)*",Sheet4!$1:$1,2)),"")</f>
        <v>0</v>
      </c>
    </row>
    <row r="351" spans="1:18" x14ac:dyDescent="0.25">
      <c r="A351" s="7">
        <f>Sheet4!A330</f>
        <v>329</v>
      </c>
      <c r="B351" t="str">
        <f>Sheet4!B330</f>
        <v>ST8</v>
      </c>
      <c r="C351" t="str">
        <f>Sheet4!C329</f>
        <v>Chứng khoán SSI</v>
      </c>
      <c r="D351" t="str">
        <f>Sheet4!D330</f>
        <v>HOSE</v>
      </c>
      <c r="E351" s="7">
        <f>Sheet4!AH330/1000000000</f>
        <v>65.588300099999998</v>
      </c>
      <c r="F351" t="str">
        <f>Sheet4!E330</f>
        <v>Công nghệ Thông tin</v>
      </c>
      <c r="G351" t="str">
        <f>Sheet4!F330</f>
        <v>Công nghệ Thông tin</v>
      </c>
      <c r="H351" t="str">
        <f>Sheet4!G330</f>
        <v>Thiết bị văn phòng</v>
      </c>
      <c r="I351" s="9" t="str" cm="1">
        <f t="array" ref="I35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51" s="9" t="str" cm="1">
        <f t="array" ref="J35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51" s="10" cm="1">
        <f t="array" ref="K35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51" s="10" cm="1">
        <f t="array" ref="L35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51" s="9" t="str" cm="1">
        <f t="array" ref="M35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51" s="9" t="str" cm="1">
        <f t="array" ref="N35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51" s="10" cm="1">
        <f t="array" ref="O351">IFERROR(INDEX(Sheet4!$2:$1605,MATCH(ChiTietKQKD[[#This Row],[Mã CP]],Sheet4!$B$2:$B$1605,0),_xlfn.XMATCH("*Tăng trưởng lợi nhuận sau thuế (YoY) (Quý*",Sheet4!$1:$1,2)),"")</f>
        <v>0</v>
      </c>
      <c r="P351" s="10" cm="1">
        <f t="array" ref="P351">IFERROR(INDEX(Sheet4!$2:$1605,MATCH(ChiTietKQKD[[#This Row],[Mã CP]],Sheet4!$B$2:$B$1605,0),_xlfn.XMATCH("*Tăng trưởng lợi nhuận sau thuế (YoY) (6M)*",Sheet4!$1:$1,2)),"")</f>
        <v>0</v>
      </c>
      <c r="Q351" s="10" cm="1">
        <f t="array" ref="Q351">IFERROR(INDEX(Sheet4!$2:$1605,MATCH(ChiTietKQKD[[#This Row],[Mã CP]],Sheet4!$B$2:$B$1605,0),_xlfn.XMATCH("*Tăng trưởng doanh thu thuần (QoQ)*",Sheet4!$1:$1,2)),"")</f>
        <v>0</v>
      </c>
      <c r="R351" s="10" cm="1">
        <f t="array" ref="R351">IFERROR(INDEX(Sheet4!$2:$1605,MATCH(ChiTietKQKD[[#This Row],[Mã CP]],Sheet4!$B$2:$B$1605,0),_xlfn.XMATCH("*Tăng trưởng lợi nhuận sau thuế (QoQ)*",Sheet4!$1:$1,2)),"")</f>
        <v>0</v>
      </c>
    </row>
    <row r="352" spans="1:18" x14ac:dyDescent="0.25">
      <c r="A352" s="7">
        <f>Sheet4!A331</f>
        <v>330</v>
      </c>
      <c r="B352" t="str">
        <f>Sheet4!B331</f>
        <v>STB</v>
      </c>
      <c r="C352" t="str">
        <f>Sheet4!C330</f>
        <v>Tập đoàn ST8</v>
      </c>
      <c r="D352" t="str">
        <f>Sheet4!D331</f>
        <v>HOSE</v>
      </c>
      <c r="E352" s="7">
        <f>Sheet4!AH331/1000000000</f>
        <v>133850.31583599999</v>
      </c>
      <c r="F352" t="str">
        <f>Sheet4!E331</f>
        <v>Ngân hàng</v>
      </c>
      <c r="G352" t="str">
        <f>Sheet4!F331</f>
        <v>Ngân hàng</v>
      </c>
      <c r="H352" t="str">
        <f>Sheet4!G331</f>
        <v>Ngân hàng</v>
      </c>
      <c r="I352" s="9" t="str" cm="1">
        <f t="array" ref="I35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52" s="9" t="str" cm="1">
        <f t="array" ref="J35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52" s="10" t="str" cm="1">
        <f t="array" ref="K35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352" s="10" t="str" cm="1">
        <f t="array" ref="L35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352" s="9" t="str" cm="1">
        <f t="array" ref="M35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52" s="9" t="str" cm="1">
        <f t="array" ref="N35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52" s="10" cm="1">
        <f t="array" ref="O352">IFERROR(INDEX(Sheet4!$2:$1605,MATCH(ChiTietKQKD[[#This Row],[Mã CP]],Sheet4!$B$2:$B$1605,0),_xlfn.XMATCH("*Tăng trưởng lợi nhuận sau thuế (YoY) (Quý*",Sheet4!$1:$1,2)),"")</f>
        <v>0</v>
      </c>
      <c r="P352" s="10" cm="1">
        <f t="array" ref="P352">IFERROR(INDEX(Sheet4!$2:$1605,MATCH(ChiTietKQKD[[#This Row],[Mã CP]],Sheet4!$B$2:$B$1605,0),_xlfn.XMATCH("*Tăng trưởng lợi nhuận sau thuế (YoY) (6M)*",Sheet4!$1:$1,2)),"")</f>
        <v>0</v>
      </c>
      <c r="Q352" s="10" cm="1">
        <f t="array" ref="Q352">IFERROR(INDEX(Sheet4!$2:$1605,MATCH(ChiTietKQKD[[#This Row],[Mã CP]],Sheet4!$B$2:$B$1605,0),_xlfn.XMATCH("*Tăng trưởng doanh thu thuần (QoQ)*",Sheet4!$1:$1,2)),"")</f>
        <v>0</v>
      </c>
      <c r="R352" s="10" cm="1">
        <f t="array" ref="R352">IFERROR(INDEX(Sheet4!$2:$1605,MATCH(ChiTietKQKD[[#This Row],[Mã CP]],Sheet4!$B$2:$B$1605,0),_xlfn.XMATCH("*Tăng trưởng lợi nhuận sau thuế (QoQ)*",Sheet4!$1:$1,2)),"")</f>
        <v>0</v>
      </c>
    </row>
    <row r="353" spans="1:18" x14ac:dyDescent="0.25">
      <c r="A353" s="7">
        <f>Sheet4!A332</f>
        <v>331</v>
      </c>
      <c r="B353" t="str">
        <f>Sheet4!B332</f>
        <v>STG</v>
      </c>
      <c r="C353" t="str">
        <f>Sheet4!C331</f>
        <v>NH Sài Gòn Tài Lộc (SACOMBANK)</v>
      </c>
      <c r="D353" t="str">
        <f>Sheet4!D332</f>
        <v>HOSE</v>
      </c>
      <c r="E353" s="7">
        <f>Sheet4!AH332/1000000000</f>
        <v>3497.8195092000001</v>
      </c>
      <c r="F353" t="str">
        <f>Sheet4!E332</f>
        <v>Công nghiệp</v>
      </c>
      <c r="G353" t="str">
        <f>Sheet4!F332</f>
        <v>Hàng &amp; Dịch vụ Công nghiệp</v>
      </c>
      <c r="H353" t="str">
        <f>Sheet4!G332</f>
        <v>Kho bãi, hậu cần và bảo dưỡng</v>
      </c>
      <c r="I353" s="9" t="str" cm="1">
        <f t="array" ref="I35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53" s="9" t="str" cm="1">
        <f t="array" ref="J35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53" s="10" cm="1">
        <f t="array" ref="K35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53" s="10" cm="1">
        <f t="array" ref="L35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53" s="9" t="str" cm="1">
        <f t="array" ref="M35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53" s="9" t="str" cm="1">
        <f t="array" ref="N35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53" s="10" cm="1">
        <f t="array" ref="O353">IFERROR(INDEX(Sheet4!$2:$1605,MATCH(ChiTietKQKD[[#This Row],[Mã CP]],Sheet4!$B$2:$B$1605,0),_xlfn.XMATCH("*Tăng trưởng lợi nhuận sau thuế (YoY) (Quý*",Sheet4!$1:$1,2)),"")</f>
        <v>0</v>
      </c>
      <c r="P353" s="10" cm="1">
        <f t="array" ref="P353">IFERROR(INDEX(Sheet4!$2:$1605,MATCH(ChiTietKQKD[[#This Row],[Mã CP]],Sheet4!$B$2:$B$1605,0),_xlfn.XMATCH("*Tăng trưởng lợi nhuận sau thuế (YoY) (6M)*",Sheet4!$1:$1,2)),"")</f>
        <v>0</v>
      </c>
      <c r="Q353" s="10" cm="1">
        <f t="array" ref="Q353">IFERROR(INDEX(Sheet4!$2:$1605,MATCH(ChiTietKQKD[[#This Row],[Mã CP]],Sheet4!$B$2:$B$1605,0),_xlfn.XMATCH("*Tăng trưởng doanh thu thuần (QoQ)*",Sheet4!$1:$1,2)),"")</f>
        <v>0</v>
      </c>
      <c r="R353" s="10" cm="1">
        <f t="array" ref="R353">IFERROR(INDEX(Sheet4!$2:$1605,MATCH(ChiTietKQKD[[#This Row],[Mã CP]],Sheet4!$B$2:$B$1605,0),_xlfn.XMATCH("*Tăng trưởng lợi nhuận sau thuế (QoQ)*",Sheet4!$1:$1,2)),"")</f>
        <v>0</v>
      </c>
    </row>
    <row r="354" spans="1:18" x14ac:dyDescent="0.25">
      <c r="A354" s="7">
        <f>Sheet4!A333</f>
        <v>332</v>
      </c>
      <c r="B354" t="str">
        <f>Sheet4!B333</f>
        <v>STK</v>
      </c>
      <c r="C354" t="str">
        <f>Sheet4!C332</f>
        <v>Kho Vận Miền Nam</v>
      </c>
      <c r="D354" t="str">
        <f>Sheet4!D333</f>
        <v>HOSE</v>
      </c>
      <c r="E354" s="7">
        <f>Sheet4!AH333/1000000000</f>
        <v>1288.5687671999999</v>
      </c>
      <c r="F354" t="str">
        <f>Sheet4!E333</f>
        <v>Hàng Tiêu dùng</v>
      </c>
      <c r="G354" t="str">
        <f>Sheet4!F333</f>
        <v>Hàng cá nhân &amp; Gia dụng</v>
      </c>
      <c r="H354" t="str">
        <f>Sheet4!G333</f>
        <v>Hàng May mặc</v>
      </c>
      <c r="I354" s="9" t="str" cm="1">
        <f t="array" ref="I35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54" s="9" t="str" cm="1">
        <f t="array" ref="J35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54" s="10" cm="1">
        <f t="array" ref="K35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54" s="10" cm="1">
        <f t="array" ref="L35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54" s="9" t="str" cm="1">
        <f t="array" ref="M35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54" s="9" t="str" cm="1">
        <f t="array" ref="N35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54" s="10" cm="1">
        <f t="array" ref="O354">IFERROR(INDEX(Sheet4!$2:$1605,MATCH(ChiTietKQKD[[#This Row],[Mã CP]],Sheet4!$B$2:$B$1605,0),_xlfn.XMATCH("*Tăng trưởng lợi nhuận sau thuế (YoY) (Quý*",Sheet4!$1:$1,2)),"")</f>
        <v>0</v>
      </c>
      <c r="P354" s="10" cm="1">
        <f t="array" ref="P354">IFERROR(INDEX(Sheet4!$2:$1605,MATCH(ChiTietKQKD[[#This Row],[Mã CP]],Sheet4!$B$2:$B$1605,0),_xlfn.XMATCH("*Tăng trưởng lợi nhuận sau thuế (YoY) (6M)*",Sheet4!$1:$1,2)),"")</f>
        <v>0</v>
      </c>
      <c r="Q354" s="10" cm="1">
        <f t="array" ref="Q354">IFERROR(INDEX(Sheet4!$2:$1605,MATCH(ChiTietKQKD[[#This Row],[Mã CP]],Sheet4!$B$2:$B$1605,0),_xlfn.XMATCH("*Tăng trưởng doanh thu thuần (QoQ)*",Sheet4!$1:$1,2)),"")</f>
        <v>0</v>
      </c>
      <c r="R354" s="10" cm="1">
        <f t="array" ref="R354">IFERROR(INDEX(Sheet4!$2:$1605,MATCH(ChiTietKQKD[[#This Row],[Mã CP]],Sheet4!$B$2:$B$1605,0),_xlfn.XMATCH("*Tăng trưởng lợi nhuận sau thuế (QoQ)*",Sheet4!$1:$1,2)),"")</f>
        <v>0</v>
      </c>
    </row>
    <row r="355" spans="1:18" x14ac:dyDescent="0.25">
      <c r="A355" s="7">
        <f>Sheet4!A334</f>
        <v>333</v>
      </c>
      <c r="B355" t="str">
        <f>Sheet4!B334</f>
        <v>SVC</v>
      </c>
      <c r="C355" t="str">
        <f>Sheet4!C333</f>
        <v>Sợi Thế Kỷ</v>
      </c>
      <c r="D355" t="str">
        <f>Sheet4!D334</f>
        <v>HOSE</v>
      </c>
      <c r="E355" s="7">
        <f>Sheet4!AH334/1000000000</f>
        <v>1865.3557800000001</v>
      </c>
      <c r="F355" t="str">
        <f>Sheet4!E334</f>
        <v>Hàng Tiêu dùng</v>
      </c>
      <c r="G355" t="str">
        <f>Sheet4!F334</f>
        <v>Ô tô và phụ tùng</v>
      </c>
      <c r="H355" t="str">
        <f>Sheet4!G334</f>
        <v>Sản xuất ô tô</v>
      </c>
      <c r="I355" s="9" t="str" cm="1">
        <f t="array" ref="I35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55" s="9" t="str" cm="1">
        <f t="array" ref="J35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55" s="10" cm="1">
        <f t="array" ref="K35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55" s="10" cm="1">
        <f t="array" ref="L35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55" s="9" t="str" cm="1">
        <f t="array" ref="M35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55" s="9" t="str" cm="1">
        <f t="array" ref="N35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55" s="10" cm="1">
        <f t="array" ref="O355">IFERROR(INDEX(Sheet4!$2:$1605,MATCH(ChiTietKQKD[[#This Row],[Mã CP]],Sheet4!$B$2:$B$1605,0),_xlfn.XMATCH("*Tăng trưởng lợi nhuận sau thuế (YoY) (Quý*",Sheet4!$1:$1,2)),"")</f>
        <v>0</v>
      </c>
      <c r="P355" s="10" cm="1">
        <f t="array" ref="P355">IFERROR(INDEX(Sheet4!$2:$1605,MATCH(ChiTietKQKD[[#This Row],[Mã CP]],Sheet4!$B$2:$B$1605,0),_xlfn.XMATCH("*Tăng trưởng lợi nhuận sau thuế (YoY) (6M)*",Sheet4!$1:$1,2)),"")</f>
        <v>0</v>
      </c>
      <c r="Q355" s="10" cm="1">
        <f t="array" ref="Q355">IFERROR(INDEX(Sheet4!$2:$1605,MATCH(ChiTietKQKD[[#This Row],[Mã CP]],Sheet4!$B$2:$B$1605,0),_xlfn.XMATCH("*Tăng trưởng doanh thu thuần (QoQ)*",Sheet4!$1:$1,2)),"")</f>
        <v>0</v>
      </c>
      <c r="R355" s="10" cm="1">
        <f t="array" ref="R355">IFERROR(INDEX(Sheet4!$2:$1605,MATCH(ChiTietKQKD[[#This Row],[Mã CP]],Sheet4!$B$2:$B$1605,0),_xlfn.XMATCH("*Tăng trưởng lợi nhuận sau thuế (QoQ)*",Sheet4!$1:$1,2)),"")</f>
        <v>0</v>
      </c>
    </row>
    <row r="356" spans="1:18" x14ac:dyDescent="0.25">
      <c r="A356" s="7">
        <f>Sheet4!A335</f>
        <v>334</v>
      </c>
      <c r="B356" t="str">
        <f>Sheet4!B335</f>
        <v>SVD</v>
      </c>
      <c r="C356" t="str">
        <f>Sheet4!C334</f>
        <v>SAVICO</v>
      </c>
      <c r="D356" t="str">
        <f>Sheet4!D335</f>
        <v>HOSE</v>
      </c>
      <c r="E356" s="7">
        <f>Sheet4!AH335/1000000000</f>
        <v>115.9448136</v>
      </c>
      <c r="F356" t="str">
        <f>Sheet4!E335</f>
        <v>Hàng Tiêu dùng</v>
      </c>
      <c r="G356" t="str">
        <f>Sheet4!F335</f>
        <v>Hàng cá nhân &amp; Gia dụng</v>
      </c>
      <c r="H356" t="str">
        <f>Sheet4!G335</f>
        <v>Hàng May mặc</v>
      </c>
      <c r="I356" s="9" cm="1">
        <f t="array" ref="I35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71.437350101999996</v>
      </c>
      <c r="J356" s="9" t="str" cm="1">
        <f t="array" ref="J35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56" s="10" cm="1">
        <f t="array" ref="K35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0.40539999999999998</v>
      </c>
      <c r="L356" s="10" cm="1">
        <f t="array" ref="L35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0.2994</v>
      </c>
      <c r="M356" s="9" cm="1">
        <f t="array" ref="M356">_xlfn.LET(_xlpm.val,IFERROR(INDEX(Sheet4!$2:$1605,MATCH(ChiTietKQKD[[#This Row],[Mã CP]],Sheet4!$B$2:$B$1605,0),_xlfn.XMATCH("*Lợi nhuận sau thuế*Q2*2026*",Sheet4!$1:$1,2)),0),IF(OR(_xlpm.val="",_xlpm.val=0),"",_xlpm.val/1000000000))</f>
        <v>0.117026807</v>
      </c>
      <c r="N356" s="9" t="str" cm="1">
        <f t="array" ref="N35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56" s="10" cm="1">
        <f t="array" ref="O356">IFERROR(INDEX(Sheet4!$2:$1605,MATCH(ChiTietKQKD[[#This Row],[Mã CP]],Sheet4!$B$2:$B$1605,0),_xlfn.XMATCH("*Tăng trưởng lợi nhuận sau thuế (YoY) (Quý*",Sheet4!$1:$1,2)),"")</f>
        <v>-0.60919999999999996</v>
      </c>
      <c r="P356" s="10" cm="1">
        <f t="array" ref="P356">IFERROR(INDEX(Sheet4!$2:$1605,MATCH(ChiTietKQKD[[#This Row],[Mã CP]],Sheet4!$B$2:$B$1605,0),_xlfn.XMATCH("*Tăng trưởng lợi nhuận sau thuế (YoY) (6M)*",Sheet4!$1:$1,2)),"")</f>
        <v>-0.25519999999999998</v>
      </c>
      <c r="Q356" s="10" cm="1">
        <f t="array" ref="Q356">IFERROR(INDEX(Sheet4!$2:$1605,MATCH(ChiTietKQKD[[#This Row],[Mã CP]],Sheet4!$B$2:$B$1605,0),_xlfn.XMATCH("*Tăng trưởng doanh thu thuần (QoQ)*",Sheet4!$1:$1,2)),"")</f>
        <v>7.9200000000000007E-2</v>
      </c>
      <c r="R356" s="10" cm="1">
        <f t="array" ref="R356">IFERROR(INDEX(Sheet4!$2:$1605,MATCH(ChiTietKQKD[[#This Row],[Mã CP]],Sheet4!$B$2:$B$1605,0),_xlfn.XMATCH("*Tăng trưởng lợi nhuận sau thuế (QoQ)*",Sheet4!$1:$1,2)),"")</f>
        <v>-0.6623</v>
      </c>
    </row>
    <row r="357" spans="1:18" x14ac:dyDescent="0.25">
      <c r="A357" s="7">
        <f>Sheet4!A336</f>
        <v>335</v>
      </c>
      <c r="B357" t="str">
        <f>Sheet4!B336</f>
        <v>SVT</v>
      </c>
      <c r="C357" t="str">
        <f>Sheet4!C335</f>
        <v>Đầu tư &amp; Thương mại Vũ Đăng</v>
      </c>
      <c r="D357" t="str">
        <f>Sheet4!D336</f>
        <v>HOSE</v>
      </c>
      <c r="E357" s="7">
        <f>Sheet4!AH336/1000000000</f>
        <v>181.76526899999999</v>
      </c>
      <c r="F357" t="str">
        <f>Sheet4!E336</f>
        <v>Dịch vụ Tiêu dùng</v>
      </c>
      <c r="G357" t="str">
        <f>Sheet4!F336</f>
        <v>Bán lẻ</v>
      </c>
      <c r="H357" t="str">
        <f>Sheet4!G336</f>
        <v>Dịch vụ tiêu dùng chuyên ngành</v>
      </c>
      <c r="I357" s="9" cm="1">
        <f t="array" ref="I35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4.9417767479999997</v>
      </c>
      <c r="J357" s="9" cm="1">
        <f t="array" ref="J35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11.925097750999999</v>
      </c>
      <c r="K357" s="10" cm="1">
        <f t="array" ref="K35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6.2478999999999996</v>
      </c>
      <c r="L357" s="10" cm="1">
        <f t="array" ref="L35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7.7450999999999999</v>
      </c>
      <c r="M357" s="9" cm="1">
        <f t="array" ref="M357">_xlfn.LET(_xlpm.val,IFERROR(INDEX(Sheet4!$2:$1605,MATCH(ChiTietKQKD[[#This Row],[Mã CP]],Sheet4!$B$2:$B$1605,0),_xlfn.XMATCH("*Lợi nhuận sau thuế*Q2*2026*",Sheet4!$1:$1,2)),0),IF(OR(_xlpm.val="",_xlpm.val=0),"",_xlpm.val/1000000000))</f>
        <v>0.61402637199999999</v>
      </c>
      <c r="N357" s="9" cm="1">
        <f t="array" ref="N357">_xlfn.LET(_xlpm.val,IFERROR(INDEX(Sheet4!$2:$1605,MATCH(ChiTietKQKD[[#This Row],[Mã CP]],Sheet4!$B$2:$B$1605,0),_xlfn.XMATCH("*Lợi nhuận sau thuế*6 tháng*2026*",Sheet4!$1:$1,2)),0),IF(OR(_xlpm.val="",_xlpm.val=0),"",_xlpm.val/1000000000))</f>
        <v>0.86714756500000001</v>
      </c>
      <c r="O357" s="10" cm="1">
        <f t="array" ref="O357">IFERROR(INDEX(Sheet4!$2:$1605,MATCH(ChiTietKQKD[[#This Row],[Mã CP]],Sheet4!$B$2:$B$1605,0),_xlfn.XMATCH("*Tăng trưởng lợi nhuận sau thuế (YoY) (Quý*",Sheet4!$1:$1,2)),"")</f>
        <v>-0.89580000000000004</v>
      </c>
      <c r="P357" s="10" cm="1">
        <f t="array" ref="P357">IFERROR(INDEX(Sheet4!$2:$1605,MATCH(ChiTietKQKD[[#This Row],[Mã CP]],Sheet4!$B$2:$B$1605,0),_xlfn.XMATCH("*Tăng trưởng lợi nhuận sau thuế (YoY) (6M)*",Sheet4!$1:$1,2)),"")</f>
        <v>-0.91900000000000004</v>
      </c>
      <c r="Q357" s="10" cm="1">
        <f t="array" ref="Q357">IFERROR(INDEX(Sheet4!$2:$1605,MATCH(ChiTietKQKD[[#This Row],[Mã CP]],Sheet4!$B$2:$B$1605,0),_xlfn.XMATCH("*Tăng trưởng doanh thu thuần (QoQ)*",Sheet4!$1:$1,2)),"")</f>
        <v>-0.2923</v>
      </c>
      <c r="R357" s="10" cm="1">
        <f t="array" ref="R357">IFERROR(INDEX(Sheet4!$2:$1605,MATCH(ChiTietKQKD[[#This Row],[Mã CP]],Sheet4!$B$2:$B$1605,0),_xlfn.XMATCH("*Tăng trưởng lợi nhuận sau thuế (QoQ)*",Sheet4!$1:$1,2)),"")</f>
        <v>1.4258</v>
      </c>
    </row>
    <row r="358" spans="1:18" x14ac:dyDescent="0.25">
      <c r="A358" s="7">
        <f>Sheet4!A337</f>
        <v>336</v>
      </c>
      <c r="B358" t="str">
        <f>Sheet4!B337</f>
        <v>SZC</v>
      </c>
      <c r="C358" t="str">
        <f>Sheet4!C336</f>
        <v>Công nghệ SG Viễn Đông</v>
      </c>
      <c r="D358" t="str">
        <f>Sheet4!D337</f>
        <v>HOSE</v>
      </c>
      <c r="E358" s="7">
        <f>Sheet4!AH337/1000000000</f>
        <v>3374.73493125</v>
      </c>
      <c r="F358" t="str">
        <f>Sheet4!E337</f>
        <v>Tài chính</v>
      </c>
      <c r="G358" t="str">
        <f>Sheet4!F337</f>
        <v>Bất động sản</v>
      </c>
      <c r="H358" t="str">
        <f>Sheet4!G337</f>
        <v>Bất động sản</v>
      </c>
      <c r="I358" s="9" cm="1">
        <f t="array" ref="I35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132.26537864599999</v>
      </c>
      <c r="J358" s="9" cm="1">
        <f t="array" ref="J35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234.207442536</v>
      </c>
      <c r="K358" s="10" cm="1">
        <f t="array" ref="K35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-0.39279999999999998</v>
      </c>
      <c r="L358" s="10" cm="1">
        <f t="array" ref="L35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-0.62949999999999995</v>
      </c>
      <c r="M358" s="9" cm="1">
        <f t="array" ref="M358">_xlfn.LET(_xlpm.val,IFERROR(INDEX(Sheet4!$2:$1605,MATCH(ChiTietKQKD[[#This Row],[Mã CP]],Sheet4!$B$2:$B$1605,0),_xlfn.XMATCH("*Lợi nhuận sau thuế*Q2*2026*",Sheet4!$1:$1,2)),0),IF(OR(_xlpm.val="",_xlpm.val=0),"",_xlpm.val/1000000000))</f>
        <v>18.938903362000001</v>
      </c>
      <c r="N358" s="9" cm="1">
        <f t="array" ref="N358">_xlfn.LET(_xlpm.val,IFERROR(INDEX(Sheet4!$2:$1605,MATCH(ChiTietKQKD[[#This Row],[Mã CP]],Sheet4!$B$2:$B$1605,0),_xlfn.XMATCH("*Lợi nhuận sau thuế*6 tháng*2026*",Sheet4!$1:$1,2)),0),IF(OR(_xlpm.val="",_xlpm.val=0),"",_xlpm.val/1000000000))</f>
        <v>36.085386655999997</v>
      </c>
      <c r="O358" s="10" cm="1">
        <f t="array" ref="O358">IFERROR(INDEX(Sheet4!$2:$1605,MATCH(ChiTietKQKD[[#This Row],[Mã CP]],Sheet4!$B$2:$B$1605,0),_xlfn.XMATCH("*Tăng trưởng lợi nhuận sau thuế (YoY) (Quý*",Sheet4!$1:$1,2)),"")</f>
        <v>-0.80049999999999999</v>
      </c>
      <c r="P358" s="10" cm="1">
        <f t="array" ref="P358">IFERROR(INDEX(Sheet4!$2:$1605,MATCH(ChiTietKQKD[[#This Row],[Mã CP]],Sheet4!$B$2:$B$1605,0),_xlfn.XMATCH("*Tăng trưởng lợi nhuận sau thuế (YoY) (6M)*",Sheet4!$1:$1,2)),"")</f>
        <v>-0.83689999999999998</v>
      </c>
      <c r="Q358" s="10" cm="1">
        <f t="array" ref="Q358">IFERROR(INDEX(Sheet4!$2:$1605,MATCH(ChiTietKQKD[[#This Row],[Mã CP]],Sheet4!$B$2:$B$1605,0),_xlfn.XMATCH("*Tăng trưởng doanh thu thuần (QoQ)*",Sheet4!$1:$1,2)),"")</f>
        <v>0.29749999999999999</v>
      </c>
      <c r="R358" s="10" cm="1">
        <f t="array" ref="R358">IFERROR(INDEX(Sheet4!$2:$1605,MATCH(ChiTietKQKD[[#This Row],[Mã CP]],Sheet4!$B$2:$B$1605,0),_xlfn.XMATCH("*Tăng trưởng lợi nhuận sau thuế (QoQ)*",Sheet4!$1:$1,2)),"")</f>
        <v>0.1045</v>
      </c>
    </row>
    <row r="359" spans="1:18" x14ac:dyDescent="0.25">
      <c r="A359" s="7">
        <f>Sheet4!A338</f>
        <v>337</v>
      </c>
      <c r="B359" t="str">
        <f>Sheet4!B338</f>
        <v>SZL</v>
      </c>
      <c r="C359" t="str">
        <f>Sheet4!C337</f>
        <v>Sonadezi Châu Đức</v>
      </c>
      <c r="D359" t="str">
        <f>Sheet4!D338</f>
        <v>HOSE</v>
      </c>
      <c r="E359" s="7">
        <f>Sheet4!AH338/1000000000</f>
        <v>1310.024253</v>
      </c>
      <c r="F359" t="str">
        <f>Sheet4!E338</f>
        <v>Tài chính</v>
      </c>
      <c r="G359" t="str">
        <f>Sheet4!F338</f>
        <v>Bất động sản</v>
      </c>
      <c r="H359" t="str">
        <f>Sheet4!G338</f>
        <v>Bất động sản</v>
      </c>
      <c r="I359" s="9" cm="1">
        <f t="array" ref="I35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157.93019484600001</v>
      </c>
      <c r="J359" s="9" cm="1">
        <f t="array" ref="J35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296.85360760600003</v>
      </c>
      <c r="K359" s="10" cm="1">
        <f t="array" ref="K35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0.1157</v>
      </c>
      <c r="L359" s="10" cm="1">
        <f t="array" ref="L35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0.1133</v>
      </c>
      <c r="M359" s="9" cm="1">
        <f t="array" ref="M359">_xlfn.LET(_xlpm.val,IFERROR(INDEX(Sheet4!$2:$1605,MATCH(ChiTietKQKD[[#This Row],[Mã CP]],Sheet4!$B$2:$B$1605,0),_xlfn.XMATCH("*Lợi nhuận sau thuế*Q2*2026*",Sheet4!$1:$1,2)),0),IF(OR(_xlpm.val="",_xlpm.val=0),"",_xlpm.val/1000000000))</f>
        <v>31.753072800000002</v>
      </c>
      <c r="N359" s="9" cm="1">
        <f t="array" ref="N359">_xlfn.LET(_xlpm.val,IFERROR(INDEX(Sheet4!$2:$1605,MATCH(ChiTietKQKD[[#This Row],[Mã CP]],Sheet4!$B$2:$B$1605,0),_xlfn.XMATCH("*Lợi nhuận sau thuế*6 tháng*2026*",Sheet4!$1:$1,2)),0),IF(OR(_xlpm.val="",_xlpm.val=0),"",_xlpm.val/1000000000))</f>
        <v>63.876361246000002</v>
      </c>
      <c r="O359" s="10" cm="1">
        <f t="array" ref="O359">IFERROR(INDEX(Sheet4!$2:$1605,MATCH(ChiTietKQKD[[#This Row],[Mã CP]],Sheet4!$B$2:$B$1605,0),_xlfn.XMATCH("*Tăng trưởng lợi nhuận sau thuế (YoY) (Quý*",Sheet4!$1:$1,2)),"")</f>
        <v>-7.2400000000000006E-2</v>
      </c>
      <c r="P359" s="10" cm="1">
        <f t="array" ref="P359">IFERROR(INDEX(Sheet4!$2:$1605,MATCH(ChiTietKQKD[[#This Row],[Mã CP]],Sheet4!$B$2:$B$1605,0),_xlfn.XMATCH("*Tăng trưởng lợi nhuận sau thuế (YoY) (6M)*",Sheet4!$1:$1,2)),"")</f>
        <v>5.2999999999999999E-2</v>
      </c>
      <c r="Q359" s="10" cm="1">
        <f t="array" ref="Q359">IFERROR(INDEX(Sheet4!$2:$1605,MATCH(ChiTietKQKD[[#This Row],[Mã CP]],Sheet4!$B$2:$B$1605,0),_xlfn.XMATCH("*Tăng trưởng doanh thu thuần (QoQ)*",Sheet4!$1:$1,2)),"")</f>
        <v>0.1368</v>
      </c>
      <c r="R359" s="10" cm="1">
        <f t="array" ref="R359">IFERROR(INDEX(Sheet4!$2:$1605,MATCH(ChiTietKQKD[[#This Row],[Mã CP]],Sheet4!$B$2:$B$1605,0),_xlfn.XMATCH("*Tăng trưởng lợi nhuận sau thuế (QoQ)*",Sheet4!$1:$1,2)),"")</f>
        <v>-1.15E-2</v>
      </c>
    </row>
    <row r="360" spans="1:18" x14ac:dyDescent="0.25">
      <c r="A360" s="7">
        <f>Sheet4!A339</f>
        <v>338</v>
      </c>
      <c r="B360" t="str">
        <f>Sheet4!B339</f>
        <v>TAL</v>
      </c>
      <c r="C360" t="str">
        <f>Sheet4!C338</f>
        <v>Sonadezi Long Thành</v>
      </c>
      <c r="D360" t="str">
        <f>Sheet4!D339</f>
        <v>HOSE</v>
      </c>
      <c r="E360" s="7">
        <f>Sheet4!AH339/1000000000</f>
        <v>10079.99416</v>
      </c>
      <c r="F360" t="str">
        <f>Sheet4!E339</f>
        <v>Tài chính</v>
      </c>
      <c r="G360" t="str">
        <f>Sheet4!F339</f>
        <v>Bất động sản</v>
      </c>
      <c r="H360" t="str">
        <f>Sheet4!G339</f>
        <v>Bất động sản</v>
      </c>
      <c r="I360" s="9" t="str" cm="1">
        <f t="array" ref="I36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60" s="9" t="str" cm="1">
        <f t="array" ref="J36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60" s="10" cm="1">
        <f t="array" ref="K36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60" s="10" cm="1">
        <f t="array" ref="L36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60" s="9" t="str" cm="1">
        <f t="array" ref="M36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60" s="9" t="str" cm="1">
        <f t="array" ref="N36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60" s="10" cm="1">
        <f t="array" ref="O360">IFERROR(INDEX(Sheet4!$2:$1605,MATCH(ChiTietKQKD[[#This Row],[Mã CP]],Sheet4!$B$2:$B$1605,0),_xlfn.XMATCH("*Tăng trưởng lợi nhuận sau thuế (YoY) (Quý*",Sheet4!$1:$1,2)),"")</f>
        <v>0</v>
      </c>
      <c r="P360" s="10" cm="1">
        <f t="array" ref="P360">IFERROR(INDEX(Sheet4!$2:$1605,MATCH(ChiTietKQKD[[#This Row],[Mã CP]],Sheet4!$B$2:$B$1605,0),_xlfn.XMATCH("*Tăng trưởng lợi nhuận sau thuế (YoY) (6M)*",Sheet4!$1:$1,2)),"")</f>
        <v>0</v>
      </c>
      <c r="Q360" s="10" cm="1">
        <f t="array" ref="Q360">IFERROR(INDEX(Sheet4!$2:$1605,MATCH(ChiTietKQKD[[#This Row],[Mã CP]],Sheet4!$B$2:$B$1605,0),_xlfn.XMATCH("*Tăng trưởng doanh thu thuần (QoQ)*",Sheet4!$1:$1,2)),"")</f>
        <v>0</v>
      </c>
      <c r="R360" s="10" cm="1">
        <f t="array" ref="R360">IFERROR(INDEX(Sheet4!$2:$1605,MATCH(ChiTietKQKD[[#This Row],[Mã CP]],Sheet4!$B$2:$B$1605,0),_xlfn.XMATCH("*Tăng trưởng lợi nhuận sau thuế (QoQ)*",Sheet4!$1:$1,2)),"")</f>
        <v>0</v>
      </c>
    </row>
    <row r="361" spans="1:18" x14ac:dyDescent="0.25">
      <c r="A361" s="7">
        <f>Sheet4!A340</f>
        <v>339</v>
      </c>
      <c r="B361" t="str">
        <f>Sheet4!B340</f>
        <v>TBC</v>
      </c>
      <c r="C361" t="str">
        <f>Sheet4!C339</f>
        <v>Đầu Tư Bất Động Sản Taseco</v>
      </c>
      <c r="D361" t="str">
        <f>Sheet4!D340</f>
        <v>HOSE</v>
      </c>
      <c r="E361" s="7">
        <f>Sheet4!AH340/1000000000</f>
        <v>2025.65</v>
      </c>
      <c r="F361" t="str">
        <f>Sheet4!E340</f>
        <v>Tiện ích Cộng đồng</v>
      </c>
      <c r="G361" t="str">
        <f>Sheet4!F340</f>
        <v>Điện, nước &amp; xăng dầu khí đốt</v>
      </c>
      <c r="H361" t="str">
        <f>Sheet4!G340</f>
        <v>Sản xuất &amp; Phân phối Điện</v>
      </c>
      <c r="I361" s="9" t="str" cm="1">
        <f t="array" ref="I36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61" s="9" t="str" cm="1">
        <f t="array" ref="J36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61" s="10" cm="1">
        <f t="array" ref="K36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61" s="10" cm="1">
        <f t="array" ref="L36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61" s="9" t="str" cm="1">
        <f t="array" ref="M36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61" s="9" t="str" cm="1">
        <f t="array" ref="N36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61" s="10" cm="1">
        <f t="array" ref="O361">IFERROR(INDEX(Sheet4!$2:$1605,MATCH(ChiTietKQKD[[#This Row],[Mã CP]],Sheet4!$B$2:$B$1605,0),_xlfn.XMATCH("*Tăng trưởng lợi nhuận sau thuế (YoY) (Quý*",Sheet4!$1:$1,2)),"")</f>
        <v>0</v>
      </c>
      <c r="P361" s="10" cm="1">
        <f t="array" ref="P361">IFERROR(INDEX(Sheet4!$2:$1605,MATCH(ChiTietKQKD[[#This Row],[Mã CP]],Sheet4!$B$2:$B$1605,0),_xlfn.XMATCH("*Tăng trưởng lợi nhuận sau thuế (YoY) (6M)*",Sheet4!$1:$1,2)),"")</f>
        <v>0</v>
      </c>
      <c r="Q361" s="10" cm="1">
        <f t="array" ref="Q361">IFERROR(INDEX(Sheet4!$2:$1605,MATCH(ChiTietKQKD[[#This Row],[Mã CP]],Sheet4!$B$2:$B$1605,0),_xlfn.XMATCH("*Tăng trưởng doanh thu thuần (QoQ)*",Sheet4!$1:$1,2)),"")</f>
        <v>0</v>
      </c>
      <c r="R361" s="10" cm="1">
        <f t="array" ref="R361">IFERROR(INDEX(Sheet4!$2:$1605,MATCH(ChiTietKQKD[[#This Row],[Mã CP]],Sheet4!$B$2:$B$1605,0),_xlfn.XMATCH("*Tăng trưởng lợi nhuận sau thuế (QoQ)*",Sheet4!$1:$1,2)),"")</f>
        <v>0</v>
      </c>
    </row>
    <row r="362" spans="1:18" x14ac:dyDescent="0.25">
      <c r="A362" s="7">
        <f>Sheet4!A341</f>
        <v>340</v>
      </c>
      <c r="B362" t="str">
        <f>Sheet4!B341</f>
        <v>TCB</v>
      </c>
      <c r="C362" t="str">
        <f>Sheet4!C340</f>
        <v>Thủy điện Thác Bà</v>
      </c>
      <c r="D362" t="str">
        <f>Sheet4!D341</f>
        <v>HOSE</v>
      </c>
      <c r="E362" s="7">
        <f>Sheet4!AH341/1000000000</f>
        <v>205500.972006</v>
      </c>
      <c r="F362" t="str">
        <f>Sheet4!E341</f>
        <v>Ngân hàng</v>
      </c>
      <c r="G362" t="str">
        <f>Sheet4!F341</f>
        <v>Ngân hàng</v>
      </c>
      <c r="H362" t="str">
        <f>Sheet4!G341</f>
        <v>Ngân hàng</v>
      </c>
      <c r="I362" s="9" cm="1">
        <f t="array" ref="I36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10763.002</v>
      </c>
      <c r="J362" s="9" cm="1">
        <f t="array" ref="J36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20285.055</v>
      </c>
      <c r="K362" s="10" cm="1">
        <f t="array" ref="K36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0.17794817510547145</v>
      </c>
      <c r="L362" s="10" cm="1">
        <f t="array" ref="L36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0.16296924477836261</v>
      </c>
      <c r="M362" s="9" cm="1">
        <f t="array" ref="M362">_xlfn.LET(_xlpm.val,IFERROR(INDEX(Sheet4!$2:$1605,MATCH(ChiTietKQKD[[#This Row],[Mã CP]],Sheet4!$B$2:$B$1605,0),_xlfn.XMATCH("*Lợi nhuận sau thuế*Q2*2026*",Sheet4!$1:$1,2)),0),IF(OR(_xlpm.val="",_xlpm.val=0),"",_xlpm.val/1000000000))</f>
        <v>7350.0590000000002</v>
      </c>
      <c r="N362" s="9" cm="1">
        <f t="array" ref="N362">_xlfn.LET(_xlpm.val,IFERROR(INDEX(Sheet4!$2:$1605,MATCH(ChiTietKQKD[[#This Row],[Mã CP]],Sheet4!$B$2:$B$1605,0),_xlfn.XMATCH("*Lợi nhuận sau thuế*6 tháng*2026*",Sheet4!$1:$1,2)),0),IF(OR(_xlpm.val="",_xlpm.val=0),"",_xlpm.val/1000000000))</f>
        <v>14021.14</v>
      </c>
      <c r="O362" s="10" cm="1">
        <f t="array" ref="O362">IFERROR(INDEX(Sheet4!$2:$1605,MATCH(ChiTietKQKD[[#This Row],[Mã CP]],Sheet4!$B$2:$B$1605,0),_xlfn.XMATCH("*Tăng trưởng lợi nhuận sau thuế (YoY) (Quý*",Sheet4!$1:$1,2)),"")</f>
        <v>0.17649999999999999</v>
      </c>
      <c r="P362" s="10" cm="1">
        <f t="array" ref="P362">IFERROR(INDEX(Sheet4!$2:$1605,MATCH(ChiTietKQKD[[#This Row],[Mã CP]],Sheet4!$B$2:$B$1605,0),_xlfn.XMATCH("*Tăng trưởng lợi nhuận sau thuế (YoY) (6M)*",Sheet4!$1:$1,2)),"")</f>
        <v>0.1497</v>
      </c>
      <c r="Q362" s="10" cm="1">
        <f t="array" ref="Q362">IFERROR(INDEX(Sheet4!$2:$1605,MATCH(ChiTietKQKD[[#This Row],[Mã CP]],Sheet4!$B$2:$B$1605,0),_xlfn.XMATCH("*Tăng trưởng doanh thu thuần (QoQ)*",Sheet4!$1:$1,2)),"")</f>
        <v>0.16159999999999999</v>
      </c>
      <c r="R362" s="10" cm="1">
        <f t="array" ref="R362">IFERROR(INDEX(Sheet4!$2:$1605,MATCH(ChiTietKQKD[[#This Row],[Mã CP]],Sheet4!$B$2:$B$1605,0),_xlfn.XMATCH("*Tăng trưởng lợi nhuận sau thuế (QoQ)*",Sheet4!$1:$1,2)),"")</f>
        <v>0.1018</v>
      </c>
    </row>
    <row r="363" spans="1:18" x14ac:dyDescent="0.25">
      <c r="A363" s="7">
        <f>Sheet4!A342</f>
        <v>341</v>
      </c>
      <c r="B363" t="str">
        <f>Sheet4!B342</f>
        <v>TCH</v>
      </c>
      <c r="C363" t="str">
        <f>Sheet4!C341</f>
        <v>Techcombank</v>
      </c>
      <c r="D363" t="str">
        <f>Sheet4!D342</f>
        <v>HOSE</v>
      </c>
      <c r="E363" s="7">
        <f>Sheet4!AH342/1000000000</f>
        <v>10854.0997656</v>
      </c>
      <c r="F363" t="str">
        <f>Sheet4!E342</f>
        <v>Tài chính</v>
      </c>
      <c r="G363" t="str">
        <f>Sheet4!F342</f>
        <v>Bất động sản</v>
      </c>
      <c r="H363" t="str">
        <f>Sheet4!G342</f>
        <v>Bất động sản</v>
      </c>
      <c r="I363" s="9" t="str" cm="1">
        <f t="array" ref="I36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63" s="9" t="str" cm="1">
        <f t="array" ref="J36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63" s="10" cm="1">
        <f t="array" ref="K36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63" s="10" cm="1">
        <f t="array" ref="L36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63" s="9" t="str" cm="1">
        <f t="array" ref="M36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63" s="9" t="str" cm="1">
        <f t="array" ref="N36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63" s="10" cm="1">
        <f t="array" ref="O363">IFERROR(INDEX(Sheet4!$2:$1605,MATCH(ChiTietKQKD[[#This Row],[Mã CP]],Sheet4!$B$2:$B$1605,0),_xlfn.XMATCH("*Tăng trưởng lợi nhuận sau thuế (YoY) (Quý*",Sheet4!$1:$1,2)),"")</f>
        <v>0</v>
      </c>
      <c r="P363" s="10" cm="1">
        <f t="array" ref="P363">IFERROR(INDEX(Sheet4!$2:$1605,MATCH(ChiTietKQKD[[#This Row],[Mã CP]],Sheet4!$B$2:$B$1605,0),_xlfn.XMATCH("*Tăng trưởng lợi nhuận sau thuế (YoY) (6M)*",Sheet4!$1:$1,2)),"")</f>
        <v>0</v>
      </c>
      <c r="Q363" s="10" cm="1">
        <f t="array" ref="Q363">IFERROR(INDEX(Sheet4!$2:$1605,MATCH(ChiTietKQKD[[#This Row],[Mã CP]],Sheet4!$B$2:$B$1605,0),_xlfn.XMATCH("*Tăng trưởng doanh thu thuần (QoQ)*",Sheet4!$1:$1,2)),"")</f>
        <v>0</v>
      </c>
      <c r="R363" s="10" cm="1">
        <f t="array" ref="R363">IFERROR(INDEX(Sheet4!$2:$1605,MATCH(ChiTietKQKD[[#This Row],[Mã CP]],Sheet4!$B$2:$B$1605,0),_xlfn.XMATCH("*Tăng trưởng lợi nhuận sau thuế (QoQ)*",Sheet4!$1:$1,2)),"")</f>
        <v>0</v>
      </c>
    </row>
    <row r="364" spans="1:18" x14ac:dyDescent="0.25">
      <c r="A364" s="7">
        <f>Sheet4!A343</f>
        <v>342</v>
      </c>
      <c r="B364" t="str">
        <f>Sheet4!B343</f>
        <v>TCI</v>
      </c>
      <c r="C364" t="str">
        <f>Sheet4!C342</f>
        <v>ĐT DV Tài chính Hoàng Huy</v>
      </c>
      <c r="D364" t="str">
        <f>Sheet4!D343</f>
        <v>HOSE</v>
      </c>
      <c r="E364" s="7">
        <f>Sheet4!AH343/1000000000</f>
        <v>1156.20964</v>
      </c>
      <c r="F364" t="str">
        <f>Sheet4!E343</f>
        <v>Tài chính</v>
      </c>
      <c r="G364" t="str">
        <f>Sheet4!F343</f>
        <v>Dịch vụ tài chính</v>
      </c>
      <c r="H364" t="str">
        <f>Sheet4!G343</f>
        <v>Môi giới chứng khoán</v>
      </c>
      <c r="I364" s="9" cm="1">
        <f t="array" ref="I36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63.702252385000001</v>
      </c>
      <c r="J364" s="9" cm="1">
        <f t="array" ref="J36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132.092111354</v>
      </c>
      <c r="K364" s="10" cm="1">
        <f t="array" ref="K36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-0.1449</v>
      </c>
      <c r="L364" s="10" cm="1">
        <f t="array" ref="L36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-2.9100000000000001E-2</v>
      </c>
      <c r="M364" s="9" cm="1">
        <f t="array" ref="M364">_xlfn.LET(_xlpm.val,IFERROR(INDEX(Sheet4!$2:$1605,MATCH(ChiTietKQKD[[#This Row],[Mã CP]],Sheet4!$B$2:$B$1605,0),_xlfn.XMATCH("*Lợi nhuận sau thuế*Q2*2026*",Sheet4!$1:$1,2)),0),IF(OR(_xlpm.val="",_xlpm.val=0),"",_xlpm.val/1000000000))</f>
        <v>33.622012988999998</v>
      </c>
      <c r="N364" s="9" cm="1">
        <f t="array" ref="N364">_xlfn.LET(_xlpm.val,IFERROR(INDEX(Sheet4!$2:$1605,MATCH(ChiTietKQKD[[#This Row],[Mã CP]],Sheet4!$B$2:$B$1605,0),_xlfn.XMATCH("*Lợi nhuận sau thuế*6 tháng*2026*",Sheet4!$1:$1,2)),0),IF(OR(_xlpm.val="",_xlpm.val=0),"",_xlpm.val/1000000000))</f>
        <v>34.328876041000001</v>
      </c>
      <c r="O364" s="10" cm="1">
        <f t="array" ref="O364">IFERROR(INDEX(Sheet4!$2:$1605,MATCH(ChiTietKQKD[[#This Row],[Mã CP]],Sheet4!$B$2:$B$1605,0),_xlfn.XMATCH("*Tăng trưởng lợi nhuận sau thuế (YoY) (Quý*",Sheet4!$1:$1,2)),"")</f>
        <v>0.93910000000000005</v>
      </c>
      <c r="P364" s="10" cm="1">
        <f t="array" ref="P364">IFERROR(INDEX(Sheet4!$2:$1605,MATCH(ChiTietKQKD[[#This Row],[Mã CP]],Sheet4!$B$2:$B$1605,0),_xlfn.XMATCH("*Tăng trưởng lợi nhuận sau thuế (YoY) (6M)*",Sheet4!$1:$1,2)),"")</f>
        <v>-0.16450000000000001</v>
      </c>
      <c r="Q364" s="10" cm="1">
        <f t="array" ref="Q364">IFERROR(INDEX(Sheet4!$2:$1605,MATCH(ChiTietKQKD[[#This Row],[Mã CP]],Sheet4!$B$2:$B$1605,0),_xlfn.XMATCH("*Tăng trưởng doanh thu thuần (QoQ)*",Sheet4!$1:$1,2)),"")</f>
        <v>-0.21490000000000001</v>
      </c>
      <c r="R364" s="10" cm="1">
        <f t="array" ref="R364">IFERROR(INDEX(Sheet4!$2:$1605,MATCH(ChiTietKQKD[[#This Row],[Mã CP]],Sheet4!$B$2:$B$1605,0),_xlfn.XMATCH("*Tăng trưởng lợi nhuận sau thuế (QoQ)*",Sheet4!$1:$1,2)),"")</f>
        <v>62.609099999999998</v>
      </c>
    </row>
    <row r="365" spans="1:18" x14ac:dyDescent="0.25">
      <c r="A365" s="7">
        <f>Sheet4!A344</f>
        <v>343</v>
      </c>
      <c r="B365" t="str">
        <f>Sheet4!B344</f>
        <v>TCL</v>
      </c>
      <c r="C365" t="str">
        <f>Sheet4!C343</f>
        <v>Chứng khoán Thành Công</v>
      </c>
      <c r="D365" t="str">
        <f>Sheet4!D344</f>
        <v>HOSE</v>
      </c>
      <c r="E365" s="7">
        <f>Sheet4!AH344/1000000000</f>
        <v>904.75307999999995</v>
      </c>
      <c r="F365" t="str">
        <f>Sheet4!E344</f>
        <v>Công nghiệp</v>
      </c>
      <c r="G365" t="str">
        <f>Sheet4!F344</f>
        <v>Hàng &amp; Dịch vụ Công nghiệp</v>
      </c>
      <c r="H365" t="str">
        <f>Sheet4!G344</f>
        <v>Dịch vụ vận tải</v>
      </c>
      <c r="I365" s="9" t="str" cm="1">
        <f t="array" ref="I36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65" s="9" t="str" cm="1">
        <f t="array" ref="J36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65" s="10" cm="1">
        <f t="array" ref="K36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65" s="10" cm="1">
        <f t="array" ref="L36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65" s="9" t="str" cm="1">
        <f t="array" ref="M36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65" s="9" t="str" cm="1">
        <f t="array" ref="N36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65" s="10" cm="1">
        <f t="array" ref="O365">IFERROR(INDEX(Sheet4!$2:$1605,MATCH(ChiTietKQKD[[#This Row],[Mã CP]],Sheet4!$B$2:$B$1605,0),_xlfn.XMATCH("*Tăng trưởng lợi nhuận sau thuế (YoY) (Quý*",Sheet4!$1:$1,2)),"")</f>
        <v>0</v>
      </c>
      <c r="P365" s="10" cm="1">
        <f t="array" ref="P365">IFERROR(INDEX(Sheet4!$2:$1605,MATCH(ChiTietKQKD[[#This Row],[Mã CP]],Sheet4!$B$2:$B$1605,0),_xlfn.XMATCH("*Tăng trưởng lợi nhuận sau thuế (YoY) (6M)*",Sheet4!$1:$1,2)),"")</f>
        <v>0</v>
      </c>
      <c r="Q365" s="10" cm="1">
        <f t="array" ref="Q365">IFERROR(INDEX(Sheet4!$2:$1605,MATCH(ChiTietKQKD[[#This Row],[Mã CP]],Sheet4!$B$2:$B$1605,0),_xlfn.XMATCH("*Tăng trưởng doanh thu thuần (QoQ)*",Sheet4!$1:$1,2)),"")</f>
        <v>0</v>
      </c>
      <c r="R365" s="10" cm="1">
        <f t="array" ref="R365">IFERROR(INDEX(Sheet4!$2:$1605,MATCH(ChiTietKQKD[[#This Row],[Mã CP]],Sheet4!$B$2:$B$1605,0),_xlfn.XMATCH("*Tăng trưởng lợi nhuận sau thuế (QoQ)*",Sheet4!$1:$1,2)),"")</f>
        <v>0</v>
      </c>
    </row>
    <row r="366" spans="1:18" x14ac:dyDescent="0.25">
      <c r="A366" s="7">
        <f>Sheet4!A345</f>
        <v>344</v>
      </c>
      <c r="B366" t="str">
        <f>Sheet4!B345</f>
        <v>TCM</v>
      </c>
      <c r="C366" t="str">
        <f>Sheet4!C344</f>
        <v>Tan Cang Logistics</v>
      </c>
      <c r="D366" t="str">
        <f>Sheet4!D345</f>
        <v>HOSE</v>
      </c>
      <c r="E366" s="7">
        <f>Sheet4!AH345/1000000000</f>
        <v>2046.9121098000001</v>
      </c>
      <c r="F366" t="str">
        <f>Sheet4!E345</f>
        <v>Hàng Tiêu dùng</v>
      </c>
      <c r="G366" t="str">
        <f>Sheet4!F345</f>
        <v>Hàng cá nhân &amp; Gia dụng</v>
      </c>
      <c r="H366" t="str">
        <f>Sheet4!G345</f>
        <v>Hàng May mặc</v>
      </c>
      <c r="I366" s="9" t="str" cm="1">
        <f t="array" ref="I36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66" s="9" t="str" cm="1">
        <f t="array" ref="J36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66" s="10" cm="1">
        <f t="array" ref="K36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66" s="10" cm="1">
        <f t="array" ref="L36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66" s="9" t="str" cm="1">
        <f t="array" ref="M36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66" s="9" t="str" cm="1">
        <f t="array" ref="N36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66" s="10" cm="1">
        <f t="array" ref="O366">IFERROR(INDEX(Sheet4!$2:$1605,MATCH(ChiTietKQKD[[#This Row],[Mã CP]],Sheet4!$B$2:$B$1605,0),_xlfn.XMATCH("*Tăng trưởng lợi nhuận sau thuế (YoY) (Quý*",Sheet4!$1:$1,2)),"")</f>
        <v>0</v>
      </c>
      <c r="P366" s="10" cm="1">
        <f t="array" ref="P366">IFERROR(INDEX(Sheet4!$2:$1605,MATCH(ChiTietKQKD[[#This Row],[Mã CP]],Sheet4!$B$2:$B$1605,0),_xlfn.XMATCH("*Tăng trưởng lợi nhuận sau thuế (YoY) (6M)*",Sheet4!$1:$1,2)),"")</f>
        <v>0</v>
      </c>
      <c r="Q366" s="10" cm="1">
        <f t="array" ref="Q366">IFERROR(INDEX(Sheet4!$2:$1605,MATCH(ChiTietKQKD[[#This Row],[Mã CP]],Sheet4!$B$2:$B$1605,0),_xlfn.XMATCH("*Tăng trưởng doanh thu thuần (QoQ)*",Sheet4!$1:$1,2)),"")</f>
        <v>0</v>
      </c>
      <c r="R366" s="10" cm="1">
        <f t="array" ref="R366">IFERROR(INDEX(Sheet4!$2:$1605,MATCH(ChiTietKQKD[[#This Row],[Mã CP]],Sheet4!$B$2:$B$1605,0),_xlfn.XMATCH("*Tăng trưởng lợi nhuận sau thuế (QoQ)*",Sheet4!$1:$1,2)),"")</f>
        <v>0</v>
      </c>
    </row>
    <row r="367" spans="1:18" x14ac:dyDescent="0.25">
      <c r="A367" s="7">
        <f>Sheet4!A346</f>
        <v>345</v>
      </c>
      <c r="B367" t="str">
        <f>Sheet4!B346</f>
        <v>TCO</v>
      </c>
      <c r="C367" t="str">
        <f>Sheet4!C345</f>
        <v>Dệt may Thành Công</v>
      </c>
      <c r="D367" t="str">
        <f>Sheet4!D346</f>
        <v>HOSE</v>
      </c>
      <c r="E367" s="7">
        <f>Sheet4!AH346/1000000000</f>
        <v>596.13446880000004</v>
      </c>
      <c r="F367" t="str">
        <f>Sheet4!E346</f>
        <v>Hàng Tiêu dùng</v>
      </c>
      <c r="G367" t="str">
        <f>Sheet4!F346</f>
        <v>Thực phẩm và đồ uống</v>
      </c>
      <c r="H367" t="str">
        <f>Sheet4!G346</f>
        <v>Nuôi trồng nông &amp; hải sản</v>
      </c>
      <c r="I367" s="9" t="str" cm="1">
        <f t="array" ref="I36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67" s="9" t="str" cm="1">
        <f t="array" ref="J36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67" s="10" cm="1">
        <f t="array" ref="K36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67" s="10" cm="1">
        <f t="array" ref="L36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67" s="9" t="str" cm="1">
        <f t="array" ref="M36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67" s="9" t="str" cm="1">
        <f t="array" ref="N36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67" s="10" cm="1">
        <f t="array" ref="O367">IFERROR(INDEX(Sheet4!$2:$1605,MATCH(ChiTietKQKD[[#This Row],[Mã CP]],Sheet4!$B$2:$B$1605,0),_xlfn.XMATCH("*Tăng trưởng lợi nhuận sau thuế (YoY) (Quý*",Sheet4!$1:$1,2)),"")</f>
        <v>0</v>
      </c>
      <c r="P367" s="10" cm="1">
        <f t="array" ref="P367">IFERROR(INDEX(Sheet4!$2:$1605,MATCH(ChiTietKQKD[[#This Row],[Mã CP]],Sheet4!$B$2:$B$1605,0),_xlfn.XMATCH("*Tăng trưởng lợi nhuận sau thuế (YoY) (6M)*",Sheet4!$1:$1,2)),"")</f>
        <v>0</v>
      </c>
      <c r="Q367" s="10" cm="1">
        <f t="array" ref="Q367">IFERROR(INDEX(Sheet4!$2:$1605,MATCH(ChiTietKQKD[[#This Row],[Mã CP]],Sheet4!$B$2:$B$1605,0),_xlfn.XMATCH("*Tăng trưởng doanh thu thuần (QoQ)*",Sheet4!$1:$1,2)),"")</f>
        <v>0</v>
      </c>
      <c r="R367" s="10" cm="1">
        <f t="array" ref="R367">IFERROR(INDEX(Sheet4!$2:$1605,MATCH(ChiTietKQKD[[#This Row],[Mã CP]],Sheet4!$B$2:$B$1605,0),_xlfn.XMATCH("*Tăng trưởng lợi nhuận sau thuế (QoQ)*",Sheet4!$1:$1,2)),"")</f>
        <v>0</v>
      </c>
    </row>
    <row r="368" spans="1:18" x14ac:dyDescent="0.25">
      <c r="A368" s="7">
        <f>Sheet4!A347</f>
        <v>346</v>
      </c>
      <c r="B368" t="str">
        <f>Sheet4!B347</f>
        <v>TCR</v>
      </c>
      <c r="C368" t="str">
        <f>Sheet4!C346</f>
        <v>Janus Group</v>
      </c>
      <c r="D368" t="str">
        <f>Sheet4!D347</f>
        <v>HOSE</v>
      </c>
      <c r="E368" s="7">
        <f>Sheet4!AH347/1000000000</f>
        <v>96.755552460000004</v>
      </c>
      <c r="F368" t="str">
        <f>Sheet4!E347</f>
        <v>Công nghiệp</v>
      </c>
      <c r="G368" t="str">
        <f>Sheet4!F347</f>
        <v>Xây dựng và Vật liệu</v>
      </c>
      <c r="H368" t="str">
        <f>Sheet4!G347</f>
        <v>Vật liệu xây dựng &amp; Nội thất</v>
      </c>
      <c r="I368" s="9" t="str" cm="1">
        <f t="array" ref="I36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68" s="9" t="str" cm="1">
        <f t="array" ref="J36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68" s="10" cm="1">
        <f t="array" ref="K36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68" s="10" cm="1">
        <f t="array" ref="L36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68" s="9" t="str" cm="1">
        <f t="array" ref="M36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68" s="9" t="str" cm="1">
        <f t="array" ref="N36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68" s="10" cm="1">
        <f t="array" ref="O368">IFERROR(INDEX(Sheet4!$2:$1605,MATCH(ChiTietKQKD[[#This Row],[Mã CP]],Sheet4!$B$2:$B$1605,0),_xlfn.XMATCH("*Tăng trưởng lợi nhuận sau thuế (YoY) (Quý*",Sheet4!$1:$1,2)),"")</f>
        <v>0</v>
      </c>
      <c r="P368" s="10" cm="1">
        <f t="array" ref="P368">IFERROR(INDEX(Sheet4!$2:$1605,MATCH(ChiTietKQKD[[#This Row],[Mã CP]],Sheet4!$B$2:$B$1605,0),_xlfn.XMATCH("*Tăng trưởng lợi nhuận sau thuế (YoY) (6M)*",Sheet4!$1:$1,2)),"")</f>
        <v>0</v>
      </c>
      <c r="Q368" s="10" cm="1">
        <f t="array" ref="Q368">IFERROR(INDEX(Sheet4!$2:$1605,MATCH(ChiTietKQKD[[#This Row],[Mã CP]],Sheet4!$B$2:$B$1605,0),_xlfn.XMATCH("*Tăng trưởng doanh thu thuần (QoQ)*",Sheet4!$1:$1,2)),"")</f>
        <v>0</v>
      </c>
      <c r="R368" s="10" cm="1">
        <f t="array" ref="R368">IFERROR(INDEX(Sheet4!$2:$1605,MATCH(ChiTietKQKD[[#This Row],[Mã CP]],Sheet4!$B$2:$B$1605,0),_xlfn.XMATCH("*Tăng trưởng lợi nhuận sau thuế (QoQ)*",Sheet4!$1:$1,2)),"")</f>
        <v>0</v>
      </c>
    </row>
    <row r="369" spans="1:18" x14ac:dyDescent="0.25">
      <c r="A369" s="7">
        <f>Sheet4!A348</f>
        <v>347</v>
      </c>
      <c r="B369" t="str">
        <f>Sheet4!B348</f>
        <v>TCT</v>
      </c>
      <c r="C369" t="str">
        <f>Sheet4!C347</f>
        <v>Gốm sứ TAICERA</v>
      </c>
      <c r="D369" t="str">
        <f>Sheet4!D348</f>
        <v>HOSE</v>
      </c>
      <c r="E369" s="7">
        <f>Sheet4!AH348/1000000000</f>
        <v>231.46279999999999</v>
      </c>
      <c r="F369" t="str">
        <f>Sheet4!E348</f>
        <v>Dịch vụ Tiêu dùng</v>
      </c>
      <c r="G369" t="str">
        <f>Sheet4!F348</f>
        <v>Du lịch và Giải trí</v>
      </c>
      <c r="H369" t="str">
        <f>Sheet4!G348</f>
        <v>Vận tải hành khách &amp; Du lịch</v>
      </c>
      <c r="I369" s="9" cm="1">
        <f t="array" ref="I36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12.34306965</v>
      </c>
      <c r="J369" s="9" t="str" cm="1">
        <f t="array" ref="J36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69" s="10" cm="1">
        <f t="array" ref="K36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0.3962</v>
      </c>
      <c r="L369" s="10" cm="1">
        <f t="array" ref="L36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5.1000000000000004E-3</v>
      </c>
      <c r="M369" s="9" cm="1">
        <f t="array" ref="M369">_xlfn.LET(_xlpm.val,IFERROR(INDEX(Sheet4!$2:$1605,MATCH(ChiTietKQKD[[#This Row],[Mã CP]],Sheet4!$B$2:$B$1605,0),_xlfn.XMATCH("*Lợi nhuận sau thuế*Q2*2026*",Sheet4!$1:$1,2)),0),IF(OR(_xlpm.val="",_xlpm.val=0),"",_xlpm.val/1000000000))</f>
        <v>6.8565856610000004</v>
      </c>
      <c r="N369" s="9" t="str" cm="1">
        <f t="array" ref="N36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69" s="10" cm="1">
        <f t="array" ref="O369">IFERROR(INDEX(Sheet4!$2:$1605,MATCH(ChiTietKQKD[[#This Row],[Mã CP]],Sheet4!$B$2:$B$1605,0),_xlfn.XMATCH("*Tăng trưởng lợi nhuận sau thuế (YoY) (Quý*",Sheet4!$1:$1,2)),"")</f>
        <v>0.23760000000000001</v>
      </c>
      <c r="P369" s="10" cm="1">
        <f t="array" ref="P369">IFERROR(INDEX(Sheet4!$2:$1605,MATCH(ChiTietKQKD[[#This Row],[Mã CP]],Sheet4!$B$2:$B$1605,0),_xlfn.XMATCH("*Tăng trưởng lợi nhuận sau thuế (YoY) (6M)*",Sheet4!$1:$1,2)),"")</f>
        <v>-0.12970000000000001</v>
      </c>
      <c r="Q369" s="10" cm="1">
        <f t="array" ref="Q369">IFERROR(INDEX(Sheet4!$2:$1605,MATCH(ChiTietKQKD[[#This Row],[Mã CP]],Sheet4!$B$2:$B$1605,0),_xlfn.XMATCH("*Tăng trưởng doanh thu thuần (QoQ)*",Sheet4!$1:$1,2)),"")</f>
        <v>-0.28870000000000001</v>
      </c>
      <c r="R369" s="10" cm="1">
        <f t="array" ref="R369">IFERROR(INDEX(Sheet4!$2:$1605,MATCH(ChiTietKQKD[[#This Row],[Mã CP]],Sheet4!$B$2:$B$1605,0),_xlfn.XMATCH("*Tăng trưởng lợi nhuận sau thuế (QoQ)*",Sheet4!$1:$1,2)),"")</f>
        <v>-0.22470000000000001</v>
      </c>
    </row>
    <row r="370" spans="1:18" x14ac:dyDescent="0.25">
      <c r="A370" s="7">
        <f>Sheet4!A349</f>
        <v>348</v>
      </c>
      <c r="B370" t="str">
        <f>Sheet4!B349</f>
        <v>TCX</v>
      </c>
      <c r="C370" t="str">
        <f>Sheet4!C348</f>
        <v>Cáp treo Tây Ninh</v>
      </c>
      <c r="D370" t="str">
        <f>Sheet4!D349</f>
        <v>HOSE</v>
      </c>
      <c r="E370" s="7">
        <f>Sheet4!AH349/1000000000</f>
        <v>112504.08232875</v>
      </c>
      <c r="F370" t="str">
        <f>Sheet4!E349</f>
        <v>Tài chính</v>
      </c>
      <c r="G370" t="str">
        <f>Sheet4!F349</f>
        <v>Dịch vụ tài chính</v>
      </c>
      <c r="H370" t="str">
        <f>Sheet4!G349</f>
        <v>Môi giới chứng khoán</v>
      </c>
      <c r="I370" s="9" cm="1">
        <f t="array" ref="I37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3744.6186897349999</v>
      </c>
      <c r="J370" s="9" cm="1">
        <f t="array" ref="J37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6527.8221161029996</v>
      </c>
      <c r="K370" s="10" cm="1">
        <f t="array" ref="K37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0.4078</v>
      </c>
      <c r="L370" s="10" cm="1">
        <f t="array" ref="L37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0.39240000000000003</v>
      </c>
      <c r="M370" s="9" cm="1">
        <f t="array" ref="M370">_xlfn.LET(_xlpm.val,IFERROR(INDEX(Sheet4!$2:$1605,MATCH(ChiTietKQKD[[#This Row],[Mã CP]],Sheet4!$B$2:$B$1605,0),_xlfn.XMATCH("*Lợi nhuận sau thuế*Q2*2026*",Sheet4!$1:$1,2)),0),IF(OR(_xlpm.val="",_xlpm.val=0),"",_xlpm.val/1000000000))</f>
        <v>1691.8936044679999</v>
      </c>
      <c r="N370" s="9" cm="1">
        <f t="array" ref="N370">_xlfn.LET(_xlpm.val,IFERROR(INDEX(Sheet4!$2:$1605,MATCH(ChiTietKQKD[[#This Row],[Mã CP]],Sheet4!$B$2:$B$1605,0),_xlfn.XMATCH("*Lợi nhuận sau thuế*6 tháng*2026*",Sheet4!$1:$1,2)),0),IF(OR(_xlpm.val="",_xlpm.val=0),"",_xlpm.val/1000000000))</f>
        <v>2839.5270339600002</v>
      </c>
      <c r="O370" s="10" cm="1">
        <f t="array" ref="O370">IFERROR(INDEX(Sheet4!$2:$1605,MATCH(ChiTietKQKD[[#This Row],[Mã CP]],Sheet4!$B$2:$B$1605,0),_xlfn.XMATCH("*Tăng trưởng lợi nhuận sau thuế (YoY) (Quý*",Sheet4!$1:$1,2)),"")</f>
        <v>0.19139999999999999</v>
      </c>
      <c r="P370" s="10" cm="1">
        <f t="array" ref="P370">IFERROR(INDEX(Sheet4!$2:$1605,MATCH(ChiTietKQKD[[#This Row],[Mã CP]],Sheet4!$B$2:$B$1605,0),_xlfn.XMATCH("*Tăng trưởng lợi nhuận sau thuế (YoY) (6M)*",Sheet4!$1:$1,2)),"")</f>
        <v>0.16819999999999999</v>
      </c>
      <c r="Q370" s="10" cm="1">
        <f t="array" ref="Q370">IFERROR(INDEX(Sheet4!$2:$1605,MATCH(ChiTietKQKD[[#This Row],[Mã CP]],Sheet4!$B$2:$B$1605,0),_xlfn.XMATCH("*Tăng trưởng doanh thu thuần (QoQ)*",Sheet4!$1:$1,2)),"")</f>
        <v>0.34539999999999998</v>
      </c>
      <c r="R370" s="10" cm="1">
        <f t="array" ref="R370">IFERROR(INDEX(Sheet4!$2:$1605,MATCH(ChiTietKQKD[[#This Row],[Mã CP]],Sheet4!$B$2:$B$1605,0),_xlfn.XMATCH("*Tăng trưởng lợi nhuận sau thuế (QoQ)*",Sheet4!$1:$1,2)),"")</f>
        <v>0.47420000000000001</v>
      </c>
    </row>
    <row r="371" spans="1:18" x14ac:dyDescent="0.25">
      <c r="A371" s="7">
        <f>Sheet4!A350</f>
        <v>349</v>
      </c>
      <c r="B371" t="str">
        <f>Sheet4!B350</f>
        <v>TDC</v>
      </c>
      <c r="C371" t="str">
        <f>Sheet4!C349</f>
        <v>Chứng khoán TCBS</v>
      </c>
      <c r="D371" t="str">
        <f>Sheet4!D350</f>
        <v>HOSE</v>
      </c>
      <c r="E371" s="7">
        <f>Sheet4!AH350/1000000000</f>
        <v>904.59108000000003</v>
      </c>
      <c r="F371" t="str">
        <f>Sheet4!E350</f>
        <v>Tài chính</v>
      </c>
      <c r="G371" t="str">
        <f>Sheet4!F350</f>
        <v>Bất động sản</v>
      </c>
      <c r="H371" t="str">
        <f>Sheet4!G350</f>
        <v>Tư Vấn, Định giá, Môi giới Bất động sản</v>
      </c>
      <c r="I371" s="9" t="str" cm="1">
        <f t="array" ref="I37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71" s="9" t="str" cm="1">
        <f t="array" ref="J37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71" s="10" cm="1">
        <f t="array" ref="K37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71" s="10" cm="1">
        <f t="array" ref="L37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71" s="9" t="str" cm="1">
        <f t="array" ref="M37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71" s="9" t="str" cm="1">
        <f t="array" ref="N37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71" s="10" cm="1">
        <f t="array" ref="O371">IFERROR(INDEX(Sheet4!$2:$1605,MATCH(ChiTietKQKD[[#This Row],[Mã CP]],Sheet4!$B$2:$B$1605,0),_xlfn.XMATCH("*Tăng trưởng lợi nhuận sau thuế (YoY) (Quý*",Sheet4!$1:$1,2)),"")</f>
        <v>0</v>
      </c>
      <c r="P371" s="10" cm="1">
        <f t="array" ref="P371">IFERROR(INDEX(Sheet4!$2:$1605,MATCH(ChiTietKQKD[[#This Row],[Mã CP]],Sheet4!$B$2:$B$1605,0),_xlfn.XMATCH("*Tăng trưởng lợi nhuận sau thuế (YoY) (6M)*",Sheet4!$1:$1,2)),"")</f>
        <v>0</v>
      </c>
      <c r="Q371" s="10" cm="1">
        <f t="array" ref="Q371">IFERROR(INDEX(Sheet4!$2:$1605,MATCH(ChiTietKQKD[[#This Row],[Mã CP]],Sheet4!$B$2:$B$1605,0),_xlfn.XMATCH("*Tăng trưởng doanh thu thuần (QoQ)*",Sheet4!$1:$1,2)),"")</f>
        <v>0</v>
      </c>
      <c r="R371" s="10" cm="1">
        <f t="array" ref="R371">IFERROR(INDEX(Sheet4!$2:$1605,MATCH(ChiTietKQKD[[#This Row],[Mã CP]],Sheet4!$B$2:$B$1605,0),_xlfn.XMATCH("*Tăng trưởng lợi nhuận sau thuế (QoQ)*",Sheet4!$1:$1,2)),"")</f>
        <v>0</v>
      </c>
    </row>
    <row r="372" spans="1:18" x14ac:dyDescent="0.25">
      <c r="A372" s="7">
        <f>Sheet4!A351</f>
        <v>350</v>
      </c>
      <c r="B372" t="str">
        <f>Sheet4!B351</f>
        <v>TDG</v>
      </c>
      <c r="C372" t="str">
        <f>Sheet4!C350</f>
        <v>Becamex TDC</v>
      </c>
      <c r="D372" t="str">
        <f>Sheet4!D351</f>
        <v>HOSE</v>
      </c>
      <c r="E372" s="7">
        <f>Sheet4!AH351/1000000000</f>
        <v>60.2858631</v>
      </c>
      <c r="F372" t="str">
        <f>Sheet4!E351</f>
        <v>Tiện ích Cộng đồng</v>
      </c>
      <c r="G372" t="str">
        <f>Sheet4!F351</f>
        <v>Điện, nước &amp; xăng dầu khí đốt</v>
      </c>
      <c r="H372" t="str">
        <f>Sheet4!G351</f>
        <v>Phân phối xăng dầu &amp; khí đốt</v>
      </c>
      <c r="I372" s="9" t="str" cm="1">
        <f t="array" ref="I37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72" s="9" t="str" cm="1">
        <f t="array" ref="J37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72" s="10" cm="1">
        <f t="array" ref="K37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72" s="10" cm="1">
        <f t="array" ref="L37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72" s="9" t="str" cm="1">
        <f t="array" ref="M37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72" s="9" t="str" cm="1">
        <f t="array" ref="N37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72" s="10" cm="1">
        <f t="array" ref="O372">IFERROR(INDEX(Sheet4!$2:$1605,MATCH(ChiTietKQKD[[#This Row],[Mã CP]],Sheet4!$B$2:$B$1605,0),_xlfn.XMATCH("*Tăng trưởng lợi nhuận sau thuế (YoY) (Quý*",Sheet4!$1:$1,2)),"")</f>
        <v>0</v>
      </c>
      <c r="P372" s="10" cm="1">
        <f t="array" ref="P372">IFERROR(INDEX(Sheet4!$2:$1605,MATCH(ChiTietKQKD[[#This Row],[Mã CP]],Sheet4!$B$2:$B$1605,0),_xlfn.XMATCH("*Tăng trưởng lợi nhuận sau thuế (YoY) (6M)*",Sheet4!$1:$1,2)),"")</f>
        <v>0</v>
      </c>
      <c r="Q372" s="10" cm="1">
        <f t="array" ref="Q372">IFERROR(INDEX(Sheet4!$2:$1605,MATCH(ChiTietKQKD[[#This Row],[Mã CP]],Sheet4!$B$2:$B$1605,0),_xlfn.XMATCH("*Tăng trưởng doanh thu thuần (QoQ)*",Sheet4!$1:$1,2)),"")</f>
        <v>0</v>
      </c>
      <c r="R372" s="10" cm="1">
        <f t="array" ref="R372">IFERROR(INDEX(Sheet4!$2:$1605,MATCH(ChiTietKQKD[[#This Row],[Mã CP]],Sheet4!$B$2:$B$1605,0),_xlfn.XMATCH("*Tăng trưởng lợi nhuận sau thuế (QoQ)*",Sheet4!$1:$1,2)),"")</f>
        <v>0</v>
      </c>
    </row>
    <row r="373" spans="1:18" x14ac:dyDescent="0.25">
      <c r="A373" s="7">
        <f>Sheet4!A352</f>
        <v>351</v>
      </c>
      <c r="B373" t="str">
        <f>Sheet4!B352</f>
        <v>TDH</v>
      </c>
      <c r="C373" t="str">
        <f>Sheet4!C351</f>
        <v>Đầu tư TDG Global</v>
      </c>
      <c r="D373" t="str">
        <f>Sheet4!D352</f>
        <v>HOSE</v>
      </c>
      <c r="E373" s="7">
        <f>Sheet4!AH352/1000000000</f>
        <v>376.26024178</v>
      </c>
      <c r="F373" t="str">
        <f>Sheet4!E352</f>
        <v>Tài chính</v>
      </c>
      <c r="G373" t="str">
        <f>Sheet4!F352</f>
        <v>Bất động sản</v>
      </c>
      <c r="H373" t="str">
        <f>Sheet4!G352</f>
        <v>Bất động sản</v>
      </c>
      <c r="I373" s="9" t="str" cm="1">
        <f t="array" ref="I37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73" s="9" t="str" cm="1">
        <f t="array" ref="J37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73" s="10" cm="1">
        <f t="array" ref="K37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73" s="10" cm="1">
        <f t="array" ref="L37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73" s="9" t="str" cm="1">
        <f t="array" ref="M37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73" s="9" t="str" cm="1">
        <f t="array" ref="N37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73" s="10" cm="1">
        <f t="array" ref="O373">IFERROR(INDEX(Sheet4!$2:$1605,MATCH(ChiTietKQKD[[#This Row],[Mã CP]],Sheet4!$B$2:$B$1605,0),_xlfn.XMATCH("*Tăng trưởng lợi nhuận sau thuế (YoY) (Quý*",Sheet4!$1:$1,2)),"")</f>
        <v>0</v>
      </c>
      <c r="P373" s="10" cm="1">
        <f t="array" ref="P373">IFERROR(INDEX(Sheet4!$2:$1605,MATCH(ChiTietKQKD[[#This Row],[Mã CP]],Sheet4!$B$2:$B$1605,0),_xlfn.XMATCH("*Tăng trưởng lợi nhuận sau thuế (YoY) (6M)*",Sheet4!$1:$1,2)),"")</f>
        <v>0</v>
      </c>
      <c r="Q373" s="10" cm="1">
        <f t="array" ref="Q373">IFERROR(INDEX(Sheet4!$2:$1605,MATCH(ChiTietKQKD[[#This Row],[Mã CP]],Sheet4!$B$2:$B$1605,0),_xlfn.XMATCH("*Tăng trưởng doanh thu thuần (QoQ)*",Sheet4!$1:$1,2)),"")</f>
        <v>0</v>
      </c>
      <c r="R373" s="10" cm="1">
        <f t="array" ref="R373">IFERROR(INDEX(Sheet4!$2:$1605,MATCH(ChiTietKQKD[[#This Row],[Mã CP]],Sheet4!$B$2:$B$1605,0),_xlfn.XMATCH("*Tăng trưởng lợi nhuận sau thuế (QoQ)*",Sheet4!$1:$1,2)),"")</f>
        <v>0</v>
      </c>
    </row>
    <row r="374" spans="1:18" x14ac:dyDescent="0.25">
      <c r="A374" s="7">
        <f>Sheet4!A353</f>
        <v>352</v>
      </c>
      <c r="B374" t="str">
        <f>Sheet4!B353</f>
        <v>TDM</v>
      </c>
      <c r="C374" t="str">
        <f>Sheet4!C352</f>
        <v>Thủ Đức House</v>
      </c>
      <c r="D374" t="str">
        <f>Sheet4!D353</f>
        <v>HOSE</v>
      </c>
      <c r="E374" s="7">
        <f>Sheet4!AH353/1000000000</f>
        <v>7332.6</v>
      </c>
      <c r="F374" t="str">
        <f>Sheet4!E353</f>
        <v>Tiện ích Cộng đồng</v>
      </c>
      <c r="G374" t="str">
        <f>Sheet4!F353</f>
        <v>Điện, nước &amp; xăng dầu khí đốt</v>
      </c>
      <c r="H374" t="str">
        <f>Sheet4!G353</f>
        <v>Nước</v>
      </c>
      <c r="I374" s="9" cm="1">
        <f t="array" ref="I37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89.538517400000003</v>
      </c>
      <c r="J374" s="9" cm="1">
        <f t="array" ref="J37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167.86405350000001</v>
      </c>
      <c r="K374" s="10" cm="1">
        <f t="array" ref="K37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-0.10390000000000001</v>
      </c>
      <c r="L374" s="10" cm="1">
        <f t="array" ref="L37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-0.16039999999999999</v>
      </c>
      <c r="M374" s="9" cm="1">
        <f t="array" ref="M374">_xlfn.LET(_xlpm.val,IFERROR(INDEX(Sheet4!$2:$1605,MATCH(ChiTietKQKD[[#This Row],[Mã CP]],Sheet4!$B$2:$B$1605,0),_xlfn.XMATCH("*Lợi nhuận sau thuế*Q2*2026*",Sheet4!$1:$1,2)),0),IF(OR(_xlpm.val="",_xlpm.val=0),"",_xlpm.val/1000000000))</f>
        <v>19.896540176999999</v>
      </c>
      <c r="N374" s="9" cm="1">
        <f t="array" ref="N374">_xlfn.LET(_xlpm.val,IFERROR(INDEX(Sheet4!$2:$1605,MATCH(ChiTietKQKD[[#This Row],[Mã CP]],Sheet4!$B$2:$B$1605,0),_xlfn.XMATCH("*Lợi nhuận sau thuế*6 tháng*2026*",Sheet4!$1:$1,2)),0),IF(OR(_xlpm.val="",_xlpm.val=0),"",_xlpm.val/1000000000))</f>
        <v>142.16724552299999</v>
      </c>
      <c r="O374" s="10" cm="1">
        <f t="array" ref="O374">IFERROR(INDEX(Sheet4!$2:$1605,MATCH(ChiTietKQKD[[#This Row],[Mã CP]],Sheet4!$B$2:$B$1605,0),_xlfn.XMATCH("*Tăng trưởng lợi nhuận sau thuế (YoY) (Quý*",Sheet4!$1:$1,2)),"")</f>
        <v>-0.62190000000000001</v>
      </c>
      <c r="P374" s="10" cm="1">
        <f t="array" ref="P374">IFERROR(INDEX(Sheet4!$2:$1605,MATCH(ChiTietKQKD[[#This Row],[Mã CP]],Sheet4!$B$2:$B$1605,0),_xlfn.XMATCH("*Tăng trưởng lợi nhuận sau thuế (YoY) (6M)*",Sheet4!$1:$1,2)),"")</f>
        <v>-0.27610000000000001</v>
      </c>
      <c r="Q374" s="10" cm="1">
        <f t="array" ref="Q374">IFERROR(INDEX(Sheet4!$2:$1605,MATCH(ChiTietKQKD[[#This Row],[Mã CP]],Sheet4!$B$2:$B$1605,0),_xlfn.XMATCH("*Tăng trưởng doanh thu thuần (QoQ)*",Sheet4!$1:$1,2)),"")</f>
        <v>0.14319999999999999</v>
      </c>
      <c r="R374" s="10" cm="1">
        <f t="array" ref="R374">IFERROR(INDEX(Sheet4!$2:$1605,MATCH(ChiTietKQKD[[#This Row],[Mã CP]],Sheet4!$B$2:$B$1605,0),_xlfn.XMATCH("*Tăng trưởng lợi nhuận sau thuế (QoQ)*",Sheet4!$1:$1,2)),"")</f>
        <v>-0.83730000000000004</v>
      </c>
    </row>
    <row r="375" spans="1:18" x14ac:dyDescent="0.25">
      <c r="A375" s="7">
        <f>Sheet4!A354</f>
        <v>353</v>
      </c>
      <c r="B375" t="str">
        <f>Sheet4!B354</f>
        <v>TDP</v>
      </c>
      <c r="C375" t="str">
        <f>Sheet4!C353</f>
        <v>Nước Thủ Dầu Một</v>
      </c>
      <c r="D375" t="str">
        <f>Sheet4!D354</f>
        <v>HOSE</v>
      </c>
      <c r="E375" s="7">
        <f>Sheet4!AH354/1000000000</f>
        <v>2679.8078163999999</v>
      </c>
      <c r="F375" t="str">
        <f>Sheet4!E354</f>
        <v>Công nghiệp</v>
      </c>
      <c r="G375" t="str">
        <f>Sheet4!F354</f>
        <v>Hàng &amp; Dịch vụ Công nghiệp</v>
      </c>
      <c r="H375" t="str">
        <f>Sheet4!G354</f>
        <v>Containers &amp; Đóng gói</v>
      </c>
      <c r="I375" s="9" t="str" cm="1">
        <f t="array" ref="I37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75" s="9" t="str" cm="1">
        <f t="array" ref="J37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75" s="10" cm="1">
        <f t="array" ref="K37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75" s="10" cm="1">
        <f t="array" ref="L37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75" s="9" t="str" cm="1">
        <f t="array" ref="M37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75" s="9" t="str" cm="1">
        <f t="array" ref="N37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75" s="10" cm="1">
        <f t="array" ref="O375">IFERROR(INDEX(Sheet4!$2:$1605,MATCH(ChiTietKQKD[[#This Row],[Mã CP]],Sheet4!$B$2:$B$1605,0),_xlfn.XMATCH("*Tăng trưởng lợi nhuận sau thuế (YoY) (Quý*",Sheet4!$1:$1,2)),"")</f>
        <v>0</v>
      </c>
      <c r="P375" s="10" cm="1">
        <f t="array" ref="P375">IFERROR(INDEX(Sheet4!$2:$1605,MATCH(ChiTietKQKD[[#This Row],[Mã CP]],Sheet4!$B$2:$B$1605,0),_xlfn.XMATCH("*Tăng trưởng lợi nhuận sau thuế (YoY) (6M)*",Sheet4!$1:$1,2)),"")</f>
        <v>0</v>
      </c>
      <c r="Q375" s="10" cm="1">
        <f t="array" ref="Q375">IFERROR(INDEX(Sheet4!$2:$1605,MATCH(ChiTietKQKD[[#This Row],[Mã CP]],Sheet4!$B$2:$B$1605,0),_xlfn.XMATCH("*Tăng trưởng doanh thu thuần (QoQ)*",Sheet4!$1:$1,2)),"")</f>
        <v>0</v>
      </c>
      <c r="R375" s="10" cm="1">
        <f t="array" ref="R375">IFERROR(INDEX(Sheet4!$2:$1605,MATCH(ChiTietKQKD[[#This Row],[Mã CP]],Sheet4!$B$2:$B$1605,0),_xlfn.XMATCH("*Tăng trưởng lợi nhuận sau thuế (QoQ)*",Sheet4!$1:$1,2)),"")</f>
        <v>0</v>
      </c>
    </row>
    <row r="376" spans="1:18" x14ac:dyDescent="0.25">
      <c r="A376" s="7">
        <f>Sheet4!A355</f>
        <v>354</v>
      </c>
      <c r="B376" t="str">
        <f>Sheet4!B355</f>
        <v>TDW</v>
      </c>
      <c r="C376" t="str">
        <f>Sheet4!C354</f>
        <v>Công ty Thuận Đức</v>
      </c>
      <c r="D376" t="str">
        <f>Sheet4!D355</f>
        <v>HOSE</v>
      </c>
      <c r="E376" s="7">
        <f>Sheet4!AH355/1000000000</f>
        <v>391</v>
      </c>
      <c r="F376" t="str">
        <f>Sheet4!E355</f>
        <v>Tiện ích Cộng đồng</v>
      </c>
      <c r="G376" t="str">
        <f>Sheet4!F355</f>
        <v>Điện, nước &amp; xăng dầu khí đốt</v>
      </c>
      <c r="H376" t="str">
        <f>Sheet4!G355</f>
        <v>Nước</v>
      </c>
      <c r="I376" s="9" cm="1">
        <f t="array" ref="I37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363.67194903500001</v>
      </c>
      <c r="J376" s="9" cm="1">
        <f t="array" ref="J37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688.97713959999999</v>
      </c>
      <c r="K376" s="10" cm="1">
        <f t="array" ref="K37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4.4699999999999997E-2</v>
      </c>
      <c r="L376" s="10" cm="1">
        <f t="array" ref="L37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3.5400000000000001E-2</v>
      </c>
      <c r="M376" s="9" cm="1">
        <f t="array" ref="M376">_xlfn.LET(_xlpm.val,IFERROR(INDEX(Sheet4!$2:$1605,MATCH(ChiTietKQKD[[#This Row],[Mã CP]],Sheet4!$B$2:$B$1605,0),_xlfn.XMATCH("*Lợi nhuận sau thuế*Q2*2026*",Sheet4!$1:$1,2)),0),IF(OR(_xlpm.val="",_xlpm.val=0),"",_xlpm.val/1000000000))</f>
        <v>20.617709102999999</v>
      </c>
      <c r="N376" s="9" cm="1">
        <f t="array" ref="N376">_xlfn.LET(_xlpm.val,IFERROR(INDEX(Sheet4!$2:$1605,MATCH(ChiTietKQKD[[#This Row],[Mã CP]],Sheet4!$B$2:$B$1605,0),_xlfn.XMATCH("*Lợi nhuận sau thuế*6 tháng*2026*",Sheet4!$1:$1,2)),0),IF(OR(_xlpm.val="",_xlpm.val=0),"",_xlpm.val/1000000000))</f>
        <v>30.664691995999998</v>
      </c>
      <c r="O376" s="10" cm="1">
        <f t="array" ref="O376">IFERROR(INDEX(Sheet4!$2:$1605,MATCH(ChiTietKQKD[[#This Row],[Mã CP]],Sheet4!$B$2:$B$1605,0),_xlfn.XMATCH("*Tăng trưởng lợi nhuận sau thuế (YoY) (Quý*",Sheet4!$1:$1,2)),"")</f>
        <v>0.3528</v>
      </c>
      <c r="P376" s="10" cm="1">
        <f t="array" ref="P376">IFERROR(INDEX(Sheet4!$2:$1605,MATCH(ChiTietKQKD[[#This Row],[Mã CP]],Sheet4!$B$2:$B$1605,0),_xlfn.XMATCH("*Tăng trưởng lợi nhuận sau thuế (YoY) (6M)*",Sheet4!$1:$1,2)),"")</f>
        <v>0.14829999999999999</v>
      </c>
      <c r="Q376" s="10" cm="1">
        <f t="array" ref="Q376">IFERROR(INDEX(Sheet4!$2:$1605,MATCH(ChiTietKQKD[[#This Row],[Mã CP]],Sheet4!$B$2:$B$1605,0),_xlfn.XMATCH("*Tăng trưởng doanh thu thuần (QoQ)*",Sheet4!$1:$1,2)),"")</f>
        <v>0.1179</v>
      </c>
      <c r="R376" s="10" cm="1">
        <f t="array" ref="R376">IFERROR(INDEX(Sheet4!$2:$1605,MATCH(ChiTietKQKD[[#This Row],[Mã CP]],Sheet4!$B$2:$B$1605,0),_xlfn.XMATCH("*Tăng trưởng lợi nhuận sau thuế (QoQ)*",Sheet4!$1:$1,2)),"")</f>
        <v>1.0521</v>
      </c>
    </row>
    <row r="377" spans="1:18" x14ac:dyDescent="0.25">
      <c r="A377" s="7">
        <f>Sheet4!A356</f>
        <v>355</v>
      </c>
      <c r="B377" t="str">
        <f>Sheet4!B356</f>
        <v>TEG</v>
      </c>
      <c r="C377" t="str">
        <f>Sheet4!C355</f>
        <v>Cấp nước Thủ Đức</v>
      </c>
      <c r="D377" t="str">
        <f>Sheet4!D356</f>
        <v>HOSE</v>
      </c>
      <c r="E377" s="7">
        <f>Sheet4!AH356/1000000000</f>
        <v>700.67805959999998</v>
      </c>
      <c r="F377" t="str">
        <f>Sheet4!E356</f>
        <v>Tài chính</v>
      </c>
      <c r="G377" t="str">
        <f>Sheet4!F356</f>
        <v>Bất động sản</v>
      </c>
      <c r="H377" t="str">
        <f>Sheet4!G356</f>
        <v>Bất động sản</v>
      </c>
      <c r="I377" s="9" t="str" cm="1">
        <f t="array" ref="I37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77" s="9" t="str" cm="1">
        <f t="array" ref="J37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77" s="10" cm="1">
        <f t="array" ref="K37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77" s="10" cm="1">
        <f t="array" ref="L37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77" s="9" t="str" cm="1">
        <f t="array" ref="M37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77" s="9" t="str" cm="1">
        <f t="array" ref="N37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77" s="10" cm="1">
        <f t="array" ref="O377">IFERROR(INDEX(Sheet4!$2:$1605,MATCH(ChiTietKQKD[[#This Row],[Mã CP]],Sheet4!$B$2:$B$1605,0),_xlfn.XMATCH("*Tăng trưởng lợi nhuận sau thuế (YoY) (Quý*",Sheet4!$1:$1,2)),"")</f>
        <v>0</v>
      </c>
      <c r="P377" s="10" cm="1">
        <f t="array" ref="P377">IFERROR(INDEX(Sheet4!$2:$1605,MATCH(ChiTietKQKD[[#This Row],[Mã CP]],Sheet4!$B$2:$B$1605,0),_xlfn.XMATCH("*Tăng trưởng lợi nhuận sau thuế (YoY) (6M)*",Sheet4!$1:$1,2)),"")</f>
        <v>0</v>
      </c>
      <c r="Q377" s="10" cm="1">
        <f t="array" ref="Q377">IFERROR(INDEX(Sheet4!$2:$1605,MATCH(ChiTietKQKD[[#This Row],[Mã CP]],Sheet4!$B$2:$B$1605,0),_xlfn.XMATCH("*Tăng trưởng doanh thu thuần (QoQ)*",Sheet4!$1:$1,2)),"")</f>
        <v>0</v>
      </c>
      <c r="R377" s="10" cm="1">
        <f t="array" ref="R377">IFERROR(INDEX(Sheet4!$2:$1605,MATCH(ChiTietKQKD[[#This Row],[Mã CP]],Sheet4!$B$2:$B$1605,0),_xlfn.XMATCH("*Tăng trưởng lợi nhuận sau thuế (QoQ)*",Sheet4!$1:$1,2)),"")</f>
        <v>0</v>
      </c>
    </row>
    <row r="378" spans="1:18" x14ac:dyDescent="0.25">
      <c r="A378" s="7">
        <f>Sheet4!A357</f>
        <v>356</v>
      </c>
      <c r="B378" t="str">
        <f>Sheet4!B357</f>
        <v>THG</v>
      </c>
      <c r="C378" t="str">
        <f>Sheet4!C356</f>
        <v>Trường Thành Energy Group</v>
      </c>
      <c r="D378" t="str">
        <f>Sheet4!D357</f>
        <v>HOSE</v>
      </c>
      <c r="E378" s="7">
        <f>Sheet4!AH357/1000000000</f>
        <v>991.97185739999998</v>
      </c>
      <c r="F378" t="str">
        <f>Sheet4!E357</f>
        <v>Công nghiệp</v>
      </c>
      <c r="G378" t="str">
        <f>Sheet4!F357</f>
        <v>Xây dựng và Vật liệu</v>
      </c>
      <c r="H378" t="str">
        <f>Sheet4!G357</f>
        <v>Vật liệu xây dựng &amp; Nội thất</v>
      </c>
      <c r="I378" s="9" t="str" cm="1">
        <f t="array" ref="I37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78" s="9" t="str" cm="1">
        <f t="array" ref="J37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78" s="10" cm="1">
        <f t="array" ref="K37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78" s="10" cm="1">
        <f t="array" ref="L37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78" s="9" t="str" cm="1">
        <f t="array" ref="M37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78" s="9" t="str" cm="1">
        <f t="array" ref="N37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78" s="10" cm="1">
        <f t="array" ref="O378">IFERROR(INDEX(Sheet4!$2:$1605,MATCH(ChiTietKQKD[[#This Row],[Mã CP]],Sheet4!$B$2:$B$1605,0),_xlfn.XMATCH("*Tăng trưởng lợi nhuận sau thuế (YoY) (Quý*",Sheet4!$1:$1,2)),"")</f>
        <v>0</v>
      </c>
      <c r="P378" s="10" cm="1">
        <f t="array" ref="P378">IFERROR(INDEX(Sheet4!$2:$1605,MATCH(ChiTietKQKD[[#This Row],[Mã CP]],Sheet4!$B$2:$B$1605,0),_xlfn.XMATCH("*Tăng trưởng lợi nhuận sau thuế (YoY) (6M)*",Sheet4!$1:$1,2)),"")</f>
        <v>0</v>
      </c>
      <c r="Q378" s="10" cm="1">
        <f t="array" ref="Q378">IFERROR(INDEX(Sheet4!$2:$1605,MATCH(ChiTietKQKD[[#This Row],[Mã CP]],Sheet4!$B$2:$B$1605,0),_xlfn.XMATCH("*Tăng trưởng doanh thu thuần (QoQ)*",Sheet4!$1:$1,2)),"")</f>
        <v>0</v>
      </c>
      <c r="R378" s="10" cm="1">
        <f t="array" ref="R378">IFERROR(INDEX(Sheet4!$2:$1605,MATCH(ChiTietKQKD[[#This Row],[Mã CP]],Sheet4!$B$2:$B$1605,0),_xlfn.XMATCH("*Tăng trưởng lợi nhuận sau thuế (QoQ)*",Sheet4!$1:$1,2)),"")</f>
        <v>0</v>
      </c>
    </row>
    <row r="379" spans="1:18" x14ac:dyDescent="0.25">
      <c r="A379" s="7">
        <f>Sheet4!A358</f>
        <v>357</v>
      </c>
      <c r="B379" t="str">
        <f>Sheet4!B358</f>
        <v>TIP</v>
      </c>
      <c r="C379" t="str">
        <f>Sheet4!C357</f>
        <v>XD Tiền Giang</v>
      </c>
      <c r="D379" t="str">
        <f>Sheet4!D358</f>
        <v>HOSE</v>
      </c>
      <c r="E379" s="7">
        <f>Sheet4!AH358/1000000000</f>
        <v>1098.6327833</v>
      </c>
      <c r="F379" t="str">
        <f>Sheet4!E358</f>
        <v>Tài chính</v>
      </c>
      <c r="G379" t="str">
        <f>Sheet4!F358</f>
        <v>Bất động sản</v>
      </c>
      <c r="H379" t="str">
        <f>Sheet4!G358</f>
        <v>Bất động sản</v>
      </c>
      <c r="I379" s="9" t="str" cm="1">
        <f t="array" ref="I37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79" s="9" t="str" cm="1">
        <f t="array" ref="J37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79" s="10" cm="1">
        <f t="array" ref="K37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79" s="10" cm="1">
        <f t="array" ref="L37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79" s="9" t="str" cm="1">
        <f t="array" ref="M37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79" s="9" t="str" cm="1">
        <f t="array" ref="N37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79" s="10" cm="1">
        <f t="array" ref="O379">IFERROR(INDEX(Sheet4!$2:$1605,MATCH(ChiTietKQKD[[#This Row],[Mã CP]],Sheet4!$B$2:$B$1605,0),_xlfn.XMATCH("*Tăng trưởng lợi nhuận sau thuế (YoY) (Quý*",Sheet4!$1:$1,2)),"")</f>
        <v>0</v>
      </c>
      <c r="P379" s="10" cm="1">
        <f t="array" ref="P379">IFERROR(INDEX(Sheet4!$2:$1605,MATCH(ChiTietKQKD[[#This Row],[Mã CP]],Sheet4!$B$2:$B$1605,0),_xlfn.XMATCH("*Tăng trưởng lợi nhuận sau thuế (YoY) (6M)*",Sheet4!$1:$1,2)),"")</f>
        <v>0</v>
      </c>
      <c r="Q379" s="10" cm="1">
        <f t="array" ref="Q379">IFERROR(INDEX(Sheet4!$2:$1605,MATCH(ChiTietKQKD[[#This Row],[Mã CP]],Sheet4!$B$2:$B$1605,0),_xlfn.XMATCH("*Tăng trưởng doanh thu thuần (QoQ)*",Sheet4!$1:$1,2)),"")</f>
        <v>0</v>
      </c>
      <c r="R379" s="10" cm="1">
        <f t="array" ref="R379">IFERROR(INDEX(Sheet4!$2:$1605,MATCH(ChiTietKQKD[[#This Row],[Mã CP]],Sheet4!$B$2:$B$1605,0),_xlfn.XMATCH("*Tăng trưởng lợi nhuận sau thuế (QoQ)*",Sheet4!$1:$1,2)),"")</f>
        <v>0</v>
      </c>
    </row>
    <row r="380" spans="1:18" x14ac:dyDescent="0.25">
      <c r="A380" s="7">
        <f>Sheet4!A359</f>
        <v>358</v>
      </c>
      <c r="B380" t="str">
        <f>Sheet4!B359</f>
        <v>TIX</v>
      </c>
      <c r="C380" t="str">
        <f>Sheet4!C358</f>
        <v>PT KCN Tín Nghĩa</v>
      </c>
      <c r="D380" t="str">
        <f>Sheet4!D359</f>
        <v>HOSE</v>
      </c>
      <c r="E380" s="7">
        <f>Sheet4!AH359/1000000000</f>
        <v>1200</v>
      </c>
      <c r="F380" t="str">
        <f>Sheet4!E359</f>
        <v>Tài chính</v>
      </c>
      <c r="G380" t="str">
        <f>Sheet4!F359</f>
        <v>Bất động sản</v>
      </c>
      <c r="H380" t="str">
        <f>Sheet4!G359</f>
        <v>Bất động sản</v>
      </c>
      <c r="I380" s="9" cm="1">
        <f t="array" ref="I38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59.179750546999998</v>
      </c>
      <c r="J380" s="9" t="str" cm="1">
        <f t="array" ref="J38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80" s="10" cm="1">
        <f t="array" ref="K38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-0.1948</v>
      </c>
      <c r="L380" s="10" cm="1">
        <f t="array" ref="L38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-7.7799999999999994E-2</v>
      </c>
      <c r="M380" s="9" cm="1">
        <f t="array" ref="M380">_xlfn.LET(_xlpm.val,IFERROR(INDEX(Sheet4!$2:$1605,MATCH(ChiTietKQKD[[#This Row],[Mã CP]],Sheet4!$B$2:$B$1605,0),_xlfn.XMATCH("*Lợi nhuận sau thuế*Q2*2026*",Sheet4!$1:$1,2)),0),IF(OR(_xlpm.val="",_xlpm.val=0),"",_xlpm.val/1000000000))</f>
        <v>30.687734086999999</v>
      </c>
      <c r="N380" s="9" t="str" cm="1">
        <f t="array" ref="N38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80" s="10" cm="1">
        <f t="array" ref="O380">IFERROR(INDEX(Sheet4!$2:$1605,MATCH(ChiTietKQKD[[#This Row],[Mã CP]],Sheet4!$B$2:$B$1605,0),_xlfn.XMATCH("*Tăng trưởng lợi nhuận sau thuế (YoY) (Quý*",Sheet4!$1:$1,2)),"")</f>
        <v>-0.2114</v>
      </c>
      <c r="P380" s="10" cm="1">
        <f t="array" ref="P380">IFERROR(INDEX(Sheet4!$2:$1605,MATCH(ChiTietKQKD[[#This Row],[Mã CP]],Sheet4!$B$2:$B$1605,0),_xlfn.XMATCH("*Tăng trưởng lợi nhuận sau thuế (YoY) (6M)*",Sheet4!$1:$1,2)),"")</f>
        <v>-2.64E-2</v>
      </c>
      <c r="Q380" s="10" cm="1">
        <f t="array" ref="Q380">IFERROR(INDEX(Sheet4!$2:$1605,MATCH(ChiTietKQKD[[#This Row],[Mã CP]],Sheet4!$B$2:$B$1605,0),_xlfn.XMATCH("*Tăng trưởng doanh thu thuần (QoQ)*",Sheet4!$1:$1,2)),"")</f>
        <v>-3.9399999999999998E-2</v>
      </c>
      <c r="R380" s="10" cm="1">
        <f t="array" ref="R380">IFERROR(INDEX(Sheet4!$2:$1605,MATCH(ChiTietKQKD[[#This Row],[Mã CP]],Sheet4!$B$2:$B$1605,0),_xlfn.XMATCH("*Tăng trưởng lợi nhuận sau thuế (QoQ)*",Sheet4!$1:$1,2)),"")</f>
        <v>-8.4900000000000003E-2</v>
      </c>
    </row>
    <row r="381" spans="1:18" x14ac:dyDescent="0.25">
      <c r="A381" s="7">
        <f>Sheet4!A360</f>
        <v>359</v>
      </c>
      <c r="B381" t="str">
        <f>Sheet4!B360</f>
        <v>TLD</v>
      </c>
      <c r="C381" t="str">
        <f>Sheet4!C359</f>
        <v>TANIMEX</v>
      </c>
      <c r="D381" t="str">
        <f>Sheet4!D360</f>
        <v>HOSE</v>
      </c>
      <c r="E381" s="7">
        <f>Sheet4!AH360/1000000000</f>
        <v>653.02739039999994</v>
      </c>
      <c r="F381" t="str">
        <f>Sheet4!E360</f>
        <v>Công nghiệp</v>
      </c>
      <c r="G381" t="str">
        <f>Sheet4!F360</f>
        <v>Xây dựng và Vật liệu</v>
      </c>
      <c r="H381" t="str">
        <f>Sheet4!G360</f>
        <v>Vật liệu xây dựng &amp; Nội thất</v>
      </c>
      <c r="I381" s="9" t="str" cm="1">
        <f t="array" ref="I38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81" s="9" t="str" cm="1">
        <f t="array" ref="J38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81" s="10" cm="1">
        <f t="array" ref="K38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81" s="10" cm="1">
        <f t="array" ref="L38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81" s="9" t="str" cm="1">
        <f t="array" ref="M38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81" s="9" t="str" cm="1">
        <f t="array" ref="N38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81" s="10" cm="1">
        <f t="array" ref="O381">IFERROR(INDEX(Sheet4!$2:$1605,MATCH(ChiTietKQKD[[#This Row],[Mã CP]],Sheet4!$B$2:$B$1605,0),_xlfn.XMATCH("*Tăng trưởng lợi nhuận sau thuế (YoY) (Quý*",Sheet4!$1:$1,2)),"")</f>
        <v>0</v>
      </c>
      <c r="P381" s="10" cm="1">
        <f t="array" ref="P381">IFERROR(INDEX(Sheet4!$2:$1605,MATCH(ChiTietKQKD[[#This Row],[Mã CP]],Sheet4!$B$2:$B$1605,0),_xlfn.XMATCH("*Tăng trưởng lợi nhuận sau thuế (YoY) (6M)*",Sheet4!$1:$1,2)),"")</f>
        <v>0</v>
      </c>
      <c r="Q381" s="10" cm="1">
        <f t="array" ref="Q381">IFERROR(INDEX(Sheet4!$2:$1605,MATCH(ChiTietKQKD[[#This Row],[Mã CP]],Sheet4!$B$2:$B$1605,0),_xlfn.XMATCH("*Tăng trưởng doanh thu thuần (QoQ)*",Sheet4!$1:$1,2)),"")</f>
        <v>0</v>
      </c>
      <c r="R381" s="10" cm="1">
        <f t="array" ref="R381">IFERROR(INDEX(Sheet4!$2:$1605,MATCH(ChiTietKQKD[[#This Row],[Mã CP]],Sheet4!$B$2:$B$1605,0),_xlfn.XMATCH("*Tăng trưởng lợi nhuận sau thuế (QoQ)*",Sheet4!$1:$1,2)),"")</f>
        <v>0</v>
      </c>
    </row>
    <row r="382" spans="1:18" x14ac:dyDescent="0.25">
      <c r="A382" s="7">
        <f>Sheet4!A361</f>
        <v>360</v>
      </c>
      <c r="B382" t="str">
        <f>Sheet4!B361</f>
        <v>TLG</v>
      </c>
      <c r="C382" t="str">
        <f>Sheet4!C360</f>
        <v>ĐT XD và PT Đô thị Thăng Long</v>
      </c>
      <c r="D382" t="str">
        <f>Sheet4!D361</f>
        <v>HOSE</v>
      </c>
      <c r="E382" s="7">
        <f>Sheet4!AH361/1000000000</f>
        <v>4425.8243890000003</v>
      </c>
      <c r="F382" t="str">
        <f>Sheet4!E361</f>
        <v>Hàng Tiêu dùng</v>
      </c>
      <c r="G382" t="str">
        <f>Sheet4!F361</f>
        <v>Hàng cá nhân &amp; Gia dụng</v>
      </c>
      <c r="H382" t="str">
        <f>Sheet4!G361</f>
        <v>Đồ gia dụng một lần</v>
      </c>
      <c r="I382" s="9" t="str" cm="1">
        <f t="array" ref="I38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82" s="9" t="str" cm="1">
        <f t="array" ref="J38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82" s="10" cm="1">
        <f t="array" ref="K38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82" s="10" cm="1">
        <f t="array" ref="L38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82" s="9" t="str" cm="1">
        <f t="array" ref="M38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82" s="9" t="str" cm="1">
        <f t="array" ref="N38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82" s="10" cm="1">
        <f t="array" ref="O382">IFERROR(INDEX(Sheet4!$2:$1605,MATCH(ChiTietKQKD[[#This Row],[Mã CP]],Sheet4!$B$2:$B$1605,0),_xlfn.XMATCH("*Tăng trưởng lợi nhuận sau thuế (YoY) (Quý*",Sheet4!$1:$1,2)),"")</f>
        <v>0</v>
      </c>
      <c r="P382" s="10" cm="1">
        <f t="array" ref="P382">IFERROR(INDEX(Sheet4!$2:$1605,MATCH(ChiTietKQKD[[#This Row],[Mã CP]],Sheet4!$B$2:$B$1605,0),_xlfn.XMATCH("*Tăng trưởng lợi nhuận sau thuế (YoY) (6M)*",Sheet4!$1:$1,2)),"")</f>
        <v>0</v>
      </c>
      <c r="Q382" s="10" cm="1">
        <f t="array" ref="Q382">IFERROR(INDEX(Sheet4!$2:$1605,MATCH(ChiTietKQKD[[#This Row],[Mã CP]],Sheet4!$B$2:$B$1605,0),_xlfn.XMATCH("*Tăng trưởng doanh thu thuần (QoQ)*",Sheet4!$1:$1,2)),"")</f>
        <v>0</v>
      </c>
      <c r="R382" s="10" cm="1">
        <f t="array" ref="R382">IFERROR(INDEX(Sheet4!$2:$1605,MATCH(ChiTietKQKD[[#This Row],[Mã CP]],Sheet4!$B$2:$B$1605,0),_xlfn.XMATCH("*Tăng trưởng lợi nhuận sau thuế (QoQ)*",Sheet4!$1:$1,2)),"")</f>
        <v>0</v>
      </c>
    </row>
    <row r="383" spans="1:18" x14ac:dyDescent="0.25">
      <c r="A383" s="7">
        <f>Sheet4!A362</f>
        <v>361</v>
      </c>
      <c r="B383" t="str">
        <f>Sheet4!B362</f>
        <v>TLH</v>
      </c>
      <c r="C383" t="str">
        <f>Sheet4!C361</f>
        <v>Tập đoàn Thiên Long</v>
      </c>
      <c r="D383" t="str">
        <f>Sheet4!D362</f>
        <v>HOSE</v>
      </c>
      <c r="E383" s="7">
        <f>Sheet4!AH362/1000000000</f>
        <v>447.03366765999999</v>
      </c>
      <c r="F383" t="str">
        <f>Sheet4!E362</f>
        <v>Nguyên vật liệu</v>
      </c>
      <c r="G383" t="str">
        <f>Sheet4!F362</f>
        <v>Tài nguyên Cơ bản</v>
      </c>
      <c r="H383" t="str">
        <f>Sheet4!G362</f>
        <v>Thép và sản phẩm thép</v>
      </c>
      <c r="I383" s="9" t="str" cm="1">
        <f t="array" ref="I38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83" s="9" t="str" cm="1">
        <f t="array" ref="J38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83" s="10" cm="1">
        <f t="array" ref="K38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83" s="10" cm="1">
        <f t="array" ref="L38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83" s="9" t="str" cm="1">
        <f t="array" ref="M38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83" s="9" t="str" cm="1">
        <f t="array" ref="N38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83" s="10" cm="1">
        <f t="array" ref="O383">IFERROR(INDEX(Sheet4!$2:$1605,MATCH(ChiTietKQKD[[#This Row],[Mã CP]],Sheet4!$B$2:$B$1605,0),_xlfn.XMATCH("*Tăng trưởng lợi nhuận sau thuế (YoY) (Quý*",Sheet4!$1:$1,2)),"")</f>
        <v>0</v>
      </c>
      <c r="P383" s="10" cm="1">
        <f t="array" ref="P383">IFERROR(INDEX(Sheet4!$2:$1605,MATCH(ChiTietKQKD[[#This Row],[Mã CP]],Sheet4!$B$2:$B$1605,0),_xlfn.XMATCH("*Tăng trưởng lợi nhuận sau thuế (YoY) (6M)*",Sheet4!$1:$1,2)),"")</f>
        <v>0</v>
      </c>
      <c r="Q383" s="10" cm="1">
        <f t="array" ref="Q383">IFERROR(INDEX(Sheet4!$2:$1605,MATCH(ChiTietKQKD[[#This Row],[Mã CP]],Sheet4!$B$2:$B$1605,0),_xlfn.XMATCH("*Tăng trưởng doanh thu thuần (QoQ)*",Sheet4!$1:$1,2)),"")</f>
        <v>0</v>
      </c>
      <c r="R383" s="10" cm="1">
        <f t="array" ref="R383">IFERROR(INDEX(Sheet4!$2:$1605,MATCH(ChiTietKQKD[[#This Row],[Mã CP]],Sheet4!$B$2:$B$1605,0),_xlfn.XMATCH("*Tăng trưởng lợi nhuận sau thuế (QoQ)*",Sheet4!$1:$1,2)),"")</f>
        <v>0</v>
      </c>
    </row>
    <row r="384" spans="1:18" x14ac:dyDescent="0.25">
      <c r="A384" s="7">
        <f>Sheet4!A363</f>
        <v>362</v>
      </c>
      <c r="B384" t="str">
        <f>Sheet4!B363</f>
        <v>TMP</v>
      </c>
      <c r="C384" t="str">
        <f>Sheet4!C362</f>
        <v>Thép Tiến Lên</v>
      </c>
      <c r="D384" t="str">
        <f>Sheet4!D363</f>
        <v>HOSE</v>
      </c>
      <c r="E384" s="7">
        <f>Sheet4!AH363/1000000000</f>
        <v>3185</v>
      </c>
      <c r="F384" t="str">
        <f>Sheet4!E363</f>
        <v>Tiện ích Cộng đồng</v>
      </c>
      <c r="G384" t="str">
        <f>Sheet4!F363</f>
        <v>Điện, nước &amp; xăng dầu khí đốt</v>
      </c>
      <c r="H384" t="str">
        <f>Sheet4!G363</f>
        <v>Sản xuất &amp; Phân phối Điện</v>
      </c>
      <c r="I384" s="9" t="str" cm="1">
        <f t="array" ref="I38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84" s="9" t="str" cm="1">
        <f t="array" ref="J38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84" s="10" cm="1">
        <f t="array" ref="K38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84" s="10" cm="1">
        <f t="array" ref="L38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84" s="9" t="str" cm="1">
        <f t="array" ref="M38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84" s="9" t="str" cm="1">
        <f t="array" ref="N38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84" s="10" cm="1">
        <f t="array" ref="O384">IFERROR(INDEX(Sheet4!$2:$1605,MATCH(ChiTietKQKD[[#This Row],[Mã CP]],Sheet4!$B$2:$B$1605,0),_xlfn.XMATCH("*Tăng trưởng lợi nhuận sau thuế (YoY) (Quý*",Sheet4!$1:$1,2)),"")</f>
        <v>0</v>
      </c>
      <c r="P384" s="10" cm="1">
        <f t="array" ref="P384">IFERROR(INDEX(Sheet4!$2:$1605,MATCH(ChiTietKQKD[[#This Row],[Mã CP]],Sheet4!$B$2:$B$1605,0),_xlfn.XMATCH("*Tăng trưởng lợi nhuận sau thuế (YoY) (6M)*",Sheet4!$1:$1,2)),"")</f>
        <v>0</v>
      </c>
      <c r="Q384" s="10" cm="1">
        <f t="array" ref="Q384">IFERROR(INDEX(Sheet4!$2:$1605,MATCH(ChiTietKQKD[[#This Row],[Mã CP]],Sheet4!$B$2:$B$1605,0),_xlfn.XMATCH("*Tăng trưởng doanh thu thuần (QoQ)*",Sheet4!$1:$1,2)),"")</f>
        <v>0</v>
      </c>
      <c r="R384" s="10" cm="1">
        <f t="array" ref="R384">IFERROR(INDEX(Sheet4!$2:$1605,MATCH(ChiTietKQKD[[#This Row],[Mã CP]],Sheet4!$B$2:$B$1605,0),_xlfn.XMATCH("*Tăng trưởng lợi nhuận sau thuế (QoQ)*",Sheet4!$1:$1,2)),"")</f>
        <v>0</v>
      </c>
    </row>
    <row r="385" spans="1:18" x14ac:dyDescent="0.25">
      <c r="A385" s="7">
        <f>Sheet4!A364</f>
        <v>363</v>
      </c>
      <c r="B385" t="str">
        <f>Sheet4!B364</f>
        <v>TMS</v>
      </c>
      <c r="C385" t="str">
        <f>Sheet4!C363</f>
        <v>Thủy điện Thác Mơ</v>
      </c>
      <c r="D385" t="str">
        <f>Sheet4!D364</f>
        <v>HOSE</v>
      </c>
      <c r="E385" s="7">
        <f>Sheet4!AH364/1000000000</f>
        <v>6304.373732</v>
      </c>
      <c r="F385" t="str">
        <f>Sheet4!E364</f>
        <v>Công nghiệp</v>
      </c>
      <c r="G385" t="str">
        <f>Sheet4!F364</f>
        <v>Hàng &amp; Dịch vụ Công nghiệp</v>
      </c>
      <c r="H385" t="str">
        <f>Sheet4!G364</f>
        <v>Kho bãi, hậu cần và bảo dưỡng</v>
      </c>
      <c r="I385" s="9" t="str" cm="1">
        <f t="array" ref="I38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85" s="9" t="str" cm="1">
        <f t="array" ref="J38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85" s="10" cm="1">
        <f t="array" ref="K38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85" s="10" cm="1">
        <f t="array" ref="L38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85" s="9" t="str" cm="1">
        <f t="array" ref="M38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85" s="9" t="str" cm="1">
        <f t="array" ref="N38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85" s="10" cm="1">
        <f t="array" ref="O385">IFERROR(INDEX(Sheet4!$2:$1605,MATCH(ChiTietKQKD[[#This Row],[Mã CP]],Sheet4!$B$2:$B$1605,0),_xlfn.XMATCH("*Tăng trưởng lợi nhuận sau thuế (YoY) (Quý*",Sheet4!$1:$1,2)),"")</f>
        <v>0</v>
      </c>
      <c r="P385" s="10" cm="1">
        <f t="array" ref="P385">IFERROR(INDEX(Sheet4!$2:$1605,MATCH(ChiTietKQKD[[#This Row],[Mã CP]],Sheet4!$B$2:$B$1605,0),_xlfn.XMATCH("*Tăng trưởng lợi nhuận sau thuế (YoY) (6M)*",Sheet4!$1:$1,2)),"")</f>
        <v>0</v>
      </c>
      <c r="Q385" s="10" cm="1">
        <f t="array" ref="Q385">IFERROR(INDEX(Sheet4!$2:$1605,MATCH(ChiTietKQKD[[#This Row],[Mã CP]],Sheet4!$B$2:$B$1605,0),_xlfn.XMATCH("*Tăng trưởng doanh thu thuần (QoQ)*",Sheet4!$1:$1,2)),"")</f>
        <v>0</v>
      </c>
      <c r="R385" s="10" cm="1">
        <f t="array" ref="R385">IFERROR(INDEX(Sheet4!$2:$1605,MATCH(ChiTietKQKD[[#This Row],[Mã CP]],Sheet4!$B$2:$B$1605,0),_xlfn.XMATCH("*Tăng trưởng lợi nhuận sau thuế (QoQ)*",Sheet4!$1:$1,2)),"")</f>
        <v>0</v>
      </c>
    </row>
    <row r="386" spans="1:18" x14ac:dyDescent="0.25">
      <c r="A386" s="7">
        <f>Sheet4!A365</f>
        <v>364</v>
      </c>
      <c r="B386" t="str">
        <f>Sheet4!B365</f>
        <v>TMT</v>
      </c>
      <c r="C386" t="str">
        <f>Sheet4!C364</f>
        <v>Transimex</v>
      </c>
      <c r="D386" t="str">
        <f>Sheet4!D365</f>
        <v>HOSE</v>
      </c>
      <c r="E386" s="7">
        <f>Sheet4!AH365/1000000000</f>
        <v>418.56507299999998</v>
      </c>
      <c r="F386" t="str">
        <f>Sheet4!E365</f>
        <v>Hàng Tiêu dùng</v>
      </c>
      <c r="G386" t="str">
        <f>Sheet4!F365</f>
        <v>Ô tô và phụ tùng</v>
      </c>
      <c r="H386" t="str">
        <f>Sheet4!G365</f>
        <v>Sản xuất ô tô</v>
      </c>
      <c r="I386" s="9" t="str" cm="1">
        <f t="array" ref="I38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86" s="9" t="str" cm="1">
        <f t="array" ref="J38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86" s="10" cm="1">
        <f t="array" ref="K38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86" s="10" cm="1">
        <f t="array" ref="L38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86" s="9" t="str" cm="1">
        <f t="array" ref="M38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86" s="9" t="str" cm="1">
        <f t="array" ref="N38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86" s="10" cm="1">
        <f t="array" ref="O386">IFERROR(INDEX(Sheet4!$2:$1605,MATCH(ChiTietKQKD[[#This Row],[Mã CP]],Sheet4!$B$2:$B$1605,0),_xlfn.XMATCH("*Tăng trưởng lợi nhuận sau thuế (YoY) (Quý*",Sheet4!$1:$1,2)),"")</f>
        <v>0</v>
      </c>
      <c r="P386" s="10" cm="1">
        <f t="array" ref="P386">IFERROR(INDEX(Sheet4!$2:$1605,MATCH(ChiTietKQKD[[#This Row],[Mã CP]],Sheet4!$B$2:$B$1605,0),_xlfn.XMATCH("*Tăng trưởng lợi nhuận sau thuế (YoY) (6M)*",Sheet4!$1:$1,2)),"")</f>
        <v>0</v>
      </c>
      <c r="Q386" s="10" cm="1">
        <f t="array" ref="Q386">IFERROR(INDEX(Sheet4!$2:$1605,MATCH(ChiTietKQKD[[#This Row],[Mã CP]],Sheet4!$B$2:$B$1605,0),_xlfn.XMATCH("*Tăng trưởng doanh thu thuần (QoQ)*",Sheet4!$1:$1,2)),"")</f>
        <v>0</v>
      </c>
      <c r="R386" s="10" cm="1">
        <f t="array" ref="R386">IFERROR(INDEX(Sheet4!$2:$1605,MATCH(ChiTietKQKD[[#This Row],[Mã CP]],Sheet4!$B$2:$B$1605,0),_xlfn.XMATCH("*Tăng trưởng lợi nhuận sau thuế (QoQ)*",Sheet4!$1:$1,2)),"")</f>
        <v>0</v>
      </c>
    </row>
    <row r="387" spans="1:18" x14ac:dyDescent="0.25">
      <c r="A387" s="7">
        <f>Sheet4!A366</f>
        <v>365</v>
      </c>
      <c r="B387" t="str">
        <f>Sheet4!B366</f>
        <v>TN1</v>
      </c>
      <c r="C387" t="str">
        <f>Sheet4!C365</f>
        <v>Ô tô TMT</v>
      </c>
      <c r="D387" t="str">
        <f>Sheet4!D366</f>
        <v>HOSE</v>
      </c>
      <c r="E387" s="7">
        <f>Sheet4!AH366/1000000000</f>
        <v>835.32717200000002</v>
      </c>
      <c r="F387" t="str">
        <f>Sheet4!E366</f>
        <v>Tài chính</v>
      </c>
      <c r="G387" t="str">
        <f>Sheet4!F366</f>
        <v>Bất động sản</v>
      </c>
      <c r="H387" t="str">
        <f>Sheet4!G366</f>
        <v>Bất động sản</v>
      </c>
      <c r="I387" s="9" t="str" cm="1">
        <f t="array" ref="I38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87" s="9" t="str" cm="1">
        <f t="array" ref="J38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87" s="10" cm="1">
        <f t="array" ref="K38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87" s="10" cm="1">
        <f t="array" ref="L38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87" s="9" t="str" cm="1">
        <f t="array" ref="M38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87" s="9" t="str" cm="1">
        <f t="array" ref="N38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87" s="10" cm="1">
        <f t="array" ref="O387">IFERROR(INDEX(Sheet4!$2:$1605,MATCH(ChiTietKQKD[[#This Row],[Mã CP]],Sheet4!$B$2:$B$1605,0),_xlfn.XMATCH("*Tăng trưởng lợi nhuận sau thuế (YoY) (Quý*",Sheet4!$1:$1,2)),"")</f>
        <v>0</v>
      </c>
      <c r="P387" s="10" cm="1">
        <f t="array" ref="P387">IFERROR(INDEX(Sheet4!$2:$1605,MATCH(ChiTietKQKD[[#This Row],[Mã CP]],Sheet4!$B$2:$B$1605,0),_xlfn.XMATCH("*Tăng trưởng lợi nhuận sau thuế (YoY) (6M)*",Sheet4!$1:$1,2)),"")</f>
        <v>0</v>
      </c>
      <c r="Q387" s="10" cm="1">
        <f t="array" ref="Q387">IFERROR(INDEX(Sheet4!$2:$1605,MATCH(ChiTietKQKD[[#This Row],[Mã CP]],Sheet4!$B$2:$B$1605,0),_xlfn.XMATCH("*Tăng trưởng doanh thu thuần (QoQ)*",Sheet4!$1:$1,2)),"")</f>
        <v>0</v>
      </c>
      <c r="R387" s="10" cm="1">
        <f t="array" ref="R387">IFERROR(INDEX(Sheet4!$2:$1605,MATCH(ChiTietKQKD[[#This Row],[Mã CP]],Sheet4!$B$2:$B$1605,0),_xlfn.XMATCH("*Tăng trưởng lợi nhuận sau thuế (QoQ)*",Sheet4!$1:$1,2)),"")</f>
        <v>0</v>
      </c>
    </row>
    <row r="388" spans="1:18" x14ac:dyDescent="0.25">
      <c r="A388" s="7">
        <f>Sheet4!A367</f>
        <v>366</v>
      </c>
      <c r="B388" t="str">
        <f>Sheet4!B367</f>
        <v>TNC</v>
      </c>
      <c r="C388" t="str">
        <f>Sheet4!C366</f>
        <v>Rox Key Holdings</v>
      </c>
      <c r="D388" t="str">
        <f>Sheet4!D367</f>
        <v>HOSE</v>
      </c>
      <c r="E388" s="7">
        <f>Sheet4!AH367/1000000000</f>
        <v>613.11249999999995</v>
      </c>
      <c r="F388" t="str">
        <f>Sheet4!E367</f>
        <v>Nguyên vật liệu</v>
      </c>
      <c r="G388" t="str">
        <f>Sheet4!F367</f>
        <v>Hóa chất</v>
      </c>
      <c r="H388" t="str">
        <f>Sheet4!G367</f>
        <v>Nhựa, cao su &amp; sợi</v>
      </c>
      <c r="I388" s="9" cm="1">
        <f t="array" ref="I38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51.556861294000001</v>
      </c>
      <c r="J388" s="9" cm="1">
        <f t="array" ref="J38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90.483013579000001</v>
      </c>
      <c r="K388" s="10" cm="1">
        <f t="array" ref="K38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1.1422000000000001</v>
      </c>
      <c r="L388" s="10" cm="1">
        <f t="array" ref="L38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0.57599999999999996</v>
      </c>
      <c r="M388" s="9" cm="1">
        <f t="array" ref="M388">_xlfn.LET(_xlpm.val,IFERROR(INDEX(Sheet4!$2:$1605,MATCH(ChiTietKQKD[[#This Row],[Mã CP]],Sheet4!$B$2:$B$1605,0),_xlfn.XMATCH("*Lợi nhuận sau thuế*Q2*2026*",Sheet4!$1:$1,2)),0),IF(OR(_xlpm.val="",_xlpm.val=0),"",_xlpm.val/1000000000))</f>
        <v>30.00712438</v>
      </c>
      <c r="N388" s="9" cm="1">
        <f t="array" ref="N388">_xlfn.LET(_xlpm.val,IFERROR(INDEX(Sheet4!$2:$1605,MATCH(ChiTietKQKD[[#This Row],[Mã CP]],Sheet4!$B$2:$B$1605,0),_xlfn.XMATCH("*Lợi nhuận sau thuế*6 tháng*2026*",Sheet4!$1:$1,2)),0),IF(OR(_xlpm.val="",_xlpm.val=0),"",_xlpm.val/1000000000))</f>
        <v>41.618274532000001</v>
      </c>
      <c r="O388" s="10" cm="1">
        <f t="array" ref="O388">IFERROR(INDEX(Sheet4!$2:$1605,MATCH(ChiTietKQKD[[#This Row],[Mã CP]],Sheet4!$B$2:$B$1605,0),_xlfn.XMATCH("*Tăng trưởng lợi nhuận sau thuế (YoY) (Quý*",Sheet4!$1:$1,2)),"")</f>
        <v>-7.2300000000000003E-2</v>
      </c>
      <c r="P388" s="10" cm="1">
        <f t="array" ref="P388">IFERROR(INDEX(Sheet4!$2:$1605,MATCH(ChiTietKQKD[[#This Row],[Mã CP]],Sheet4!$B$2:$B$1605,0),_xlfn.XMATCH("*Tăng trưởng lợi nhuận sau thuế (YoY) (6M)*",Sheet4!$1:$1,2)),"")</f>
        <v>5.8099999999999999E-2</v>
      </c>
      <c r="Q388" s="10" cm="1">
        <f t="array" ref="Q388">IFERROR(INDEX(Sheet4!$2:$1605,MATCH(ChiTietKQKD[[#This Row],[Mã CP]],Sheet4!$B$2:$B$1605,0),_xlfn.XMATCH("*Tăng trưởng doanh thu thuần (QoQ)*",Sheet4!$1:$1,2)),"")</f>
        <v>0.32450000000000001</v>
      </c>
      <c r="R388" s="10" cm="1">
        <f t="array" ref="R388">IFERROR(INDEX(Sheet4!$2:$1605,MATCH(ChiTietKQKD[[#This Row],[Mã CP]],Sheet4!$B$2:$B$1605,0),_xlfn.XMATCH("*Tăng trưởng lợi nhuận sau thuế (QoQ)*",Sheet4!$1:$1,2)),"")</f>
        <v>1.5843</v>
      </c>
    </row>
    <row r="389" spans="1:18" x14ac:dyDescent="0.25">
      <c r="A389" s="7">
        <f>Sheet4!A368</f>
        <v>367</v>
      </c>
      <c r="B389" t="str">
        <f>Sheet4!B368</f>
        <v>TNH</v>
      </c>
      <c r="C389" t="str">
        <f>Sheet4!C367</f>
        <v>Cao su Thống Nhất</v>
      </c>
      <c r="D389" t="str">
        <f>Sheet4!D368</f>
        <v>HOSE</v>
      </c>
      <c r="E389" s="7">
        <f>Sheet4!AH368/1000000000</f>
        <v>1352.33185488</v>
      </c>
      <c r="F389" t="str">
        <f>Sheet4!E368</f>
        <v>Dược phẩm và Y tế</v>
      </c>
      <c r="G389" t="str">
        <f>Sheet4!F368</f>
        <v>Y tế</v>
      </c>
      <c r="H389" t="str">
        <f>Sheet4!G368</f>
        <v>Chăm sóc y tế</v>
      </c>
      <c r="I389" s="9" t="str" cm="1">
        <f t="array" ref="I38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89" s="9" t="str" cm="1">
        <f t="array" ref="J38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89" s="10" cm="1">
        <f t="array" ref="K38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89" s="10" cm="1">
        <f t="array" ref="L38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89" s="9" t="str" cm="1">
        <f t="array" ref="M38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89" s="9" t="str" cm="1">
        <f t="array" ref="N38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89" s="10" cm="1">
        <f t="array" ref="O389">IFERROR(INDEX(Sheet4!$2:$1605,MATCH(ChiTietKQKD[[#This Row],[Mã CP]],Sheet4!$B$2:$B$1605,0),_xlfn.XMATCH("*Tăng trưởng lợi nhuận sau thuế (YoY) (Quý*",Sheet4!$1:$1,2)),"")</f>
        <v>0</v>
      </c>
      <c r="P389" s="10" cm="1">
        <f t="array" ref="P389">IFERROR(INDEX(Sheet4!$2:$1605,MATCH(ChiTietKQKD[[#This Row],[Mã CP]],Sheet4!$B$2:$B$1605,0),_xlfn.XMATCH("*Tăng trưởng lợi nhuận sau thuế (YoY) (6M)*",Sheet4!$1:$1,2)),"")</f>
        <v>0</v>
      </c>
      <c r="Q389" s="10" cm="1">
        <f t="array" ref="Q389">IFERROR(INDEX(Sheet4!$2:$1605,MATCH(ChiTietKQKD[[#This Row],[Mã CP]],Sheet4!$B$2:$B$1605,0),_xlfn.XMATCH("*Tăng trưởng doanh thu thuần (QoQ)*",Sheet4!$1:$1,2)),"")</f>
        <v>0</v>
      </c>
      <c r="R389" s="10" cm="1">
        <f t="array" ref="R389">IFERROR(INDEX(Sheet4!$2:$1605,MATCH(ChiTietKQKD[[#This Row],[Mã CP]],Sheet4!$B$2:$B$1605,0),_xlfn.XMATCH("*Tăng trưởng lợi nhuận sau thuế (QoQ)*",Sheet4!$1:$1,2)),"")</f>
        <v>0</v>
      </c>
    </row>
    <row r="390" spans="1:18" x14ac:dyDescent="0.25">
      <c r="A390" s="7">
        <f>Sheet4!A369</f>
        <v>368</v>
      </c>
      <c r="B390" t="str">
        <f>Sheet4!B369</f>
        <v>TNI</v>
      </c>
      <c r="C390" t="str">
        <f>Sheet4!C368</f>
        <v>Tập đoàn Bệnh viện TNH</v>
      </c>
      <c r="D390" t="str">
        <f>Sheet4!D369</f>
        <v>HOSE</v>
      </c>
      <c r="E390" s="7">
        <f>Sheet4!AH369/1000000000</f>
        <v>358.05</v>
      </c>
      <c r="F390" t="str">
        <f>Sheet4!E369</f>
        <v>Nguyên vật liệu</v>
      </c>
      <c r="G390" t="str">
        <f>Sheet4!F369</f>
        <v>Tài nguyên Cơ bản</v>
      </c>
      <c r="H390" t="str">
        <f>Sheet4!G369</f>
        <v>Thép và sản phẩm thép</v>
      </c>
      <c r="I390" s="9" t="str" cm="1">
        <f t="array" ref="I39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90" s="9" t="str" cm="1">
        <f t="array" ref="J39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90" s="10" cm="1">
        <f t="array" ref="K39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90" s="10" cm="1">
        <f t="array" ref="L39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90" s="9" t="str" cm="1">
        <f t="array" ref="M39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90" s="9" t="str" cm="1">
        <f t="array" ref="N39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90" s="10" cm="1">
        <f t="array" ref="O390">IFERROR(INDEX(Sheet4!$2:$1605,MATCH(ChiTietKQKD[[#This Row],[Mã CP]],Sheet4!$B$2:$B$1605,0),_xlfn.XMATCH("*Tăng trưởng lợi nhuận sau thuế (YoY) (Quý*",Sheet4!$1:$1,2)),"")</f>
        <v>0</v>
      </c>
      <c r="P390" s="10" cm="1">
        <f t="array" ref="P390">IFERROR(INDEX(Sheet4!$2:$1605,MATCH(ChiTietKQKD[[#This Row],[Mã CP]],Sheet4!$B$2:$B$1605,0),_xlfn.XMATCH("*Tăng trưởng lợi nhuận sau thuế (YoY) (6M)*",Sheet4!$1:$1,2)),"")</f>
        <v>0</v>
      </c>
      <c r="Q390" s="10" cm="1">
        <f t="array" ref="Q390">IFERROR(INDEX(Sheet4!$2:$1605,MATCH(ChiTietKQKD[[#This Row],[Mã CP]],Sheet4!$B$2:$B$1605,0),_xlfn.XMATCH("*Tăng trưởng doanh thu thuần (QoQ)*",Sheet4!$1:$1,2)),"")</f>
        <v>0</v>
      </c>
      <c r="R390" s="10" cm="1">
        <f t="array" ref="R390">IFERROR(INDEX(Sheet4!$2:$1605,MATCH(ChiTietKQKD[[#This Row],[Mã CP]],Sheet4!$B$2:$B$1605,0),_xlfn.XMATCH("*Tăng trưởng lợi nhuận sau thuế (QoQ)*",Sheet4!$1:$1,2)),"")</f>
        <v>0</v>
      </c>
    </row>
    <row r="391" spans="1:18" x14ac:dyDescent="0.25">
      <c r="A391" s="7">
        <f>Sheet4!A370</f>
        <v>369</v>
      </c>
      <c r="B391" t="str">
        <f>Sheet4!B370</f>
        <v>TNT</v>
      </c>
      <c r="C391" t="str">
        <f>Sheet4!C369</f>
        <v>Tập đoàn Thành Nam</v>
      </c>
      <c r="D391" t="str">
        <f>Sheet4!D370</f>
        <v>HOSE</v>
      </c>
      <c r="E391" s="7">
        <f>Sheet4!AH370/1000000000</f>
        <v>470.22</v>
      </c>
      <c r="F391" t="str">
        <f>Sheet4!E370</f>
        <v>Công nghiệp</v>
      </c>
      <c r="G391" t="str">
        <f>Sheet4!F370</f>
        <v>Xây dựng và Vật liệu</v>
      </c>
      <c r="H391" t="str">
        <f>Sheet4!G370</f>
        <v>Vật liệu xây dựng &amp; Nội thất</v>
      </c>
      <c r="I391" s="9" t="str" cm="1">
        <f t="array" ref="I39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91" s="9" t="str" cm="1">
        <f t="array" ref="J39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91" s="10" cm="1">
        <f t="array" ref="K39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91" s="10" cm="1">
        <f t="array" ref="L39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91" s="9" t="str" cm="1">
        <f t="array" ref="M39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91" s="9" t="str" cm="1">
        <f t="array" ref="N39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91" s="10" cm="1">
        <f t="array" ref="O391">IFERROR(INDEX(Sheet4!$2:$1605,MATCH(ChiTietKQKD[[#This Row],[Mã CP]],Sheet4!$B$2:$B$1605,0),_xlfn.XMATCH("*Tăng trưởng lợi nhuận sau thuế (YoY) (Quý*",Sheet4!$1:$1,2)),"")</f>
        <v>0</v>
      </c>
      <c r="P391" s="10" cm="1">
        <f t="array" ref="P391">IFERROR(INDEX(Sheet4!$2:$1605,MATCH(ChiTietKQKD[[#This Row],[Mã CP]],Sheet4!$B$2:$B$1605,0),_xlfn.XMATCH("*Tăng trưởng lợi nhuận sau thuế (YoY) (6M)*",Sheet4!$1:$1,2)),"")</f>
        <v>0</v>
      </c>
      <c r="Q391" s="10" cm="1">
        <f t="array" ref="Q391">IFERROR(INDEX(Sheet4!$2:$1605,MATCH(ChiTietKQKD[[#This Row],[Mã CP]],Sheet4!$B$2:$B$1605,0),_xlfn.XMATCH("*Tăng trưởng doanh thu thuần (QoQ)*",Sheet4!$1:$1,2)),"")</f>
        <v>0</v>
      </c>
      <c r="R391" s="10" cm="1">
        <f t="array" ref="R391">IFERROR(INDEX(Sheet4!$2:$1605,MATCH(ChiTietKQKD[[#This Row],[Mã CP]],Sheet4!$B$2:$B$1605,0),_xlfn.XMATCH("*Tăng trưởng lợi nhuận sau thuế (QoQ)*",Sheet4!$1:$1,2)),"")</f>
        <v>0</v>
      </c>
    </row>
    <row r="392" spans="1:18" x14ac:dyDescent="0.25">
      <c r="A392" s="7">
        <f>Sheet4!A371</f>
        <v>370</v>
      </c>
      <c r="B392" t="str">
        <f>Sheet4!B371</f>
        <v>TPB</v>
      </c>
      <c r="C392" t="str">
        <f>Sheet4!C370</f>
        <v>Tập đoàn TNT</v>
      </c>
      <c r="D392" t="str">
        <f>Sheet4!D371</f>
        <v>HOSE</v>
      </c>
      <c r="E392" s="7">
        <f>Sheet4!AH371/1000000000</f>
        <v>39114.060909300002</v>
      </c>
      <c r="F392" t="str">
        <f>Sheet4!E371</f>
        <v>Ngân hàng</v>
      </c>
      <c r="G392" t="str">
        <f>Sheet4!F371</f>
        <v>Ngân hàng</v>
      </c>
      <c r="H392" t="str">
        <f>Sheet4!G371</f>
        <v>Ngân hàng</v>
      </c>
      <c r="I392" s="9" t="str" cm="1">
        <f t="array" ref="I39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92" s="9" t="str" cm="1">
        <f t="array" ref="J39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92" s="10" t="str" cm="1">
        <f t="array" ref="K39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392" s="10" t="str" cm="1">
        <f t="array" ref="L39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392" s="9" t="str" cm="1">
        <f t="array" ref="M39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92" s="9" t="str" cm="1">
        <f t="array" ref="N39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92" s="10" cm="1">
        <f t="array" ref="O392">IFERROR(INDEX(Sheet4!$2:$1605,MATCH(ChiTietKQKD[[#This Row],[Mã CP]],Sheet4!$B$2:$B$1605,0),_xlfn.XMATCH("*Tăng trưởng lợi nhuận sau thuế (YoY) (Quý*",Sheet4!$1:$1,2)),"")</f>
        <v>0</v>
      </c>
      <c r="P392" s="10" cm="1">
        <f t="array" ref="P392">IFERROR(INDEX(Sheet4!$2:$1605,MATCH(ChiTietKQKD[[#This Row],[Mã CP]],Sheet4!$B$2:$B$1605,0),_xlfn.XMATCH("*Tăng trưởng lợi nhuận sau thuế (YoY) (6M)*",Sheet4!$1:$1,2)),"")</f>
        <v>0</v>
      </c>
      <c r="Q392" s="10" cm="1">
        <f t="array" ref="Q392">IFERROR(INDEX(Sheet4!$2:$1605,MATCH(ChiTietKQKD[[#This Row],[Mã CP]],Sheet4!$B$2:$B$1605,0),_xlfn.XMATCH("*Tăng trưởng doanh thu thuần (QoQ)*",Sheet4!$1:$1,2)),"")</f>
        <v>0</v>
      </c>
      <c r="R392" s="10" cm="1">
        <f t="array" ref="R392">IFERROR(INDEX(Sheet4!$2:$1605,MATCH(ChiTietKQKD[[#This Row],[Mã CP]],Sheet4!$B$2:$B$1605,0),_xlfn.XMATCH("*Tăng trưởng lợi nhuận sau thuế (QoQ)*",Sheet4!$1:$1,2)),"")</f>
        <v>0</v>
      </c>
    </row>
    <row r="393" spans="1:18" x14ac:dyDescent="0.25">
      <c r="A393" s="7">
        <f>Sheet4!A372</f>
        <v>371</v>
      </c>
      <c r="B393" t="str">
        <f>Sheet4!B372</f>
        <v>TPC</v>
      </c>
      <c r="C393" t="str">
        <f>Sheet4!C371</f>
        <v>TPBank</v>
      </c>
      <c r="D393" t="str">
        <f>Sheet4!D372</f>
        <v>HOSE</v>
      </c>
      <c r="E393" s="7">
        <f>Sheet4!AH372/1000000000</f>
        <v>161.4427776</v>
      </c>
      <c r="F393" t="str">
        <f>Sheet4!E372</f>
        <v>Nguyên vật liệu</v>
      </c>
      <c r="G393" t="str">
        <f>Sheet4!F372</f>
        <v>Hóa chất</v>
      </c>
      <c r="H393" t="str">
        <f>Sheet4!G372</f>
        <v>Nhựa, cao su &amp; sợi</v>
      </c>
      <c r="I393" s="9" cm="1">
        <f t="array" ref="I39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134.04116353500001</v>
      </c>
      <c r="J393" s="9" cm="1">
        <f t="array" ref="J39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244.15651768000001</v>
      </c>
      <c r="K393" s="10" cm="1">
        <f t="array" ref="K39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0.1132</v>
      </c>
      <c r="L393" s="10" cm="1">
        <f t="array" ref="L39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93" s="9" cm="1">
        <f t="array" ref="M393">_xlfn.LET(_xlpm.val,IFERROR(INDEX(Sheet4!$2:$1605,MATCH(ChiTietKQKD[[#This Row],[Mã CP]],Sheet4!$B$2:$B$1605,0),_xlfn.XMATCH("*Lợi nhuận sau thuế*Q2*2026*",Sheet4!$1:$1,2)),0),IF(OR(_xlpm.val="",_xlpm.val=0),"",_xlpm.val/1000000000))</f>
        <v>9.6549722490000001</v>
      </c>
      <c r="N393" s="9" cm="1">
        <f t="array" ref="N393">_xlfn.LET(_xlpm.val,IFERROR(INDEX(Sheet4!$2:$1605,MATCH(ChiTietKQKD[[#This Row],[Mã CP]],Sheet4!$B$2:$B$1605,0),_xlfn.XMATCH("*Lợi nhuận sau thuế*6 tháng*2026*",Sheet4!$1:$1,2)),0),IF(OR(_xlpm.val="",_xlpm.val=0),"",_xlpm.val/1000000000))</f>
        <v>11.565962055</v>
      </c>
      <c r="O393" s="10" cm="1">
        <f t="array" ref="O393">IFERROR(INDEX(Sheet4!$2:$1605,MATCH(ChiTietKQKD[[#This Row],[Mã CP]],Sheet4!$B$2:$B$1605,0),_xlfn.XMATCH("*Tăng trưởng lợi nhuận sau thuế (YoY) (Quý*",Sheet4!$1:$1,2)),"")</f>
        <v>3.7029000000000001</v>
      </c>
      <c r="P393" s="10" cm="1">
        <f t="array" ref="P393">IFERROR(INDEX(Sheet4!$2:$1605,MATCH(ChiTietKQKD[[#This Row],[Mã CP]],Sheet4!$B$2:$B$1605,0),_xlfn.XMATCH("*Tăng trưởng lợi nhuận sau thuế (YoY) (6M)*",Sheet4!$1:$1,2)),"")</f>
        <v>0</v>
      </c>
      <c r="Q393" s="10" cm="1">
        <f t="array" ref="Q393">IFERROR(INDEX(Sheet4!$2:$1605,MATCH(ChiTietKQKD[[#This Row],[Mã CP]],Sheet4!$B$2:$B$1605,0),_xlfn.XMATCH("*Tăng trưởng doanh thu thuần (QoQ)*",Sheet4!$1:$1,2)),"")</f>
        <v>0.21729999999999999</v>
      </c>
      <c r="R393" s="10" cm="1">
        <f t="array" ref="R393">IFERROR(INDEX(Sheet4!$2:$1605,MATCH(ChiTietKQKD[[#This Row],[Mã CP]],Sheet4!$B$2:$B$1605,0),_xlfn.XMATCH("*Tăng trưởng lợi nhuận sau thuế (QoQ)*",Sheet4!$1:$1,2)),"")</f>
        <v>4.0522999999999998</v>
      </c>
    </row>
    <row r="394" spans="1:18" x14ac:dyDescent="0.25">
      <c r="A394" s="7">
        <f>Sheet4!A373</f>
        <v>372</v>
      </c>
      <c r="B394" t="str">
        <f>Sheet4!B373</f>
        <v>TRA</v>
      </c>
      <c r="C394" t="str">
        <f>Sheet4!C372</f>
        <v>Nhựa Tân Đại Hưng</v>
      </c>
      <c r="D394" t="str">
        <f>Sheet4!D373</f>
        <v>HOSE</v>
      </c>
      <c r="E394" s="7">
        <f>Sheet4!AH373/1000000000</f>
        <v>3150.2410399999999</v>
      </c>
      <c r="F394" t="str">
        <f>Sheet4!E373</f>
        <v>Dược phẩm và Y tế</v>
      </c>
      <c r="G394" t="str">
        <f>Sheet4!F373</f>
        <v>Y tế</v>
      </c>
      <c r="H394" t="str">
        <f>Sheet4!G373</f>
        <v>Dược phẩm</v>
      </c>
      <c r="I394" s="9" t="str" cm="1">
        <f t="array" ref="I39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94" s="9" t="str" cm="1">
        <f t="array" ref="J39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94" s="10" cm="1">
        <f t="array" ref="K39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94" s="10" cm="1">
        <f t="array" ref="L39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94" s="9" t="str" cm="1">
        <f t="array" ref="M39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94" s="9" t="str" cm="1">
        <f t="array" ref="N39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94" s="10" cm="1">
        <f t="array" ref="O394">IFERROR(INDEX(Sheet4!$2:$1605,MATCH(ChiTietKQKD[[#This Row],[Mã CP]],Sheet4!$B$2:$B$1605,0),_xlfn.XMATCH("*Tăng trưởng lợi nhuận sau thuế (YoY) (Quý*",Sheet4!$1:$1,2)),"")</f>
        <v>0</v>
      </c>
      <c r="P394" s="10" cm="1">
        <f t="array" ref="P394">IFERROR(INDEX(Sheet4!$2:$1605,MATCH(ChiTietKQKD[[#This Row],[Mã CP]],Sheet4!$B$2:$B$1605,0),_xlfn.XMATCH("*Tăng trưởng lợi nhuận sau thuế (YoY) (6M)*",Sheet4!$1:$1,2)),"")</f>
        <v>0</v>
      </c>
      <c r="Q394" s="10" cm="1">
        <f t="array" ref="Q394">IFERROR(INDEX(Sheet4!$2:$1605,MATCH(ChiTietKQKD[[#This Row],[Mã CP]],Sheet4!$B$2:$B$1605,0),_xlfn.XMATCH("*Tăng trưởng doanh thu thuần (QoQ)*",Sheet4!$1:$1,2)),"")</f>
        <v>0</v>
      </c>
      <c r="R394" s="10" cm="1">
        <f t="array" ref="R394">IFERROR(INDEX(Sheet4!$2:$1605,MATCH(ChiTietKQKD[[#This Row],[Mã CP]],Sheet4!$B$2:$B$1605,0),_xlfn.XMATCH("*Tăng trưởng lợi nhuận sau thuế (QoQ)*",Sheet4!$1:$1,2)),"")</f>
        <v>0</v>
      </c>
    </row>
    <row r="395" spans="1:18" x14ac:dyDescent="0.25">
      <c r="A395" s="7">
        <f>Sheet4!A374</f>
        <v>373</v>
      </c>
      <c r="B395" t="str">
        <f>Sheet4!B374</f>
        <v>TRC</v>
      </c>
      <c r="C395" t="str">
        <f>Sheet4!C373</f>
        <v>Traphaco</v>
      </c>
      <c r="D395" t="str">
        <f>Sheet4!D374</f>
        <v>HOSE</v>
      </c>
      <c r="E395" s="7">
        <f>Sheet4!AH374/1000000000</f>
        <v>2247</v>
      </c>
      <c r="F395" t="str">
        <f>Sheet4!E374</f>
        <v>Nguyên vật liệu</v>
      </c>
      <c r="G395" t="str">
        <f>Sheet4!F374</f>
        <v>Hóa chất</v>
      </c>
      <c r="H395" t="str">
        <f>Sheet4!G374</f>
        <v>Nhựa, cao su &amp; sợi</v>
      </c>
      <c r="I395" s="9" cm="1">
        <f t="array" ref="I39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127.047223747</v>
      </c>
      <c r="J395" s="9" cm="1">
        <f t="array" ref="J39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402.40625999899999</v>
      </c>
      <c r="K395" s="10" cm="1">
        <f t="array" ref="K39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-3.8199999999999998E-2</v>
      </c>
      <c r="L395" s="10" cm="1">
        <f t="array" ref="L39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0.1234</v>
      </c>
      <c r="M395" s="9" cm="1">
        <f t="array" ref="M395">_xlfn.LET(_xlpm.val,IFERROR(INDEX(Sheet4!$2:$1605,MATCH(ChiTietKQKD[[#This Row],[Mã CP]],Sheet4!$B$2:$B$1605,0),_xlfn.XMATCH("*Lợi nhuận sau thuế*Q2*2026*",Sheet4!$1:$1,2)),0),IF(OR(_xlpm.val="",_xlpm.val=0),"",_xlpm.val/1000000000))</f>
        <v>42.044185665999997</v>
      </c>
      <c r="N395" s="9" cm="1">
        <f t="array" ref="N395">_xlfn.LET(_xlpm.val,IFERROR(INDEX(Sheet4!$2:$1605,MATCH(ChiTietKQKD[[#This Row],[Mã CP]],Sheet4!$B$2:$B$1605,0),_xlfn.XMATCH("*Lợi nhuận sau thuế*6 tháng*2026*",Sheet4!$1:$1,2)),0),IF(OR(_xlpm.val="",_xlpm.val=0),"",_xlpm.val/1000000000))</f>
        <v>141.763673791</v>
      </c>
      <c r="O395" s="10" cm="1">
        <f t="array" ref="O395">IFERROR(INDEX(Sheet4!$2:$1605,MATCH(ChiTietKQKD[[#This Row],[Mã CP]],Sheet4!$B$2:$B$1605,0),_xlfn.XMATCH("*Tăng trưởng lợi nhuận sau thuế (YoY) (Quý*",Sheet4!$1:$1,2)),"")</f>
        <v>0.20549999999999999</v>
      </c>
      <c r="P395" s="10" cm="1">
        <f t="array" ref="P395">IFERROR(INDEX(Sheet4!$2:$1605,MATCH(ChiTietKQKD[[#This Row],[Mã CP]],Sheet4!$B$2:$B$1605,0),_xlfn.XMATCH("*Tăng trưởng lợi nhuận sau thuế (YoY) (6M)*",Sheet4!$1:$1,2)),"")</f>
        <v>0.34660000000000002</v>
      </c>
      <c r="Q395" s="10" cm="1">
        <f t="array" ref="Q395">IFERROR(INDEX(Sheet4!$2:$1605,MATCH(ChiTietKQKD[[#This Row],[Mã CP]],Sheet4!$B$2:$B$1605,0),_xlfn.XMATCH("*Tăng trưởng doanh thu thuần (QoQ)*",Sheet4!$1:$1,2)),"")</f>
        <v>-0.53859999999999997</v>
      </c>
      <c r="R395" s="10" cm="1">
        <f t="array" ref="R395">IFERROR(INDEX(Sheet4!$2:$1605,MATCH(ChiTietKQKD[[#This Row],[Mã CP]],Sheet4!$B$2:$B$1605,0),_xlfn.XMATCH("*Tăng trưởng lợi nhuận sau thuế (QoQ)*",Sheet4!$1:$1,2)),"")</f>
        <v>-0.57840000000000003</v>
      </c>
    </row>
    <row r="396" spans="1:18" x14ac:dyDescent="0.25">
      <c r="A396" s="7">
        <f>Sheet4!A375</f>
        <v>374</v>
      </c>
      <c r="B396" t="str">
        <f>Sheet4!B375</f>
        <v>TSA</v>
      </c>
      <c r="C396" t="str">
        <f>Sheet4!C374</f>
        <v>Cao su Tây Ninh</v>
      </c>
      <c r="D396" t="str">
        <f>Sheet4!D375</f>
        <v>HOSE</v>
      </c>
      <c r="E396" s="7">
        <f>Sheet4!AH375/1000000000</f>
        <v>614.45990879999999</v>
      </c>
      <c r="F396" t="str">
        <f>Sheet4!E375</f>
        <v>Công nghiệp</v>
      </c>
      <c r="G396" t="str">
        <f>Sheet4!F375</f>
        <v>Xây dựng và Vật liệu</v>
      </c>
      <c r="H396" t="str">
        <f>Sheet4!G375</f>
        <v>Xây dựng</v>
      </c>
      <c r="I396" s="9" t="str" cm="1">
        <f t="array" ref="I39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96" s="9" t="str" cm="1">
        <f t="array" ref="J39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96" s="10" cm="1">
        <f t="array" ref="K39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96" s="10" cm="1">
        <f t="array" ref="L39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96" s="9" t="str" cm="1">
        <f t="array" ref="M39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96" s="9" t="str" cm="1">
        <f t="array" ref="N39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96" s="10" cm="1">
        <f t="array" ref="O396">IFERROR(INDEX(Sheet4!$2:$1605,MATCH(ChiTietKQKD[[#This Row],[Mã CP]],Sheet4!$B$2:$B$1605,0),_xlfn.XMATCH("*Tăng trưởng lợi nhuận sau thuế (YoY) (Quý*",Sheet4!$1:$1,2)),"")</f>
        <v>0</v>
      </c>
      <c r="P396" s="10" cm="1">
        <f t="array" ref="P396">IFERROR(INDEX(Sheet4!$2:$1605,MATCH(ChiTietKQKD[[#This Row],[Mã CP]],Sheet4!$B$2:$B$1605,0),_xlfn.XMATCH("*Tăng trưởng lợi nhuận sau thuế (YoY) (6M)*",Sheet4!$1:$1,2)),"")</f>
        <v>0</v>
      </c>
      <c r="Q396" s="10" cm="1">
        <f t="array" ref="Q396">IFERROR(INDEX(Sheet4!$2:$1605,MATCH(ChiTietKQKD[[#This Row],[Mã CP]],Sheet4!$B$2:$B$1605,0),_xlfn.XMATCH("*Tăng trưởng doanh thu thuần (QoQ)*",Sheet4!$1:$1,2)),"")</f>
        <v>0</v>
      </c>
      <c r="R396" s="10" cm="1">
        <f t="array" ref="R396">IFERROR(INDEX(Sheet4!$2:$1605,MATCH(ChiTietKQKD[[#This Row],[Mã CP]],Sheet4!$B$2:$B$1605,0),_xlfn.XMATCH("*Tăng trưởng lợi nhuận sau thuế (QoQ)*",Sheet4!$1:$1,2)),"")</f>
        <v>0</v>
      </c>
    </row>
    <row r="397" spans="1:18" x14ac:dyDescent="0.25">
      <c r="A397" s="7">
        <f>Sheet4!A376</f>
        <v>375</v>
      </c>
      <c r="B397" t="str">
        <f>Sheet4!B376</f>
        <v>TSC</v>
      </c>
      <c r="C397" t="str">
        <f>Sheet4!C375</f>
        <v>Đầu Tư Và Xây Lắp Trường Sơn</v>
      </c>
      <c r="D397" t="str">
        <f>Sheet4!D376</f>
        <v>HOSE</v>
      </c>
      <c r="E397" s="7">
        <f>Sheet4!AH376/1000000000</f>
        <v>393.71785</v>
      </c>
      <c r="F397" t="str">
        <f>Sheet4!E376</f>
        <v>Nguyên vật liệu</v>
      </c>
      <c r="G397" t="str">
        <f>Sheet4!F376</f>
        <v>Hóa chất</v>
      </c>
      <c r="H397" t="str">
        <f>Sheet4!G376</f>
        <v>Sản phẩm hóa dầu, Nông dược &amp; Hóa chất khác</v>
      </c>
      <c r="I397" s="9" t="str" cm="1">
        <f t="array" ref="I39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97" s="9" t="str" cm="1">
        <f t="array" ref="J39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97" s="10" cm="1">
        <f t="array" ref="K39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97" s="10" cm="1">
        <f t="array" ref="L39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97" s="9" t="str" cm="1">
        <f t="array" ref="M39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97" s="9" t="str" cm="1">
        <f t="array" ref="N39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97" s="10" cm="1">
        <f t="array" ref="O397">IFERROR(INDEX(Sheet4!$2:$1605,MATCH(ChiTietKQKD[[#This Row],[Mã CP]],Sheet4!$B$2:$B$1605,0),_xlfn.XMATCH("*Tăng trưởng lợi nhuận sau thuế (YoY) (Quý*",Sheet4!$1:$1,2)),"")</f>
        <v>0</v>
      </c>
      <c r="P397" s="10" cm="1">
        <f t="array" ref="P397">IFERROR(INDEX(Sheet4!$2:$1605,MATCH(ChiTietKQKD[[#This Row],[Mã CP]],Sheet4!$B$2:$B$1605,0),_xlfn.XMATCH("*Tăng trưởng lợi nhuận sau thuế (YoY) (6M)*",Sheet4!$1:$1,2)),"")</f>
        <v>0</v>
      </c>
      <c r="Q397" s="10" cm="1">
        <f t="array" ref="Q397">IFERROR(INDEX(Sheet4!$2:$1605,MATCH(ChiTietKQKD[[#This Row],[Mã CP]],Sheet4!$B$2:$B$1605,0),_xlfn.XMATCH("*Tăng trưởng doanh thu thuần (QoQ)*",Sheet4!$1:$1,2)),"")</f>
        <v>0</v>
      </c>
      <c r="R397" s="10" cm="1">
        <f t="array" ref="R397">IFERROR(INDEX(Sheet4!$2:$1605,MATCH(ChiTietKQKD[[#This Row],[Mã CP]],Sheet4!$B$2:$B$1605,0),_xlfn.XMATCH("*Tăng trưởng lợi nhuận sau thuế (QoQ)*",Sheet4!$1:$1,2)),"")</f>
        <v>0</v>
      </c>
    </row>
    <row r="398" spans="1:18" x14ac:dyDescent="0.25">
      <c r="A398" s="7">
        <f>Sheet4!A377</f>
        <v>376</v>
      </c>
      <c r="B398" t="str">
        <f>Sheet4!B377</f>
        <v>TTA</v>
      </c>
      <c r="C398" t="str">
        <f>Sheet4!C376</f>
        <v>Kỹ thuật NN Cần Thơ</v>
      </c>
      <c r="D398" t="str">
        <f>Sheet4!D377</f>
        <v>HOSE</v>
      </c>
      <c r="E398" s="7">
        <f>Sheet4!AH377/1000000000</f>
        <v>1892.7263221999999</v>
      </c>
      <c r="F398" t="str">
        <f>Sheet4!E377</f>
        <v>Tiện ích Cộng đồng</v>
      </c>
      <c r="G398" t="str">
        <f>Sheet4!F377</f>
        <v>Điện, nước &amp; xăng dầu khí đốt</v>
      </c>
      <c r="H398" t="str">
        <f>Sheet4!G377</f>
        <v>Sản xuất &amp; Phân phối Điện</v>
      </c>
      <c r="I398" s="9" t="str" cm="1">
        <f t="array" ref="I39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98" s="9" t="str" cm="1">
        <f t="array" ref="J39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98" s="10" cm="1">
        <f t="array" ref="K39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98" s="10" cm="1">
        <f t="array" ref="L39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98" s="9" t="str" cm="1">
        <f t="array" ref="M39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98" s="9" t="str" cm="1">
        <f t="array" ref="N39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98" s="10" cm="1">
        <f t="array" ref="O398">IFERROR(INDEX(Sheet4!$2:$1605,MATCH(ChiTietKQKD[[#This Row],[Mã CP]],Sheet4!$B$2:$B$1605,0),_xlfn.XMATCH("*Tăng trưởng lợi nhuận sau thuế (YoY) (Quý*",Sheet4!$1:$1,2)),"")</f>
        <v>0</v>
      </c>
      <c r="P398" s="10" cm="1">
        <f t="array" ref="P398">IFERROR(INDEX(Sheet4!$2:$1605,MATCH(ChiTietKQKD[[#This Row],[Mã CP]],Sheet4!$B$2:$B$1605,0),_xlfn.XMATCH("*Tăng trưởng lợi nhuận sau thuế (YoY) (6M)*",Sheet4!$1:$1,2)),"")</f>
        <v>0</v>
      </c>
      <c r="Q398" s="10" cm="1">
        <f t="array" ref="Q398">IFERROR(INDEX(Sheet4!$2:$1605,MATCH(ChiTietKQKD[[#This Row],[Mã CP]],Sheet4!$B$2:$B$1605,0),_xlfn.XMATCH("*Tăng trưởng doanh thu thuần (QoQ)*",Sheet4!$1:$1,2)),"")</f>
        <v>0</v>
      </c>
      <c r="R398" s="10" cm="1">
        <f t="array" ref="R398">IFERROR(INDEX(Sheet4!$2:$1605,MATCH(ChiTietKQKD[[#This Row],[Mã CP]],Sheet4!$B$2:$B$1605,0),_xlfn.XMATCH("*Tăng trưởng lợi nhuận sau thuế (QoQ)*",Sheet4!$1:$1,2)),"")</f>
        <v>0</v>
      </c>
    </row>
    <row r="399" spans="1:18" x14ac:dyDescent="0.25">
      <c r="A399" s="7">
        <f>Sheet4!A378</f>
        <v>377</v>
      </c>
      <c r="B399" t="str">
        <f>Sheet4!B378</f>
        <v>TTE</v>
      </c>
      <c r="C399" t="str">
        <f>Sheet4!C377</f>
        <v>XD và PT Trường Thành</v>
      </c>
      <c r="D399" t="str">
        <f>Sheet4!D378</f>
        <v>HOSE</v>
      </c>
      <c r="E399" s="7">
        <f>Sheet4!AH378/1000000000</f>
        <v>967.24908000000005</v>
      </c>
      <c r="F399" t="str">
        <f>Sheet4!E378</f>
        <v>Tiện ích Cộng đồng</v>
      </c>
      <c r="G399" t="str">
        <f>Sheet4!F378</f>
        <v>Điện, nước &amp; xăng dầu khí đốt</v>
      </c>
      <c r="H399" t="str">
        <f>Sheet4!G378</f>
        <v>Sản xuất &amp; Phân phối Điện</v>
      </c>
      <c r="I399" s="9" t="str" cm="1">
        <f t="array" ref="I39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399" s="9" t="str" cm="1">
        <f t="array" ref="J39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399" s="10" cm="1">
        <f t="array" ref="K39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399" s="10" cm="1">
        <f t="array" ref="L39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399" s="9" t="str" cm="1">
        <f t="array" ref="M39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399" s="9" t="str" cm="1">
        <f t="array" ref="N39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399" s="10" cm="1">
        <f t="array" ref="O399">IFERROR(INDEX(Sheet4!$2:$1605,MATCH(ChiTietKQKD[[#This Row],[Mã CP]],Sheet4!$B$2:$B$1605,0),_xlfn.XMATCH("*Tăng trưởng lợi nhuận sau thuế (YoY) (Quý*",Sheet4!$1:$1,2)),"")</f>
        <v>0</v>
      </c>
      <c r="P399" s="10" cm="1">
        <f t="array" ref="P399">IFERROR(INDEX(Sheet4!$2:$1605,MATCH(ChiTietKQKD[[#This Row],[Mã CP]],Sheet4!$B$2:$B$1605,0),_xlfn.XMATCH("*Tăng trưởng lợi nhuận sau thuế (YoY) (6M)*",Sheet4!$1:$1,2)),"")</f>
        <v>0</v>
      </c>
      <c r="Q399" s="10" cm="1">
        <f t="array" ref="Q399">IFERROR(INDEX(Sheet4!$2:$1605,MATCH(ChiTietKQKD[[#This Row],[Mã CP]],Sheet4!$B$2:$B$1605,0),_xlfn.XMATCH("*Tăng trưởng doanh thu thuần (QoQ)*",Sheet4!$1:$1,2)),"")</f>
        <v>0</v>
      </c>
      <c r="R399" s="10" cm="1">
        <f t="array" ref="R399">IFERROR(INDEX(Sheet4!$2:$1605,MATCH(ChiTietKQKD[[#This Row],[Mã CP]],Sheet4!$B$2:$B$1605,0),_xlfn.XMATCH("*Tăng trưởng lợi nhuận sau thuế (QoQ)*",Sheet4!$1:$1,2)),"")</f>
        <v>0</v>
      </c>
    </row>
    <row r="400" spans="1:18" x14ac:dyDescent="0.25">
      <c r="A400" s="7">
        <f>Sheet4!A379</f>
        <v>378</v>
      </c>
      <c r="B400" t="str">
        <f>Sheet4!B379</f>
        <v>TTF</v>
      </c>
      <c r="C400" t="str">
        <f>Sheet4!C378</f>
        <v>ĐT Năng lượng Trường Thịnh</v>
      </c>
      <c r="D400" t="str">
        <f>Sheet4!D379</f>
        <v>HOSE</v>
      </c>
      <c r="E400" s="7">
        <f>Sheet4!AH379/1000000000</f>
        <v>751.64694894000002</v>
      </c>
      <c r="F400" t="str">
        <f>Sheet4!E379</f>
        <v>Nguyên vật liệu</v>
      </c>
      <c r="G400" t="str">
        <f>Sheet4!F379</f>
        <v>Tài nguyên Cơ bản</v>
      </c>
      <c r="H400" t="str">
        <f>Sheet4!G379</f>
        <v>Lâm sản và Chế biến gỗ</v>
      </c>
      <c r="I400" s="9" t="str" cm="1">
        <f t="array" ref="I40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00" s="9" t="str" cm="1">
        <f t="array" ref="J40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00" s="10" cm="1">
        <f t="array" ref="K40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00" s="10" cm="1">
        <f t="array" ref="L40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00" s="9" t="str" cm="1">
        <f t="array" ref="M40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00" s="9" t="str" cm="1">
        <f t="array" ref="N40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00" s="10" cm="1">
        <f t="array" ref="O400">IFERROR(INDEX(Sheet4!$2:$1605,MATCH(ChiTietKQKD[[#This Row],[Mã CP]],Sheet4!$B$2:$B$1605,0),_xlfn.XMATCH("*Tăng trưởng lợi nhuận sau thuế (YoY) (Quý*",Sheet4!$1:$1,2)),"")</f>
        <v>0</v>
      </c>
      <c r="P400" s="10" cm="1">
        <f t="array" ref="P400">IFERROR(INDEX(Sheet4!$2:$1605,MATCH(ChiTietKQKD[[#This Row],[Mã CP]],Sheet4!$B$2:$B$1605,0),_xlfn.XMATCH("*Tăng trưởng lợi nhuận sau thuế (YoY) (6M)*",Sheet4!$1:$1,2)),"")</f>
        <v>0</v>
      </c>
      <c r="Q400" s="10" cm="1">
        <f t="array" ref="Q400">IFERROR(INDEX(Sheet4!$2:$1605,MATCH(ChiTietKQKD[[#This Row],[Mã CP]],Sheet4!$B$2:$B$1605,0),_xlfn.XMATCH("*Tăng trưởng doanh thu thuần (QoQ)*",Sheet4!$1:$1,2)),"")</f>
        <v>0</v>
      </c>
      <c r="R400" s="10" cm="1">
        <f t="array" ref="R400">IFERROR(INDEX(Sheet4!$2:$1605,MATCH(ChiTietKQKD[[#This Row],[Mã CP]],Sheet4!$B$2:$B$1605,0),_xlfn.XMATCH("*Tăng trưởng lợi nhuận sau thuế (QoQ)*",Sheet4!$1:$1,2)),"")</f>
        <v>0</v>
      </c>
    </row>
    <row r="401" spans="1:18" x14ac:dyDescent="0.25">
      <c r="A401" s="7">
        <f>Sheet4!A380</f>
        <v>379</v>
      </c>
      <c r="B401" t="str">
        <f>Sheet4!B380</f>
        <v>TV2</v>
      </c>
      <c r="C401" t="str">
        <f>Sheet4!C379</f>
        <v>Gỗ Trường Thành</v>
      </c>
      <c r="D401" t="str">
        <f>Sheet4!D380</f>
        <v>HOSE</v>
      </c>
      <c r="E401" s="7">
        <f>Sheet4!AH380/1000000000</f>
        <v>1651.0147342499999</v>
      </c>
      <c r="F401" t="str">
        <f>Sheet4!E380</f>
        <v>Công nghiệp</v>
      </c>
      <c r="G401" t="str">
        <f>Sheet4!F380</f>
        <v>Hàng &amp; Dịch vụ Công nghiệp</v>
      </c>
      <c r="H401" t="str">
        <f>Sheet4!G380</f>
        <v>Tư vấn &amp; Hỗ trợ KD</v>
      </c>
      <c r="I401" s="9" t="str" cm="1">
        <f t="array" ref="I40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01" s="9" t="str" cm="1">
        <f t="array" ref="J40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01" s="10" cm="1">
        <f t="array" ref="K40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01" s="10" cm="1">
        <f t="array" ref="L40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01" s="9" t="str" cm="1">
        <f t="array" ref="M40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01" s="9" t="str" cm="1">
        <f t="array" ref="N40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01" s="10" cm="1">
        <f t="array" ref="O401">IFERROR(INDEX(Sheet4!$2:$1605,MATCH(ChiTietKQKD[[#This Row],[Mã CP]],Sheet4!$B$2:$B$1605,0),_xlfn.XMATCH("*Tăng trưởng lợi nhuận sau thuế (YoY) (Quý*",Sheet4!$1:$1,2)),"")</f>
        <v>0</v>
      </c>
      <c r="P401" s="10" cm="1">
        <f t="array" ref="P401">IFERROR(INDEX(Sheet4!$2:$1605,MATCH(ChiTietKQKD[[#This Row],[Mã CP]],Sheet4!$B$2:$B$1605,0),_xlfn.XMATCH("*Tăng trưởng lợi nhuận sau thuế (YoY) (6M)*",Sheet4!$1:$1,2)),"")</f>
        <v>0</v>
      </c>
      <c r="Q401" s="10" cm="1">
        <f t="array" ref="Q401">IFERROR(INDEX(Sheet4!$2:$1605,MATCH(ChiTietKQKD[[#This Row],[Mã CP]],Sheet4!$B$2:$B$1605,0),_xlfn.XMATCH("*Tăng trưởng doanh thu thuần (QoQ)*",Sheet4!$1:$1,2)),"")</f>
        <v>0</v>
      </c>
      <c r="R401" s="10" cm="1">
        <f t="array" ref="R401">IFERROR(INDEX(Sheet4!$2:$1605,MATCH(ChiTietKQKD[[#This Row],[Mã CP]],Sheet4!$B$2:$B$1605,0),_xlfn.XMATCH("*Tăng trưởng lợi nhuận sau thuế (QoQ)*",Sheet4!$1:$1,2)),"")</f>
        <v>0</v>
      </c>
    </row>
    <row r="402" spans="1:18" x14ac:dyDescent="0.25">
      <c r="A402" s="7">
        <f>Sheet4!A381</f>
        <v>380</v>
      </c>
      <c r="B402" t="str">
        <f>Sheet4!B381</f>
        <v>TVB</v>
      </c>
      <c r="C402" t="str">
        <f>Sheet4!C380</f>
        <v>Tư vấn XD Điện 2</v>
      </c>
      <c r="D402" t="str">
        <f>Sheet4!D381</f>
        <v>HOSE</v>
      </c>
      <c r="E402" s="7">
        <f>Sheet4!AH381/1000000000</f>
        <v>774.76278490000004</v>
      </c>
      <c r="F402" t="str">
        <f>Sheet4!E381</f>
        <v>Tài chính</v>
      </c>
      <c r="G402" t="str">
        <f>Sheet4!F381</f>
        <v>Dịch vụ tài chính</v>
      </c>
      <c r="H402" t="str">
        <f>Sheet4!G381</f>
        <v>Môi giới chứng khoán</v>
      </c>
      <c r="I402" s="9" cm="1">
        <f t="array" ref="I40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11.245347292</v>
      </c>
      <c r="J402" s="9" cm="1">
        <f t="array" ref="J40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29.259284508</v>
      </c>
      <c r="K402" s="10" cm="1">
        <f t="array" ref="K40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1.4000999999999999</v>
      </c>
      <c r="L402" s="10" cm="1">
        <f t="array" ref="L40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-0.34260000000000002</v>
      </c>
      <c r="M402" s="9" cm="1">
        <f t="array" ref="M402">_xlfn.LET(_xlpm.val,IFERROR(INDEX(Sheet4!$2:$1605,MATCH(ChiTietKQKD[[#This Row],[Mã CP]],Sheet4!$B$2:$B$1605,0),_xlfn.XMATCH("*Lợi nhuận sau thuế*Q2*2026*",Sheet4!$1:$1,2)),0),IF(OR(_xlpm.val="",_xlpm.val=0),"",_xlpm.val/1000000000))</f>
        <v>26.458389740000001</v>
      </c>
      <c r="N402" s="9" cm="1">
        <f t="array" ref="N402">_xlfn.LET(_xlpm.val,IFERROR(INDEX(Sheet4!$2:$1605,MATCH(ChiTietKQKD[[#This Row],[Mã CP]],Sheet4!$B$2:$B$1605,0),_xlfn.XMATCH("*Lợi nhuận sau thuế*6 tháng*2026*",Sheet4!$1:$1,2)),0),IF(OR(_xlpm.val="",_xlpm.val=0),"",_xlpm.val/1000000000))</f>
        <v>6.6417547370000003</v>
      </c>
      <c r="O402" s="10" cm="1">
        <f t="array" ref="O402">IFERROR(INDEX(Sheet4!$2:$1605,MATCH(ChiTietKQKD[[#This Row],[Mã CP]],Sheet4!$B$2:$B$1605,0),_xlfn.XMATCH("*Tăng trưởng lợi nhuận sau thuế (YoY) (Quý*",Sheet4!$1:$1,2)),"")</f>
        <v>1.9959</v>
      </c>
      <c r="P402" s="10" cm="1">
        <f t="array" ref="P402">IFERROR(INDEX(Sheet4!$2:$1605,MATCH(ChiTietKQKD[[#This Row],[Mã CP]],Sheet4!$B$2:$B$1605,0),_xlfn.XMATCH("*Tăng trưởng lợi nhuận sau thuế (YoY) (6M)*",Sheet4!$1:$1,2)),"")</f>
        <v>7.8899999999999998E-2</v>
      </c>
      <c r="Q402" s="10" cm="1">
        <f t="array" ref="Q402">IFERROR(INDEX(Sheet4!$2:$1605,MATCH(ChiTietKQKD[[#This Row],[Mã CP]],Sheet4!$B$2:$B$1605,0),_xlfn.XMATCH("*Tăng trưởng doanh thu thuần (QoQ)*",Sheet4!$1:$1,2)),"")</f>
        <v>-0.37569999999999998</v>
      </c>
      <c r="R402" s="10" cm="1">
        <f t="array" ref="R402">IFERROR(INDEX(Sheet4!$2:$1605,MATCH(ChiTietKQKD[[#This Row],[Mã CP]],Sheet4!$B$2:$B$1605,0),_xlfn.XMATCH("*Tăng trưởng lợi nhuận sau thuế (QoQ)*",Sheet4!$1:$1,2)),"")</f>
        <v>2.3351999999999999</v>
      </c>
    </row>
    <row r="403" spans="1:18" x14ac:dyDescent="0.25">
      <c r="A403" s="7">
        <f>Sheet4!A382</f>
        <v>381</v>
      </c>
      <c r="B403" t="str">
        <f>Sheet4!B382</f>
        <v>TVS</v>
      </c>
      <c r="C403" t="str">
        <f>Sheet4!C381</f>
        <v>Chứng khoán T-Cap</v>
      </c>
      <c r="D403" t="str">
        <f>Sheet4!D382</f>
        <v>HOSE</v>
      </c>
      <c r="E403" s="7">
        <f>Sheet4!AH382/1000000000</f>
        <v>3235.2548255500001</v>
      </c>
      <c r="F403" t="str">
        <f>Sheet4!E382</f>
        <v>Tài chính</v>
      </c>
      <c r="G403" t="str">
        <f>Sheet4!F382</f>
        <v>Dịch vụ tài chính</v>
      </c>
      <c r="H403" t="str">
        <f>Sheet4!G382</f>
        <v>Môi giới chứng khoán</v>
      </c>
      <c r="I403" s="9" cm="1">
        <f t="array" ref="I40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176.82014691500001</v>
      </c>
      <c r="J403" s="9" cm="1">
        <f t="array" ref="J40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435.515927105</v>
      </c>
      <c r="K403" s="10" cm="1">
        <f t="array" ref="K40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-0.21560000000000001</v>
      </c>
      <c r="L403" s="10" cm="1">
        <f t="array" ref="L40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8.1100000000000005E-2</v>
      </c>
      <c r="M403" s="9" cm="1">
        <f t="array" ref="M403">_xlfn.LET(_xlpm.val,IFERROR(INDEX(Sheet4!$2:$1605,MATCH(ChiTietKQKD[[#This Row],[Mã CP]],Sheet4!$B$2:$B$1605,0),_xlfn.XMATCH("*Lợi nhuận sau thuế*Q2*2026*",Sheet4!$1:$1,2)),0),IF(OR(_xlpm.val="",_xlpm.val=0),"",_xlpm.val/1000000000))</f>
        <v>3.206219425</v>
      </c>
      <c r="N403" s="9" cm="1">
        <f t="array" ref="N403">_xlfn.LET(_xlpm.val,IFERROR(INDEX(Sheet4!$2:$1605,MATCH(ChiTietKQKD[[#This Row],[Mã CP]],Sheet4!$B$2:$B$1605,0),_xlfn.XMATCH("*Lợi nhuận sau thuế*6 tháng*2026*",Sheet4!$1:$1,2)),0),IF(OR(_xlpm.val="",_xlpm.val=0),"",_xlpm.val/1000000000))</f>
        <v>5.3864606220000004</v>
      </c>
      <c r="O403" s="10" cm="1">
        <f t="array" ref="O403">IFERROR(INDEX(Sheet4!$2:$1605,MATCH(ChiTietKQKD[[#This Row],[Mã CP]],Sheet4!$B$2:$B$1605,0),_xlfn.XMATCH("*Tăng trưởng lợi nhuận sau thuế (YoY) (Quý*",Sheet4!$1:$1,2)),"")</f>
        <v>-0.93879999999999997</v>
      </c>
      <c r="P403" s="10" cm="1">
        <f t="array" ref="P403">IFERROR(INDEX(Sheet4!$2:$1605,MATCH(ChiTietKQKD[[#This Row],[Mã CP]],Sheet4!$B$2:$B$1605,0),_xlfn.XMATCH("*Tăng trưởng lợi nhuận sau thuế (YoY) (6M)*",Sheet4!$1:$1,2)),"")</f>
        <v>-0.94379999999999997</v>
      </c>
      <c r="Q403" s="10" cm="1">
        <f t="array" ref="Q403">IFERROR(INDEX(Sheet4!$2:$1605,MATCH(ChiTietKQKD[[#This Row],[Mã CP]],Sheet4!$B$2:$B$1605,0),_xlfn.XMATCH("*Tăng trưởng doanh thu thuần (QoQ)*",Sheet4!$1:$1,2)),"")</f>
        <v>-0.3165</v>
      </c>
      <c r="R403" s="10" cm="1">
        <f t="array" ref="R403">IFERROR(INDEX(Sheet4!$2:$1605,MATCH(ChiTietKQKD[[#This Row],[Mã CP]],Sheet4!$B$2:$B$1605,0),_xlfn.XMATCH("*Tăng trưởng lợi nhuận sau thuế (QoQ)*",Sheet4!$1:$1,2)),"")</f>
        <v>0.47060000000000002</v>
      </c>
    </row>
    <row r="404" spans="1:18" x14ac:dyDescent="0.25">
      <c r="A404" s="7">
        <f>Sheet4!A383</f>
        <v>382</v>
      </c>
      <c r="B404" t="str">
        <f>Sheet4!B383</f>
        <v>TVT</v>
      </c>
      <c r="C404" t="str">
        <f>Sheet4!C382</f>
        <v>Chứng khoán Thiên Việt</v>
      </c>
      <c r="D404" t="str">
        <f>Sheet4!D383</f>
        <v>HOSE</v>
      </c>
      <c r="E404" s="7">
        <f>Sheet4!AH383/1000000000</f>
        <v>315</v>
      </c>
      <c r="F404" t="str">
        <f>Sheet4!E383</f>
        <v>Hàng Tiêu dùng</v>
      </c>
      <c r="G404" t="str">
        <f>Sheet4!F383</f>
        <v>Hàng cá nhân &amp; Gia dụng</v>
      </c>
      <c r="H404" t="str">
        <f>Sheet4!G383</f>
        <v>Hàng May mặc</v>
      </c>
      <c r="I404" s="9" t="str" cm="1">
        <f t="array" ref="I40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04" s="9" t="str" cm="1">
        <f t="array" ref="J40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04" s="10" cm="1">
        <f t="array" ref="K40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04" s="10" cm="1">
        <f t="array" ref="L40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04" s="9" t="str" cm="1">
        <f t="array" ref="M40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04" s="9" t="str" cm="1">
        <f t="array" ref="N40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04" s="10" cm="1">
        <f t="array" ref="O404">IFERROR(INDEX(Sheet4!$2:$1605,MATCH(ChiTietKQKD[[#This Row],[Mã CP]],Sheet4!$B$2:$B$1605,0),_xlfn.XMATCH("*Tăng trưởng lợi nhuận sau thuế (YoY) (Quý*",Sheet4!$1:$1,2)),"")</f>
        <v>0</v>
      </c>
      <c r="P404" s="10" cm="1">
        <f t="array" ref="P404">IFERROR(INDEX(Sheet4!$2:$1605,MATCH(ChiTietKQKD[[#This Row],[Mã CP]],Sheet4!$B$2:$B$1605,0),_xlfn.XMATCH("*Tăng trưởng lợi nhuận sau thuế (YoY) (6M)*",Sheet4!$1:$1,2)),"")</f>
        <v>0</v>
      </c>
      <c r="Q404" s="10" cm="1">
        <f t="array" ref="Q404">IFERROR(INDEX(Sheet4!$2:$1605,MATCH(ChiTietKQKD[[#This Row],[Mã CP]],Sheet4!$B$2:$B$1605,0),_xlfn.XMATCH("*Tăng trưởng doanh thu thuần (QoQ)*",Sheet4!$1:$1,2)),"")</f>
        <v>0</v>
      </c>
      <c r="R404" s="10" cm="1">
        <f t="array" ref="R404">IFERROR(INDEX(Sheet4!$2:$1605,MATCH(ChiTietKQKD[[#This Row],[Mã CP]],Sheet4!$B$2:$B$1605,0),_xlfn.XMATCH("*Tăng trưởng lợi nhuận sau thuế (QoQ)*",Sheet4!$1:$1,2)),"")</f>
        <v>0</v>
      </c>
    </row>
    <row r="405" spans="1:18" x14ac:dyDescent="0.25">
      <c r="A405" s="7">
        <f>Sheet4!A384</f>
        <v>383</v>
      </c>
      <c r="B405" t="str">
        <f>Sheet4!B384</f>
        <v>TYA</v>
      </c>
      <c r="C405" t="str">
        <f>Sheet4!C383</f>
        <v>May Việt Thắng</v>
      </c>
      <c r="D405" t="str">
        <f>Sheet4!D384</f>
        <v>HOSE</v>
      </c>
      <c r="E405" s="7">
        <f>Sheet4!AH384/1000000000</f>
        <v>521.56989399999998</v>
      </c>
      <c r="F405" t="str">
        <f>Sheet4!E384</f>
        <v>Công nghiệp</v>
      </c>
      <c r="G405" t="str">
        <f>Sheet4!F384</f>
        <v>Hàng &amp; Dịch vụ Công nghiệp</v>
      </c>
      <c r="H405" t="str">
        <f>Sheet4!G384</f>
        <v>Hàng điện &amp; điện tử</v>
      </c>
      <c r="I405" s="9" t="str" cm="1">
        <f t="array" ref="I40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05" s="9" t="str" cm="1">
        <f t="array" ref="J40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05" s="10" cm="1">
        <f t="array" ref="K40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05" s="10" cm="1">
        <f t="array" ref="L40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05" s="9" t="str" cm="1">
        <f t="array" ref="M40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05" s="9" t="str" cm="1">
        <f t="array" ref="N40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05" s="10" cm="1">
        <f t="array" ref="O405">IFERROR(INDEX(Sheet4!$2:$1605,MATCH(ChiTietKQKD[[#This Row],[Mã CP]],Sheet4!$B$2:$B$1605,0),_xlfn.XMATCH("*Tăng trưởng lợi nhuận sau thuế (YoY) (Quý*",Sheet4!$1:$1,2)),"")</f>
        <v>0</v>
      </c>
      <c r="P405" s="10" cm="1">
        <f t="array" ref="P405">IFERROR(INDEX(Sheet4!$2:$1605,MATCH(ChiTietKQKD[[#This Row],[Mã CP]],Sheet4!$B$2:$B$1605,0),_xlfn.XMATCH("*Tăng trưởng lợi nhuận sau thuế (YoY) (6M)*",Sheet4!$1:$1,2)),"")</f>
        <v>0</v>
      </c>
      <c r="Q405" s="10" cm="1">
        <f t="array" ref="Q405">IFERROR(INDEX(Sheet4!$2:$1605,MATCH(ChiTietKQKD[[#This Row],[Mã CP]],Sheet4!$B$2:$B$1605,0),_xlfn.XMATCH("*Tăng trưởng doanh thu thuần (QoQ)*",Sheet4!$1:$1,2)),"")</f>
        <v>0</v>
      </c>
      <c r="R405" s="10" cm="1">
        <f t="array" ref="R405">IFERROR(INDEX(Sheet4!$2:$1605,MATCH(ChiTietKQKD[[#This Row],[Mã CP]],Sheet4!$B$2:$B$1605,0),_xlfn.XMATCH("*Tăng trưởng lợi nhuận sau thuế (QoQ)*",Sheet4!$1:$1,2)),"")</f>
        <v>0</v>
      </c>
    </row>
    <row r="406" spans="1:18" x14ac:dyDescent="0.25">
      <c r="A406" s="7">
        <f>Sheet4!A385</f>
        <v>384</v>
      </c>
      <c r="B406" t="str">
        <f>Sheet4!B385</f>
        <v>UIC</v>
      </c>
      <c r="C406" t="str">
        <f>Sheet4!C384</f>
        <v>Dây và Cáp điện Taya</v>
      </c>
      <c r="D406" t="str">
        <f>Sheet4!D385</f>
        <v>HOSE</v>
      </c>
      <c r="E406" s="7">
        <f>Sheet4!AH385/1000000000</f>
        <v>464.8</v>
      </c>
      <c r="F406" t="str">
        <f>Sheet4!E385</f>
        <v>Tiện ích Cộng đồng</v>
      </c>
      <c r="G406" t="str">
        <f>Sheet4!F385</f>
        <v>Điện, nước &amp; xăng dầu khí đốt</v>
      </c>
      <c r="H406" t="str">
        <f>Sheet4!G385</f>
        <v>Sản xuất &amp; Phân phối Điện</v>
      </c>
      <c r="I406" s="9" cm="1">
        <f t="array" ref="I40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908.80148352699996</v>
      </c>
      <c r="J406" s="9" cm="1">
        <f t="array" ref="J40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1719.1163045569999</v>
      </c>
      <c r="K406" s="10" cm="1">
        <f t="array" ref="K40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8.8300000000000003E-2</v>
      </c>
      <c r="L406" s="10" cm="1">
        <f t="array" ref="L40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9.4200000000000006E-2</v>
      </c>
      <c r="M406" s="9" cm="1">
        <f t="array" ref="M406">_xlfn.LET(_xlpm.val,IFERROR(INDEX(Sheet4!$2:$1605,MATCH(ChiTietKQKD[[#This Row],[Mã CP]],Sheet4!$B$2:$B$1605,0),_xlfn.XMATCH("*Lợi nhuận sau thuế*Q2*2026*",Sheet4!$1:$1,2)),0),IF(OR(_xlpm.val="",_xlpm.val=0),"",_xlpm.val/1000000000))</f>
        <v>26.814789165000001</v>
      </c>
      <c r="N406" s="9" cm="1">
        <f t="array" ref="N406">_xlfn.LET(_xlpm.val,IFERROR(INDEX(Sheet4!$2:$1605,MATCH(ChiTietKQKD[[#This Row],[Mã CP]],Sheet4!$B$2:$B$1605,0),_xlfn.XMATCH("*Lợi nhuận sau thuế*6 tháng*2026*",Sheet4!$1:$1,2)),0),IF(OR(_xlpm.val="",_xlpm.val=0),"",_xlpm.val/1000000000))</f>
        <v>51.605432751999999</v>
      </c>
      <c r="O406" s="10" cm="1">
        <f t="array" ref="O406">IFERROR(INDEX(Sheet4!$2:$1605,MATCH(ChiTietKQKD[[#This Row],[Mã CP]],Sheet4!$B$2:$B$1605,0),_xlfn.XMATCH("*Tăng trưởng lợi nhuận sau thuế (YoY) (Quý*",Sheet4!$1:$1,2)),"")</f>
        <v>0.1066</v>
      </c>
      <c r="P406" s="10" cm="1">
        <f t="array" ref="P406">IFERROR(INDEX(Sheet4!$2:$1605,MATCH(ChiTietKQKD[[#This Row],[Mã CP]],Sheet4!$B$2:$B$1605,0),_xlfn.XMATCH("*Tăng trưởng lợi nhuận sau thuế (YoY) (6M)*",Sheet4!$1:$1,2)),"")</f>
        <v>0.19980000000000001</v>
      </c>
      <c r="Q406" s="10" cm="1">
        <f t="array" ref="Q406">IFERROR(INDEX(Sheet4!$2:$1605,MATCH(ChiTietKQKD[[#This Row],[Mã CP]],Sheet4!$B$2:$B$1605,0),_xlfn.XMATCH("*Tăng trưởng doanh thu thuần (QoQ)*",Sheet4!$1:$1,2)),"")</f>
        <v>0.1215</v>
      </c>
      <c r="R406" s="10" cm="1">
        <f t="array" ref="R406">IFERROR(INDEX(Sheet4!$2:$1605,MATCH(ChiTietKQKD[[#This Row],[Mã CP]],Sheet4!$B$2:$B$1605,0),_xlfn.XMATCH("*Tăng trưởng lợi nhuận sau thuế (QoQ)*",Sheet4!$1:$1,2)),"")</f>
        <v>8.1600000000000006E-2</v>
      </c>
    </row>
    <row r="407" spans="1:18" x14ac:dyDescent="0.25">
      <c r="A407" s="7">
        <f>Sheet4!A386</f>
        <v>385</v>
      </c>
      <c r="B407" t="str">
        <f>Sheet4!B386</f>
        <v>VAB</v>
      </c>
      <c r="C407" t="str">
        <f>Sheet4!C385</f>
        <v>Phát triển Nhà và Đô thị IDICO</v>
      </c>
      <c r="D407" t="str">
        <f>Sheet4!D386</f>
        <v>HOSE</v>
      </c>
      <c r="E407" s="7">
        <f>Sheet4!AH386/1000000000</f>
        <v>8163.6067199999998</v>
      </c>
      <c r="F407" t="str">
        <f>Sheet4!E386</f>
        <v>Ngân hàng</v>
      </c>
      <c r="G407" t="str">
        <f>Sheet4!F386</f>
        <v>Ngân hàng</v>
      </c>
      <c r="H407" t="str">
        <f>Sheet4!G386</f>
        <v>Ngân hàng</v>
      </c>
      <c r="I407" s="9" t="str" cm="1">
        <f t="array" ref="I40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07" s="9" t="str" cm="1">
        <f t="array" ref="J40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07" s="10" t="str" cm="1">
        <f t="array" ref="K40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407" s="10" t="str" cm="1">
        <f t="array" ref="L40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407" s="9" t="str" cm="1">
        <f t="array" ref="M40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07" s="9" t="str" cm="1">
        <f t="array" ref="N40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07" s="10" cm="1">
        <f t="array" ref="O407">IFERROR(INDEX(Sheet4!$2:$1605,MATCH(ChiTietKQKD[[#This Row],[Mã CP]],Sheet4!$B$2:$B$1605,0),_xlfn.XMATCH("*Tăng trưởng lợi nhuận sau thuế (YoY) (Quý*",Sheet4!$1:$1,2)),"")</f>
        <v>0</v>
      </c>
      <c r="P407" s="10" cm="1">
        <f t="array" ref="P407">IFERROR(INDEX(Sheet4!$2:$1605,MATCH(ChiTietKQKD[[#This Row],[Mã CP]],Sheet4!$B$2:$B$1605,0),_xlfn.XMATCH("*Tăng trưởng lợi nhuận sau thuế (YoY) (6M)*",Sheet4!$1:$1,2)),"")</f>
        <v>0</v>
      </c>
      <c r="Q407" s="10" cm="1">
        <f t="array" ref="Q407">IFERROR(INDEX(Sheet4!$2:$1605,MATCH(ChiTietKQKD[[#This Row],[Mã CP]],Sheet4!$B$2:$B$1605,0),_xlfn.XMATCH("*Tăng trưởng doanh thu thuần (QoQ)*",Sheet4!$1:$1,2)),"")</f>
        <v>0</v>
      </c>
      <c r="R407" s="10" cm="1">
        <f t="array" ref="R407">IFERROR(INDEX(Sheet4!$2:$1605,MATCH(ChiTietKQKD[[#This Row],[Mã CP]],Sheet4!$B$2:$B$1605,0),_xlfn.XMATCH("*Tăng trưởng lợi nhuận sau thuế (QoQ)*",Sheet4!$1:$1,2)),"")</f>
        <v>0</v>
      </c>
    </row>
    <row r="408" spans="1:18" x14ac:dyDescent="0.25">
      <c r="A408" s="7">
        <f>Sheet4!A387</f>
        <v>386</v>
      </c>
      <c r="B408" t="str">
        <f>Sheet4!B387</f>
        <v>VBB</v>
      </c>
      <c r="C408" t="str">
        <f>Sheet4!C386</f>
        <v>Ngân hàng Việt Á</v>
      </c>
      <c r="D408" t="str">
        <f>Sheet4!D387</f>
        <v>HOSE</v>
      </c>
      <c r="E408" s="7">
        <f>Sheet4!AH387/1000000000</f>
        <v>16584.212456000001</v>
      </c>
      <c r="F408" t="str">
        <f>Sheet4!E387</f>
        <v>Ngân hàng</v>
      </c>
      <c r="G408" t="str">
        <f>Sheet4!F387</f>
        <v>Ngân hàng</v>
      </c>
      <c r="H408" t="str">
        <f>Sheet4!G387</f>
        <v>Ngân hàng</v>
      </c>
      <c r="I408" s="9" t="str" cm="1">
        <f t="array" ref="I40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08" s="9" t="str" cm="1">
        <f t="array" ref="J40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08" s="10" t="str" cm="1">
        <f t="array" ref="K40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408" s="10" t="str" cm="1">
        <f t="array" ref="L40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408" s="9" t="str" cm="1">
        <f t="array" ref="M40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08" s="9" t="str" cm="1">
        <f t="array" ref="N40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08" s="10" cm="1">
        <f t="array" ref="O408">IFERROR(INDEX(Sheet4!$2:$1605,MATCH(ChiTietKQKD[[#This Row],[Mã CP]],Sheet4!$B$2:$B$1605,0),_xlfn.XMATCH("*Tăng trưởng lợi nhuận sau thuế (YoY) (Quý*",Sheet4!$1:$1,2)),"")</f>
        <v>0</v>
      </c>
      <c r="P408" s="10" cm="1">
        <f t="array" ref="P408">IFERROR(INDEX(Sheet4!$2:$1605,MATCH(ChiTietKQKD[[#This Row],[Mã CP]],Sheet4!$B$2:$B$1605,0),_xlfn.XMATCH("*Tăng trưởng lợi nhuận sau thuế (YoY) (6M)*",Sheet4!$1:$1,2)),"")</f>
        <v>0</v>
      </c>
      <c r="Q408" s="10" cm="1">
        <f t="array" ref="Q408">IFERROR(INDEX(Sheet4!$2:$1605,MATCH(ChiTietKQKD[[#This Row],[Mã CP]],Sheet4!$B$2:$B$1605,0),_xlfn.XMATCH("*Tăng trưởng doanh thu thuần (QoQ)*",Sheet4!$1:$1,2)),"")</f>
        <v>0</v>
      </c>
      <c r="R408" s="10" cm="1">
        <f t="array" ref="R408">IFERROR(INDEX(Sheet4!$2:$1605,MATCH(ChiTietKQKD[[#This Row],[Mã CP]],Sheet4!$B$2:$B$1605,0),_xlfn.XMATCH("*Tăng trưởng lợi nhuận sau thuế (QoQ)*",Sheet4!$1:$1,2)),"")</f>
        <v>0</v>
      </c>
    </row>
    <row r="409" spans="1:18" x14ac:dyDescent="0.25">
      <c r="A409" s="7">
        <f>Sheet4!A388</f>
        <v>387</v>
      </c>
      <c r="B409" t="str">
        <f>Sheet4!B388</f>
        <v>VCA</v>
      </c>
      <c r="C409" t="str">
        <f>Sheet4!C387</f>
        <v>VietBank</v>
      </c>
      <c r="D409" t="str">
        <f>Sheet4!D388</f>
        <v>HOSE</v>
      </c>
      <c r="E409" s="7">
        <f>Sheet4!AH388/1000000000</f>
        <v>90.516439120000001</v>
      </c>
      <c r="F409" t="str">
        <f>Sheet4!E388</f>
        <v>Nguyên vật liệu</v>
      </c>
      <c r="G409" t="str">
        <f>Sheet4!F388</f>
        <v>Tài nguyên Cơ bản</v>
      </c>
      <c r="H409" t="str">
        <f>Sheet4!G388</f>
        <v>Thép và sản phẩm thép</v>
      </c>
      <c r="I409" s="9" cm="1">
        <f t="array" ref="I40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67.233726692000005</v>
      </c>
      <c r="J409" s="9" cm="1">
        <f t="array" ref="J40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112.895771192</v>
      </c>
      <c r="K409" s="10" cm="1">
        <f t="array" ref="K40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-0.88290000000000002</v>
      </c>
      <c r="L409" s="10" cm="1">
        <f t="array" ref="L40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-0.87239999999999995</v>
      </c>
      <c r="M409" s="9" cm="1">
        <f t="array" ref="M409">_xlfn.LET(_xlpm.val,IFERROR(INDEX(Sheet4!$2:$1605,MATCH(ChiTietKQKD[[#This Row],[Mã CP]],Sheet4!$B$2:$B$1605,0),_xlfn.XMATCH("*Lợi nhuận sau thuế*Q2*2026*",Sheet4!$1:$1,2)),0),IF(OR(_xlpm.val="",_xlpm.val=0),"",_xlpm.val/1000000000))</f>
        <v>19.355983702</v>
      </c>
      <c r="N409" s="9" cm="1">
        <f t="array" ref="N409">_xlfn.LET(_xlpm.val,IFERROR(INDEX(Sheet4!$2:$1605,MATCH(ChiTietKQKD[[#This Row],[Mã CP]],Sheet4!$B$2:$B$1605,0),_xlfn.XMATCH("*Lợi nhuận sau thuế*6 tháng*2026*",Sheet4!$1:$1,2)),0),IF(OR(_xlpm.val="",_xlpm.val=0),"",_xlpm.val/1000000000))</f>
        <v>21.036536796</v>
      </c>
      <c r="O409" s="10" cm="1">
        <f t="array" ref="O409">IFERROR(INDEX(Sheet4!$2:$1605,MATCH(ChiTietKQKD[[#This Row],[Mã CP]],Sheet4!$B$2:$B$1605,0),_xlfn.XMATCH("*Tăng trưởng lợi nhuận sau thuế (YoY) (Quý*",Sheet4!$1:$1,2)),"")</f>
        <v>9.0274999999999999</v>
      </c>
      <c r="P409" s="10" cm="1">
        <f t="array" ref="P409">IFERROR(INDEX(Sheet4!$2:$1605,MATCH(ChiTietKQKD[[#This Row],[Mã CP]],Sheet4!$B$2:$B$1605,0),_xlfn.XMATCH("*Tăng trưởng lợi nhuận sau thuế (YoY) (6M)*",Sheet4!$1:$1,2)),"")</f>
        <v>9.6981999999999999</v>
      </c>
      <c r="Q409" s="10" cm="1">
        <f t="array" ref="Q409">IFERROR(INDEX(Sheet4!$2:$1605,MATCH(ChiTietKQKD[[#This Row],[Mã CP]],Sheet4!$B$2:$B$1605,0),_xlfn.XMATCH("*Tăng trưởng doanh thu thuần (QoQ)*",Sheet4!$1:$1,2)),"")</f>
        <v>0.47239999999999999</v>
      </c>
      <c r="R409" s="10" cm="1">
        <f t="array" ref="R409">IFERROR(INDEX(Sheet4!$2:$1605,MATCH(ChiTietKQKD[[#This Row],[Mã CP]],Sheet4!$B$2:$B$1605,0),_xlfn.XMATCH("*Tăng trưởng lợi nhuận sau thuế (QoQ)*",Sheet4!$1:$1,2)),"")</f>
        <v>10.5176</v>
      </c>
    </row>
    <row r="410" spans="1:18" x14ac:dyDescent="0.25">
      <c r="A410" s="7">
        <f>Sheet4!A389</f>
        <v>388</v>
      </c>
      <c r="B410" t="str">
        <f>Sheet4!B389</f>
        <v>VCB</v>
      </c>
      <c r="C410" t="str">
        <f>Sheet4!C388</f>
        <v>Thép VICASA</v>
      </c>
      <c r="D410" t="str">
        <f>Sheet4!D389</f>
        <v>HOSE</v>
      </c>
      <c r="E410" s="7">
        <f>Sheet4!AH389/1000000000</f>
        <v>455384.29262299999</v>
      </c>
      <c r="F410" t="str">
        <f>Sheet4!E389</f>
        <v>Ngân hàng</v>
      </c>
      <c r="G410" t="str">
        <f>Sheet4!F389</f>
        <v>Ngân hàng</v>
      </c>
      <c r="H410" t="str">
        <f>Sheet4!G389</f>
        <v>Ngân hàng</v>
      </c>
      <c r="I410" s="9" t="str" cm="1">
        <f t="array" ref="I41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10" s="9" t="str" cm="1">
        <f t="array" ref="J41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10" s="10" t="str" cm="1">
        <f t="array" ref="K41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410" s="10" t="str" cm="1">
        <f t="array" ref="L41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410" s="9" t="str" cm="1">
        <f t="array" ref="M41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10" s="9" t="str" cm="1">
        <f t="array" ref="N41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10" s="10" cm="1">
        <f t="array" ref="O410">IFERROR(INDEX(Sheet4!$2:$1605,MATCH(ChiTietKQKD[[#This Row],[Mã CP]],Sheet4!$B$2:$B$1605,0),_xlfn.XMATCH("*Tăng trưởng lợi nhuận sau thuế (YoY) (Quý*",Sheet4!$1:$1,2)),"")</f>
        <v>0</v>
      </c>
      <c r="P410" s="10" cm="1">
        <f t="array" ref="P410">IFERROR(INDEX(Sheet4!$2:$1605,MATCH(ChiTietKQKD[[#This Row],[Mã CP]],Sheet4!$B$2:$B$1605,0),_xlfn.XMATCH("*Tăng trưởng lợi nhuận sau thuế (YoY) (6M)*",Sheet4!$1:$1,2)),"")</f>
        <v>0</v>
      </c>
      <c r="Q410" s="10" cm="1">
        <f t="array" ref="Q410">IFERROR(INDEX(Sheet4!$2:$1605,MATCH(ChiTietKQKD[[#This Row],[Mã CP]],Sheet4!$B$2:$B$1605,0),_xlfn.XMATCH("*Tăng trưởng doanh thu thuần (QoQ)*",Sheet4!$1:$1,2)),"")</f>
        <v>0</v>
      </c>
      <c r="R410" s="10" cm="1">
        <f t="array" ref="R410">IFERROR(INDEX(Sheet4!$2:$1605,MATCH(ChiTietKQKD[[#This Row],[Mã CP]],Sheet4!$B$2:$B$1605,0),_xlfn.XMATCH("*Tăng trưởng lợi nhuận sau thuế (QoQ)*",Sheet4!$1:$1,2)),"")</f>
        <v>0</v>
      </c>
    </row>
    <row r="411" spans="1:18" x14ac:dyDescent="0.25">
      <c r="A411" s="7">
        <f>Sheet4!A390</f>
        <v>389</v>
      </c>
      <c r="B411" t="str">
        <f>Sheet4!B390</f>
        <v>VCF</v>
      </c>
      <c r="C411" t="str">
        <f>Sheet4!C389</f>
        <v>Vietcombank</v>
      </c>
      <c r="D411" t="str">
        <f>Sheet4!D390</f>
        <v>HOSE</v>
      </c>
      <c r="E411" s="7">
        <f>Sheet4!AH390/1000000000</f>
        <v>7790.3444685000004</v>
      </c>
      <c r="F411" t="str">
        <f>Sheet4!E390</f>
        <v>Hàng Tiêu dùng</v>
      </c>
      <c r="G411" t="str">
        <f>Sheet4!F390</f>
        <v>Thực phẩm và đồ uống</v>
      </c>
      <c r="H411" t="str">
        <f>Sheet4!G390</f>
        <v>Đồ uống &amp; giải khát</v>
      </c>
      <c r="I411" s="9" cm="1">
        <f t="array" ref="I41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613.15065901699995</v>
      </c>
      <c r="J411" s="9" t="str" cm="1">
        <f t="array" ref="J41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11" s="10" cm="1">
        <f t="array" ref="K41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-3.5799999999999998E-2</v>
      </c>
      <c r="L411" s="10" cm="1">
        <f t="array" ref="L41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-2.64E-2</v>
      </c>
      <c r="M411" s="9" cm="1">
        <f t="array" ref="M411">_xlfn.LET(_xlpm.val,IFERROR(INDEX(Sheet4!$2:$1605,MATCH(ChiTietKQKD[[#This Row],[Mã CP]],Sheet4!$B$2:$B$1605,0),_xlfn.XMATCH("*Lợi nhuận sau thuế*Q2*2026*",Sheet4!$1:$1,2)),0),IF(OR(_xlpm.val="",_xlpm.val=0),"",_xlpm.val/1000000000))</f>
        <v>103.14240620299999</v>
      </c>
      <c r="N411" s="9" t="str" cm="1">
        <f t="array" ref="N41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11" s="10" cm="1">
        <f t="array" ref="O411">IFERROR(INDEX(Sheet4!$2:$1605,MATCH(ChiTietKQKD[[#This Row],[Mã CP]],Sheet4!$B$2:$B$1605,0),_xlfn.XMATCH("*Tăng trưởng lợi nhuận sau thuế (YoY) (Quý*",Sheet4!$1:$1,2)),"")</f>
        <v>-0.14810000000000001</v>
      </c>
      <c r="P411" s="10" cm="1">
        <f t="array" ref="P411">IFERROR(INDEX(Sheet4!$2:$1605,MATCH(ChiTietKQKD[[#This Row],[Mã CP]],Sheet4!$B$2:$B$1605,0),_xlfn.XMATCH("*Tăng trưởng lợi nhuận sau thuế (YoY) (6M)*",Sheet4!$1:$1,2)),"")</f>
        <v>-0.1356</v>
      </c>
      <c r="Q411" s="10" cm="1">
        <f t="array" ref="Q411">IFERROR(INDEX(Sheet4!$2:$1605,MATCH(ChiTietKQKD[[#This Row],[Mã CP]],Sheet4!$B$2:$B$1605,0),_xlfn.XMATCH("*Tăng trưởng doanh thu thuần (QoQ)*",Sheet4!$1:$1,2)),"")</f>
        <v>-7.2700000000000001E-2</v>
      </c>
      <c r="R411" s="10" cm="1">
        <f t="array" ref="R411">IFERROR(INDEX(Sheet4!$2:$1605,MATCH(ChiTietKQKD[[#This Row],[Mã CP]],Sheet4!$B$2:$B$1605,0),_xlfn.XMATCH("*Tăng trưởng lợi nhuận sau thuế (QoQ)*",Sheet4!$1:$1,2)),"")</f>
        <v>-8.1100000000000005E-2</v>
      </c>
    </row>
    <row r="412" spans="1:18" x14ac:dyDescent="0.25">
      <c r="A412" s="7">
        <f>Sheet4!A391</f>
        <v>390</v>
      </c>
      <c r="B412" t="str">
        <f>Sheet4!B391</f>
        <v>VCG</v>
      </c>
      <c r="C412" t="str">
        <f>Sheet4!C390</f>
        <v>VinaCafé Biên Hòa</v>
      </c>
      <c r="D412" t="str">
        <f>Sheet4!D391</f>
        <v>HOSE</v>
      </c>
      <c r="E412" s="7">
        <f>Sheet4!AH391/1000000000</f>
        <v>10821.731797500001</v>
      </c>
      <c r="F412" t="str">
        <f>Sheet4!E391</f>
        <v>Công nghiệp</v>
      </c>
      <c r="G412" t="str">
        <f>Sheet4!F391</f>
        <v>Xây dựng và Vật liệu</v>
      </c>
      <c r="H412" t="str">
        <f>Sheet4!G391</f>
        <v>Xây dựng</v>
      </c>
      <c r="I412" s="9" t="str" cm="1">
        <f t="array" ref="I41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12" s="9" t="str" cm="1">
        <f t="array" ref="J41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12" s="10" cm="1">
        <f t="array" ref="K41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12" s="10" cm="1">
        <f t="array" ref="L41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12" s="9" t="str" cm="1">
        <f t="array" ref="M41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12" s="9" t="str" cm="1">
        <f t="array" ref="N41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12" s="10" cm="1">
        <f t="array" ref="O412">IFERROR(INDEX(Sheet4!$2:$1605,MATCH(ChiTietKQKD[[#This Row],[Mã CP]],Sheet4!$B$2:$B$1605,0),_xlfn.XMATCH("*Tăng trưởng lợi nhuận sau thuế (YoY) (Quý*",Sheet4!$1:$1,2)),"")</f>
        <v>0</v>
      </c>
      <c r="P412" s="10" cm="1">
        <f t="array" ref="P412">IFERROR(INDEX(Sheet4!$2:$1605,MATCH(ChiTietKQKD[[#This Row],[Mã CP]],Sheet4!$B$2:$B$1605,0),_xlfn.XMATCH("*Tăng trưởng lợi nhuận sau thuế (YoY) (6M)*",Sheet4!$1:$1,2)),"")</f>
        <v>0</v>
      </c>
      <c r="Q412" s="10" cm="1">
        <f t="array" ref="Q412">IFERROR(INDEX(Sheet4!$2:$1605,MATCH(ChiTietKQKD[[#This Row],[Mã CP]],Sheet4!$B$2:$B$1605,0),_xlfn.XMATCH("*Tăng trưởng doanh thu thuần (QoQ)*",Sheet4!$1:$1,2)),"")</f>
        <v>0</v>
      </c>
      <c r="R412" s="10" cm="1">
        <f t="array" ref="R412">IFERROR(INDEX(Sheet4!$2:$1605,MATCH(ChiTietKQKD[[#This Row],[Mã CP]],Sheet4!$B$2:$B$1605,0),_xlfn.XMATCH("*Tăng trưởng lợi nhuận sau thuế (QoQ)*",Sheet4!$1:$1,2)),"")</f>
        <v>0</v>
      </c>
    </row>
    <row r="413" spans="1:18" x14ac:dyDescent="0.25">
      <c r="A413" s="7">
        <f>Sheet4!A392</f>
        <v>391</v>
      </c>
      <c r="B413" t="str">
        <f>Sheet4!B392</f>
        <v>VCI</v>
      </c>
      <c r="C413" t="str">
        <f>Sheet4!C391</f>
        <v>VINACONEX</v>
      </c>
      <c r="D413" t="str">
        <f>Sheet4!D392</f>
        <v>HOSE</v>
      </c>
      <c r="E413" s="7">
        <f>Sheet4!AH392/1000000000</f>
        <v>22929.415307499999</v>
      </c>
      <c r="F413" t="str">
        <f>Sheet4!E392</f>
        <v>Tài chính</v>
      </c>
      <c r="G413" t="str">
        <f>Sheet4!F392</f>
        <v>Dịch vụ tài chính</v>
      </c>
      <c r="H413" t="str">
        <f>Sheet4!G392</f>
        <v>Môi giới chứng khoán</v>
      </c>
      <c r="I413" s="9" cm="1">
        <f t="array" ref="I41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1175.8488172939999</v>
      </c>
      <c r="J413" s="9" cm="1">
        <f t="array" ref="J41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2582.3311591689999</v>
      </c>
      <c r="K413" s="10" cm="1">
        <f t="array" ref="K41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1.3899999999999999E-2</v>
      </c>
      <c r="L413" s="10" cm="1">
        <f t="array" ref="L41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0.28439999999999999</v>
      </c>
      <c r="M413" s="9" cm="1">
        <f t="array" ref="M413">_xlfn.LET(_xlpm.val,IFERROR(INDEX(Sheet4!$2:$1605,MATCH(ChiTietKQKD[[#This Row],[Mã CP]],Sheet4!$B$2:$B$1605,0),_xlfn.XMATCH("*Lợi nhuận sau thuế*Q2*2026*",Sheet4!$1:$1,2)),0),IF(OR(_xlpm.val="",_xlpm.val=0),"",_xlpm.val/1000000000))</f>
        <v>250.58881286499999</v>
      </c>
      <c r="N413" s="9" cm="1">
        <f t="array" ref="N413">_xlfn.LET(_xlpm.val,IFERROR(INDEX(Sheet4!$2:$1605,MATCH(ChiTietKQKD[[#This Row],[Mã CP]],Sheet4!$B$2:$B$1605,0),_xlfn.XMATCH("*Lợi nhuận sau thuế*6 tháng*2026*",Sheet4!$1:$1,2)),0),IF(OR(_xlpm.val="",_xlpm.val=0),"",_xlpm.val/1000000000))</f>
        <v>591.31869395299998</v>
      </c>
      <c r="O413" s="10" cm="1">
        <f t="array" ref="O413">IFERROR(INDEX(Sheet4!$2:$1605,MATCH(ChiTietKQKD[[#This Row],[Mã CP]],Sheet4!$B$2:$B$1605,0),_xlfn.XMATCH("*Tăng trưởng lợi nhuận sau thuế (YoY) (Quý*",Sheet4!$1:$1,2)),"")</f>
        <v>0.36259999999999998</v>
      </c>
      <c r="P413" s="10" cm="1">
        <f t="array" ref="P413">IFERROR(INDEX(Sheet4!$2:$1605,MATCH(ChiTietKQKD[[#This Row],[Mã CP]],Sheet4!$B$2:$B$1605,0),_xlfn.XMATCH("*Tăng trưởng lợi nhuận sau thuế (YoY) (6M)*",Sheet4!$1:$1,2)),"")</f>
        <v>0.2351</v>
      </c>
      <c r="Q413" s="10" cm="1">
        <f t="array" ref="Q413">IFERROR(INDEX(Sheet4!$2:$1605,MATCH(ChiTietKQKD[[#This Row],[Mã CP]],Sheet4!$B$2:$B$1605,0),_xlfn.XMATCH("*Tăng trưởng doanh thu thuần (QoQ)*",Sheet4!$1:$1,2)),"")</f>
        <v>-0.16400000000000001</v>
      </c>
      <c r="R413" s="10" cm="1">
        <f t="array" ref="R413">IFERROR(INDEX(Sheet4!$2:$1605,MATCH(ChiTietKQKD[[#This Row],[Mã CP]],Sheet4!$B$2:$B$1605,0),_xlfn.XMATCH("*Tăng trưởng lợi nhuận sau thuế (QoQ)*",Sheet4!$1:$1,2)),"")</f>
        <v>-0.2646</v>
      </c>
    </row>
    <row r="414" spans="1:18" x14ac:dyDescent="0.25">
      <c r="A414" s="7">
        <f>Sheet4!A393</f>
        <v>392</v>
      </c>
      <c r="B414" t="str">
        <f>Sheet4!B393</f>
        <v>VCK</v>
      </c>
      <c r="C414" t="str">
        <f>Sheet4!C392</f>
        <v>Chứng khoán Vietcap</v>
      </c>
      <c r="D414" t="str">
        <f>Sheet4!D393</f>
        <v>HOSE</v>
      </c>
      <c r="E414" s="7">
        <f>Sheet4!AH393/1000000000</f>
        <v>71830.131267999997</v>
      </c>
      <c r="F414" t="str">
        <f>Sheet4!E393</f>
        <v>Tài chính</v>
      </c>
      <c r="G414" t="str">
        <f>Sheet4!F393</f>
        <v>Dịch vụ tài chính</v>
      </c>
      <c r="H414" t="str">
        <f>Sheet4!G393</f>
        <v>Môi giới chứng khoán</v>
      </c>
      <c r="I414" s="9" cm="1">
        <f t="array" ref="I41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2353.8442511789999</v>
      </c>
      <c r="J414" s="9" cm="1">
        <f t="array" ref="J41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4873.0280135439998</v>
      </c>
      <c r="K414" s="10" cm="1">
        <f t="array" ref="K41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0.36570000000000003</v>
      </c>
      <c r="L414" s="10" cm="1">
        <f t="array" ref="L41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0.52659999999999996</v>
      </c>
      <c r="M414" s="9" cm="1">
        <f t="array" ref="M414">_xlfn.LET(_xlpm.val,IFERROR(INDEX(Sheet4!$2:$1605,MATCH(ChiTietKQKD[[#This Row],[Mã CP]],Sheet4!$B$2:$B$1605,0),_xlfn.XMATCH("*Lợi nhuận sau thuế*Q2*2026*",Sheet4!$1:$1,2)),0),IF(OR(_xlpm.val="",_xlpm.val=0),"",_xlpm.val/1000000000))</f>
        <v>1104.3304131919999</v>
      </c>
      <c r="N414" s="9" cm="1">
        <f t="array" ref="N414">_xlfn.LET(_xlpm.val,IFERROR(INDEX(Sheet4!$2:$1605,MATCH(ChiTietKQKD[[#This Row],[Mã CP]],Sheet4!$B$2:$B$1605,0),_xlfn.XMATCH("*Lợi nhuận sau thuế*6 tháng*2026*",Sheet4!$1:$1,2)),0),IF(OR(_xlpm.val="",_xlpm.val=0),"",_xlpm.val/1000000000))</f>
        <v>2339.6012122060001</v>
      </c>
      <c r="O414" s="10" cm="1">
        <f t="array" ref="O414">IFERROR(INDEX(Sheet4!$2:$1605,MATCH(ChiTietKQKD[[#This Row],[Mã CP]],Sheet4!$B$2:$B$1605,0),_xlfn.XMATCH("*Tăng trưởng lợi nhuận sau thuế (YoY) (Quý*",Sheet4!$1:$1,2)),"")</f>
        <v>0.5706</v>
      </c>
      <c r="P414" s="10" cm="1">
        <f t="array" ref="P414">IFERROR(INDEX(Sheet4!$2:$1605,MATCH(ChiTietKQKD[[#This Row],[Mã CP]],Sheet4!$B$2:$B$1605,0),_xlfn.XMATCH("*Tăng trưởng lợi nhuận sau thuế (YoY) (6M)*",Sheet4!$1:$1,2)),"")</f>
        <v>0.62709999999999999</v>
      </c>
      <c r="Q414" s="10" cm="1">
        <f t="array" ref="Q414">IFERROR(INDEX(Sheet4!$2:$1605,MATCH(ChiTietKQKD[[#This Row],[Mã CP]],Sheet4!$B$2:$B$1605,0),_xlfn.XMATCH("*Tăng trưởng doanh thu thuần (QoQ)*",Sheet4!$1:$1,2)),"")</f>
        <v>-6.5600000000000006E-2</v>
      </c>
      <c r="R414" s="10" cm="1">
        <f t="array" ref="R414">IFERROR(INDEX(Sheet4!$2:$1605,MATCH(ChiTietKQKD[[#This Row],[Mã CP]],Sheet4!$B$2:$B$1605,0),_xlfn.XMATCH("*Tăng trưởng lợi nhuận sau thuế (QoQ)*",Sheet4!$1:$1,2)),"")</f>
        <v>-0.106</v>
      </c>
    </row>
    <row r="415" spans="1:18" x14ac:dyDescent="0.25">
      <c r="A415" s="7">
        <f>Sheet4!A394</f>
        <v>393</v>
      </c>
      <c r="B415" t="str">
        <f>Sheet4!B394</f>
        <v>VDP</v>
      </c>
      <c r="C415" t="str">
        <f>Sheet4!C393</f>
        <v>Chứng Khoán VPS</v>
      </c>
      <c r="D415" t="str">
        <f>Sheet4!D394</f>
        <v>HOSE</v>
      </c>
      <c r="E415" s="7">
        <f>Sheet4!AH394/1000000000</f>
        <v>1126.2529919999999</v>
      </c>
      <c r="F415" t="str">
        <f>Sheet4!E394</f>
        <v>Dược phẩm và Y tế</v>
      </c>
      <c r="G415" t="str">
        <f>Sheet4!F394</f>
        <v>Y tế</v>
      </c>
      <c r="H415" t="str">
        <f>Sheet4!G394</f>
        <v>Dược phẩm</v>
      </c>
      <c r="I415" s="9" cm="1">
        <f t="array" ref="I41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232.900556951</v>
      </c>
      <c r="J415" s="9" cm="1">
        <f t="array" ref="J41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428.82426748400002</v>
      </c>
      <c r="K415" s="10" cm="1">
        <f t="array" ref="K41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-0.1202</v>
      </c>
      <c r="L415" s="10" cm="1">
        <f t="array" ref="L41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-9.7299999999999998E-2</v>
      </c>
      <c r="M415" s="9" cm="1">
        <f t="array" ref="M415">_xlfn.LET(_xlpm.val,IFERROR(INDEX(Sheet4!$2:$1605,MATCH(ChiTietKQKD[[#This Row],[Mã CP]],Sheet4!$B$2:$B$1605,0),_xlfn.XMATCH("*Lợi nhuận sau thuế*Q2*2026*",Sheet4!$1:$1,2)),0),IF(OR(_xlpm.val="",_xlpm.val=0),"",_xlpm.val/1000000000))</f>
        <v>19.070880091999999</v>
      </c>
      <c r="N415" s="9" cm="1">
        <f t="array" ref="N415">_xlfn.LET(_xlpm.val,IFERROR(INDEX(Sheet4!$2:$1605,MATCH(ChiTietKQKD[[#This Row],[Mã CP]],Sheet4!$B$2:$B$1605,0),_xlfn.XMATCH("*Lợi nhuận sau thuế*6 tháng*2026*",Sheet4!$1:$1,2)),0),IF(OR(_xlpm.val="",_xlpm.val=0),"",_xlpm.val/1000000000))</f>
        <v>30.988471836999999</v>
      </c>
      <c r="O415" s="10" cm="1">
        <f t="array" ref="O415">IFERROR(INDEX(Sheet4!$2:$1605,MATCH(ChiTietKQKD[[#This Row],[Mã CP]],Sheet4!$B$2:$B$1605,0),_xlfn.XMATCH("*Tăng trưởng lợi nhuận sau thuế (YoY) (Quý*",Sheet4!$1:$1,2)),"")</f>
        <v>4.6100000000000002E-2</v>
      </c>
      <c r="P415" s="10" cm="1">
        <f t="array" ref="P415">IFERROR(INDEX(Sheet4!$2:$1605,MATCH(ChiTietKQKD[[#This Row],[Mã CP]],Sheet4!$B$2:$B$1605,0),_xlfn.XMATCH("*Tăng trưởng lợi nhuận sau thuế (YoY) (6M)*",Sheet4!$1:$1,2)),"")</f>
        <v>-4.2500000000000003E-2</v>
      </c>
      <c r="Q415" s="10" cm="1">
        <f t="array" ref="Q415">IFERROR(INDEX(Sheet4!$2:$1605,MATCH(ChiTietKQKD[[#This Row],[Mã CP]],Sheet4!$B$2:$B$1605,0),_xlfn.XMATCH("*Tăng trưởng doanh thu thuần (QoQ)*",Sheet4!$1:$1,2)),"")</f>
        <v>0.18870000000000001</v>
      </c>
      <c r="R415" s="10" cm="1">
        <f t="array" ref="R415">IFERROR(INDEX(Sheet4!$2:$1605,MATCH(ChiTietKQKD[[#This Row],[Mã CP]],Sheet4!$B$2:$B$1605,0),_xlfn.XMATCH("*Tăng trưởng lợi nhuận sau thuế (QoQ)*",Sheet4!$1:$1,2)),"")</f>
        <v>0.60019999999999996</v>
      </c>
    </row>
    <row r="416" spans="1:18" x14ac:dyDescent="0.25">
      <c r="A416" s="7">
        <f>Sheet4!A395</f>
        <v>394</v>
      </c>
      <c r="B416" t="str">
        <f>Sheet4!B395</f>
        <v>VDS</v>
      </c>
      <c r="C416" t="str">
        <f>Sheet4!C394</f>
        <v>Dược phẩm VIDIPHA</v>
      </c>
      <c r="D416" t="str">
        <f>Sheet4!D395</f>
        <v>HOSE</v>
      </c>
      <c r="E416" s="7">
        <f>Sheet4!AH395/1000000000</f>
        <v>3345.6</v>
      </c>
      <c r="F416" t="str">
        <f>Sheet4!E395</f>
        <v>Tài chính</v>
      </c>
      <c r="G416" t="str">
        <f>Sheet4!F395</f>
        <v>Dịch vụ tài chính</v>
      </c>
      <c r="H416" t="str">
        <f>Sheet4!G395</f>
        <v>Môi giới chứng khoán</v>
      </c>
      <c r="I416" s="9" t="str" cm="1">
        <f t="array" ref="I41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16" s="9" t="str" cm="1">
        <f t="array" ref="J41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16" s="10" cm="1">
        <f t="array" ref="K41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16" s="10" cm="1">
        <f t="array" ref="L41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16" s="9" t="str" cm="1">
        <f t="array" ref="M41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16" s="9" t="str" cm="1">
        <f t="array" ref="N41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16" s="10" cm="1">
        <f t="array" ref="O416">IFERROR(INDEX(Sheet4!$2:$1605,MATCH(ChiTietKQKD[[#This Row],[Mã CP]],Sheet4!$B$2:$B$1605,0),_xlfn.XMATCH("*Tăng trưởng lợi nhuận sau thuế (YoY) (Quý*",Sheet4!$1:$1,2)),"")</f>
        <v>0</v>
      </c>
      <c r="P416" s="10" cm="1">
        <f t="array" ref="P416">IFERROR(INDEX(Sheet4!$2:$1605,MATCH(ChiTietKQKD[[#This Row],[Mã CP]],Sheet4!$B$2:$B$1605,0),_xlfn.XMATCH("*Tăng trưởng lợi nhuận sau thuế (YoY) (6M)*",Sheet4!$1:$1,2)),"")</f>
        <v>0</v>
      </c>
      <c r="Q416" s="10" cm="1">
        <f t="array" ref="Q416">IFERROR(INDEX(Sheet4!$2:$1605,MATCH(ChiTietKQKD[[#This Row],[Mã CP]],Sheet4!$B$2:$B$1605,0),_xlfn.XMATCH("*Tăng trưởng doanh thu thuần (QoQ)*",Sheet4!$1:$1,2)),"")</f>
        <v>0</v>
      </c>
      <c r="R416" s="10" cm="1">
        <f t="array" ref="R416">IFERROR(INDEX(Sheet4!$2:$1605,MATCH(ChiTietKQKD[[#This Row],[Mã CP]],Sheet4!$B$2:$B$1605,0),_xlfn.XMATCH("*Tăng trưởng lợi nhuận sau thuế (QoQ)*",Sheet4!$1:$1,2)),"")</f>
        <v>0</v>
      </c>
    </row>
    <row r="417" spans="1:18" x14ac:dyDescent="0.25">
      <c r="A417" s="7">
        <f>Sheet4!A396</f>
        <v>395</v>
      </c>
      <c r="B417" t="str">
        <f>Sheet4!B396</f>
        <v>VFG</v>
      </c>
      <c r="C417" t="str">
        <f>Sheet4!C395</f>
        <v>Chứng khoán Rồng Việt</v>
      </c>
      <c r="D417" t="str">
        <f>Sheet4!D396</f>
        <v>HOSE</v>
      </c>
      <c r="E417" s="7">
        <f>Sheet4!AH396/1000000000</f>
        <v>1920.8658746999999</v>
      </c>
      <c r="F417" t="str">
        <f>Sheet4!E396</f>
        <v>Nguyên vật liệu</v>
      </c>
      <c r="G417" t="str">
        <f>Sheet4!F396</f>
        <v>Hóa chất</v>
      </c>
      <c r="H417" t="str">
        <f>Sheet4!G396</f>
        <v>Sản phẩm hóa dầu, Nông dược &amp; Hóa chất khác</v>
      </c>
      <c r="I417" s="9" cm="1">
        <f t="array" ref="I41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935.63828556800001</v>
      </c>
      <c r="J417" s="9" cm="1">
        <f t="array" ref="J41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2054.8840711610001</v>
      </c>
      <c r="K417" s="10" cm="1">
        <f t="array" ref="K41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0.16969999999999999</v>
      </c>
      <c r="L417" s="10" cm="1">
        <f t="array" ref="L41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17" s="9" cm="1">
        <f t="array" ref="M417">_xlfn.LET(_xlpm.val,IFERROR(INDEX(Sheet4!$2:$1605,MATCH(ChiTietKQKD[[#This Row],[Mã CP]],Sheet4!$B$2:$B$1605,0),_xlfn.XMATCH("*Lợi nhuận sau thuế*Q2*2026*",Sheet4!$1:$1,2)),0),IF(OR(_xlpm.val="",_xlpm.val=0),"",_xlpm.val/1000000000))</f>
        <v>74.692710168999994</v>
      </c>
      <c r="N417" s="9" cm="1">
        <f t="array" ref="N417">_xlfn.LET(_xlpm.val,IFERROR(INDEX(Sheet4!$2:$1605,MATCH(ChiTietKQKD[[#This Row],[Mã CP]],Sheet4!$B$2:$B$1605,0),_xlfn.XMATCH("*Lợi nhuận sau thuế*6 tháng*2026*",Sheet4!$1:$1,2)),0),IF(OR(_xlpm.val="",_xlpm.val=0),"",_xlpm.val/1000000000))</f>
        <v>171.088197968</v>
      </c>
      <c r="O417" s="10" cm="1">
        <f t="array" ref="O417">IFERROR(INDEX(Sheet4!$2:$1605,MATCH(ChiTietKQKD[[#This Row],[Mã CP]],Sheet4!$B$2:$B$1605,0),_xlfn.XMATCH("*Tăng trưởng lợi nhuận sau thuế (YoY) (Quý*",Sheet4!$1:$1,2)),"")</f>
        <v>7.5899999999999995E-2</v>
      </c>
      <c r="P417" s="10" cm="1">
        <f t="array" ref="P417">IFERROR(INDEX(Sheet4!$2:$1605,MATCH(ChiTietKQKD[[#This Row],[Mã CP]],Sheet4!$B$2:$B$1605,0),_xlfn.XMATCH("*Tăng trưởng lợi nhuận sau thuế (YoY) (6M)*",Sheet4!$1:$1,2)),"")</f>
        <v>0</v>
      </c>
      <c r="Q417" s="10" cm="1">
        <f t="array" ref="Q417">IFERROR(INDEX(Sheet4!$2:$1605,MATCH(ChiTietKQKD[[#This Row],[Mã CP]],Sheet4!$B$2:$B$1605,0),_xlfn.XMATCH("*Tăng trưởng doanh thu thuần (QoQ)*",Sheet4!$1:$1,2)),"")</f>
        <v>-0.16400000000000001</v>
      </c>
      <c r="R417" s="10" cm="1">
        <f t="array" ref="R417">IFERROR(INDEX(Sheet4!$2:$1605,MATCH(ChiTietKQKD[[#This Row],[Mã CP]],Sheet4!$B$2:$B$1605,0),_xlfn.XMATCH("*Tăng trưởng lợi nhuận sau thuế (QoQ)*",Sheet4!$1:$1,2)),"")</f>
        <v>-0.22509999999999999</v>
      </c>
    </row>
    <row r="418" spans="1:18" x14ac:dyDescent="0.25">
      <c r="A418" s="7">
        <f>Sheet4!A397</f>
        <v>396</v>
      </c>
      <c r="B418" t="str">
        <f>Sheet4!B397</f>
        <v>VGC</v>
      </c>
      <c r="C418" t="str">
        <f>Sheet4!C396</f>
        <v>Khử trùng Việt Nam</v>
      </c>
      <c r="D418" t="str">
        <f>Sheet4!D397</f>
        <v>HOSE</v>
      </c>
      <c r="E418" s="7">
        <f>Sheet4!AH397/1000000000</f>
        <v>17283.892500000002</v>
      </c>
      <c r="F418" t="str">
        <f>Sheet4!E397</f>
        <v>Công nghiệp</v>
      </c>
      <c r="G418" t="str">
        <f>Sheet4!F397</f>
        <v>Xây dựng và Vật liệu</v>
      </c>
      <c r="H418" t="str">
        <f>Sheet4!G397</f>
        <v>Vật liệu xây dựng &amp; Nội thất</v>
      </c>
      <c r="I418" s="9" t="str" cm="1">
        <f t="array" ref="I41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18" s="9" t="str" cm="1">
        <f t="array" ref="J41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18" s="10" cm="1">
        <f t="array" ref="K41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18" s="10" cm="1">
        <f t="array" ref="L41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18" s="9" t="str" cm="1">
        <f t="array" ref="M41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18" s="9" t="str" cm="1">
        <f t="array" ref="N41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18" s="10" cm="1">
        <f t="array" ref="O418">IFERROR(INDEX(Sheet4!$2:$1605,MATCH(ChiTietKQKD[[#This Row],[Mã CP]],Sheet4!$B$2:$B$1605,0),_xlfn.XMATCH("*Tăng trưởng lợi nhuận sau thuế (YoY) (Quý*",Sheet4!$1:$1,2)),"")</f>
        <v>0</v>
      </c>
      <c r="P418" s="10" cm="1">
        <f t="array" ref="P418">IFERROR(INDEX(Sheet4!$2:$1605,MATCH(ChiTietKQKD[[#This Row],[Mã CP]],Sheet4!$B$2:$B$1605,0),_xlfn.XMATCH("*Tăng trưởng lợi nhuận sau thuế (YoY) (6M)*",Sheet4!$1:$1,2)),"")</f>
        <v>0</v>
      </c>
      <c r="Q418" s="10" cm="1">
        <f t="array" ref="Q418">IFERROR(INDEX(Sheet4!$2:$1605,MATCH(ChiTietKQKD[[#This Row],[Mã CP]],Sheet4!$B$2:$B$1605,0),_xlfn.XMATCH("*Tăng trưởng doanh thu thuần (QoQ)*",Sheet4!$1:$1,2)),"")</f>
        <v>0</v>
      </c>
      <c r="R418" s="10" cm="1">
        <f t="array" ref="R418">IFERROR(INDEX(Sheet4!$2:$1605,MATCH(ChiTietKQKD[[#This Row],[Mã CP]],Sheet4!$B$2:$B$1605,0),_xlfn.XMATCH("*Tăng trưởng lợi nhuận sau thuế (QoQ)*",Sheet4!$1:$1,2)),"")</f>
        <v>0</v>
      </c>
    </row>
    <row r="419" spans="1:18" x14ac:dyDescent="0.25">
      <c r="A419" s="7">
        <f>Sheet4!A398</f>
        <v>397</v>
      </c>
      <c r="B419" t="str">
        <f>Sheet4!B398</f>
        <v>VHC</v>
      </c>
      <c r="C419" t="str">
        <f>Sheet4!C397</f>
        <v>Tổng Công ty Viglacera</v>
      </c>
      <c r="D419" t="str">
        <f>Sheet4!D398</f>
        <v>HOSE</v>
      </c>
      <c r="E419" s="7">
        <f>Sheet4!AH398/1000000000</f>
        <v>11121.962742899999</v>
      </c>
      <c r="F419" t="str">
        <f>Sheet4!E398</f>
        <v>Hàng Tiêu dùng</v>
      </c>
      <c r="G419" t="str">
        <f>Sheet4!F398</f>
        <v>Thực phẩm và đồ uống</v>
      </c>
      <c r="H419" t="str">
        <f>Sheet4!G398</f>
        <v>Nuôi trồng nông &amp; hải sản</v>
      </c>
      <c r="I419" s="9" t="str" cm="1">
        <f t="array" ref="I41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19" s="9" t="str" cm="1">
        <f t="array" ref="J41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19" s="10" cm="1">
        <f t="array" ref="K41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19" s="10" cm="1">
        <f t="array" ref="L41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19" s="9" t="str" cm="1">
        <f t="array" ref="M41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19" s="9" t="str" cm="1">
        <f t="array" ref="N41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19" s="10" cm="1">
        <f t="array" ref="O419">IFERROR(INDEX(Sheet4!$2:$1605,MATCH(ChiTietKQKD[[#This Row],[Mã CP]],Sheet4!$B$2:$B$1605,0),_xlfn.XMATCH("*Tăng trưởng lợi nhuận sau thuế (YoY) (Quý*",Sheet4!$1:$1,2)),"")</f>
        <v>0</v>
      </c>
      <c r="P419" s="10" cm="1">
        <f t="array" ref="P419">IFERROR(INDEX(Sheet4!$2:$1605,MATCH(ChiTietKQKD[[#This Row],[Mã CP]],Sheet4!$B$2:$B$1605,0),_xlfn.XMATCH("*Tăng trưởng lợi nhuận sau thuế (YoY) (6M)*",Sheet4!$1:$1,2)),"")</f>
        <v>0</v>
      </c>
      <c r="Q419" s="10" cm="1">
        <f t="array" ref="Q419">IFERROR(INDEX(Sheet4!$2:$1605,MATCH(ChiTietKQKD[[#This Row],[Mã CP]],Sheet4!$B$2:$B$1605,0),_xlfn.XMATCH("*Tăng trưởng doanh thu thuần (QoQ)*",Sheet4!$1:$1,2)),"")</f>
        <v>0</v>
      </c>
      <c r="R419" s="10" cm="1">
        <f t="array" ref="R419">IFERROR(INDEX(Sheet4!$2:$1605,MATCH(ChiTietKQKD[[#This Row],[Mã CP]],Sheet4!$B$2:$B$1605,0),_xlfn.XMATCH("*Tăng trưởng lợi nhuận sau thuế (QoQ)*",Sheet4!$1:$1,2)),"")</f>
        <v>0</v>
      </c>
    </row>
    <row r="420" spans="1:18" x14ac:dyDescent="0.25">
      <c r="A420" s="7">
        <f>Sheet4!A399</f>
        <v>398</v>
      </c>
      <c r="B420" t="str">
        <f>Sheet4!B399</f>
        <v>VHM</v>
      </c>
      <c r="C420" t="str">
        <f>Sheet4!C398</f>
        <v>Thủy sản Vĩnh Hoàn</v>
      </c>
      <c r="D420" t="str">
        <f>Sheet4!D399</f>
        <v>HOSE</v>
      </c>
      <c r="E420" s="7">
        <f>Sheet4!AH399/1000000000</f>
        <v>521230.5833076</v>
      </c>
      <c r="F420" t="str">
        <f>Sheet4!E399</f>
        <v>Tài chính</v>
      </c>
      <c r="G420" t="str">
        <f>Sheet4!F399</f>
        <v>Bất động sản</v>
      </c>
      <c r="H420" t="str">
        <f>Sheet4!G399</f>
        <v>Bất động sản</v>
      </c>
      <c r="I420" s="9" t="str" cm="1">
        <f t="array" ref="I42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20" s="9" t="str" cm="1">
        <f t="array" ref="J42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20" s="10" cm="1">
        <f t="array" ref="K42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20" s="10" cm="1">
        <f t="array" ref="L42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20" s="9" t="str" cm="1">
        <f t="array" ref="M42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20" s="9" t="str" cm="1">
        <f t="array" ref="N42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20" s="10" cm="1">
        <f t="array" ref="O420">IFERROR(INDEX(Sheet4!$2:$1605,MATCH(ChiTietKQKD[[#This Row],[Mã CP]],Sheet4!$B$2:$B$1605,0),_xlfn.XMATCH("*Tăng trưởng lợi nhuận sau thuế (YoY) (Quý*",Sheet4!$1:$1,2)),"")</f>
        <v>0</v>
      </c>
      <c r="P420" s="10" cm="1">
        <f t="array" ref="P420">IFERROR(INDEX(Sheet4!$2:$1605,MATCH(ChiTietKQKD[[#This Row],[Mã CP]],Sheet4!$B$2:$B$1605,0),_xlfn.XMATCH("*Tăng trưởng lợi nhuận sau thuế (YoY) (6M)*",Sheet4!$1:$1,2)),"")</f>
        <v>0</v>
      </c>
      <c r="Q420" s="10" cm="1">
        <f t="array" ref="Q420">IFERROR(INDEX(Sheet4!$2:$1605,MATCH(ChiTietKQKD[[#This Row],[Mã CP]],Sheet4!$B$2:$B$1605,0),_xlfn.XMATCH("*Tăng trưởng doanh thu thuần (QoQ)*",Sheet4!$1:$1,2)),"")</f>
        <v>0</v>
      </c>
      <c r="R420" s="10" cm="1">
        <f t="array" ref="R420">IFERROR(INDEX(Sheet4!$2:$1605,MATCH(ChiTietKQKD[[#This Row],[Mã CP]],Sheet4!$B$2:$B$1605,0),_xlfn.XMATCH("*Tăng trưởng lợi nhuận sau thuế (QoQ)*",Sheet4!$1:$1,2)),"")</f>
        <v>0</v>
      </c>
    </row>
    <row r="421" spans="1:18" x14ac:dyDescent="0.25">
      <c r="A421" s="7">
        <f>Sheet4!A400</f>
        <v>399</v>
      </c>
      <c r="B421" t="str">
        <f>Sheet4!B400</f>
        <v>VIB</v>
      </c>
      <c r="C421" t="str">
        <f>Sheet4!C399</f>
        <v>Vinhomes</v>
      </c>
      <c r="D421" t="str">
        <f>Sheet4!D400</f>
        <v>HOSE</v>
      </c>
      <c r="E421" s="7">
        <f>Sheet4!AH400/1000000000</f>
        <v>49187.882509499999</v>
      </c>
      <c r="F421" t="str">
        <f>Sheet4!E400</f>
        <v>Ngân hàng</v>
      </c>
      <c r="G421" t="str">
        <f>Sheet4!F400</f>
        <v>Ngân hàng</v>
      </c>
      <c r="H421" t="str">
        <f>Sheet4!G400</f>
        <v>Ngân hàng</v>
      </c>
      <c r="I421" s="9" t="str" cm="1">
        <f t="array" ref="I42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21" s="9" t="str" cm="1">
        <f t="array" ref="J42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21" s="10" t="str" cm="1">
        <f t="array" ref="K42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421" s="10" t="str" cm="1">
        <f t="array" ref="L42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421" s="9" t="str" cm="1">
        <f t="array" ref="M42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21" s="9" t="str" cm="1">
        <f t="array" ref="N42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21" s="10" cm="1">
        <f t="array" ref="O421">IFERROR(INDEX(Sheet4!$2:$1605,MATCH(ChiTietKQKD[[#This Row],[Mã CP]],Sheet4!$B$2:$B$1605,0),_xlfn.XMATCH("*Tăng trưởng lợi nhuận sau thuế (YoY) (Quý*",Sheet4!$1:$1,2)),"")</f>
        <v>0</v>
      </c>
      <c r="P421" s="10" cm="1">
        <f t="array" ref="P421">IFERROR(INDEX(Sheet4!$2:$1605,MATCH(ChiTietKQKD[[#This Row],[Mã CP]],Sheet4!$B$2:$B$1605,0),_xlfn.XMATCH("*Tăng trưởng lợi nhuận sau thuế (YoY) (6M)*",Sheet4!$1:$1,2)),"")</f>
        <v>0</v>
      </c>
      <c r="Q421" s="10" cm="1">
        <f t="array" ref="Q421">IFERROR(INDEX(Sheet4!$2:$1605,MATCH(ChiTietKQKD[[#This Row],[Mã CP]],Sheet4!$B$2:$B$1605,0),_xlfn.XMATCH("*Tăng trưởng doanh thu thuần (QoQ)*",Sheet4!$1:$1,2)),"")</f>
        <v>0</v>
      </c>
      <c r="R421" s="10" cm="1">
        <f t="array" ref="R421">IFERROR(INDEX(Sheet4!$2:$1605,MATCH(ChiTietKQKD[[#This Row],[Mã CP]],Sheet4!$B$2:$B$1605,0),_xlfn.XMATCH("*Tăng trưởng lợi nhuận sau thuế (QoQ)*",Sheet4!$1:$1,2)),"")</f>
        <v>0</v>
      </c>
    </row>
    <row r="422" spans="1:18" x14ac:dyDescent="0.25">
      <c r="A422" s="7">
        <f>Sheet4!A401</f>
        <v>400</v>
      </c>
      <c r="B422" t="str">
        <f>Sheet4!B401</f>
        <v>VIC</v>
      </c>
      <c r="C422" t="str">
        <f>Sheet4!C400</f>
        <v>VIBBank</v>
      </c>
      <c r="D422" t="str">
        <f>Sheet4!D401</f>
        <v>HOSE</v>
      </c>
      <c r="E422" s="7">
        <f>Sheet4!AH401/1000000000</f>
        <v>1568737.8773008997</v>
      </c>
      <c r="F422" t="str">
        <f>Sheet4!E401</f>
        <v>Tài chính</v>
      </c>
      <c r="G422" t="str">
        <f>Sheet4!F401</f>
        <v>Bất động sản</v>
      </c>
      <c r="H422" t="str">
        <f>Sheet4!G401</f>
        <v>Bất động sản</v>
      </c>
      <c r="I422" s="9" t="str" cm="1">
        <f t="array" ref="I42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22" s="9" t="str" cm="1">
        <f t="array" ref="J42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22" s="10" cm="1">
        <f t="array" ref="K42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22" s="10" cm="1">
        <f t="array" ref="L42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22" s="9" t="str" cm="1">
        <f t="array" ref="M42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22" s="9" t="str" cm="1">
        <f t="array" ref="N42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22" s="10" cm="1">
        <f t="array" ref="O422">IFERROR(INDEX(Sheet4!$2:$1605,MATCH(ChiTietKQKD[[#This Row],[Mã CP]],Sheet4!$B$2:$B$1605,0),_xlfn.XMATCH("*Tăng trưởng lợi nhuận sau thuế (YoY) (Quý*",Sheet4!$1:$1,2)),"")</f>
        <v>0</v>
      </c>
      <c r="P422" s="10" cm="1">
        <f t="array" ref="P422">IFERROR(INDEX(Sheet4!$2:$1605,MATCH(ChiTietKQKD[[#This Row],[Mã CP]],Sheet4!$B$2:$B$1605,0),_xlfn.XMATCH("*Tăng trưởng lợi nhuận sau thuế (YoY) (6M)*",Sheet4!$1:$1,2)),"")</f>
        <v>0</v>
      </c>
      <c r="Q422" s="10" cm="1">
        <f t="array" ref="Q422">IFERROR(INDEX(Sheet4!$2:$1605,MATCH(ChiTietKQKD[[#This Row],[Mã CP]],Sheet4!$B$2:$B$1605,0),_xlfn.XMATCH("*Tăng trưởng doanh thu thuần (QoQ)*",Sheet4!$1:$1,2)),"")</f>
        <v>0</v>
      </c>
      <c r="R422" s="10" cm="1">
        <f t="array" ref="R422">IFERROR(INDEX(Sheet4!$2:$1605,MATCH(ChiTietKQKD[[#This Row],[Mã CP]],Sheet4!$B$2:$B$1605,0),_xlfn.XMATCH("*Tăng trưởng lợi nhuận sau thuế (QoQ)*",Sheet4!$1:$1,2)),"")</f>
        <v>0</v>
      </c>
    </row>
    <row r="423" spans="1:18" x14ac:dyDescent="0.25">
      <c r="A423" s="7">
        <f>Sheet4!A402</f>
        <v>401</v>
      </c>
      <c r="B423" t="str">
        <f>Sheet4!B402</f>
        <v>VID</v>
      </c>
      <c r="C423" t="str">
        <f>Sheet4!C401</f>
        <v>VinGroup</v>
      </c>
      <c r="D423" t="str">
        <f>Sheet4!D402</f>
        <v>HOSE</v>
      </c>
      <c r="E423" s="7">
        <f>Sheet4!AH402/1000000000</f>
        <v>199.68837740999999</v>
      </c>
      <c r="F423" t="str">
        <f>Sheet4!E402</f>
        <v>Nguyên vật liệu</v>
      </c>
      <c r="G423" t="str">
        <f>Sheet4!F402</f>
        <v>Tài nguyên Cơ bản</v>
      </c>
      <c r="H423" t="str">
        <f>Sheet4!G402</f>
        <v>Sản xuất giấy</v>
      </c>
      <c r="I423" s="9" t="str" cm="1">
        <f t="array" ref="I42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23" s="9" t="str" cm="1">
        <f t="array" ref="J42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23" s="10" cm="1">
        <f t="array" ref="K42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23" s="10" cm="1">
        <f t="array" ref="L42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23" s="9" t="str" cm="1">
        <f t="array" ref="M42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23" s="9" t="str" cm="1">
        <f t="array" ref="N42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23" s="10" cm="1">
        <f t="array" ref="O423">IFERROR(INDEX(Sheet4!$2:$1605,MATCH(ChiTietKQKD[[#This Row],[Mã CP]],Sheet4!$B$2:$B$1605,0),_xlfn.XMATCH("*Tăng trưởng lợi nhuận sau thuế (YoY) (Quý*",Sheet4!$1:$1,2)),"")</f>
        <v>0</v>
      </c>
      <c r="P423" s="10" cm="1">
        <f t="array" ref="P423">IFERROR(INDEX(Sheet4!$2:$1605,MATCH(ChiTietKQKD[[#This Row],[Mã CP]],Sheet4!$B$2:$B$1605,0),_xlfn.XMATCH("*Tăng trưởng lợi nhuận sau thuế (YoY) (6M)*",Sheet4!$1:$1,2)),"")</f>
        <v>0</v>
      </c>
      <c r="Q423" s="10" cm="1">
        <f t="array" ref="Q423">IFERROR(INDEX(Sheet4!$2:$1605,MATCH(ChiTietKQKD[[#This Row],[Mã CP]],Sheet4!$B$2:$B$1605,0),_xlfn.XMATCH("*Tăng trưởng doanh thu thuần (QoQ)*",Sheet4!$1:$1,2)),"")</f>
        <v>0</v>
      </c>
      <c r="R423" s="10" cm="1">
        <f t="array" ref="R423">IFERROR(INDEX(Sheet4!$2:$1605,MATCH(ChiTietKQKD[[#This Row],[Mã CP]],Sheet4!$B$2:$B$1605,0),_xlfn.XMATCH("*Tăng trưởng lợi nhuận sau thuế (QoQ)*",Sheet4!$1:$1,2)),"")</f>
        <v>0</v>
      </c>
    </row>
    <row r="424" spans="1:18" x14ac:dyDescent="0.25">
      <c r="A424" s="7">
        <f>Sheet4!A403</f>
        <v>402</v>
      </c>
      <c r="B424" t="str">
        <f>Sheet4!B403</f>
        <v>VIP</v>
      </c>
      <c r="C424" t="str">
        <f>Sheet4!C402</f>
        <v>Viễn Đông</v>
      </c>
      <c r="D424" t="str">
        <f>Sheet4!D403</f>
        <v>HOSE</v>
      </c>
      <c r="E424" s="7">
        <f>Sheet4!AH403/1000000000</f>
        <v>677.8623159</v>
      </c>
      <c r="F424" t="str">
        <f>Sheet4!E403</f>
        <v>Công nghiệp</v>
      </c>
      <c r="G424" t="str">
        <f>Sheet4!F403</f>
        <v>Hàng &amp; Dịch vụ Công nghiệp</v>
      </c>
      <c r="H424" t="str">
        <f>Sheet4!G403</f>
        <v>Vận tải Thủy</v>
      </c>
      <c r="I424" s="9" t="str" cm="1">
        <f t="array" ref="I42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24" s="9" t="str" cm="1">
        <f t="array" ref="J42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24" s="10" cm="1">
        <f t="array" ref="K42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24" s="10" cm="1">
        <f t="array" ref="L42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24" s="9" t="str" cm="1">
        <f t="array" ref="M42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24" s="9" t="str" cm="1">
        <f t="array" ref="N42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24" s="10" cm="1">
        <f t="array" ref="O424">IFERROR(INDEX(Sheet4!$2:$1605,MATCH(ChiTietKQKD[[#This Row],[Mã CP]],Sheet4!$B$2:$B$1605,0),_xlfn.XMATCH("*Tăng trưởng lợi nhuận sau thuế (YoY) (Quý*",Sheet4!$1:$1,2)),"")</f>
        <v>0</v>
      </c>
      <c r="P424" s="10" cm="1">
        <f t="array" ref="P424">IFERROR(INDEX(Sheet4!$2:$1605,MATCH(ChiTietKQKD[[#This Row],[Mã CP]],Sheet4!$B$2:$B$1605,0),_xlfn.XMATCH("*Tăng trưởng lợi nhuận sau thuế (YoY) (6M)*",Sheet4!$1:$1,2)),"")</f>
        <v>0</v>
      </c>
      <c r="Q424" s="10" cm="1">
        <f t="array" ref="Q424">IFERROR(INDEX(Sheet4!$2:$1605,MATCH(ChiTietKQKD[[#This Row],[Mã CP]],Sheet4!$B$2:$B$1605,0),_xlfn.XMATCH("*Tăng trưởng doanh thu thuần (QoQ)*",Sheet4!$1:$1,2)),"")</f>
        <v>0</v>
      </c>
      <c r="R424" s="10" cm="1">
        <f t="array" ref="R424">IFERROR(INDEX(Sheet4!$2:$1605,MATCH(ChiTietKQKD[[#This Row],[Mã CP]],Sheet4!$B$2:$B$1605,0),_xlfn.XMATCH("*Tăng trưởng lợi nhuận sau thuế (QoQ)*",Sheet4!$1:$1,2)),"")</f>
        <v>0</v>
      </c>
    </row>
    <row r="425" spans="1:18" x14ac:dyDescent="0.25">
      <c r="A425" s="7">
        <f>Sheet4!A404</f>
        <v>403</v>
      </c>
      <c r="B425" t="str">
        <f>Sheet4!B404</f>
        <v>VIX</v>
      </c>
      <c r="C425" t="str">
        <f>Sheet4!C403</f>
        <v>Vận tải Xăng dầu VIPCO</v>
      </c>
      <c r="D425" t="str">
        <f>Sheet4!D404</f>
        <v>HOSE</v>
      </c>
      <c r="E425" s="7">
        <f>Sheet4!AH404/1000000000</f>
        <v>29648.482041200001</v>
      </c>
      <c r="F425" t="str">
        <f>Sheet4!E404</f>
        <v>Tài chính</v>
      </c>
      <c r="G425" t="str">
        <f>Sheet4!F404</f>
        <v>Dịch vụ tài chính</v>
      </c>
      <c r="H425" t="str">
        <f>Sheet4!G404</f>
        <v>Môi giới chứng khoán</v>
      </c>
      <c r="I425" s="9" cm="1">
        <f t="array" ref="I42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1349.303071717</v>
      </c>
      <c r="J425" s="9" cm="1">
        <f t="array" ref="J42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3002.7066275410002</v>
      </c>
      <c r="K425" s="10" cm="1">
        <f t="array" ref="K42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-0.31719999999999998</v>
      </c>
      <c r="L425" s="10" cm="1">
        <f t="array" ref="L42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1.5900000000000001E-2</v>
      </c>
      <c r="M425" s="9" cm="1">
        <f t="array" ref="M425">_xlfn.LET(_xlpm.val,IFERROR(INDEX(Sheet4!$2:$1605,MATCH(ChiTietKQKD[[#This Row],[Mã CP]],Sheet4!$B$2:$B$1605,0),_xlfn.XMATCH("*Lợi nhuận sau thuế*Q2*2026*",Sheet4!$1:$1,2)),0),IF(OR(_xlpm.val="",_xlpm.val=0),"",_xlpm.val/1000000000))</f>
        <v>75.882025127000006</v>
      </c>
      <c r="N425" s="9" cm="1">
        <f t="array" ref="N425">_xlfn.LET(_xlpm.val,IFERROR(INDEX(Sheet4!$2:$1605,MATCH(ChiTietKQKD[[#This Row],[Mã CP]],Sheet4!$B$2:$B$1605,0),_xlfn.XMATCH("*Lợi nhuận sau thuế*6 tháng*2026*",Sheet4!$1:$1,2)),0),IF(OR(_xlpm.val="",_xlpm.val=0),"",_xlpm.val/1000000000))</f>
        <v>214.25229418200001</v>
      </c>
      <c r="O425" s="10" cm="1">
        <f t="array" ref="O425">IFERROR(INDEX(Sheet4!$2:$1605,MATCH(ChiTietKQKD[[#This Row],[Mã CP]],Sheet4!$B$2:$B$1605,0),_xlfn.XMATCH("*Tăng trưởng lợi nhuận sau thuế (YoY) (Quý*",Sheet4!$1:$1,2)),"")</f>
        <v>-0.94169999999999998</v>
      </c>
      <c r="P425" s="10" cm="1">
        <f t="array" ref="P425">IFERROR(INDEX(Sheet4!$2:$1605,MATCH(ChiTietKQKD[[#This Row],[Mã CP]],Sheet4!$B$2:$B$1605,0),_xlfn.XMATCH("*Tăng trưởng lợi nhuận sau thuế (YoY) (6M)*",Sheet4!$1:$1,2)),"")</f>
        <v>-0.872</v>
      </c>
      <c r="Q425" s="10" cm="1">
        <f t="array" ref="Q425">IFERROR(INDEX(Sheet4!$2:$1605,MATCH(ChiTietKQKD[[#This Row],[Mã CP]],Sheet4!$B$2:$B$1605,0),_xlfn.XMATCH("*Tăng trưởng doanh thu thuần (QoQ)*",Sheet4!$1:$1,2)),"")</f>
        <v>-0.18390000000000001</v>
      </c>
      <c r="R425" s="10" cm="1">
        <f t="array" ref="R425">IFERROR(INDEX(Sheet4!$2:$1605,MATCH(ChiTietKQKD[[#This Row],[Mã CP]],Sheet4!$B$2:$B$1605,0),_xlfn.XMATCH("*Tăng trưởng lợi nhuận sau thuế (QoQ)*",Sheet4!$1:$1,2)),"")</f>
        <v>-0.4516</v>
      </c>
    </row>
    <row r="426" spans="1:18" x14ac:dyDescent="0.25">
      <c r="A426" s="7">
        <f>Sheet4!A405</f>
        <v>404</v>
      </c>
      <c r="B426" t="str">
        <f>Sheet4!B405</f>
        <v>VJC</v>
      </c>
      <c r="C426" t="str">
        <f>Sheet4!C404</f>
        <v>Chứng khoán VIX</v>
      </c>
      <c r="D426" t="str">
        <f>Sheet4!D405</f>
        <v>HOSE</v>
      </c>
      <c r="E426" s="7">
        <f>Sheet4!AH405/1000000000</f>
        <v>96905.713086000003</v>
      </c>
      <c r="F426" t="str">
        <f>Sheet4!E405</f>
        <v>Dịch vụ Tiêu dùng</v>
      </c>
      <c r="G426" t="str">
        <f>Sheet4!F405</f>
        <v>Du lịch và Giải trí</v>
      </c>
      <c r="H426" t="str">
        <f>Sheet4!G405</f>
        <v>Dịch vụ hàng không</v>
      </c>
      <c r="I426" s="9" t="str" cm="1">
        <f t="array" ref="I42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26" s="9" t="str" cm="1">
        <f t="array" ref="J42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26" s="10" cm="1">
        <f t="array" ref="K42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26" s="10" cm="1">
        <f t="array" ref="L42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26" s="9" t="str" cm="1">
        <f t="array" ref="M42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26" s="9" t="str" cm="1">
        <f t="array" ref="N42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26" s="10" cm="1">
        <f t="array" ref="O426">IFERROR(INDEX(Sheet4!$2:$1605,MATCH(ChiTietKQKD[[#This Row],[Mã CP]],Sheet4!$B$2:$B$1605,0),_xlfn.XMATCH("*Tăng trưởng lợi nhuận sau thuế (YoY) (Quý*",Sheet4!$1:$1,2)),"")</f>
        <v>0</v>
      </c>
      <c r="P426" s="10" cm="1">
        <f t="array" ref="P426">IFERROR(INDEX(Sheet4!$2:$1605,MATCH(ChiTietKQKD[[#This Row],[Mã CP]],Sheet4!$B$2:$B$1605,0),_xlfn.XMATCH("*Tăng trưởng lợi nhuận sau thuế (YoY) (6M)*",Sheet4!$1:$1,2)),"")</f>
        <v>0</v>
      </c>
      <c r="Q426" s="10" cm="1">
        <f t="array" ref="Q426">IFERROR(INDEX(Sheet4!$2:$1605,MATCH(ChiTietKQKD[[#This Row],[Mã CP]],Sheet4!$B$2:$B$1605,0),_xlfn.XMATCH("*Tăng trưởng doanh thu thuần (QoQ)*",Sheet4!$1:$1,2)),"")</f>
        <v>0</v>
      </c>
      <c r="R426" s="10" cm="1">
        <f t="array" ref="R426">IFERROR(INDEX(Sheet4!$2:$1605,MATCH(ChiTietKQKD[[#This Row],[Mã CP]],Sheet4!$B$2:$B$1605,0),_xlfn.XMATCH("*Tăng trưởng lợi nhuận sau thuế (QoQ)*",Sheet4!$1:$1,2)),"")</f>
        <v>0</v>
      </c>
    </row>
    <row r="427" spans="1:18" x14ac:dyDescent="0.25">
      <c r="A427" s="7">
        <f>Sheet4!A406</f>
        <v>405</v>
      </c>
      <c r="B427" t="str">
        <f>Sheet4!B406</f>
        <v>VMD</v>
      </c>
      <c r="C427" t="str">
        <f>Sheet4!C405</f>
        <v>Vietjet Air</v>
      </c>
      <c r="D427" t="str">
        <f>Sheet4!D406</f>
        <v>HOSE</v>
      </c>
      <c r="E427" s="7">
        <f>Sheet4!AH406/1000000000</f>
        <v>216.16375199999999</v>
      </c>
      <c r="F427" t="str">
        <f>Sheet4!E406</f>
        <v>Dược phẩm và Y tế</v>
      </c>
      <c r="G427" t="str">
        <f>Sheet4!F406</f>
        <v>Y tế</v>
      </c>
      <c r="H427" t="str">
        <f>Sheet4!G406</f>
        <v>Dược phẩm</v>
      </c>
      <c r="I427" s="9" t="str" cm="1">
        <f t="array" ref="I42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27" s="9" t="str" cm="1">
        <f t="array" ref="J42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27" s="10" cm="1">
        <f t="array" ref="K42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27" s="10" cm="1">
        <f t="array" ref="L42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27" s="9" t="str" cm="1">
        <f t="array" ref="M42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27" s="9" t="str" cm="1">
        <f t="array" ref="N42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27" s="10" cm="1">
        <f t="array" ref="O427">IFERROR(INDEX(Sheet4!$2:$1605,MATCH(ChiTietKQKD[[#This Row],[Mã CP]],Sheet4!$B$2:$B$1605,0),_xlfn.XMATCH("*Tăng trưởng lợi nhuận sau thuế (YoY) (Quý*",Sheet4!$1:$1,2)),"")</f>
        <v>0</v>
      </c>
      <c r="P427" s="10" cm="1">
        <f t="array" ref="P427">IFERROR(INDEX(Sheet4!$2:$1605,MATCH(ChiTietKQKD[[#This Row],[Mã CP]],Sheet4!$B$2:$B$1605,0),_xlfn.XMATCH("*Tăng trưởng lợi nhuận sau thuế (YoY) (6M)*",Sheet4!$1:$1,2)),"")</f>
        <v>0</v>
      </c>
      <c r="Q427" s="10" cm="1">
        <f t="array" ref="Q427">IFERROR(INDEX(Sheet4!$2:$1605,MATCH(ChiTietKQKD[[#This Row],[Mã CP]],Sheet4!$B$2:$B$1605,0),_xlfn.XMATCH("*Tăng trưởng doanh thu thuần (QoQ)*",Sheet4!$1:$1,2)),"")</f>
        <v>0</v>
      </c>
      <c r="R427" s="10" cm="1">
        <f t="array" ref="R427">IFERROR(INDEX(Sheet4!$2:$1605,MATCH(ChiTietKQKD[[#This Row],[Mã CP]],Sheet4!$B$2:$B$1605,0),_xlfn.XMATCH("*Tăng trưởng lợi nhuận sau thuế (QoQ)*",Sheet4!$1:$1,2)),"")</f>
        <v>0</v>
      </c>
    </row>
    <row r="428" spans="1:18" x14ac:dyDescent="0.25">
      <c r="A428" s="7">
        <f>Sheet4!A407</f>
        <v>406</v>
      </c>
      <c r="B428" t="str">
        <f>Sheet4!B407</f>
        <v>VND</v>
      </c>
      <c r="C428" t="str">
        <f>Sheet4!C406</f>
        <v>Y Dược phẩm Vimedimex</v>
      </c>
      <c r="D428" t="str">
        <f>Sheet4!D407</f>
        <v>HOSE</v>
      </c>
      <c r="E428" s="7">
        <f>Sheet4!AH407/1000000000</f>
        <v>25270.178472799998</v>
      </c>
      <c r="F428" t="str">
        <f>Sheet4!E407</f>
        <v>Tài chính</v>
      </c>
      <c r="G428" t="str">
        <f>Sheet4!F407</f>
        <v>Dịch vụ tài chính</v>
      </c>
      <c r="H428" t="str">
        <f>Sheet4!G407</f>
        <v>Môi giới chứng khoán</v>
      </c>
      <c r="I428" s="9" cm="1">
        <f t="array" ref="I42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1869.167915625</v>
      </c>
      <c r="J428" s="9" cm="1">
        <f t="array" ref="J42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3676.1788794119998</v>
      </c>
      <c r="K428" s="10" cm="1">
        <f t="array" ref="K42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7.3899999999999993E-2</v>
      </c>
      <c r="L428" s="10" cm="1">
        <f t="array" ref="L42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0.22600000000000001</v>
      </c>
      <c r="M428" s="9" cm="1">
        <f t="array" ref="M428">_xlfn.LET(_xlpm.val,IFERROR(INDEX(Sheet4!$2:$1605,MATCH(ChiTietKQKD[[#This Row],[Mã CP]],Sheet4!$B$2:$B$1605,0),_xlfn.XMATCH("*Lợi nhuận sau thuế*Q2*2026*",Sheet4!$1:$1,2)),0),IF(OR(_xlpm.val="",_xlpm.val=0),"",_xlpm.val/1000000000))</f>
        <v>882.55188248000002</v>
      </c>
      <c r="N428" s="9" cm="1">
        <f t="array" ref="N428">_xlfn.LET(_xlpm.val,IFERROR(INDEX(Sheet4!$2:$1605,MATCH(ChiTietKQKD[[#This Row],[Mã CP]],Sheet4!$B$2:$B$1605,0),_xlfn.XMATCH("*Lợi nhuận sau thuế*6 tháng*2026*",Sheet4!$1:$1,2)),0),IF(OR(_xlpm.val="",_xlpm.val=0),"",_xlpm.val/1000000000))</f>
        <v>1427.8873506550001</v>
      </c>
      <c r="O428" s="10" cm="1">
        <f t="array" ref="O428">IFERROR(INDEX(Sheet4!$2:$1605,MATCH(ChiTietKQKD[[#This Row],[Mã CP]],Sheet4!$B$2:$B$1605,0),_xlfn.XMATCH("*Tăng trưởng lợi nhuận sau thuế (YoY) (Quý*",Sheet4!$1:$1,2)),"")</f>
        <v>1.3949</v>
      </c>
      <c r="P428" s="10" cm="1">
        <f t="array" ref="P428">IFERROR(INDEX(Sheet4!$2:$1605,MATCH(ChiTietKQKD[[#This Row],[Mã CP]],Sheet4!$B$2:$B$1605,0),_xlfn.XMATCH("*Tăng trưởng lợi nhuận sau thuế (YoY) (6M)*",Sheet4!$1:$1,2)),"")</f>
        <v>0.9012</v>
      </c>
      <c r="Q428" s="10" cm="1">
        <f t="array" ref="Q428">IFERROR(INDEX(Sheet4!$2:$1605,MATCH(ChiTietKQKD[[#This Row],[Mã CP]],Sheet4!$B$2:$B$1605,0),_xlfn.XMATCH("*Tăng trưởng doanh thu thuần (QoQ)*",Sheet4!$1:$1,2)),"")</f>
        <v>3.44E-2</v>
      </c>
      <c r="R428" s="10" cm="1">
        <f t="array" ref="R428">IFERROR(INDEX(Sheet4!$2:$1605,MATCH(ChiTietKQKD[[#This Row],[Mã CP]],Sheet4!$B$2:$B$1605,0),_xlfn.XMATCH("*Tăng trưởng lợi nhuận sau thuế (QoQ)*",Sheet4!$1:$1,2)),"")</f>
        <v>0.61839999999999995</v>
      </c>
    </row>
    <row r="429" spans="1:18" x14ac:dyDescent="0.25">
      <c r="A429" s="7">
        <f>Sheet4!A408</f>
        <v>407</v>
      </c>
      <c r="B429" t="str">
        <f>Sheet4!B408</f>
        <v>VNG</v>
      </c>
      <c r="C429" t="str">
        <f>Sheet4!C407</f>
        <v>Chứng khoán VNDIRECT</v>
      </c>
      <c r="D429" t="str">
        <f>Sheet4!D408</f>
        <v>HOSE</v>
      </c>
      <c r="E429" s="7">
        <f>Sheet4!AH408/1000000000</f>
        <v>583.65964799999995</v>
      </c>
      <c r="F429" t="str">
        <f>Sheet4!E408</f>
        <v>Dịch vụ Tiêu dùng</v>
      </c>
      <c r="G429" t="str">
        <f>Sheet4!F408</f>
        <v>Du lịch và Giải trí</v>
      </c>
      <c r="H429" t="str">
        <f>Sheet4!G408</f>
        <v>Khách sạn</v>
      </c>
      <c r="I429" s="9" t="str" cm="1">
        <f t="array" ref="I42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29" s="9" t="str" cm="1">
        <f t="array" ref="J42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29" s="10" cm="1">
        <f t="array" ref="K42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29" s="10" cm="1">
        <f t="array" ref="L42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29" s="9" t="str" cm="1">
        <f t="array" ref="M42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29" s="9" t="str" cm="1">
        <f t="array" ref="N42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29" s="10" cm="1">
        <f t="array" ref="O429">IFERROR(INDEX(Sheet4!$2:$1605,MATCH(ChiTietKQKD[[#This Row],[Mã CP]],Sheet4!$B$2:$B$1605,0),_xlfn.XMATCH("*Tăng trưởng lợi nhuận sau thuế (YoY) (Quý*",Sheet4!$1:$1,2)),"")</f>
        <v>0</v>
      </c>
      <c r="P429" s="10" cm="1">
        <f t="array" ref="P429">IFERROR(INDEX(Sheet4!$2:$1605,MATCH(ChiTietKQKD[[#This Row],[Mã CP]],Sheet4!$B$2:$B$1605,0),_xlfn.XMATCH("*Tăng trưởng lợi nhuận sau thuế (YoY) (6M)*",Sheet4!$1:$1,2)),"")</f>
        <v>0</v>
      </c>
      <c r="Q429" s="10" cm="1">
        <f t="array" ref="Q429">IFERROR(INDEX(Sheet4!$2:$1605,MATCH(ChiTietKQKD[[#This Row],[Mã CP]],Sheet4!$B$2:$B$1605,0),_xlfn.XMATCH("*Tăng trưởng doanh thu thuần (QoQ)*",Sheet4!$1:$1,2)),"")</f>
        <v>0</v>
      </c>
      <c r="R429" s="10" cm="1">
        <f t="array" ref="R429">IFERROR(INDEX(Sheet4!$2:$1605,MATCH(ChiTietKQKD[[#This Row],[Mã CP]],Sheet4!$B$2:$B$1605,0),_xlfn.XMATCH("*Tăng trưởng lợi nhuận sau thuế (QoQ)*",Sheet4!$1:$1,2)),"")</f>
        <v>0</v>
      </c>
    </row>
    <row r="430" spans="1:18" x14ac:dyDescent="0.25">
      <c r="A430" s="7">
        <f>Sheet4!A409</f>
        <v>408</v>
      </c>
      <c r="B430" t="str">
        <f>Sheet4!B409</f>
        <v>VNL</v>
      </c>
      <c r="C430" t="str">
        <f>Sheet4!C408</f>
        <v>DL Thành Thành Công</v>
      </c>
      <c r="D430" t="str">
        <f>Sheet4!D409</f>
        <v>HOSE</v>
      </c>
      <c r="E430" s="7">
        <f>Sheet4!AH409/1000000000</f>
        <v>268.66925300000003</v>
      </c>
      <c r="F430" t="str">
        <f>Sheet4!E409</f>
        <v>Công nghiệp</v>
      </c>
      <c r="G430" t="str">
        <f>Sheet4!F409</f>
        <v>Hàng &amp; Dịch vụ Công nghiệp</v>
      </c>
      <c r="H430" t="str">
        <f>Sheet4!G409</f>
        <v>Dịch vụ vận tải</v>
      </c>
      <c r="I430" s="9" t="str" cm="1">
        <f t="array" ref="I43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30" s="9" t="str" cm="1">
        <f t="array" ref="J43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30" s="10" cm="1">
        <f t="array" ref="K43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30" s="10" cm="1">
        <f t="array" ref="L43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30" s="9" t="str" cm="1">
        <f t="array" ref="M43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30" s="9" t="str" cm="1">
        <f t="array" ref="N43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30" s="10" cm="1">
        <f t="array" ref="O430">IFERROR(INDEX(Sheet4!$2:$1605,MATCH(ChiTietKQKD[[#This Row],[Mã CP]],Sheet4!$B$2:$B$1605,0),_xlfn.XMATCH("*Tăng trưởng lợi nhuận sau thuế (YoY) (Quý*",Sheet4!$1:$1,2)),"")</f>
        <v>0</v>
      </c>
      <c r="P430" s="10" cm="1">
        <f t="array" ref="P430">IFERROR(INDEX(Sheet4!$2:$1605,MATCH(ChiTietKQKD[[#This Row],[Mã CP]],Sheet4!$B$2:$B$1605,0),_xlfn.XMATCH("*Tăng trưởng lợi nhuận sau thuế (YoY) (6M)*",Sheet4!$1:$1,2)),"")</f>
        <v>0</v>
      </c>
      <c r="Q430" s="10" cm="1">
        <f t="array" ref="Q430">IFERROR(INDEX(Sheet4!$2:$1605,MATCH(ChiTietKQKD[[#This Row],[Mã CP]],Sheet4!$B$2:$B$1605,0),_xlfn.XMATCH("*Tăng trưởng doanh thu thuần (QoQ)*",Sheet4!$1:$1,2)),"")</f>
        <v>0</v>
      </c>
      <c r="R430" s="10" cm="1">
        <f t="array" ref="R430">IFERROR(INDEX(Sheet4!$2:$1605,MATCH(ChiTietKQKD[[#This Row],[Mã CP]],Sheet4!$B$2:$B$1605,0),_xlfn.XMATCH("*Tăng trưởng lợi nhuận sau thuế (QoQ)*",Sheet4!$1:$1,2)),"")</f>
        <v>0</v>
      </c>
    </row>
    <row r="431" spans="1:18" x14ac:dyDescent="0.25">
      <c r="A431" s="7">
        <f>Sheet4!A410</f>
        <v>409</v>
      </c>
      <c r="B431" t="str">
        <f>Sheet4!B410</f>
        <v>VNM</v>
      </c>
      <c r="C431" t="str">
        <f>Sheet4!C409</f>
        <v>Vinalink Logistics</v>
      </c>
      <c r="D431" t="str">
        <f>Sheet4!D410</f>
        <v>HOSE</v>
      </c>
      <c r="E431" s="7">
        <f>Sheet4!AH410/1000000000</f>
        <v>123516.3667995</v>
      </c>
      <c r="F431" t="str">
        <f>Sheet4!E410</f>
        <v>Hàng Tiêu dùng</v>
      </c>
      <c r="G431" t="str">
        <f>Sheet4!F410</f>
        <v>Thực phẩm và đồ uống</v>
      </c>
      <c r="H431" t="str">
        <f>Sheet4!G410</f>
        <v>Thực phẩm</v>
      </c>
      <c r="I431" s="9" t="str" cm="1">
        <f t="array" ref="I43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31" s="9" t="str" cm="1">
        <f t="array" ref="J43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31" s="10" cm="1">
        <f t="array" ref="K43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31" s="10" cm="1">
        <f t="array" ref="L43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31" s="9" t="str" cm="1">
        <f t="array" ref="M43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31" s="9" t="str" cm="1">
        <f t="array" ref="N43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31" s="10" cm="1">
        <f t="array" ref="O431">IFERROR(INDEX(Sheet4!$2:$1605,MATCH(ChiTietKQKD[[#This Row],[Mã CP]],Sheet4!$B$2:$B$1605,0),_xlfn.XMATCH("*Tăng trưởng lợi nhuận sau thuế (YoY) (Quý*",Sheet4!$1:$1,2)),"")</f>
        <v>0</v>
      </c>
      <c r="P431" s="10" cm="1">
        <f t="array" ref="P431">IFERROR(INDEX(Sheet4!$2:$1605,MATCH(ChiTietKQKD[[#This Row],[Mã CP]],Sheet4!$B$2:$B$1605,0),_xlfn.XMATCH("*Tăng trưởng lợi nhuận sau thuế (YoY) (6M)*",Sheet4!$1:$1,2)),"")</f>
        <v>0</v>
      </c>
      <c r="Q431" s="10" cm="1">
        <f t="array" ref="Q431">IFERROR(INDEX(Sheet4!$2:$1605,MATCH(ChiTietKQKD[[#This Row],[Mã CP]],Sheet4!$B$2:$B$1605,0),_xlfn.XMATCH("*Tăng trưởng doanh thu thuần (QoQ)*",Sheet4!$1:$1,2)),"")</f>
        <v>0</v>
      </c>
      <c r="R431" s="10" cm="1">
        <f t="array" ref="R431">IFERROR(INDEX(Sheet4!$2:$1605,MATCH(ChiTietKQKD[[#This Row],[Mã CP]],Sheet4!$B$2:$B$1605,0),_xlfn.XMATCH("*Tăng trưởng lợi nhuận sau thuế (QoQ)*",Sheet4!$1:$1,2)),"")</f>
        <v>0</v>
      </c>
    </row>
    <row r="432" spans="1:18" x14ac:dyDescent="0.25">
      <c r="A432" s="7">
        <f>Sheet4!A411</f>
        <v>410</v>
      </c>
      <c r="B432" t="str">
        <f>Sheet4!B411</f>
        <v>VNS</v>
      </c>
      <c r="C432" t="str">
        <f>Sheet4!C410</f>
        <v>VINAMILK</v>
      </c>
      <c r="D432" t="str">
        <f>Sheet4!D411</f>
        <v>HOSE</v>
      </c>
      <c r="E432" s="7">
        <f>Sheet4!AH411/1000000000</f>
        <v>525.90873799999997</v>
      </c>
      <c r="F432" t="str">
        <f>Sheet4!E411</f>
        <v>Dịch vụ Tiêu dùng</v>
      </c>
      <c r="G432" t="str">
        <f>Sheet4!F411</f>
        <v>Du lịch và Giải trí</v>
      </c>
      <c r="H432" t="str">
        <f>Sheet4!G411</f>
        <v>Vận tải hành khách &amp; Du lịch</v>
      </c>
      <c r="I432" s="9" t="str" cm="1">
        <f t="array" ref="I43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32" s="9" t="str" cm="1">
        <f t="array" ref="J43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32" s="10" cm="1">
        <f t="array" ref="K43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32" s="10" cm="1">
        <f t="array" ref="L43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32" s="9" t="str" cm="1">
        <f t="array" ref="M43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32" s="9" t="str" cm="1">
        <f t="array" ref="N43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32" s="10" cm="1">
        <f t="array" ref="O432">IFERROR(INDEX(Sheet4!$2:$1605,MATCH(ChiTietKQKD[[#This Row],[Mã CP]],Sheet4!$B$2:$B$1605,0),_xlfn.XMATCH("*Tăng trưởng lợi nhuận sau thuế (YoY) (Quý*",Sheet4!$1:$1,2)),"")</f>
        <v>0</v>
      </c>
      <c r="P432" s="10" cm="1">
        <f t="array" ref="P432">IFERROR(INDEX(Sheet4!$2:$1605,MATCH(ChiTietKQKD[[#This Row],[Mã CP]],Sheet4!$B$2:$B$1605,0),_xlfn.XMATCH("*Tăng trưởng lợi nhuận sau thuế (YoY) (6M)*",Sheet4!$1:$1,2)),"")</f>
        <v>0</v>
      </c>
      <c r="Q432" s="10" cm="1">
        <f t="array" ref="Q432">IFERROR(INDEX(Sheet4!$2:$1605,MATCH(ChiTietKQKD[[#This Row],[Mã CP]],Sheet4!$B$2:$B$1605,0),_xlfn.XMATCH("*Tăng trưởng doanh thu thuần (QoQ)*",Sheet4!$1:$1,2)),"")</f>
        <v>0</v>
      </c>
      <c r="R432" s="10" cm="1">
        <f t="array" ref="R432">IFERROR(INDEX(Sheet4!$2:$1605,MATCH(ChiTietKQKD[[#This Row],[Mã CP]],Sheet4!$B$2:$B$1605,0),_xlfn.XMATCH("*Tăng trưởng lợi nhuận sau thuế (QoQ)*",Sheet4!$1:$1,2)),"")</f>
        <v>0</v>
      </c>
    </row>
    <row r="433" spans="1:18" x14ac:dyDescent="0.25">
      <c r="A433" s="7">
        <f>Sheet4!A412</f>
        <v>411</v>
      </c>
      <c r="B433" t="str">
        <f>Sheet4!B412</f>
        <v>VOS</v>
      </c>
      <c r="C433" t="str">
        <f>Sheet4!C411</f>
        <v>Ánh Dương Việt Nam</v>
      </c>
      <c r="D433" t="str">
        <f>Sheet4!D412</f>
        <v>HOSE</v>
      </c>
      <c r="E433" s="7">
        <f>Sheet4!AH412/1000000000</f>
        <v>1463</v>
      </c>
      <c r="F433" t="str">
        <f>Sheet4!E412</f>
        <v>Công nghiệp</v>
      </c>
      <c r="G433" t="str">
        <f>Sheet4!F412</f>
        <v>Hàng &amp; Dịch vụ Công nghiệp</v>
      </c>
      <c r="H433" t="str">
        <f>Sheet4!G412</f>
        <v>Vận tải Thủy</v>
      </c>
      <c r="I433" s="9" t="str" cm="1">
        <f t="array" ref="I43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33" s="9" t="str" cm="1">
        <f t="array" ref="J43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33" s="10" cm="1">
        <f t="array" ref="K43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33" s="10" cm="1">
        <f t="array" ref="L43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33" s="9" t="str" cm="1">
        <f t="array" ref="M43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33" s="9" t="str" cm="1">
        <f t="array" ref="N43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33" s="10" cm="1">
        <f t="array" ref="O433">IFERROR(INDEX(Sheet4!$2:$1605,MATCH(ChiTietKQKD[[#This Row],[Mã CP]],Sheet4!$B$2:$B$1605,0),_xlfn.XMATCH("*Tăng trưởng lợi nhuận sau thuế (YoY) (Quý*",Sheet4!$1:$1,2)),"")</f>
        <v>0</v>
      </c>
      <c r="P433" s="10" cm="1">
        <f t="array" ref="P433">IFERROR(INDEX(Sheet4!$2:$1605,MATCH(ChiTietKQKD[[#This Row],[Mã CP]],Sheet4!$B$2:$B$1605,0),_xlfn.XMATCH("*Tăng trưởng lợi nhuận sau thuế (YoY) (6M)*",Sheet4!$1:$1,2)),"")</f>
        <v>0</v>
      </c>
      <c r="Q433" s="10" cm="1">
        <f t="array" ref="Q433">IFERROR(INDEX(Sheet4!$2:$1605,MATCH(ChiTietKQKD[[#This Row],[Mã CP]],Sheet4!$B$2:$B$1605,0),_xlfn.XMATCH("*Tăng trưởng doanh thu thuần (QoQ)*",Sheet4!$1:$1,2)),"")</f>
        <v>0</v>
      </c>
      <c r="R433" s="10" cm="1">
        <f t="array" ref="R433">IFERROR(INDEX(Sheet4!$2:$1605,MATCH(ChiTietKQKD[[#This Row],[Mã CP]],Sheet4!$B$2:$B$1605,0),_xlfn.XMATCH("*Tăng trưởng lợi nhuận sau thuế (QoQ)*",Sheet4!$1:$1,2)),"")</f>
        <v>0</v>
      </c>
    </row>
    <row r="434" spans="1:18" x14ac:dyDescent="0.25">
      <c r="A434" s="7">
        <f>Sheet4!A413</f>
        <v>412</v>
      </c>
      <c r="B434" t="str">
        <f>Sheet4!B413</f>
        <v>VPB</v>
      </c>
      <c r="C434" t="str">
        <f>Sheet4!C412</f>
        <v>Vận tải Biển Việt Nam</v>
      </c>
      <c r="D434" t="str">
        <f>Sheet4!D413</f>
        <v>HOSE</v>
      </c>
      <c r="E434" s="7">
        <f>Sheet4!AH413/1000000000</f>
        <v>198348.09002500001</v>
      </c>
      <c r="F434" t="str">
        <f>Sheet4!E413</f>
        <v>Ngân hàng</v>
      </c>
      <c r="G434" t="str">
        <f>Sheet4!F413</f>
        <v>Ngân hàng</v>
      </c>
      <c r="H434" t="str">
        <f>Sheet4!G413</f>
        <v>Ngân hàng</v>
      </c>
      <c r="I434" s="9" cm="1">
        <f t="array" ref="I43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17973.498</v>
      </c>
      <c r="J434" s="9" cm="1">
        <f t="array" ref="J43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34934.125999999997</v>
      </c>
      <c r="K434" s="10" cm="1">
        <f t="array" ref="K43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0.3334874051141643</v>
      </c>
      <c r="L434" s="10" cm="1">
        <f t="array" ref="L43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0.30184454018415963</v>
      </c>
      <c r="M434" s="9" cm="1">
        <f t="array" ref="M434">_xlfn.LET(_xlpm.val,IFERROR(INDEX(Sheet4!$2:$1605,MATCH(ChiTietKQKD[[#This Row],[Mã CP]],Sheet4!$B$2:$B$1605,0),_xlfn.XMATCH("*Lợi nhuận sau thuế*Q2*2026*",Sheet4!$1:$1,2)),0),IF(OR(_xlpm.val="",_xlpm.val=0),"",_xlpm.val/1000000000))</f>
        <v>8384.6299999999992</v>
      </c>
      <c r="N434" s="9" cm="1">
        <f t="array" ref="N434">_xlfn.LET(_xlpm.val,IFERROR(INDEX(Sheet4!$2:$1605,MATCH(ChiTietKQKD[[#This Row],[Mã CP]],Sheet4!$B$2:$B$1605,0),_xlfn.XMATCH("*Lợi nhuận sau thuế*6 tháng*2026*",Sheet4!$1:$1,2)),0),IF(OR(_xlpm.val="",_xlpm.val=0),"",_xlpm.val/1000000000))</f>
        <v>14583.290999999999</v>
      </c>
      <c r="O434" s="10" cm="1">
        <f t="array" ref="O434">IFERROR(INDEX(Sheet4!$2:$1605,MATCH(ChiTietKQKD[[#This Row],[Mã CP]],Sheet4!$B$2:$B$1605,0),_xlfn.XMATCH("*Tăng trưởng lợi nhuận sau thuế (YoY) (Quý*",Sheet4!$1:$1,2)),"")</f>
        <v>0.72440000000000004</v>
      </c>
      <c r="P434" s="10" cm="1">
        <f t="array" ref="P434">IFERROR(INDEX(Sheet4!$2:$1605,MATCH(ChiTietKQKD[[#This Row],[Mã CP]],Sheet4!$B$2:$B$1605,0),_xlfn.XMATCH("*Tăng trưởng lợi nhuận sau thuế (YoY) (6M)*",Sheet4!$1:$1,2)),"")</f>
        <v>0.6653</v>
      </c>
      <c r="Q434" s="10" cm="1">
        <f t="array" ref="Q434">IFERROR(INDEX(Sheet4!$2:$1605,MATCH(ChiTietKQKD[[#This Row],[Mã CP]],Sheet4!$B$2:$B$1605,0),_xlfn.XMATCH("*Tăng trưởng doanh thu thuần (QoQ)*",Sheet4!$1:$1,2)),"")</f>
        <v>0.1847</v>
      </c>
      <c r="R434" s="10" cm="1">
        <f t="array" ref="R434">IFERROR(INDEX(Sheet4!$2:$1605,MATCH(ChiTietKQKD[[#This Row],[Mã CP]],Sheet4!$B$2:$B$1605,0),_xlfn.XMATCH("*Tăng trưởng lợi nhuận sau thuế (QoQ)*",Sheet4!$1:$1,2)),"")</f>
        <v>0.35270000000000001</v>
      </c>
    </row>
    <row r="435" spans="1:18" x14ac:dyDescent="0.25">
      <c r="A435" s="7">
        <f>Sheet4!A414</f>
        <v>413</v>
      </c>
      <c r="B435" t="str">
        <f>Sheet4!B414</f>
        <v>VPD</v>
      </c>
      <c r="C435" t="str">
        <f>Sheet4!C413</f>
        <v>VPBank</v>
      </c>
      <c r="D435" t="str">
        <f>Sheet4!D414</f>
        <v>HOSE</v>
      </c>
      <c r="E435" s="7">
        <f>Sheet4!AH414/1000000000</f>
        <v>2233.0527275499999</v>
      </c>
      <c r="F435" t="str">
        <f>Sheet4!E414</f>
        <v>Tiện ích Cộng đồng</v>
      </c>
      <c r="G435" t="str">
        <f>Sheet4!F414</f>
        <v>Điện, nước &amp; xăng dầu khí đốt</v>
      </c>
      <c r="H435" t="str">
        <f>Sheet4!G414</f>
        <v>Sản xuất &amp; Phân phối Điện</v>
      </c>
      <c r="I435" s="9" cm="1">
        <f t="array" ref="I43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139.75751882899999</v>
      </c>
      <c r="J435" s="9" cm="1">
        <f t="array" ref="J43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247.082666413</v>
      </c>
      <c r="K435" s="10" cm="1">
        <f t="array" ref="K43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-0.193</v>
      </c>
      <c r="L435" s="10" cm="1">
        <f t="array" ref="L43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-4.2000000000000003E-2</v>
      </c>
      <c r="M435" s="9" cm="1">
        <f t="array" ref="M435">_xlfn.LET(_xlpm.val,IFERROR(INDEX(Sheet4!$2:$1605,MATCH(ChiTietKQKD[[#This Row],[Mã CP]],Sheet4!$B$2:$B$1605,0),_xlfn.XMATCH("*Lợi nhuận sau thuế*Q2*2026*",Sheet4!$1:$1,2)),0),IF(OR(_xlpm.val="",_xlpm.val=0),"",_xlpm.val/1000000000))</f>
        <v>50.869546638999999</v>
      </c>
      <c r="N435" s="9" cm="1">
        <f t="array" ref="N435">_xlfn.LET(_xlpm.val,IFERROR(INDEX(Sheet4!$2:$1605,MATCH(ChiTietKQKD[[#This Row],[Mã CP]],Sheet4!$B$2:$B$1605,0),_xlfn.XMATCH("*Lợi nhuận sau thuế*6 tháng*2026*",Sheet4!$1:$1,2)),0),IF(OR(_xlpm.val="",_xlpm.val=0),"",_xlpm.val/1000000000))</f>
        <v>81.466918715000006</v>
      </c>
      <c r="O435" s="10" cm="1">
        <f t="array" ref="O435">IFERROR(INDEX(Sheet4!$2:$1605,MATCH(ChiTietKQKD[[#This Row],[Mã CP]],Sheet4!$B$2:$B$1605,0),_xlfn.XMATCH("*Tăng trưởng lợi nhuận sau thuế (YoY) (Quý*",Sheet4!$1:$1,2)),"")</f>
        <v>-0.26790000000000003</v>
      </c>
      <c r="P435" s="10" cm="1">
        <f t="array" ref="P435">IFERROR(INDEX(Sheet4!$2:$1605,MATCH(ChiTietKQKD[[#This Row],[Mã CP]],Sheet4!$B$2:$B$1605,0),_xlfn.XMATCH("*Tăng trưởng lợi nhuận sau thuế (YoY) (6M)*",Sheet4!$1:$1,2)),"")</f>
        <v>1.6400000000000001E-2</v>
      </c>
      <c r="Q435" s="10" cm="1">
        <f t="array" ref="Q435">IFERROR(INDEX(Sheet4!$2:$1605,MATCH(ChiTietKQKD[[#This Row],[Mã CP]],Sheet4!$B$2:$B$1605,0),_xlfn.XMATCH("*Tăng trưởng doanh thu thuần (QoQ)*",Sheet4!$1:$1,2)),"")</f>
        <v>0.30220000000000002</v>
      </c>
      <c r="R435" s="10" cm="1">
        <f t="array" ref="R435">IFERROR(INDEX(Sheet4!$2:$1605,MATCH(ChiTietKQKD[[#This Row],[Mã CP]],Sheet4!$B$2:$B$1605,0),_xlfn.XMATCH("*Tăng trưởng lợi nhuận sau thuế (QoQ)*",Sheet4!$1:$1,2)),"")</f>
        <v>0.66249999999999998</v>
      </c>
    </row>
    <row r="436" spans="1:18" x14ac:dyDescent="0.25">
      <c r="A436" s="7">
        <f>Sheet4!A415</f>
        <v>414</v>
      </c>
      <c r="B436" t="str">
        <f>Sheet4!B415</f>
        <v>VPG</v>
      </c>
      <c r="C436" t="str">
        <f>Sheet4!C414</f>
        <v>Phát triển Điện lực Việt Nam</v>
      </c>
      <c r="D436" t="str">
        <f>Sheet4!D415</f>
        <v>HOSE</v>
      </c>
      <c r="E436" s="7">
        <f>Sheet4!AH415/1000000000</f>
        <v>170.64239943000001</v>
      </c>
      <c r="F436" t="str">
        <f>Sheet4!E415</f>
        <v>Nguyên vật liệu</v>
      </c>
      <c r="G436" t="str">
        <f>Sheet4!F415</f>
        <v>Tài nguyên Cơ bản</v>
      </c>
      <c r="H436" t="str">
        <f>Sheet4!G415</f>
        <v>Khai khoáng</v>
      </c>
      <c r="I436" s="9" t="str" cm="1">
        <f t="array" ref="I43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36" s="9" t="str" cm="1">
        <f t="array" ref="J43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36" s="10" cm="1">
        <f t="array" ref="K43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36" s="10" cm="1">
        <f t="array" ref="L43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36" s="9" t="str" cm="1">
        <f t="array" ref="M43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36" s="9" t="str" cm="1">
        <f t="array" ref="N43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36" s="10" cm="1">
        <f t="array" ref="O436">IFERROR(INDEX(Sheet4!$2:$1605,MATCH(ChiTietKQKD[[#This Row],[Mã CP]],Sheet4!$B$2:$B$1605,0),_xlfn.XMATCH("*Tăng trưởng lợi nhuận sau thuế (YoY) (Quý*",Sheet4!$1:$1,2)),"")</f>
        <v>0</v>
      </c>
      <c r="P436" s="10" cm="1">
        <f t="array" ref="P436">IFERROR(INDEX(Sheet4!$2:$1605,MATCH(ChiTietKQKD[[#This Row],[Mã CP]],Sheet4!$B$2:$B$1605,0),_xlfn.XMATCH("*Tăng trưởng lợi nhuận sau thuế (YoY) (6M)*",Sheet4!$1:$1,2)),"")</f>
        <v>0</v>
      </c>
      <c r="Q436" s="10" cm="1">
        <f t="array" ref="Q436">IFERROR(INDEX(Sheet4!$2:$1605,MATCH(ChiTietKQKD[[#This Row],[Mã CP]],Sheet4!$B$2:$B$1605,0),_xlfn.XMATCH("*Tăng trưởng doanh thu thuần (QoQ)*",Sheet4!$1:$1,2)),"")</f>
        <v>0</v>
      </c>
      <c r="R436" s="10" cm="1">
        <f t="array" ref="R436">IFERROR(INDEX(Sheet4!$2:$1605,MATCH(ChiTietKQKD[[#This Row],[Mã CP]],Sheet4!$B$2:$B$1605,0),_xlfn.XMATCH("*Tăng trưởng lợi nhuận sau thuế (QoQ)*",Sheet4!$1:$1,2)),"")</f>
        <v>0</v>
      </c>
    </row>
    <row r="437" spans="1:18" x14ac:dyDescent="0.25">
      <c r="A437" s="7">
        <f>Sheet4!A416</f>
        <v>415</v>
      </c>
      <c r="B437" t="str">
        <f>Sheet4!B416</f>
        <v>VPH</v>
      </c>
      <c r="C437" t="str">
        <f>Sheet4!C415</f>
        <v>Đầu tư TMại XNK Việt Phát</v>
      </c>
      <c r="D437" t="str">
        <f>Sheet4!D416</f>
        <v>HOSE</v>
      </c>
      <c r="E437" s="7">
        <f>Sheet4!AH416/1000000000</f>
        <v>307.05211600000001</v>
      </c>
      <c r="F437" t="str">
        <f>Sheet4!E416</f>
        <v>Tài chính</v>
      </c>
      <c r="G437" t="str">
        <f>Sheet4!F416</f>
        <v>Bất động sản</v>
      </c>
      <c r="H437" t="str">
        <f>Sheet4!G416</f>
        <v>Bất động sản</v>
      </c>
      <c r="I437" s="9" t="str" cm="1">
        <f t="array" ref="I43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37" s="9" t="str" cm="1">
        <f t="array" ref="J43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37" s="10" cm="1">
        <f t="array" ref="K43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37" s="10" cm="1">
        <f t="array" ref="L43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37" s="9" t="str" cm="1">
        <f t="array" ref="M43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37" s="9" t="str" cm="1">
        <f t="array" ref="N43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37" s="10" cm="1">
        <f t="array" ref="O437">IFERROR(INDEX(Sheet4!$2:$1605,MATCH(ChiTietKQKD[[#This Row],[Mã CP]],Sheet4!$B$2:$B$1605,0),_xlfn.XMATCH("*Tăng trưởng lợi nhuận sau thuế (YoY) (Quý*",Sheet4!$1:$1,2)),"")</f>
        <v>0</v>
      </c>
      <c r="P437" s="10" cm="1">
        <f t="array" ref="P437">IFERROR(INDEX(Sheet4!$2:$1605,MATCH(ChiTietKQKD[[#This Row],[Mã CP]],Sheet4!$B$2:$B$1605,0),_xlfn.XMATCH("*Tăng trưởng lợi nhuận sau thuế (YoY) (6M)*",Sheet4!$1:$1,2)),"")</f>
        <v>0</v>
      </c>
      <c r="Q437" s="10" cm="1">
        <f t="array" ref="Q437">IFERROR(INDEX(Sheet4!$2:$1605,MATCH(ChiTietKQKD[[#This Row],[Mã CP]],Sheet4!$B$2:$B$1605,0),_xlfn.XMATCH("*Tăng trưởng doanh thu thuần (QoQ)*",Sheet4!$1:$1,2)),"")</f>
        <v>0</v>
      </c>
      <c r="R437" s="10" cm="1">
        <f t="array" ref="R437">IFERROR(INDEX(Sheet4!$2:$1605,MATCH(ChiTietKQKD[[#This Row],[Mã CP]],Sheet4!$B$2:$B$1605,0),_xlfn.XMATCH("*Tăng trưởng lợi nhuận sau thuế (QoQ)*",Sheet4!$1:$1,2)),"")</f>
        <v>0</v>
      </c>
    </row>
    <row r="438" spans="1:18" x14ac:dyDescent="0.25">
      <c r="A438" s="7">
        <f>Sheet4!A417</f>
        <v>416</v>
      </c>
      <c r="B438" t="str">
        <f>Sheet4!B417</f>
        <v>VPI</v>
      </c>
      <c r="C438" t="str">
        <f>Sheet4!C416</f>
        <v>Vạn Phát Hưng</v>
      </c>
      <c r="D438" t="str">
        <f>Sheet4!D417</f>
        <v>HOSE</v>
      </c>
      <c r="E438" s="7">
        <f>Sheet4!AH417/1000000000</f>
        <v>19811.068816300001</v>
      </c>
      <c r="F438" t="str">
        <f>Sheet4!E417</f>
        <v>Tài chính</v>
      </c>
      <c r="G438" t="str">
        <f>Sheet4!F417</f>
        <v>Bất động sản</v>
      </c>
      <c r="H438" t="str">
        <f>Sheet4!G417</f>
        <v>Bất động sản</v>
      </c>
      <c r="I438" s="9" t="str" cm="1">
        <f t="array" ref="I43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38" s="9" t="str" cm="1">
        <f t="array" ref="J43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38" s="10" cm="1">
        <f t="array" ref="K43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38" s="10" cm="1">
        <f t="array" ref="L43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38" s="9" t="str" cm="1">
        <f t="array" ref="M43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38" s="9" t="str" cm="1">
        <f t="array" ref="N43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38" s="10" cm="1">
        <f t="array" ref="O438">IFERROR(INDEX(Sheet4!$2:$1605,MATCH(ChiTietKQKD[[#This Row],[Mã CP]],Sheet4!$B$2:$B$1605,0),_xlfn.XMATCH("*Tăng trưởng lợi nhuận sau thuế (YoY) (Quý*",Sheet4!$1:$1,2)),"")</f>
        <v>0</v>
      </c>
      <c r="P438" s="10" cm="1">
        <f t="array" ref="P438">IFERROR(INDEX(Sheet4!$2:$1605,MATCH(ChiTietKQKD[[#This Row],[Mã CP]],Sheet4!$B$2:$B$1605,0),_xlfn.XMATCH("*Tăng trưởng lợi nhuận sau thuế (YoY) (6M)*",Sheet4!$1:$1,2)),"")</f>
        <v>0</v>
      </c>
      <c r="Q438" s="10" cm="1">
        <f t="array" ref="Q438">IFERROR(INDEX(Sheet4!$2:$1605,MATCH(ChiTietKQKD[[#This Row],[Mã CP]],Sheet4!$B$2:$B$1605,0),_xlfn.XMATCH("*Tăng trưởng doanh thu thuần (QoQ)*",Sheet4!$1:$1,2)),"")</f>
        <v>0</v>
      </c>
      <c r="R438" s="10" cm="1">
        <f t="array" ref="R438">IFERROR(INDEX(Sheet4!$2:$1605,MATCH(ChiTietKQKD[[#This Row],[Mã CP]],Sheet4!$B$2:$B$1605,0),_xlfn.XMATCH("*Tăng trưởng lợi nhuận sau thuế (QoQ)*",Sheet4!$1:$1,2)),"")</f>
        <v>0</v>
      </c>
    </row>
    <row r="439" spans="1:18" x14ac:dyDescent="0.25">
      <c r="A439" s="7">
        <f>Sheet4!A418</f>
        <v>417</v>
      </c>
      <c r="B439" t="str">
        <f>Sheet4!B418</f>
        <v>VPL</v>
      </c>
      <c r="C439" t="str">
        <f>Sheet4!C417</f>
        <v>Đầu tư Văn Phú - Invest</v>
      </c>
      <c r="D439" t="str">
        <f>Sheet4!D418</f>
        <v>HOSE</v>
      </c>
      <c r="E439" s="7">
        <f>Sheet4!AH418/1000000000</f>
        <v>131807.57770950001</v>
      </c>
      <c r="F439" t="str">
        <f>Sheet4!E418</f>
        <v>Dịch vụ Tiêu dùng</v>
      </c>
      <c r="G439" t="str">
        <f>Sheet4!F418</f>
        <v>Du lịch và Giải trí</v>
      </c>
      <c r="H439" t="str">
        <f>Sheet4!G418</f>
        <v>Dịch vụ giải trí</v>
      </c>
      <c r="I439" s="9" t="str" cm="1">
        <f t="array" ref="I43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39" s="9" t="str" cm="1">
        <f t="array" ref="J43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39" s="10" cm="1">
        <f t="array" ref="K43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39" s="10" cm="1">
        <f t="array" ref="L43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39" s="9" t="str" cm="1">
        <f t="array" ref="M43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39" s="9" t="str" cm="1">
        <f t="array" ref="N43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39" s="10" cm="1">
        <f t="array" ref="O439">IFERROR(INDEX(Sheet4!$2:$1605,MATCH(ChiTietKQKD[[#This Row],[Mã CP]],Sheet4!$B$2:$B$1605,0),_xlfn.XMATCH("*Tăng trưởng lợi nhuận sau thuế (YoY) (Quý*",Sheet4!$1:$1,2)),"")</f>
        <v>0</v>
      </c>
      <c r="P439" s="10" cm="1">
        <f t="array" ref="P439">IFERROR(INDEX(Sheet4!$2:$1605,MATCH(ChiTietKQKD[[#This Row],[Mã CP]],Sheet4!$B$2:$B$1605,0),_xlfn.XMATCH("*Tăng trưởng lợi nhuận sau thuế (YoY) (6M)*",Sheet4!$1:$1,2)),"")</f>
        <v>0</v>
      </c>
      <c r="Q439" s="10" cm="1">
        <f t="array" ref="Q439">IFERROR(INDEX(Sheet4!$2:$1605,MATCH(ChiTietKQKD[[#This Row],[Mã CP]],Sheet4!$B$2:$B$1605,0),_xlfn.XMATCH("*Tăng trưởng doanh thu thuần (QoQ)*",Sheet4!$1:$1,2)),"")</f>
        <v>0</v>
      </c>
      <c r="R439" s="10" cm="1">
        <f t="array" ref="R439">IFERROR(INDEX(Sheet4!$2:$1605,MATCH(ChiTietKQKD[[#This Row],[Mã CP]],Sheet4!$B$2:$B$1605,0),_xlfn.XMATCH("*Tăng trưởng lợi nhuận sau thuế (QoQ)*",Sheet4!$1:$1,2)),"")</f>
        <v>0</v>
      </c>
    </row>
    <row r="440" spans="1:18" x14ac:dyDescent="0.25">
      <c r="A440" s="7">
        <f>Sheet4!A419</f>
        <v>418</v>
      </c>
      <c r="B440" t="str">
        <f>Sheet4!B419</f>
        <v>VPS</v>
      </c>
      <c r="C440" t="str">
        <f>Sheet4!C418</f>
        <v>Vinpearl</v>
      </c>
      <c r="D440" t="str">
        <f>Sheet4!D419</f>
        <v>HOSE</v>
      </c>
      <c r="E440" s="7">
        <f>Sheet4!AH419/1000000000</f>
        <v>220.14712800000001</v>
      </c>
      <c r="F440" t="str">
        <f>Sheet4!E419</f>
        <v>Nguyên vật liệu</v>
      </c>
      <c r="G440" t="str">
        <f>Sheet4!F419</f>
        <v>Hóa chất</v>
      </c>
      <c r="H440" t="str">
        <f>Sheet4!G419</f>
        <v>Sản phẩm hóa dầu, Nông dược &amp; Hóa chất khác</v>
      </c>
      <c r="I440" s="9" t="str" cm="1">
        <f t="array" ref="I44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40" s="9" t="str" cm="1">
        <f t="array" ref="J44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40" s="10" cm="1">
        <f t="array" ref="K44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40" s="10" cm="1">
        <f t="array" ref="L44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40" s="9" t="str" cm="1">
        <f t="array" ref="M44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40" s="9" t="str" cm="1">
        <f t="array" ref="N44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40" s="10" cm="1">
        <f t="array" ref="O440">IFERROR(INDEX(Sheet4!$2:$1605,MATCH(ChiTietKQKD[[#This Row],[Mã CP]],Sheet4!$B$2:$B$1605,0),_xlfn.XMATCH("*Tăng trưởng lợi nhuận sau thuế (YoY) (Quý*",Sheet4!$1:$1,2)),"")</f>
        <v>0</v>
      </c>
      <c r="P440" s="10" cm="1">
        <f t="array" ref="P440">IFERROR(INDEX(Sheet4!$2:$1605,MATCH(ChiTietKQKD[[#This Row],[Mã CP]],Sheet4!$B$2:$B$1605,0),_xlfn.XMATCH("*Tăng trưởng lợi nhuận sau thuế (YoY) (6M)*",Sheet4!$1:$1,2)),"")</f>
        <v>0</v>
      </c>
      <c r="Q440" s="10" cm="1">
        <f t="array" ref="Q440">IFERROR(INDEX(Sheet4!$2:$1605,MATCH(ChiTietKQKD[[#This Row],[Mã CP]],Sheet4!$B$2:$B$1605,0),_xlfn.XMATCH("*Tăng trưởng doanh thu thuần (QoQ)*",Sheet4!$1:$1,2)),"")</f>
        <v>0</v>
      </c>
      <c r="R440" s="10" cm="1">
        <f t="array" ref="R440">IFERROR(INDEX(Sheet4!$2:$1605,MATCH(ChiTietKQKD[[#This Row],[Mã CP]],Sheet4!$B$2:$B$1605,0),_xlfn.XMATCH("*Tăng trưởng lợi nhuận sau thuế (QoQ)*",Sheet4!$1:$1,2)),"")</f>
        <v>0</v>
      </c>
    </row>
    <row r="441" spans="1:18" x14ac:dyDescent="0.25">
      <c r="A441" s="7">
        <f>Sheet4!A420</f>
        <v>419</v>
      </c>
      <c r="B441" t="str">
        <f>Sheet4!B420</f>
        <v>VPX</v>
      </c>
      <c r="C441" t="str">
        <f>Sheet4!C419</f>
        <v>Thuốc sát trùng Việt Nam</v>
      </c>
      <c r="D441" t="str">
        <f>Sheet4!D420</f>
        <v>HOSE</v>
      </c>
      <c r="E441" s="7">
        <f>Sheet4!AH420/1000000000</f>
        <v>48375</v>
      </c>
      <c r="F441" t="str">
        <f>Sheet4!E420</f>
        <v>Tài chính</v>
      </c>
      <c r="G441" t="str">
        <f>Sheet4!F420</f>
        <v>Dịch vụ tài chính</v>
      </c>
      <c r="H441" t="str">
        <f>Sheet4!G420</f>
        <v>Môi giới chứng khoán</v>
      </c>
      <c r="I441" s="9" cm="1">
        <f t="array" ref="I44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4098.1416743279997</v>
      </c>
      <c r="J441" s="9" cm="1">
        <f t="array" ref="J44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6969.1149103629996</v>
      </c>
      <c r="K441" s="10" cm="1">
        <f t="array" ref="K44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2.4689000000000001</v>
      </c>
      <c r="L441" s="10" cm="1">
        <f t="array" ref="L44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2.6970999999999998</v>
      </c>
      <c r="M441" s="9" cm="1">
        <f t="array" ref="M441">_xlfn.LET(_xlpm.val,IFERROR(INDEX(Sheet4!$2:$1605,MATCH(ChiTietKQKD[[#This Row],[Mã CP]],Sheet4!$B$2:$B$1605,0),_xlfn.XMATCH("*Lợi nhuận sau thuế*Q2*2026*",Sheet4!$1:$1,2)),0),IF(OR(_xlpm.val="",_xlpm.val=0),"",_xlpm.val/1000000000))</f>
        <v>1733.0621538</v>
      </c>
      <c r="N441" s="9" cm="1">
        <f t="array" ref="N441">_xlfn.LET(_xlpm.val,IFERROR(INDEX(Sheet4!$2:$1605,MATCH(ChiTietKQKD[[#This Row],[Mã CP]],Sheet4!$B$2:$B$1605,0),_xlfn.XMATCH("*Lợi nhuận sau thuế*6 tháng*2026*",Sheet4!$1:$1,2)),0),IF(OR(_xlpm.val="",_xlpm.val=0),"",_xlpm.val/1000000000))</f>
        <v>2168.594726027</v>
      </c>
      <c r="O441" s="10" cm="1">
        <f t="array" ref="O441">IFERROR(INDEX(Sheet4!$2:$1605,MATCH(ChiTietKQKD[[#This Row],[Mã CP]],Sheet4!$B$2:$B$1605,0),_xlfn.XMATCH("*Tăng trưởng lợi nhuận sau thuế (YoY) (Quý*",Sheet4!$1:$1,2)),"")</f>
        <v>2.9297</v>
      </c>
      <c r="P441" s="10" cm="1">
        <f t="array" ref="P441">IFERROR(INDEX(Sheet4!$2:$1605,MATCH(ChiTietKQKD[[#This Row],[Mã CP]],Sheet4!$B$2:$B$1605,0),_xlfn.XMATCH("*Tăng trưởng lợi nhuận sau thuế (YoY) (6M)*",Sheet4!$1:$1,2)),"")</f>
        <v>2.0053999999999998</v>
      </c>
      <c r="Q441" s="10" cm="1">
        <f t="array" ref="Q441">IFERROR(INDEX(Sheet4!$2:$1605,MATCH(ChiTietKQKD[[#This Row],[Mã CP]],Sheet4!$B$2:$B$1605,0),_xlfn.XMATCH("*Tăng trưởng doanh thu thuần (QoQ)*",Sheet4!$1:$1,2)),"")</f>
        <v>0.4274</v>
      </c>
      <c r="R441" s="10" cm="1">
        <f t="array" ref="R441">IFERROR(INDEX(Sheet4!$2:$1605,MATCH(ChiTietKQKD[[#This Row],[Mã CP]],Sheet4!$B$2:$B$1605,0),_xlfn.XMATCH("*Tăng trưởng lợi nhuận sau thuế (QoQ)*",Sheet4!$1:$1,2)),"")</f>
        <v>2.9792000000000001</v>
      </c>
    </row>
    <row r="442" spans="1:18" x14ac:dyDescent="0.25">
      <c r="A442" s="7">
        <f>Sheet4!A421</f>
        <v>420</v>
      </c>
      <c r="B442" t="str">
        <f>Sheet4!B421</f>
        <v>VRC</v>
      </c>
      <c r="C442" t="str">
        <f>Sheet4!C420</f>
        <v>Chứng khoán VPBank</v>
      </c>
      <c r="D442" t="str">
        <f>Sheet4!D421</f>
        <v>HOSE</v>
      </c>
      <c r="E442" s="7">
        <f>Sheet4!AH421/1000000000</f>
        <v>610</v>
      </c>
      <c r="F442" t="str">
        <f>Sheet4!E421</f>
        <v>Tài chính</v>
      </c>
      <c r="G442" t="str">
        <f>Sheet4!F421</f>
        <v>Bất động sản</v>
      </c>
      <c r="H442" t="str">
        <f>Sheet4!G421</f>
        <v>Bất động sản</v>
      </c>
      <c r="I442" s="9" t="str" cm="1">
        <f t="array" ref="I44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42" s="9" t="str" cm="1">
        <f t="array" ref="J44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42" s="10" cm="1">
        <f t="array" ref="K44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42" s="10" cm="1">
        <f t="array" ref="L44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42" s="9" t="str" cm="1">
        <f t="array" ref="M44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42" s="9" t="str" cm="1">
        <f t="array" ref="N44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42" s="10" cm="1">
        <f t="array" ref="O442">IFERROR(INDEX(Sheet4!$2:$1605,MATCH(ChiTietKQKD[[#This Row],[Mã CP]],Sheet4!$B$2:$B$1605,0),_xlfn.XMATCH("*Tăng trưởng lợi nhuận sau thuế (YoY) (Quý*",Sheet4!$1:$1,2)),"")</f>
        <v>0</v>
      </c>
      <c r="P442" s="10" cm="1">
        <f t="array" ref="P442">IFERROR(INDEX(Sheet4!$2:$1605,MATCH(ChiTietKQKD[[#This Row],[Mã CP]],Sheet4!$B$2:$B$1605,0),_xlfn.XMATCH("*Tăng trưởng lợi nhuận sau thuế (YoY) (6M)*",Sheet4!$1:$1,2)),"")</f>
        <v>0</v>
      </c>
      <c r="Q442" s="10" cm="1">
        <f t="array" ref="Q442">IFERROR(INDEX(Sheet4!$2:$1605,MATCH(ChiTietKQKD[[#This Row],[Mã CP]],Sheet4!$B$2:$B$1605,0),_xlfn.XMATCH("*Tăng trưởng doanh thu thuần (QoQ)*",Sheet4!$1:$1,2)),"")</f>
        <v>0</v>
      </c>
      <c r="R442" s="10" cm="1">
        <f t="array" ref="R442">IFERROR(INDEX(Sheet4!$2:$1605,MATCH(ChiTietKQKD[[#This Row],[Mã CP]],Sheet4!$B$2:$B$1605,0),_xlfn.XMATCH("*Tăng trưởng lợi nhuận sau thuế (QoQ)*",Sheet4!$1:$1,2)),"")</f>
        <v>0</v>
      </c>
    </row>
    <row r="443" spans="1:18" x14ac:dyDescent="0.25">
      <c r="A443" s="7">
        <f>Sheet4!A422</f>
        <v>421</v>
      </c>
      <c r="B443" t="str">
        <f>Sheet4!B422</f>
        <v>VRE</v>
      </c>
      <c r="C443" t="str">
        <f>Sheet4!C421</f>
        <v>Bất động sản và Đầu tư VRC</v>
      </c>
      <c r="D443" t="str">
        <f>Sheet4!D422</f>
        <v>HOSE</v>
      </c>
      <c r="E443" s="7">
        <f>Sheet4!AH422/1000000000</f>
        <v>49422.925417500002</v>
      </c>
      <c r="F443" t="str">
        <f>Sheet4!E422</f>
        <v>Tài chính</v>
      </c>
      <c r="G443" t="str">
        <f>Sheet4!F422</f>
        <v>Bất động sản</v>
      </c>
      <c r="H443" t="str">
        <f>Sheet4!G422</f>
        <v>Bất động sản</v>
      </c>
      <c r="I443" s="9" t="str" cm="1">
        <f t="array" ref="I44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43" s="9" t="str" cm="1">
        <f t="array" ref="J44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43" s="10" cm="1">
        <f t="array" ref="K44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43" s="10" cm="1">
        <f t="array" ref="L44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43" s="9" t="str" cm="1">
        <f t="array" ref="M44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43" s="9" t="str" cm="1">
        <f t="array" ref="N44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43" s="10" cm="1">
        <f t="array" ref="O443">IFERROR(INDEX(Sheet4!$2:$1605,MATCH(ChiTietKQKD[[#This Row],[Mã CP]],Sheet4!$B$2:$B$1605,0),_xlfn.XMATCH("*Tăng trưởng lợi nhuận sau thuế (YoY) (Quý*",Sheet4!$1:$1,2)),"")</f>
        <v>0</v>
      </c>
      <c r="P443" s="10" cm="1">
        <f t="array" ref="P443">IFERROR(INDEX(Sheet4!$2:$1605,MATCH(ChiTietKQKD[[#This Row],[Mã CP]],Sheet4!$B$2:$B$1605,0),_xlfn.XMATCH("*Tăng trưởng lợi nhuận sau thuế (YoY) (6M)*",Sheet4!$1:$1,2)),"")</f>
        <v>0</v>
      </c>
      <c r="Q443" s="10" cm="1">
        <f t="array" ref="Q443">IFERROR(INDEX(Sheet4!$2:$1605,MATCH(ChiTietKQKD[[#This Row],[Mã CP]],Sheet4!$B$2:$B$1605,0),_xlfn.XMATCH("*Tăng trưởng doanh thu thuần (QoQ)*",Sheet4!$1:$1,2)),"")</f>
        <v>0</v>
      </c>
      <c r="R443" s="10" cm="1">
        <f t="array" ref="R443">IFERROR(INDEX(Sheet4!$2:$1605,MATCH(ChiTietKQKD[[#This Row],[Mã CP]],Sheet4!$B$2:$B$1605,0),_xlfn.XMATCH("*Tăng trưởng lợi nhuận sau thuế (QoQ)*",Sheet4!$1:$1,2)),"")</f>
        <v>0</v>
      </c>
    </row>
    <row r="444" spans="1:18" x14ac:dyDescent="0.25">
      <c r="A444" s="7">
        <f>Sheet4!A423</f>
        <v>422</v>
      </c>
      <c r="B444" t="str">
        <f>Sheet4!B423</f>
        <v>VSC</v>
      </c>
      <c r="C444" t="str">
        <f>Sheet4!C422</f>
        <v>Vincom Retail</v>
      </c>
      <c r="D444" t="str">
        <f>Sheet4!D423</f>
        <v>HOSE</v>
      </c>
      <c r="E444" s="7">
        <f>Sheet4!AH423/1000000000</f>
        <v>5166.3109955999998</v>
      </c>
      <c r="F444" t="str">
        <f>Sheet4!E423</f>
        <v>Công nghiệp</v>
      </c>
      <c r="G444" t="str">
        <f>Sheet4!F423</f>
        <v>Hàng &amp; Dịch vụ Công nghiệp</v>
      </c>
      <c r="H444" t="str">
        <f>Sheet4!G423</f>
        <v>Kho bãi, hậu cần và bảo dưỡng</v>
      </c>
      <c r="I444" s="9" t="str" cm="1">
        <f t="array" ref="I44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44" s="9" t="str" cm="1">
        <f t="array" ref="J44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44" s="10" cm="1">
        <f t="array" ref="K44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44" s="10" cm="1">
        <f t="array" ref="L44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44" s="9" t="str" cm="1">
        <f t="array" ref="M44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44" s="9" t="str" cm="1">
        <f t="array" ref="N44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44" s="10" cm="1">
        <f t="array" ref="O444">IFERROR(INDEX(Sheet4!$2:$1605,MATCH(ChiTietKQKD[[#This Row],[Mã CP]],Sheet4!$B$2:$B$1605,0),_xlfn.XMATCH("*Tăng trưởng lợi nhuận sau thuế (YoY) (Quý*",Sheet4!$1:$1,2)),"")</f>
        <v>0</v>
      </c>
      <c r="P444" s="10" cm="1">
        <f t="array" ref="P444">IFERROR(INDEX(Sheet4!$2:$1605,MATCH(ChiTietKQKD[[#This Row],[Mã CP]],Sheet4!$B$2:$B$1605,0),_xlfn.XMATCH("*Tăng trưởng lợi nhuận sau thuế (YoY) (6M)*",Sheet4!$1:$1,2)),"")</f>
        <v>0</v>
      </c>
      <c r="Q444" s="10" cm="1">
        <f t="array" ref="Q444">IFERROR(INDEX(Sheet4!$2:$1605,MATCH(ChiTietKQKD[[#This Row],[Mã CP]],Sheet4!$B$2:$B$1605,0),_xlfn.XMATCH("*Tăng trưởng doanh thu thuần (QoQ)*",Sheet4!$1:$1,2)),"")</f>
        <v>0</v>
      </c>
      <c r="R444" s="10" cm="1">
        <f t="array" ref="R444">IFERROR(INDEX(Sheet4!$2:$1605,MATCH(ChiTietKQKD[[#This Row],[Mã CP]],Sheet4!$B$2:$B$1605,0),_xlfn.XMATCH("*Tăng trưởng lợi nhuận sau thuế (QoQ)*",Sheet4!$1:$1,2)),"")</f>
        <v>0</v>
      </c>
    </row>
    <row r="445" spans="1:18" x14ac:dyDescent="0.25">
      <c r="A445" s="7">
        <f>Sheet4!A424</f>
        <v>423</v>
      </c>
      <c r="B445" t="str">
        <f>Sheet4!B424</f>
        <v>VSH</v>
      </c>
      <c r="C445" t="str">
        <f>Sheet4!C423</f>
        <v>VICONSHIP</v>
      </c>
      <c r="D445" t="str">
        <f>Sheet4!D424</f>
        <v>HOSE</v>
      </c>
      <c r="E445" s="7">
        <f>Sheet4!AH424/1000000000</f>
        <v>10016.628830400001</v>
      </c>
      <c r="F445" t="str">
        <f>Sheet4!E424</f>
        <v>Tiện ích Cộng đồng</v>
      </c>
      <c r="G445" t="str">
        <f>Sheet4!F424</f>
        <v>Điện, nước &amp; xăng dầu khí đốt</v>
      </c>
      <c r="H445" t="str">
        <f>Sheet4!G424</f>
        <v>Sản xuất &amp; Phân phối Điện</v>
      </c>
      <c r="I445" s="9" t="str" cm="1">
        <f t="array" ref="I44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45" s="9" t="str" cm="1">
        <f t="array" ref="J44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45" s="10" cm="1">
        <f t="array" ref="K44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45" s="10" cm="1">
        <f t="array" ref="L44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45" s="9" t="str" cm="1">
        <f t="array" ref="M44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45" s="9" t="str" cm="1">
        <f t="array" ref="N44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45" s="10" cm="1">
        <f t="array" ref="O445">IFERROR(INDEX(Sheet4!$2:$1605,MATCH(ChiTietKQKD[[#This Row],[Mã CP]],Sheet4!$B$2:$B$1605,0),_xlfn.XMATCH("*Tăng trưởng lợi nhuận sau thuế (YoY) (Quý*",Sheet4!$1:$1,2)),"")</f>
        <v>0</v>
      </c>
      <c r="P445" s="10" cm="1">
        <f t="array" ref="P445">IFERROR(INDEX(Sheet4!$2:$1605,MATCH(ChiTietKQKD[[#This Row],[Mã CP]],Sheet4!$B$2:$B$1605,0),_xlfn.XMATCH("*Tăng trưởng lợi nhuận sau thuế (YoY) (6M)*",Sheet4!$1:$1,2)),"")</f>
        <v>0</v>
      </c>
      <c r="Q445" s="10" cm="1">
        <f t="array" ref="Q445">IFERROR(INDEX(Sheet4!$2:$1605,MATCH(ChiTietKQKD[[#This Row],[Mã CP]],Sheet4!$B$2:$B$1605,0),_xlfn.XMATCH("*Tăng trưởng doanh thu thuần (QoQ)*",Sheet4!$1:$1,2)),"")</f>
        <v>0</v>
      </c>
      <c r="R445" s="10" cm="1">
        <f t="array" ref="R445">IFERROR(INDEX(Sheet4!$2:$1605,MATCH(ChiTietKQKD[[#This Row],[Mã CP]],Sheet4!$B$2:$B$1605,0),_xlfn.XMATCH("*Tăng trưởng lợi nhuận sau thuế (QoQ)*",Sheet4!$1:$1,2)),"")</f>
        <v>0</v>
      </c>
    </row>
    <row r="446" spans="1:18" x14ac:dyDescent="0.25">
      <c r="A446" s="7">
        <f>Sheet4!A425</f>
        <v>424</v>
      </c>
      <c r="B446" t="str">
        <f>Sheet4!B425</f>
        <v>VSI</v>
      </c>
      <c r="C446" t="str">
        <f>Sheet4!C424</f>
        <v>Thủy điện Vĩnh Sơn - Sông Hinh</v>
      </c>
      <c r="D446" t="str">
        <f>Sheet4!D425</f>
        <v>HOSE</v>
      </c>
      <c r="E446" s="7">
        <f>Sheet4!AH425/1000000000</f>
        <v>246.17994404999999</v>
      </c>
      <c r="F446" t="str">
        <f>Sheet4!E425</f>
        <v>Công nghiệp</v>
      </c>
      <c r="G446" t="str">
        <f>Sheet4!F425</f>
        <v>Xây dựng và Vật liệu</v>
      </c>
      <c r="H446" t="str">
        <f>Sheet4!G425</f>
        <v>Xây dựng</v>
      </c>
      <c r="I446" s="9" t="str" cm="1">
        <f t="array" ref="I44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46" s="9" t="str" cm="1">
        <f t="array" ref="J44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46" s="10" cm="1">
        <f t="array" ref="K44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46" s="10" cm="1">
        <f t="array" ref="L44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46" s="9" t="str" cm="1">
        <f t="array" ref="M44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46" s="9" t="str" cm="1">
        <f t="array" ref="N44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46" s="10" cm="1">
        <f t="array" ref="O446">IFERROR(INDEX(Sheet4!$2:$1605,MATCH(ChiTietKQKD[[#This Row],[Mã CP]],Sheet4!$B$2:$B$1605,0),_xlfn.XMATCH("*Tăng trưởng lợi nhuận sau thuế (YoY) (Quý*",Sheet4!$1:$1,2)),"")</f>
        <v>0</v>
      </c>
      <c r="P446" s="10" cm="1">
        <f t="array" ref="P446">IFERROR(INDEX(Sheet4!$2:$1605,MATCH(ChiTietKQKD[[#This Row],[Mã CP]],Sheet4!$B$2:$B$1605,0),_xlfn.XMATCH("*Tăng trưởng lợi nhuận sau thuế (YoY) (6M)*",Sheet4!$1:$1,2)),"")</f>
        <v>0</v>
      </c>
      <c r="Q446" s="10" cm="1">
        <f t="array" ref="Q446">IFERROR(INDEX(Sheet4!$2:$1605,MATCH(ChiTietKQKD[[#This Row],[Mã CP]],Sheet4!$B$2:$B$1605,0),_xlfn.XMATCH("*Tăng trưởng doanh thu thuần (QoQ)*",Sheet4!$1:$1,2)),"")</f>
        <v>0</v>
      </c>
      <c r="R446" s="10" cm="1">
        <f t="array" ref="R446">IFERROR(INDEX(Sheet4!$2:$1605,MATCH(ChiTietKQKD[[#This Row],[Mã CP]],Sheet4!$B$2:$B$1605,0),_xlfn.XMATCH("*Tăng trưởng lợi nhuận sau thuế (QoQ)*",Sheet4!$1:$1,2)),"")</f>
        <v>0</v>
      </c>
    </row>
    <row r="447" spans="1:18" x14ac:dyDescent="0.25">
      <c r="A447" s="7">
        <f>Sheet4!A426</f>
        <v>425</v>
      </c>
      <c r="B447" t="str">
        <f>Sheet4!B426</f>
        <v>VTB</v>
      </c>
      <c r="C447" t="str">
        <f>Sheet4!C425</f>
        <v>Đầu tư và Xây dựng Cấp thoát nước</v>
      </c>
      <c r="D447" t="str">
        <f>Sheet4!D426</f>
        <v>HOSE</v>
      </c>
      <c r="E447" s="7">
        <f>Sheet4!AH426/1000000000</f>
        <v>138.297856</v>
      </c>
      <c r="F447" t="str">
        <f>Sheet4!E426</f>
        <v>Công nghiệp</v>
      </c>
      <c r="G447" t="str">
        <f>Sheet4!F426</f>
        <v>Hàng &amp; Dịch vụ Công nghiệp</v>
      </c>
      <c r="H447" t="str">
        <f>Sheet4!G426</f>
        <v>Hàng điện &amp; điện tử</v>
      </c>
      <c r="I447" s="9" cm="1">
        <f t="array" ref="I44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37.918561419</v>
      </c>
      <c r="J447" s="9" cm="1">
        <f t="array" ref="J44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66.964235055000003</v>
      </c>
      <c r="K447" s="10" cm="1">
        <f t="array" ref="K44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-3.1399999999999997E-2</v>
      </c>
      <c r="L447" s="10" cm="1">
        <f t="array" ref="L44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1.3899999999999999E-2</v>
      </c>
      <c r="M447" s="9" cm="1">
        <f t="array" ref="M447">_xlfn.LET(_xlpm.val,IFERROR(INDEX(Sheet4!$2:$1605,MATCH(ChiTietKQKD[[#This Row],[Mã CP]],Sheet4!$B$2:$B$1605,0),_xlfn.XMATCH("*Lợi nhuận sau thuế*Q2*2026*",Sheet4!$1:$1,2)),0),IF(OR(_xlpm.val="",_xlpm.val=0),"",_xlpm.val/1000000000))</f>
        <v>5.9412951830000003</v>
      </c>
      <c r="N447" s="9" cm="1">
        <f t="array" ref="N447">_xlfn.LET(_xlpm.val,IFERROR(INDEX(Sheet4!$2:$1605,MATCH(ChiTietKQKD[[#This Row],[Mã CP]],Sheet4!$B$2:$B$1605,0),_xlfn.XMATCH("*Lợi nhuận sau thuế*6 tháng*2026*",Sheet4!$1:$1,2)),0),IF(OR(_xlpm.val="",_xlpm.val=0),"",_xlpm.val/1000000000))</f>
        <v>9.7580404160000001</v>
      </c>
      <c r="O447" s="10" cm="1">
        <f t="array" ref="O447">IFERROR(INDEX(Sheet4!$2:$1605,MATCH(ChiTietKQKD[[#This Row],[Mã CP]],Sheet4!$B$2:$B$1605,0),_xlfn.XMATCH("*Tăng trưởng lợi nhuận sau thuế (YoY) (Quý*",Sheet4!$1:$1,2)),"")</f>
        <v>0.63400000000000001</v>
      </c>
      <c r="P447" s="10" cm="1">
        <f t="array" ref="P447">IFERROR(INDEX(Sheet4!$2:$1605,MATCH(ChiTietKQKD[[#This Row],[Mã CP]],Sheet4!$B$2:$B$1605,0),_xlfn.XMATCH("*Tăng trưởng lợi nhuận sau thuế (YoY) (6M)*",Sheet4!$1:$1,2)),"")</f>
        <v>0.63419999999999999</v>
      </c>
      <c r="Q447" s="10" cm="1">
        <f t="array" ref="Q447">IFERROR(INDEX(Sheet4!$2:$1605,MATCH(ChiTietKQKD[[#This Row],[Mã CP]],Sheet4!$B$2:$B$1605,0),_xlfn.XMATCH("*Tăng trưởng doanh thu thuần (QoQ)*",Sheet4!$1:$1,2)),"")</f>
        <v>0.30549999999999999</v>
      </c>
      <c r="R447" s="10" cm="1">
        <f t="array" ref="R447">IFERROR(INDEX(Sheet4!$2:$1605,MATCH(ChiTietKQKD[[#This Row],[Mã CP]],Sheet4!$B$2:$B$1605,0),_xlfn.XMATCH("*Tăng trưởng lợi nhuận sau thuế (QoQ)*",Sheet4!$1:$1,2)),"")</f>
        <v>0.55659999999999998</v>
      </c>
    </row>
    <row r="448" spans="1:18" x14ac:dyDescent="0.25">
      <c r="A448" s="7">
        <f>Sheet4!A427</f>
        <v>426</v>
      </c>
      <c r="B448" t="str">
        <f>Sheet4!B427</f>
        <v>VTO</v>
      </c>
      <c r="C448" t="str">
        <f>Sheet4!C426</f>
        <v>Viettronics Tân Bình</v>
      </c>
      <c r="D448" t="str">
        <f>Sheet4!D427</f>
        <v>HOSE</v>
      </c>
      <c r="E448" s="7">
        <f>Sheet4!AH427/1000000000</f>
        <v>806.65332660000001</v>
      </c>
      <c r="F448" t="str">
        <f>Sheet4!E427</f>
        <v>Công nghiệp</v>
      </c>
      <c r="G448" t="str">
        <f>Sheet4!F427</f>
        <v>Hàng &amp; Dịch vụ Công nghiệp</v>
      </c>
      <c r="H448" t="str">
        <f>Sheet4!G427</f>
        <v>Vận tải Thủy</v>
      </c>
      <c r="I448" s="9" t="str" cm="1">
        <f t="array" ref="I44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48" s="9" t="str" cm="1">
        <f t="array" ref="J44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48" s="10" cm="1">
        <f t="array" ref="K44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48" s="10" cm="1">
        <f t="array" ref="L44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48" s="9" t="str" cm="1">
        <f t="array" ref="M44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48" s="9" t="str" cm="1">
        <f t="array" ref="N44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48" s="10" cm="1">
        <f t="array" ref="O448">IFERROR(INDEX(Sheet4!$2:$1605,MATCH(ChiTietKQKD[[#This Row],[Mã CP]],Sheet4!$B$2:$B$1605,0),_xlfn.XMATCH("*Tăng trưởng lợi nhuận sau thuế (YoY) (Quý*",Sheet4!$1:$1,2)),"")</f>
        <v>0</v>
      </c>
      <c r="P448" s="10" cm="1">
        <f t="array" ref="P448">IFERROR(INDEX(Sheet4!$2:$1605,MATCH(ChiTietKQKD[[#This Row],[Mã CP]],Sheet4!$B$2:$B$1605,0),_xlfn.XMATCH("*Tăng trưởng lợi nhuận sau thuế (YoY) (6M)*",Sheet4!$1:$1,2)),"")</f>
        <v>0</v>
      </c>
      <c r="Q448" s="10" cm="1">
        <f t="array" ref="Q448">IFERROR(INDEX(Sheet4!$2:$1605,MATCH(ChiTietKQKD[[#This Row],[Mã CP]],Sheet4!$B$2:$B$1605,0),_xlfn.XMATCH("*Tăng trưởng doanh thu thuần (QoQ)*",Sheet4!$1:$1,2)),"")</f>
        <v>0</v>
      </c>
      <c r="R448" s="10" cm="1">
        <f t="array" ref="R448">IFERROR(INDEX(Sheet4!$2:$1605,MATCH(ChiTietKQKD[[#This Row],[Mã CP]],Sheet4!$B$2:$B$1605,0),_xlfn.XMATCH("*Tăng trưởng lợi nhuận sau thuế (QoQ)*",Sheet4!$1:$1,2)),"")</f>
        <v>0</v>
      </c>
    </row>
    <row r="449" spans="1:18" x14ac:dyDescent="0.25">
      <c r="A449" s="7">
        <f>Sheet4!A428</f>
        <v>427</v>
      </c>
      <c r="B449" t="str">
        <f>Sheet4!B428</f>
        <v>VTP</v>
      </c>
      <c r="C449" t="str">
        <f>Sheet4!C427</f>
        <v>VITACO</v>
      </c>
      <c r="D449" t="str">
        <f>Sheet4!D428</f>
        <v>HOSE</v>
      </c>
      <c r="E449" s="7">
        <f>Sheet4!AH428/1000000000</f>
        <v>9711.5392061999992</v>
      </c>
      <c r="F449" t="str">
        <f>Sheet4!E428</f>
        <v>Công nghiệp</v>
      </c>
      <c r="G449" t="str">
        <f>Sheet4!F428</f>
        <v>Hàng &amp; Dịch vụ Công nghiệp</v>
      </c>
      <c r="H449" t="str">
        <f>Sheet4!G428</f>
        <v>Chuyển phát nhanh</v>
      </c>
      <c r="I449" s="9" t="str" cm="1">
        <f t="array" ref="I44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49" s="9" t="str" cm="1">
        <f t="array" ref="J44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49" s="10" cm="1">
        <f t="array" ref="K44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49" s="10" cm="1">
        <f t="array" ref="L44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49" s="9" t="str" cm="1">
        <f t="array" ref="M44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49" s="9" t="str" cm="1">
        <f t="array" ref="N44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49" s="10" cm="1">
        <f t="array" ref="O449">IFERROR(INDEX(Sheet4!$2:$1605,MATCH(ChiTietKQKD[[#This Row],[Mã CP]],Sheet4!$B$2:$B$1605,0),_xlfn.XMATCH("*Tăng trưởng lợi nhuận sau thuế (YoY) (Quý*",Sheet4!$1:$1,2)),"")</f>
        <v>0</v>
      </c>
      <c r="P449" s="10" cm="1">
        <f t="array" ref="P449">IFERROR(INDEX(Sheet4!$2:$1605,MATCH(ChiTietKQKD[[#This Row],[Mã CP]],Sheet4!$B$2:$B$1605,0),_xlfn.XMATCH("*Tăng trưởng lợi nhuận sau thuế (YoY) (6M)*",Sheet4!$1:$1,2)),"")</f>
        <v>0</v>
      </c>
      <c r="Q449" s="10" cm="1">
        <f t="array" ref="Q449">IFERROR(INDEX(Sheet4!$2:$1605,MATCH(ChiTietKQKD[[#This Row],[Mã CP]],Sheet4!$B$2:$B$1605,0),_xlfn.XMATCH("*Tăng trưởng doanh thu thuần (QoQ)*",Sheet4!$1:$1,2)),"")</f>
        <v>0</v>
      </c>
      <c r="R449" s="10" cm="1">
        <f t="array" ref="R449">IFERROR(INDEX(Sheet4!$2:$1605,MATCH(ChiTietKQKD[[#This Row],[Mã CP]],Sheet4!$B$2:$B$1605,0),_xlfn.XMATCH("*Tăng trưởng lợi nhuận sau thuế (QoQ)*",Sheet4!$1:$1,2)),"")</f>
        <v>0</v>
      </c>
    </row>
    <row r="450" spans="1:18" x14ac:dyDescent="0.25">
      <c r="A450" s="7">
        <f>Sheet4!A429</f>
        <v>428</v>
      </c>
      <c r="B450" t="str">
        <f>Sheet4!B429</f>
        <v>VVS</v>
      </c>
      <c r="C450" t="str">
        <f>Sheet4!C428</f>
        <v>Bưu chính Viettel</v>
      </c>
      <c r="D450" t="str">
        <f>Sheet4!D429</f>
        <v>HOSE</v>
      </c>
      <c r="E450" s="7">
        <f>Sheet4!AH429/1000000000</f>
        <v>4688.1450000000004</v>
      </c>
      <c r="F450" t="str">
        <f>Sheet4!E429</f>
        <v>Hàng Tiêu dùng</v>
      </c>
      <c r="G450" t="str">
        <f>Sheet4!F429</f>
        <v>Ô tô và phụ tùng</v>
      </c>
      <c r="H450" t="str">
        <f>Sheet4!G429</f>
        <v>Sản xuất ô tô</v>
      </c>
      <c r="I450" s="9" t="str" cm="1">
        <f t="array" ref="I45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50" s="9" t="str" cm="1">
        <f t="array" ref="J45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50" s="10" cm="1">
        <f t="array" ref="K45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50" s="10" cm="1">
        <f t="array" ref="L45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50" s="9" t="str" cm="1">
        <f t="array" ref="M45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50" s="9" t="str" cm="1">
        <f t="array" ref="N45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50" s="10" cm="1">
        <f t="array" ref="O450">IFERROR(INDEX(Sheet4!$2:$1605,MATCH(ChiTietKQKD[[#This Row],[Mã CP]],Sheet4!$B$2:$B$1605,0),_xlfn.XMATCH("*Tăng trưởng lợi nhuận sau thuế (YoY) (Quý*",Sheet4!$1:$1,2)),"")</f>
        <v>0</v>
      </c>
      <c r="P450" s="10" cm="1">
        <f t="array" ref="P450">IFERROR(INDEX(Sheet4!$2:$1605,MATCH(ChiTietKQKD[[#This Row],[Mã CP]],Sheet4!$B$2:$B$1605,0),_xlfn.XMATCH("*Tăng trưởng lợi nhuận sau thuế (YoY) (6M)*",Sheet4!$1:$1,2)),"")</f>
        <v>0</v>
      </c>
      <c r="Q450" s="10" cm="1">
        <f t="array" ref="Q450">IFERROR(INDEX(Sheet4!$2:$1605,MATCH(ChiTietKQKD[[#This Row],[Mã CP]],Sheet4!$B$2:$B$1605,0),_xlfn.XMATCH("*Tăng trưởng doanh thu thuần (QoQ)*",Sheet4!$1:$1,2)),"")</f>
        <v>0</v>
      </c>
      <c r="R450" s="10" cm="1">
        <f t="array" ref="R450">IFERROR(INDEX(Sheet4!$2:$1605,MATCH(ChiTietKQKD[[#This Row],[Mã CP]],Sheet4!$B$2:$B$1605,0),_xlfn.XMATCH("*Tăng trưởng lợi nhuận sau thuế (QoQ)*",Sheet4!$1:$1,2)),"")</f>
        <v>0</v>
      </c>
    </row>
    <row r="451" spans="1:18" x14ac:dyDescent="0.25">
      <c r="A451" s="7">
        <f>Sheet4!A430</f>
        <v>429</v>
      </c>
      <c r="B451" t="str">
        <f>Sheet4!B430</f>
        <v>YBM</v>
      </c>
      <c r="C451" t="str">
        <f>Sheet4!C429</f>
        <v>Đầu tư Phát triển Máy Việt Nam</v>
      </c>
      <c r="D451" t="str">
        <f>Sheet4!D430</f>
        <v>HOSE</v>
      </c>
      <c r="E451" s="7">
        <f>Sheet4!AH430/1000000000</f>
        <v>310.80591149999998</v>
      </c>
      <c r="F451" t="str">
        <f>Sheet4!E430</f>
        <v>Nguyên vật liệu</v>
      </c>
      <c r="G451" t="str">
        <f>Sheet4!F430</f>
        <v>Tài nguyên Cơ bản</v>
      </c>
      <c r="H451" t="str">
        <f>Sheet4!G430</f>
        <v>Khai khoáng</v>
      </c>
      <c r="I451" s="9" t="str" cm="1">
        <f t="array" ref="I45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51" s="9" t="str" cm="1">
        <f t="array" ref="J45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51" s="10" cm="1">
        <f t="array" ref="K45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51" s="10" cm="1">
        <f t="array" ref="L45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51" s="9" t="str" cm="1">
        <f t="array" ref="M45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51" s="9" t="str" cm="1">
        <f t="array" ref="N45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51" s="10" cm="1">
        <f t="array" ref="O451">IFERROR(INDEX(Sheet4!$2:$1605,MATCH(ChiTietKQKD[[#This Row],[Mã CP]],Sheet4!$B$2:$B$1605,0),_xlfn.XMATCH("*Tăng trưởng lợi nhuận sau thuế (YoY) (Quý*",Sheet4!$1:$1,2)),"")</f>
        <v>0</v>
      </c>
      <c r="P451" s="10" cm="1">
        <f t="array" ref="P451">IFERROR(INDEX(Sheet4!$2:$1605,MATCH(ChiTietKQKD[[#This Row],[Mã CP]],Sheet4!$B$2:$B$1605,0),_xlfn.XMATCH("*Tăng trưởng lợi nhuận sau thuế (YoY) (6M)*",Sheet4!$1:$1,2)),"")</f>
        <v>0</v>
      </c>
      <c r="Q451" s="10" cm="1">
        <f t="array" ref="Q451">IFERROR(INDEX(Sheet4!$2:$1605,MATCH(ChiTietKQKD[[#This Row],[Mã CP]],Sheet4!$B$2:$B$1605,0),_xlfn.XMATCH("*Tăng trưởng doanh thu thuần (QoQ)*",Sheet4!$1:$1,2)),"")</f>
        <v>0</v>
      </c>
      <c r="R451" s="10" cm="1">
        <f t="array" ref="R451">IFERROR(INDEX(Sheet4!$2:$1605,MATCH(ChiTietKQKD[[#This Row],[Mã CP]],Sheet4!$B$2:$B$1605,0),_xlfn.XMATCH("*Tăng trưởng lợi nhuận sau thuế (QoQ)*",Sheet4!$1:$1,2)),"")</f>
        <v>0</v>
      </c>
    </row>
    <row r="452" spans="1:18" x14ac:dyDescent="0.25">
      <c r="A452" s="7">
        <f>Sheet4!A431</f>
        <v>430</v>
      </c>
      <c r="B452" t="str">
        <f>Sheet4!B431</f>
        <v>YEG</v>
      </c>
      <c r="C452" t="str">
        <f>Sheet4!C430</f>
        <v>Khoáng sản CN Yên Bái</v>
      </c>
      <c r="D452" t="str">
        <f>Sheet4!D431</f>
        <v>HOSE</v>
      </c>
      <c r="E452" s="7">
        <f>Sheet4!AH431/1000000000</f>
        <v>1569.9823272000001</v>
      </c>
      <c r="F452" t="str">
        <f>Sheet4!E431</f>
        <v>Dịch vụ Tiêu dùng</v>
      </c>
      <c r="G452" t="str">
        <f>Sheet4!F431</f>
        <v>Truyền thông</v>
      </c>
      <c r="H452" t="str">
        <f>Sheet4!G431</f>
        <v>Giải trí &amp; Truyền thông</v>
      </c>
      <c r="I452" s="9" t="str" cm="1">
        <f t="array" ref="I45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52" s="9" t="str" cm="1">
        <f t="array" ref="J45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52" s="10" cm="1">
        <f t="array" ref="K45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52" s="10" cm="1">
        <f t="array" ref="L45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52" s="9" t="str" cm="1">
        <f t="array" ref="M45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52" s="9" t="str" cm="1">
        <f t="array" ref="N45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52" s="10" cm="1">
        <f t="array" ref="O452">IFERROR(INDEX(Sheet4!$2:$1605,MATCH(ChiTietKQKD[[#This Row],[Mã CP]],Sheet4!$B$2:$B$1605,0),_xlfn.XMATCH("*Tăng trưởng lợi nhuận sau thuế (YoY) (Quý*",Sheet4!$1:$1,2)),"")</f>
        <v>0</v>
      </c>
      <c r="P452" s="10" cm="1">
        <f t="array" ref="P452">IFERROR(INDEX(Sheet4!$2:$1605,MATCH(ChiTietKQKD[[#This Row],[Mã CP]],Sheet4!$B$2:$B$1605,0),_xlfn.XMATCH("*Tăng trưởng lợi nhuận sau thuế (YoY) (6M)*",Sheet4!$1:$1,2)),"")</f>
        <v>0</v>
      </c>
      <c r="Q452" s="10" cm="1">
        <f t="array" ref="Q452">IFERROR(INDEX(Sheet4!$2:$1605,MATCH(ChiTietKQKD[[#This Row],[Mã CP]],Sheet4!$B$2:$B$1605,0),_xlfn.XMATCH("*Tăng trưởng doanh thu thuần (QoQ)*",Sheet4!$1:$1,2)),"")</f>
        <v>0</v>
      </c>
      <c r="R452" s="10" cm="1">
        <f t="array" ref="R452">IFERROR(INDEX(Sheet4!$2:$1605,MATCH(ChiTietKQKD[[#This Row],[Mã CP]],Sheet4!$B$2:$B$1605,0),_xlfn.XMATCH("*Tăng trưởng lợi nhuận sau thuế (QoQ)*",Sheet4!$1:$1,2)),"")</f>
        <v>0</v>
      </c>
    </row>
    <row r="453" spans="1:18" x14ac:dyDescent="0.25">
      <c r="A453" s="7">
        <f>Sheet4!A432</f>
        <v>431</v>
      </c>
      <c r="B453" t="str">
        <f>Sheet4!B432</f>
        <v>ADC</v>
      </c>
      <c r="C453" t="str">
        <f>Sheet4!C431</f>
        <v>Tập đoàn Yeah1</v>
      </c>
      <c r="D453" t="str">
        <f>Sheet4!D432</f>
        <v>HNX</v>
      </c>
      <c r="E453" s="7">
        <f>Sheet4!AH432/1000000000</f>
        <v>67.624911999999995</v>
      </c>
      <c r="F453" t="str">
        <f>Sheet4!E432</f>
        <v>Dịch vụ Tiêu dùng</v>
      </c>
      <c r="G453" t="str">
        <f>Sheet4!F432</f>
        <v>Truyền thông</v>
      </c>
      <c r="H453" t="str">
        <f>Sheet4!G432</f>
        <v>Sách, ấn bản &amp; sản phẩm văn hóa</v>
      </c>
      <c r="I453" s="9" cm="1">
        <f t="array" ref="I45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66.479298733999997</v>
      </c>
      <c r="J453" s="9" cm="1">
        <f t="array" ref="J45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130.533464127</v>
      </c>
      <c r="K453" s="10" cm="1">
        <f t="array" ref="K45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3.6400000000000002E-2</v>
      </c>
      <c r="L453" s="10" cm="1">
        <f t="array" ref="L45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53" s="9" cm="1">
        <f t="array" ref="M453">_xlfn.LET(_xlpm.val,IFERROR(INDEX(Sheet4!$2:$1605,MATCH(ChiTietKQKD[[#This Row],[Mã CP]],Sheet4!$B$2:$B$1605,0),_xlfn.XMATCH("*Lợi nhuận sau thuế*Q2*2026*",Sheet4!$1:$1,2)),0),IF(OR(_xlpm.val="",_xlpm.val=0),"",_xlpm.val/1000000000))</f>
        <v>1.600971004</v>
      </c>
      <c r="N453" s="9" cm="1">
        <f t="array" ref="N453">_xlfn.LET(_xlpm.val,IFERROR(INDEX(Sheet4!$2:$1605,MATCH(ChiTietKQKD[[#This Row],[Mã CP]],Sheet4!$B$2:$B$1605,0),_xlfn.XMATCH("*Lợi nhuận sau thuế*6 tháng*2026*",Sheet4!$1:$1,2)),0),IF(OR(_xlpm.val="",_xlpm.val=0),"",_xlpm.val/1000000000))</f>
        <v>3.2929088050000002</v>
      </c>
      <c r="O453" s="10" cm="1">
        <f t="array" ref="O453">IFERROR(INDEX(Sheet4!$2:$1605,MATCH(ChiTietKQKD[[#This Row],[Mã CP]],Sheet4!$B$2:$B$1605,0),_xlfn.XMATCH("*Tăng trưởng lợi nhuận sau thuế (YoY) (Quý*",Sheet4!$1:$1,2)),"")</f>
        <v>1.8499999999999999E-2</v>
      </c>
      <c r="P453" s="10" cm="1">
        <f t="array" ref="P453">IFERROR(INDEX(Sheet4!$2:$1605,MATCH(ChiTietKQKD[[#This Row],[Mã CP]],Sheet4!$B$2:$B$1605,0),_xlfn.XMATCH("*Tăng trưởng lợi nhuận sau thuế (YoY) (6M)*",Sheet4!$1:$1,2)),"")</f>
        <v>0</v>
      </c>
      <c r="Q453" s="10" cm="1">
        <f t="array" ref="Q453">IFERROR(INDEX(Sheet4!$2:$1605,MATCH(ChiTietKQKD[[#This Row],[Mã CP]],Sheet4!$B$2:$B$1605,0),_xlfn.XMATCH("*Tăng trưởng doanh thu thuần (QoQ)*",Sheet4!$1:$1,2)),"")</f>
        <v>3.7900000000000003E-2</v>
      </c>
      <c r="R453" s="10" cm="1">
        <f t="array" ref="R453">IFERROR(INDEX(Sheet4!$2:$1605,MATCH(ChiTietKQKD[[#This Row],[Mã CP]],Sheet4!$B$2:$B$1605,0),_xlfn.XMATCH("*Tăng trưởng lợi nhuận sau thuế (QoQ)*",Sheet4!$1:$1,2)),"")</f>
        <v>-5.3800000000000001E-2</v>
      </c>
    </row>
    <row r="454" spans="1:18" x14ac:dyDescent="0.25">
      <c r="A454" s="7">
        <f>Sheet4!A433</f>
        <v>432</v>
      </c>
      <c r="B454" t="str">
        <f>Sheet4!B433</f>
        <v>ALT</v>
      </c>
      <c r="C454" t="str">
        <f>Sheet4!C432</f>
        <v>Mĩ thuật và Truyền thông</v>
      </c>
      <c r="D454" t="str">
        <f>Sheet4!D433</f>
        <v>HNX</v>
      </c>
      <c r="E454" s="7">
        <f>Sheet4!AH433/1000000000</f>
        <v>71.708862499999995</v>
      </c>
      <c r="F454" t="str">
        <f>Sheet4!E433</f>
        <v>Dịch vụ Tiêu dùng</v>
      </c>
      <c r="G454" t="str">
        <f>Sheet4!F433</f>
        <v>Truyền thông</v>
      </c>
      <c r="H454" t="str">
        <f>Sheet4!G433</f>
        <v>Sách, ấn bản &amp; sản phẩm văn hóa</v>
      </c>
      <c r="I454" s="9" t="str" cm="1">
        <f t="array" ref="I45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54" s="9" t="str" cm="1">
        <f t="array" ref="J45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54" s="10" cm="1">
        <f t="array" ref="K45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54" s="10" cm="1">
        <f t="array" ref="L45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54" s="9" t="str" cm="1">
        <f t="array" ref="M45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54" s="9" t="str" cm="1">
        <f t="array" ref="N45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54" s="10" cm="1">
        <f t="array" ref="O454">IFERROR(INDEX(Sheet4!$2:$1605,MATCH(ChiTietKQKD[[#This Row],[Mã CP]],Sheet4!$B$2:$B$1605,0),_xlfn.XMATCH("*Tăng trưởng lợi nhuận sau thuế (YoY) (Quý*",Sheet4!$1:$1,2)),"")</f>
        <v>0</v>
      </c>
      <c r="P454" s="10" cm="1">
        <f t="array" ref="P454">IFERROR(INDEX(Sheet4!$2:$1605,MATCH(ChiTietKQKD[[#This Row],[Mã CP]],Sheet4!$B$2:$B$1605,0),_xlfn.XMATCH("*Tăng trưởng lợi nhuận sau thuế (YoY) (6M)*",Sheet4!$1:$1,2)),"")</f>
        <v>0</v>
      </c>
      <c r="Q454" s="10" cm="1">
        <f t="array" ref="Q454">IFERROR(INDEX(Sheet4!$2:$1605,MATCH(ChiTietKQKD[[#This Row],[Mã CP]],Sheet4!$B$2:$B$1605,0),_xlfn.XMATCH("*Tăng trưởng doanh thu thuần (QoQ)*",Sheet4!$1:$1,2)),"")</f>
        <v>0</v>
      </c>
      <c r="R454" s="10" cm="1">
        <f t="array" ref="R454">IFERROR(INDEX(Sheet4!$2:$1605,MATCH(ChiTietKQKD[[#This Row],[Mã CP]],Sheet4!$B$2:$B$1605,0),_xlfn.XMATCH("*Tăng trưởng lợi nhuận sau thuế (QoQ)*",Sheet4!$1:$1,2)),"")</f>
        <v>0</v>
      </c>
    </row>
    <row r="455" spans="1:18" x14ac:dyDescent="0.25">
      <c r="A455" s="7">
        <f>Sheet4!A434</f>
        <v>433</v>
      </c>
      <c r="B455" t="str">
        <f>Sheet4!B434</f>
        <v>AMC</v>
      </c>
      <c r="C455" t="str">
        <f>Sheet4!C433</f>
        <v>Văn hóa Tân Bình</v>
      </c>
      <c r="D455" t="str">
        <f>Sheet4!D434</f>
        <v>HNX</v>
      </c>
      <c r="E455" s="7">
        <f>Sheet4!AH434/1000000000</f>
        <v>53.009875999999998</v>
      </c>
      <c r="F455" t="str">
        <f>Sheet4!E434</f>
        <v>Nguyên vật liệu</v>
      </c>
      <c r="G455" t="str">
        <f>Sheet4!F434</f>
        <v>Tài nguyên Cơ bản</v>
      </c>
      <c r="H455" t="str">
        <f>Sheet4!G434</f>
        <v>Khai khoáng</v>
      </c>
      <c r="I455" s="9" cm="1">
        <f t="array" ref="I45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50.829744208999998</v>
      </c>
      <c r="J455" s="9" cm="1">
        <f t="array" ref="J45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102.079070828</v>
      </c>
      <c r="K455" s="10" cm="1">
        <f t="array" ref="K45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0.19500000000000001</v>
      </c>
      <c r="L455" s="10" cm="1">
        <f t="array" ref="L45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55" s="9" cm="1">
        <f t="array" ref="M455">_xlfn.LET(_xlpm.val,IFERROR(INDEX(Sheet4!$2:$1605,MATCH(ChiTietKQKD[[#This Row],[Mã CP]],Sheet4!$B$2:$B$1605,0),_xlfn.XMATCH("*Lợi nhuận sau thuế*Q2*2026*",Sheet4!$1:$1,2)),0),IF(OR(_xlpm.val="",_xlpm.val=0),"",_xlpm.val/1000000000))</f>
        <v>2.9711883729999999</v>
      </c>
      <c r="N455" s="9" cm="1">
        <f t="array" ref="N455">_xlfn.LET(_xlpm.val,IFERROR(INDEX(Sheet4!$2:$1605,MATCH(ChiTietKQKD[[#This Row],[Mã CP]],Sheet4!$B$2:$B$1605,0),_xlfn.XMATCH("*Lợi nhuận sau thuế*6 tháng*2026*",Sheet4!$1:$1,2)),0),IF(OR(_xlpm.val="",_xlpm.val=0),"",_xlpm.val/1000000000))</f>
        <v>5.617127193</v>
      </c>
      <c r="O455" s="10" cm="1">
        <f t="array" ref="O455">IFERROR(INDEX(Sheet4!$2:$1605,MATCH(ChiTietKQKD[[#This Row],[Mã CP]],Sheet4!$B$2:$B$1605,0),_xlfn.XMATCH("*Tăng trưởng lợi nhuận sau thuế (YoY) (Quý*",Sheet4!$1:$1,2)),"")</f>
        <v>0.94650000000000001</v>
      </c>
      <c r="P455" s="10" cm="1">
        <f t="array" ref="P455">IFERROR(INDEX(Sheet4!$2:$1605,MATCH(ChiTietKQKD[[#This Row],[Mã CP]],Sheet4!$B$2:$B$1605,0),_xlfn.XMATCH("*Tăng trưởng lợi nhuận sau thuế (YoY) (6M)*",Sheet4!$1:$1,2)),"")</f>
        <v>0</v>
      </c>
      <c r="Q455" s="10" cm="1">
        <f t="array" ref="Q455">IFERROR(INDEX(Sheet4!$2:$1605,MATCH(ChiTietKQKD[[#This Row],[Mã CP]],Sheet4!$B$2:$B$1605,0),_xlfn.XMATCH("*Tăng trưởng doanh thu thuần (QoQ)*",Sheet4!$1:$1,2)),"")</f>
        <v>-8.2000000000000007E-3</v>
      </c>
      <c r="R455" s="10" cm="1">
        <f t="array" ref="R455">IFERROR(INDEX(Sheet4!$2:$1605,MATCH(ChiTietKQKD[[#This Row],[Mã CP]],Sheet4!$B$2:$B$1605,0),_xlfn.XMATCH("*Tăng trưởng lợi nhuận sau thuế (QoQ)*",Sheet4!$1:$1,2)),"")</f>
        <v>0.1229</v>
      </c>
    </row>
    <row r="456" spans="1:18" x14ac:dyDescent="0.25">
      <c r="A456" s="7">
        <f>Sheet4!A435</f>
        <v>434</v>
      </c>
      <c r="B456" t="str">
        <f>Sheet4!B435</f>
        <v>AME</v>
      </c>
      <c r="C456" t="str">
        <f>Sheet4!C434</f>
        <v>Khoáng sản Á Châu</v>
      </c>
      <c r="D456" t="str">
        <f>Sheet4!D435</f>
        <v>HNX</v>
      </c>
      <c r="E456" s="7">
        <f>Sheet4!AH435/1000000000</f>
        <v>436.84</v>
      </c>
      <c r="F456" t="str">
        <f>Sheet4!E435</f>
        <v>Công nghiệp</v>
      </c>
      <c r="G456" t="str">
        <f>Sheet4!F435</f>
        <v>Hàng &amp; Dịch vụ Công nghiệp</v>
      </c>
      <c r="H456" t="str">
        <f>Sheet4!G435</f>
        <v>Thiết bị điện</v>
      </c>
      <c r="I456" s="9" t="str" cm="1">
        <f t="array" ref="I45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56" s="9" t="str" cm="1">
        <f t="array" ref="J45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56" s="10" cm="1">
        <f t="array" ref="K45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56" s="10" cm="1">
        <f t="array" ref="L45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56" s="9" t="str" cm="1">
        <f t="array" ref="M45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56" s="9" t="str" cm="1">
        <f t="array" ref="N45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56" s="10" cm="1">
        <f t="array" ref="O456">IFERROR(INDEX(Sheet4!$2:$1605,MATCH(ChiTietKQKD[[#This Row],[Mã CP]],Sheet4!$B$2:$B$1605,0),_xlfn.XMATCH("*Tăng trưởng lợi nhuận sau thuế (YoY) (Quý*",Sheet4!$1:$1,2)),"")</f>
        <v>0</v>
      </c>
      <c r="P456" s="10" cm="1">
        <f t="array" ref="P456">IFERROR(INDEX(Sheet4!$2:$1605,MATCH(ChiTietKQKD[[#This Row],[Mã CP]],Sheet4!$B$2:$B$1605,0),_xlfn.XMATCH("*Tăng trưởng lợi nhuận sau thuế (YoY) (6M)*",Sheet4!$1:$1,2)),"")</f>
        <v>0</v>
      </c>
      <c r="Q456" s="10" cm="1">
        <f t="array" ref="Q456">IFERROR(INDEX(Sheet4!$2:$1605,MATCH(ChiTietKQKD[[#This Row],[Mã CP]],Sheet4!$B$2:$B$1605,0),_xlfn.XMATCH("*Tăng trưởng doanh thu thuần (QoQ)*",Sheet4!$1:$1,2)),"")</f>
        <v>0</v>
      </c>
      <c r="R456" s="10" cm="1">
        <f t="array" ref="R456">IFERROR(INDEX(Sheet4!$2:$1605,MATCH(ChiTietKQKD[[#This Row],[Mã CP]],Sheet4!$B$2:$B$1605,0),_xlfn.XMATCH("*Tăng trưởng lợi nhuận sau thuế (QoQ)*",Sheet4!$1:$1,2)),"")</f>
        <v>0</v>
      </c>
    </row>
    <row r="457" spans="1:18" x14ac:dyDescent="0.25">
      <c r="A457" s="7">
        <f>Sheet4!A436</f>
        <v>435</v>
      </c>
      <c r="B457" t="str">
        <f>Sheet4!B436</f>
        <v>AMV</v>
      </c>
      <c r="C457" t="str">
        <f>Sheet4!C435</f>
        <v>Cơ điện Alphanam</v>
      </c>
      <c r="D457" t="str">
        <f>Sheet4!D436</f>
        <v>HNX</v>
      </c>
      <c r="E457" s="7">
        <f>Sheet4!AH436/1000000000</f>
        <v>170.43734499999999</v>
      </c>
      <c r="F457" t="str">
        <f>Sheet4!E436</f>
        <v>Dược phẩm và Y tế</v>
      </c>
      <c r="G457" t="str">
        <f>Sheet4!F436</f>
        <v>Y tế</v>
      </c>
      <c r="H457" t="str">
        <f>Sheet4!G436</f>
        <v>Thiết bị y tế</v>
      </c>
      <c r="I457" s="9" t="str" cm="1">
        <f t="array" ref="I45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57" s="9" t="str" cm="1">
        <f t="array" ref="J45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57" s="10" cm="1">
        <f t="array" ref="K45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57" s="10" cm="1">
        <f t="array" ref="L45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57" s="9" t="str" cm="1">
        <f t="array" ref="M45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57" s="9" t="str" cm="1">
        <f t="array" ref="N45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57" s="10" cm="1">
        <f t="array" ref="O457">IFERROR(INDEX(Sheet4!$2:$1605,MATCH(ChiTietKQKD[[#This Row],[Mã CP]],Sheet4!$B$2:$B$1605,0),_xlfn.XMATCH("*Tăng trưởng lợi nhuận sau thuế (YoY) (Quý*",Sheet4!$1:$1,2)),"")</f>
        <v>0</v>
      </c>
      <c r="P457" s="10" cm="1">
        <f t="array" ref="P457">IFERROR(INDEX(Sheet4!$2:$1605,MATCH(ChiTietKQKD[[#This Row],[Mã CP]],Sheet4!$B$2:$B$1605,0),_xlfn.XMATCH("*Tăng trưởng lợi nhuận sau thuế (YoY) (6M)*",Sheet4!$1:$1,2)),"")</f>
        <v>0</v>
      </c>
      <c r="Q457" s="10" cm="1">
        <f t="array" ref="Q457">IFERROR(INDEX(Sheet4!$2:$1605,MATCH(ChiTietKQKD[[#This Row],[Mã CP]],Sheet4!$B$2:$B$1605,0),_xlfn.XMATCH("*Tăng trưởng doanh thu thuần (QoQ)*",Sheet4!$1:$1,2)),"")</f>
        <v>0</v>
      </c>
      <c r="R457" s="10" cm="1">
        <f t="array" ref="R457">IFERROR(INDEX(Sheet4!$2:$1605,MATCH(ChiTietKQKD[[#This Row],[Mã CP]],Sheet4!$B$2:$B$1605,0),_xlfn.XMATCH("*Tăng trưởng lợi nhuận sau thuế (QoQ)*",Sheet4!$1:$1,2)),"")</f>
        <v>0</v>
      </c>
    </row>
    <row r="458" spans="1:18" x14ac:dyDescent="0.25">
      <c r="A458" s="7">
        <f>Sheet4!A437</f>
        <v>436</v>
      </c>
      <c r="B458" t="str">
        <f>Sheet4!B437</f>
        <v>API</v>
      </c>
      <c r="C458" t="str">
        <f>Sheet4!C436</f>
        <v>Dược-TB Y tế Việt Mỹ</v>
      </c>
      <c r="D458" t="str">
        <f>Sheet4!D437</f>
        <v>HNX</v>
      </c>
      <c r="E458" s="7">
        <f>Sheet4!AH437/1000000000</f>
        <v>479.27866319999998</v>
      </c>
      <c r="F458" t="str">
        <f>Sheet4!E437</f>
        <v>Tài chính</v>
      </c>
      <c r="G458" t="str">
        <f>Sheet4!F437</f>
        <v>Bất động sản</v>
      </c>
      <c r="H458" t="str">
        <f>Sheet4!G437</f>
        <v>Bất động sản</v>
      </c>
      <c r="I458" s="9" t="str" cm="1">
        <f t="array" ref="I45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58" s="9" t="str" cm="1">
        <f t="array" ref="J45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58" s="10" cm="1">
        <f t="array" ref="K45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58" s="10" cm="1">
        <f t="array" ref="L45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58" s="9" t="str" cm="1">
        <f t="array" ref="M45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58" s="9" t="str" cm="1">
        <f t="array" ref="N45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58" s="10" cm="1">
        <f t="array" ref="O458">IFERROR(INDEX(Sheet4!$2:$1605,MATCH(ChiTietKQKD[[#This Row],[Mã CP]],Sheet4!$B$2:$B$1605,0),_xlfn.XMATCH("*Tăng trưởng lợi nhuận sau thuế (YoY) (Quý*",Sheet4!$1:$1,2)),"")</f>
        <v>0</v>
      </c>
      <c r="P458" s="10" cm="1">
        <f t="array" ref="P458">IFERROR(INDEX(Sheet4!$2:$1605,MATCH(ChiTietKQKD[[#This Row],[Mã CP]],Sheet4!$B$2:$B$1605,0),_xlfn.XMATCH("*Tăng trưởng lợi nhuận sau thuế (YoY) (6M)*",Sheet4!$1:$1,2)),"")</f>
        <v>0</v>
      </c>
      <c r="Q458" s="10" cm="1">
        <f t="array" ref="Q458">IFERROR(INDEX(Sheet4!$2:$1605,MATCH(ChiTietKQKD[[#This Row],[Mã CP]],Sheet4!$B$2:$B$1605,0),_xlfn.XMATCH("*Tăng trưởng doanh thu thuần (QoQ)*",Sheet4!$1:$1,2)),"")</f>
        <v>0</v>
      </c>
      <c r="R458" s="10" cm="1">
        <f t="array" ref="R458">IFERROR(INDEX(Sheet4!$2:$1605,MATCH(ChiTietKQKD[[#This Row],[Mã CP]],Sheet4!$B$2:$B$1605,0),_xlfn.XMATCH("*Tăng trưởng lợi nhuận sau thuế (QoQ)*",Sheet4!$1:$1,2)),"")</f>
        <v>0</v>
      </c>
    </row>
    <row r="459" spans="1:18" x14ac:dyDescent="0.25">
      <c r="A459" s="7">
        <f>Sheet4!A438</f>
        <v>437</v>
      </c>
      <c r="B459" t="str">
        <f>Sheet4!B438</f>
        <v>APS</v>
      </c>
      <c r="C459" t="str">
        <f>Sheet4!C437</f>
        <v>Đầu tư Châu Á - Thái Bình Dương</v>
      </c>
      <c r="D459" t="str">
        <f>Sheet4!D438</f>
        <v>HNX</v>
      </c>
      <c r="E459" s="7">
        <f>Sheet4!AH438/1000000000</f>
        <v>506.3</v>
      </c>
      <c r="F459" t="str">
        <f>Sheet4!E438</f>
        <v>Tài chính</v>
      </c>
      <c r="G459" t="str">
        <f>Sheet4!F438</f>
        <v>Dịch vụ tài chính</v>
      </c>
      <c r="H459" t="str">
        <f>Sheet4!G438</f>
        <v>Môi giới chứng khoán</v>
      </c>
      <c r="I459" s="9" cm="1">
        <f t="array" ref="I45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31.820490293999999</v>
      </c>
      <c r="J459" s="9" cm="1">
        <f t="array" ref="J45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47.239897206000002</v>
      </c>
      <c r="K459" s="10" cm="1">
        <f t="array" ref="K45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-0.2868</v>
      </c>
      <c r="L459" s="10" cm="1">
        <f t="array" ref="L45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-0.30680000000000002</v>
      </c>
      <c r="M459" s="9" cm="1">
        <f t="array" ref="M459">_xlfn.LET(_xlpm.val,IFERROR(INDEX(Sheet4!$2:$1605,MATCH(ChiTietKQKD[[#This Row],[Mã CP]],Sheet4!$B$2:$B$1605,0),_xlfn.XMATCH("*Lợi nhuận sau thuế*Q2*2026*",Sheet4!$1:$1,2)),0),IF(OR(_xlpm.val="",_xlpm.val=0),"",_xlpm.val/1000000000))</f>
        <v>54.459620248999997</v>
      </c>
      <c r="N459" s="9" cm="1">
        <f t="array" ref="N459">_xlfn.LET(_xlpm.val,IFERROR(INDEX(Sheet4!$2:$1605,MATCH(ChiTietKQKD[[#This Row],[Mã CP]],Sheet4!$B$2:$B$1605,0),_xlfn.XMATCH("*Lợi nhuận sau thuế*6 tháng*2026*",Sheet4!$1:$1,2)),0),IF(OR(_xlpm.val="",_xlpm.val=0),"",_xlpm.val/1000000000))</f>
        <v>24.624290992999999</v>
      </c>
      <c r="O459" s="10" cm="1">
        <f t="array" ref="O459">IFERROR(INDEX(Sheet4!$2:$1605,MATCH(ChiTietKQKD[[#This Row],[Mã CP]],Sheet4!$B$2:$B$1605,0),_xlfn.XMATCH("*Tăng trưởng lợi nhuận sau thuế (YoY) (Quý*",Sheet4!$1:$1,2)),"")</f>
        <v>8.9878999999999998</v>
      </c>
      <c r="P459" s="10" cm="1">
        <f t="array" ref="P459">IFERROR(INDEX(Sheet4!$2:$1605,MATCH(ChiTietKQKD[[#This Row],[Mã CP]],Sheet4!$B$2:$B$1605,0),_xlfn.XMATCH("*Tăng trưởng lợi nhuận sau thuế (YoY) (6M)*",Sheet4!$1:$1,2)),"")</f>
        <v>1.7751999999999999</v>
      </c>
      <c r="Q459" s="10" cm="1">
        <f t="array" ref="Q459">IFERROR(INDEX(Sheet4!$2:$1605,MATCH(ChiTietKQKD[[#This Row],[Mã CP]],Sheet4!$B$2:$B$1605,0),_xlfn.XMATCH("*Tăng trưởng doanh thu thuần (QoQ)*",Sheet4!$1:$1,2)),"")</f>
        <v>1.0637000000000001</v>
      </c>
      <c r="R459" s="10" cm="1">
        <f t="array" ref="R459">IFERROR(INDEX(Sheet4!$2:$1605,MATCH(ChiTietKQKD[[#This Row],[Mã CP]],Sheet4!$B$2:$B$1605,0),_xlfn.XMATCH("*Tăng trưởng lợi nhuận sau thuế (QoQ)*",Sheet4!$1:$1,2)),"")</f>
        <v>2.8252999999999999</v>
      </c>
    </row>
    <row r="460" spans="1:18" x14ac:dyDescent="0.25">
      <c r="A460" s="7">
        <f>Sheet4!A439</f>
        <v>438</v>
      </c>
      <c r="B460" t="str">
        <f>Sheet4!B439</f>
        <v>ARM</v>
      </c>
      <c r="C460" t="str">
        <f>Sheet4!C438</f>
        <v>CK Châu Á - TBD</v>
      </c>
      <c r="D460" t="str">
        <f>Sheet4!D439</f>
        <v>HNX</v>
      </c>
      <c r="E460" s="7">
        <f>Sheet4!AH439/1000000000</f>
        <v>142.4967614</v>
      </c>
      <c r="F460" t="str">
        <f>Sheet4!E439</f>
        <v>Công nghiệp</v>
      </c>
      <c r="G460" t="str">
        <f>Sheet4!F439</f>
        <v>Hàng &amp; Dịch vụ Công nghiệp</v>
      </c>
      <c r="H460" t="str">
        <f>Sheet4!G439</f>
        <v>Nhà cung cấp thiết bị</v>
      </c>
      <c r="I460" s="9" cm="1">
        <f t="array" ref="I46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150.518646421</v>
      </c>
      <c r="J460" s="9" cm="1">
        <f t="array" ref="J46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228.69910607899999</v>
      </c>
      <c r="K460" s="10" cm="1">
        <f t="array" ref="K46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1.0490999999999999</v>
      </c>
      <c r="L460" s="10" cm="1">
        <f t="array" ref="L46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0.84460000000000002</v>
      </c>
      <c r="M460" s="9" cm="1">
        <f t="array" ref="M460">_xlfn.LET(_xlpm.val,IFERROR(INDEX(Sheet4!$2:$1605,MATCH(ChiTietKQKD[[#This Row],[Mã CP]],Sheet4!$B$2:$B$1605,0),_xlfn.XMATCH("*Lợi nhuận sau thuế*Q2*2026*",Sheet4!$1:$1,2)),0),IF(OR(_xlpm.val="",_xlpm.val=0),"",_xlpm.val/1000000000))</f>
        <v>3.6298367479999998</v>
      </c>
      <c r="N460" s="9" cm="1">
        <f t="array" ref="N460">_xlfn.LET(_xlpm.val,IFERROR(INDEX(Sheet4!$2:$1605,MATCH(ChiTietKQKD[[#This Row],[Mã CP]],Sheet4!$B$2:$B$1605,0),_xlfn.XMATCH("*Lợi nhuận sau thuế*6 tháng*2026*",Sheet4!$1:$1,2)),0),IF(OR(_xlpm.val="",_xlpm.val=0),"",_xlpm.val/1000000000))</f>
        <v>5.5520987049999997</v>
      </c>
      <c r="O460" s="10" cm="1">
        <f t="array" ref="O460">IFERROR(INDEX(Sheet4!$2:$1605,MATCH(ChiTietKQKD[[#This Row],[Mã CP]],Sheet4!$B$2:$B$1605,0),_xlfn.XMATCH("*Tăng trưởng lợi nhuận sau thuế (YoY) (Quý*",Sheet4!$1:$1,2)),"")</f>
        <v>1.0906</v>
      </c>
      <c r="P460" s="10" cm="1">
        <f t="array" ref="P460">IFERROR(INDEX(Sheet4!$2:$1605,MATCH(ChiTietKQKD[[#This Row],[Mã CP]],Sheet4!$B$2:$B$1605,0),_xlfn.XMATCH("*Tăng trưởng lợi nhuận sau thuế (YoY) (6M)*",Sheet4!$1:$1,2)),"")</f>
        <v>0.81850000000000001</v>
      </c>
      <c r="Q460" s="10" cm="1">
        <f t="array" ref="Q460">IFERROR(INDEX(Sheet4!$2:$1605,MATCH(ChiTietKQKD[[#This Row],[Mã CP]],Sheet4!$B$2:$B$1605,0),_xlfn.XMATCH("*Tăng trưởng doanh thu thuần (QoQ)*",Sheet4!$1:$1,2)),"")</f>
        <v>0.92530000000000001</v>
      </c>
      <c r="R460" s="10" cm="1">
        <f t="array" ref="R460">IFERROR(INDEX(Sheet4!$2:$1605,MATCH(ChiTietKQKD[[#This Row],[Mã CP]],Sheet4!$B$2:$B$1605,0),_xlfn.XMATCH("*Tăng trưởng lợi nhuận sau thuế (QoQ)*",Sheet4!$1:$1,2)),"")</f>
        <v>0.88829999999999998</v>
      </c>
    </row>
    <row r="461" spans="1:18" x14ac:dyDescent="0.25">
      <c r="A461" s="7">
        <f>Sheet4!A440</f>
        <v>439</v>
      </c>
      <c r="B461" t="str">
        <f>Sheet4!B440</f>
        <v>ATS</v>
      </c>
      <c r="C461" t="str">
        <f>Sheet4!C439</f>
        <v>XNK Hàng không</v>
      </c>
      <c r="D461" t="str">
        <f>Sheet4!D440</f>
        <v>HNX</v>
      </c>
      <c r="E461" s="7">
        <f>Sheet4!AH440/1000000000</f>
        <v>86.45</v>
      </c>
      <c r="F461" t="str">
        <f>Sheet4!E440</f>
        <v>Dịch vụ Tiêu dùng</v>
      </c>
      <c r="G461" t="str">
        <f>Sheet4!F440</f>
        <v>Du lịch và Giải trí</v>
      </c>
      <c r="H461" t="str">
        <f>Sheet4!G440</f>
        <v>Nhà hàng và quán bar</v>
      </c>
      <c r="I461" s="9" cm="1">
        <f t="array" ref="I46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18.83834092</v>
      </c>
      <c r="J461" s="9" cm="1">
        <f t="array" ref="J46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32.164542074000003</v>
      </c>
      <c r="K461" s="10" cm="1">
        <f t="array" ref="K46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0.61270000000000002</v>
      </c>
      <c r="L461" s="10" cm="1">
        <f t="array" ref="L46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0.4783</v>
      </c>
      <c r="M461" s="9" cm="1">
        <f t="array" ref="M461">_xlfn.LET(_xlpm.val,IFERROR(INDEX(Sheet4!$2:$1605,MATCH(ChiTietKQKD[[#This Row],[Mã CP]],Sheet4!$B$2:$B$1605,0),_xlfn.XMATCH("*Lợi nhuận sau thuế*Q2*2026*",Sheet4!$1:$1,2)),0),IF(OR(_xlpm.val="",_xlpm.val=0),"",_xlpm.val/1000000000))</f>
        <v>5.5151627000000002E-2</v>
      </c>
      <c r="N461" s="9" cm="1">
        <f t="array" ref="N461">_xlfn.LET(_xlpm.val,IFERROR(INDEX(Sheet4!$2:$1605,MATCH(ChiTietKQKD[[#This Row],[Mã CP]],Sheet4!$B$2:$B$1605,0),_xlfn.XMATCH("*Lợi nhuận sau thuế*6 tháng*2026*",Sheet4!$1:$1,2)),0),IF(OR(_xlpm.val="",_xlpm.val=0),"",_xlpm.val/1000000000))</f>
        <v>0.296191804</v>
      </c>
      <c r="O461" s="10" cm="1">
        <f t="array" ref="O461">IFERROR(INDEX(Sheet4!$2:$1605,MATCH(ChiTietKQKD[[#This Row],[Mã CP]],Sheet4!$B$2:$B$1605,0),_xlfn.XMATCH("*Tăng trưởng lợi nhuận sau thuế (YoY) (Quý*",Sheet4!$1:$1,2)),"")</f>
        <v>-0.61170000000000002</v>
      </c>
      <c r="P461" s="10" cm="1">
        <f t="array" ref="P461">IFERROR(INDEX(Sheet4!$2:$1605,MATCH(ChiTietKQKD[[#This Row],[Mã CP]],Sheet4!$B$2:$B$1605,0),_xlfn.XMATCH("*Tăng trưởng lợi nhuận sau thuế (YoY) (6M)*",Sheet4!$1:$1,2)),"")</f>
        <v>0.22</v>
      </c>
      <c r="Q461" s="10" cm="1">
        <f t="array" ref="Q461">IFERROR(INDEX(Sheet4!$2:$1605,MATCH(ChiTietKQKD[[#This Row],[Mã CP]],Sheet4!$B$2:$B$1605,0),_xlfn.XMATCH("*Tăng trưởng doanh thu thuần (QoQ)*",Sheet4!$1:$1,2)),"")</f>
        <v>0.41360000000000002</v>
      </c>
      <c r="R461" s="10" cm="1">
        <f t="array" ref="R461">IFERROR(INDEX(Sheet4!$2:$1605,MATCH(ChiTietKQKD[[#This Row],[Mã CP]],Sheet4!$B$2:$B$1605,0),_xlfn.XMATCH("*Tăng trưởng lợi nhuận sau thuế (QoQ)*",Sheet4!$1:$1,2)),"")</f>
        <v>-0.7712</v>
      </c>
    </row>
    <row r="462" spans="1:18" x14ac:dyDescent="0.25">
      <c r="A462" s="7">
        <f>Sheet4!A441</f>
        <v>440</v>
      </c>
      <c r="B462" t="str">
        <f>Sheet4!B441</f>
        <v>BAB</v>
      </c>
      <c r="C462" t="str">
        <f>Sheet4!C440</f>
        <v>Tập đoàn Đầu tư ATS</v>
      </c>
      <c r="D462" t="str">
        <f>Sheet4!D441</f>
        <v>HNX</v>
      </c>
      <c r="E462" s="7">
        <f>Sheet4!AH441/1000000000</f>
        <v>12447.5477328</v>
      </c>
      <c r="F462" t="str">
        <f>Sheet4!E441</f>
        <v>Ngân hàng</v>
      </c>
      <c r="G462" t="str">
        <f>Sheet4!F441</f>
        <v>Ngân hàng</v>
      </c>
      <c r="H462" t="str">
        <f>Sheet4!G441</f>
        <v>Ngân hàng</v>
      </c>
      <c r="I462" s="9" t="str" cm="1">
        <f t="array" ref="I46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62" s="9" t="str" cm="1">
        <f t="array" ref="J46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62" s="10" t="str" cm="1">
        <f t="array" ref="K46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462" s="10" t="str" cm="1">
        <f t="array" ref="L46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462" s="9" t="str" cm="1">
        <f t="array" ref="M46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62" s="9" t="str" cm="1">
        <f t="array" ref="N46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62" s="10" cm="1">
        <f t="array" ref="O462">IFERROR(INDEX(Sheet4!$2:$1605,MATCH(ChiTietKQKD[[#This Row],[Mã CP]],Sheet4!$B$2:$B$1605,0),_xlfn.XMATCH("*Tăng trưởng lợi nhuận sau thuế (YoY) (Quý*",Sheet4!$1:$1,2)),"")</f>
        <v>0</v>
      </c>
      <c r="P462" s="10" cm="1">
        <f t="array" ref="P462">IFERROR(INDEX(Sheet4!$2:$1605,MATCH(ChiTietKQKD[[#This Row],[Mã CP]],Sheet4!$B$2:$B$1605,0),_xlfn.XMATCH("*Tăng trưởng lợi nhuận sau thuế (YoY) (6M)*",Sheet4!$1:$1,2)),"")</f>
        <v>0</v>
      </c>
      <c r="Q462" s="10" cm="1">
        <f t="array" ref="Q462">IFERROR(INDEX(Sheet4!$2:$1605,MATCH(ChiTietKQKD[[#This Row],[Mã CP]],Sheet4!$B$2:$B$1605,0),_xlfn.XMATCH("*Tăng trưởng doanh thu thuần (QoQ)*",Sheet4!$1:$1,2)),"")</f>
        <v>0</v>
      </c>
      <c r="R462" s="10" cm="1">
        <f t="array" ref="R462">IFERROR(INDEX(Sheet4!$2:$1605,MATCH(ChiTietKQKD[[#This Row],[Mã CP]],Sheet4!$B$2:$B$1605,0),_xlfn.XMATCH("*Tăng trưởng lợi nhuận sau thuế (QoQ)*",Sheet4!$1:$1,2)),"")</f>
        <v>0</v>
      </c>
    </row>
    <row r="463" spans="1:18" x14ac:dyDescent="0.25">
      <c r="A463" s="7">
        <f>Sheet4!A442</f>
        <v>441</v>
      </c>
      <c r="B463" t="str">
        <f>Sheet4!B442</f>
        <v>BAX</v>
      </c>
      <c r="C463" t="str">
        <f>Sheet4!C441</f>
        <v>Ngân hàng Bắc Á</v>
      </c>
      <c r="D463" t="str">
        <f>Sheet4!D442</f>
        <v>HNX</v>
      </c>
      <c r="E463" s="7">
        <f>Sheet4!AH442/1000000000</f>
        <v>246</v>
      </c>
      <c r="F463" t="str">
        <f>Sheet4!E442</f>
        <v>Công nghiệp</v>
      </c>
      <c r="G463" t="str">
        <f>Sheet4!F442</f>
        <v>Xây dựng và Vật liệu</v>
      </c>
      <c r="H463" t="str">
        <f>Sheet4!G442</f>
        <v>Xây dựng</v>
      </c>
      <c r="I463" s="9" cm="1">
        <f t="array" ref="I46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30.559191434999999</v>
      </c>
      <c r="J463" s="9" cm="1">
        <f t="array" ref="J46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61.596870097999997</v>
      </c>
      <c r="K463" s="10" cm="1">
        <f t="array" ref="K46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-0.2417</v>
      </c>
      <c r="L463" s="10" cm="1">
        <f t="array" ref="L46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3.6600000000000001E-2</v>
      </c>
      <c r="M463" s="9" cm="1">
        <f t="array" ref="M463">_xlfn.LET(_xlpm.val,IFERROR(INDEX(Sheet4!$2:$1605,MATCH(ChiTietKQKD[[#This Row],[Mã CP]],Sheet4!$B$2:$B$1605,0),_xlfn.XMATCH("*Lợi nhuận sau thuế*Q2*2026*",Sheet4!$1:$1,2)),0),IF(OR(_xlpm.val="",_xlpm.val=0),"",_xlpm.val/1000000000))</f>
        <v>15.293916762</v>
      </c>
      <c r="N463" s="9" cm="1">
        <f t="array" ref="N463">_xlfn.LET(_xlpm.val,IFERROR(INDEX(Sheet4!$2:$1605,MATCH(ChiTietKQKD[[#This Row],[Mã CP]],Sheet4!$B$2:$B$1605,0),_xlfn.XMATCH("*Lợi nhuận sau thuế*6 tháng*2026*",Sheet4!$1:$1,2)),0),IF(OR(_xlpm.val="",_xlpm.val=0),"",_xlpm.val/1000000000))</f>
        <v>23.808546292999999</v>
      </c>
      <c r="O463" s="10" cm="1">
        <f t="array" ref="O463">IFERROR(INDEX(Sheet4!$2:$1605,MATCH(ChiTietKQKD[[#This Row],[Mã CP]],Sheet4!$B$2:$B$1605,0),_xlfn.XMATCH("*Tăng trưởng lợi nhuận sau thuế (YoY) (Quý*",Sheet4!$1:$1,2)),"")</f>
        <v>0.2455</v>
      </c>
      <c r="P463" s="10" cm="1">
        <f t="array" ref="P463">IFERROR(INDEX(Sheet4!$2:$1605,MATCH(ChiTietKQKD[[#This Row],[Mã CP]],Sheet4!$B$2:$B$1605,0),_xlfn.XMATCH("*Tăng trưởng lợi nhuận sau thuế (YoY) (6M)*",Sheet4!$1:$1,2)),"")</f>
        <v>0.3221</v>
      </c>
      <c r="Q463" s="10" cm="1">
        <f t="array" ref="Q463">IFERROR(INDEX(Sheet4!$2:$1605,MATCH(ChiTietKQKD[[#This Row],[Mã CP]],Sheet4!$B$2:$B$1605,0),_xlfn.XMATCH("*Tăng trưởng doanh thu thuần (QoQ)*",Sheet4!$1:$1,2)),"")</f>
        <v>-1.54E-2</v>
      </c>
      <c r="R463" s="10" cm="1">
        <f t="array" ref="R463">IFERROR(INDEX(Sheet4!$2:$1605,MATCH(ChiTietKQKD[[#This Row],[Mã CP]],Sheet4!$B$2:$B$1605,0),_xlfn.XMATCH("*Tăng trưởng lợi nhuận sau thuế (QoQ)*",Sheet4!$1:$1,2)),"")</f>
        <v>0.79620000000000002</v>
      </c>
    </row>
    <row r="464" spans="1:18" x14ac:dyDescent="0.25">
      <c r="A464" s="7">
        <f>Sheet4!A443</f>
        <v>442</v>
      </c>
      <c r="B464" t="str">
        <f>Sheet4!B443</f>
        <v>BBS</v>
      </c>
      <c r="C464" t="str">
        <f>Sheet4!C442</f>
        <v>Công ty Thống Nhất</v>
      </c>
      <c r="D464" t="str">
        <f>Sheet4!D443</f>
        <v>HNX</v>
      </c>
      <c r="E464" s="7">
        <f>Sheet4!AH443/1000000000</f>
        <v>76.2</v>
      </c>
      <c r="F464" t="str">
        <f>Sheet4!E443</f>
        <v>Công nghiệp</v>
      </c>
      <c r="G464" t="str">
        <f>Sheet4!F443</f>
        <v>Hàng &amp; Dịch vụ Công nghiệp</v>
      </c>
      <c r="H464" t="str">
        <f>Sheet4!G443</f>
        <v>Containers &amp; Đóng gói</v>
      </c>
      <c r="I464" s="9" cm="1">
        <f t="array" ref="I46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131.37122098099999</v>
      </c>
      <c r="J464" s="9" cm="1">
        <f t="array" ref="J46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253.38128622100001</v>
      </c>
      <c r="K464" s="10" cm="1">
        <f t="array" ref="K46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0.122</v>
      </c>
      <c r="L464" s="10" cm="1">
        <f t="array" ref="L46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0.15079999999999999</v>
      </c>
      <c r="M464" s="9" cm="1">
        <f t="array" ref="M464">_xlfn.LET(_xlpm.val,IFERROR(INDEX(Sheet4!$2:$1605,MATCH(ChiTietKQKD[[#This Row],[Mã CP]],Sheet4!$B$2:$B$1605,0),_xlfn.XMATCH("*Lợi nhuận sau thuế*Q2*2026*",Sheet4!$1:$1,2)),0),IF(OR(_xlpm.val="",_xlpm.val=0),"",_xlpm.val/1000000000))</f>
        <v>2.7228525389999998</v>
      </c>
      <c r="N464" s="9" cm="1">
        <f t="array" ref="N464">_xlfn.LET(_xlpm.val,IFERROR(INDEX(Sheet4!$2:$1605,MATCH(ChiTietKQKD[[#This Row],[Mã CP]],Sheet4!$B$2:$B$1605,0),_xlfn.XMATCH("*Lợi nhuận sau thuế*6 tháng*2026*",Sheet4!$1:$1,2)),0),IF(OR(_xlpm.val="",_xlpm.val=0),"",_xlpm.val/1000000000))</f>
        <v>3.8729064929999999</v>
      </c>
      <c r="O464" s="10" cm="1">
        <f t="array" ref="O464">IFERROR(INDEX(Sheet4!$2:$1605,MATCH(ChiTietKQKD[[#This Row],[Mã CP]],Sheet4!$B$2:$B$1605,0),_xlfn.XMATCH("*Tăng trưởng lợi nhuận sau thuế (YoY) (Quý*",Sheet4!$1:$1,2)),"")</f>
        <v>0.58730000000000004</v>
      </c>
      <c r="P464" s="10" cm="1">
        <f t="array" ref="P464">IFERROR(INDEX(Sheet4!$2:$1605,MATCH(ChiTietKQKD[[#This Row],[Mã CP]],Sheet4!$B$2:$B$1605,0),_xlfn.XMATCH("*Tăng trưởng lợi nhuận sau thuế (YoY) (6M)*",Sheet4!$1:$1,2)),"")</f>
        <v>0.30690000000000001</v>
      </c>
      <c r="Q464" s="10" cm="1">
        <f t="array" ref="Q464">IFERROR(INDEX(Sheet4!$2:$1605,MATCH(ChiTietKQKD[[#This Row],[Mã CP]],Sheet4!$B$2:$B$1605,0),_xlfn.XMATCH("*Tăng trưởng doanh thu thuần (QoQ)*",Sheet4!$1:$1,2)),"")</f>
        <v>7.6700000000000004E-2</v>
      </c>
      <c r="R464" s="10" cm="1">
        <f t="array" ref="R464">IFERROR(INDEX(Sheet4!$2:$1605,MATCH(ChiTietKQKD[[#This Row],[Mã CP]],Sheet4!$B$2:$B$1605,0),_xlfn.XMATCH("*Tăng trưởng lợi nhuận sau thuế (QoQ)*",Sheet4!$1:$1,2)),"")</f>
        <v>1.3675999999999999</v>
      </c>
    </row>
    <row r="465" spans="1:18" x14ac:dyDescent="0.25">
      <c r="A465" s="7">
        <f>Sheet4!A444</f>
        <v>443</v>
      </c>
      <c r="B465" t="str">
        <f>Sheet4!B444</f>
        <v>BCC</v>
      </c>
      <c r="C465" t="str">
        <f>Sheet4!C443</f>
        <v>Bao bì Xi măng Bút Sơn</v>
      </c>
      <c r="D465" t="str">
        <f>Sheet4!D444</f>
        <v>HNX</v>
      </c>
      <c r="E465" s="7">
        <f>Sheet4!AH444/1000000000</f>
        <v>788.54279680000002</v>
      </c>
      <c r="F465" t="str">
        <f>Sheet4!E444</f>
        <v>Công nghiệp</v>
      </c>
      <c r="G465" t="str">
        <f>Sheet4!F444</f>
        <v>Xây dựng và Vật liệu</v>
      </c>
      <c r="H465" t="str">
        <f>Sheet4!G444</f>
        <v>Vật liệu xây dựng &amp; Nội thất</v>
      </c>
      <c r="I465" s="9" t="str" cm="1">
        <f t="array" ref="I46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65" s="9" t="str" cm="1">
        <f t="array" ref="J46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65" s="10" cm="1">
        <f t="array" ref="K46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65" s="10" cm="1">
        <f t="array" ref="L46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65" s="9" t="str" cm="1">
        <f t="array" ref="M46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65" s="9" t="str" cm="1">
        <f t="array" ref="N46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65" s="10" cm="1">
        <f t="array" ref="O465">IFERROR(INDEX(Sheet4!$2:$1605,MATCH(ChiTietKQKD[[#This Row],[Mã CP]],Sheet4!$B$2:$B$1605,0),_xlfn.XMATCH("*Tăng trưởng lợi nhuận sau thuế (YoY) (Quý*",Sheet4!$1:$1,2)),"")</f>
        <v>0</v>
      </c>
      <c r="P465" s="10" cm="1">
        <f t="array" ref="P465">IFERROR(INDEX(Sheet4!$2:$1605,MATCH(ChiTietKQKD[[#This Row],[Mã CP]],Sheet4!$B$2:$B$1605,0),_xlfn.XMATCH("*Tăng trưởng lợi nhuận sau thuế (YoY) (6M)*",Sheet4!$1:$1,2)),"")</f>
        <v>0</v>
      </c>
      <c r="Q465" s="10" cm="1">
        <f t="array" ref="Q465">IFERROR(INDEX(Sheet4!$2:$1605,MATCH(ChiTietKQKD[[#This Row],[Mã CP]],Sheet4!$B$2:$B$1605,0),_xlfn.XMATCH("*Tăng trưởng doanh thu thuần (QoQ)*",Sheet4!$1:$1,2)),"")</f>
        <v>0</v>
      </c>
      <c r="R465" s="10" cm="1">
        <f t="array" ref="R465">IFERROR(INDEX(Sheet4!$2:$1605,MATCH(ChiTietKQKD[[#This Row],[Mã CP]],Sheet4!$B$2:$B$1605,0),_xlfn.XMATCH("*Tăng trưởng lợi nhuận sau thuế (QoQ)*",Sheet4!$1:$1,2)),"")</f>
        <v>0</v>
      </c>
    </row>
    <row r="466" spans="1:18" x14ac:dyDescent="0.25">
      <c r="A466" s="7">
        <f>Sheet4!A445</f>
        <v>444</v>
      </c>
      <c r="B466" t="str">
        <f>Sheet4!B445</f>
        <v>BCF</v>
      </c>
      <c r="C466" t="str">
        <f>Sheet4!C444</f>
        <v>Xi măng Bỉm Sơn</v>
      </c>
      <c r="D466" t="str">
        <f>Sheet4!D445</f>
        <v>HNX</v>
      </c>
      <c r="E466" s="7">
        <f>Sheet4!AH445/1000000000</f>
        <v>1571.7414779999999</v>
      </c>
      <c r="F466" t="str">
        <f>Sheet4!E445</f>
        <v>Hàng Tiêu dùng</v>
      </c>
      <c r="G466" t="str">
        <f>Sheet4!F445</f>
        <v>Thực phẩm và đồ uống</v>
      </c>
      <c r="H466" t="str">
        <f>Sheet4!G445</f>
        <v>Thực phẩm</v>
      </c>
      <c r="I466" s="9" t="str" cm="1">
        <f t="array" ref="I46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66" s="9" t="str" cm="1">
        <f t="array" ref="J46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66" s="10" cm="1">
        <f t="array" ref="K46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66" s="10" cm="1">
        <f t="array" ref="L46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66" s="9" t="str" cm="1">
        <f t="array" ref="M46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66" s="9" t="str" cm="1">
        <f t="array" ref="N46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66" s="10" cm="1">
        <f t="array" ref="O466">IFERROR(INDEX(Sheet4!$2:$1605,MATCH(ChiTietKQKD[[#This Row],[Mã CP]],Sheet4!$B$2:$B$1605,0),_xlfn.XMATCH("*Tăng trưởng lợi nhuận sau thuế (YoY) (Quý*",Sheet4!$1:$1,2)),"")</f>
        <v>0</v>
      </c>
      <c r="P466" s="10" cm="1">
        <f t="array" ref="P466">IFERROR(INDEX(Sheet4!$2:$1605,MATCH(ChiTietKQKD[[#This Row],[Mã CP]],Sheet4!$B$2:$B$1605,0),_xlfn.XMATCH("*Tăng trưởng lợi nhuận sau thuế (YoY) (6M)*",Sheet4!$1:$1,2)),"")</f>
        <v>0</v>
      </c>
      <c r="Q466" s="10" cm="1">
        <f t="array" ref="Q466">IFERROR(INDEX(Sheet4!$2:$1605,MATCH(ChiTietKQKD[[#This Row],[Mã CP]],Sheet4!$B$2:$B$1605,0),_xlfn.XMATCH("*Tăng trưởng doanh thu thuần (QoQ)*",Sheet4!$1:$1,2)),"")</f>
        <v>0</v>
      </c>
      <c r="R466" s="10" cm="1">
        <f t="array" ref="R466">IFERROR(INDEX(Sheet4!$2:$1605,MATCH(ChiTietKQKD[[#This Row],[Mã CP]],Sheet4!$B$2:$B$1605,0),_xlfn.XMATCH("*Tăng trưởng lợi nhuận sau thuế (QoQ)*",Sheet4!$1:$1,2)),"")</f>
        <v>0</v>
      </c>
    </row>
    <row r="467" spans="1:18" x14ac:dyDescent="0.25">
      <c r="A467" s="7">
        <f>Sheet4!A446</f>
        <v>445</v>
      </c>
      <c r="B467" t="str">
        <f>Sheet4!B446</f>
        <v>BCH</v>
      </c>
      <c r="C467" t="str">
        <f>Sheet4!C445</f>
        <v>Thực phẩm Bích Chi</v>
      </c>
      <c r="D467" t="str">
        <f>Sheet4!D446</f>
        <v>HNX</v>
      </c>
      <c r="E467" s="7">
        <f>Sheet4!AH446/1000000000</f>
        <v>0</v>
      </c>
      <c r="F467" t="str">
        <f>Sheet4!E446</f>
        <v>Dược phẩm và Y tế</v>
      </c>
      <c r="G467" t="str">
        <f>Sheet4!F446</f>
        <v>Y tế</v>
      </c>
      <c r="H467" t="str">
        <f>Sheet4!G446</f>
        <v>Dược phẩm</v>
      </c>
      <c r="I467" s="9" t="str" cm="1">
        <f t="array" ref="I46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67" s="9" t="str" cm="1">
        <f t="array" ref="J46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67" s="10" cm="1">
        <f t="array" ref="K46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67" s="10" cm="1">
        <f t="array" ref="L46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67" s="9" t="str" cm="1">
        <f t="array" ref="M46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67" s="9" t="str" cm="1">
        <f t="array" ref="N46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67" s="10" cm="1">
        <f t="array" ref="O467">IFERROR(INDEX(Sheet4!$2:$1605,MATCH(ChiTietKQKD[[#This Row],[Mã CP]],Sheet4!$B$2:$B$1605,0),_xlfn.XMATCH("*Tăng trưởng lợi nhuận sau thuế (YoY) (Quý*",Sheet4!$1:$1,2)),"")</f>
        <v>0</v>
      </c>
      <c r="P467" s="10" cm="1">
        <f t="array" ref="P467">IFERROR(INDEX(Sheet4!$2:$1605,MATCH(ChiTietKQKD[[#This Row],[Mã CP]],Sheet4!$B$2:$B$1605,0),_xlfn.XMATCH("*Tăng trưởng lợi nhuận sau thuế (YoY) (6M)*",Sheet4!$1:$1,2)),"")</f>
        <v>0</v>
      </c>
      <c r="Q467" s="10" cm="1">
        <f t="array" ref="Q467">IFERROR(INDEX(Sheet4!$2:$1605,MATCH(ChiTietKQKD[[#This Row],[Mã CP]],Sheet4!$B$2:$B$1605,0),_xlfn.XMATCH("*Tăng trưởng doanh thu thuần (QoQ)*",Sheet4!$1:$1,2)),"")</f>
        <v>0</v>
      </c>
      <c r="R467" s="10" cm="1">
        <f t="array" ref="R467">IFERROR(INDEX(Sheet4!$2:$1605,MATCH(ChiTietKQKD[[#This Row],[Mã CP]],Sheet4!$B$2:$B$1605,0),_xlfn.XMATCH("*Tăng trưởng lợi nhuận sau thuế (QoQ)*",Sheet4!$1:$1,2)),"")</f>
        <v>0</v>
      </c>
    </row>
    <row r="468" spans="1:18" x14ac:dyDescent="0.25">
      <c r="A468" s="7">
        <f>Sheet4!A447</f>
        <v>446</v>
      </c>
      <c r="B468" t="str">
        <f>Sheet4!B447</f>
        <v>BED</v>
      </c>
      <c r="C468" t="str">
        <f>Sheet4!C446</f>
        <v>Dược Bảo Châu</v>
      </c>
      <c r="D468" t="str">
        <f>Sheet4!D447</f>
        <v>HNX</v>
      </c>
      <c r="E468" s="7">
        <f>Sheet4!AH447/1000000000</f>
        <v>70.8</v>
      </c>
      <c r="F468" t="str">
        <f>Sheet4!E447</f>
        <v>Dịch vụ Tiêu dùng</v>
      </c>
      <c r="G468" t="str">
        <f>Sheet4!F447</f>
        <v>Truyền thông</v>
      </c>
      <c r="H468" t="str">
        <f>Sheet4!G447</f>
        <v>Sách, ấn bản &amp; sản phẩm văn hóa</v>
      </c>
      <c r="I468" s="9" cm="1">
        <f t="array" ref="I46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23.654680283000001</v>
      </c>
      <c r="J468" s="9" t="str" cm="1">
        <f t="array" ref="J46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68" s="10" cm="1">
        <f t="array" ref="K46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-9.2399999999999996E-2</v>
      </c>
      <c r="L468" s="10" cm="1">
        <f t="array" ref="L46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-7.5899999999999995E-2</v>
      </c>
      <c r="M468" s="9" cm="1">
        <f t="array" ref="M468">_xlfn.LET(_xlpm.val,IFERROR(INDEX(Sheet4!$2:$1605,MATCH(ChiTietKQKD[[#This Row],[Mã CP]],Sheet4!$B$2:$B$1605,0),_xlfn.XMATCH("*Lợi nhuận sau thuế*Q2*2026*",Sheet4!$1:$1,2)),0),IF(OR(_xlpm.val="",_xlpm.val=0),"",_xlpm.val/1000000000))</f>
        <v>1.205720948</v>
      </c>
      <c r="N468" s="9" t="str" cm="1">
        <f t="array" ref="N46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68" s="10" cm="1">
        <f t="array" ref="O468">IFERROR(INDEX(Sheet4!$2:$1605,MATCH(ChiTietKQKD[[#This Row],[Mã CP]],Sheet4!$B$2:$B$1605,0),_xlfn.XMATCH("*Tăng trưởng lợi nhuận sau thuế (YoY) (Quý*",Sheet4!$1:$1,2)),"")</f>
        <v>-9.1600000000000001E-2</v>
      </c>
      <c r="P468" s="10" cm="1">
        <f t="array" ref="P468">IFERROR(INDEX(Sheet4!$2:$1605,MATCH(ChiTietKQKD[[#This Row],[Mã CP]],Sheet4!$B$2:$B$1605,0),_xlfn.XMATCH("*Tăng trưởng lợi nhuận sau thuế (YoY) (6M)*",Sheet4!$1:$1,2)),"")</f>
        <v>-0.1862</v>
      </c>
      <c r="Q468" s="10" cm="1">
        <f t="array" ref="Q468">IFERROR(INDEX(Sheet4!$2:$1605,MATCH(ChiTietKQKD[[#This Row],[Mã CP]],Sheet4!$B$2:$B$1605,0),_xlfn.XMATCH("*Tăng trưởng doanh thu thuần (QoQ)*",Sheet4!$1:$1,2)),"")</f>
        <v>2.1230000000000002</v>
      </c>
      <c r="R468" s="10" cm="1">
        <f t="array" ref="R468">IFERROR(INDEX(Sheet4!$2:$1605,MATCH(ChiTietKQKD[[#This Row],[Mã CP]],Sheet4!$B$2:$B$1605,0),_xlfn.XMATCH("*Tăng trưởng lợi nhuận sau thuế (QoQ)*",Sheet4!$1:$1,2)),"")</f>
        <v>4.9904000000000002</v>
      </c>
    </row>
    <row r="469" spans="1:18" x14ac:dyDescent="0.25">
      <c r="A469" s="7">
        <f>Sheet4!A448</f>
        <v>447</v>
      </c>
      <c r="B469" t="str">
        <f>Sheet4!B448</f>
        <v>BKC</v>
      </c>
      <c r="C469" t="str">
        <f>Sheet4!C447</f>
        <v>Sách Đà Nẵng</v>
      </c>
      <c r="D469" t="str">
        <f>Sheet4!D448</f>
        <v>HNX</v>
      </c>
      <c r="E469" s="7">
        <f>Sheet4!AH448/1000000000</f>
        <v>410.82047999999998</v>
      </c>
      <c r="F469" t="str">
        <f>Sheet4!E448</f>
        <v>Nguyên vật liệu</v>
      </c>
      <c r="G469" t="str">
        <f>Sheet4!F448</f>
        <v>Tài nguyên Cơ bản</v>
      </c>
      <c r="H469" t="str">
        <f>Sheet4!G448</f>
        <v>Khai khoáng</v>
      </c>
      <c r="I469" s="9" t="str" cm="1">
        <f t="array" ref="I46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69" s="9" t="str" cm="1">
        <f t="array" ref="J46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69" s="10" cm="1">
        <f t="array" ref="K46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69" s="10" cm="1">
        <f t="array" ref="L46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69" s="9" t="str" cm="1">
        <f t="array" ref="M46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69" s="9" t="str" cm="1">
        <f t="array" ref="N46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69" s="10" cm="1">
        <f t="array" ref="O469">IFERROR(INDEX(Sheet4!$2:$1605,MATCH(ChiTietKQKD[[#This Row],[Mã CP]],Sheet4!$B$2:$B$1605,0),_xlfn.XMATCH("*Tăng trưởng lợi nhuận sau thuế (YoY) (Quý*",Sheet4!$1:$1,2)),"")</f>
        <v>0</v>
      </c>
      <c r="P469" s="10" cm="1">
        <f t="array" ref="P469">IFERROR(INDEX(Sheet4!$2:$1605,MATCH(ChiTietKQKD[[#This Row],[Mã CP]],Sheet4!$B$2:$B$1605,0),_xlfn.XMATCH("*Tăng trưởng lợi nhuận sau thuế (YoY) (6M)*",Sheet4!$1:$1,2)),"")</f>
        <v>0</v>
      </c>
      <c r="Q469" s="10" cm="1">
        <f t="array" ref="Q469">IFERROR(INDEX(Sheet4!$2:$1605,MATCH(ChiTietKQKD[[#This Row],[Mã CP]],Sheet4!$B$2:$B$1605,0),_xlfn.XMATCH("*Tăng trưởng doanh thu thuần (QoQ)*",Sheet4!$1:$1,2)),"")</f>
        <v>0</v>
      </c>
      <c r="R469" s="10" cm="1">
        <f t="array" ref="R469">IFERROR(INDEX(Sheet4!$2:$1605,MATCH(ChiTietKQKD[[#This Row],[Mã CP]],Sheet4!$B$2:$B$1605,0),_xlfn.XMATCH("*Tăng trưởng lợi nhuận sau thuế (QoQ)*",Sheet4!$1:$1,2)),"")</f>
        <v>0</v>
      </c>
    </row>
    <row r="470" spans="1:18" x14ac:dyDescent="0.25">
      <c r="A470" s="7">
        <f>Sheet4!A449</f>
        <v>448</v>
      </c>
      <c r="B470" t="str">
        <f>Sheet4!B449</f>
        <v>BNA</v>
      </c>
      <c r="C470" t="str">
        <f>Sheet4!C448</f>
        <v>Khoáng sản Bắc Kạn</v>
      </c>
      <c r="D470" t="str">
        <f>Sheet4!D449</f>
        <v>HNX</v>
      </c>
      <c r="E470" s="7">
        <f>Sheet4!AH449/1000000000</f>
        <v>109.372879</v>
      </c>
      <c r="F470" t="str">
        <f>Sheet4!E449</f>
        <v>Hàng Tiêu dùng</v>
      </c>
      <c r="G470" t="str">
        <f>Sheet4!F449</f>
        <v>Thực phẩm và đồ uống</v>
      </c>
      <c r="H470" t="str">
        <f>Sheet4!G449</f>
        <v>Thực phẩm</v>
      </c>
      <c r="I470" s="9" t="str" cm="1">
        <f t="array" ref="I47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70" s="9" t="str" cm="1">
        <f t="array" ref="J47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70" s="10" cm="1">
        <f t="array" ref="K47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70" s="10" cm="1">
        <f t="array" ref="L47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70" s="9" t="str" cm="1">
        <f t="array" ref="M47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70" s="9" t="str" cm="1">
        <f t="array" ref="N47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70" s="10" cm="1">
        <f t="array" ref="O470">IFERROR(INDEX(Sheet4!$2:$1605,MATCH(ChiTietKQKD[[#This Row],[Mã CP]],Sheet4!$B$2:$B$1605,0),_xlfn.XMATCH("*Tăng trưởng lợi nhuận sau thuế (YoY) (Quý*",Sheet4!$1:$1,2)),"")</f>
        <v>0</v>
      </c>
      <c r="P470" s="10" cm="1">
        <f t="array" ref="P470">IFERROR(INDEX(Sheet4!$2:$1605,MATCH(ChiTietKQKD[[#This Row],[Mã CP]],Sheet4!$B$2:$B$1605,0),_xlfn.XMATCH("*Tăng trưởng lợi nhuận sau thuế (YoY) (6M)*",Sheet4!$1:$1,2)),"")</f>
        <v>0</v>
      </c>
      <c r="Q470" s="10" cm="1">
        <f t="array" ref="Q470">IFERROR(INDEX(Sheet4!$2:$1605,MATCH(ChiTietKQKD[[#This Row],[Mã CP]],Sheet4!$B$2:$B$1605,0),_xlfn.XMATCH("*Tăng trưởng doanh thu thuần (QoQ)*",Sheet4!$1:$1,2)),"")</f>
        <v>0</v>
      </c>
      <c r="R470" s="10" cm="1">
        <f t="array" ref="R470">IFERROR(INDEX(Sheet4!$2:$1605,MATCH(ChiTietKQKD[[#This Row],[Mã CP]],Sheet4!$B$2:$B$1605,0),_xlfn.XMATCH("*Tăng trưởng lợi nhuận sau thuế (QoQ)*",Sheet4!$1:$1,2)),"")</f>
        <v>0</v>
      </c>
    </row>
    <row r="471" spans="1:18" x14ac:dyDescent="0.25">
      <c r="A471" s="7">
        <f>Sheet4!A450</f>
        <v>449</v>
      </c>
      <c r="B471" t="str">
        <f>Sheet4!B450</f>
        <v>BPC</v>
      </c>
      <c r="C471" t="str">
        <f>Sheet4!C449</f>
        <v>Tập đoàn Đầu tư Bảo Ngọc</v>
      </c>
      <c r="D471" t="str">
        <f>Sheet4!D450</f>
        <v>HNX</v>
      </c>
      <c r="E471" s="7">
        <f>Sheet4!AH450/1000000000</f>
        <v>47.5</v>
      </c>
      <c r="F471" t="str">
        <f>Sheet4!E450</f>
        <v>Công nghiệp</v>
      </c>
      <c r="G471" t="str">
        <f>Sheet4!F450</f>
        <v>Hàng &amp; Dịch vụ Công nghiệp</v>
      </c>
      <c r="H471" t="str">
        <f>Sheet4!G450</f>
        <v>Containers &amp; Đóng gói</v>
      </c>
      <c r="I471" s="9" cm="1">
        <f t="array" ref="I47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83.472088928999995</v>
      </c>
      <c r="J471" s="9" cm="1">
        <f t="array" ref="J47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145.95262521999999</v>
      </c>
      <c r="K471" s="10" cm="1">
        <f t="array" ref="K47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9.8199999999999996E-2</v>
      </c>
      <c r="L471" s="10" cm="1">
        <f t="array" ref="L47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71" s="9" cm="1">
        <f t="array" ref="M471">_xlfn.LET(_xlpm.val,IFERROR(INDEX(Sheet4!$2:$1605,MATCH(ChiTietKQKD[[#This Row],[Mã CP]],Sheet4!$B$2:$B$1605,0),_xlfn.XMATCH("*Lợi nhuận sau thuế*Q2*2026*",Sheet4!$1:$1,2)),0),IF(OR(_xlpm.val="",_xlpm.val=0),"",_xlpm.val/1000000000))</f>
        <v>0.78981177700000005</v>
      </c>
      <c r="N471" s="9" cm="1">
        <f t="array" ref="N471">_xlfn.LET(_xlpm.val,IFERROR(INDEX(Sheet4!$2:$1605,MATCH(ChiTietKQKD[[#This Row],[Mã CP]],Sheet4!$B$2:$B$1605,0),_xlfn.XMATCH("*Lợi nhuận sau thuế*6 tháng*2026*",Sheet4!$1:$1,2)),0),IF(OR(_xlpm.val="",_xlpm.val=0),"",_xlpm.val/1000000000))</f>
        <v>1.1336241730000001</v>
      </c>
      <c r="O471" s="10" cm="1">
        <f t="array" ref="O471">IFERROR(INDEX(Sheet4!$2:$1605,MATCH(ChiTietKQKD[[#This Row],[Mã CP]],Sheet4!$B$2:$B$1605,0),_xlfn.XMATCH("*Tăng trưởng lợi nhuận sau thuế (YoY) (Quý*",Sheet4!$1:$1,2)),"")</f>
        <v>0.91310000000000002</v>
      </c>
      <c r="P471" s="10" cm="1">
        <f t="array" ref="P471">IFERROR(INDEX(Sheet4!$2:$1605,MATCH(ChiTietKQKD[[#This Row],[Mã CP]],Sheet4!$B$2:$B$1605,0),_xlfn.XMATCH("*Tăng trưởng lợi nhuận sau thuế (YoY) (6M)*",Sheet4!$1:$1,2)),"")</f>
        <v>0</v>
      </c>
      <c r="Q471" s="10" cm="1">
        <f t="array" ref="Q471">IFERROR(INDEX(Sheet4!$2:$1605,MATCH(ChiTietKQKD[[#This Row],[Mã CP]],Sheet4!$B$2:$B$1605,0),_xlfn.XMATCH("*Tăng trưởng doanh thu thuần (QoQ)*",Sheet4!$1:$1,2)),"")</f>
        <v>0.33600000000000002</v>
      </c>
      <c r="R471" s="10" cm="1">
        <f t="array" ref="R471">IFERROR(INDEX(Sheet4!$2:$1605,MATCH(ChiTietKQKD[[#This Row],[Mã CP]],Sheet4!$B$2:$B$1605,0),_xlfn.XMATCH("*Tăng trưởng lợi nhuận sau thuế (QoQ)*",Sheet4!$1:$1,2)),"")</f>
        <v>1.2971999999999999</v>
      </c>
    </row>
    <row r="472" spans="1:18" x14ac:dyDescent="0.25">
      <c r="A472" s="7">
        <f>Sheet4!A451</f>
        <v>450</v>
      </c>
      <c r="B472" t="str">
        <f>Sheet4!B451</f>
        <v>BTS</v>
      </c>
      <c r="C472" t="str">
        <f>Sheet4!C450</f>
        <v>Bao bì Bỉm Sơn</v>
      </c>
      <c r="D472" t="str">
        <f>Sheet4!D451</f>
        <v>HNX</v>
      </c>
      <c r="E472" s="7">
        <f>Sheet4!AH451/1000000000</f>
        <v>605.44330419999994</v>
      </c>
      <c r="F472" t="str">
        <f>Sheet4!E451</f>
        <v>Công nghiệp</v>
      </c>
      <c r="G472" t="str">
        <f>Sheet4!F451</f>
        <v>Xây dựng và Vật liệu</v>
      </c>
      <c r="H472" t="str">
        <f>Sheet4!G451</f>
        <v>Vật liệu xây dựng &amp; Nội thất</v>
      </c>
      <c r="I472" s="9" cm="1">
        <f t="array" ref="I47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748.79941662800002</v>
      </c>
      <c r="J472" s="9" cm="1">
        <f t="array" ref="J47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1356.842029162</v>
      </c>
      <c r="K472" s="10" cm="1">
        <f t="array" ref="K47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0.1139</v>
      </c>
      <c r="L472" s="10" cm="1">
        <f t="array" ref="L47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72" s="9" cm="1">
        <f t="array" ref="M472">_xlfn.LET(_xlpm.val,IFERROR(INDEX(Sheet4!$2:$1605,MATCH(ChiTietKQKD[[#This Row],[Mã CP]],Sheet4!$B$2:$B$1605,0),_xlfn.XMATCH("*Lợi nhuận sau thuế*Q2*2026*",Sheet4!$1:$1,2)),0),IF(OR(_xlpm.val="",_xlpm.val=0),"",_xlpm.val/1000000000))</f>
        <v>11.092661865</v>
      </c>
      <c r="N472" s="9" cm="1">
        <f t="array" ref="N472">_xlfn.LET(_xlpm.val,IFERROR(INDEX(Sheet4!$2:$1605,MATCH(ChiTietKQKD[[#This Row],[Mã CP]],Sheet4!$B$2:$B$1605,0),_xlfn.XMATCH("*Lợi nhuận sau thuế*6 tháng*2026*",Sheet4!$1:$1,2)),0),IF(OR(_xlpm.val="",_xlpm.val=0),"",_xlpm.val/1000000000))</f>
        <v>14.136286495</v>
      </c>
      <c r="O472" s="10" cm="1">
        <f t="array" ref="O472">IFERROR(INDEX(Sheet4!$2:$1605,MATCH(ChiTietKQKD[[#This Row],[Mã CP]],Sheet4!$B$2:$B$1605,0),_xlfn.XMATCH("*Tăng trưởng lợi nhuận sau thuế (YoY) (Quý*",Sheet4!$1:$1,2)),"")</f>
        <v>-0.1074</v>
      </c>
      <c r="P472" s="10" cm="1">
        <f t="array" ref="P472">IFERROR(INDEX(Sheet4!$2:$1605,MATCH(ChiTietKQKD[[#This Row],[Mã CP]],Sheet4!$B$2:$B$1605,0),_xlfn.XMATCH("*Tăng trưởng lợi nhuận sau thuế (YoY) (6M)*",Sheet4!$1:$1,2)),"")</f>
        <v>0</v>
      </c>
      <c r="Q472" s="10" cm="1">
        <f t="array" ref="Q472">IFERROR(INDEX(Sheet4!$2:$1605,MATCH(ChiTietKQKD[[#This Row],[Mã CP]],Sheet4!$B$2:$B$1605,0),_xlfn.XMATCH("*Tăng trưởng doanh thu thuần (QoQ)*",Sheet4!$1:$1,2)),"")</f>
        <v>0.23150000000000001</v>
      </c>
      <c r="R472" s="10" cm="1">
        <f t="array" ref="R472">IFERROR(INDEX(Sheet4!$2:$1605,MATCH(ChiTietKQKD[[#This Row],[Mã CP]],Sheet4!$B$2:$B$1605,0),_xlfn.XMATCH("*Tăng trưởng lợi nhuận sau thuế (QoQ)*",Sheet4!$1:$1,2)),"")</f>
        <v>2.6446000000000001</v>
      </c>
    </row>
    <row r="473" spans="1:18" x14ac:dyDescent="0.25">
      <c r="A473" s="7">
        <f>Sheet4!A452</f>
        <v>451</v>
      </c>
      <c r="B473" t="str">
        <f>Sheet4!B452</f>
        <v>BTW</v>
      </c>
      <c r="C473" t="str">
        <f>Sheet4!C451</f>
        <v>Xi măng Bút Sơn</v>
      </c>
      <c r="D473" t="str">
        <f>Sheet4!D452</f>
        <v>HNX</v>
      </c>
      <c r="E473" s="7">
        <f>Sheet4!AH452/1000000000</f>
        <v>562.53599999999994</v>
      </c>
      <c r="F473" t="str">
        <f>Sheet4!E452</f>
        <v>Tiện ích Cộng đồng</v>
      </c>
      <c r="G473" t="str">
        <f>Sheet4!F452</f>
        <v>Điện, nước &amp; xăng dầu khí đốt</v>
      </c>
      <c r="H473" t="str">
        <f>Sheet4!G452</f>
        <v>Nước</v>
      </c>
      <c r="I473" s="9" cm="1">
        <f t="array" ref="I47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141.70223269300001</v>
      </c>
      <c r="J473" s="9" cm="1">
        <f t="array" ref="J47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278.792025196</v>
      </c>
      <c r="K473" s="10" cm="1">
        <f t="array" ref="K47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1.5599999999999999E-2</v>
      </c>
      <c r="L473" s="10" cm="1">
        <f t="array" ref="L47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73" s="9" cm="1">
        <f t="array" ref="M473">_xlfn.LET(_xlpm.val,IFERROR(INDEX(Sheet4!$2:$1605,MATCH(ChiTietKQKD[[#This Row],[Mã CP]],Sheet4!$B$2:$B$1605,0),_xlfn.XMATCH("*Lợi nhuận sau thuế*Q2*2026*",Sheet4!$1:$1,2)),0),IF(OR(_xlpm.val="",_xlpm.val=0),"",_xlpm.val/1000000000))</f>
        <v>10.646474443000001</v>
      </c>
      <c r="N473" s="9" cm="1">
        <f t="array" ref="N473">_xlfn.LET(_xlpm.val,IFERROR(INDEX(Sheet4!$2:$1605,MATCH(ChiTietKQKD[[#This Row],[Mã CP]],Sheet4!$B$2:$B$1605,0),_xlfn.XMATCH("*Lợi nhuận sau thuế*6 tháng*2026*",Sheet4!$1:$1,2)),0),IF(OR(_xlpm.val="",_xlpm.val=0),"",_xlpm.val/1000000000))</f>
        <v>25.408701192999999</v>
      </c>
      <c r="O473" s="10" cm="1">
        <f t="array" ref="O473">IFERROR(INDEX(Sheet4!$2:$1605,MATCH(ChiTietKQKD[[#This Row],[Mã CP]],Sheet4!$B$2:$B$1605,0),_xlfn.XMATCH("*Tăng trưởng lợi nhuận sau thuế (YoY) (Quý*",Sheet4!$1:$1,2)),"")</f>
        <v>0.1777</v>
      </c>
      <c r="P473" s="10" cm="1">
        <f t="array" ref="P473">IFERROR(INDEX(Sheet4!$2:$1605,MATCH(ChiTietKQKD[[#This Row],[Mã CP]],Sheet4!$B$2:$B$1605,0),_xlfn.XMATCH("*Tăng trưởng lợi nhuận sau thuế (YoY) (6M)*",Sheet4!$1:$1,2)),"")</f>
        <v>0</v>
      </c>
      <c r="Q473" s="10" cm="1">
        <f t="array" ref="Q473">IFERROR(INDEX(Sheet4!$2:$1605,MATCH(ChiTietKQKD[[#This Row],[Mã CP]],Sheet4!$B$2:$B$1605,0),_xlfn.XMATCH("*Tăng trưởng doanh thu thuần (QoQ)*",Sheet4!$1:$1,2)),"")</f>
        <v>3.3599999999999998E-2</v>
      </c>
      <c r="R473" s="10" cm="1">
        <f t="array" ref="R473">IFERROR(INDEX(Sheet4!$2:$1605,MATCH(ChiTietKQKD[[#This Row],[Mã CP]],Sheet4!$B$2:$B$1605,0),_xlfn.XMATCH("*Tăng trưởng lợi nhuận sau thuế (QoQ)*",Sheet4!$1:$1,2)),"")</f>
        <v>-0.27879999999999999</v>
      </c>
    </row>
    <row r="474" spans="1:18" x14ac:dyDescent="0.25">
      <c r="A474" s="7">
        <f>Sheet4!A453</f>
        <v>452</v>
      </c>
      <c r="B474" t="str">
        <f>Sheet4!B453</f>
        <v>BVS</v>
      </c>
      <c r="C474" t="str">
        <f>Sheet4!C452</f>
        <v>Cấp nước Bến Thành</v>
      </c>
      <c r="D474" t="str">
        <f>Sheet4!D453</f>
        <v>HNX</v>
      </c>
      <c r="E474" s="7">
        <f>Sheet4!AH453/1000000000</f>
        <v>2057.7041325</v>
      </c>
      <c r="F474" t="str">
        <f>Sheet4!E453</f>
        <v>Tài chính</v>
      </c>
      <c r="G474" t="str">
        <f>Sheet4!F453</f>
        <v>Dịch vụ tài chính</v>
      </c>
      <c r="H474" t="str">
        <f>Sheet4!G453</f>
        <v>Môi giới chứng khoán</v>
      </c>
      <c r="I474" s="9" cm="1">
        <f t="array" ref="I47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265.74130094600002</v>
      </c>
      <c r="J474" s="9" cm="1">
        <f t="array" ref="J47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548.23676006200003</v>
      </c>
      <c r="K474" s="10" cm="1">
        <f t="array" ref="K47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-1.2999999999999999E-2</v>
      </c>
      <c r="L474" s="10" cm="1">
        <f t="array" ref="L47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0.2243</v>
      </c>
      <c r="M474" s="9" cm="1">
        <f t="array" ref="M474">_xlfn.LET(_xlpm.val,IFERROR(INDEX(Sheet4!$2:$1605,MATCH(ChiTietKQKD[[#This Row],[Mã CP]],Sheet4!$B$2:$B$1605,0),_xlfn.XMATCH("*Lợi nhuận sau thuế*Q2*2026*",Sheet4!$1:$1,2)),0),IF(OR(_xlpm.val="",_xlpm.val=0),"",_xlpm.val/1000000000))</f>
        <v>42.386035335999999</v>
      </c>
      <c r="N474" s="9" cm="1">
        <f t="array" ref="N474">_xlfn.LET(_xlpm.val,IFERROR(INDEX(Sheet4!$2:$1605,MATCH(ChiTietKQKD[[#This Row],[Mã CP]],Sheet4!$B$2:$B$1605,0),_xlfn.XMATCH("*Lợi nhuận sau thuế*6 tháng*2026*",Sheet4!$1:$1,2)),0),IF(OR(_xlpm.val="",_xlpm.val=0),"",_xlpm.val/1000000000))</f>
        <v>63.331454053999998</v>
      </c>
      <c r="O474" s="10" cm="1">
        <f t="array" ref="O474">IFERROR(INDEX(Sheet4!$2:$1605,MATCH(ChiTietKQKD[[#This Row],[Mã CP]],Sheet4!$B$2:$B$1605,0),_xlfn.XMATCH("*Tăng trưởng lợi nhuận sau thuế (YoY) (Quý*",Sheet4!$1:$1,2)),"")</f>
        <v>-0.4042</v>
      </c>
      <c r="P474" s="10" cm="1">
        <f t="array" ref="P474">IFERROR(INDEX(Sheet4!$2:$1605,MATCH(ChiTietKQKD[[#This Row],[Mã CP]],Sheet4!$B$2:$B$1605,0),_xlfn.XMATCH("*Tăng trưởng lợi nhuận sau thuế (YoY) (6M)*",Sheet4!$1:$1,2)),"")</f>
        <v>-0.43580000000000002</v>
      </c>
      <c r="Q474" s="10" cm="1">
        <f t="array" ref="Q474">IFERROR(INDEX(Sheet4!$2:$1605,MATCH(ChiTietKQKD[[#This Row],[Mã CP]],Sheet4!$B$2:$B$1605,0),_xlfn.XMATCH("*Tăng trưởng doanh thu thuần (QoQ)*",Sheet4!$1:$1,2)),"")</f>
        <v>-5.9299999999999999E-2</v>
      </c>
      <c r="R474" s="10" cm="1">
        <f t="array" ref="R474">IFERROR(INDEX(Sheet4!$2:$1605,MATCH(ChiTietKQKD[[#This Row],[Mã CP]],Sheet4!$B$2:$B$1605,0),_xlfn.XMATCH("*Tăng trưởng lợi nhuận sau thuế (QoQ)*",Sheet4!$1:$1,2)),"")</f>
        <v>1.0236000000000001</v>
      </c>
    </row>
    <row r="475" spans="1:18" x14ac:dyDescent="0.25">
      <c r="A475" s="7">
        <f>Sheet4!A454</f>
        <v>453</v>
      </c>
      <c r="B475" t="str">
        <f>Sheet4!B454</f>
        <v>BXH</v>
      </c>
      <c r="C475" t="str">
        <f>Sheet4!C453</f>
        <v>Chứng khoán Bảo Việt</v>
      </c>
      <c r="D475" t="str">
        <f>Sheet4!D454</f>
        <v>HNX</v>
      </c>
      <c r="E475" s="7">
        <f>Sheet4!AH454/1000000000</f>
        <v>36.445684</v>
      </c>
      <c r="F475" t="str">
        <f>Sheet4!E454</f>
        <v>Công nghiệp</v>
      </c>
      <c r="G475" t="str">
        <f>Sheet4!F454</f>
        <v>Hàng &amp; Dịch vụ Công nghiệp</v>
      </c>
      <c r="H475" t="str">
        <f>Sheet4!G454</f>
        <v>Containers &amp; Đóng gói</v>
      </c>
      <c r="I475" s="9" t="str" cm="1">
        <f t="array" ref="I47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75" s="9" t="str" cm="1">
        <f t="array" ref="J47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75" s="10" cm="1">
        <f t="array" ref="K47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75" s="10" cm="1">
        <f t="array" ref="L47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75" s="9" t="str" cm="1">
        <f t="array" ref="M47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75" s="9" t="str" cm="1">
        <f t="array" ref="N47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75" s="10" cm="1">
        <f t="array" ref="O475">IFERROR(INDEX(Sheet4!$2:$1605,MATCH(ChiTietKQKD[[#This Row],[Mã CP]],Sheet4!$B$2:$B$1605,0),_xlfn.XMATCH("*Tăng trưởng lợi nhuận sau thuế (YoY) (Quý*",Sheet4!$1:$1,2)),"")</f>
        <v>0</v>
      </c>
      <c r="P475" s="10" cm="1">
        <f t="array" ref="P475">IFERROR(INDEX(Sheet4!$2:$1605,MATCH(ChiTietKQKD[[#This Row],[Mã CP]],Sheet4!$B$2:$B$1605,0),_xlfn.XMATCH("*Tăng trưởng lợi nhuận sau thuế (YoY) (6M)*",Sheet4!$1:$1,2)),"")</f>
        <v>0</v>
      </c>
      <c r="Q475" s="10" cm="1">
        <f t="array" ref="Q475">IFERROR(INDEX(Sheet4!$2:$1605,MATCH(ChiTietKQKD[[#This Row],[Mã CP]],Sheet4!$B$2:$B$1605,0),_xlfn.XMATCH("*Tăng trưởng doanh thu thuần (QoQ)*",Sheet4!$1:$1,2)),"")</f>
        <v>0</v>
      </c>
      <c r="R475" s="10" cm="1">
        <f t="array" ref="R475">IFERROR(INDEX(Sheet4!$2:$1605,MATCH(ChiTietKQKD[[#This Row],[Mã CP]],Sheet4!$B$2:$B$1605,0),_xlfn.XMATCH("*Tăng trưởng lợi nhuận sau thuế (QoQ)*",Sheet4!$1:$1,2)),"")</f>
        <v>0</v>
      </c>
    </row>
    <row r="476" spans="1:18" x14ac:dyDescent="0.25">
      <c r="A476" s="7">
        <f>Sheet4!A455</f>
        <v>454</v>
      </c>
      <c r="B476" t="str">
        <f>Sheet4!B455</f>
        <v>C69</v>
      </c>
      <c r="C476" t="str">
        <f>Sheet4!C454</f>
        <v>Bao bì Xi măng HP</v>
      </c>
      <c r="D476" t="str">
        <f>Sheet4!D455</f>
        <v>HNX</v>
      </c>
      <c r="E476" s="7">
        <f>Sheet4!AH455/1000000000</f>
        <v>1137.1194848</v>
      </c>
      <c r="F476" t="str">
        <f>Sheet4!E455</f>
        <v>Công nghiệp</v>
      </c>
      <c r="G476" t="str">
        <f>Sheet4!F455</f>
        <v>Xây dựng và Vật liệu</v>
      </c>
      <c r="H476" t="str">
        <f>Sheet4!G455</f>
        <v>Xây dựng</v>
      </c>
      <c r="I476" s="9" t="str" cm="1">
        <f t="array" ref="I47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76" s="9" t="str" cm="1">
        <f t="array" ref="J47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76" s="10" cm="1">
        <f t="array" ref="K47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76" s="10" cm="1">
        <f t="array" ref="L47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76" s="9" t="str" cm="1">
        <f t="array" ref="M47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76" s="9" t="str" cm="1">
        <f t="array" ref="N47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76" s="10" cm="1">
        <f t="array" ref="O476">IFERROR(INDEX(Sheet4!$2:$1605,MATCH(ChiTietKQKD[[#This Row],[Mã CP]],Sheet4!$B$2:$B$1605,0),_xlfn.XMATCH("*Tăng trưởng lợi nhuận sau thuế (YoY) (Quý*",Sheet4!$1:$1,2)),"")</f>
        <v>0</v>
      </c>
      <c r="P476" s="10" cm="1">
        <f t="array" ref="P476">IFERROR(INDEX(Sheet4!$2:$1605,MATCH(ChiTietKQKD[[#This Row],[Mã CP]],Sheet4!$B$2:$B$1605,0),_xlfn.XMATCH("*Tăng trưởng lợi nhuận sau thuế (YoY) (6M)*",Sheet4!$1:$1,2)),"")</f>
        <v>0</v>
      </c>
      <c r="Q476" s="10" cm="1">
        <f t="array" ref="Q476">IFERROR(INDEX(Sheet4!$2:$1605,MATCH(ChiTietKQKD[[#This Row],[Mã CP]],Sheet4!$B$2:$B$1605,0),_xlfn.XMATCH("*Tăng trưởng doanh thu thuần (QoQ)*",Sheet4!$1:$1,2)),"")</f>
        <v>0</v>
      </c>
      <c r="R476" s="10" cm="1">
        <f t="array" ref="R476">IFERROR(INDEX(Sheet4!$2:$1605,MATCH(ChiTietKQKD[[#This Row],[Mã CP]],Sheet4!$B$2:$B$1605,0),_xlfn.XMATCH("*Tăng trưởng lợi nhuận sau thuế (QoQ)*",Sheet4!$1:$1,2)),"")</f>
        <v>0</v>
      </c>
    </row>
    <row r="477" spans="1:18" x14ac:dyDescent="0.25">
      <c r="A477" s="7">
        <f>Sheet4!A456</f>
        <v>455</v>
      </c>
      <c r="B477" t="str">
        <f>Sheet4!B456</f>
        <v>CAG</v>
      </c>
      <c r="C477" t="str">
        <f>Sheet4!C455</f>
        <v>Xây dựng 1369</v>
      </c>
      <c r="D477" t="str">
        <f>Sheet4!D456</f>
        <v>HNX</v>
      </c>
      <c r="E477" s="7">
        <f>Sheet4!AH456/1000000000</f>
        <v>82.8</v>
      </c>
      <c r="F477" t="str">
        <f>Sheet4!E456</f>
        <v>Công nghiệp</v>
      </c>
      <c r="G477" t="str">
        <f>Sheet4!F456</f>
        <v>Hàng &amp; Dịch vụ Công nghiệp</v>
      </c>
      <c r="H477" t="str">
        <f>Sheet4!G456</f>
        <v>Kho bãi, hậu cần và bảo dưỡng</v>
      </c>
      <c r="I477" s="9" cm="1">
        <f t="array" ref="I47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17.06616086</v>
      </c>
      <c r="J477" s="9" cm="1">
        <f t="array" ref="J47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27.832904839000001</v>
      </c>
      <c r="K477" s="10" cm="1">
        <f t="array" ref="K47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0.2157</v>
      </c>
      <c r="L477" s="10" cm="1">
        <f t="array" ref="L47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0.2475</v>
      </c>
      <c r="M477" s="9" cm="1">
        <f t="array" ref="M477">_xlfn.LET(_xlpm.val,IFERROR(INDEX(Sheet4!$2:$1605,MATCH(ChiTietKQKD[[#This Row],[Mã CP]],Sheet4!$B$2:$B$1605,0),_xlfn.XMATCH("*Lợi nhuận sau thuế*Q2*2026*",Sheet4!$1:$1,2)),0),IF(OR(_xlpm.val="",_xlpm.val=0),"",_xlpm.val/1000000000))</f>
        <v>2.324759249</v>
      </c>
      <c r="N477" s="9" cm="1">
        <f t="array" ref="N477">_xlfn.LET(_xlpm.val,IFERROR(INDEX(Sheet4!$2:$1605,MATCH(ChiTietKQKD[[#This Row],[Mã CP]],Sheet4!$B$2:$B$1605,0),_xlfn.XMATCH("*Lợi nhuận sau thuế*6 tháng*2026*",Sheet4!$1:$1,2)),0),IF(OR(_xlpm.val="",_xlpm.val=0),"",_xlpm.val/1000000000))</f>
        <v>2.5742321380000002</v>
      </c>
      <c r="O477" s="10" cm="1">
        <f t="array" ref="O477">IFERROR(INDEX(Sheet4!$2:$1605,MATCH(ChiTietKQKD[[#This Row],[Mã CP]],Sheet4!$B$2:$B$1605,0),_xlfn.XMATCH("*Tăng trưởng lợi nhuận sau thuế (YoY) (Quý*",Sheet4!$1:$1,2)),"")</f>
        <v>0.35899999999999999</v>
      </c>
      <c r="P477" s="10" cm="1">
        <f t="array" ref="P477">IFERROR(INDEX(Sheet4!$2:$1605,MATCH(ChiTietKQKD[[#This Row],[Mã CP]],Sheet4!$B$2:$B$1605,0),_xlfn.XMATCH("*Tăng trưởng lợi nhuận sau thuế (YoY) (6M)*",Sheet4!$1:$1,2)),"")</f>
        <v>391.95699999999999</v>
      </c>
      <c r="Q477" s="10" cm="1">
        <f t="array" ref="Q477">IFERROR(INDEX(Sheet4!$2:$1605,MATCH(ChiTietKQKD[[#This Row],[Mã CP]],Sheet4!$B$2:$B$1605,0),_xlfn.XMATCH("*Tăng trưởng doanh thu thuần (QoQ)*",Sheet4!$1:$1,2)),"")</f>
        <v>0.58509999999999995</v>
      </c>
      <c r="R477" s="10" cm="1">
        <f t="array" ref="R477">IFERROR(INDEX(Sheet4!$2:$1605,MATCH(ChiTietKQKD[[#This Row],[Mã CP]],Sheet4!$B$2:$B$1605,0),_xlfn.XMATCH("*Tăng trưởng lợi nhuận sau thuế (QoQ)*",Sheet4!$1:$1,2)),"")</f>
        <v>8.3186999999999998</v>
      </c>
    </row>
    <row r="478" spans="1:18" x14ac:dyDescent="0.25">
      <c r="A478" s="7">
        <f>Sheet4!A457</f>
        <v>456</v>
      </c>
      <c r="B478" t="str">
        <f>Sheet4!B457</f>
        <v>CAN</v>
      </c>
      <c r="C478" t="str">
        <f>Sheet4!C456</f>
        <v>Cảng An Giang</v>
      </c>
      <c r="D478" t="str">
        <f>Sheet4!D457</f>
        <v>HNX</v>
      </c>
      <c r="E478" s="7">
        <f>Sheet4!AH457/1000000000</f>
        <v>114</v>
      </c>
      <c r="F478" t="str">
        <f>Sheet4!E457</f>
        <v>Hàng Tiêu dùng</v>
      </c>
      <c r="G478" t="str">
        <f>Sheet4!F457</f>
        <v>Thực phẩm và đồ uống</v>
      </c>
      <c r="H478" t="str">
        <f>Sheet4!G457</f>
        <v>Thực phẩm</v>
      </c>
      <c r="I478" s="9" t="str" cm="1">
        <f t="array" ref="I47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78" s="9" t="str" cm="1">
        <f t="array" ref="J47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78" s="10" cm="1">
        <f t="array" ref="K47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78" s="10" cm="1">
        <f t="array" ref="L47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78" s="9" t="str" cm="1">
        <f t="array" ref="M47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78" s="9" t="str" cm="1">
        <f t="array" ref="N47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78" s="10" cm="1">
        <f t="array" ref="O478">IFERROR(INDEX(Sheet4!$2:$1605,MATCH(ChiTietKQKD[[#This Row],[Mã CP]],Sheet4!$B$2:$B$1605,0),_xlfn.XMATCH("*Tăng trưởng lợi nhuận sau thuế (YoY) (Quý*",Sheet4!$1:$1,2)),"")</f>
        <v>0</v>
      </c>
      <c r="P478" s="10" cm="1">
        <f t="array" ref="P478">IFERROR(INDEX(Sheet4!$2:$1605,MATCH(ChiTietKQKD[[#This Row],[Mã CP]],Sheet4!$B$2:$B$1605,0),_xlfn.XMATCH("*Tăng trưởng lợi nhuận sau thuế (YoY) (6M)*",Sheet4!$1:$1,2)),"")</f>
        <v>0</v>
      </c>
      <c r="Q478" s="10" cm="1">
        <f t="array" ref="Q478">IFERROR(INDEX(Sheet4!$2:$1605,MATCH(ChiTietKQKD[[#This Row],[Mã CP]],Sheet4!$B$2:$B$1605,0),_xlfn.XMATCH("*Tăng trưởng doanh thu thuần (QoQ)*",Sheet4!$1:$1,2)),"")</f>
        <v>0</v>
      </c>
      <c r="R478" s="10" cm="1">
        <f t="array" ref="R478">IFERROR(INDEX(Sheet4!$2:$1605,MATCH(ChiTietKQKD[[#This Row],[Mã CP]],Sheet4!$B$2:$B$1605,0),_xlfn.XMATCH("*Tăng trưởng lợi nhuận sau thuế (QoQ)*",Sheet4!$1:$1,2)),"")</f>
        <v>0</v>
      </c>
    </row>
    <row r="479" spans="1:18" x14ac:dyDescent="0.25">
      <c r="A479" s="7">
        <f>Sheet4!A458</f>
        <v>457</v>
      </c>
      <c r="B479" t="str">
        <f>Sheet4!B458</f>
        <v>CAP</v>
      </c>
      <c r="C479" t="str">
        <f>Sheet4!C457</f>
        <v>Đồ hộp Hạ Long</v>
      </c>
      <c r="D479" t="str">
        <f>Sheet4!D458</f>
        <v>HNX</v>
      </c>
      <c r="E479" s="7">
        <f>Sheet4!AH458/1000000000</f>
        <v>706.99937950000003</v>
      </c>
      <c r="F479" t="str">
        <f>Sheet4!E458</f>
        <v>Nguyên vật liệu</v>
      </c>
      <c r="G479" t="str">
        <f>Sheet4!F458</f>
        <v>Tài nguyên Cơ bản</v>
      </c>
      <c r="H479" t="str">
        <f>Sheet4!G458</f>
        <v>Sản xuất giấy</v>
      </c>
      <c r="I479" s="9" t="str" cm="1">
        <f t="array" ref="I47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79" s="9" t="str" cm="1">
        <f t="array" ref="J47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79" s="10" cm="1">
        <f t="array" ref="K47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79" s="10" cm="1">
        <f t="array" ref="L47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79" s="9" t="str" cm="1">
        <f t="array" ref="M47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79" s="9" t="str" cm="1">
        <f t="array" ref="N47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79" s="10" cm="1">
        <f t="array" ref="O479">IFERROR(INDEX(Sheet4!$2:$1605,MATCH(ChiTietKQKD[[#This Row],[Mã CP]],Sheet4!$B$2:$B$1605,0),_xlfn.XMATCH("*Tăng trưởng lợi nhuận sau thuế (YoY) (Quý*",Sheet4!$1:$1,2)),"")</f>
        <v>0</v>
      </c>
      <c r="P479" s="10" cm="1">
        <f t="array" ref="P479">IFERROR(INDEX(Sheet4!$2:$1605,MATCH(ChiTietKQKD[[#This Row],[Mã CP]],Sheet4!$B$2:$B$1605,0),_xlfn.XMATCH("*Tăng trưởng lợi nhuận sau thuế (YoY) (6M)*",Sheet4!$1:$1,2)),"")</f>
        <v>0</v>
      </c>
      <c r="Q479" s="10" cm="1">
        <f t="array" ref="Q479">IFERROR(INDEX(Sheet4!$2:$1605,MATCH(ChiTietKQKD[[#This Row],[Mã CP]],Sheet4!$B$2:$B$1605,0),_xlfn.XMATCH("*Tăng trưởng doanh thu thuần (QoQ)*",Sheet4!$1:$1,2)),"")</f>
        <v>0</v>
      </c>
      <c r="R479" s="10" cm="1">
        <f t="array" ref="R479">IFERROR(INDEX(Sheet4!$2:$1605,MATCH(ChiTietKQKD[[#This Row],[Mã CP]],Sheet4!$B$2:$B$1605,0),_xlfn.XMATCH("*Tăng trưởng lợi nhuận sau thuế (QoQ)*",Sheet4!$1:$1,2)),"")</f>
        <v>0</v>
      </c>
    </row>
    <row r="480" spans="1:18" x14ac:dyDescent="0.25">
      <c r="A480" s="7">
        <f>Sheet4!A459</f>
        <v>458</v>
      </c>
      <c r="B480" t="str">
        <f>Sheet4!B459</f>
        <v>CAR</v>
      </c>
      <c r="C480" t="str">
        <f>Sheet4!C458</f>
        <v>Lâm nông sản Yên Bái</v>
      </c>
      <c r="D480" t="str">
        <f>Sheet4!D459</f>
        <v>HNX</v>
      </c>
      <c r="E480" s="7">
        <f>Sheet4!AH459/1000000000</f>
        <v>75.684054399999994</v>
      </c>
      <c r="F480" t="str">
        <f>Sheet4!E459</f>
        <v>Công nghiệp</v>
      </c>
      <c r="G480" t="str">
        <f>Sheet4!F459</f>
        <v>Hàng &amp; Dịch vụ Công nghiệp</v>
      </c>
      <c r="H480" t="str">
        <f>Sheet4!G459</f>
        <v>Đào tạo &amp; Việc làm</v>
      </c>
      <c r="I480" s="9" cm="1">
        <f t="array" ref="I48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13.323483923</v>
      </c>
      <c r="J480" s="9" cm="1">
        <f t="array" ref="J48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18.047902647000001</v>
      </c>
      <c r="K480" s="10" cm="1">
        <f t="array" ref="K48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4.65E-2</v>
      </c>
      <c r="L480" s="10" cm="1">
        <f t="array" ref="L48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80" s="9" cm="1">
        <f t="array" ref="M480">_xlfn.LET(_xlpm.val,IFERROR(INDEX(Sheet4!$2:$1605,MATCH(ChiTietKQKD[[#This Row],[Mã CP]],Sheet4!$B$2:$B$1605,0),_xlfn.XMATCH("*Lợi nhuận sau thuế*Q2*2026*",Sheet4!$1:$1,2)),0),IF(OR(_xlpm.val="",_xlpm.val=0),"",_xlpm.val/1000000000))</f>
        <v>2.982008016</v>
      </c>
      <c r="N480" s="9" cm="1">
        <f t="array" ref="N480">_xlfn.LET(_xlpm.val,IFERROR(INDEX(Sheet4!$2:$1605,MATCH(ChiTietKQKD[[#This Row],[Mã CP]],Sheet4!$B$2:$B$1605,0),_xlfn.XMATCH("*Lợi nhuận sau thuế*6 tháng*2026*",Sheet4!$1:$1,2)),0),IF(OR(_xlpm.val="",_xlpm.val=0),"",_xlpm.val/1000000000))</f>
        <v>0.28732577100000001</v>
      </c>
      <c r="O480" s="10" cm="1">
        <f t="array" ref="O480">IFERROR(INDEX(Sheet4!$2:$1605,MATCH(ChiTietKQKD[[#This Row],[Mã CP]],Sheet4!$B$2:$B$1605,0),_xlfn.XMATCH("*Tăng trưởng lợi nhuận sau thuế (YoY) (Quý*",Sheet4!$1:$1,2)),"")</f>
        <v>12.781700000000001</v>
      </c>
      <c r="P480" s="10" cm="1">
        <f t="array" ref="P480">IFERROR(INDEX(Sheet4!$2:$1605,MATCH(ChiTietKQKD[[#This Row],[Mã CP]],Sheet4!$B$2:$B$1605,0),_xlfn.XMATCH("*Tăng trưởng lợi nhuận sau thuế (YoY) (6M)*",Sheet4!$1:$1,2)),"")</f>
        <v>0</v>
      </c>
      <c r="Q480" s="10" cm="1">
        <f t="array" ref="Q480">IFERROR(INDEX(Sheet4!$2:$1605,MATCH(ChiTietKQKD[[#This Row],[Mã CP]],Sheet4!$B$2:$B$1605,0),_xlfn.XMATCH("*Tăng trưởng doanh thu thuần (QoQ)*",Sheet4!$1:$1,2)),"")</f>
        <v>1.8201000000000001</v>
      </c>
      <c r="R480" s="10" cm="1">
        <f t="array" ref="R480">IFERROR(INDEX(Sheet4!$2:$1605,MATCH(ChiTietKQKD[[#This Row],[Mã CP]],Sheet4!$B$2:$B$1605,0),_xlfn.XMATCH("*Tăng trưởng lợi nhuận sau thuế (QoQ)*",Sheet4!$1:$1,2)),"")</f>
        <v>2.0979999999999999</v>
      </c>
    </row>
    <row r="481" spans="1:18" x14ac:dyDescent="0.25">
      <c r="A481" s="7">
        <f>Sheet4!A460</f>
        <v>459</v>
      </c>
      <c r="B481" t="str">
        <f>Sheet4!B460</f>
        <v>CCR</v>
      </c>
      <c r="C481" t="str">
        <f>Sheet4!C459</f>
        <v>Tập đoàn Giáo dục Trí Việt</v>
      </c>
      <c r="D481" t="str">
        <f>Sheet4!D460</f>
        <v>HNX</v>
      </c>
      <c r="E481" s="7">
        <f>Sheet4!AH460/1000000000</f>
        <v>342.350638</v>
      </c>
      <c r="F481" t="str">
        <f>Sheet4!E460</f>
        <v>Công nghiệp</v>
      </c>
      <c r="G481" t="str">
        <f>Sheet4!F460</f>
        <v>Hàng &amp; Dịch vụ Công nghiệp</v>
      </c>
      <c r="H481" t="str">
        <f>Sheet4!G460</f>
        <v>Kho bãi, hậu cần và bảo dưỡng</v>
      </c>
      <c r="I481" s="9" t="str" cm="1">
        <f t="array" ref="I48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81" s="9" t="str" cm="1">
        <f t="array" ref="J48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81" s="10" cm="1">
        <f t="array" ref="K48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81" s="10" cm="1">
        <f t="array" ref="L48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81" s="9" t="str" cm="1">
        <f t="array" ref="M48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81" s="9" t="str" cm="1">
        <f t="array" ref="N48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81" s="10" cm="1">
        <f t="array" ref="O481">IFERROR(INDEX(Sheet4!$2:$1605,MATCH(ChiTietKQKD[[#This Row],[Mã CP]],Sheet4!$B$2:$B$1605,0),_xlfn.XMATCH("*Tăng trưởng lợi nhuận sau thuế (YoY) (Quý*",Sheet4!$1:$1,2)),"")</f>
        <v>0</v>
      </c>
      <c r="P481" s="10" cm="1">
        <f t="array" ref="P481">IFERROR(INDEX(Sheet4!$2:$1605,MATCH(ChiTietKQKD[[#This Row],[Mã CP]],Sheet4!$B$2:$B$1605,0),_xlfn.XMATCH("*Tăng trưởng lợi nhuận sau thuế (YoY) (6M)*",Sheet4!$1:$1,2)),"")</f>
        <v>0</v>
      </c>
      <c r="Q481" s="10" cm="1">
        <f t="array" ref="Q481">IFERROR(INDEX(Sheet4!$2:$1605,MATCH(ChiTietKQKD[[#This Row],[Mã CP]],Sheet4!$B$2:$B$1605,0),_xlfn.XMATCH("*Tăng trưởng doanh thu thuần (QoQ)*",Sheet4!$1:$1,2)),"")</f>
        <v>0</v>
      </c>
      <c r="R481" s="10" cm="1">
        <f t="array" ref="R481">IFERROR(INDEX(Sheet4!$2:$1605,MATCH(ChiTietKQKD[[#This Row],[Mã CP]],Sheet4!$B$2:$B$1605,0),_xlfn.XMATCH("*Tăng trưởng lợi nhuận sau thuế (QoQ)*",Sheet4!$1:$1,2)),"")</f>
        <v>0</v>
      </c>
    </row>
    <row r="482" spans="1:18" x14ac:dyDescent="0.25">
      <c r="A482" s="7">
        <f>Sheet4!A461</f>
        <v>460</v>
      </c>
      <c r="B482" t="str">
        <f>Sheet4!B461</f>
        <v>CDN</v>
      </c>
      <c r="C482" t="str">
        <f>Sheet4!C460</f>
        <v>Cảng Cam Ranh</v>
      </c>
      <c r="D482" t="str">
        <f>Sheet4!D461</f>
        <v>HNX</v>
      </c>
      <c r="E482" s="7">
        <f>Sheet4!AH461/1000000000</f>
        <v>2534.4</v>
      </c>
      <c r="F482" t="str">
        <f>Sheet4!E461</f>
        <v>Công nghiệp</v>
      </c>
      <c r="G482" t="str">
        <f>Sheet4!F461</f>
        <v>Hàng &amp; Dịch vụ Công nghiệp</v>
      </c>
      <c r="H482" t="str">
        <f>Sheet4!G461</f>
        <v>Kho bãi, hậu cần và bảo dưỡng</v>
      </c>
      <c r="I482" s="9" t="str" cm="1">
        <f t="array" ref="I48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82" s="9" t="str" cm="1">
        <f t="array" ref="J48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82" s="10" cm="1">
        <f t="array" ref="K48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82" s="10" cm="1">
        <f t="array" ref="L48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82" s="9" t="str" cm="1">
        <f t="array" ref="M48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82" s="9" t="str" cm="1">
        <f t="array" ref="N48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82" s="10" cm="1">
        <f t="array" ref="O482">IFERROR(INDEX(Sheet4!$2:$1605,MATCH(ChiTietKQKD[[#This Row],[Mã CP]],Sheet4!$B$2:$B$1605,0),_xlfn.XMATCH("*Tăng trưởng lợi nhuận sau thuế (YoY) (Quý*",Sheet4!$1:$1,2)),"")</f>
        <v>0</v>
      </c>
      <c r="P482" s="10" cm="1">
        <f t="array" ref="P482">IFERROR(INDEX(Sheet4!$2:$1605,MATCH(ChiTietKQKD[[#This Row],[Mã CP]],Sheet4!$B$2:$B$1605,0),_xlfn.XMATCH("*Tăng trưởng lợi nhuận sau thuế (YoY) (6M)*",Sheet4!$1:$1,2)),"")</f>
        <v>0</v>
      </c>
      <c r="Q482" s="10" cm="1">
        <f t="array" ref="Q482">IFERROR(INDEX(Sheet4!$2:$1605,MATCH(ChiTietKQKD[[#This Row],[Mã CP]],Sheet4!$B$2:$B$1605,0),_xlfn.XMATCH("*Tăng trưởng doanh thu thuần (QoQ)*",Sheet4!$1:$1,2)),"")</f>
        <v>0</v>
      </c>
      <c r="R482" s="10" cm="1">
        <f t="array" ref="R482">IFERROR(INDEX(Sheet4!$2:$1605,MATCH(ChiTietKQKD[[#This Row],[Mã CP]],Sheet4!$B$2:$B$1605,0),_xlfn.XMATCH("*Tăng trưởng lợi nhuận sau thuế (QoQ)*",Sheet4!$1:$1,2)),"")</f>
        <v>0</v>
      </c>
    </row>
    <row r="483" spans="1:18" x14ac:dyDescent="0.25">
      <c r="A483" s="7">
        <f>Sheet4!A462</f>
        <v>461</v>
      </c>
      <c r="B483" t="str">
        <f>Sheet4!B462</f>
        <v>CEO</v>
      </c>
      <c r="C483" t="str">
        <f>Sheet4!C461</f>
        <v>Cảng Đà Nẵng</v>
      </c>
      <c r="D483" t="str">
        <f>Sheet4!D462</f>
        <v>HNX</v>
      </c>
      <c r="E483" s="7">
        <f>Sheet4!AH462/1000000000</f>
        <v>7089.7314845000001</v>
      </c>
      <c r="F483" t="str">
        <f>Sheet4!E462</f>
        <v>Tài chính</v>
      </c>
      <c r="G483" t="str">
        <f>Sheet4!F462</f>
        <v>Bất động sản</v>
      </c>
      <c r="H483" t="str">
        <f>Sheet4!G462</f>
        <v>Bất động sản</v>
      </c>
      <c r="I483" s="9" t="str" cm="1">
        <f t="array" ref="I48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83" s="9" t="str" cm="1">
        <f t="array" ref="J48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83" s="10" cm="1">
        <f t="array" ref="K48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83" s="10" cm="1">
        <f t="array" ref="L48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83" s="9" t="str" cm="1">
        <f t="array" ref="M48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83" s="9" t="str" cm="1">
        <f t="array" ref="N48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83" s="10" cm="1">
        <f t="array" ref="O483">IFERROR(INDEX(Sheet4!$2:$1605,MATCH(ChiTietKQKD[[#This Row],[Mã CP]],Sheet4!$B$2:$B$1605,0),_xlfn.XMATCH("*Tăng trưởng lợi nhuận sau thuế (YoY) (Quý*",Sheet4!$1:$1,2)),"")</f>
        <v>0</v>
      </c>
      <c r="P483" s="10" cm="1">
        <f t="array" ref="P483">IFERROR(INDEX(Sheet4!$2:$1605,MATCH(ChiTietKQKD[[#This Row],[Mã CP]],Sheet4!$B$2:$B$1605,0),_xlfn.XMATCH("*Tăng trưởng lợi nhuận sau thuế (YoY) (6M)*",Sheet4!$1:$1,2)),"")</f>
        <v>0</v>
      </c>
      <c r="Q483" s="10" cm="1">
        <f t="array" ref="Q483">IFERROR(INDEX(Sheet4!$2:$1605,MATCH(ChiTietKQKD[[#This Row],[Mã CP]],Sheet4!$B$2:$B$1605,0),_xlfn.XMATCH("*Tăng trưởng doanh thu thuần (QoQ)*",Sheet4!$1:$1,2)),"")</f>
        <v>0</v>
      </c>
      <c r="R483" s="10" cm="1">
        <f t="array" ref="R483">IFERROR(INDEX(Sheet4!$2:$1605,MATCH(ChiTietKQKD[[#This Row],[Mã CP]],Sheet4!$B$2:$B$1605,0),_xlfn.XMATCH("*Tăng trưởng lợi nhuận sau thuế (QoQ)*",Sheet4!$1:$1,2)),"")</f>
        <v>0</v>
      </c>
    </row>
    <row r="484" spans="1:18" x14ac:dyDescent="0.25">
      <c r="A484" s="7">
        <f>Sheet4!A463</f>
        <v>462</v>
      </c>
      <c r="B484" t="str">
        <f>Sheet4!B463</f>
        <v>CET</v>
      </c>
      <c r="C484" t="str">
        <f>Sheet4!C462</f>
        <v>Tập đoàn CEO</v>
      </c>
      <c r="D484" t="str">
        <f>Sheet4!D463</f>
        <v>HNX</v>
      </c>
      <c r="E484" s="7">
        <f>Sheet4!AH463/1000000000</f>
        <v>24.805</v>
      </c>
      <c r="F484" t="str">
        <f>Sheet4!E463</f>
        <v>Hàng Tiêu dùng</v>
      </c>
      <c r="G484" t="str">
        <f>Sheet4!F463</f>
        <v>Hàng cá nhân &amp; Gia dụng</v>
      </c>
      <c r="H484" t="str">
        <f>Sheet4!G463</f>
        <v>Hàng cá nhân</v>
      </c>
      <c r="I484" s="9" cm="1">
        <f t="array" ref="I48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1.734</v>
      </c>
      <c r="J484" s="9" cm="1">
        <f t="array" ref="J48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1.734</v>
      </c>
      <c r="K484" s="10" cm="1">
        <f t="array" ref="K48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5.2164000000000001</v>
      </c>
      <c r="L484" s="10" cm="1">
        <f t="array" ref="L48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84" s="9" cm="1">
        <f t="array" ref="M484">_xlfn.LET(_xlpm.val,IFERROR(INDEX(Sheet4!$2:$1605,MATCH(ChiTietKQKD[[#This Row],[Mã CP]],Sheet4!$B$2:$B$1605,0),_xlfn.XMATCH("*Lợi nhuận sau thuế*Q2*2026*",Sheet4!$1:$1,2)),0),IF(OR(_xlpm.val="",_xlpm.val=0),"",_xlpm.val/1000000000))</f>
        <v>0.33952458200000002</v>
      </c>
      <c r="N484" s="9" cm="1">
        <f t="array" ref="N484">_xlfn.LET(_xlpm.val,IFERROR(INDEX(Sheet4!$2:$1605,MATCH(ChiTietKQKD[[#This Row],[Mã CP]],Sheet4!$B$2:$B$1605,0),_xlfn.XMATCH("*Lợi nhuận sau thuế*6 tháng*2026*",Sheet4!$1:$1,2)),0),IF(OR(_xlpm.val="",_xlpm.val=0),"",_xlpm.val/1000000000))</f>
        <v>0.55580742100000002</v>
      </c>
      <c r="O484" s="10" cm="1">
        <f t="array" ref="O484">IFERROR(INDEX(Sheet4!$2:$1605,MATCH(ChiTietKQKD[[#This Row],[Mã CP]],Sheet4!$B$2:$B$1605,0),_xlfn.XMATCH("*Tăng trưởng lợi nhuận sau thuế (YoY) (Quý*",Sheet4!$1:$1,2)),"")</f>
        <v>1.1649</v>
      </c>
      <c r="P484" s="10" cm="1">
        <f t="array" ref="P484">IFERROR(INDEX(Sheet4!$2:$1605,MATCH(ChiTietKQKD[[#This Row],[Mã CP]],Sheet4!$B$2:$B$1605,0),_xlfn.XMATCH("*Tăng trưởng lợi nhuận sau thuế (YoY) (6M)*",Sheet4!$1:$1,2)),"")</f>
        <v>0</v>
      </c>
      <c r="Q484" s="10" cm="1">
        <f t="array" ref="Q484">IFERROR(INDEX(Sheet4!$2:$1605,MATCH(ChiTietKQKD[[#This Row],[Mã CP]],Sheet4!$B$2:$B$1605,0),_xlfn.XMATCH("*Tăng trưởng doanh thu thuần (QoQ)*",Sheet4!$1:$1,2)),"")</f>
        <v>0</v>
      </c>
      <c r="R484" s="10" cm="1">
        <f t="array" ref="R484">IFERROR(INDEX(Sheet4!$2:$1605,MATCH(ChiTietKQKD[[#This Row],[Mã CP]],Sheet4!$B$2:$B$1605,0),_xlfn.XMATCH("*Tăng trưởng lợi nhuận sau thuế (QoQ)*",Sheet4!$1:$1,2)),"")</f>
        <v>1.3138000000000001</v>
      </c>
    </row>
    <row r="485" spans="1:18" x14ac:dyDescent="0.25">
      <c r="A485" s="7">
        <f>Sheet4!A464</f>
        <v>463</v>
      </c>
      <c r="B485" t="str">
        <f>Sheet4!B464</f>
        <v>CIA</v>
      </c>
      <c r="C485" t="str">
        <f>Sheet4!C463</f>
        <v xml:space="preserve">HTC Holding </v>
      </c>
      <c r="D485" t="str">
        <f>Sheet4!D464</f>
        <v>HNX</v>
      </c>
      <c r="E485" s="7">
        <f>Sheet4!AH464/1000000000</f>
        <v>175.41568419999999</v>
      </c>
      <c r="F485" t="str">
        <f>Sheet4!E464</f>
        <v>Công nghiệp</v>
      </c>
      <c r="G485" t="str">
        <f>Sheet4!F464</f>
        <v>Hàng &amp; Dịch vụ Công nghiệp</v>
      </c>
      <c r="H485" t="str">
        <f>Sheet4!G464</f>
        <v>Kho bãi, hậu cần và bảo dưỡng</v>
      </c>
      <c r="I485" s="9" t="str" cm="1">
        <f t="array" ref="I48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85" s="9" t="str" cm="1">
        <f t="array" ref="J48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85" s="10" cm="1">
        <f t="array" ref="K48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85" s="10" cm="1">
        <f t="array" ref="L48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85" s="9" t="str" cm="1">
        <f t="array" ref="M48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85" s="9" t="str" cm="1">
        <f t="array" ref="N48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85" s="10" cm="1">
        <f t="array" ref="O485">IFERROR(INDEX(Sheet4!$2:$1605,MATCH(ChiTietKQKD[[#This Row],[Mã CP]],Sheet4!$B$2:$B$1605,0),_xlfn.XMATCH("*Tăng trưởng lợi nhuận sau thuế (YoY) (Quý*",Sheet4!$1:$1,2)),"")</f>
        <v>0</v>
      </c>
      <c r="P485" s="10" cm="1">
        <f t="array" ref="P485">IFERROR(INDEX(Sheet4!$2:$1605,MATCH(ChiTietKQKD[[#This Row],[Mã CP]],Sheet4!$B$2:$B$1605,0),_xlfn.XMATCH("*Tăng trưởng lợi nhuận sau thuế (YoY) (6M)*",Sheet4!$1:$1,2)),"")</f>
        <v>0</v>
      </c>
      <c r="Q485" s="10" cm="1">
        <f t="array" ref="Q485">IFERROR(INDEX(Sheet4!$2:$1605,MATCH(ChiTietKQKD[[#This Row],[Mã CP]],Sheet4!$B$2:$B$1605,0),_xlfn.XMATCH("*Tăng trưởng doanh thu thuần (QoQ)*",Sheet4!$1:$1,2)),"")</f>
        <v>0</v>
      </c>
      <c r="R485" s="10" cm="1">
        <f t="array" ref="R485">IFERROR(INDEX(Sheet4!$2:$1605,MATCH(ChiTietKQKD[[#This Row],[Mã CP]],Sheet4!$B$2:$B$1605,0),_xlfn.XMATCH("*Tăng trưởng lợi nhuận sau thuế (QoQ)*",Sheet4!$1:$1,2)),"")</f>
        <v>0</v>
      </c>
    </row>
    <row r="486" spans="1:18" x14ac:dyDescent="0.25">
      <c r="A486" s="7">
        <f>Sheet4!A465</f>
        <v>464</v>
      </c>
      <c r="B486" t="str">
        <f>Sheet4!B465</f>
        <v>CJC</v>
      </c>
      <c r="C486" t="str">
        <f>Sheet4!C464</f>
        <v>DV Sân Bay Cam Ranh</v>
      </c>
      <c r="D486" t="str">
        <f>Sheet4!D465</f>
        <v>HNX</v>
      </c>
      <c r="E486" s="7">
        <f>Sheet4!AH465/1000000000</f>
        <v>158.4</v>
      </c>
      <c r="F486" t="str">
        <f>Sheet4!E465</f>
        <v>Công nghiệp</v>
      </c>
      <c r="G486" t="str">
        <f>Sheet4!F465</f>
        <v>Hàng &amp; Dịch vụ Công nghiệp</v>
      </c>
      <c r="H486" t="str">
        <f>Sheet4!G465</f>
        <v>Thiết bị điện</v>
      </c>
      <c r="I486" s="9" cm="1">
        <f t="array" ref="I48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92.777117947999997</v>
      </c>
      <c r="J486" s="9" cm="1">
        <f t="array" ref="J48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126.938783681</v>
      </c>
      <c r="K486" s="10" cm="1">
        <f t="array" ref="K48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9.6100000000000005E-2</v>
      </c>
      <c r="L486" s="10" cm="1">
        <f t="array" ref="L48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86" s="9" cm="1">
        <f t="array" ref="M486">_xlfn.LET(_xlpm.val,IFERROR(INDEX(Sheet4!$2:$1605,MATCH(ChiTietKQKD[[#This Row],[Mã CP]],Sheet4!$B$2:$B$1605,0),_xlfn.XMATCH("*Lợi nhuận sau thuế*Q2*2026*",Sheet4!$1:$1,2)),0),IF(OR(_xlpm.val="",_xlpm.val=0),"",_xlpm.val/1000000000))</f>
        <v>1.1202698280000001</v>
      </c>
      <c r="N486" s="9" cm="1">
        <f t="array" ref="N486">_xlfn.LET(_xlpm.val,IFERROR(INDEX(Sheet4!$2:$1605,MATCH(ChiTietKQKD[[#This Row],[Mã CP]],Sheet4!$B$2:$B$1605,0),_xlfn.XMATCH("*Lợi nhuận sau thuế*6 tháng*2026*",Sheet4!$1:$1,2)),0),IF(OR(_xlpm.val="",_xlpm.val=0),"",_xlpm.val/1000000000))</f>
        <v>1.6939290520000001</v>
      </c>
      <c r="O486" s="10" cm="1">
        <f t="array" ref="O486">IFERROR(INDEX(Sheet4!$2:$1605,MATCH(ChiTietKQKD[[#This Row],[Mã CP]],Sheet4!$B$2:$B$1605,0),_xlfn.XMATCH("*Tăng trưởng lợi nhuận sau thuế (YoY) (Quý*",Sheet4!$1:$1,2)),"")</f>
        <v>1.9605999999999999</v>
      </c>
      <c r="P486" s="10" cm="1">
        <f t="array" ref="P486">IFERROR(INDEX(Sheet4!$2:$1605,MATCH(ChiTietKQKD[[#This Row],[Mã CP]],Sheet4!$B$2:$B$1605,0),_xlfn.XMATCH("*Tăng trưởng lợi nhuận sau thuế (YoY) (6M)*",Sheet4!$1:$1,2)),"")</f>
        <v>0</v>
      </c>
      <c r="Q486" s="10" cm="1">
        <f t="array" ref="Q486">IFERROR(INDEX(Sheet4!$2:$1605,MATCH(ChiTietKQKD[[#This Row],[Mã CP]],Sheet4!$B$2:$B$1605,0),_xlfn.XMATCH("*Tăng trưởng doanh thu thuần (QoQ)*",Sheet4!$1:$1,2)),"")</f>
        <v>1.7158</v>
      </c>
      <c r="R486" s="10" cm="1">
        <f t="array" ref="R486">IFERROR(INDEX(Sheet4!$2:$1605,MATCH(ChiTietKQKD[[#This Row],[Mã CP]],Sheet4!$B$2:$B$1605,0),_xlfn.XMATCH("*Tăng trưởng lợi nhuận sau thuế (QoQ)*",Sheet4!$1:$1,2)),"")</f>
        <v>0.95279999999999998</v>
      </c>
    </row>
    <row r="487" spans="1:18" x14ac:dyDescent="0.25">
      <c r="A487" s="7">
        <f>Sheet4!A466</f>
        <v>465</v>
      </c>
      <c r="B487" t="str">
        <f>Sheet4!B466</f>
        <v>CKV</v>
      </c>
      <c r="C487" t="str">
        <f>Sheet4!C465</f>
        <v>Cơ điện Miền Trung</v>
      </c>
      <c r="D487" t="str">
        <f>Sheet4!D466</f>
        <v>HNX</v>
      </c>
      <c r="E487" s="7">
        <f>Sheet4!AH466/1000000000</f>
        <v>63.389600000000002</v>
      </c>
      <c r="F487" t="str">
        <f>Sheet4!E466</f>
        <v>Công nghệ Thông tin</v>
      </c>
      <c r="G487" t="str">
        <f>Sheet4!F466</f>
        <v>Công nghệ Thông tin</v>
      </c>
      <c r="H487" t="str">
        <f>Sheet4!G466</f>
        <v>Thiết bị viễn thông</v>
      </c>
      <c r="I487" s="9" cm="1">
        <f t="array" ref="I48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70.479448077000001</v>
      </c>
      <c r="J487" s="9" cm="1">
        <f t="array" ref="J48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114.711897018</v>
      </c>
      <c r="K487" s="10" cm="1">
        <f t="array" ref="K48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-8.6999999999999994E-3</v>
      </c>
      <c r="L487" s="10" cm="1">
        <f t="array" ref="L48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87" s="9" cm="1">
        <f t="array" ref="M487">_xlfn.LET(_xlpm.val,IFERROR(INDEX(Sheet4!$2:$1605,MATCH(ChiTietKQKD[[#This Row],[Mã CP]],Sheet4!$B$2:$B$1605,0),_xlfn.XMATCH("*Lợi nhuận sau thuế*Q2*2026*",Sheet4!$1:$1,2)),0),IF(OR(_xlpm.val="",_xlpm.val=0),"",_xlpm.val/1000000000))</f>
        <v>1.0615292089999999</v>
      </c>
      <c r="N487" s="9" cm="1">
        <f t="array" ref="N487">_xlfn.LET(_xlpm.val,IFERROR(INDEX(Sheet4!$2:$1605,MATCH(ChiTietKQKD[[#This Row],[Mã CP]],Sheet4!$B$2:$B$1605,0),_xlfn.XMATCH("*Lợi nhuận sau thuế*6 tháng*2026*",Sheet4!$1:$1,2)),0),IF(OR(_xlpm.val="",_xlpm.val=0),"",_xlpm.val/1000000000))</f>
        <v>2.0945519780000001</v>
      </c>
      <c r="O487" s="10" cm="1">
        <f t="array" ref="O487">IFERROR(INDEX(Sheet4!$2:$1605,MATCH(ChiTietKQKD[[#This Row],[Mã CP]],Sheet4!$B$2:$B$1605,0),_xlfn.XMATCH("*Tăng trưởng lợi nhuận sau thuế (YoY) (Quý*",Sheet4!$1:$1,2)),"")</f>
        <v>8.8800000000000004E-2</v>
      </c>
      <c r="P487" s="10" cm="1">
        <f t="array" ref="P487">IFERROR(INDEX(Sheet4!$2:$1605,MATCH(ChiTietKQKD[[#This Row],[Mã CP]],Sheet4!$B$2:$B$1605,0),_xlfn.XMATCH("*Tăng trưởng lợi nhuận sau thuế (YoY) (6M)*",Sheet4!$1:$1,2)),"")</f>
        <v>0</v>
      </c>
      <c r="Q487" s="10" cm="1">
        <f t="array" ref="Q487">IFERROR(INDEX(Sheet4!$2:$1605,MATCH(ChiTietKQKD[[#This Row],[Mã CP]],Sheet4!$B$2:$B$1605,0),_xlfn.XMATCH("*Tăng trưởng doanh thu thuần (QoQ)*",Sheet4!$1:$1,2)),"")</f>
        <v>0.59340000000000004</v>
      </c>
      <c r="R487" s="10" cm="1">
        <f t="array" ref="R487">IFERROR(INDEX(Sheet4!$2:$1605,MATCH(ChiTietKQKD[[#This Row],[Mã CP]],Sheet4!$B$2:$B$1605,0),_xlfn.XMATCH("*Tăng trưởng lợi nhuận sau thuế (QoQ)*",Sheet4!$1:$1,2)),"")</f>
        <v>2.76E-2</v>
      </c>
    </row>
    <row r="488" spans="1:18" x14ac:dyDescent="0.25">
      <c r="A488" s="7">
        <f>Sheet4!A467</f>
        <v>466</v>
      </c>
      <c r="B488" t="str">
        <f>Sheet4!B467</f>
        <v>CLH</v>
      </c>
      <c r="C488" t="str">
        <f>Sheet4!C466</f>
        <v>CokyVina</v>
      </c>
      <c r="D488" t="str">
        <f>Sheet4!D467</f>
        <v>HNX</v>
      </c>
      <c r="E488" s="7">
        <f>Sheet4!AH467/1000000000</f>
        <v>241.2</v>
      </c>
      <c r="F488" t="str">
        <f>Sheet4!E467</f>
        <v>Công nghiệp</v>
      </c>
      <c r="G488" t="str">
        <f>Sheet4!F467</f>
        <v>Xây dựng và Vật liệu</v>
      </c>
      <c r="H488" t="str">
        <f>Sheet4!G467</f>
        <v>Vật liệu xây dựng &amp; Nội thất</v>
      </c>
      <c r="I488" s="9" cm="1">
        <f t="array" ref="I48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199.133477089</v>
      </c>
      <c r="J488" s="9" cm="1">
        <f t="array" ref="J48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378.50689359299997</v>
      </c>
      <c r="K488" s="10" cm="1">
        <f t="array" ref="K48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5.0099999999999999E-2</v>
      </c>
      <c r="L488" s="10" cm="1">
        <f t="array" ref="L48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0.12620000000000001</v>
      </c>
      <c r="M488" s="9" cm="1">
        <f t="array" ref="M488">_xlfn.LET(_xlpm.val,IFERROR(INDEX(Sheet4!$2:$1605,MATCH(ChiTietKQKD[[#This Row],[Mã CP]],Sheet4!$B$2:$B$1605,0),_xlfn.XMATCH("*Lợi nhuận sau thuế*Q2*2026*",Sheet4!$1:$1,2)),0),IF(OR(_xlpm.val="",_xlpm.val=0),"",_xlpm.val/1000000000))</f>
        <v>20.101764198000001</v>
      </c>
      <c r="N488" s="9" cm="1">
        <f t="array" ref="N488">_xlfn.LET(_xlpm.val,IFERROR(INDEX(Sheet4!$2:$1605,MATCH(ChiTietKQKD[[#This Row],[Mã CP]],Sheet4!$B$2:$B$1605,0),_xlfn.XMATCH("*Lợi nhuận sau thuế*6 tháng*2026*",Sheet4!$1:$1,2)),0),IF(OR(_xlpm.val="",_xlpm.val=0),"",_xlpm.val/1000000000))</f>
        <v>22.438492732</v>
      </c>
      <c r="O488" s="10" cm="1">
        <f t="array" ref="O488">IFERROR(INDEX(Sheet4!$2:$1605,MATCH(ChiTietKQKD[[#This Row],[Mã CP]],Sheet4!$B$2:$B$1605,0),_xlfn.XMATCH("*Tăng trưởng lợi nhuận sau thuế (YoY) (Quý*",Sheet4!$1:$1,2)),"")</f>
        <v>0.4713</v>
      </c>
      <c r="P488" s="10" cm="1">
        <f t="array" ref="P488">IFERROR(INDEX(Sheet4!$2:$1605,MATCH(ChiTietKQKD[[#This Row],[Mã CP]],Sheet4!$B$2:$B$1605,0),_xlfn.XMATCH("*Tăng trưởng lợi nhuận sau thuế (YoY) (6M)*",Sheet4!$1:$1,2)),"")</f>
        <v>0.41510000000000002</v>
      </c>
      <c r="Q488" s="10" cm="1">
        <f t="array" ref="Q488">IFERROR(INDEX(Sheet4!$2:$1605,MATCH(ChiTietKQKD[[#This Row],[Mã CP]],Sheet4!$B$2:$B$1605,0),_xlfn.XMATCH("*Tăng trưởng doanh thu thuần (QoQ)*",Sheet4!$1:$1,2)),"")</f>
        <v>0.11020000000000001</v>
      </c>
      <c r="R488" s="10" cm="1">
        <f t="array" ref="R488">IFERROR(INDEX(Sheet4!$2:$1605,MATCH(ChiTietKQKD[[#This Row],[Mã CP]],Sheet4!$B$2:$B$1605,0),_xlfn.XMATCH("*Tăng trưởng lợi nhuận sau thuế (QoQ)*",Sheet4!$1:$1,2)),"")</f>
        <v>7.6025</v>
      </c>
    </row>
    <row r="489" spans="1:18" x14ac:dyDescent="0.25">
      <c r="A489" s="7">
        <f>Sheet4!A468</f>
        <v>467</v>
      </c>
      <c r="B489" t="str">
        <f>Sheet4!B468</f>
        <v>CLM</v>
      </c>
      <c r="C489" t="str">
        <f>Sheet4!C467</f>
        <v>Xi măng La Hiên</v>
      </c>
      <c r="D489" t="str">
        <f>Sheet4!D468</f>
        <v>HNX</v>
      </c>
      <c r="E489" s="7">
        <f>Sheet4!AH468/1000000000</f>
        <v>770</v>
      </c>
      <c r="F489" t="str">
        <f>Sheet4!E468</f>
        <v>Nguyên vật liệu</v>
      </c>
      <c r="G489" t="str">
        <f>Sheet4!F468</f>
        <v>Tài nguyên Cơ bản</v>
      </c>
      <c r="H489" t="str">
        <f>Sheet4!G468</f>
        <v>Khai thác Than</v>
      </c>
      <c r="I489" s="9" cm="1">
        <f t="array" ref="I48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6456.8762983639999</v>
      </c>
      <c r="J489" s="9" cm="1">
        <f t="array" ref="J48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10784.318555823</v>
      </c>
      <c r="K489" s="10" cm="1">
        <f t="array" ref="K48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0.1179</v>
      </c>
      <c r="L489" s="10" cm="1">
        <f t="array" ref="L48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-3.3000000000000002E-2</v>
      </c>
      <c r="M489" s="9" cm="1">
        <f t="array" ref="M489">_xlfn.LET(_xlpm.val,IFERROR(INDEX(Sheet4!$2:$1605,MATCH(ChiTietKQKD[[#This Row],[Mã CP]],Sheet4!$B$2:$B$1605,0),_xlfn.XMATCH("*Lợi nhuận sau thuế*Q2*2026*",Sheet4!$1:$1,2)),0),IF(OR(_xlpm.val="",_xlpm.val=0),"",_xlpm.val/1000000000))</f>
        <v>35.660452196000001</v>
      </c>
      <c r="N489" s="9" cm="1">
        <f t="array" ref="N489">_xlfn.LET(_xlpm.val,IFERROR(INDEX(Sheet4!$2:$1605,MATCH(ChiTietKQKD[[#This Row],[Mã CP]],Sheet4!$B$2:$B$1605,0),_xlfn.XMATCH("*Lợi nhuận sau thuế*6 tháng*2026*",Sheet4!$1:$1,2)),0),IF(OR(_xlpm.val="",_xlpm.val=0),"",_xlpm.val/1000000000))</f>
        <v>59.657037269999996</v>
      </c>
      <c r="O489" s="10" cm="1">
        <f t="array" ref="O489">IFERROR(INDEX(Sheet4!$2:$1605,MATCH(ChiTietKQKD[[#This Row],[Mã CP]],Sheet4!$B$2:$B$1605,0),_xlfn.XMATCH("*Tăng trưởng lợi nhuận sau thuế (YoY) (Quý*",Sheet4!$1:$1,2)),"")</f>
        <v>0.17430000000000001</v>
      </c>
      <c r="P489" s="10" cm="1">
        <f t="array" ref="P489">IFERROR(INDEX(Sheet4!$2:$1605,MATCH(ChiTietKQKD[[#This Row],[Mã CP]],Sheet4!$B$2:$B$1605,0),_xlfn.XMATCH("*Tăng trưởng lợi nhuận sau thuế (YoY) (6M)*",Sheet4!$1:$1,2)),"")</f>
        <v>0.18440000000000001</v>
      </c>
      <c r="Q489" s="10" cm="1">
        <f t="array" ref="Q489">IFERROR(INDEX(Sheet4!$2:$1605,MATCH(ChiTietKQKD[[#This Row],[Mã CP]],Sheet4!$B$2:$B$1605,0),_xlfn.XMATCH("*Tăng trưởng doanh thu thuần (QoQ)*",Sheet4!$1:$1,2)),"")</f>
        <v>0.49209999999999998</v>
      </c>
      <c r="R489" s="10" cm="1">
        <f t="array" ref="R489">IFERROR(INDEX(Sheet4!$2:$1605,MATCH(ChiTietKQKD[[#This Row],[Mã CP]],Sheet4!$B$2:$B$1605,0),_xlfn.XMATCH("*Tăng trưởng lợi nhuận sau thuế (QoQ)*",Sheet4!$1:$1,2)),"")</f>
        <v>0.48609999999999998</v>
      </c>
    </row>
    <row r="490" spans="1:18" x14ac:dyDescent="0.25">
      <c r="A490" s="7">
        <f>Sheet4!A469</f>
        <v>468</v>
      </c>
      <c r="B490" t="str">
        <f>Sheet4!B469</f>
        <v>CMC</v>
      </c>
      <c r="C490" t="str">
        <f>Sheet4!C468</f>
        <v>Xuất nhập khẩu Than - Vinacomin</v>
      </c>
      <c r="D490" t="str">
        <f>Sheet4!D469</f>
        <v>HNX</v>
      </c>
      <c r="E490" s="7">
        <f>Sheet4!AH469/1000000000</f>
        <v>44.442618899999999</v>
      </c>
      <c r="F490" t="str">
        <f>Sheet4!E469</f>
        <v>Công nghiệp</v>
      </c>
      <c r="G490" t="str">
        <f>Sheet4!F469</f>
        <v>Hàng &amp; Dịch vụ Công nghiệp</v>
      </c>
      <c r="H490" t="str">
        <f>Sheet4!G469</f>
        <v>Máy công nghiệp</v>
      </c>
      <c r="I490" s="9" cm="1">
        <f t="array" ref="I49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23.673696295999999</v>
      </c>
      <c r="J490" s="9" cm="1">
        <f t="array" ref="J49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46.737100001999998</v>
      </c>
      <c r="K490" s="10" cm="1">
        <f t="array" ref="K49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4.8099999999999997E-2</v>
      </c>
      <c r="L490" s="10" cm="1">
        <f t="array" ref="L49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5.9200000000000003E-2</v>
      </c>
      <c r="M490" s="9" cm="1">
        <f t="array" ref="M490">_xlfn.LET(_xlpm.val,IFERROR(INDEX(Sheet4!$2:$1605,MATCH(ChiTietKQKD[[#This Row],[Mã CP]],Sheet4!$B$2:$B$1605,0),_xlfn.XMATCH("*Lợi nhuận sau thuế*Q2*2026*",Sheet4!$1:$1,2)),0),IF(OR(_xlpm.val="",_xlpm.val=0),"",_xlpm.val/1000000000))</f>
        <v>-2.125000773</v>
      </c>
      <c r="N490" s="9" cm="1">
        <f t="array" ref="N490">_xlfn.LET(_xlpm.val,IFERROR(INDEX(Sheet4!$2:$1605,MATCH(ChiTietKQKD[[#This Row],[Mã CP]],Sheet4!$B$2:$B$1605,0),_xlfn.XMATCH("*Lợi nhuận sau thuế*6 tháng*2026*",Sheet4!$1:$1,2)),0),IF(OR(_xlpm.val="",_xlpm.val=0),"",_xlpm.val/1000000000))</f>
        <v>-1.9820344860000001</v>
      </c>
      <c r="O490" s="10" cm="1">
        <f t="array" ref="O490">IFERROR(INDEX(Sheet4!$2:$1605,MATCH(ChiTietKQKD[[#This Row],[Mã CP]],Sheet4!$B$2:$B$1605,0),_xlfn.XMATCH("*Tăng trưởng lợi nhuận sau thuế (YoY) (Quý*",Sheet4!$1:$1,2)),"")</f>
        <v>-2.5421</v>
      </c>
      <c r="P490" s="10" cm="1">
        <f t="array" ref="P490">IFERROR(INDEX(Sheet4!$2:$1605,MATCH(ChiTietKQKD[[#This Row],[Mã CP]],Sheet4!$B$2:$B$1605,0),_xlfn.XMATCH("*Tăng trưởng lợi nhuận sau thuế (YoY) (6M)*",Sheet4!$1:$1,2)),"")</f>
        <v>-2.2991000000000001</v>
      </c>
      <c r="Q490" s="10" cm="1">
        <f t="array" ref="Q490">IFERROR(INDEX(Sheet4!$2:$1605,MATCH(ChiTietKQKD[[#This Row],[Mã CP]],Sheet4!$B$2:$B$1605,0),_xlfn.XMATCH("*Tăng trưởng doanh thu thuần (QoQ)*",Sheet4!$1:$1,2)),"")</f>
        <v>2.6499999999999999E-2</v>
      </c>
      <c r="R490" s="10" cm="1">
        <f t="array" ref="R490">IFERROR(INDEX(Sheet4!$2:$1605,MATCH(ChiTietKQKD[[#This Row],[Mã CP]],Sheet4!$B$2:$B$1605,0),_xlfn.XMATCH("*Tăng trưởng lợi nhuận sau thuế (QoQ)*",Sheet4!$1:$1,2)),"")</f>
        <v>-15.8636</v>
      </c>
    </row>
    <row r="491" spans="1:18" x14ac:dyDescent="0.25">
      <c r="A491" s="7">
        <f>Sheet4!A470</f>
        <v>469</v>
      </c>
      <c r="B491" t="str">
        <f>Sheet4!B470</f>
        <v>CMS</v>
      </c>
      <c r="C491" t="str">
        <f>Sheet4!C469</f>
        <v>Đầu tư CMC</v>
      </c>
      <c r="D491" t="str">
        <f>Sheet4!D470</f>
        <v>HNX</v>
      </c>
      <c r="E491" s="7">
        <f>Sheet4!AH470/1000000000</f>
        <v>155.26025000000001</v>
      </c>
      <c r="F491" t="str">
        <f>Sheet4!E470</f>
        <v>Công nghiệp</v>
      </c>
      <c r="G491" t="str">
        <f>Sheet4!F470</f>
        <v>Xây dựng và Vật liệu</v>
      </c>
      <c r="H491" t="str">
        <f>Sheet4!G470</f>
        <v>Xây dựng</v>
      </c>
      <c r="I491" s="9" t="str" cm="1">
        <f t="array" ref="I49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91" s="9" t="str" cm="1">
        <f t="array" ref="J49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91" s="10" cm="1">
        <f t="array" ref="K49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91" s="10" cm="1">
        <f t="array" ref="L49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91" s="9" t="str" cm="1">
        <f t="array" ref="M49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91" s="9" t="str" cm="1">
        <f t="array" ref="N49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91" s="10" cm="1">
        <f t="array" ref="O491">IFERROR(INDEX(Sheet4!$2:$1605,MATCH(ChiTietKQKD[[#This Row],[Mã CP]],Sheet4!$B$2:$B$1605,0),_xlfn.XMATCH("*Tăng trưởng lợi nhuận sau thuế (YoY) (Quý*",Sheet4!$1:$1,2)),"")</f>
        <v>0</v>
      </c>
      <c r="P491" s="10" cm="1">
        <f t="array" ref="P491">IFERROR(INDEX(Sheet4!$2:$1605,MATCH(ChiTietKQKD[[#This Row],[Mã CP]],Sheet4!$B$2:$B$1605,0),_xlfn.XMATCH("*Tăng trưởng lợi nhuận sau thuế (YoY) (6M)*",Sheet4!$1:$1,2)),"")</f>
        <v>0</v>
      </c>
      <c r="Q491" s="10" cm="1">
        <f t="array" ref="Q491">IFERROR(INDEX(Sheet4!$2:$1605,MATCH(ChiTietKQKD[[#This Row],[Mã CP]],Sheet4!$B$2:$B$1605,0),_xlfn.XMATCH("*Tăng trưởng doanh thu thuần (QoQ)*",Sheet4!$1:$1,2)),"")</f>
        <v>0</v>
      </c>
      <c r="R491" s="10" cm="1">
        <f t="array" ref="R491">IFERROR(INDEX(Sheet4!$2:$1605,MATCH(ChiTietKQKD[[#This Row],[Mã CP]],Sheet4!$B$2:$B$1605,0),_xlfn.XMATCH("*Tăng trưởng lợi nhuận sau thuế (QoQ)*",Sheet4!$1:$1,2)),"")</f>
        <v>0</v>
      </c>
    </row>
    <row r="492" spans="1:18" x14ac:dyDescent="0.25">
      <c r="A492" s="7">
        <f>Sheet4!A471</f>
        <v>470</v>
      </c>
      <c r="B492" t="str">
        <f>Sheet4!B471</f>
        <v>CPC</v>
      </c>
      <c r="C492" t="str">
        <f>Sheet4!C470</f>
        <v>Tập đoàn CMH Việt Nam</v>
      </c>
      <c r="D492" t="str">
        <f>Sheet4!D471</f>
        <v>HNX</v>
      </c>
      <c r="E492" s="7">
        <f>Sheet4!AH471/1000000000</f>
        <v>64.895054999999999</v>
      </c>
      <c r="F492" t="str">
        <f>Sheet4!E471</f>
        <v>Nguyên vật liệu</v>
      </c>
      <c r="G492" t="str">
        <f>Sheet4!F471</f>
        <v>Hóa chất</v>
      </c>
      <c r="H492" t="str">
        <f>Sheet4!G471</f>
        <v>Sản phẩm hóa dầu, Nông dược &amp; Hóa chất khác</v>
      </c>
      <c r="I492" s="9" cm="1">
        <f t="array" ref="I49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51.262741224999999</v>
      </c>
      <c r="J492" s="9" t="str" cm="1">
        <f t="array" ref="J49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92" s="10" cm="1">
        <f t="array" ref="K49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-0.19259999999999999</v>
      </c>
      <c r="L492" s="10" cm="1">
        <f t="array" ref="L49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-2.35E-2</v>
      </c>
      <c r="M492" s="9" cm="1">
        <f t="array" ref="M492">_xlfn.LET(_xlpm.val,IFERROR(INDEX(Sheet4!$2:$1605,MATCH(ChiTietKQKD[[#This Row],[Mã CP]],Sheet4!$B$2:$B$1605,0),_xlfn.XMATCH("*Lợi nhuận sau thuế*Q2*2026*",Sheet4!$1:$1,2)),0),IF(OR(_xlpm.val="",_xlpm.val=0),"",_xlpm.val/1000000000))</f>
        <v>4.1285285219999999</v>
      </c>
      <c r="N492" s="9" t="str" cm="1">
        <f t="array" ref="N49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92" s="10" cm="1">
        <f t="array" ref="O492">IFERROR(INDEX(Sheet4!$2:$1605,MATCH(ChiTietKQKD[[#This Row],[Mã CP]],Sheet4!$B$2:$B$1605,0),_xlfn.XMATCH("*Tăng trưởng lợi nhuận sau thuế (YoY) (Quý*",Sheet4!$1:$1,2)),"")</f>
        <v>-0.22420000000000001</v>
      </c>
      <c r="P492" s="10" cm="1">
        <f t="array" ref="P492">IFERROR(INDEX(Sheet4!$2:$1605,MATCH(ChiTietKQKD[[#This Row],[Mã CP]],Sheet4!$B$2:$B$1605,0),_xlfn.XMATCH("*Tăng trưởng lợi nhuận sau thuế (YoY) (6M)*",Sheet4!$1:$1,2)),"")</f>
        <v>-0.14949999999999999</v>
      </c>
      <c r="Q492" s="10" cm="1">
        <f t="array" ref="Q492">IFERROR(INDEX(Sheet4!$2:$1605,MATCH(ChiTietKQKD[[#This Row],[Mã CP]],Sheet4!$B$2:$B$1605,0),_xlfn.XMATCH("*Tăng trưởng doanh thu thuần (QoQ)*",Sheet4!$1:$1,2)),"")</f>
        <v>1.2890999999999999</v>
      </c>
      <c r="R492" s="10" cm="1">
        <f t="array" ref="R492">IFERROR(INDEX(Sheet4!$2:$1605,MATCH(ChiTietKQKD[[#This Row],[Mã CP]],Sheet4!$B$2:$B$1605,0),_xlfn.XMATCH("*Tăng trưởng lợi nhuận sau thuế (QoQ)*",Sheet4!$1:$1,2)),"")</f>
        <v>3.5535999999999999</v>
      </c>
    </row>
    <row r="493" spans="1:18" x14ac:dyDescent="0.25">
      <c r="A493" s="7">
        <f>Sheet4!A472</f>
        <v>471</v>
      </c>
      <c r="B493" t="str">
        <f>Sheet4!B472</f>
        <v>CSC</v>
      </c>
      <c r="C493" t="str">
        <f>Sheet4!C471</f>
        <v>Thuốc sát trùng Cần Thơ</v>
      </c>
      <c r="D493" t="str">
        <f>Sheet4!D472</f>
        <v>HNX</v>
      </c>
      <c r="E493" s="7">
        <f>Sheet4!AH472/1000000000</f>
        <v>493.3730438</v>
      </c>
      <c r="F493" t="str">
        <f>Sheet4!E472</f>
        <v>Công nghiệp</v>
      </c>
      <c r="G493" t="str">
        <f>Sheet4!F472</f>
        <v>Xây dựng và Vật liệu</v>
      </c>
      <c r="H493" t="str">
        <f>Sheet4!G472</f>
        <v>Xây dựng</v>
      </c>
      <c r="I493" s="9" t="str" cm="1">
        <f t="array" ref="I49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493" s="9" t="str" cm="1">
        <f t="array" ref="J49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493" s="10" cm="1">
        <f t="array" ref="K49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493" s="10" cm="1">
        <f t="array" ref="L49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93" s="9" t="str" cm="1">
        <f t="array" ref="M49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493" s="9" t="str" cm="1">
        <f t="array" ref="N49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493" s="10" cm="1">
        <f t="array" ref="O493">IFERROR(INDEX(Sheet4!$2:$1605,MATCH(ChiTietKQKD[[#This Row],[Mã CP]],Sheet4!$B$2:$B$1605,0),_xlfn.XMATCH("*Tăng trưởng lợi nhuận sau thuế (YoY) (Quý*",Sheet4!$1:$1,2)),"")</f>
        <v>0</v>
      </c>
      <c r="P493" s="10" cm="1">
        <f t="array" ref="P493">IFERROR(INDEX(Sheet4!$2:$1605,MATCH(ChiTietKQKD[[#This Row],[Mã CP]],Sheet4!$B$2:$B$1605,0),_xlfn.XMATCH("*Tăng trưởng lợi nhuận sau thuế (YoY) (6M)*",Sheet4!$1:$1,2)),"")</f>
        <v>0</v>
      </c>
      <c r="Q493" s="10" cm="1">
        <f t="array" ref="Q493">IFERROR(INDEX(Sheet4!$2:$1605,MATCH(ChiTietKQKD[[#This Row],[Mã CP]],Sheet4!$B$2:$B$1605,0),_xlfn.XMATCH("*Tăng trưởng doanh thu thuần (QoQ)*",Sheet4!$1:$1,2)),"")</f>
        <v>0</v>
      </c>
      <c r="R493" s="10" cm="1">
        <f t="array" ref="R493">IFERROR(INDEX(Sheet4!$2:$1605,MATCH(ChiTietKQKD[[#This Row],[Mã CP]],Sheet4!$B$2:$B$1605,0),_xlfn.XMATCH("*Tăng trưởng lợi nhuận sau thuế (QoQ)*",Sheet4!$1:$1,2)),"")</f>
        <v>0</v>
      </c>
    </row>
    <row r="494" spans="1:18" x14ac:dyDescent="0.25">
      <c r="A494" s="7">
        <f>Sheet4!A473</f>
        <v>472</v>
      </c>
      <c r="B494" t="str">
        <f>Sheet4!B473</f>
        <v>CST</v>
      </c>
      <c r="C494" t="str">
        <f>Sheet4!C472</f>
        <v>Tập đoàn COTANA</v>
      </c>
      <c r="D494" t="str">
        <f>Sheet4!D473</f>
        <v>HNX</v>
      </c>
      <c r="E494" s="7">
        <f>Sheet4!AH473/1000000000</f>
        <v>415.61369810000002</v>
      </c>
      <c r="F494" t="str">
        <f>Sheet4!E473</f>
        <v>Nguyên vật liệu</v>
      </c>
      <c r="G494" t="str">
        <f>Sheet4!F473</f>
        <v>Tài nguyên Cơ bản</v>
      </c>
      <c r="H494" t="str">
        <f>Sheet4!G473</f>
        <v>Khai thác Than</v>
      </c>
      <c r="I494" s="9" cm="1">
        <f t="array" ref="I49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2215.1118209420001</v>
      </c>
      <c r="J494" s="9" cm="1">
        <f t="array" ref="J49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4527.5583819169997</v>
      </c>
      <c r="K494" s="10" cm="1">
        <f t="array" ref="K49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-4.53E-2</v>
      </c>
      <c r="L494" s="10" cm="1">
        <f t="array" ref="L49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-3.27E-2</v>
      </c>
      <c r="M494" s="9" cm="1">
        <f t="array" ref="M494">_xlfn.LET(_xlpm.val,IFERROR(INDEX(Sheet4!$2:$1605,MATCH(ChiTietKQKD[[#This Row],[Mã CP]],Sheet4!$B$2:$B$1605,0),_xlfn.XMATCH("*Lợi nhuận sau thuế*Q2*2026*",Sheet4!$1:$1,2)),0),IF(OR(_xlpm.val="",_xlpm.val=0),"",_xlpm.val/1000000000))</f>
        <v>9.6541172030000002</v>
      </c>
      <c r="N494" s="9" cm="1">
        <f t="array" ref="N494">_xlfn.LET(_xlpm.val,IFERROR(INDEX(Sheet4!$2:$1605,MATCH(ChiTietKQKD[[#This Row],[Mã CP]],Sheet4!$B$2:$B$1605,0),_xlfn.XMATCH("*Lợi nhuận sau thuế*6 tháng*2026*",Sheet4!$1:$1,2)),0),IF(OR(_xlpm.val="",_xlpm.val=0),"",_xlpm.val/1000000000))</f>
        <v>20.248603199000001</v>
      </c>
      <c r="O494" s="10" cm="1">
        <f t="array" ref="O494">IFERROR(INDEX(Sheet4!$2:$1605,MATCH(ChiTietKQKD[[#This Row],[Mã CP]],Sheet4!$B$2:$B$1605,0),_xlfn.XMATCH("*Tăng trưởng lợi nhuận sau thuế (YoY) (Quý*",Sheet4!$1:$1,2)),"")</f>
        <v>-0.3805</v>
      </c>
      <c r="P494" s="10" cm="1">
        <f t="array" ref="P494">IFERROR(INDEX(Sheet4!$2:$1605,MATCH(ChiTietKQKD[[#This Row],[Mã CP]],Sheet4!$B$2:$B$1605,0),_xlfn.XMATCH("*Tăng trưởng lợi nhuận sau thuế (YoY) (6M)*",Sheet4!$1:$1,2)),"")</f>
        <v>-0.28460000000000002</v>
      </c>
      <c r="Q494" s="10" cm="1">
        <f t="array" ref="Q494">IFERROR(INDEX(Sheet4!$2:$1605,MATCH(ChiTietKQKD[[#This Row],[Mã CP]],Sheet4!$B$2:$B$1605,0),_xlfn.XMATCH("*Tăng trưởng doanh thu thuần (QoQ)*",Sheet4!$1:$1,2)),"")</f>
        <v>-4.2099999999999999E-2</v>
      </c>
      <c r="R494" s="10" cm="1">
        <f t="array" ref="R494">IFERROR(INDEX(Sheet4!$2:$1605,MATCH(ChiTietKQKD[[#This Row],[Mã CP]],Sheet4!$B$2:$B$1605,0),_xlfn.XMATCH("*Tăng trưởng lợi nhuận sau thuế (QoQ)*",Sheet4!$1:$1,2)),"")</f>
        <v>-8.8800000000000004E-2</v>
      </c>
    </row>
    <row r="495" spans="1:18" x14ac:dyDescent="0.25">
      <c r="A495" s="7">
        <f>Sheet4!A474</f>
        <v>473</v>
      </c>
      <c r="B495" t="str">
        <f>Sheet4!B474</f>
        <v>CTB</v>
      </c>
      <c r="C495" t="str">
        <f>Sheet4!C473</f>
        <v>Than Cao Sơn - TKV</v>
      </c>
      <c r="D495" t="str">
        <f>Sheet4!D474</f>
        <v>HNX</v>
      </c>
      <c r="E495" s="7">
        <f>Sheet4!AH474/1000000000</f>
        <v>336.96</v>
      </c>
      <c r="F495" t="str">
        <f>Sheet4!E474</f>
        <v>Công nghiệp</v>
      </c>
      <c r="G495" t="str">
        <f>Sheet4!F474</f>
        <v>Hàng &amp; Dịch vụ Công nghiệp</v>
      </c>
      <c r="H495" t="str">
        <f>Sheet4!G474</f>
        <v>Máy công nghiệp</v>
      </c>
      <c r="I495" s="9" cm="1">
        <f t="array" ref="I49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164.78859366500001</v>
      </c>
      <c r="J495" s="9" cm="1">
        <f t="array" ref="J49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221.140127573</v>
      </c>
      <c r="K495" s="10" cm="1">
        <f t="array" ref="K49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0.1331</v>
      </c>
      <c r="L495" s="10" cm="1">
        <f t="array" ref="L49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95" s="9" cm="1">
        <f t="array" ref="M495">_xlfn.LET(_xlpm.val,IFERROR(INDEX(Sheet4!$2:$1605,MATCH(ChiTietKQKD[[#This Row],[Mã CP]],Sheet4!$B$2:$B$1605,0),_xlfn.XMATCH("*Lợi nhuận sau thuế*Q2*2026*",Sheet4!$1:$1,2)),0),IF(OR(_xlpm.val="",_xlpm.val=0),"",_xlpm.val/1000000000))</f>
        <v>27.134944924999999</v>
      </c>
      <c r="N495" s="9" cm="1">
        <f t="array" ref="N495">_xlfn.LET(_xlpm.val,IFERROR(INDEX(Sheet4!$2:$1605,MATCH(ChiTietKQKD[[#This Row],[Mã CP]],Sheet4!$B$2:$B$1605,0),_xlfn.XMATCH("*Lợi nhuận sau thuế*6 tháng*2026*",Sheet4!$1:$1,2)),0),IF(OR(_xlpm.val="",_xlpm.val=0),"",_xlpm.val/1000000000))</f>
        <v>29.974215554000001</v>
      </c>
      <c r="O495" s="10" cm="1">
        <f t="array" ref="O495">IFERROR(INDEX(Sheet4!$2:$1605,MATCH(ChiTietKQKD[[#This Row],[Mã CP]],Sheet4!$B$2:$B$1605,0),_xlfn.XMATCH("*Tăng trưởng lợi nhuận sau thuế (YoY) (Quý*",Sheet4!$1:$1,2)),"")</f>
        <v>1.2611000000000001</v>
      </c>
      <c r="P495" s="10" cm="1">
        <f t="array" ref="P495">IFERROR(INDEX(Sheet4!$2:$1605,MATCH(ChiTietKQKD[[#This Row],[Mã CP]],Sheet4!$B$2:$B$1605,0),_xlfn.XMATCH("*Tăng trưởng lợi nhuận sau thuế (YoY) (6M)*",Sheet4!$1:$1,2)),"")</f>
        <v>0</v>
      </c>
      <c r="Q495" s="10" cm="1">
        <f t="array" ref="Q495">IFERROR(INDEX(Sheet4!$2:$1605,MATCH(ChiTietKQKD[[#This Row],[Mã CP]],Sheet4!$B$2:$B$1605,0),_xlfn.XMATCH("*Tăng trưởng doanh thu thuần (QoQ)*",Sheet4!$1:$1,2)),"")</f>
        <v>1.9242999999999999</v>
      </c>
      <c r="R495" s="10" cm="1">
        <f t="array" ref="R495">IFERROR(INDEX(Sheet4!$2:$1605,MATCH(ChiTietKQKD[[#This Row],[Mã CP]],Sheet4!$B$2:$B$1605,0),_xlfn.XMATCH("*Tăng trưởng lợi nhuận sau thuế (QoQ)*",Sheet4!$1:$1,2)),"")</f>
        <v>1.2346999999999999</v>
      </c>
    </row>
    <row r="496" spans="1:18" x14ac:dyDescent="0.25">
      <c r="A496" s="7">
        <f>Sheet4!A475</f>
        <v>474</v>
      </c>
      <c r="B496" t="str">
        <f>Sheet4!B475</f>
        <v>CTP</v>
      </c>
      <c r="C496" t="str">
        <f>Sheet4!C474</f>
        <v>Bơm Hải Dương</v>
      </c>
      <c r="D496" t="str">
        <f>Sheet4!D475</f>
        <v>HNX</v>
      </c>
      <c r="E496" s="7">
        <f>Sheet4!AH475/1000000000</f>
        <v>87.119942399999999</v>
      </c>
      <c r="F496" t="str">
        <f>Sheet4!E475</f>
        <v>Hàng Tiêu dùng</v>
      </c>
      <c r="G496" t="str">
        <f>Sheet4!F475</f>
        <v>Thực phẩm và đồ uống</v>
      </c>
      <c r="H496" t="str">
        <f>Sheet4!G475</f>
        <v>Đồ uống &amp; giải khát</v>
      </c>
      <c r="I496" s="9" cm="1">
        <f t="array" ref="I49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57.097941329999998</v>
      </c>
      <c r="J496" s="9" cm="1">
        <f t="array" ref="J49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68.523942982999998</v>
      </c>
      <c r="K496" s="10" cm="1">
        <f t="array" ref="K49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2.8948</v>
      </c>
      <c r="L496" s="10" cm="1">
        <f t="array" ref="L49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496" s="9" cm="1">
        <f t="array" ref="M496">_xlfn.LET(_xlpm.val,IFERROR(INDEX(Sheet4!$2:$1605,MATCH(ChiTietKQKD[[#This Row],[Mã CP]],Sheet4!$B$2:$B$1605,0),_xlfn.XMATCH("*Lợi nhuận sau thuế*Q2*2026*",Sheet4!$1:$1,2)),0),IF(OR(_xlpm.val="",_xlpm.val=0),"",_xlpm.val/1000000000))</f>
        <v>0.188212985</v>
      </c>
      <c r="N496" s="9" cm="1">
        <f t="array" ref="N496">_xlfn.LET(_xlpm.val,IFERROR(INDEX(Sheet4!$2:$1605,MATCH(ChiTietKQKD[[#This Row],[Mã CP]],Sheet4!$B$2:$B$1605,0),_xlfn.XMATCH("*Lợi nhuận sau thuế*6 tháng*2026*",Sheet4!$1:$1,2)),0),IF(OR(_xlpm.val="",_xlpm.val=0),"",_xlpm.val/1000000000))</f>
        <v>0.14138548400000001</v>
      </c>
      <c r="O496" s="10" cm="1">
        <f t="array" ref="O496">IFERROR(INDEX(Sheet4!$2:$1605,MATCH(ChiTietKQKD[[#This Row],[Mã CP]],Sheet4!$B$2:$B$1605,0),_xlfn.XMATCH("*Tăng trưởng lợi nhuận sau thuế (YoY) (Quý*",Sheet4!$1:$1,2)),"")</f>
        <v>-0.17380000000000001</v>
      </c>
      <c r="P496" s="10" cm="1">
        <f t="array" ref="P496">IFERROR(INDEX(Sheet4!$2:$1605,MATCH(ChiTietKQKD[[#This Row],[Mã CP]],Sheet4!$B$2:$B$1605,0),_xlfn.XMATCH("*Tăng trưởng lợi nhuận sau thuế (YoY) (6M)*",Sheet4!$1:$1,2)),"")</f>
        <v>0</v>
      </c>
      <c r="Q496" s="10" cm="1">
        <f t="array" ref="Q496">IFERROR(INDEX(Sheet4!$2:$1605,MATCH(ChiTietKQKD[[#This Row],[Mã CP]],Sheet4!$B$2:$B$1605,0),_xlfn.XMATCH("*Tăng trưởng doanh thu thuần (QoQ)*",Sheet4!$1:$1,2)),"")</f>
        <v>3.9971999999999999</v>
      </c>
      <c r="R496" s="10" cm="1">
        <f t="array" ref="R496">IFERROR(INDEX(Sheet4!$2:$1605,MATCH(ChiTietKQKD[[#This Row],[Mã CP]],Sheet4!$B$2:$B$1605,0),_xlfn.XMATCH("*Tăng trưởng lợi nhuận sau thuế (QoQ)*",Sheet4!$1:$1,2)),"")</f>
        <v>3.8330000000000002</v>
      </c>
    </row>
    <row r="497" spans="1:18" x14ac:dyDescent="0.25">
      <c r="A497" s="7">
        <f>Sheet4!A476</f>
        <v>475</v>
      </c>
      <c r="B497" t="str">
        <f>Sheet4!B476</f>
        <v>CTT</v>
      </c>
      <c r="C497" t="str">
        <f>Sheet4!C475</f>
        <v>CTP Group</v>
      </c>
      <c r="D497" t="str">
        <f>Sheet4!D476</f>
        <v>HNX</v>
      </c>
      <c r="E497" s="7">
        <f>Sheet4!AH476/1000000000</f>
        <v>73.2786756</v>
      </c>
      <c r="F497" t="str">
        <f>Sheet4!E476</f>
        <v>Công nghiệp</v>
      </c>
      <c r="G497" t="str">
        <f>Sheet4!F476</f>
        <v>Hàng &amp; Dịch vụ Công nghiệp</v>
      </c>
      <c r="H497" t="str">
        <f>Sheet4!G476</f>
        <v>Máy công nghiệp</v>
      </c>
      <c r="I497" s="9" cm="1">
        <f t="array" ref="I49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633.53533571000003</v>
      </c>
      <c r="J497" s="9" cm="1">
        <f t="array" ref="J49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1216.2264775829999</v>
      </c>
      <c r="K497" s="10" cm="1">
        <f t="array" ref="K49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0.1071</v>
      </c>
      <c r="L497" s="10" cm="1">
        <f t="array" ref="L49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8.7099999999999997E-2</v>
      </c>
      <c r="M497" s="9" cm="1">
        <f t="array" ref="M497">_xlfn.LET(_xlpm.val,IFERROR(INDEX(Sheet4!$2:$1605,MATCH(ChiTietKQKD[[#This Row],[Mã CP]],Sheet4!$B$2:$B$1605,0),_xlfn.XMATCH("*Lợi nhuận sau thuế*Q2*2026*",Sheet4!$1:$1,2)),0),IF(OR(_xlpm.val="",_xlpm.val=0),"",_xlpm.val/1000000000))</f>
        <v>4.0666524600000002</v>
      </c>
      <c r="N497" s="9" cm="1">
        <f t="array" ref="N497">_xlfn.LET(_xlpm.val,IFERROR(INDEX(Sheet4!$2:$1605,MATCH(ChiTietKQKD[[#This Row],[Mã CP]],Sheet4!$B$2:$B$1605,0),_xlfn.XMATCH("*Lợi nhuận sau thuế*6 tháng*2026*",Sheet4!$1:$1,2)),0),IF(OR(_xlpm.val="",_xlpm.val=0),"",_xlpm.val/1000000000))</f>
        <v>10.022754620000001</v>
      </c>
      <c r="O497" s="10" cm="1">
        <f t="array" ref="O497">IFERROR(INDEX(Sheet4!$2:$1605,MATCH(ChiTietKQKD[[#This Row],[Mã CP]],Sheet4!$B$2:$B$1605,0),_xlfn.XMATCH("*Tăng trưởng lợi nhuận sau thuế (YoY) (Quý*",Sheet4!$1:$1,2)),"")</f>
        <v>7.9299999999999995E-2</v>
      </c>
      <c r="P497" s="10" cm="1">
        <f t="array" ref="P497">IFERROR(INDEX(Sheet4!$2:$1605,MATCH(ChiTietKQKD[[#This Row],[Mã CP]],Sheet4!$B$2:$B$1605,0),_xlfn.XMATCH("*Tăng trưởng lợi nhuận sau thuế (YoY) (6M)*",Sheet4!$1:$1,2)),"")</f>
        <v>0.34699999999999998</v>
      </c>
      <c r="Q497" s="10" cm="1">
        <f t="array" ref="Q497">IFERROR(INDEX(Sheet4!$2:$1605,MATCH(ChiTietKQKD[[#This Row],[Mã CP]],Sheet4!$B$2:$B$1605,0),_xlfn.XMATCH("*Tăng trưởng doanh thu thuần (QoQ)*",Sheet4!$1:$1,2)),"")</f>
        <v>8.7300000000000003E-2</v>
      </c>
      <c r="R497" s="10" cm="1">
        <f t="array" ref="R497">IFERROR(INDEX(Sheet4!$2:$1605,MATCH(ChiTietKQKD[[#This Row],[Mã CP]],Sheet4!$B$2:$B$1605,0),_xlfn.XMATCH("*Tăng trưởng lợi nhuận sau thuế (QoQ)*",Sheet4!$1:$1,2)),"")</f>
        <v>-0.31719999999999998</v>
      </c>
    </row>
    <row r="498" spans="1:18" x14ac:dyDescent="0.25">
      <c r="A498" s="7">
        <f>Sheet4!A477</f>
        <v>476</v>
      </c>
      <c r="B498" t="str">
        <f>Sheet4!B477</f>
        <v>CX8</v>
      </c>
      <c r="C498" t="str">
        <f>Sheet4!C476</f>
        <v>Chế tạo máy - Vinacomin</v>
      </c>
      <c r="D498" t="str">
        <f>Sheet4!D477</f>
        <v>HNX</v>
      </c>
      <c r="E498" s="7">
        <f>Sheet4!AH477/1000000000</f>
        <v>25.537710000000001</v>
      </c>
      <c r="F498" t="str">
        <f>Sheet4!E477</f>
        <v>Công nghiệp</v>
      </c>
      <c r="G498" t="str">
        <f>Sheet4!F477</f>
        <v>Xây dựng và Vật liệu</v>
      </c>
      <c r="H498" t="str">
        <f>Sheet4!G477</f>
        <v>Xây dựng</v>
      </c>
      <c r="I498" s="9" cm="1">
        <f t="array" ref="I49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30.099516307999998</v>
      </c>
      <c r="J498" s="9" cm="1">
        <f t="array" ref="J49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49.518237835000001</v>
      </c>
      <c r="K498" s="10" cm="1">
        <f t="array" ref="K49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0.32940000000000003</v>
      </c>
      <c r="L498" s="10" cm="1">
        <f t="array" ref="L49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0.55530000000000002</v>
      </c>
      <c r="M498" s="9" cm="1">
        <f t="array" ref="M498">_xlfn.LET(_xlpm.val,IFERROR(INDEX(Sheet4!$2:$1605,MATCH(ChiTietKQKD[[#This Row],[Mã CP]],Sheet4!$B$2:$B$1605,0),_xlfn.XMATCH("*Lợi nhuận sau thuế*Q2*2026*",Sheet4!$1:$1,2)),0),IF(OR(_xlpm.val="",_xlpm.val=0),"",_xlpm.val/1000000000))</f>
        <v>6.8209467999999995E-2</v>
      </c>
      <c r="N498" s="9" cm="1">
        <f t="array" ref="N498">_xlfn.LET(_xlpm.val,IFERROR(INDEX(Sheet4!$2:$1605,MATCH(ChiTietKQKD[[#This Row],[Mã CP]],Sheet4!$B$2:$B$1605,0),_xlfn.XMATCH("*Lợi nhuận sau thuế*6 tháng*2026*",Sheet4!$1:$1,2)),0),IF(OR(_xlpm.val="",_xlpm.val=0),"",_xlpm.val/1000000000))</f>
        <v>0.20685773499999999</v>
      </c>
      <c r="O498" s="10" cm="1">
        <f t="array" ref="O498">IFERROR(INDEX(Sheet4!$2:$1605,MATCH(ChiTietKQKD[[#This Row],[Mã CP]],Sheet4!$B$2:$B$1605,0),_xlfn.XMATCH("*Tăng trưởng lợi nhuận sau thuế (YoY) (Quý*",Sheet4!$1:$1,2)),"")</f>
        <v>-0.48630000000000001</v>
      </c>
      <c r="P498" s="10" cm="1">
        <f t="array" ref="P498">IFERROR(INDEX(Sheet4!$2:$1605,MATCH(ChiTietKQKD[[#This Row],[Mã CP]],Sheet4!$B$2:$B$1605,0),_xlfn.XMATCH("*Tăng trưởng lợi nhuận sau thuế (YoY) (6M)*",Sheet4!$1:$1,2)),"")</f>
        <v>0.34649999999999997</v>
      </c>
      <c r="Q498" s="10" cm="1">
        <f t="array" ref="Q498">IFERROR(INDEX(Sheet4!$2:$1605,MATCH(ChiTietKQKD[[#This Row],[Mã CP]],Sheet4!$B$2:$B$1605,0),_xlfn.XMATCH("*Tăng trưởng doanh thu thuần (QoQ)*",Sheet4!$1:$1,2)),"")</f>
        <v>0.55000000000000004</v>
      </c>
      <c r="R498" s="10" cm="1">
        <f t="array" ref="R498">IFERROR(INDEX(Sheet4!$2:$1605,MATCH(ChiTietKQKD[[#This Row],[Mã CP]],Sheet4!$B$2:$B$1605,0),_xlfn.XMATCH("*Tăng trưởng lợi nhuận sau thuế (QoQ)*",Sheet4!$1:$1,2)),"")</f>
        <v>-0.50800000000000001</v>
      </c>
    </row>
    <row r="499" spans="1:18" x14ac:dyDescent="0.25">
      <c r="A499" s="7">
        <f>Sheet4!A478</f>
        <v>477</v>
      </c>
      <c r="B499" t="str">
        <f>Sheet4!B478</f>
        <v>D11</v>
      </c>
      <c r="C499" t="str">
        <f>Sheet4!C477</f>
        <v>Constrexim số 8</v>
      </c>
      <c r="D499" t="str">
        <f>Sheet4!D478</f>
        <v>HNX</v>
      </c>
      <c r="E499" s="7">
        <f>Sheet4!AH478/1000000000</f>
        <v>99.4433176</v>
      </c>
      <c r="F499" t="str">
        <f>Sheet4!E478</f>
        <v>Tài chính</v>
      </c>
      <c r="G499" t="str">
        <f>Sheet4!F478</f>
        <v>Bất động sản</v>
      </c>
      <c r="H499" t="str">
        <f>Sheet4!G478</f>
        <v>Bất động sản</v>
      </c>
      <c r="I499" s="9" cm="1">
        <f t="array" ref="I49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33.222686142000001</v>
      </c>
      <c r="J499" s="9" cm="1">
        <f t="array" ref="J49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53.734558792000001</v>
      </c>
      <c r="K499" s="10" cm="1">
        <f t="array" ref="K49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0.15570000000000001</v>
      </c>
      <c r="L499" s="10" cm="1">
        <f t="array" ref="L49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2.75E-2</v>
      </c>
      <c r="M499" s="9" cm="1">
        <f t="array" ref="M499">_xlfn.LET(_xlpm.val,IFERROR(INDEX(Sheet4!$2:$1605,MATCH(ChiTietKQKD[[#This Row],[Mã CP]],Sheet4!$B$2:$B$1605,0),_xlfn.XMATCH("*Lợi nhuận sau thuế*Q2*2026*",Sheet4!$1:$1,2)),0),IF(OR(_xlpm.val="",_xlpm.val=0),"",_xlpm.val/1000000000))</f>
        <v>1.531408374</v>
      </c>
      <c r="N499" s="9" cm="1">
        <f t="array" ref="N499">_xlfn.LET(_xlpm.val,IFERROR(INDEX(Sheet4!$2:$1605,MATCH(ChiTietKQKD[[#This Row],[Mã CP]],Sheet4!$B$2:$B$1605,0),_xlfn.XMATCH("*Lợi nhuận sau thuế*6 tháng*2026*",Sheet4!$1:$1,2)),0),IF(OR(_xlpm.val="",_xlpm.val=0),"",_xlpm.val/1000000000))</f>
        <v>2.7974960379999998</v>
      </c>
      <c r="O499" s="10" cm="1">
        <f t="array" ref="O499">IFERROR(INDEX(Sheet4!$2:$1605,MATCH(ChiTietKQKD[[#This Row],[Mã CP]],Sheet4!$B$2:$B$1605,0),_xlfn.XMATCH("*Tăng trưởng lợi nhuận sau thuế (YoY) (Quý*",Sheet4!$1:$1,2)),"")</f>
        <v>1.9489000000000001</v>
      </c>
      <c r="P499" s="10" cm="1">
        <f t="array" ref="P499">IFERROR(INDEX(Sheet4!$2:$1605,MATCH(ChiTietKQKD[[#This Row],[Mã CP]],Sheet4!$B$2:$B$1605,0),_xlfn.XMATCH("*Tăng trưởng lợi nhuận sau thuế (YoY) (6M)*",Sheet4!$1:$1,2)),"")</f>
        <v>-0.1124</v>
      </c>
      <c r="Q499" s="10" cm="1">
        <f t="array" ref="Q499">IFERROR(INDEX(Sheet4!$2:$1605,MATCH(ChiTietKQKD[[#This Row],[Mã CP]],Sheet4!$B$2:$B$1605,0),_xlfn.XMATCH("*Tăng trưởng doanh thu thuần (QoQ)*",Sheet4!$1:$1,2)),"")</f>
        <v>0.61970000000000003</v>
      </c>
      <c r="R499" s="10" cm="1">
        <f t="array" ref="R499">IFERROR(INDEX(Sheet4!$2:$1605,MATCH(ChiTietKQKD[[#This Row],[Mã CP]],Sheet4!$B$2:$B$1605,0),_xlfn.XMATCH("*Tăng trưởng lợi nhuận sau thuế (QoQ)*",Sheet4!$1:$1,2)),"")</f>
        <v>0.20960000000000001</v>
      </c>
    </row>
    <row r="500" spans="1:18" x14ac:dyDescent="0.25">
      <c r="A500" s="7">
        <f>Sheet4!A479</f>
        <v>478</v>
      </c>
      <c r="B500" t="str">
        <f>Sheet4!B479</f>
        <v>DAD</v>
      </c>
      <c r="C500" t="str">
        <f>Sheet4!C478</f>
        <v>Địa ốc 11</v>
      </c>
      <c r="D500" t="str">
        <f>Sheet4!D479</f>
        <v>HNX</v>
      </c>
      <c r="E500" s="7">
        <f>Sheet4!AH479/1000000000</f>
        <v>69.888000000000005</v>
      </c>
      <c r="F500" t="str">
        <f>Sheet4!E479</f>
        <v>Dịch vụ Tiêu dùng</v>
      </c>
      <c r="G500" t="str">
        <f>Sheet4!F479</f>
        <v>Truyền thông</v>
      </c>
      <c r="H500" t="str">
        <f>Sheet4!G479</f>
        <v>Sách, ấn bản &amp; sản phẩm văn hóa</v>
      </c>
      <c r="I500" s="9" cm="1">
        <f t="array" ref="I50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252.45785693299999</v>
      </c>
      <c r="J500" s="9" cm="1">
        <f t="array" ref="J50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260.27433516999997</v>
      </c>
      <c r="K500" s="10" cm="1">
        <f t="array" ref="K50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-5.8900000000000001E-2</v>
      </c>
      <c r="L500" s="10" cm="1">
        <f t="array" ref="L50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00" s="9" cm="1">
        <f t="array" ref="M500">_xlfn.LET(_xlpm.val,IFERROR(INDEX(Sheet4!$2:$1605,MATCH(ChiTietKQKD[[#This Row],[Mã CP]],Sheet4!$B$2:$B$1605,0),_xlfn.XMATCH("*Lợi nhuận sau thuế*Q2*2026*",Sheet4!$1:$1,2)),0),IF(OR(_xlpm.val="",_xlpm.val=0),"",_xlpm.val/1000000000))</f>
        <v>2.6303885180000002</v>
      </c>
      <c r="N500" s="9" cm="1">
        <f t="array" ref="N500">_xlfn.LET(_xlpm.val,IFERROR(INDEX(Sheet4!$2:$1605,MATCH(ChiTietKQKD[[#This Row],[Mã CP]],Sheet4!$B$2:$B$1605,0),_xlfn.XMATCH("*Lợi nhuận sau thuế*6 tháng*2026*",Sheet4!$1:$1,2)),0),IF(OR(_xlpm.val="",_xlpm.val=0),"",_xlpm.val/1000000000))</f>
        <v>2.717285773</v>
      </c>
      <c r="O500" s="10" cm="1">
        <f t="array" ref="O500">IFERROR(INDEX(Sheet4!$2:$1605,MATCH(ChiTietKQKD[[#This Row],[Mã CP]],Sheet4!$B$2:$B$1605,0),_xlfn.XMATCH("*Tăng trưởng lợi nhuận sau thuế (YoY) (Quý*",Sheet4!$1:$1,2)),"")</f>
        <v>-0.66290000000000004</v>
      </c>
      <c r="P500" s="10" cm="1">
        <f t="array" ref="P500">IFERROR(INDEX(Sheet4!$2:$1605,MATCH(ChiTietKQKD[[#This Row],[Mã CP]],Sheet4!$B$2:$B$1605,0),_xlfn.XMATCH("*Tăng trưởng lợi nhuận sau thuế (YoY) (6M)*",Sheet4!$1:$1,2)),"")</f>
        <v>0</v>
      </c>
      <c r="Q500" s="10" cm="1">
        <f t="array" ref="Q500">IFERROR(INDEX(Sheet4!$2:$1605,MATCH(ChiTietKQKD[[#This Row],[Mã CP]],Sheet4!$B$2:$B$1605,0),_xlfn.XMATCH("*Tăng trưởng doanh thu thuần (QoQ)*",Sheet4!$1:$1,2)),"")</f>
        <v>31.298200000000001</v>
      </c>
      <c r="R500" s="10" cm="1">
        <f t="array" ref="R500">IFERROR(INDEX(Sheet4!$2:$1605,MATCH(ChiTietKQKD[[#This Row],[Mã CP]],Sheet4!$B$2:$B$1605,0),_xlfn.XMATCH("*Tăng trưởng lợi nhuận sau thuế (QoQ)*",Sheet4!$1:$1,2)),"")</f>
        <v>29.270099999999999</v>
      </c>
    </row>
    <row r="501" spans="1:18" x14ac:dyDescent="0.25">
      <c r="A501" s="7">
        <f>Sheet4!A480</f>
        <v>479</v>
      </c>
      <c r="B501" t="str">
        <f>Sheet4!B480</f>
        <v>DAE</v>
      </c>
      <c r="C501" t="str">
        <f>Sheet4!C479</f>
        <v>Phát triển GD Đà Nẵng</v>
      </c>
      <c r="D501" t="str">
        <f>Sheet4!D480</f>
        <v>HNX</v>
      </c>
      <c r="E501" s="7">
        <f>Sheet4!AH480/1000000000</f>
        <v>27.922041</v>
      </c>
      <c r="F501" t="str">
        <f>Sheet4!E480</f>
        <v>Dịch vụ Tiêu dùng</v>
      </c>
      <c r="G501" t="str">
        <f>Sheet4!F480</f>
        <v>Truyền thông</v>
      </c>
      <c r="H501" t="str">
        <f>Sheet4!G480</f>
        <v>Sách, ấn bản &amp; sản phẩm văn hóa</v>
      </c>
      <c r="I501" s="9" cm="1">
        <f t="array" ref="I50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24.148520948000002</v>
      </c>
      <c r="J501" s="9" cm="1">
        <f t="array" ref="J50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33.137354807999998</v>
      </c>
      <c r="K501" s="10" cm="1">
        <f t="array" ref="K50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8.8000000000000005E-3</v>
      </c>
      <c r="L501" s="10" cm="1">
        <f t="array" ref="L50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-9.8299999999999998E-2</v>
      </c>
      <c r="M501" s="9" cm="1">
        <f t="array" ref="M501">_xlfn.LET(_xlpm.val,IFERROR(INDEX(Sheet4!$2:$1605,MATCH(ChiTietKQKD[[#This Row],[Mã CP]],Sheet4!$B$2:$B$1605,0),_xlfn.XMATCH("*Lợi nhuận sau thuế*Q2*2026*",Sheet4!$1:$1,2)),0),IF(OR(_xlpm.val="",_xlpm.val=0),"",_xlpm.val/1000000000))</f>
        <v>1.3552560570000001</v>
      </c>
      <c r="N501" s="9" cm="1">
        <f t="array" ref="N501">_xlfn.LET(_xlpm.val,IFERROR(INDEX(Sheet4!$2:$1605,MATCH(ChiTietKQKD[[#This Row],[Mã CP]],Sheet4!$B$2:$B$1605,0),_xlfn.XMATCH("*Lợi nhuận sau thuế*6 tháng*2026*",Sheet4!$1:$1,2)),0),IF(OR(_xlpm.val="",_xlpm.val=0),"",_xlpm.val/1000000000))</f>
        <v>1.7525869000000001</v>
      </c>
      <c r="O501" s="10" cm="1">
        <f t="array" ref="O501">IFERROR(INDEX(Sheet4!$2:$1605,MATCH(ChiTietKQKD[[#This Row],[Mã CP]],Sheet4!$B$2:$B$1605,0),_xlfn.XMATCH("*Tăng trưởng lợi nhuận sau thuế (YoY) (Quý*",Sheet4!$1:$1,2)),"")</f>
        <v>-0.1293</v>
      </c>
      <c r="P501" s="10" cm="1">
        <f t="array" ref="P501">IFERROR(INDEX(Sheet4!$2:$1605,MATCH(ChiTietKQKD[[#This Row],[Mã CP]],Sheet4!$B$2:$B$1605,0),_xlfn.XMATCH("*Tăng trưởng lợi nhuận sau thuế (YoY) (6M)*",Sheet4!$1:$1,2)),"")</f>
        <v>-0.223</v>
      </c>
      <c r="Q501" s="10" cm="1">
        <f t="array" ref="Q501">IFERROR(INDEX(Sheet4!$2:$1605,MATCH(ChiTietKQKD[[#This Row],[Mã CP]],Sheet4!$B$2:$B$1605,0),_xlfn.XMATCH("*Tăng trưởng doanh thu thuần (QoQ)*",Sheet4!$1:$1,2)),"")</f>
        <v>1.6865000000000001</v>
      </c>
      <c r="R501" s="10" cm="1">
        <f t="array" ref="R501">IFERROR(INDEX(Sheet4!$2:$1605,MATCH(ChiTietKQKD[[#This Row],[Mã CP]],Sheet4!$B$2:$B$1605,0),_xlfn.XMATCH("*Tăng trưởng lợi nhuận sau thuế (QoQ)*",Sheet4!$1:$1,2)),"")</f>
        <v>2.4108999999999998</v>
      </c>
    </row>
    <row r="502" spans="1:18" x14ac:dyDescent="0.25">
      <c r="A502" s="7">
        <f>Sheet4!A481</f>
        <v>480</v>
      </c>
      <c r="B502" t="str">
        <f>Sheet4!B481</f>
        <v>DC2</v>
      </c>
      <c r="C502" t="str">
        <f>Sheet4!C480</f>
        <v>Sách Giáo dục Đà Nẵng</v>
      </c>
      <c r="D502" t="str">
        <f>Sheet4!D481</f>
        <v>HNX</v>
      </c>
      <c r="E502" s="7">
        <f>Sheet4!AH481/1000000000</f>
        <v>79.176595599999999</v>
      </c>
      <c r="F502" t="str">
        <f>Sheet4!E481</f>
        <v>Công nghiệp</v>
      </c>
      <c r="G502" t="str">
        <f>Sheet4!F481</f>
        <v>Xây dựng và Vật liệu</v>
      </c>
      <c r="H502" t="str">
        <f>Sheet4!G481</f>
        <v>Xây dựng</v>
      </c>
      <c r="I502" s="9" cm="1">
        <f t="array" ref="I50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80.652635001999997</v>
      </c>
      <c r="J502" s="9" cm="1">
        <f t="array" ref="J50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134.360890329</v>
      </c>
      <c r="K502" s="10" cm="1">
        <f t="array" ref="K50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0.32029999999999997</v>
      </c>
      <c r="L502" s="10" cm="1">
        <f t="array" ref="L50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0.46949999999999997</v>
      </c>
      <c r="M502" s="9" cm="1">
        <f t="array" ref="M502">_xlfn.LET(_xlpm.val,IFERROR(INDEX(Sheet4!$2:$1605,MATCH(ChiTietKQKD[[#This Row],[Mã CP]],Sheet4!$B$2:$B$1605,0),_xlfn.XMATCH("*Lợi nhuận sau thuế*Q2*2026*",Sheet4!$1:$1,2)),0),IF(OR(_xlpm.val="",_xlpm.val=0),"",_xlpm.val/1000000000))</f>
        <v>1.5376574409999999</v>
      </c>
      <c r="N502" s="9" cm="1">
        <f t="array" ref="N502">_xlfn.LET(_xlpm.val,IFERROR(INDEX(Sheet4!$2:$1605,MATCH(ChiTietKQKD[[#This Row],[Mã CP]],Sheet4!$B$2:$B$1605,0),_xlfn.XMATCH("*Lợi nhuận sau thuế*6 tháng*2026*",Sheet4!$1:$1,2)),0),IF(OR(_xlpm.val="",_xlpm.val=0),"",_xlpm.val/1000000000))</f>
        <v>2.2816745100000002</v>
      </c>
      <c r="O502" s="10" cm="1">
        <f t="array" ref="O502">IFERROR(INDEX(Sheet4!$2:$1605,MATCH(ChiTietKQKD[[#This Row],[Mã CP]],Sheet4!$B$2:$B$1605,0),_xlfn.XMATCH("*Tăng trưởng lợi nhuận sau thuế (YoY) (Quý*",Sheet4!$1:$1,2)),"")</f>
        <v>4.65E-2</v>
      </c>
      <c r="P502" s="10" cm="1">
        <f t="array" ref="P502">IFERROR(INDEX(Sheet4!$2:$1605,MATCH(ChiTietKQKD[[#This Row],[Mã CP]],Sheet4!$B$2:$B$1605,0),_xlfn.XMATCH("*Tăng trưởng lợi nhuận sau thuế (YoY) (6M)*",Sheet4!$1:$1,2)),"")</f>
        <v>-0.40339999999999998</v>
      </c>
      <c r="Q502" s="10" cm="1">
        <f t="array" ref="Q502">IFERROR(INDEX(Sheet4!$2:$1605,MATCH(ChiTietKQKD[[#This Row],[Mã CP]],Sheet4!$B$2:$B$1605,0),_xlfn.XMATCH("*Tăng trưởng doanh thu thuần (QoQ)*",Sheet4!$1:$1,2)),"")</f>
        <v>0.50170000000000003</v>
      </c>
      <c r="R502" s="10" cm="1">
        <f t="array" ref="R502">IFERROR(INDEX(Sheet4!$2:$1605,MATCH(ChiTietKQKD[[#This Row],[Mã CP]],Sheet4!$B$2:$B$1605,0),_xlfn.XMATCH("*Tăng trưởng lợi nhuận sau thuế (QoQ)*",Sheet4!$1:$1,2)),"")</f>
        <v>1.0667</v>
      </c>
    </row>
    <row r="503" spans="1:18" x14ac:dyDescent="0.25">
      <c r="A503" s="7">
        <f>Sheet4!A482</f>
        <v>481</v>
      </c>
      <c r="B503" t="str">
        <f>Sheet4!B482</f>
        <v>DHP</v>
      </c>
      <c r="C503" t="str">
        <f>Sheet4!C481</f>
        <v>DIC Số 2</v>
      </c>
      <c r="D503" t="str">
        <f>Sheet4!D482</f>
        <v>HNX</v>
      </c>
      <c r="E503" s="7">
        <f>Sheet4!AH482/1000000000</f>
        <v>98.718879999999999</v>
      </c>
      <c r="F503" t="str">
        <f>Sheet4!E482</f>
        <v>Công nghiệp</v>
      </c>
      <c r="G503" t="str">
        <f>Sheet4!F482</f>
        <v>Hàng &amp; Dịch vụ Công nghiệp</v>
      </c>
      <c r="H503" t="str">
        <f>Sheet4!G482</f>
        <v>Thiết bị điện</v>
      </c>
      <c r="I503" s="9" cm="1">
        <f t="array" ref="I50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90.169032620999999</v>
      </c>
      <c r="J503" s="9" cm="1">
        <f t="array" ref="J50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153.269116935</v>
      </c>
      <c r="K503" s="10" cm="1">
        <f t="array" ref="K50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7.0000000000000007E-2</v>
      </c>
      <c r="L503" s="10" cm="1">
        <f t="array" ref="L50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03" s="9" cm="1">
        <f t="array" ref="M503">_xlfn.LET(_xlpm.val,IFERROR(INDEX(Sheet4!$2:$1605,MATCH(ChiTietKQKD[[#This Row],[Mã CP]],Sheet4!$B$2:$B$1605,0),_xlfn.XMATCH("*Lợi nhuận sau thuế*Q2*2026*",Sheet4!$1:$1,2)),0),IF(OR(_xlpm.val="",_xlpm.val=0),"",_xlpm.val/1000000000))</f>
        <v>4.7066712669999999</v>
      </c>
      <c r="N503" s="9" cm="1">
        <f t="array" ref="N503">_xlfn.LET(_xlpm.val,IFERROR(INDEX(Sheet4!$2:$1605,MATCH(ChiTietKQKD[[#This Row],[Mã CP]],Sheet4!$B$2:$B$1605,0),_xlfn.XMATCH("*Lợi nhuận sau thuế*6 tháng*2026*",Sheet4!$1:$1,2)),0),IF(OR(_xlpm.val="",_xlpm.val=0),"",_xlpm.val/1000000000))</f>
        <v>7.5309604009999997</v>
      </c>
      <c r="O503" s="10" cm="1">
        <f t="array" ref="O503">IFERROR(INDEX(Sheet4!$2:$1605,MATCH(ChiTietKQKD[[#This Row],[Mã CP]],Sheet4!$B$2:$B$1605,0),_xlfn.XMATCH("*Tăng trưởng lợi nhuận sau thuế (YoY) (Quý*",Sheet4!$1:$1,2)),"")</f>
        <v>7.4999999999999997E-3</v>
      </c>
      <c r="P503" s="10" cm="1">
        <f t="array" ref="P503">IFERROR(INDEX(Sheet4!$2:$1605,MATCH(ChiTietKQKD[[#This Row],[Mã CP]],Sheet4!$B$2:$B$1605,0),_xlfn.XMATCH("*Tăng trưởng lợi nhuận sau thuế (YoY) (6M)*",Sheet4!$1:$1,2)),"")</f>
        <v>0</v>
      </c>
      <c r="Q503" s="10" cm="1">
        <f t="array" ref="Q503">IFERROR(INDEX(Sheet4!$2:$1605,MATCH(ChiTietKQKD[[#This Row],[Mã CP]],Sheet4!$B$2:$B$1605,0),_xlfn.XMATCH("*Tăng trưởng doanh thu thuần (QoQ)*",Sheet4!$1:$1,2)),"")</f>
        <v>0.42899999999999999</v>
      </c>
      <c r="R503" s="10" cm="1">
        <f t="array" ref="R503">IFERROR(INDEX(Sheet4!$2:$1605,MATCH(ChiTietKQKD[[#This Row],[Mã CP]],Sheet4!$B$2:$B$1605,0),_xlfn.XMATCH("*Tăng trưởng lợi nhuận sau thuế (QoQ)*",Sheet4!$1:$1,2)),"")</f>
        <v>0.66649999999999998</v>
      </c>
    </row>
    <row r="504" spans="1:18" x14ac:dyDescent="0.25">
      <c r="A504" s="7">
        <f>Sheet4!A483</f>
        <v>482</v>
      </c>
      <c r="B504" t="str">
        <f>Sheet4!B483</f>
        <v>DHT</v>
      </c>
      <c r="C504" t="str">
        <f>Sheet4!C482</f>
        <v>Điện cơ Hải Phòng</v>
      </c>
      <c r="D504" t="str">
        <f>Sheet4!D483</f>
        <v>HNX</v>
      </c>
      <c r="E504" s="7">
        <f>Sheet4!AH483/1000000000</f>
        <v>5371.0404533999999</v>
      </c>
      <c r="F504" t="str">
        <f>Sheet4!E483</f>
        <v>Dược phẩm và Y tế</v>
      </c>
      <c r="G504" t="str">
        <f>Sheet4!F483</f>
        <v>Y tế</v>
      </c>
      <c r="H504" t="str">
        <f>Sheet4!G483</f>
        <v>Dược phẩm</v>
      </c>
      <c r="I504" s="9" t="str" cm="1">
        <f t="array" ref="I50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04" s="9" t="str" cm="1">
        <f t="array" ref="J50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04" s="10" cm="1">
        <f t="array" ref="K50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04" s="10" cm="1">
        <f t="array" ref="L50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04" s="9" t="str" cm="1">
        <f t="array" ref="M50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04" s="9" t="str" cm="1">
        <f t="array" ref="N50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04" s="10" cm="1">
        <f t="array" ref="O504">IFERROR(INDEX(Sheet4!$2:$1605,MATCH(ChiTietKQKD[[#This Row],[Mã CP]],Sheet4!$B$2:$B$1605,0),_xlfn.XMATCH("*Tăng trưởng lợi nhuận sau thuế (YoY) (Quý*",Sheet4!$1:$1,2)),"")</f>
        <v>0</v>
      </c>
      <c r="P504" s="10" cm="1">
        <f t="array" ref="P504">IFERROR(INDEX(Sheet4!$2:$1605,MATCH(ChiTietKQKD[[#This Row],[Mã CP]],Sheet4!$B$2:$B$1605,0),_xlfn.XMATCH("*Tăng trưởng lợi nhuận sau thuế (YoY) (6M)*",Sheet4!$1:$1,2)),"")</f>
        <v>0</v>
      </c>
      <c r="Q504" s="10" cm="1">
        <f t="array" ref="Q504">IFERROR(INDEX(Sheet4!$2:$1605,MATCH(ChiTietKQKD[[#This Row],[Mã CP]],Sheet4!$B$2:$B$1605,0),_xlfn.XMATCH("*Tăng trưởng doanh thu thuần (QoQ)*",Sheet4!$1:$1,2)),"")</f>
        <v>0</v>
      </c>
      <c r="R504" s="10" cm="1">
        <f t="array" ref="R504">IFERROR(INDEX(Sheet4!$2:$1605,MATCH(ChiTietKQKD[[#This Row],[Mã CP]],Sheet4!$B$2:$B$1605,0),_xlfn.XMATCH("*Tăng trưởng lợi nhuận sau thuế (QoQ)*",Sheet4!$1:$1,2)),"")</f>
        <v>0</v>
      </c>
    </row>
    <row r="505" spans="1:18" x14ac:dyDescent="0.25">
      <c r="A505" s="7">
        <f>Sheet4!A484</f>
        <v>483</v>
      </c>
      <c r="B505" t="str">
        <f>Sheet4!B484</f>
        <v>DIH</v>
      </c>
      <c r="C505" t="str">
        <f>Sheet4!C483</f>
        <v>Dược phẩm Hà Tây</v>
      </c>
      <c r="D505" t="str">
        <f>Sheet4!D484</f>
        <v>HNX</v>
      </c>
      <c r="E505" s="7">
        <f>Sheet4!AH484/1000000000</f>
        <v>60.254008399999996</v>
      </c>
      <c r="F505" t="str">
        <f>Sheet4!E484</f>
        <v>Công nghiệp</v>
      </c>
      <c r="G505" t="str">
        <f>Sheet4!F484</f>
        <v>Xây dựng và Vật liệu</v>
      </c>
      <c r="H505" t="str">
        <f>Sheet4!G484</f>
        <v>Xây dựng</v>
      </c>
      <c r="I505" s="9" cm="1">
        <f t="array" ref="I50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53.178206019999998</v>
      </c>
      <c r="J505" s="9" t="str" cm="1">
        <f t="array" ref="J50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05" s="10" cm="1">
        <f t="array" ref="K50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4.4806999999999997</v>
      </c>
      <c r="L505" s="10" cm="1">
        <f t="array" ref="L50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05" s="9" cm="1">
        <f t="array" ref="M505">_xlfn.LET(_xlpm.val,IFERROR(INDEX(Sheet4!$2:$1605,MATCH(ChiTietKQKD[[#This Row],[Mã CP]],Sheet4!$B$2:$B$1605,0),_xlfn.XMATCH("*Lợi nhuận sau thuế*Q2*2026*",Sheet4!$1:$1,2)),0),IF(OR(_xlpm.val="",_xlpm.val=0),"",_xlpm.val/1000000000))</f>
        <v>5.5056106739999997</v>
      </c>
      <c r="N505" s="9" t="str" cm="1">
        <f t="array" ref="N50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05" s="10" cm="1">
        <f t="array" ref="O505">IFERROR(INDEX(Sheet4!$2:$1605,MATCH(ChiTietKQKD[[#This Row],[Mã CP]],Sheet4!$B$2:$B$1605,0),_xlfn.XMATCH("*Tăng trưởng lợi nhuận sau thuế (YoY) (Quý*",Sheet4!$1:$1,2)),"")</f>
        <v>11.488</v>
      </c>
      <c r="P505" s="10" cm="1">
        <f t="array" ref="P505">IFERROR(INDEX(Sheet4!$2:$1605,MATCH(ChiTietKQKD[[#This Row],[Mã CP]],Sheet4!$B$2:$B$1605,0),_xlfn.XMATCH("*Tăng trưởng lợi nhuận sau thuế (YoY) (6M)*",Sheet4!$1:$1,2)),"")</f>
        <v>0</v>
      </c>
      <c r="Q505" s="10" cm="1">
        <f t="array" ref="Q505">IFERROR(INDEX(Sheet4!$2:$1605,MATCH(ChiTietKQKD[[#This Row],[Mã CP]],Sheet4!$B$2:$B$1605,0),_xlfn.XMATCH("*Tăng trưởng doanh thu thuần (QoQ)*",Sheet4!$1:$1,2)),"")</f>
        <v>-0.30080000000000001</v>
      </c>
      <c r="R505" s="10" cm="1">
        <f t="array" ref="R505">IFERROR(INDEX(Sheet4!$2:$1605,MATCH(ChiTietKQKD[[#This Row],[Mã CP]],Sheet4!$B$2:$B$1605,0),_xlfn.XMATCH("*Tăng trưởng lợi nhuận sau thuế (QoQ)*",Sheet4!$1:$1,2)),"")</f>
        <v>8.9800000000000005E-2</v>
      </c>
    </row>
    <row r="506" spans="1:18" x14ac:dyDescent="0.25">
      <c r="A506" s="7">
        <f>Sheet4!A485</f>
        <v>484</v>
      </c>
      <c r="B506" t="str">
        <f>Sheet4!B485</f>
        <v>DL1</v>
      </c>
      <c r="C506" t="str">
        <f>Sheet4!C484</f>
        <v>PT Xây dựng Hội An</v>
      </c>
      <c r="D506" t="str">
        <f>Sheet4!D485</f>
        <v>HNX</v>
      </c>
      <c r="E506" s="7">
        <f>Sheet4!AH485/1000000000</f>
        <v>812.70174150000003</v>
      </c>
      <c r="F506" t="str">
        <f>Sheet4!E485</f>
        <v>Công nghiệp</v>
      </c>
      <c r="G506" t="str">
        <f>Sheet4!F485</f>
        <v>Hàng &amp; Dịch vụ Công nghiệp</v>
      </c>
      <c r="H506" t="str">
        <f>Sheet4!G485</f>
        <v>Kho bãi, hậu cần và bảo dưỡng</v>
      </c>
      <c r="I506" s="9" t="str" cm="1">
        <f t="array" ref="I50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06" s="9" t="str" cm="1">
        <f t="array" ref="J50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06" s="10" cm="1">
        <f t="array" ref="K50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06" s="10" cm="1">
        <f t="array" ref="L50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06" s="9" t="str" cm="1">
        <f t="array" ref="M50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06" s="9" t="str" cm="1">
        <f t="array" ref="N50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06" s="10" cm="1">
        <f t="array" ref="O506">IFERROR(INDEX(Sheet4!$2:$1605,MATCH(ChiTietKQKD[[#This Row],[Mã CP]],Sheet4!$B$2:$B$1605,0),_xlfn.XMATCH("*Tăng trưởng lợi nhuận sau thuế (YoY) (Quý*",Sheet4!$1:$1,2)),"")</f>
        <v>0</v>
      </c>
      <c r="P506" s="10" cm="1">
        <f t="array" ref="P506">IFERROR(INDEX(Sheet4!$2:$1605,MATCH(ChiTietKQKD[[#This Row],[Mã CP]],Sheet4!$B$2:$B$1605,0),_xlfn.XMATCH("*Tăng trưởng lợi nhuận sau thuế (YoY) (6M)*",Sheet4!$1:$1,2)),"")</f>
        <v>0</v>
      </c>
      <c r="Q506" s="10" cm="1">
        <f t="array" ref="Q506">IFERROR(INDEX(Sheet4!$2:$1605,MATCH(ChiTietKQKD[[#This Row],[Mã CP]],Sheet4!$B$2:$B$1605,0),_xlfn.XMATCH("*Tăng trưởng doanh thu thuần (QoQ)*",Sheet4!$1:$1,2)),"")</f>
        <v>0</v>
      </c>
      <c r="R506" s="10" cm="1">
        <f t="array" ref="R506">IFERROR(INDEX(Sheet4!$2:$1605,MATCH(ChiTietKQKD[[#This Row],[Mã CP]],Sheet4!$B$2:$B$1605,0),_xlfn.XMATCH("*Tăng trưởng lợi nhuận sau thuế (QoQ)*",Sheet4!$1:$1,2)),"")</f>
        <v>0</v>
      </c>
    </row>
    <row r="507" spans="1:18" x14ac:dyDescent="0.25">
      <c r="A507" s="7">
        <f>Sheet4!A486</f>
        <v>485</v>
      </c>
      <c r="B507" t="str">
        <f>Sheet4!B486</f>
        <v>DNC</v>
      </c>
      <c r="C507" t="str">
        <f>Sheet4!C485</f>
        <v>Tập đoàn Alpha 7</v>
      </c>
      <c r="D507" t="str">
        <f>Sheet4!D486</f>
        <v>HNX</v>
      </c>
      <c r="E507" s="7">
        <f>Sheet4!AH486/1000000000</f>
        <v>501.73405000000002</v>
      </c>
      <c r="F507" t="str">
        <f>Sheet4!E486</f>
        <v>Tiện ích Cộng đồng</v>
      </c>
      <c r="G507" t="str">
        <f>Sheet4!F486</f>
        <v>Điện, nước &amp; xăng dầu khí đốt</v>
      </c>
      <c r="H507" t="str">
        <f>Sheet4!G486</f>
        <v>Sản xuất &amp; Phân phối Điện</v>
      </c>
      <c r="I507" s="9" cm="1">
        <f t="array" ref="I50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373.43883695400001</v>
      </c>
      <c r="J507" s="9" cm="1">
        <f t="array" ref="J50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618.93590305199996</v>
      </c>
      <c r="K507" s="10" cm="1">
        <f t="array" ref="K50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0.28089999999999998</v>
      </c>
      <c r="L507" s="10" cm="1">
        <f t="array" ref="L50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07" s="9" cm="1">
        <f t="array" ref="M507">_xlfn.LET(_xlpm.val,IFERROR(INDEX(Sheet4!$2:$1605,MATCH(ChiTietKQKD[[#This Row],[Mã CP]],Sheet4!$B$2:$B$1605,0),_xlfn.XMATCH("*Lợi nhuận sau thuế*Q2*2026*",Sheet4!$1:$1,2)),0),IF(OR(_xlpm.val="",_xlpm.val=0),"",_xlpm.val/1000000000))</f>
        <v>14.267140913</v>
      </c>
      <c r="N507" s="9" cm="1">
        <f t="array" ref="N507">_xlfn.LET(_xlpm.val,IFERROR(INDEX(Sheet4!$2:$1605,MATCH(ChiTietKQKD[[#This Row],[Mã CP]],Sheet4!$B$2:$B$1605,0),_xlfn.XMATCH("*Lợi nhuận sau thuế*6 tháng*2026*",Sheet4!$1:$1,2)),0),IF(OR(_xlpm.val="",_xlpm.val=0),"",_xlpm.val/1000000000))</f>
        <v>22.279148039999999</v>
      </c>
      <c r="O507" s="10" cm="1">
        <f t="array" ref="O507">IFERROR(INDEX(Sheet4!$2:$1605,MATCH(ChiTietKQKD[[#This Row],[Mã CP]],Sheet4!$B$2:$B$1605,0),_xlfn.XMATCH("*Tăng trưởng lợi nhuận sau thuế (YoY) (Quý*",Sheet4!$1:$1,2)),"")</f>
        <v>0.1152</v>
      </c>
      <c r="P507" s="10" cm="1">
        <f t="array" ref="P507">IFERROR(INDEX(Sheet4!$2:$1605,MATCH(ChiTietKQKD[[#This Row],[Mã CP]],Sheet4!$B$2:$B$1605,0),_xlfn.XMATCH("*Tăng trưởng lợi nhuận sau thuế (YoY) (6M)*",Sheet4!$1:$1,2)),"")</f>
        <v>0</v>
      </c>
      <c r="Q507" s="10" cm="1">
        <f t="array" ref="Q507">IFERROR(INDEX(Sheet4!$2:$1605,MATCH(ChiTietKQKD[[#This Row],[Mã CP]],Sheet4!$B$2:$B$1605,0),_xlfn.XMATCH("*Tăng trưởng doanh thu thuần (QoQ)*",Sheet4!$1:$1,2)),"")</f>
        <v>0.5212</v>
      </c>
      <c r="R507" s="10" cm="1">
        <f t="array" ref="R507">IFERROR(INDEX(Sheet4!$2:$1605,MATCH(ChiTietKQKD[[#This Row],[Mã CP]],Sheet4!$B$2:$B$1605,0),_xlfn.XMATCH("*Tăng trưởng lợi nhuận sau thuế (QoQ)*",Sheet4!$1:$1,2)),"")</f>
        <v>0.78069999999999995</v>
      </c>
    </row>
    <row r="508" spans="1:18" x14ac:dyDescent="0.25">
      <c r="A508" s="7">
        <f>Sheet4!A487</f>
        <v>486</v>
      </c>
      <c r="B508" t="str">
        <f>Sheet4!B487</f>
        <v>DNP</v>
      </c>
      <c r="C508" t="str">
        <f>Sheet4!C486</f>
        <v>Điện nước Hải Phòng</v>
      </c>
      <c r="D508" t="str">
        <f>Sheet4!D487</f>
        <v>HNX</v>
      </c>
      <c r="E508" s="7">
        <f>Sheet4!AH487/1000000000</f>
        <v>2960.286756</v>
      </c>
      <c r="F508" t="str">
        <f>Sheet4!E487</f>
        <v>Công nghiệp</v>
      </c>
      <c r="G508" t="str">
        <f>Sheet4!F487</f>
        <v>Xây dựng và Vật liệu</v>
      </c>
      <c r="H508" t="str">
        <f>Sheet4!G487</f>
        <v>Vật liệu xây dựng &amp; Nội thất</v>
      </c>
      <c r="I508" s="9" t="str" cm="1">
        <f t="array" ref="I50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08" s="9" t="str" cm="1">
        <f t="array" ref="J50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08" s="10" cm="1">
        <f t="array" ref="K50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08" s="10" cm="1">
        <f t="array" ref="L50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08" s="9" t="str" cm="1">
        <f t="array" ref="M50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08" s="9" t="str" cm="1">
        <f t="array" ref="N50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08" s="10" cm="1">
        <f t="array" ref="O508">IFERROR(INDEX(Sheet4!$2:$1605,MATCH(ChiTietKQKD[[#This Row],[Mã CP]],Sheet4!$B$2:$B$1605,0),_xlfn.XMATCH("*Tăng trưởng lợi nhuận sau thuế (YoY) (Quý*",Sheet4!$1:$1,2)),"")</f>
        <v>0</v>
      </c>
      <c r="P508" s="10" cm="1">
        <f t="array" ref="P508">IFERROR(INDEX(Sheet4!$2:$1605,MATCH(ChiTietKQKD[[#This Row],[Mã CP]],Sheet4!$B$2:$B$1605,0),_xlfn.XMATCH("*Tăng trưởng lợi nhuận sau thuế (YoY) (6M)*",Sheet4!$1:$1,2)),"")</f>
        <v>0</v>
      </c>
      <c r="Q508" s="10" cm="1">
        <f t="array" ref="Q508">IFERROR(INDEX(Sheet4!$2:$1605,MATCH(ChiTietKQKD[[#This Row],[Mã CP]],Sheet4!$B$2:$B$1605,0),_xlfn.XMATCH("*Tăng trưởng doanh thu thuần (QoQ)*",Sheet4!$1:$1,2)),"")</f>
        <v>0</v>
      </c>
      <c r="R508" s="10" cm="1">
        <f t="array" ref="R508">IFERROR(INDEX(Sheet4!$2:$1605,MATCH(ChiTietKQKD[[#This Row],[Mã CP]],Sheet4!$B$2:$B$1605,0),_xlfn.XMATCH("*Tăng trưởng lợi nhuận sau thuế (QoQ)*",Sheet4!$1:$1,2)),"")</f>
        <v>0</v>
      </c>
    </row>
    <row r="509" spans="1:18" x14ac:dyDescent="0.25">
      <c r="A509" s="7">
        <f>Sheet4!A488</f>
        <v>487</v>
      </c>
      <c r="B509" t="str">
        <f>Sheet4!B488</f>
        <v>DP3</v>
      </c>
      <c r="C509" t="str">
        <f>Sheet4!C487</f>
        <v>DNP Holding</v>
      </c>
      <c r="D509" t="str">
        <f>Sheet4!D488</f>
        <v>HNX</v>
      </c>
      <c r="E509" s="7">
        <f>Sheet4!AH488/1000000000</f>
        <v>1313.6459063</v>
      </c>
      <c r="F509" t="str">
        <f>Sheet4!E488</f>
        <v>Dược phẩm và Y tế</v>
      </c>
      <c r="G509" t="str">
        <f>Sheet4!F488</f>
        <v>Y tế</v>
      </c>
      <c r="H509" t="str">
        <f>Sheet4!G488</f>
        <v>Dược phẩm</v>
      </c>
      <c r="I509" s="9" t="str" cm="1">
        <f t="array" ref="I50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09" s="9" t="str" cm="1">
        <f t="array" ref="J50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09" s="10" cm="1">
        <f t="array" ref="K50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09" s="10" cm="1">
        <f t="array" ref="L50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09" s="9" t="str" cm="1">
        <f t="array" ref="M50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09" s="9" t="str" cm="1">
        <f t="array" ref="N50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09" s="10" cm="1">
        <f t="array" ref="O509">IFERROR(INDEX(Sheet4!$2:$1605,MATCH(ChiTietKQKD[[#This Row],[Mã CP]],Sheet4!$B$2:$B$1605,0),_xlfn.XMATCH("*Tăng trưởng lợi nhuận sau thuế (YoY) (Quý*",Sheet4!$1:$1,2)),"")</f>
        <v>0</v>
      </c>
      <c r="P509" s="10" cm="1">
        <f t="array" ref="P509">IFERROR(INDEX(Sheet4!$2:$1605,MATCH(ChiTietKQKD[[#This Row],[Mã CP]],Sheet4!$B$2:$B$1605,0),_xlfn.XMATCH("*Tăng trưởng lợi nhuận sau thuế (YoY) (6M)*",Sheet4!$1:$1,2)),"")</f>
        <v>0</v>
      </c>
      <c r="Q509" s="10" cm="1">
        <f t="array" ref="Q509">IFERROR(INDEX(Sheet4!$2:$1605,MATCH(ChiTietKQKD[[#This Row],[Mã CP]],Sheet4!$B$2:$B$1605,0),_xlfn.XMATCH("*Tăng trưởng doanh thu thuần (QoQ)*",Sheet4!$1:$1,2)),"")</f>
        <v>0</v>
      </c>
      <c r="R509" s="10" cm="1">
        <f t="array" ref="R509">IFERROR(INDEX(Sheet4!$2:$1605,MATCH(ChiTietKQKD[[#This Row],[Mã CP]],Sheet4!$B$2:$B$1605,0),_xlfn.XMATCH("*Tăng trưởng lợi nhuận sau thuế (QoQ)*",Sheet4!$1:$1,2)),"")</f>
        <v>0</v>
      </c>
    </row>
    <row r="510" spans="1:18" x14ac:dyDescent="0.25">
      <c r="A510" s="7">
        <f>Sheet4!A489</f>
        <v>488</v>
      </c>
      <c r="B510" t="str">
        <f>Sheet4!B489</f>
        <v>DS3</v>
      </c>
      <c r="C510" t="str">
        <f>Sheet4!C488</f>
        <v>Dược Phẩm TW3</v>
      </c>
      <c r="D510" t="str">
        <f>Sheet4!D489</f>
        <v>HNX</v>
      </c>
      <c r="E510" s="7">
        <f>Sheet4!AH489/1000000000</f>
        <v>48.013784999999999</v>
      </c>
      <c r="F510" t="str">
        <f>Sheet4!E489</f>
        <v>Công nghiệp</v>
      </c>
      <c r="G510" t="str">
        <f>Sheet4!F489</f>
        <v>Hàng &amp; Dịch vụ Công nghiệp</v>
      </c>
      <c r="H510" t="str">
        <f>Sheet4!G489</f>
        <v>Kho bãi, hậu cần và bảo dưỡng</v>
      </c>
      <c r="I510" s="9" t="str" cm="1">
        <f t="array" ref="I51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10" s="9" t="str" cm="1">
        <f t="array" ref="J51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10" s="10" cm="1">
        <f t="array" ref="K51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10" s="10" cm="1">
        <f t="array" ref="L51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10" s="9" t="str" cm="1">
        <f t="array" ref="M51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10" s="9" t="str" cm="1">
        <f t="array" ref="N51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10" s="10" cm="1">
        <f t="array" ref="O510">IFERROR(INDEX(Sheet4!$2:$1605,MATCH(ChiTietKQKD[[#This Row],[Mã CP]],Sheet4!$B$2:$B$1605,0),_xlfn.XMATCH("*Tăng trưởng lợi nhuận sau thuế (YoY) (Quý*",Sheet4!$1:$1,2)),"")</f>
        <v>0</v>
      </c>
      <c r="P510" s="10" cm="1">
        <f t="array" ref="P510">IFERROR(INDEX(Sheet4!$2:$1605,MATCH(ChiTietKQKD[[#This Row],[Mã CP]],Sheet4!$B$2:$B$1605,0),_xlfn.XMATCH("*Tăng trưởng lợi nhuận sau thuế (YoY) (6M)*",Sheet4!$1:$1,2)),"")</f>
        <v>0</v>
      </c>
      <c r="Q510" s="10" cm="1">
        <f t="array" ref="Q510">IFERROR(INDEX(Sheet4!$2:$1605,MATCH(ChiTietKQKD[[#This Row],[Mã CP]],Sheet4!$B$2:$B$1605,0),_xlfn.XMATCH("*Tăng trưởng doanh thu thuần (QoQ)*",Sheet4!$1:$1,2)),"")</f>
        <v>0</v>
      </c>
      <c r="R510" s="10" cm="1">
        <f t="array" ref="R510">IFERROR(INDEX(Sheet4!$2:$1605,MATCH(ChiTietKQKD[[#This Row],[Mã CP]],Sheet4!$B$2:$B$1605,0),_xlfn.XMATCH("*Tăng trưởng lợi nhuận sau thuế (QoQ)*",Sheet4!$1:$1,2)),"")</f>
        <v>0</v>
      </c>
    </row>
    <row r="511" spans="1:18" x14ac:dyDescent="0.25">
      <c r="A511" s="7">
        <f>Sheet4!A490</f>
        <v>489</v>
      </c>
      <c r="B511" t="str">
        <f>Sheet4!B490</f>
        <v>DST</v>
      </c>
      <c r="C511" t="str">
        <f>Sheet4!C489</f>
        <v>Quản lý Đường sông số 3</v>
      </c>
      <c r="D511" t="str">
        <f>Sheet4!D490</f>
        <v>HNX</v>
      </c>
      <c r="E511" s="7">
        <f>Sheet4!AH490/1000000000</f>
        <v>306.08049999999997</v>
      </c>
      <c r="F511" t="str">
        <f>Sheet4!E490</f>
        <v>Dịch vụ Tiêu dùng</v>
      </c>
      <c r="G511" t="str">
        <f>Sheet4!F490</f>
        <v>Truyền thông</v>
      </c>
      <c r="H511" t="str">
        <f>Sheet4!G490</f>
        <v>Sách, ấn bản &amp; sản phẩm văn hóa</v>
      </c>
      <c r="I511" s="9" t="str" cm="1">
        <f t="array" ref="I51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11" s="9" t="str" cm="1">
        <f t="array" ref="J51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11" s="10" cm="1">
        <f t="array" ref="K51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11" s="10" cm="1">
        <f t="array" ref="L51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11" s="9" cm="1">
        <f t="array" ref="M511">_xlfn.LET(_xlpm.val,IFERROR(INDEX(Sheet4!$2:$1605,MATCH(ChiTietKQKD[[#This Row],[Mã CP]],Sheet4!$B$2:$B$1605,0),_xlfn.XMATCH("*Lợi nhuận sau thuế*Q2*2026*",Sheet4!$1:$1,2)),0),IF(OR(_xlpm.val="",_xlpm.val=0),"",_xlpm.val/1000000000))</f>
        <v>1.7530460029999999</v>
      </c>
      <c r="N511" s="9" cm="1">
        <f t="array" ref="N511">_xlfn.LET(_xlpm.val,IFERROR(INDEX(Sheet4!$2:$1605,MATCH(ChiTietKQKD[[#This Row],[Mã CP]],Sheet4!$B$2:$B$1605,0),_xlfn.XMATCH("*Lợi nhuận sau thuế*6 tháng*2026*",Sheet4!$1:$1,2)),0),IF(OR(_xlpm.val="",_xlpm.val=0),"",_xlpm.val/1000000000))</f>
        <v>1.8191693520000001</v>
      </c>
      <c r="O511" s="10" cm="1">
        <f t="array" ref="O511">IFERROR(INDEX(Sheet4!$2:$1605,MATCH(ChiTietKQKD[[#This Row],[Mã CP]],Sheet4!$B$2:$B$1605,0),_xlfn.XMATCH("*Tăng trưởng lợi nhuận sau thuế (YoY) (Quý*",Sheet4!$1:$1,2)),"")</f>
        <v>0.3286</v>
      </c>
      <c r="P511" s="10" cm="1">
        <f t="array" ref="P511">IFERROR(INDEX(Sheet4!$2:$1605,MATCH(ChiTietKQKD[[#This Row],[Mã CP]],Sheet4!$B$2:$B$1605,0),_xlfn.XMATCH("*Tăng trưởng lợi nhuận sau thuế (YoY) (6M)*",Sheet4!$1:$1,2)),"")</f>
        <v>0.37640000000000001</v>
      </c>
      <c r="Q511" s="10" cm="1">
        <f t="array" ref="Q511">IFERROR(INDEX(Sheet4!$2:$1605,MATCH(ChiTietKQKD[[#This Row],[Mã CP]],Sheet4!$B$2:$B$1605,0),_xlfn.XMATCH("*Tăng trưởng doanh thu thuần (QoQ)*",Sheet4!$1:$1,2)),"")</f>
        <v>0</v>
      </c>
      <c r="R511" s="10" cm="1">
        <f t="array" ref="R511">IFERROR(INDEX(Sheet4!$2:$1605,MATCH(ChiTietKQKD[[#This Row],[Mã CP]],Sheet4!$B$2:$B$1605,0),_xlfn.XMATCH("*Tăng trưởng lợi nhuận sau thuế (QoQ)*",Sheet4!$1:$1,2)),"")</f>
        <v>25.511800000000001</v>
      </c>
    </row>
    <row r="512" spans="1:18" x14ac:dyDescent="0.25">
      <c r="A512" s="7">
        <f>Sheet4!A491</f>
        <v>490</v>
      </c>
      <c r="B512" t="str">
        <f>Sheet4!B491</f>
        <v>DTD</v>
      </c>
      <c r="C512" t="str">
        <f>Sheet4!C490</f>
        <v>Đầu tư Sao Thăng Long</v>
      </c>
      <c r="D512" t="str">
        <f>Sheet4!D491</f>
        <v>HNX</v>
      </c>
      <c r="E512" s="7">
        <f>Sheet4!AH491/1000000000</f>
        <v>938.9284864</v>
      </c>
      <c r="F512" t="str">
        <f>Sheet4!E491</f>
        <v>Tài chính</v>
      </c>
      <c r="G512" t="str">
        <f>Sheet4!F491</f>
        <v>Bất động sản</v>
      </c>
      <c r="H512" t="str">
        <f>Sheet4!G491</f>
        <v>Bất động sản</v>
      </c>
      <c r="I512" s="9" t="str" cm="1">
        <f t="array" ref="I51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12" s="9" t="str" cm="1">
        <f t="array" ref="J51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12" s="10" cm="1">
        <f t="array" ref="K51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12" s="10" cm="1">
        <f t="array" ref="L51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12" s="9" t="str" cm="1">
        <f t="array" ref="M51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12" s="9" t="str" cm="1">
        <f t="array" ref="N51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12" s="10" cm="1">
        <f t="array" ref="O512">IFERROR(INDEX(Sheet4!$2:$1605,MATCH(ChiTietKQKD[[#This Row],[Mã CP]],Sheet4!$B$2:$B$1605,0),_xlfn.XMATCH("*Tăng trưởng lợi nhuận sau thuế (YoY) (Quý*",Sheet4!$1:$1,2)),"")</f>
        <v>0</v>
      </c>
      <c r="P512" s="10" cm="1">
        <f t="array" ref="P512">IFERROR(INDEX(Sheet4!$2:$1605,MATCH(ChiTietKQKD[[#This Row],[Mã CP]],Sheet4!$B$2:$B$1605,0),_xlfn.XMATCH("*Tăng trưởng lợi nhuận sau thuế (YoY) (6M)*",Sheet4!$1:$1,2)),"")</f>
        <v>0</v>
      </c>
      <c r="Q512" s="10" cm="1">
        <f t="array" ref="Q512">IFERROR(INDEX(Sheet4!$2:$1605,MATCH(ChiTietKQKD[[#This Row],[Mã CP]],Sheet4!$B$2:$B$1605,0),_xlfn.XMATCH("*Tăng trưởng doanh thu thuần (QoQ)*",Sheet4!$1:$1,2)),"")</f>
        <v>0</v>
      </c>
      <c r="R512" s="10" cm="1">
        <f t="array" ref="R512">IFERROR(INDEX(Sheet4!$2:$1605,MATCH(ChiTietKQKD[[#This Row],[Mã CP]],Sheet4!$B$2:$B$1605,0),_xlfn.XMATCH("*Tăng trưởng lợi nhuận sau thuế (QoQ)*",Sheet4!$1:$1,2)),"")</f>
        <v>0</v>
      </c>
    </row>
    <row r="513" spans="1:18" x14ac:dyDescent="0.25">
      <c r="A513" s="7">
        <f>Sheet4!A492</f>
        <v>491</v>
      </c>
      <c r="B513" t="str">
        <f>Sheet4!B492</f>
        <v>DTG</v>
      </c>
      <c r="C513" t="str">
        <f>Sheet4!C491</f>
        <v>Đầu tư Phát triển Thành Đạt</v>
      </c>
      <c r="D513" t="str">
        <f>Sheet4!D492</f>
        <v>HNX</v>
      </c>
      <c r="E513" s="7">
        <f>Sheet4!AH492/1000000000</f>
        <v>169.05359680000001</v>
      </c>
      <c r="F513" t="str">
        <f>Sheet4!E492</f>
        <v>Dược phẩm và Y tế</v>
      </c>
      <c r="G513" t="str">
        <f>Sheet4!F492</f>
        <v>Y tế</v>
      </c>
      <c r="H513" t="str">
        <f>Sheet4!G492</f>
        <v>Dược phẩm</v>
      </c>
      <c r="I513" s="9" cm="1">
        <f t="array" ref="I51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78.253181577999996</v>
      </c>
      <c r="J513" s="9" cm="1">
        <f t="array" ref="J51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148.932714369</v>
      </c>
      <c r="K513" s="10" cm="1">
        <f t="array" ref="K51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0.18659999999999999</v>
      </c>
      <c r="L513" s="10" cm="1">
        <f t="array" ref="L51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0.19869999999999999</v>
      </c>
      <c r="M513" s="9" cm="1">
        <f t="array" ref="M513">_xlfn.LET(_xlpm.val,IFERROR(INDEX(Sheet4!$2:$1605,MATCH(ChiTietKQKD[[#This Row],[Mã CP]],Sheet4!$B$2:$B$1605,0),_xlfn.XMATCH("*Lợi nhuận sau thuế*Q2*2026*",Sheet4!$1:$1,2)),0),IF(OR(_xlpm.val="",_xlpm.val=0),"",_xlpm.val/1000000000))</f>
        <v>6.99265341</v>
      </c>
      <c r="N513" s="9" cm="1">
        <f t="array" ref="N513">_xlfn.LET(_xlpm.val,IFERROR(INDEX(Sheet4!$2:$1605,MATCH(ChiTietKQKD[[#This Row],[Mã CP]],Sheet4!$B$2:$B$1605,0),_xlfn.XMATCH("*Lợi nhuận sau thuế*6 tháng*2026*",Sheet4!$1:$1,2)),0),IF(OR(_xlpm.val="",_xlpm.val=0),"",_xlpm.val/1000000000))</f>
        <v>13.013617687</v>
      </c>
      <c r="O513" s="10" cm="1">
        <f t="array" ref="O513">IFERROR(INDEX(Sheet4!$2:$1605,MATCH(ChiTietKQKD[[#This Row],[Mã CP]],Sheet4!$B$2:$B$1605,0),_xlfn.XMATCH("*Tăng trưởng lợi nhuận sau thuế (YoY) (Quý*",Sheet4!$1:$1,2)),"")</f>
        <v>23.351199999999999</v>
      </c>
      <c r="P513" s="10" cm="1">
        <f t="array" ref="P513">IFERROR(INDEX(Sheet4!$2:$1605,MATCH(ChiTietKQKD[[#This Row],[Mã CP]],Sheet4!$B$2:$B$1605,0),_xlfn.XMATCH("*Tăng trưởng lợi nhuận sau thuế (YoY) (6M)*",Sheet4!$1:$1,2)),"")</f>
        <v>19.476199999999999</v>
      </c>
      <c r="Q513" s="10" cm="1">
        <f t="array" ref="Q513">IFERROR(INDEX(Sheet4!$2:$1605,MATCH(ChiTietKQKD[[#This Row],[Mã CP]],Sheet4!$B$2:$B$1605,0),_xlfn.XMATCH("*Tăng trưởng doanh thu thuần (QoQ)*",Sheet4!$1:$1,2)),"")</f>
        <v>0.1072</v>
      </c>
      <c r="R513" s="10" cm="1">
        <f t="array" ref="R513">IFERROR(INDEX(Sheet4!$2:$1605,MATCH(ChiTietKQKD[[#This Row],[Mã CP]],Sheet4!$B$2:$B$1605,0),_xlfn.XMATCH("*Tăng trưởng lợi nhuận sau thuế (QoQ)*",Sheet4!$1:$1,2)),"")</f>
        <v>0.16139999999999999</v>
      </c>
    </row>
    <row r="514" spans="1:18" x14ac:dyDescent="0.25">
      <c r="A514" s="7">
        <f>Sheet4!A493</f>
        <v>492</v>
      </c>
      <c r="B514" t="str">
        <f>Sheet4!B493</f>
        <v>DTK</v>
      </c>
      <c r="C514" t="str">
        <f>Sheet4!C492</f>
        <v>Dược phẩm Tipharco</v>
      </c>
      <c r="D514" t="str">
        <f>Sheet4!D493</f>
        <v>HNX</v>
      </c>
      <c r="E514" s="7">
        <f>Sheet4!AH493/1000000000</f>
        <v>7442.1654774999997</v>
      </c>
      <c r="F514" t="str">
        <f>Sheet4!E493</f>
        <v>Tiện ích Cộng đồng</v>
      </c>
      <c r="G514" t="str">
        <f>Sheet4!F493</f>
        <v>Điện, nước &amp; xăng dầu khí đốt</v>
      </c>
      <c r="H514" t="str">
        <f>Sheet4!G493</f>
        <v>Sản xuất &amp; Phân phối Điện</v>
      </c>
      <c r="I514" s="9" t="str" cm="1">
        <f t="array" ref="I51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14" s="9" t="str" cm="1">
        <f t="array" ref="J51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14" s="10" cm="1">
        <f t="array" ref="K51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14" s="10" cm="1">
        <f t="array" ref="L51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14" s="9" t="str" cm="1">
        <f t="array" ref="M51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14" s="9" t="str" cm="1">
        <f t="array" ref="N51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14" s="10" cm="1">
        <f t="array" ref="O514">IFERROR(INDEX(Sheet4!$2:$1605,MATCH(ChiTietKQKD[[#This Row],[Mã CP]],Sheet4!$B$2:$B$1605,0),_xlfn.XMATCH("*Tăng trưởng lợi nhuận sau thuế (YoY) (Quý*",Sheet4!$1:$1,2)),"")</f>
        <v>0</v>
      </c>
      <c r="P514" s="10" cm="1">
        <f t="array" ref="P514">IFERROR(INDEX(Sheet4!$2:$1605,MATCH(ChiTietKQKD[[#This Row],[Mã CP]],Sheet4!$B$2:$B$1605,0),_xlfn.XMATCH("*Tăng trưởng lợi nhuận sau thuế (YoY) (6M)*",Sheet4!$1:$1,2)),"")</f>
        <v>0</v>
      </c>
      <c r="Q514" s="10" cm="1">
        <f t="array" ref="Q514">IFERROR(INDEX(Sheet4!$2:$1605,MATCH(ChiTietKQKD[[#This Row],[Mã CP]],Sheet4!$B$2:$B$1605,0),_xlfn.XMATCH("*Tăng trưởng doanh thu thuần (QoQ)*",Sheet4!$1:$1,2)),"")</f>
        <v>0</v>
      </c>
      <c r="R514" s="10" cm="1">
        <f t="array" ref="R514">IFERROR(INDEX(Sheet4!$2:$1605,MATCH(ChiTietKQKD[[#This Row],[Mã CP]],Sheet4!$B$2:$B$1605,0),_xlfn.XMATCH("*Tăng trưởng lợi nhuận sau thuế (QoQ)*",Sheet4!$1:$1,2)),"")</f>
        <v>0</v>
      </c>
    </row>
    <row r="515" spans="1:18" x14ac:dyDescent="0.25">
      <c r="A515" s="7">
        <f>Sheet4!A494</f>
        <v>493</v>
      </c>
      <c r="B515" t="str">
        <f>Sheet4!B494</f>
        <v>DVM</v>
      </c>
      <c r="C515" t="str">
        <f>Sheet4!C493</f>
        <v>Vinacomin Power</v>
      </c>
      <c r="D515" t="str">
        <f>Sheet4!D494</f>
        <v>HNX</v>
      </c>
      <c r="E515" s="7">
        <f>Sheet4!AH494/1000000000</f>
        <v>258.81782850000002</v>
      </c>
      <c r="F515" t="str">
        <f>Sheet4!E494</f>
        <v>Dược phẩm và Y tế</v>
      </c>
      <c r="G515" t="str">
        <f>Sheet4!F494</f>
        <v>Y tế</v>
      </c>
      <c r="H515" t="str">
        <f>Sheet4!G494</f>
        <v>Dược phẩm</v>
      </c>
      <c r="I515" s="9" t="str" cm="1">
        <f t="array" ref="I51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15" s="9" t="str" cm="1">
        <f t="array" ref="J51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15" s="10" cm="1">
        <f t="array" ref="K51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15" s="10" cm="1">
        <f t="array" ref="L51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15" s="9" t="str" cm="1">
        <f t="array" ref="M51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15" s="9" t="str" cm="1">
        <f t="array" ref="N51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15" s="10" cm="1">
        <f t="array" ref="O515">IFERROR(INDEX(Sheet4!$2:$1605,MATCH(ChiTietKQKD[[#This Row],[Mã CP]],Sheet4!$B$2:$B$1605,0),_xlfn.XMATCH("*Tăng trưởng lợi nhuận sau thuế (YoY) (Quý*",Sheet4!$1:$1,2)),"")</f>
        <v>0</v>
      </c>
      <c r="P515" s="10" cm="1">
        <f t="array" ref="P515">IFERROR(INDEX(Sheet4!$2:$1605,MATCH(ChiTietKQKD[[#This Row],[Mã CP]],Sheet4!$B$2:$B$1605,0),_xlfn.XMATCH("*Tăng trưởng lợi nhuận sau thuế (YoY) (6M)*",Sheet4!$1:$1,2)),"")</f>
        <v>0</v>
      </c>
      <c r="Q515" s="10" cm="1">
        <f t="array" ref="Q515">IFERROR(INDEX(Sheet4!$2:$1605,MATCH(ChiTietKQKD[[#This Row],[Mã CP]],Sheet4!$B$2:$B$1605,0),_xlfn.XMATCH("*Tăng trưởng doanh thu thuần (QoQ)*",Sheet4!$1:$1,2)),"")</f>
        <v>0</v>
      </c>
      <c r="R515" s="10" cm="1">
        <f t="array" ref="R515">IFERROR(INDEX(Sheet4!$2:$1605,MATCH(ChiTietKQKD[[#This Row],[Mã CP]],Sheet4!$B$2:$B$1605,0),_xlfn.XMATCH("*Tăng trưởng lợi nhuận sau thuế (QoQ)*",Sheet4!$1:$1,2)),"")</f>
        <v>0</v>
      </c>
    </row>
    <row r="516" spans="1:18" x14ac:dyDescent="0.25">
      <c r="A516" s="7">
        <f>Sheet4!A495</f>
        <v>494</v>
      </c>
      <c r="B516" t="str">
        <f>Sheet4!B495</f>
        <v>DXP</v>
      </c>
      <c r="C516" t="str">
        <f>Sheet4!C494</f>
        <v>Dược liệu Việt Nam</v>
      </c>
      <c r="D516" t="str">
        <f>Sheet4!D495</f>
        <v>HNX</v>
      </c>
      <c r="E516" s="7">
        <f>Sheet4!AH495/1000000000</f>
        <v>778.831729</v>
      </c>
      <c r="F516" t="str">
        <f>Sheet4!E495</f>
        <v>Công nghiệp</v>
      </c>
      <c r="G516" t="str">
        <f>Sheet4!F495</f>
        <v>Hàng &amp; Dịch vụ Công nghiệp</v>
      </c>
      <c r="H516" t="str">
        <f>Sheet4!G495</f>
        <v>Kho bãi, hậu cần và bảo dưỡng</v>
      </c>
      <c r="I516" s="9" t="str" cm="1">
        <f t="array" ref="I51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16" s="9" t="str" cm="1">
        <f t="array" ref="J51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16" s="10" cm="1">
        <f t="array" ref="K51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16" s="10" cm="1">
        <f t="array" ref="L51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16" s="9" t="str" cm="1">
        <f t="array" ref="M51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16" s="9" t="str" cm="1">
        <f t="array" ref="N51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16" s="10" cm="1">
        <f t="array" ref="O516">IFERROR(INDEX(Sheet4!$2:$1605,MATCH(ChiTietKQKD[[#This Row],[Mã CP]],Sheet4!$B$2:$B$1605,0),_xlfn.XMATCH("*Tăng trưởng lợi nhuận sau thuế (YoY) (Quý*",Sheet4!$1:$1,2)),"")</f>
        <v>0</v>
      </c>
      <c r="P516" s="10" cm="1">
        <f t="array" ref="P516">IFERROR(INDEX(Sheet4!$2:$1605,MATCH(ChiTietKQKD[[#This Row],[Mã CP]],Sheet4!$B$2:$B$1605,0),_xlfn.XMATCH("*Tăng trưởng lợi nhuận sau thuế (YoY) (6M)*",Sheet4!$1:$1,2)),"")</f>
        <v>0</v>
      </c>
      <c r="Q516" s="10" cm="1">
        <f t="array" ref="Q516">IFERROR(INDEX(Sheet4!$2:$1605,MATCH(ChiTietKQKD[[#This Row],[Mã CP]],Sheet4!$B$2:$B$1605,0),_xlfn.XMATCH("*Tăng trưởng doanh thu thuần (QoQ)*",Sheet4!$1:$1,2)),"")</f>
        <v>0</v>
      </c>
      <c r="R516" s="10" cm="1">
        <f t="array" ref="R516">IFERROR(INDEX(Sheet4!$2:$1605,MATCH(ChiTietKQKD[[#This Row],[Mã CP]],Sheet4!$B$2:$B$1605,0),_xlfn.XMATCH("*Tăng trưởng lợi nhuận sau thuế (QoQ)*",Sheet4!$1:$1,2)),"")</f>
        <v>0</v>
      </c>
    </row>
    <row r="517" spans="1:18" x14ac:dyDescent="0.25">
      <c r="A517" s="7">
        <f>Sheet4!A496</f>
        <v>495</v>
      </c>
      <c r="B517" t="str">
        <f>Sheet4!B496</f>
        <v>EBS</v>
      </c>
      <c r="C517" t="str">
        <f>Sheet4!C495</f>
        <v>Cảng Đoạn Xá</v>
      </c>
      <c r="D517" t="str">
        <f>Sheet4!D496</f>
        <v>HNX</v>
      </c>
      <c r="E517" s="7">
        <f>Sheet4!AH496/1000000000</f>
        <v>96.666164800000004</v>
      </c>
      <c r="F517" t="str">
        <f>Sheet4!E496</f>
        <v>Dịch vụ Tiêu dùng</v>
      </c>
      <c r="G517" t="str">
        <f>Sheet4!F496</f>
        <v>Truyền thông</v>
      </c>
      <c r="H517" t="str">
        <f>Sheet4!G496</f>
        <v>Sách, ấn bản &amp; sản phẩm văn hóa</v>
      </c>
      <c r="I517" s="9" t="str" cm="1">
        <f t="array" ref="I51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17" s="9" t="str" cm="1">
        <f t="array" ref="J51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17" s="10" cm="1">
        <f t="array" ref="K51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17" s="10" cm="1">
        <f t="array" ref="L51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17" s="9" t="str" cm="1">
        <f t="array" ref="M51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17" s="9" t="str" cm="1">
        <f t="array" ref="N51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17" s="10" cm="1">
        <f t="array" ref="O517">IFERROR(INDEX(Sheet4!$2:$1605,MATCH(ChiTietKQKD[[#This Row],[Mã CP]],Sheet4!$B$2:$B$1605,0),_xlfn.XMATCH("*Tăng trưởng lợi nhuận sau thuế (YoY) (Quý*",Sheet4!$1:$1,2)),"")</f>
        <v>0</v>
      </c>
      <c r="P517" s="10" cm="1">
        <f t="array" ref="P517">IFERROR(INDEX(Sheet4!$2:$1605,MATCH(ChiTietKQKD[[#This Row],[Mã CP]],Sheet4!$B$2:$B$1605,0),_xlfn.XMATCH("*Tăng trưởng lợi nhuận sau thuế (YoY) (6M)*",Sheet4!$1:$1,2)),"")</f>
        <v>0</v>
      </c>
      <c r="Q517" s="10" cm="1">
        <f t="array" ref="Q517">IFERROR(INDEX(Sheet4!$2:$1605,MATCH(ChiTietKQKD[[#This Row],[Mã CP]],Sheet4!$B$2:$B$1605,0),_xlfn.XMATCH("*Tăng trưởng doanh thu thuần (QoQ)*",Sheet4!$1:$1,2)),"")</f>
        <v>0</v>
      </c>
      <c r="R517" s="10" cm="1">
        <f t="array" ref="R517">IFERROR(INDEX(Sheet4!$2:$1605,MATCH(ChiTietKQKD[[#This Row],[Mã CP]],Sheet4!$B$2:$B$1605,0),_xlfn.XMATCH("*Tăng trưởng lợi nhuận sau thuế (QoQ)*",Sheet4!$1:$1,2)),"")</f>
        <v>0</v>
      </c>
    </row>
    <row r="518" spans="1:18" x14ac:dyDescent="0.25">
      <c r="A518" s="7">
        <f>Sheet4!A497</f>
        <v>496</v>
      </c>
      <c r="B518" t="str">
        <f>Sheet4!B497</f>
        <v>ECI</v>
      </c>
      <c r="C518" t="str">
        <f>Sheet4!C496</f>
        <v>Sách Giáo dục Hà Nội</v>
      </c>
      <c r="D518" t="str">
        <f>Sheet4!D497</f>
        <v>HNX</v>
      </c>
      <c r="E518" s="7">
        <f>Sheet4!AH497/1000000000</f>
        <v>16.192</v>
      </c>
      <c r="F518" t="str">
        <f>Sheet4!E497</f>
        <v>Dịch vụ Tiêu dùng</v>
      </c>
      <c r="G518" t="str">
        <f>Sheet4!F497</f>
        <v>Truyền thông</v>
      </c>
      <c r="H518" t="str">
        <f>Sheet4!G497</f>
        <v>Sách, ấn bản &amp; sản phẩm văn hóa</v>
      </c>
      <c r="I518" s="9" t="str" cm="1">
        <f t="array" ref="I51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18" s="9" t="str" cm="1">
        <f t="array" ref="J51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18" s="10" cm="1">
        <f t="array" ref="K51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18" s="10" cm="1">
        <f t="array" ref="L51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18" s="9" t="str" cm="1">
        <f t="array" ref="M51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18" s="9" t="str" cm="1">
        <f t="array" ref="N51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18" s="10" cm="1">
        <f t="array" ref="O518">IFERROR(INDEX(Sheet4!$2:$1605,MATCH(ChiTietKQKD[[#This Row],[Mã CP]],Sheet4!$B$2:$B$1605,0),_xlfn.XMATCH("*Tăng trưởng lợi nhuận sau thuế (YoY) (Quý*",Sheet4!$1:$1,2)),"")</f>
        <v>0</v>
      </c>
      <c r="P518" s="10" cm="1">
        <f t="array" ref="P518">IFERROR(INDEX(Sheet4!$2:$1605,MATCH(ChiTietKQKD[[#This Row],[Mã CP]],Sheet4!$B$2:$B$1605,0),_xlfn.XMATCH("*Tăng trưởng lợi nhuận sau thuế (YoY) (6M)*",Sheet4!$1:$1,2)),"")</f>
        <v>0</v>
      </c>
      <c r="Q518" s="10" cm="1">
        <f t="array" ref="Q518">IFERROR(INDEX(Sheet4!$2:$1605,MATCH(ChiTietKQKD[[#This Row],[Mã CP]],Sheet4!$B$2:$B$1605,0),_xlfn.XMATCH("*Tăng trưởng doanh thu thuần (QoQ)*",Sheet4!$1:$1,2)),"")</f>
        <v>0</v>
      </c>
      <c r="R518" s="10" cm="1">
        <f t="array" ref="R518">IFERROR(INDEX(Sheet4!$2:$1605,MATCH(ChiTietKQKD[[#This Row],[Mã CP]],Sheet4!$B$2:$B$1605,0),_xlfn.XMATCH("*Tăng trưởng lợi nhuận sau thuế (QoQ)*",Sheet4!$1:$1,2)),"")</f>
        <v>0</v>
      </c>
    </row>
    <row r="519" spans="1:18" x14ac:dyDescent="0.25">
      <c r="A519" s="7">
        <f>Sheet4!A498</f>
        <v>497</v>
      </c>
      <c r="B519" t="str">
        <f>Sheet4!B498</f>
        <v>EID</v>
      </c>
      <c r="C519" t="str">
        <f>Sheet4!C497</f>
        <v>Bản đồ và tranh ảnh GD</v>
      </c>
      <c r="D519" t="str">
        <f>Sheet4!D498</f>
        <v>HNX</v>
      </c>
      <c r="E519" s="7">
        <f>Sheet4!AH498/1000000000</f>
        <v>297</v>
      </c>
      <c r="F519" t="str">
        <f>Sheet4!E498</f>
        <v>Dịch vụ Tiêu dùng</v>
      </c>
      <c r="G519" t="str">
        <f>Sheet4!F498</f>
        <v>Truyền thông</v>
      </c>
      <c r="H519" t="str">
        <f>Sheet4!G498</f>
        <v>Sách, ấn bản &amp; sản phẩm văn hóa</v>
      </c>
      <c r="I519" s="9" t="str" cm="1">
        <f t="array" ref="I51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19" s="9" t="str" cm="1">
        <f t="array" ref="J51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19" s="10" cm="1">
        <f t="array" ref="K51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19" s="10" cm="1">
        <f t="array" ref="L51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19" s="9" t="str" cm="1">
        <f t="array" ref="M51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19" s="9" t="str" cm="1">
        <f t="array" ref="N51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19" s="10" cm="1">
        <f t="array" ref="O519">IFERROR(INDEX(Sheet4!$2:$1605,MATCH(ChiTietKQKD[[#This Row],[Mã CP]],Sheet4!$B$2:$B$1605,0),_xlfn.XMATCH("*Tăng trưởng lợi nhuận sau thuế (YoY) (Quý*",Sheet4!$1:$1,2)),"")</f>
        <v>0</v>
      </c>
      <c r="P519" s="10" cm="1">
        <f t="array" ref="P519">IFERROR(INDEX(Sheet4!$2:$1605,MATCH(ChiTietKQKD[[#This Row],[Mã CP]],Sheet4!$B$2:$B$1605,0),_xlfn.XMATCH("*Tăng trưởng lợi nhuận sau thuế (YoY) (6M)*",Sheet4!$1:$1,2)),"")</f>
        <v>0</v>
      </c>
      <c r="Q519" s="10" cm="1">
        <f t="array" ref="Q519">IFERROR(INDEX(Sheet4!$2:$1605,MATCH(ChiTietKQKD[[#This Row],[Mã CP]],Sheet4!$B$2:$B$1605,0),_xlfn.XMATCH("*Tăng trưởng doanh thu thuần (QoQ)*",Sheet4!$1:$1,2)),"")</f>
        <v>0</v>
      </c>
      <c r="R519" s="10" cm="1">
        <f t="array" ref="R519">IFERROR(INDEX(Sheet4!$2:$1605,MATCH(ChiTietKQKD[[#This Row],[Mã CP]],Sheet4!$B$2:$B$1605,0),_xlfn.XMATCH("*Tăng trưởng lợi nhuận sau thuế (QoQ)*",Sheet4!$1:$1,2)),"")</f>
        <v>0</v>
      </c>
    </row>
    <row r="520" spans="1:18" x14ac:dyDescent="0.25">
      <c r="A520" s="7">
        <f>Sheet4!A499</f>
        <v>498</v>
      </c>
      <c r="B520" t="str">
        <f>Sheet4!B499</f>
        <v>EVS</v>
      </c>
      <c r="C520" t="str">
        <f>Sheet4!C498</f>
        <v>Phát triển GD Hà Nội</v>
      </c>
      <c r="D520" t="str">
        <f>Sheet4!D499</f>
        <v>HNX</v>
      </c>
      <c r="E520" s="7">
        <f>Sheet4!AH499/1000000000</f>
        <v>988.80370800000003</v>
      </c>
      <c r="F520" t="str">
        <f>Sheet4!E499</f>
        <v>Tài chính</v>
      </c>
      <c r="G520" t="str">
        <f>Sheet4!F499</f>
        <v>Dịch vụ tài chính</v>
      </c>
      <c r="H520" t="str">
        <f>Sheet4!G499</f>
        <v>Môi giới chứng khoán</v>
      </c>
      <c r="I520" s="9" cm="1">
        <f t="array" ref="I52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281.34281569000001</v>
      </c>
      <c r="J520" s="9" cm="1">
        <f t="array" ref="J52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289.49687428499999</v>
      </c>
      <c r="K520" s="10" cm="1">
        <f t="array" ref="K52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8.1544000000000008</v>
      </c>
      <c r="L520" s="10" cm="1">
        <f t="array" ref="L52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1.4593</v>
      </c>
      <c r="M520" s="9" cm="1">
        <f t="array" ref="M520">_xlfn.LET(_xlpm.val,IFERROR(INDEX(Sheet4!$2:$1605,MATCH(ChiTietKQKD[[#This Row],[Mã CP]],Sheet4!$B$2:$B$1605,0),_xlfn.XMATCH("*Lợi nhuận sau thuế*Q2*2026*",Sheet4!$1:$1,2)),0),IF(OR(_xlpm.val="",_xlpm.val=0),"",_xlpm.val/1000000000))</f>
        <v>194.83364105699999</v>
      </c>
      <c r="N520" s="9" cm="1">
        <f t="array" ref="N520">_xlfn.LET(_xlpm.val,IFERROR(INDEX(Sheet4!$2:$1605,MATCH(ChiTietKQKD[[#This Row],[Mã CP]],Sheet4!$B$2:$B$1605,0),_xlfn.XMATCH("*Lợi nhuận sau thuế*6 tháng*2026*",Sheet4!$1:$1,2)),0),IF(OR(_xlpm.val="",_xlpm.val=0),"",_xlpm.val/1000000000))</f>
        <v>37.347591496</v>
      </c>
      <c r="O520" s="10" cm="1">
        <f t="array" ref="O520">IFERROR(INDEX(Sheet4!$2:$1605,MATCH(ChiTietKQKD[[#This Row],[Mã CP]],Sheet4!$B$2:$B$1605,0),_xlfn.XMATCH("*Tăng trưởng lợi nhuận sau thuế (YoY) (Quý*",Sheet4!$1:$1,2)),"")</f>
        <v>25.622800000000002</v>
      </c>
      <c r="P520" s="10" cm="1">
        <f t="array" ref="P520">IFERROR(INDEX(Sheet4!$2:$1605,MATCH(ChiTietKQKD[[#This Row],[Mã CP]],Sheet4!$B$2:$B$1605,0),_xlfn.XMATCH("*Tăng trưởng lợi nhuận sau thuế (YoY) (6M)*",Sheet4!$1:$1,2)),"")</f>
        <v>14.173400000000001</v>
      </c>
      <c r="Q520" s="10" cm="1">
        <f t="array" ref="Q520">IFERROR(INDEX(Sheet4!$2:$1605,MATCH(ChiTietKQKD[[#This Row],[Mã CP]],Sheet4!$B$2:$B$1605,0),_xlfn.XMATCH("*Tăng trưởng doanh thu thuần (QoQ)*",Sheet4!$1:$1,2)),"")</f>
        <v>33.503399999999999</v>
      </c>
      <c r="R520" s="10" cm="1">
        <f t="array" ref="R520">IFERROR(INDEX(Sheet4!$2:$1605,MATCH(ChiTietKQKD[[#This Row],[Mã CP]],Sheet4!$B$2:$B$1605,0),_xlfn.XMATCH("*Tăng trưởng lợi nhuận sau thuế (QoQ)*",Sheet4!$1:$1,2)),"")</f>
        <v>2.2370999999999999</v>
      </c>
    </row>
    <row r="521" spans="1:18" x14ac:dyDescent="0.25">
      <c r="A521" s="7">
        <f>Sheet4!A500</f>
        <v>499</v>
      </c>
      <c r="B521" t="str">
        <f>Sheet4!B500</f>
        <v>FID</v>
      </c>
      <c r="C521" t="str">
        <f>Sheet4!C499</f>
        <v>Chứng khoán EVS</v>
      </c>
      <c r="D521" t="str">
        <f>Sheet4!D500</f>
        <v>HNX</v>
      </c>
      <c r="E521" s="7">
        <f>Sheet4!AH500/1000000000</f>
        <v>37.073937000000001</v>
      </c>
      <c r="F521" t="str">
        <f>Sheet4!E500</f>
        <v>Công nghiệp</v>
      </c>
      <c r="G521" t="str">
        <f>Sheet4!F500</f>
        <v>Xây dựng và Vật liệu</v>
      </c>
      <c r="H521" t="str">
        <f>Sheet4!G500</f>
        <v>Vật liệu xây dựng &amp; Nội thất</v>
      </c>
      <c r="I521" s="9" t="str" cm="1">
        <f t="array" ref="I52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21" s="9" t="str" cm="1">
        <f t="array" ref="J52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21" s="10" cm="1">
        <f t="array" ref="K52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21" s="10" cm="1">
        <f t="array" ref="L52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21" s="9" t="str" cm="1">
        <f t="array" ref="M52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21" s="9" t="str" cm="1">
        <f t="array" ref="N52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21" s="10" cm="1">
        <f t="array" ref="O521">IFERROR(INDEX(Sheet4!$2:$1605,MATCH(ChiTietKQKD[[#This Row],[Mã CP]],Sheet4!$B$2:$B$1605,0),_xlfn.XMATCH("*Tăng trưởng lợi nhuận sau thuế (YoY) (Quý*",Sheet4!$1:$1,2)),"")</f>
        <v>0</v>
      </c>
      <c r="P521" s="10" cm="1">
        <f t="array" ref="P521">IFERROR(INDEX(Sheet4!$2:$1605,MATCH(ChiTietKQKD[[#This Row],[Mã CP]],Sheet4!$B$2:$B$1605,0),_xlfn.XMATCH("*Tăng trưởng lợi nhuận sau thuế (YoY) (6M)*",Sheet4!$1:$1,2)),"")</f>
        <v>0</v>
      </c>
      <c r="Q521" s="10" cm="1">
        <f t="array" ref="Q521">IFERROR(INDEX(Sheet4!$2:$1605,MATCH(ChiTietKQKD[[#This Row],[Mã CP]],Sheet4!$B$2:$B$1605,0),_xlfn.XMATCH("*Tăng trưởng doanh thu thuần (QoQ)*",Sheet4!$1:$1,2)),"")</f>
        <v>0</v>
      </c>
      <c r="R521" s="10" cm="1">
        <f t="array" ref="R521">IFERROR(INDEX(Sheet4!$2:$1605,MATCH(ChiTietKQKD[[#This Row],[Mã CP]],Sheet4!$B$2:$B$1605,0),_xlfn.XMATCH("*Tăng trưởng lợi nhuận sau thuế (QoQ)*",Sheet4!$1:$1,2)),"")</f>
        <v>0</v>
      </c>
    </row>
    <row r="522" spans="1:18" x14ac:dyDescent="0.25">
      <c r="A522" s="7">
        <f>Sheet4!A501</f>
        <v>500</v>
      </c>
      <c r="B522" t="str">
        <f>Sheet4!B501</f>
        <v>GDW</v>
      </c>
      <c r="C522" t="str">
        <f>Sheet4!C500</f>
        <v>Đầu tư và PT doanh nghiệp VN</v>
      </c>
      <c r="D522" t="str">
        <f>Sheet4!D501</f>
        <v>HNX</v>
      </c>
      <c r="E522" s="7">
        <f>Sheet4!AH501/1000000000</f>
        <v>290.7</v>
      </c>
      <c r="F522" t="str">
        <f>Sheet4!E501</f>
        <v>Tiện ích Cộng đồng</v>
      </c>
      <c r="G522" t="str">
        <f>Sheet4!F501</f>
        <v>Điện, nước &amp; xăng dầu khí đốt</v>
      </c>
      <c r="H522" t="str">
        <f>Sheet4!G501</f>
        <v>Nước</v>
      </c>
      <c r="I522" s="9" cm="1">
        <f t="array" ref="I52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172.958684981</v>
      </c>
      <c r="J522" s="9" cm="1">
        <f t="array" ref="J52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333.386815394</v>
      </c>
      <c r="K522" s="10" cm="1">
        <f t="array" ref="K52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1.21E-2</v>
      </c>
      <c r="L522" s="10" cm="1">
        <f t="array" ref="L52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-8.6999999999999994E-3</v>
      </c>
      <c r="M522" s="9" cm="1">
        <f t="array" ref="M522">_xlfn.LET(_xlpm.val,IFERROR(INDEX(Sheet4!$2:$1605,MATCH(ChiTietKQKD[[#This Row],[Mã CP]],Sheet4!$B$2:$B$1605,0),_xlfn.XMATCH("*Lợi nhuận sau thuế*Q2*2026*",Sheet4!$1:$1,2)),0),IF(OR(_xlpm.val="",_xlpm.val=0),"",_xlpm.val/1000000000))</f>
        <v>10.947063186999999</v>
      </c>
      <c r="N522" s="9" cm="1">
        <f t="array" ref="N522">_xlfn.LET(_xlpm.val,IFERROR(INDEX(Sheet4!$2:$1605,MATCH(ChiTietKQKD[[#This Row],[Mã CP]],Sheet4!$B$2:$B$1605,0),_xlfn.XMATCH("*Lợi nhuận sau thuế*6 tháng*2026*",Sheet4!$1:$1,2)),0),IF(OR(_xlpm.val="",_xlpm.val=0),"",_xlpm.val/1000000000))</f>
        <v>11.667085012999999</v>
      </c>
      <c r="O522" s="10" cm="1">
        <f t="array" ref="O522">IFERROR(INDEX(Sheet4!$2:$1605,MATCH(ChiTietKQKD[[#This Row],[Mã CP]],Sheet4!$B$2:$B$1605,0),_xlfn.XMATCH("*Tăng trưởng lợi nhuận sau thuế (YoY) (Quý*",Sheet4!$1:$1,2)),"")</f>
        <v>-0.40350000000000003</v>
      </c>
      <c r="P522" s="10" cm="1">
        <f t="array" ref="P522">IFERROR(INDEX(Sheet4!$2:$1605,MATCH(ChiTietKQKD[[#This Row],[Mã CP]],Sheet4!$B$2:$B$1605,0),_xlfn.XMATCH("*Tăng trưởng lợi nhuận sau thuế (YoY) (6M)*",Sheet4!$1:$1,2)),"")</f>
        <v>-0.3876</v>
      </c>
      <c r="Q522" s="10" cm="1">
        <f t="array" ref="Q522">IFERROR(INDEX(Sheet4!$2:$1605,MATCH(ChiTietKQKD[[#This Row],[Mã CP]],Sheet4!$B$2:$B$1605,0),_xlfn.XMATCH("*Tăng trưởng doanh thu thuần (QoQ)*",Sheet4!$1:$1,2)),"")</f>
        <v>7.8100000000000003E-2</v>
      </c>
      <c r="R522" s="10" cm="1">
        <f t="array" ref="R522">IFERROR(INDEX(Sheet4!$2:$1605,MATCH(ChiTietKQKD[[#This Row],[Mã CP]],Sheet4!$B$2:$B$1605,0),_xlfn.XMATCH("*Tăng trưởng lợi nhuận sau thuế (QoQ)*",Sheet4!$1:$1,2)),"")</f>
        <v>14.203799999999999</v>
      </c>
    </row>
    <row r="523" spans="1:18" x14ac:dyDescent="0.25">
      <c r="A523" s="7">
        <f>Sheet4!A502</f>
        <v>501</v>
      </c>
      <c r="B523" t="str">
        <f>Sheet4!B502</f>
        <v>GIC</v>
      </c>
      <c r="C523" t="str">
        <f>Sheet4!C501</f>
        <v>Cấp nước Gia Định</v>
      </c>
      <c r="D523" t="str">
        <f>Sheet4!D502</f>
        <v>HNX</v>
      </c>
      <c r="E523" s="7">
        <f>Sheet4!AH502/1000000000</f>
        <v>310.51425360000002</v>
      </c>
      <c r="F523" t="str">
        <f>Sheet4!E502</f>
        <v>Công nghiệp</v>
      </c>
      <c r="G523" t="str">
        <f>Sheet4!F502</f>
        <v>Hàng &amp; Dịch vụ Công nghiệp</v>
      </c>
      <c r="H523" t="str">
        <f>Sheet4!G502</f>
        <v>Kho bãi, hậu cần và bảo dưỡng</v>
      </c>
      <c r="I523" s="9" cm="1">
        <f t="array" ref="I52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45.932435951999999</v>
      </c>
      <c r="J523" s="9" cm="1">
        <f t="array" ref="J52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85.927461585000003</v>
      </c>
      <c r="K523" s="10" cm="1">
        <f t="array" ref="K52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0.19719999999999999</v>
      </c>
      <c r="L523" s="10" cm="1">
        <f t="array" ref="L52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0.1462</v>
      </c>
      <c r="M523" s="9" cm="1">
        <f t="array" ref="M523">_xlfn.LET(_xlpm.val,IFERROR(INDEX(Sheet4!$2:$1605,MATCH(ChiTietKQKD[[#This Row],[Mã CP]],Sheet4!$B$2:$B$1605,0),_xlfn.XMATCH("*Lợi nhuận sau thuế*Q2*2026*",Sheet4!$1:$1,2)),0),IF(OR(_xlpm.val="",_xlpm.val=0),"",_xlpm.val/1000000000))</f>
        <v>3.6410550430000002</v>
      </c>
      <c r="N523" s="9" cm="1">
        <f t="array" ref="N523">_xlfn.LET(_xlpm.val,IFERROR(INDEX(Sheet4!$2:$1605,MATCH(ChiTietKQKD[[#This Row],[Mã CP]],Sheet4!$B$2:$B$1605,0),_xlfn.XMATCH("*Lợi nhuận sau thuế*6 tháng*2026*",Sheet4!$1:$1,2)),0),IF(OR(_xlpm.val="",_xlpm.val=0),"",_xlpm.val/1000000000))</f>
        <v>5.9563771399999998</v>
      </c>
      <c r="O523" s="10" cm="1">
        <f t="array" ref="O523">IFERROR(INDEX(Sheet4!$2:$1605,MATCH(ChiTietKQKD[[#This Row],[Mã CP]],Sheet4!$B$2:$B$1605,0),_xlfn.XMATCH("*Tăng trưởng lợi nhuận sau thuế (YoY) (Quý*",Sheet4!$1:$1,2)),"")</f>
        <v>-0.12</v>
      </c>
      <c r="P523" s="10" cm="1">
        <f t="array" ref="P523">IFERROR(INDEX(Sheet4!$2:$1605,MATCH(ChiTietKQKD[[#This Row],[Mã CP]],Sheet4!$B$2:$B$1605,0),_xlfn.XMATCH("*Tăng trưởng lợi nhuận sau thuế (YoY) (6M)*",Sheet4!$1:$1,2)),"")</f>
        <v>-0.12920000000000001</v>
      </c>
      <c r="Q523" s="10" cm="1">
        <f t="array" ref="Q523">IFERROR(INDEX(Sheet4!$2:$1605,MATCH(ChiTietKQKD[[#This Row],[Mã CP]],Sheet4!$B$2:$B$1605,0),_xlfn.XMATCH("*Tăng trưởng doanh thu thuần (QoQ)*",Sheet4!$1:$1,2)),"")</f>
        <v>0.14849999999999999</v>
      </c>
      <c r="R523" s="10" cm="1">
        <f t="array" ref="R523">IFERROR(INDEX(Sheet4!$2:$1605,MATCH(ChiTietKQKD[[#This Row],[Mã CP]],Sheet4!$B$2:$B$1605,0),_xlfn.XMATCH("*Tăng trưởng lợi nhuận sau thuế (QoQ)*",Sheet4!$1:$1,2)),"")</f>
        <v>0.5726</v>
      </c>
    </row>
    <row r="524" spans="1:18" x14ac:dyDescent="0.25">
      <c r="A524" s="7">
        <f>Sheet4!A503</f>
        <v>502</v>
      </c>
      <c r="B524" t="str">
        <f>Sheet4!B503</f>
        <v>GKM</v>
      </c>
      <c r="C524" t="str">
        <f>Sheet4!C502</f>
        <v>ĐT Dịch vụ và PT Xanh</v>
      </c>
      <c r="D524" t="str">
        <f>Sheet4!D503</f>
        <v>HNX</v>
      </c>
      <c r="E524" s="7">
        <f>Sheet4!AH503/1000000000</f>
        <v>44.007931800000001</v>
      </c>
      <c r="F524" t="str">
        <f>Sheet4!E503</f>
        <v>Công nghiệp</v>
      </c>
      <c r="G524" t="str">
        <f>Sheet4!F503</f>
        <v>Xây dựng và Vật liệu</v>
      </c>
      <c r="H524" t="str">
        <f>Sheet4!G503</f>
        <v>Vật liệu xây dựng &amp; Nội thất</v>
      </c>
      <c r="I524" s="9" t="str" cm="1">
        <f t="array" ref="I52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24" s="9" t="str" cm="1">
        <f t="array" ref="J52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24" s="10" cm="1">
        <f t="array" ref="K52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24" s="10" cm="1">
        <f t="array" ref="L52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24" s="9" t="str" cm="1">
        <f t="array" ref="M52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24" s="9" t="str" cm="1">
        <f t="array" ref="N52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24" s="10" cm="1">
        <f t="array" ref="O524">IFERROR(INDEX(Sheet4!$2:$1605,MATCH(ChiTietKQKD[[#This Row],[Mã CP]],Sheet4!$B$2:$B$1605,0),_xlfn.XMATCH("*Tăng trưởng lợi nhuận sau thuế (YoY) (Quý*",Sheet4!$1:$1,2)),"")</f>
        <v>0</v>
      </c>
      <c r="P524" s="10" cm="1">
        <f t="array" ref="P524">IFERROR(INDEX(Sheet4!$2:$1605,MATCH(ChiTietKQKD[[#This Row],[Mã CP]],Sheet4!$B$2:$B$1605,0),_xlfn.XMATCH("*Tăng trưởng lợi nhuận sau thuế (YoY) (6M)*",Sheet4!$1:$1,2)),"")</f>
        <v>0</v>
      </c>
      <c r="Q524" s="10" cm="1">
        <f t="array" ref="Q524">IFERROR(INDEX(Sheet4!$2:$1605,MATCH(ChiTietKQKD[[#This Row],[Mã CP]],Sheet4!$B$2:$B$1605,0),_xlfn.XMATCH("*Tăng trưởng doanh thu thuần (QoQ)*",Sheet4!$1:$1,2)),"")</f>
        <v>0</v>
      </c>
      <c r="R524" s="10" cm="1">
        <f t="array" ref="R524">IFERROR(INDEX(Sheet4!$2:$1605,MATCH(ChiTietKQKD[[#This Row],[Mã CP]],Sheet4!$B$2:$B$1605,0),_xlfn.XMATCH("*Tăng trưởng lợi nhuận sau thuế (QoQ)*",Sheet4!$1:$1,2)),"")</f>
        <v>0</v>
      </c>
    </row>
    <row r="525" spans="1:18" x14ac:dyDescent="0.25">
      <c r="A525" s="7">
        <f>Sheet4!A504</f>
        <v>503</v>
      </c>
      <c r="B525" t="str">
        <f>Sheet4!B504</f>
        <v>GLT</v>
      </c>
      <c r="C525" t="str">
        <f>Sheet4!C503</f>
        <v>GKM Holdings</v>
      </c>
      <c r="D525" t="str">
        <f>Sheet4!D504</f>
        <v>HNX</v>
      </c>
      <c r="E525" s="7">
        <f>Sheet4!AH504/1000000000</f>
        <v>279.80225999999999</v>
      </c>
      <c r="F525" t="str">
        <f>Sheet4!E504</f>
        <v>Hàng Tiêu dùng</v>
      </c>
      <c r="G525" t="str">
        <f>Sheet4!F504</f>
        <v>Hàng cá nhân &amp; Gia dụng</v>
      </c>
      <c r="H525" t="str">
        <f>Sheet4!G504</f>
        <v>Điện tử tiêu dùng</v>
      </c>
      <c r="I525" s="9" t="str" cm="1">
        <f t="array" ref="I52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25" s="9" t="str" cm="1">
        <f t="array" ref="J52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25" s="10" cm="1">
        <f t="array" ref="K52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25" s="10" cm="1">
        <f t="array" ref="L52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25" s="9" t="str" cm="1">
        <f t="array" ref="M52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25" s="9" t="str" cm="1">
        <f t="array" ref="N52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25" s="10" cm="1">
        <f t="array" ref="O525">IFERROR(INDEX(Sheet4!$2:$1605,MATCH(ChiTietKQKD[[#This Row],[Mã CP]],Sheet4!$B$2:$B$1605,0),_xlfn.XMATCH("*Tăng trưởng lợi nhuận sau thuế (YoY) (Quý*",Sheet4!$1:$1,2)),"")</f>
        <v>0</v>
      </c>
      <c r="P525" s="10" cm="1">
        <f t="array" ref="P525">IFERROR(INDEX(Sheet4!$2:$1605,MATCH(ChiTietKQKD[[#This Row],[Mã CP]],Sheet4!$B$2:$B$1605,0),_xlfn.XMATCH("*Tăng trưởng lợi nhuận sau thuế (YoY) (6M)*",Sheet4!$1:$1,2)),"")</f>
        <v>0</v>
      </c>
      <c r="Q525" s="10" cm="1">
        <f t="array" ref="Q525">IFERROR(INDEX(Sheet4!$2:$1605,MATCH(ChiTietKQKD[[#This Row],[Mã CP]],Sheet4!$B$2:$B$1605,0),_xlfn.XMATCH("*Tăng trưởng doanh thu thuần (QoQ)*",Sheet4!$1:$1,2)),"")</f>
        <v>0</v>
      </c>
      <c r="R525" s="10" cm="1">
        <f t="array" ref="R525">IFERROR(INDEX(Sheet4!$2:$1605,MATCH(ChiTietKQKD[[#This Row],[Mã CP]],Sheet4!$B$2:$B$1605,0),_xlfn.XMATCH("*Tăng trưởng lợi nhuận sau thuế (QoQ)*",Sheet4!$1:$1,2)),"")</f>
        <v>0</v>
      </c>
    </row>
    <row r="526" spans="1:18" x14ac:dyDescent="0.25">
      <c r="A526" s="7">
        <f>Sheet4!A505</f>
        <v>504</v>
      </c>
      <c r="B526" t="str">
        <f>Sheet4!B505</f>
        <v>GMA</v>
      </c>
      <c r="C526" t="str">
        <f>Sheet4!C504</f>
        <v>KT Điện Toàn Cầu</v>
      </c>
      <c r="D526" t="str">
        <f>Sheet4!D505</f>
        <v>HNX</v>
      </c>
      <c r="E526" s="7">
        <f>Sheet4!AH505/1000000000</f>
        <v>1139.999943</v>
      </c>
      <c r="F526" t="str">
        <f>Sheet4!E505</f>
        <v>Hàng Tiêu dùng</v>
      </c>
      <c r="G526" t="str">
        <f>Sheet4!F505</f>
        <v>Ô tô và phụ tùng</v>
      </c>
      <c r="H526" t="str">
        <f>Sheet4!G505</f>
        <v>Sản xuất ô tô</v>
      </c>
      <c r="I526" s="9" t="str" cm="1">
        <f t="array" ref="I52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26" s="9" t="str" cm="1">
        <f t="array" ref="J52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26" s="10" cm="1">
        <f t="array" ref="K52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26" s="10" cm="1">
        <f t="array" ref="L52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26" s="9" t="str" cm="1">
        <f t="array" ref="M52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26" s="9" t="str" cm="1">
        <f t="array" ref="N52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26" s="10" cm="1">
        <f t="array" ref="O526">IFERROR(INDEX(Sheet4!$2:$1605,MATCH(ChiTietKQKD[[#This Row],[Mã CP]],Sheet4!$B$2:$B$1605,0),_xlfn.XMATCH("*Tăng trưởng lợi nhuận sau thuế (YoY) (Quý*",Sheet4!$1:$1,2)),"")</f>
        <v>0</v>
      </c>
      <c r="P526" s="10" cm="1">
        <f t="array" ref="P526">IFERROR(INDEX(Sheet4!$2:$1605,MATCH(ChiTietKQKD[[#This Row],[Mã CP]],Sheet4!$B$2:$B$1605,0),_xlfn.XMATCH("*Tăng trưởng lợi nhuận sau thuế (YoY) (6M)*",Sheet4!$1:$1,2)),"")</f>
        <v>0</v>
      </c>
      <c r="Q526" s="10" cm="1">
        <f t="array" ref="Q526">IFERROR(INDEX(Sheet4!$2:$1605,MATCH(ChiTietKQKD[[#This Row],[Mã CP]],Sheet4!$B$2:$B$1605,0),_xlfn.XMATCH("*Tăng trưởng doanh thu thuần (QoQ)*",Sheet4!$1:$1,2)),"")</f>
        <v>0</v>
      </c>
      <c r="R526" s="10" cm="1">
        <f t="array" ref="R526">IFERROR(INDEX(Sheet4!$2:$1605,MATCH(ChiTietKQKD[[#This Row],[Mã CP]],Sheet4!$B$2:$B$1605,0),_xlfn.XMATCH("*Tăng trưởng lợi nhuận sau thuế (QoQ)*",Sheet4!$1:$1,2)),"")</f>
        <v>0</v>
      </c>
    </row>
    <row r="527" spans="1:18" x14ac:dyDescent="0.25">
      <c r="A527" s="7">
        <f>Sheet4!A506</f>
        <v>505</v>
      </c>
      <c r="B527" t="str">
        <f>Sheet4!B506</f>
        <v>GMX</v>
      </c>
      <c r="C527" t="str">
        <f>Sheet4!C505</f>
        <v>G-Automobile</v>
      </c>
      <c r="D527" t="str">
        <f>Sheet4!D506</f>
        <v>HNX</v>
      </c>
      <c r="E527" s="7">
        <f>Sheet4!AH506/1000000000</f>
        <v>147.26155130000001</v>
      </c>
      <c r="F527" t="str">
        <f>Sheet4!E506</f>
        <v>Công nghiệp</v>
      </c>
      <c r="G527" t="str">
        <f>Sheet4!F506</f>
        <v>Xây dựng và Vật liệu</v>
      </c>
      <c r="H527" t="str">
        <f>Sheet4!G506</f>
        <v>Vật liệu xây dựng &amp; Nội thất</v>
      </c>
      <c r="I527" s="9" cm="1">
        <f t="array" ref="I52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60.328018356000001</v>
      </c>
      <c r="J527" s="9" cm="1">
        <f t="array" ref="J52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103.857233085</v>
      </c>
      <c r="K527" s="10" cm="1">
        <f t="array" ref="K52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0.1623</v>
      </c>
      <c r="L527" s="10" cm="1">
        <f t="array" ref="L52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0.27360000000000001</v>
      </c>
      <c r="M527" s="9" cm="1">
        <f t="array" ref="M527">_xlfn.LET(_xlpm.val,IFERROR(INDEX(Sheet4!$2:$1605,MATCH(ChiTietKQKD[[#This Row],[Mã CP]],Sheet4!$B$2:$B$1605,0),_xlfn.XMATCH("*Lợi nhuận sau thuế*Q2*2026*",Sheet4!$1:$1,2)),0),IF(OR(_xlpm.val="",_xlpm.val=0),"",_xlpm.val/1000000000))</f>
        <v>8.5714481009999997</v>
      </c>
      <c r="N527" s="9" cm="1">
        <f t="array" ref="N527">_xlfn.LET(_xlpm.val,IFERROR(INDEX(Sheet4!$2:$1605,MATCH(ChiTietKQKD[[#This Row],[Mã CP]],Sheet4!$B$2:$B$1605,0),_xlfn.XMATCH("*Lợi nhuận sau thuế*6 tháng*2026*",Sheet4!$1:$1,2)),0),IF(OR(_xlpm.val="",_xlpm.val=0),"",_xlpm.val/1000000000))</f>
        <v>11.389017159</v>
      </c>
      <c r="O527" s="10" cm="1">
        <f t="array" ref="O527">IFERROR(INDEX(Sheet4!$2:$1605,MATCH(ChiTietKQKD[[#This Row],[Mã CP]],Sheet4!$B$2:$B$1605,0),_xlfn.XMATCH("*Tăng trưởng lợi nhuận sau thuế (YoY) (Quý*",Sheet4!$1:$1,2)),"")</f>
        <v>0.79900000000000004</v>
      </c>
      <c r="P527" s="10" cm="1">
        <f t="array" ref="P527">IFERROR(INDEX(Sheet4!$2:$1605,MATCH(ChiTietKQKD[[#This Row],[Mã CP]],Sheet4!$B$2:$B$1605,0),_xlfn.XMATCH("*Tăng trưởng lợi nhuận sau thuế (YoY) (6M)*",Sheet4!$1:$1,2)),"")</f>
        <v>0.79910000000000003</v>
      </c>
      <c r="Q527" s="10" cm="1">
        <f t="array" ref="Q527">IFERROR(INDEX(Sheet4!$2:$1605,MATCH(ChiTietKQKD[[#This Row],[Mã CP]],Sheet4!$B$2:$B$1605,0),_xlfn.XMATCH("*Tăng trưởng doanh thu thuần (QoQ)*",Sheet4!$1:$1,2)),"")</f>
        <v>0.38590000000000002</v>
      </c>
      <c r="R527" s="10" cm="1">
        <f t="array" ref="R527">IFERROR(INDEX(Sheet4!$2:$1605,MATCH(ChiTietKQKD[[#This Row],[Mã CP]],Sheet4!$B$2:$B$1605,0),_xlfn.XMATCH("*Tăng trưởng lợi nhuận sau thuế (QoQ)*",Sheet4!$1:$1,2)),"")</f>
        <v>2.0421</v>
      </c>
    </row>
    <row r="528" spans="1:18" x14ac:dyDescent="0.25">
      <c r="A528" s="7">
        <f>Sheet4!A507</f>
        <v>506</v>
      </c>
      <c r="B528" t="str">
        <f>Sheet4!B507</f>
        <v>HAD</v>
      </c>
      <c r="C528" t="str">
        <f>Sheet4!C506</f>
        <v>Gạch ngói Mỹ Xuân</v>
      </c>
      <c r="D528" t="str">
        <f>Sheet4!D507</f>
        <v>HNX</v>
      </c>
      <c r="E528" s="7">
        <f>Sheet4!AH507/1000000000</f>
        <v>53.6</v>
      </c>
      <c r="F528" t="str">
        <f>Sheet4!E507</f>
        <v>Hàng Tiêu dùng</v>
      </c>
      <c r="G528" t="str">
        <f>Sheet4!F507</f>
        <v>Thực phẩm và đồ uống</v>
      </c>
      <c r="H528" t="str">
        <f>Sheet4!G507</f>
        <v>Sản xuất bia</v>
      </c>
      <c r="I528" s="9" cm="1">
        <f t="array" ref="I52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69.428209534999993</v>
      </c>
      <c r="J528" s="9" cm="1">
        <f t="array" ref="J52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96.099623389000001</v>
      </c>
      <c r="K528" s="10" cm="1">
        <f t="array" ref="K52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0.15110000000000001</v>
      </c>
      <c r="L528" s="10" cm="1">
        <f t="array" ref="L52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0.2843</v>
      </c>
      <c r="M528" s="9" cm="1">
        <f t="array" ref="M528">_xlfn.LET(_xlpm.val,IFERROR(INDEX(Sheet4!$2:$1605,MATCH(ChiTietKQKD[[#This Row],[Mã CP]],Sheet4!$B$2:$B$1605,0),_xlfn.XMATCH("*Lợi nhuận sau thuế*Q2*2026*",Sheet4!$1:$1,2)),0),IF(OR(_xlpm.val="",_xlpm.val=0),"",_xlpm.val/1000000000))</f>
        <v>7.0821395359999997</v>
      </c>
      <c r="N528" s="9" cm="1">
        <f t="array" ref="N528">_xlfn.LET(_xlpm.val,IFERROR(INDEX(Sheet4!$2:$1605,MATCH(ChiTietKQKD[[#This Row],[Mã CP]],Sheet4!$B$2:$B$1605,0),_xlfn.XMATCH("*Lợi nhuận sau thuế*6 tháng*2026*",Sheet4!$1:$1,2)),0),IF(OR(_xlpm.val="",_xlpm.val=0),"",_xlpm.val/1000000000))</f>
        <v>6.1803568249999996</v>
      </c>
      <c r="O528" s="10" cm="1">
        <f t="array" ref="O528">IFERROR(INDEX(Sheet4!$2:$1605,MATCH(ChiTietKQKD[[#This Row],[Mã CP]],Sheet4!$B$2:$B$1605,0),_xlfn.XMATCH("*Tăng trưởng lợi nhuận sau thuế (YoY) (Quý*",Sheet4!$1:$1,2)),"")</f>
        <v>0.32069999999999999</v>
      </c>
      <c r="P528" s="10" cm="1">
        <f t="array" ref="P528">IFERROR(INDEX(Sheet4!$2:$1605,MATCH(ChiTietKQKD[[#This Row],[Mã CP]],Sheet4!$B$2:$B$1605,0),_xlfn.XMATCH("*Tăng trưởng lợi nhuận sau thuế (YoY) (6M)*",Sheet4!$1:$1,2)),"")</f>
        <v>0.39069999999999999</v>
      </c>
      <c r="Q528" s="10" cm="1">
        <f t="array" ref="Q528">IFERROR(INDEX(Sheet4!$2:$1605,MATCH(ChiTietKQKD[[#This Row],[Mã CP]],Sheet4!$B$2:$B$1605,0),_xlfn.XMATCH("*Tăng trưởng doanh thu thuần (QoQ)*",Sheet4!$1:$1,2)),"")</f>
        <v>1.6031</v>
      </c>
      <c r="R528" s="10" cm="1">
        <f t="array" ref="R528">IFERROR(INDEX(Sheet4!$2:$1605,MATCH(ChiTietKQKD[[#This Row],[Mã CP]],Sheet4!$B$2:$B$1605,0),_xlfn.XMATCH("*Tăng trưởng lợi nhuận sau thuế (QoQ)*",Sheet4!$1:$1,2)),"")</f>
        <v>8.8535000000000004</v>
      </c>
    </row>
    <row r="529" spans="1:18" x14ac:dyDescent="0.25">
      <c r="A529" s="7">
        <f>Sheet4!A508</f>
        <v>507</v>
      </c>
      <c r="B529" t="str">
        <f>Sheet4!B508</f>
        <v>HAT</v>
      </c>
      <c r="C529" t="str">
        <f>Sheet4!C507</f>
        <v>Bia Hà Nội - Hải Dương</v>
      </c>
      <c r="D529" t="str">
        <f>Sheet4!D508</f>
        <v>HNX</v>
      </c>
      <c r="E529" s="7">
        <f>Sheet4!AH508/1000000000</f>
        <v>87.444000000000003</v>
      </c>
      <c r="F529" t="str">
        <f>Sheet4!E508</f>
        <v>Hàng Tiêu dùng</v>
      </c>
      <c r="G529" t="str">
        <f>Sheet4!F508</f>
        <v>Thực phẩm và đồ uống</v>
      </c>
      <c r="H529" t="str">
        <f>Sheet4!G508</f>
        <v>Sản xuất bia</v>
      </c>
      <c r="I529" s="9" cm="1">
        <f t="array" ref="I52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560.97945730900005</v>
      </c>
      <c r="J529" s="9" cm="1">
        <f t="array" ref="J52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771.19584181899995</v>
      </c>
      <c r="K529" s="10" cm="1">
        <f t="array" ref="K52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0.1113</v>
      </c>
      <c r="L529" s="10" cm="1">
        <f t="array" ref="L52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0.1258</v>
      </c>
      <c r="M529" s="9" cm="1">
        <f t="array" ref="M529">_xlfn.LET(_xlpm.val,IFERROR(INDEX(Sheet4!$2:$1605,MATCH(ChiTietKQKD[[#This Row],[Mã CP]],Sheet4!$B$2:$B$1605,0),_xlfn.XMATCH("*Lợi nhuận sau thuế*Q2*2026*",Sheet4!$1:$1,2)),0),IF(OR(_xlpm.val="",_xlpm.val=0),"",_xlpm.val/1000000000))</f>
        <v>3.0538617829999999</v>
      </c>
      <c r="N529" s="9" cm="1">
        <f t="array" ref="N529">_xlfn.LET(_xlpm.val,IFERROR(INDEX(Sheet4!$2:$1605,MATCH(ChiTietKQKD[[#This Row],[Mã CP]],Sheet4!$B$2:$B$1605,0),_xlfn.XMATCH("*Lợi nhuận sau thuế*6 tháng*2026*",Sheet4!$1:$1,2)),0),IF(OR(_xlpm.val="",_xlpm.val=0),"",_xlpm.val/1000000000))</f>
        <v>3.4371610530000001</v>
      </c>
      <c r="O529" s="10" cm="1">
        <f t="array" ref="O529">IFERROR(INDEX(Sheet4!$2:$1605,MATCH(ChiTietKQKD[[#This Row],[Mã CP]],Sheet4!$B$2:$B$1605,0),_xlfn.XMATCH("*Tăng trưởng lợi nhuận sau thuế (YoY) (Quý*",Sheet4!$1:$1,2)),"")</f>
        <v>4.7100000000000003E-2</v>
      </c>
      <c r="P529" s="10" cm="1">
        <f t="array" ref="P529">IFERROR(INDEX(Sheet4!$2:$1605,MATCH(ChiTietKQKD[[#This Row],[Mã CP]],Sheet4!$B$2:$B$1605,0),_xlfn.XMATCH("*Tăng trưởng lợi nhuận sau thuế (YoY) (6M)*",Sheet4!$1:$1,2)),"")</f>
        <v>4.1300000000000003E-2</v>
      </c>
      <c r="Q529" s="10" cm="1">
        <f t="array" ref="Q529">IFERROR(INDEX(Sheet4!$2:$1605,MATCH(ChiTietKQKD[[#This Row],[Mã CP]],Sheet4!$B$2:$B$1605,0),_xlfn.XMATCH("*Tăng trưởng doanh thu thuần (QoQ)*",Sheet4!$1:$1,2)),"")</f>
        <v>1.6686000000000001</v>
      </c>
      <c r="R529" s="10" cm="1">
        <f t="array" ref="R529">IFERROR(INDEX(Sheet4!$2:$1605,MATCH(ChiTietKQKD[[#This Row],[Mã CP]],Sheet4!$B$2:$B$1605,0),_xlfn.XMATCH("*Tăng trưởng lợi nhuận sau thuế (QoQ)*",Sheet4!$1:$1,2)),"")</f>
        <v>6.9672999999999998</v>
      </c>
    </row>
    <row r="530" spans="1:18" x14ac:dyDescent="0.25">
      <c r="A530" s="7">
        <f>Sheet4!A509</f>
        <v>508</v>
      </c>
      <c r="B530" t="str">
        <f>Sheet4!B509</f>
        <v>HBS</v>
      </c>
      <c r="C530" t="str">
        <f>Sheet4!C508</f>
        <v>TM Bia Hà Nội</v>
      </c>
      <c r="D530" t="str">
        <f>Sheet4!D509</f>
        <v>HNX</v>
      </c>
      <c r="E530" s="7">
        <f>Sheet4!AH509/1000000000</f>
        <v>145.19991200000001</v>
      </c>
      <c r="F530" t="str">
        <f>Sheet4!E509</f>
        <v>Tài chính</v>
      </c>
      <c r="G530" t="str">
        <f>Sheet4!F509</f>
        <v>Dịch vụ tài chính</v>
      </c>
      <c r="H530" t="str">
        <f>Sheet4!G509</f>
        <v>Môi giới chứng khoán</v>
      </c>
      <c r="I530" s="9" t="str" cm="1">
        <f t="array" ref="I53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30" s="9" t="str" cm="1">
        <f t="array" ref="J53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30" s="10" cm="1">
        <f t="array" ref="K53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30" s="10" cm="1">
        <f t="array" ref="L53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30" s="9" t="str" cm="1">
        <f t="array" ref="M53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30" s="9" t="str" cm="1">
        <f t="array" ref="N53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30" s="10" cm="1">
        <f t="array" ref="O530">IFERROR(INDEX(Sheet4!$2:$1605,MATCH(ChiTietKQKD[[#This Row],[Mã CP]],Sheet4!$B$2:$B$1605,0),_xlfn.XMATCH("*Tăng trưởng lợi nhuận sau thuế (YoY) (Quý*",Sheet4!$1:$1,2)),"")</f>
        <v>0</v>
      </c>
      <c r="P530" s="10" cm="1">
        <f t="array" ref="P530">IFERROR(INDEX(Sheet4!$2:$1605,MATCH(ChiTietKQKD[[#This Row],[Mã CP]],Sheet4!$B$2:$B$1605,0),_xlfn.XMATCH("*Tăng trưởng lợi nhuận sau thuế (YoY) (6M)*",Sheet4!$1:$1,2)),"")</f>
        <v>0</v>
      </c>
      <c r="Q530" s="10" cm="1">
        <f t="array" ref="Q530">IFERROR(INDEX(Sheet4!$2:$1605,MATCH(ChiTietKQKD[[#This Row],[Mã CP]],Sheet4!$B$2:$B$1605,0),_xlfn.XMATCH("*Tăng trưởng doanh thu thuần (QoQ)*",Sheet4!$1:$1,2)),"")</f>
        <v>0</v>
      </c>
      <c r="R530" s="10" cm="1">
        <f t="array" ref="R530">IFERROR(INDEX(Sheet4!$2:$1605,MATCH(ChiTietKQKD[[#This Row],[Mã CP]],Sheet4!$B$2:$B$1605,0),_xlfn.XMATCH("*Tăng trưởng lợi nhuận sau thuế (QoQ)*",Sheet4!$1:$1,2)),"")</f>
        <v>0</v>
      </c>
    </row>
    <row r="531" spans="1:18" x14ac:dyDescent="0.25">
      <c r="A531" s="7">
        <f>Sheet4!A510</f>
        <v>509</v>
      </c>
      <c r="B531" t="str">
        <f>Sheet4!B510</f>
        <v>HCC</v>
      </c>
      <c r="C531" t="str">
        <f>Sheet4!C509</f>
        <v>Chứng khoán Hòa Bình</v>
      </c>
      <c r="D531" t="str">
        <f>Sheet4!D510</f>
        <v>HNX</v>
      </c>
      <c r="E531" s="7">
        <f>Sheet4!AH510/1000000000</f>
        <v>183.1711707</v>
      </c>
      <c r="F531" t="str">
        <f>Sheet4!E510</f>
        <v>Công nghiệp</v>
      </c>
      <c r="G531" t="str">
        <f>Sheet4!F510</f>
        <v>Xây dựng và Vật liệu</v>
      </c>
      <c r="H531" t="str">
        <f>Sheet4!G510</f>
        <v>Vật liệu xây dựng &amp; Nội thất</v>
      </c>
      <c r="I531" s="9" cm="1">
        <f t="array" ref="I53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161.98102778399999</v>
      </c>
      <c r="J531" s="9" cm="1">
        <f t="array" ref="J53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274.02002787399999</v>
      </c>
      <c r="K531" s="10" cm="1">
        <f t="array" ref="K53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0.3538</v>
      </c>
      <c r="L531" s="10" cm="1">
        <f t="array" ref="L53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0.39650000000000002</v>
      </c>
      <c r="M531" s="9" cm="1">
        <f t="array" ref="M531">_xlfn.LET(_xlpm.val,IFERROR(INDEX(Sheet4!$2:$1605,MATCH(ChiTietKQKD[[#This Row],[Mã CP]],Sheet4!$B$2:$B$1605,0),_xlfn.XMATCH("*Lợi nhuận sau thuế*Q2*2026*",Sheet4!$1:$1,2)),0),IF(OR(_xlpm.val="",_xlpm.val=0),"",_xlpm.val/1000000000))</f>
        <v>20.472545010000001</v>
      </c>
      <c r="N531" s="9" cm="1">
        <f t="array" ref="N531">_xlfn.LET(_xlpm.val,IFERROR(INDEX(Sheet4!$2:$1605,MATCH(ChiTietKQKD[[#This Row],[Mã CP]],Sheet4!$B$2:$B$1605,0),_xlfn.XMATCH("*Lợi nhuận sau thuế*6 tháng*2026*",Sheet4!$1:$1,2)),0),IF(OR(_xlpm.val="",_xlpm.val=0),"",_xlpm.val/1000000000))</f>
        <v>31.418044588000001</v>
      </c>
      <c r="O531" s="10" cm="1">
        <f t="array" ref="O531">IFERROR(INDEX(Sheet4!$2:$1605,MATCH(ChiTietKQKD[[#This Row],[Mã CP]],Sheet4!$B$2:$B$1605,0),_xlfn.XMATCH("*Tăng trưởng lợi nhuận sau thuế (YoY) (Quý*",Sheet4!$1:$1,2)),"")</f>
        <v>0.69840000000000002</v>
      </c>
      <c r="P531" s="10" cm="1">
        <f t="array" ref="P531">IFERROR(INDEX(Sheet4!$2:$1605,MATCH(ChiTietKQKD[[#This Row],[Mã CP]],Sheet4!$B$2:$B$1605,0),_xlfn.XMATCH("*Tăng trưởng lợi nhuận sau thuế (YoY) (6M)*",Sheet4!$1:$1,2)),"")</f>
        <v>0.89400000000000002</v>
      </c>
      <c r="Q531" s="10" cm="1">
        <f t="array" ref="Q531">IFERROR(INDEX(Sheet4!$2:$1605,MATCH(ChiTietKQKD[[#This Row],[Mã CP]],Sheet4!$B$2:$B$1605,0),_xlfn.XMATCH("*Tăng trưởng doanh thu thuần (QoQ)*",Sheet4!$1:$1,2)),"")</f>
        <v>0.44579999999999997</v>
      </c>
      <c r="R531" s="10" cm="1">
        <f t="array" ref="R531">IFERROR(INDEX(Sheet4!$2:$1605,MATCH(ChiTietKQKD[[#This Row],[Mã CP]],Sheet4!$B$2:$B$1605,0),_xlfn.XMATCH("*Tăng trưởng lợi nhuận sau thuế (QoQ)*",Sheet4!$1:$1,2)),"")</f>
        <v>0.87039999999999995</v>
      </c>
    </row>
    <row r="532" spans="1:18" x14ac:dyDescent="0.25">
      <c r="A532" s="7">
        <f>Sheet4!A511</f>
        <v>510</v>
      </c>
      <c r="B532" t="str">
        <f>Sheet4!B511</f>
        <v>HCT</v>
      </c>
      <c r="C532" t="str">
        <f>Sheet4!C510</f>
        <v>Bê tông Hòa Cầm</v>
      </c>
      <c r="D532" t="str">
        <f>Sheet4!D511</f>
        <v>HNX</v>
      </c>
      <c r="E532" s="7">
        <f>Sheet4!AH511/1000000000</f>
        <v>21.373681000000001</v>
      </c>
      <c r="F532" t="str">
        <f>Sheet4!E511</f>
        <v>Công nghiệp</v>
      </c>
      <c r="G532" t="str">
        <f>Sheet4!F511</f>
        <v>Hàng &amp; Dịch vụ Công nghiệp</v>
      </c>
      <c r="H532" t="str">
        <f>Sheet4!G511</f>
        <v>Dịch vụ vận tải</v>
      </c>
      <c r="I532" s="9" cm="1">
        <f t="array" ref="I53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10.984513899</v>
      </c>
      <c r="J532" s="9" cm="1">
        <f t="array" ref="J53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19.357231306999999</v>
      </c>
      <c r="K532" s="10" cm="1">
        <f t="array" ref="K53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0.39439999999999997</v>
      </c>
      <c r="L532" s="10" cm="1">
        <f t="array" ref="L53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0.27939999999999998</v>
      </c>
      <c r="M532" s="9" cm="1">
        <f t="array" ref="M532">_xlfn.LET(_xlpm.val,IFERROR(INDEX(Sheet4!$2:$1605,MATCH(ChiTietKQKD[[#This Row],[Mã CP]],Sheet4!$B$2:$B$1605,0),_xlfn.XMATCH("*Lợi nhuận sau thuế*Q2*2026*",Sheet4!$1:$1,2)),0),IF(OR(_xlpm.val="",_xlpm.val=0),"",_xlpm.val/1000000000))</f>
        <v>0.14950511899999999</v>
      </c>
      <c r="N532" s="9" cm="1">
        <f t="array" ref="N532">_xlfn.LET(_xlpm.val,IFERROR(INDEX(Sheet4!$2:$1605,MATCH(ChiTietKQKD[[#This Row],[Mã CP]],Sheet4!$B$2:$B$1605,0),_xlfn.XMATCH("*Lợi nhuận sau thuế*6 tháng*2026*",Sheet4!$1:$1,2)),0),IF(OR(_xlpm.val="",_xlpm.val=0),"",_xlpm.val/1000000000))</f>
        <v>0.50258058299999997</v>
      </c>
      <c r="O532" s="10" cm="1">
        <f t="array" ref="O532">IFERROR(INDEX(Sheet4!$2:$1605,MATCH(ChiTietKQKD[[#This Row],[Mã CP]],Sheet4!$B$2:$B$1605,0),_xlfn.XMATCH("*Tăng trưởng lợi nhuận sau thuế (YoY) (Quý*",Sheet4!$1:$1,2)),"")</f>
        <v>-0.13800000000000001</v>
      </c>
      <c r="P532" s="10" cm="1">
        <f t="array" ref="P532">IFERROR(INDEX(Sheet4!$2:$1605,MATCH(ChiTietKQKD[[#This Row],[Mã CP]],Sheet4!$B$2:$B$1605,0),_xlfn.XMATCH("*Tăng trưởng lợi nhuận sau thuế (YoY) (6M)*",Sheet4!$1:$1,2)),"")</f>
        <v>0.749</v>
      </c>
      <c r="Q532" s="10" cm="1">
        <f t="array" ref="Q532">IFERROR(INDEX(Sheet4!$2:$1605,MATCH(ChiTietKQKD[[#This Row],[Mã CP]],Sheet4!$B$2:$B$1605,0),_xlfn.XMATCH("*Tăng trưởng doanh thu thuần (QoQ)*",Sheet4!$1:$1,2)),"")</f>
        <v>0.3206</v>
      </c>
      <c r="R532" s="10" cm="1">
        <f t="array" ref="R532">IFERROR(INDEX(Sheet4!$2:$1605,MATCH(ChiTietKQKD[[#This Row],[Mã CP]],Sheet4!$B$2:$B$1605,0),_xlfn.XMATCH("*Tăng trưởng lợi nhuận sau thuế (QoQ)*",Sheet4!$1:$1,2)),"")</f>
        <v>-0.5766</v>
      </c>
    </row>
    <row r="533" spans="1:18" x14ac:dyDescent="0.25">
      <c r="A533" s="7">
        <f>Sheet4!A512</f>
        <v>511</v>
      </c>
      <c r="B533" t="str">
        <f>Sheet4!B512</f>
        <v>HDA</v>
      </c>
      <c r="C533" t="str">
        <f>Sheet4!C511</f>
        <v xml:space="preserve">TM - DV - Vận tải Xi măng Hải Phòng </v>
      </c>
      <c r="D533" t="str">
        <f>Sheet4!D512</f>
        <v>HNX</v>
      </c>
      <c r="E533" s="7">
        <f>Sheet4!AH512/1000000000</f>
        <v>197.33940849999999</v>
      </c>
      <c r="F533" t="str">
        <f>Sheet4!E512</f>
        <v>Công nghiệp</v>
      </c>
      <c r="G533" t="str">
        <f>Sheet4!F512</f>
        <v>Xây dựng và Vật liệu</v>
      </c>
      <c r="H533" t="str">
        <f>Sheet4!G512</f>
        <v>Vật liệu xây dựng &amp; Nội thất</v>
      </c>
      <c r="I533" s="9" t="str" cm="1">
        <f t="array" ref="I53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33" s="9" t="str" cm="1">
        <f t="array" ref="J53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33" s="10" cm="1">
        <f t="array" ref="K53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33" s="10" cm="1">
        <f t="array" ref="L53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33" s="9" t="str" cm="1">
        <f t="array" ref="M53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33" s="9" t="str" cm="1">
        <f t="array" ref="N53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33" s="10" cm="1">
        <f t="array" ref="O533">IFERROR(INDEX(Sheet4!$2:$1605,MATCH(ChiTietKQKD[[#This Row],[Mã CP]],Sheet4!$B$2:$B$1605,0),_xlfn.XMATCH("*Tăng trưởng lợi nhuận sau thuế (YoY) (Quý*",Sheet4!$1:$1,2)),"")</f>
        <v>0</v>
      </c>
      <c r="P533" s="10" cm="1">
        <f t="array" ref="P533">IFERROR(INDEX(Sheet4!$2:$1605,MATCH(ChiTietKQKD[[#This Row],[Mã CP]],Sheet4!$B$2:$B$1605,0),_xlfn.XMATCH("*Tăng trưởng lợi nhuận sau thuế (YoY) (6M)*",Sheet4!$1:$1,2)),"")</f>
        <v>0</v>
      </c>
      <c r="Q533" s="10" cm="1">
        <f t="array" ref="Q533">IFERROR(INDEX(Sheet4!$2:$1605,MATCH(ChiTietKQKD[[#This Row],[Mã CP]],Sheet4!$B$2:$B$1605,0),_xlfn.XMATCH("*Tăng trưởng doanh thu thuần (QoQ)*",Sheet4!$1:$1,2)),"")</f>
        <v>0</v>
      </c>
      <c r="R533" s="10" cm="1">
        <f t="array" ref="R533">IFERROR(INDEX(Sheet4!$2:$1605,MATCH(ChiTietKQKD[[#This Row],[Mã CP]],Sheet4!$B$2:$B$1605,0),_xlfn.XMATCH("*Tăng trưởng lợi nhuận sau thuế (QoQ)*",Sheet4!$1:$1,2)),"")</f>
        <v>0</v>
      </c>
    </row>
    <row r="534" spans="1:18" x14ac:dyDescent="0.25">
      <c r="A534" s="7">
        <f>Sheet4!A513</f>
        <v>512</v>
      </c>
      <c r="B534" t="str">
        <f>Sheet4!B513</f>
        <v>HEV</v>
      </c>
      <c r="C534" t="str">
        <f>Sheet4!C512</f>
        <v>Hãng sơn Đông Á</v>
      </c>
      <c r="D534" t="str">
        <f>Sheet4!D513</f>
        <v>HNX</v>
      </c>
      <c r="E534" s="7">
        <f>Sheet4!AH513/1000000000</f>
        <v>38</v>
      </c>
      <c r="F534" t="str">
        <f>Sheet4!E513</f>
        <v>Dịch vụ Tiêu dùng</v>
      </c>
      <c r="G534" t="str">
        <f>Sheet4!F513</f>
        <v>Truyền thông</v>
      </c>
      <c r="H534" t="str">
        <f>Sheet4!G513</f>
        <v>Sách, ấn bản &amp; sản phẩm văn hóa</v>
      </c>
      <c r="I534" s="9" t="str" cm="1">
        <f t="array" ref="I53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34" s="9" t="str" cm="1">
        <f t="array" ref="J53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34" s="10" cm="1">
        <f t="array" ref="K53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34" s="10" cm="1">
        <f t="array" ref="L53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34" s="9" t="str" cm="1">
        <f t="array" ref="M53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34" s="9" t="str" cm="1">
        <f t="array" ref="N53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34" s="10" cm="1">
        <f t="array" ref="O534">IFERROR(INDEX(Sheet4!$2:$1605,MATCH(ChiTietKQKD[[#This Row],[Mã CP]],Sheet4!$B$2:$B$1605,0),_xlfn.XMATCH("*Tăng trưởng lợi nhuận sau thuế (YoY) (Quý*",Sheet4!$1:$1,2)),"")</f>
        <v>0</v>
      </c>
      <c r="P534" s="10" cm="1">
        <f t="array" ref="P534">IFERROR(INDEX(Sheet4!$2:$1605,MATCH(ChiTietKQKD[[#This Row],[Mã CP]],Sheet4!$B$2:$B$1605,0),_xlfn.XMATCH("*Tăng trưởng lợi nhuận sau thuế (YoY) (6M)*",Sheet4!$1:$1,2)),"")</f>
        <v>0</v>
      </c>
      <c r="Q534" s="10" cm="1">
        <f t="array" ref="Q534">IFERROR(INDEX(Sheet4!$2:$1605,MATCH(ChiTietKQKD[[#This Row],[Mã CP]],Sheet4!$B$2:$B$1605,0),_xlfn.XMATCH("*Tăng trưởng doanh thu thuần (QoQ)*",Sheet4!$1:$1,2)),"")</f>
        <v>0</v>
      </c>
      <c r="R534" s="10" cm="1">
        <f t="array" ref="R534">IFERROR(INDEX(Sheet4!$2:$1605,MATCH(ChiTietKQKD[[#This Row],[Mã CP]],Sheet4!$B$2:$B$1605,0),_xlfn.XMATCH("*Tăng trưởng lợi nhuận sau thuế (QoQ)*",Sheet4!$1:$1,2)),"")</f>
        <v>0</v>
      </c>
    </row>
    <row r="535" spans="1:18" x14ac:dyDescent="0.25">
      <c r="A535" s="7">
        <f>Sheet4!A514</f>
        <v>513</v>
      </c>
      <c r="B535" t="str">
        <f>Sheet4!B514</f>
        <v>HGM</v>
      </c>
      <c r="C535" t="str">
        <f>Sheet4!C513</f>
        <v>Sách Đại học - Dạy nghề</v>
      </c>
      <c r="D535" t="str">
        <f>Sheet4!D514</f>
        <v>HNX</v>
      </c>
      <c r="E535" s="7">
        <f>Sheet4!AH514/1000000000</f>
        <v>1615.32</v>
      </c>
      <c r="F535" t="str">
        <f>Sheet4!E514</f>
        <v>Nguyên vật liệu</v>
      </c>
      <c r="G535" t="str">
        <f>Sheet4!F514</f>
        <v>Tài nguyên Cơ bản</v>
      </c>
      <c r="H535" t="str">
        <f>Sheet4!G514</f>
        <v>Khai khoáng</v>
      </c>
      <c r="I535" s="9" cm="1">
        <f t="array" ref="I53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41.723088658000002</v>
      </c>
      <c r="J535" s="9" cm="1">
        <f t="array" ref="J53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118.92754777099999</v>
      </c>
      <c r="K535" s="10" cm="1">
        <f t="array" ref="K53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-0.85060000000000002</v>
      </c>
      <c r="L535" s="10" cm="1">
        <f t="array" ref="L53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35" s="9" cm="1">
        <f t="array" ref="M535">_xlfn.LET(_xlpm.val,IFERROR(INDEX(Sheet4!$2:$1605,MATCH(ChiTietKQKD[[#This Row],[Mã CP]],Sheet4!$B$2:$B$1605,0),_xlfn.XMATCH("*Lợi nhuận sau thuế*Q2*2026*",Sheet4!$1:$1,2)),0),IF(OR(_xlpm.val="",_xlpm.val=0),"",_xlpm.val/1000000000))</f>
        <v>8.6749635680000008</v>
      </c>
      <c r="N535" s="9" cm="1">
        <f t="array" ref="N535">_xlfn.LET(_xlpm.val,IFERROR(INDEX(Sheet4!$2:$1605,MATCH(ChiTietKQKD[[#This Row],[Mã CP]],Sheet4!$B$2:$B$1605,0),_xlfn.XMATCH("*Lợi nhuận sau thuế*6 tháng*2026*",Sheet4!$1:$1,2)),0),IF(OR(_xlpm.val="",_xlpm.val=0),"",_xlpm.val/1000000000))</f>
        <v>51.747505969999999</v>
      </c>
      <c r="O535" s="10" cm="1">
        <f t="array" ref="O535">IFERROR(INDEX(Sheet4!$2:$1605,MATCH(ChiTietKQKD[[#This Row],[Mã CP]],Sheet4!$B$2:$B$1605,0),_xlfn.XMATCH("*Tăng trưởng lợi nhuận sau thuế (YoY) (Quý*",Sheet4!$1:$1,2)),"")</f>
        <v>-0.9577</v>
      </c>
      <c r="P535" s="10" cm="1">
        <f t="array" ref="P535">IFERROR(INDEX(Sheet4!$2:$1605,MATCH(ChiTietKQKD[[#This Row],[Mã CP]],Sheet4!$B$2:$B$1605,0),_xlfn.XMATCH("*Tăng trưởng lợi nhuận sau thuế (YoY) (6M)*",Sheet4!$1:$1,2)),"")</f>
        <v>0</v>
      </c>
      <c r="Q535" s="10" cm="1">
        <f t="array" ref="Q535">IFERROR(INDEX(Sheet4!$2:$1605,MATCH(ChiTietKQKD[[#This Row],[Mã CP]],Sheet4!$B$2:$B$1605,0),_xlfn.XMATCH("*Tăng trưởng doanh thu thuần (QoQ)*",Sheet4!$1:$1,2)),"")</f>
        <v>-0.45960000000000001</v>
      </c>
      <c r="R535" s="10" cm="1">
        <f t="array" ref="R535">IFERROR(INDEX(Sheet4!$2:$1605,MATCH(ChiTietKQKD[[#This Row],[Mã CP]],Sheet4!$B$2:$B$1605,0),_xlfn.XMATCH("*Tăng trưởng lợi nhuận sau thuế (QoQ)*",Sheet4!$1:$1,2)),"")</f>
        <v>-0.79859999999999998</v>
      </c>
    </row>
    <row r="536" spans="1:18" x14ac:dyDescent="0.25">
      <c r="A536" s="7">
        <f>Sheet4!A515</f>
        <v>514</v>
      </c>
      <c r="B536" t="str">
        <f>Sheet4!B515</f>
        <v>HHC</v>
      </c>
      <c r="C536" t="str">
        <f>Sheet4!C514</f>
        <v>Khoáng sản Hà Giang</v>
      </c>
      <c r="D536" t="str">
        <f>Sheet4!D515</f>
        <v>HNX</v>
      </c>
      <c r="E536" s="7">
        <f>Sheet4!AH515/1000000000</f>
        <v>1113.615</v>
      </c>
      <c r="F536" t="str">
        <f>Sheet4!E515</f>
        <v>Hàng Tiêu dùng</v>
      </c>
      <c r="G536" t="str">
        <f>Sheet4!F515</f>
        <v>Thực phẩm và đồ uống</v>
      </c>
      <c r="H536" t="str">
        <f>Sheet4!G515</f>
        <v>Thực phẩm</v>
      </c>
      <c r="I536" s="9" t="str" cm="1">
        <f t="array" ref="I53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36" s="9" t="str" cm="1">
        <f t="array" ref="J53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36" s="10" cm="1">
        <f t="array" ref="K53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36" s="10" cm="1">
        <f t="array" ref="L53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36" s="9" t="str" cm="1">
        <f t="array" ref="M53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36" s="9" t="str" cm="1">
        <f t="array" ref="N53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36" s="10" cm="1">
        <f t="array" ref="O536">IFERROR(INDEX(Sheet4!$2:$1605,MATCH(ChiTietKQKD[[#This Row],[Mã CP]],Sheet4!$B$2:$B$1605,0),_xlfn.XMATCH("*Tăng trưởng lợi nhuận sau thuế (YoY) (Quý*",Sheet4!$1:$1,2)),"")</f>
        <v>0</v>
      </c>
      <c r="P536" s="10" cm="1">
        <f t="array" ref="P536">IFERROR(INDEX(Sheet4!$2:$1605,MATCH(ChiTietKQKD[[#This Row],[Mã CP]],Sheet4!$B$2:$B$1605,0),_xlfn.XMATCH("*Tăng trưởng lợi nhuận sau thuế (YoY) (6M)*",Sheet4!$1:$1,2)),"")</f>
        <v>0</v>
      </c>
      <c r="Q536" s="10" cm="1">
        <f t="array" ref="Q536">IFERROR(INDEX(Sheet4!$2:$1605,MATCH(ChiTietKQKD[[#This Row],[Mã CP]],Sheet4!$B$2:$B$1605,0),_xlfn.XMATCH("*Tăng trưởng doanh thu thuần (QoQ)*",Sheet4!$1:$1,2)),"")</f>
        <v>0</v>
      </c>
      <c r="R536" s="10" cm="1">
        <f t="array" ref="R536">IFERROR(INDEX(Sheet4!$2:$1605,MATCH(ChiTietKQKD[[#This Row],[Mã CP]],Sheet4!$B$2:$B$1605,0),_xlfn.XMATCH("*Tăng trưởng lợi nhuận sau thuế (QoQ)*",Sheet4!$1:$1,2)),"")</f>
        <v>0</v>
      </c>
    </row>
    <row r="537" spans="1:18" x14ac:dyDescent="0.25">
      <c r="A537" s="7">
        <f>Sheet4!A516</f>
        <v>515</v>
      </c>
      <c r="B537" t="str">
        <f>Sheet4!B516</f>
        <v>HJS</v>
      </c>
      <c r="C537" t="str">
        <f>Sheet4!C515</f>
        <v>Bánh kẹo Hải Hà</v>
      </c>
      <c r="D537" t="str">
        <f>Sheet4!D516</f>
        <v>HNX</v>
      </c>
      <c r="E537" s="7">
        <f>Sheet4!AH516/1000000000</f>
        <v>602.69713000000002</v>
      </c>
      <c r="F537" t="str">
        <f>Sheet4!E516</f>
        <v>Tiện ích Cộng đồng</v>
      </c>
      <c r="G537" t="str">
        <f>Sheet4!F516</f>
        <v>Điện, nước &amp; xăng dầu khí đốt</v>
      </c>
      <c r="H537" t="str">
        <f>Sheet4!G516</f>
        <v>Sản xuất &amp; Phân phối Điện</v>
      </c>
      <c r="I537" s="9" t="str" cm="1">
        <f t="array" ref="I53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37" s="9" t="str" cm="1">
        <f t="array" ref="J53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37" s="10" cm="1">
        <f t="array" ref="K53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37" s="10" cm="1">
        <f t="array" ref="L53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37" s="9" t="str" cm="1">
        <f t="array" ref="M53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37" s="9" t="str" cm="1">
        <f t="array" ref="N53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37" s="10" cm="1">
        <f t="array" ref="O537">IFERROR(INDEX(Sheet4!$2:$1605,MATCH(ChiTietKQKD[[#This Row],[Mã CP]],Sheet4!$B$2:$B$1605,0),_xlfn.XMATCH("*Tăng trưởng lợi nhuận sau thuế (YoY) (Quý*",Sheet4!$1:$1,2)),"")</f>
        <v>0</v>
      </c>
      <c r="P537" s="10" cm="1">
        <f t="array" ref="P537">IFERROR(INDEX(Sheet4!$2:$1605,MATCH(ChiTietKQKD[[#This Row],[Mã CP]],Sheet4!$B$2:$B$1605,0),_xlfn.XMATCH("*Tăng trưởng lợi nhuận sau thuế (YoY) (6M)*",Sheet4!$1:$1,2)),"")</f>
        <v>0</v>
      </c>
      <c r="Q537" s="10" cm="1">
        <f t="array" ref="Q537">IFERROR(INDEX(Sheet4!$2:$1605,MATCH(ChiTietKQKD[[#This Row],[Mã CP]],Sheet4!$B$2:$B$1605,0),_xlfn.XMATCH("*Tăng trưởng doanh thu thuần (QoQ)*",Sheet4!$1:$1,2)),"")</f>
        <v>0</v>
      </c>
      <c r="R537" s="10" cm="1">
        <f t="array" ref="R537">IFERROR(INDEX(Sheet4!$2:$1605,MATCH(ChiTietKQKD[[#This Row],[Mã CP]],Sheet4!$B$2:$B$1605,0),_xlfn.XMATCH("*Tăng trưởng lợi nhuận sau thuế (QoQ)*",Sheet4!$1:$1,2)),"")</f>
        <v>0</v>
      </c>
    </row>
    <row r="538" spans="1:18" x14ac:dyDescent="0.25">
      <c r="A538" s="7">
        <f>Sheet4!A517</f>
        <v>516</v>
      </c>
      <c r="B538" t="str">
        <f>Sheet4!B517</f>
        <v>HKT</v>
      </c>
      <c r="C538" t="str">
        <f>Sheet4!C516</f>
        <v>Thủy điện Nậm Mu</v>
      </c>
      <c r="D538" t="str">
        <f>Sheet4!D517</f>
        <v>HNX</v>
      </c>
      <c r="E538" s="7">
        <f>Sheet4!AH517/1000000000</f>
        <v>502.69133599999998</v>
      </c>
      <c r="F538" t="str">
        <f>Sheet4!E517</f>
        <v>Hàng Tiêu dùng</v>
      </c>
      <c r="G538" t="str">
        <f>Sheet4!F517</f>
        <v>Thực phẩm và đồ uống</v>
      </c>
      <c r="H538" t="str">
        <f>Sheet4!G517</f>
        <v>Đồ uống &amp; giải khát</v>
      </c>
      <c r="I538" s="9" t="str" cm="1">
        <f t="array" ref="I53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38" s="9" t="str" cm="1">
        <f t="array" ref="J53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38" s="10" cm="1">
        <f t="array" ref="K53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38" s="10" cm="1">
        <f t="array" ref="L53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38" s="9" t="str" cm="1">
        <f t="array" ref="M53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38" s="9" t="str" cm="1">
        <f t="array" ref="N53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38" s="10" cm="1">
        <f t="array" ref="O538">IFERROR(INDEX(Sheet4!$2:$1605,MATCH(ChiTietKQKD[[#This Row],[Mã CP]],Sheet4!$B$2:$B$1605,0),_xlfn.XMATCH("*Tăng trưởng lợi nhuận sau thuế (YoY) (Quý*",Sheet4!$1:$1,2)),"")</f>
        <v>0</v>
      </c>
      <c r="P538" s="10" cm="1">
        <f t="array" ref="P538">IFERROR(INDEX(Sheet4!$2:$1605,MATCH(ChiTietKQKD[[#This Row],[Mã CP]],Sheet4!$B$2:$B$1605,0),_xlfn.XMATCH("*Tăng trưởng lợi nhuận sau thuế (YoY) (6M)*",Sheet4!$1:$1,2)),"")</f>
        <v>0</v>
      </c>
      <c r="Q538" s="10" cm="1">
        <f t="array" ref="Q538">IFERROR(INDEX(Sheet4!$2:$1605,MATCH(ChiTietKQKD[[#This Row],[Mã CP]],Sheet4!$B$2:$B$1605,0),_xlfn.XMATCH("*Tăng trưởng doanh thu thuần (QoQ)*",Sheet4!$1:$1,2)),"")</f>
        <v>0</v>
      </c>
      <c r="R538" s="10" cm="1">
        <f t="array" ref="R538">IFERROR(INDEX(Sheet4!$2:$1605,MATCH(ChiTietKQKD[[#This Row],[Mã CP]],Sheet4!$B$2:$B$1605,0),_xlfn.XMATCH("*Tăng trưởng lợi nhuận sau thuế (QoQ)*",Sheet4!$1:$1,2)),"")</f>
        <v>0</v>
      </c>
    </row>
    <row r="539" spans="1:18" x14ac:dyDescent="0.25">
      <c r="A539" s="7">
        <f>Sheet4!A518</f>
        <v>517</v>
      </c>
      <c r="B539" t="str">
        <f>Sheet4!B518</f>
        <v>HLC</v>
      </c>
      <c r="C539" t="str">
        <f>Sheet4!C517</f>
        <v>QP Holdings</v>
      </c>
      <c r="D539" t="str">
        <f>Sheet4!D518</f>
        <v>HNX</v>
      </c>
      <c r="E539" s="7">
        <f>Sheet4!AH518/1000000000</f>
        <v>266.85958950000003</v>
      </c>
      <c r="F539" t="str">
        <f>Sheet4!E518</f>
        <v>Nguyên vật liệu</v>
      </c>
      <c r="G539" t="str">
        <f>Sheet4!F518</f>
        <v>Tài nguyên Cơ bản</v>
      </c>
      <c r="H539" t="str">
        <f>Sheet4!G518</f>
        <v>Khai thác Than</v>
      </c>
      <c r="I539" s="9" cm="1">
        <f t="array" ref="I53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1085.6090219770001</v>
      </c>
      <c r="J539" s="9" cm="1">
        <f t="array" ref="J53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1914.4202632429999</v>
      </c>
      <c r="K539" s="10" cm="1">
        <f t="array" ref="K53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0.28289999999999998</v>
      </c>
      <c r="L539" s="10" cm="1">
        <f t="array" ref="L53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0.13619999999999999</v>
      </c>
      <c r="M539" s="9" cm="1">
        <f t="array" ref="M539">_xlfn.LET(_xlpm.val,IFERROR(INDEX(Sheet4!$2:$1605,MATCH(ChiTietKQKD[[#This Row],[Mã CP]],Sheet4!$B$2:$B$1605,0),_xlfn.XMATCH("*Lợi nhuận sau thuế*Q2*2026*",Sheet4!$1:$1,2)),0),IF(OR(_xlpm.val="",_xlpm.val=0),"",_xlpm.val/1000000000))</f>
        <v>8.8931136689999999</v>
      </c>
      <c r="N539" s="9" cm="1">
        <f t="array" ref="N539">_xlfn.LET(_xlpm.val,IFERROR(INDEX(Sheet4!$2:$1605,MATCH(ChiTietKQKD[[#This Row],[Mã CP]],Sheet4!$B$2:$B$1605,0),_xlfn.XMATCH("*Lợi nhuận sau thuế*6 tháng*2026*",Sheet4!$1:$1,2)),0),IF(OR(_xlpm.val="",_xlpm.val=0),"",_xlpm.val/1000000000))</f>
        <v>20.792230585999999</v>
      </c>
      <c r="O539" s="10" cm="1">
        <f t="array" ref="O539">IFERROR(INDEX(Sheet4!$2:$1605,MATCH(ChiTietKQKD[[#This Row],[Mã CP]],Sheet4!$B$2:$B$1605,0),_xlfn.XMATCH("*Tăng trưởng lợi nhuận sau thuế (YoY) (Quý*",Sheet4!$1:$1,2)),"")</f>
        <v>-0.62439999999999996</v>
      </c>
      <c r="P539" s="10" cm="1">
        <f t="array" ref="P539">IFERROR(INDEX(Sheet4!$2:$1605,MATCH(ChiTietKQKD[[#This Row],[Mã CP]],Sheet4!$B$2:$B$1605,0),_xlfn.XMATCH("*Tăng trưởng lợi nhuận sau thuế (YoY) (6M)*",Sheet4!$1:$1,2)),"")</f>
        <v>-0.46300000000000002</v>
      </c>
      <c r="Q539" s="10" cm="1">
        <f t="array" ref="Q539">IFERROR(INDEX(Sheet4!$2:$1605,MATCH(ChiTietKQKD[[#This Row],[Mã CP]],Sheet4!$B$2:$B$1605,0),_xlfn.XMATCH("*Tăng trưởng doanh thu thuần (QoQ)*",Sheet4!$1:$1,2)),"")</f>
        <v>0.30980000000000002</v>
      </c>
      <c r="R539" s="10" cm="1">
        <f t="array" ref="R539">IFERROR(INDEX(Sheet4!$2:$1605,MATCH(ChiTietKQKD[[#This Row],[Mã CP]],Sheet4!$B$2:$B$1605,0),_xlfn.XMATCH("*Tăng trưởng lợi nhuận sau thuế (QoQ)*",Sheet4!$1:$1,2)),"")</f>
        <v>-0.25259999999999999</v>
      </c>
    </row>
    <row r="540" spans="1:18" x14ac:dyDescent="0.25">
      <c r="A540" s="7">
        <f>Sheet4!A519</f>
        <v>518</v>
      </c>
      <c r="B540" t="str">
        <f>Sheet4!B519</f>
        <v>HLD</v>
      </c>
      <c r="C540" t="str">
        <f>Sheet4!C518</f>
        <v>Than Hà Lầm</v>
      </c>
      <c r="D540" t="str">
        <f>Sheet4!D519</f>
        <v>HNX</v>
      </c>
      <c r="E540" s="7">
        <f>Sheet4!AH519/1000000000</f>
        <v>769.99945400000001</v>
      </c>
      <c r="F540" t="str">
        <f>Sheet4!E519</f>
        <v>Tài chính</v>
      </c>
      <c r="G540" t="str">
        <f>Sheet4!F519</f>
        <v>Bất động sản</v>
      </c>
      <c r="H540" t="str">
        <f>Sheet4!G519</f>
        <v>Bất động sản</v>
      </c>
      <c r="I540" s="9" cm="1">
        <f t="array" ref="I54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109.687318253</v>
      </c>
      <c r="J540" s="9" cm="1">
        <f t="array" ref="J54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279.00537309499998</v>
      </c>
      <c r="K540" s="10" cm="1">
        <f t="array" ref="K54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26.765699999999999</v>
      </c>
      <c r="L540" s="10" cm="1">
        <f t="array" ref="L54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19.9237</v>
      </c>
      <c r="M540" s="9" cm="1">
        <f t="array" ref="M540">_xlfn.LET(_xlpm.val,IFERROR(INDEX(Sheet4!$2:$1605,MATCH(ChiTietKQKD[[#This Row],[Mã CP]],Sheet4!$B$2:$B$1605,0),_xlfn.XMATCH("*Lợi nhuận sau thuế*Q2*2026*",Sheet4!$1:$1,2)),0),IF(OR(_xlpm.val="",_xlpm.val=0),"",_xlpm.val/1000000000))</f>
        <v>6.8817475359999998</v>
      </c>
      <c r="N540" s="9" cm="1">
        <f t="array" ref="N540">_xlfn.LET(_xlpm.val,IFERROR(INDEX(Sheet4!$2:$1605,MATCH(ChiTietKQKD[[#This Row],[Mã CP]],Sheet4!$B$2:$B$1605,0),_xlfn.XMATCH("*Lợi nhuận sau thuế*6 tháng*2026*",Sheet4!$1:$1,2)),0),IF(OR(_xlpm.val="",_xlpm.val=0),"",_xlpm.val/1000000000))</f>
        <v>18.928932279000001</v>
      </c>
      <c r="O540" s="10" cm="1">
        <f t="array" ref="O540">IFERROR(INDEX(Sheet4!$2:$1605,MATCH(ChiTietKQKD[[#This Row],[Mã CP]],Sheet4!$B$2:$B$1605,0),_xlfn.XMATCH("*Tăng trưởng lợi nhuận sau thuế (YoY) (Quý*",Sheet4!$1:$1,2)),"")</f>
        <v>5.0377999999999998</v>
      </c>
      <c r="P540" s="10" cm="1">
        <f t="array" ref="P540">IFERROR(INDEX(Sheet4!$2:$1605,MATCH(ChiTietKQKD[[#This Row],[Mã CP]],Sheet4!$B$2:$B$1605,0),_xlfn.XMATCH("*Tăng trưởng lợi nhuận sau thuế (YoY) (6M)*",Sheet4!$1:$1,2)),"")</f>
        <v>5.4752000000000001</v>
      </c>
      <c r="Q540" s="10" cm="1">
        <f t="array" ref="Q540">IFERROR(INDEX(Sheet4!$2:$1605,MATCH(ChiTietKQKD[[#This Row],[Mã CP]],Sheet4!$B$2:$B$1605,0),_xlfn.XMATCH("*Tăng trưởng doanh thu thuần (QoQ)*",Sheet4!$1:$1,2)),"")</f>
        <v>-0.35220000000000001</v>
      </c>
      <c r="R540" s="10" cm="1">
        <f t="array" ref="R540">IFERROR(INDEX(Sheet4!$2:$1605,MATCH(ChiTietKQKD[[#This Row],[Mã CP]],Sheet4!$B$2:$B$1605,0),_xlfn.XMATCH("*Tăng trưởng lợi nhuận sau thuế (QoQ)*",Sheet4!$1:$1,2)),"")</f>
        <v>-0.42880000000000001</v>
      </c>
    </row>
    <row r="541" spans="1:18" x14ac:dyDescent="0.25">
      <c r="A541" s="7">
        <f>Sheet4!A520</f>
        <v>519</v>
      </c>
      <c r="B541" t="str">
        <f>Sheet4!B520</f>
        <v>HMH</v>
      </c>
      <c r="C541" t="str">
        <f>Sheet4!C519</f>
        <v>Bất động sản HUDLAND</v>
      </c>
      <c r="D541" t="str">
        <f>Sheet4!D520</f>
        <v>HNX</v>
      </c>
      <c r="E541" s="7">
        <f>Sheet4!AH520/1000000000</f>
        <v>247.7758991</v>
      </c>
      <c r="F541" t="str">
        <f>Sheet4!E520</f>
        <v>Công nghiệp</v>
      </c>
      <c r="G541" t="str">
        <f>Sheet4!F520</f>
        <v>Hàng &amp; Dịch vụ Công nghiệp</v>
      </c>
      <c r="H541" t="str">
        <f>Sheet4!G520</f>
        <v>Dịch vụ vận tải</v>
      </c>
      <c r="I541" s="9" t="str" cm="1">
        <f t="array" ref="I54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41" s="9" t="str" cm="1">
        <f t="array" ref="J54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41" s="10" cm="1">
        <f t="array" ref="K54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41" s="10" cm="1">
        <f t="array" ref="L54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41" s="9" t="str" cm="1">
        <f t="array" ref="M54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41" s="9" t="str" cm="1">
        <f t="array" ref="N54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41" s="10" cm="1">
        <f t="array" ref="O541">IFERROR(INDEX(Sheet4!$2:$1605,MATCH(ChiTietKQKD[[#This Row],[Mã CP]],Sheet4!$B$2:$B$1605,0),_xlfn.XMATCH("*Tăng trưởng lợi nhuận sau thuế (YoY) (Quý*",Sheet4!$1:$1,2)),"")</f>
        <v>0</v>
      </c>
      <c r="P541" s="10" cm="1">
        <f t="array" ref="P541">IFERROR(INDEX(Sheet4!$2:$1605,MATCH(ChiTietKQKD[[#This Row],[Mã CP]],Sheet4!$B$2:$B$1605,0),_xlfn.XMATCH("*Tăng trưởng lợi nhuận sau thuế (YoY) (6M)*",Sheet4!$1:$1,2)),"")</f>
        <v>0</v>
      </c>
      <c r="Q541" s="10" cm="1">
        <f t="array" ref="Q541">IFERROR(INDEX(Sheet4!$2:$1605,MATCH(ChiTietKQKD[[#This Row],[Mã CP]],Sheet4!$B$2:$B$1605,0),_xlfn.XMATCH("*Tăng trưởng doanh thu thuần (QoQ)*",Sheet4!$1:$1,2)),"")</f>
        <v>0</v>
      </c>
      <c r="R541" s="10" cm="1">
        <f t="array" ref="R541">IFERROR(INDEX(Sheet4!$2:$1605,MATCH(ChiTietKQKD[[#This Row],[Mã CP]],Sheet4!$B$2:$B$1605,0),_xlfn.XMATCH("*Tăng trưởng lợi nhuận sau thuế (QoQ)*",Sheet4!$1:$1,2)),"")</f>
        <v>0</v>
      </c>
    </row>
    <row r="542" spans="1:18" x14ac:dyDescent="0.25">
      <c r="A542" s="7">
        <f>Sheet4!A521</f>
        <v>520</v>
      </c>
      <c r="B542" t="str">
        <f>Sheet4!B521</f>
        <v>HMR</v>
      </c>
      <c r="C542" t="str">
        <f>Sheet4!C520</f>
        <v>Tập đoàn Hải Minh</v>
      </c>
      <c r="D542" t="str">
        <f>Sheet4!D521</f>
        <v>HNX</v>
      </c>
      <c r="E542" s="7">
        <f>Sheet4!AH521/1000000000</f>
        <v>53.318218000000002</v>
      </c>
      <c r="F542" t="str">
        <f>Sheet4!E521</f>
        <v>Công nghiệp</v>
      </c>
      <c r="G542" t="str">
        <f>Sheet4!F521</f>
        <v>Xây dựng và Vật liệu</v>
      </c>
      <c r="H542" t="str">
        <f>Sheet4!G521</f>
        <v>Vật liệu xây dựng &amp; Nội thất</v>
      </c>
      <c r="I542" s="9" cm="1">
        <f t="array" ref="I54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5.0492360989999998</v>
      </c>
      <c r="J542" s="9" cm="1">
        <f t="array" ref="J54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14.927658151999999</v>
      </c>
      <c r="K542" s="10" cm="1">
        <f t="array" ref="K54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-0.3453</v>
      </c>
      <c r="L542" s="10" cm="1">
        <f t="array" ref="L54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42" s="9" cm="1">
        <f t="array" ref="M542">_xlfn.LET(_xlpm.val,IFERROR(INDEX(Sheet4!$2:$1605,MATCH(ChiTietKQKD[[#This Row],[Mã CP]],Sheet4!$B$2:$B$1605,0),_xlfn.XMATCH("*Lợi nhuận sau thuế*Q2*2026*",Sheet4!$1:$1,2)),0),IF(OR(_xlpm.val="",_xlpm.val=0),"",_xlpm.val/1000000000))</f>
        <v>7.2619750000000004E-3</v>
      </c>
      <c r="N542" s="9" cm="1">
        <f t="array" ref="N542">_xlfn.LET(_xlpm.val,IFERROR(INDEX(Sheet4!$2:$1605,MATCH(ChiTietKQKD[[#This Row],[Mã CP]],Sheet4!$B$2:$B$1605,0),_xlfn.XMATCH("*Lợi nhuận sau thuế*6 tháng*2026*",Sheet4!$1:$1,2)),0),IF(OR(_xlpm.val="",_xlpm.val=0),"",_xlpm.val/1000000000))</f>
        <v>0.51020606099999999</v>
      </c>
      <c r="O542" s="10" cm="1">
        <f t="array" ref="O542">IFERROR(INDEX(Sheet4!$2:$1605,MATCH(ChiTietKQKD[[#This Row],[Mã CP]],Sheet4!$B$2:$B$1605,0),_xlfn.XMATCH("*Tăng trưởng lợi nhuận sau thuế (YoY) (Quý*",Sheet4!$1:$1,2)),"")</f>
        <v>-0.97030000000000005</v>
      </c>
      <c r="P542" s="10" cm="1">
        <f t="array" ref="P542">IFERROR(INDEX(Sheet4!$2:$1605,MATCH(ChiTietKQKD[[#This Row],[Mã CP]],Sheet4!$B$2:$B$1605,0),_xlfn.XMATCH("*Tăng trưởng lợi nhuận sau thuế (YoY) (6M)*",Sheet4!$1:$1,2)),"")</f>
        <v>0</v>
      </c>
      <c r="Q542" s="10" cm="1">
        <f t="array" ref="Q542">IFERROR(INDEX(Sheet4!$2:$1605,MATCH(ChiTietKQKD[[#This Row],[Mã CP]],Sheet4!$B$2:$B$1605,0),_xlfn.XMATCH("*Tăng trưởng doanh thu thuần (QoQ)*",Sheet4!$1:$1,2)),"")</f>
        <v>-0.4889</v>
      </c>
      <c r="R542" s="10" cm="1">
        <f t="array" ref="R542">IFERROR(INDEX(Sheet4!$2:$1605,MATCH(ChiTietKQKD[[#This Row],[Mã CP]],Sheet4!$B$2:$B$1605,0),_xlfn.XMATCH("*Tăng trưởng lợi nhuận sau thuế (QoQ)*",Sheet4!$1:$1,2)),"")</f>
        <v>-0.98560000000000003</v>
      </c>
    </row>
    <row r="543" spans="1:18" x14ac:dyDescent="0.25">
      <c r="A543" s="7">
        <f>Sheet4!A522</f>
        <v>521</v>
      </c>
      <c r="B543" t="str">
        <f>Sheet4!B522</f>
        <v>HOM</v>
      </c>
      <c r="C543" t="str">
        <f>Sheet4!C521</f>
        <v>Đá Hoàng Mai</v>
      </c>
      <c r="D543" t="str">
        <f>Sheet4!D522</f>
        <v>HNX</v>
      </c>
      <c r="E543" s="7">
        <f>Sheet4!AH522/1000000000</f>
        <v>287.99092400000001</v>
      </c>
      <c r="F543" t="str">
        <f>Sheet4!E522</f>
        <v>Công nghiệp</v>
      </c>
      <c r="G543" t="str">
        <f>Sheet4!F522</f>
        <v>Xây dựng và Vật liệu</v>
      </c>
      <c r="H543" t="str">
        <f>Sheet4!G522</f>
        <v>Vật liệu xây dựng &amp; Nội thất</v>
      </c>
      <c r="I543" s="9" cm="1">
        <f t="array" ref="I54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473.04710229800003</v>
      </c>
      <c r="J543" s="9" cm="1">
        <f t="array" ref="J54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786.91761499400002</v>
      </c>
      <c r="K543" s="10" cm="1">
        <f t="array" ref="K54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-3.9800000000000002E-2</v>
      </c>
      <c r="L543" s="10" cm="1">
        <f t="array" ref="L54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-6.4899999999999999E-2</v>
      </c>
      <c r="M543" s="9" cm="1">
        <f t="array" ref="M543">_xlfn.LET(_xlpm.val,IFERROR(INDEX(Sheet4!$2:$1605,MATCH(ChiTietKQKD[[#This Row],[Mã CP]],Sheet4!$B$2:$B$1605,0),_xlfn.XMATCH("*Lợi nhuận sau thuế*Q2*2026*",Sheet4!$1:$1,2)),0),IF(OR(_xlpm.val="",_xlpm.val=0),"",_xlpm.val/1000000000))</f>
        <v>7.5196653280000003</v>
      </c>
      <c r="N543" s="9" cm="1">
        <f t="array" ref="N543">_xlfn.LET(_xlpm.val,IFERROR(INDEX(Sheet4!$2:$1605,MATCH(ChiTietKQKD[[#This Row],[Mã CP]],Sheet4!$B$2:$B$1605,0),_xlfn.XMATCH("*Lợi nhuận sau thuế*6 tháng*2026*",Sheet4!$1:$1,2)),0),IF(OR(_xlpm.val="",_xlpm.val=0),"",_xlpm.val/1000000000))</f>
        <v>8.0080059370000001</v>
      </c>
      <c r="O543" s="10" cm="1">
        <f t="array" ref="O543">IFERROR(INDEX(Sheet4!$2:$1605,MATCH(ChiTietKQKD[[#This Row],[Mã CP]],Sheet4!$B$2:$B$1605,0),_xlfn.XMATCH("*Tăng trưởng lợi nhuận sau thuế (YoY) (Quý*",Sheet4!$1:$1,2)),"")</f>
        <v>2.3400000000000001E-2</v>
      </c>
      <c r="P543" s="10" cm="1">
        <f t="array" ref="P543">IFERROR(INDEX(Sheet4!$2:$1605,MATCH(ChiTietKQKD[[#This Row],[Mã CP]],Sheet4!$B$2:$B$1605,0),_xlfn.XMATCH("*Tăng trưởng lợi nhuận sau thuế (YoY) (6M)*",Sheet4!$1:$1,2)),"")</f>
        <v>1.5900000000000001E-2</v>
      </c>
      <c r="Q543" s="10" cm="1">
        <f t="array" ref="Q543">IFERROR(INDEX(Sheet4!$2:$1605,MATCH(ChiTietKQKD[[#This Row],[Mã CP]],Sheet4!$B$2:$B$1605,0),_xlfn.XMATCH("*Tăng trưởng doanh thu thuần (QoQ)*",Sheet4!$1:$1,2)),"")</f>
        <v>0.5071</v>
      </c>
      <c r="R543" s="10" cm="1">
        <f t="array" ref="R543">IFERROR(INDEX(Sheet4!$2:$1605,MATCH(ChiTietKQKD[[#This Row],[Mã CP]],Sheet4!$B$2:$B$1605,0),_xlfn.XMATCH("*Tăng trưởng lợi nhuận sau thuế (QoQ)*",Sheet4!$1:$1,2)),"")</f>
        <v>14.398400000000001</v>
      </c>
    </row>
    <row r="544" spans="1:18" x14ac:dyDescent="0.25">
      <c r="A544" s="7">
        <f>Sheet4!A523</f>
        <v>522</v>
      </c>
      <c r="B544" t="str">
        <f>Sheet4!B523</f>
        <v>HTC</v>
      </c>
      <c r="C544" t="str">
        <f>Sheet4!C522</f>
        <v>Xi măng VICEM Hoàng Mai</v>
      </c>
      <c r="D544" t="str">
        <f>Sheet4!D523</f>
        <v>HNX</v>
      </c>
      <c r="E544" s="7">
        <f>Sheet4!AH523/1000000000</f>
        <v>593.99974799999995</v>
      </c>
      <c r="F544" t="str">
        <f>Sheet4!E523</f>
        <v>Tiện ích Cộng đồng</v>
      </c>
      <c r="G544" t="str">
        <f>Sheet4!F523</f>
        <v>Điện, nước &amp; xăng dầu khí đốt</v>
      </c>
      <c r="H544" t="str">
        <f>Sheet4!G523</f>
        <v>Phân phối xăng dầu &amp; khí đốt</v>
      </c>
      <c r="I544" s="9" t="str" cm="1">
        <f t="array" ref="I54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44" s="9" t="str" cm="1">
        <f t="array" ref="J54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44" s="10" cm="1">
        <f t="array" ref="K54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44" s="10" cm="1">
        <f t="array" ref="L54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44" s="9" t="str" cm="1">
        <f t="array" ref="M54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44" s="9" t="str" cm="1">
        <f t="array" ref="N54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44" s="10" cm="1">
        <f t="array" ref="O544">IFERROR(INDEX(Sheet4!$2:$1605,MATCH(ChiTietKQKD[[#This Row],[Mã CP]],Sheet4!$B$2:$B$1605,0),_xlfn.XMATCH("*Tăng trưởng lợi nhuận sau thuế (YoY) (Quý*",Sheet4!$1:$1,2)),"")</f>
        <v>0</v>
      </c>
      <c r="P544" s="10" cm="1">
        <f t="array" ref="P544">IFERROR(INDEX(Sheet4!$2:$1605,MATCH(ChiTietKQKD[[#This Row],[Mã CP]],Sheet4!$B$2:$B$1605,0),_xlfn.XMATCH("*Tăng trưởng lợi nhuận sau thuế (YoY) (6M)*",Sheet4!$1:$1,2)),"")</f>
        <v>0</v>
      </c>
      <c r="Q544" s="10" cm="1">
        <f t="array" ref="Q544">IFERROR(INDEX(Sheet4!$2:$1605,MATCH(ChiTietKQKD[[#This Row],[Mã CP]],Sheet4!$B$2:$B$1605,0),_xlfn.XMATCH("*Tăng trưởng doanh thu thuần (QoQ)*",Sheet4!$1:$1,2)),"")</f>
        <v>0</v>
      </c>
      <c r="R544" s="10" cm="1">
        <f t="array" ref="R544">IFERROR(INDEX(Sheet4!$2:$1605,MATCH(ChiTietKQKD[[#This Row],[Mã CP]],Sheet4!$B$2:$B$1605,0),_xlfn.XMATCH("*Tăng trưởng lợi nhuận sau thuế (QoQ)*",Sheet4!$1:$1,2)),"")</f>
        <v>0</v>
      </c>
    </row>
    <row r="545" spans="1:18" x14ac:dyDescent="0.25">
      <c r="A545" s="7">
        <f>Sheet4!A524</f>
        <v>523</v>
      </c>
      <c r="B545" t="str">
        <f>Sheet4!B524</f>
        <v>HUT</v>
      </c>
      <c r="C545" t="str">
        <f>Sheet4!C523</f>
        <v>Thương mại Hóc Môn</v>
      </c>
      <c r="D545" t="str">
        <f>Sheet4!D524</f>
        <v>HNX</v>
      </c>
      <c r="E545" s="7">
        <f>Sheet4!AH524/1000000000</f>
        <v>15917.4551569</v>
      </c>
      <c r="F545" t="str">
        <f>Sheet4!E524</f>
        <v>Hàng Tiêu dùng</v>
      </c>
      <c r="G545" t="str">
        <f>Sheet4!F524</f>
        <v>Ô tô và phụ tùng</v>
      </c>
      <c r="H545" t="str">
        <f>Sheet4!G524</f>
        <v>Sản xuất ô tô</v>
      </c>
      <c r="I545" s="9" t="str" cm="1">
        <f t="array" ref="I54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45" s="9" t="str" cm="1">
        <f t="array" ref="J54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45" s="10" cm="1">
        <f t="array" ref="K54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45" s="10" cm="1">
        <f t="array" ref="L54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45" s="9" t="str" cm="1">
        <f t="array" ref="M54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45" s="9" t="str" cm="1">
        <f t="array" ref="N54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45" s="10" cm="1">
        <f t="array" ref="O545">IFERROR(INDEX(Sheet4!$2:$1605,MATCH(ChiTietKQKD[[#This Row],[Mã CP]],Sheet4!$B$2:$B$1605,0),_xlfn.XMATCH("*Tăng trưởng lợi nhuận sau thuế (YoY) (Quý*",Sheet4!$1:$1,2)),"")</f>
        <v>0</v>
      </c>
      <c r="P545" s="10" cm="1">
        <f t="array" ref="P545">IFERROR(INDEX(Sheet4!$2:$1605,MATCH(ChiTietKQKD[[#This Row],[Mã CP]],Sheet4!$B$2:$B$1605,0),_xlfn.XMATCH("*Tăng trưởng lợi nhuận sau thuế (YoY) (6M)*",Sheet4!$1:$1,2)),"")</f>
        <v>0</v>
      </c>
      <c r="Q545" s="10" cm="1">
        <f t="array" ref="Q545">IFERROR(INDEX(Sheet4!$2:$1605,MATCH(ChiTietKQKD[[#This Row],[Mã CP]],Sheet4!$B$2:$B$1605,0),_xlfn.XMATCH("*Tăng trưởng doanh thu thuần (QoQ)*",Sheet4!$1:$1,2)),"")</f>
        <v>0</v>
      </c>
      <c r="R545" s="10" cm="1">
        <f t="array" ref="R545">IFERROR(INDEX(Sheet4!$2:$1605,MATCH(ChiTietKQKD[[#This Row],[Mã CP]],Sheet4!$B$2:$B$1605,0),_xlfn.XMATCH("*Tăng trưởng lợi nhuận sau thuế (QoQ)*",Sheet4!$1:$1,2)),"")</f>
        <v>0</v>
      </c>
    </row>
    <row r="546" spans="1:18" x14ac:dyDescent="0.25">
      <c r="A546" s="7">
        <f>Sheet4!A525</f>
        <v>524</v>
      </c>
      <c r="B546" t="str">
        <f>Sheet4!B525</f>
        <v>HVT</v>
      </c>
      <c r="C546" t="str">
        <f>Sheet4!C524</f>
        <v>Tasco- CTCP</v>
      </c>
      <c r="D546" t="str">
        <f>Sheet4!D525</f>
        <v>HNX</v>
      </c>
      <c r="E546" s="7">
        <f>Sheet4!AH525/1000000000</f>
        <v>662.0281086</v>
      </c>
      <c r="F546" t="str">
        <f>Sheet4!E525</f>
        <v>Nguyên vật liệu</v>
      </c>
      <c r="G546" t="str">
        <f>Sheet4!F525</f>
        <v>Hóa chất</v>
      </c>
      <c r="H546" t="str">
        <f>Sheet4!G525</f>
        <v>Sản phẩm hóa dầu, Nông dược &amp; Hóa chất khác</v>
      </c>
      <c r="I546" s="9" cm="1">
        <f t="array" ref="I54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471.32381271399998</v>
      </c>
      <c r="J546" s="9" cm="1">
        <f t="array" ref="J54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891.09320536400003</v>
      </c>
      <c r="K546" s="10" cm="1">
        <f t="array" ref="K54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0.2344</v>
      </c>
      <c r="L546" s="10" cm="1">
        <f t="array" ref="L54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0.15090000000000001</v>
      </c>
      <c r="M546" s="9" cm="1">
        <f t="array" ref="M546">_xlfn.LET(_xlpm.val,IFERROR(INDEX(Sheet4!$2:$1605,MATCH(ChiTietKQKD[[#This Row],[Mã CP]],Sheet4!$B$2:$B$1605,0),_xlfn.XMATCH("*Lợi nhuận sau thuế*Q2*2026*",Sheet4!$1:$1,2)),0),IF(OR(_xlpm.val="",_xlpm.val=0),"",_xlpm.val/1000000000))</f>
        <v>37.138846925000003</v>
      </c>
      <c r="N546" s="9" cm="1">
        <f t="array" ref="N546">_xlfn.LET(_xlpm.val,IFERROR(INDEX(Sheet4!$2:$1605,MATCH(ChiTietKQKD[[#This Row],[Mã CP]],Sheet4!$B$2:$B$1605,0),_xlfn.XMATCH("*Lợi nhuận sau thuế*6 tháng*2026*",Sheet4!$1:$1,2)),0),IF(OR(_xlpm.val="",_xlpm.val=0),"",_xlpm.val/1000000000))</f>
        <v>68.047205683000001</v>
      </c>
      <c r="O546" s="10" cm="1">
        <f t="array" ref="O546">IFERROR(INDEX(Sheet4!$2:$1605,MATCH(ChiTietKQKD[[#This Row],[Mã CP]],Sheet4!$B$2:$B$1605,0),_xlfn.XMATCH("*Tăng trưởng lợi nhuận sau thuế (YoY) (Quý*",Sheet4!$1:$1,2)),"")</f>
        <v>0.52110000000000001</v>
      </c>
      <c r="P546" s="10" cm="1">
        <f t="array" ref="P546">IFERROR(INDEX(Sheet4!$2:$1605,MATCH(ChiTietKQKD[[#This Row],[Mã CP]],Sheet4!$B$2:$B$1605,0),_xlfn.XMATCH("*Tăng trưởng lợi nhuận sau thuế (YoY) (6M)*",Sheet4!$1:$1,2)),"")</f>
        <v>0.6754</v>
      </c>
      <c r="Q546" s="10" cm="1">
        <f t="array" ref="Q546">IFERROR(INDEX(Sheet4!$2:$1605,MATCH(ChiTietKQKD[[#This Row],[Mã CP]],Sheet4!$B$2:$B$1605,0),_xlfn.XMATCH("*Tăng trưởng doanh thu thuần (QoQ)*",Sheet4!$1:$1,2)),"")</f>
        <v>0.12280000000000001</v>
      </c>
      <c r="R546" s="10" cm="1">
        <f t="array" ref="R546">IFERROR(INDEX(Sheet4!$2:$1605,MATCH(ChiTietKQKD[[#This Row],[Mã CP]],Sheet4!$B$2:$B$1605,0),_xlfn.XMATCH("*Tăng trưởng lợi nhuận sau thuế (QoQ)*",Sheet4!$1:$1,2)),"")</f>
        <v>0.2016</v>
      </c>
    </row>
    <row r="547" spans="1:18" x14ac:dyDescent="0.25">
      <c r="A547" s="7">
        <f>Sheet4!A526</f>
        <v>525</v>
      </c>
      <c r="B547" t="str">
        <f>Sheet4!B526</f>
        <v>ICG</v>
      </c>
      <c r="C547" t="str">
        <f>Sheet4!C525</f>
        <v>Hóa chất Việt trì</v>
      </c>
      <c r="D547" t="str">
        <f>Sheet4!D526</f>
        <v>HNX</v>
      </c>
      <c r="E547" s="7">
        <f>Sheet4!AH526/1000000000</f>
        <v>256.55119999999999</v>
      </c>
      <c r="F547" t="str">
        <f>Sheet4!E526</f>
        <v>Công nghiệp</v>
      </c>
      <c r="G547" t="str">
        <f>Sheet4!F526</f>
        <v>Xây dựng và Vật liệu</v>
      </c>
      <c r="H547" t="str">
        <f>Sheet4!G526</f>
        <v>Xây dựng</v>
      </c>
      <c r="I547" s="9" t="str" cm="1">
        <f t="array" ref="I54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47" s="9" t="str" cm="1">
        <f t="array" ref="J54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47" s="10" cm="1">
        <f t="array" ref="K54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47" s="10" cm="1">
        <f t="array" ref="L54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47" s="9" t="str" cm="1">
        <f t="array" ref="M54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47" s="9" t="str" cm="1">
        <f t="array" ref="N54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47" s="10" cm="1">
        <f t="array" ref="O547">IFERROR(INDEX(Sheet4!$2:$1605,MATCH(ChiTietKQKD[[#This Row],[Mã CP]],Sheet4!$B$2:$B$1605,0),_xlfn.XMATCH("*Tăng trưởng lợi nhuận sau thuế (YoY) (Quý*",Sheet4!$1:$1,2)),"")</f>
        <v>0</v>
      </c>
      <c r="P547" s="10" cm="1">
        <f t="array" ref="P547">IFERROR(INDEX(Sheet4!$2:$1605,MATCH(ChiTietKQKD[[#This Row],[Mã CP]],Sheet4!$B$2:$B$1605,0),_xlfn.XMATCH("*Tăng trưởng lợi nhuận sau thuế (YoY) (6M)*",Sheet4!$1:$1,2)),"")</f>
        <v>0</v>
      </c>
      <c r="Q547" s="10" cm="1">
        <f t="array" ref="Q547">IFERROR(INDEX(Sheet4!$2:$1605,MATCH(ChiTietKQKD[[#This Row],[Mã CP]],Sheet4!$B$2:$B$1605,0),_xlfn.XMATCH("*Tăng trưởng doanh thu thuần (QoQ)*",Sheet4!$1:$1,2)),"")</f>
        <v>0</v>
      </c>
      <c r="R547" s="10" cm="1">
        <f t="array" ref="R547">IFERROR(INDEX(Sheet4!$2:$1605,MATCH(ChiTietKQKD[[#This Row],[Mã CP]],Sheet4!$B$2:$B$1605,0),_xlfn.XMATCH("*Tăng trưởng lợi nhuận sau thuế (QoQ)*",Sheet4!$1:$1,2)),"")</f>
        <v>0</v>
      </c>
    </row>
    <row r="548" spans="1:18" x14ac:dyDescent="0.25">
      <c r="A548" s="7">
        <f>Sheet4!A527</f>
        <v>526</v>
      </c>
      <c r="B548" t="str">
        <f>Sheet4!B527</f>
        <v>IDC</v>
      </c>
      <c r="C548" t="str">
        <f>Sheet4!C526</f>
        <v>Xây dựng Sông Hồng</v>
      </c>
      <c r="D548" t="str">
        <f>Sheet4!D527</f>
        <v>HNX</v>
      </c>
      <c r="E548" s="7">
        <f>Sheet4!AH527/1000000000</f>
        <v>14193.2559802</v>
      </c>
      <c r="F548" t="str">
        <f>Sheet4!E527</f>
        <v>Tài chính</v>
      </c>
      <c r="G548" t="str">
        <f>Sheet4!F527</f>
        <v>Bất động sản</v>
      </c>
      <c r="H548" t="str">
        <f>Sheet4!G527</f>
        <v>Bất động sản</v>
      </c>
      <c r="I548" s="9" t="str" cm="1">
        <f t="array" ref="I54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48" s="9" t="str" cm="1">
        <f t="array" ref="J54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48" s="10" cm="1">
        <f t="array" ref="K54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48" s="10" cm="1">
        <f t="array" ref="L54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48" s="9" t="str" cm="1">
        <f t="array" ref="M54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48" s="9" t="str" cm="1">
        <f t="array" ref="N54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48" s="10" cm="1">
        <f t="array" ref="O548">IFERROR(INDEX(Sheet4!$2:$1605,MATCH(ChiTietKQKD[[#This Row],[Mã CP]],Sheet4!$B$2:$B$1605,0),_xlfn.XMATCH("*Tăng trưởng lợi nhuận sau thuế (YoY) (Quý*",Sheet4!$1:$1,2)),"")</f>
        <v>0</v>
      </c>
      <c r="P548" s="10" cm="1">
        <f t="array" ref="P548">IFERROR(INDEX(Sheet4!$2:$1605,MATCH(ChiTietKQKD[[#This Row],[Mã CP]],Sheet4!$B$2:$B$1605,0),_xlfn.XMATCH("*Tăng trưởng lợi nhuận sau thuế (YoY) (6M)*",Sheet4!$1:$1,2)),"")</f>
        <v>0</v>
      </c>
      <c r="Q548" s="10" cm="1">
        <f t="array" ref="Q548">IFERROR(INDEX(Sheet4!$2:$1605,MATCH(ChiTietKQKD[[#This Row],[Mã CP]],Sheet4!$B$2:$B$1605,0),_xlfn.XMATCH("*Tăng trưởng doanh thu thuần (QoQ)*",Sheet4!$1:$1,2)),"")</f>
        <v>0</v>
      </c>
      <c r="R548" s="10" cm="1">
        <f t="array" ref="R548">IFERROR(INDEX(Sheet4!$2:$1605,MATCH(ChiTietKQKD[[#This Row],[Mã CP]],Sheet4!$B$2:$B$1605,0),_xlfn.XMATCH("*Tăng trưởng lợi nhuận sau thuế (QoQ)*",Sheet4!$1:$1,2)),"")</f>
        <v>0</v>
      </c>
    </row>
    <row r="549" spans="1:18" x14ac:dyDescent="0.25">
      <c r="A549" s="7">
        <f>Sheet4!A528</f>
        <v>527</v>
      </c>
      <c r="B549" t="str">
        <f>Sheet4!B528</f>
        <v>IDJ</v>
      </c>
      <c r="C549" t="str">
        <f>Sheet4!C527</f>
        <v>IDICO</v>
      </c>
      <c r="D549" t="str">
        <f>Sheet4!D528</f>
        <v>HNX</v>
      </c>
      <c r="E549" s="7">
        <f>Sheet4!AH528/1000000000</f>
        <v>641.91371409999999</v>
      </c>
      <c r="F549" t="str">
        <f>Sheet4!E528</f>
        <v>Tài chính</v>
      </c>
      <c r="G549" t="str">
        <f>Sheet4!F528</f>
        <v>Bất động sản</v>
      </c>
      <c r="H549" t="str">
        <f>Sheet4!G528</f>
        <v>Bất động sản</v>
      </c>
      <c r="I549" s="9" t="str" cm="1">
        <f t="array" ref="I54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49" s="9" t="str" cm="1">
        <f t="array" ref="J54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49" s="10" cm="1">
        <f t="array" ref="K54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49" s="10" cm="1">
        <f t="array" ref="L54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49" s="9" t="str" cm="1">
        <f t="array" ref="M54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49" s="9" t="str" cm="1">
        <f t="array" ref="N54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49" s="10" cm="1">
        <f t="array" ref="O549">IFERROR(INDEX(Sheet4!$2:$1605,MATCH(ChiTietKQKD[[#This Row],[Mã CP]],Sheet4!$B$2:$B$1605,0),_xlfn.XMATCH("*Tăng trưởng lợi nhuận sau thuế (YoY) (Quý*",Sheet4!$1:$1,2)),"")</f>
        <v>0</v>
      </c>
      <c r="P549" s="10" cm="1">
        <f t="array" ref="P549">IFERROR(INDEX(Sheet4!$2:$1605,MATCH(ChiTietKQKD[[#This Row],[Mã CP]],Sheet4!$B$2:$B$1605,0),_xlfn.XMATCH("*Tăng trưởng lợi nhuận sau thuế (YoY) (6M)*",Sheet4!$1:$1,2)),"")</f>
        <v>0</v>
      </c>
      <c r="Q549" s="10" cm="1">
        <f t="array" ref="Q549">IFERROR(INDEX(Sheet4!$2:$1605,MATCH(ChiTietKQKD[[#This Row],[Mã CP]],Sheet4!$B$2:$B$1605,0),_xlfn.XMATCH("*Tăng trưởng doanh thu thuần (QoQ)*",Sheet4!$1:$1,2)),"")</f>
        <v>0</v>
      </c>
      <c r="R549" s="10" cm="1">
        <f t="array" ref="R549">IFERROR(INDEX(Sheet4!$2:$1605,MATCH(ChiTietKQKD[[#This Row],[Mã CP]],Sheet4!$B$2:$B$1605,0),_xlfn.XMATCH("*Tăng trưởng lợi nhuận sau thuế (QoQ)*",Sheet4!$1:$1,2)),"")</f>
        <v>0</v>
      </c>
    </row>
    <row r="550" spans="1:18" x14ac:dyDescent="0.25">
      <c r="A550" s="7">
        <f>Sheet4!A529</f>
        <v>528</v>
      </c>
      <c r="B550" t="str">
        <f>Sheet4!B529</f>
        <v>IDV</v>
      </c>
      <c r="C550" t="str">
        <f>Sheet4!C528</f>
        <v>Đầu tư IDJ Việt Nam</v>
      </c>
      <c r="D550" t="str">
        <f>Sheet4!D529</f>
        <v>HNX</v>
      </c>
      <c r="E550" s="7">
        <f>Sheet4!AH529/1000000000</f>
        <v>1010.0860653</v>
      </c>
      <c r="F550" t="str">
        <f>Sheet4!E529</f>
        <v>Tài chính</v>
      </c>
      <c r="G550" t="str">
        <f>Sheet4!F529</f>
        <v>Bất động sản</v>
      </c>
      <c r="H550" t="str">
        <f>Sheet4!G529</f>
        <v>Bất động sản</v>
      </c>
      <c r="I550" s="9" cm="1">
        <f t="array" ref="I55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30.431905602</v>
      </c>
      <c r="J550" s="9" t="str" cm="1">
        <f t="array" ref="J55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50" s="10" cm="1">
        <f t="array" ref="K55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9.5399999999999999E-2</v>
      </c>
      <c r="L550" s="10" cm="1">
        <f t="array" ref="L55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0.1229</v>
      </c>
      <c r="M550" s="9" cm="1">
        <f t="array" ref="M550">_xlfn.LET(_xlpm.val,IFERROR(INDEX(Sheet4!$2:$1605,MATCH(ChiTietKQKD[[#This Row],[Mã CP]],Sheet4!$B$2:$B$1605,0),_xlfn.XMATCH("*Lợi nhuận sau thuế*Q2*2026*",Sheet4!$1:$1,2)),0),IF(OR(_xlpm.val="",_xlpm.val=0),"",_xlpm.val/1000000000))</f>
        <v>46.039100920000003</v>
      </c>
      <c r="N550" s="9" t="str" cm="1">
        <f t="array" ref="N55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50" s="10" cm="1">
        <f t="array" ref="O550">IFERROR(INDEX(Sheet4!$2:$1605,MATCH(ChiTietKQKD[[#This Row],[Mã CP]],Sheet4!$B$2:$B$1605,0),_xlfn.XMATCH("*Tăng trưởng lợi nhuận sau thuế (YoY) (Quý*",Sheet4!$1:$1,2)),"")</f>
        <v>1.8586</v>
      </c>
      <c r="P550" s="10" cm="1">
        <f t="array" ref="P550">IFERROR(INDEX(Sheet4!$2:$1605,MATCH(ChiTietKQKD[[#This Row],[Mã CP]],Sheet4!$B$2:$B$1605,0),_xlfn.XMATCH("*Tăng trưởng lợi nhuận sau thuế (YoY) (6M)*",Sheet4!$1:$1,2)),"")</f>
        <v>0.2402</v>
      </c>
      <c r="Q550" s="10" cm="1">
        <f t="array" ref="Q550">IFERROR(INDEX(Sheet4!$2:$1605,MATCH(ChiTietKQKD[[#This Row],[Mã CP]],Sheet4!$B$2:$B$1605,0),_xlfn.XMATCH("*Tăng trưởng doanh thu thuần (QoQ)*",Sheet4!$1:$1,2)),"")</f>
        <v>7.2800000000000004E-2</v>
      </c>
      <c r="R550" s="10" cm="1">
        <f t="array" ref="R550">IFERROR(INDEX(Sheet4!$2:$1605,MATCH(ChiTietKQKD[[#This Row],[Mã CP]],Sheet4!$B$2:$B$1605,0),_xlfn.XMATCH("*Tăng trưởng lợi nhuận sau thuế (QoQ)*",Sheet4!$1:$1,2)),"")</f>
        <v>2.6116999999999999</v>
      </c>
    </row>
    <row r="551" spans="1:18" x14ac:dyDescent="0.25">
      <c r="A551" s="7">
        <f>Sheet4!A530</f>
        <v>529</v>
      </c>
      <c r="B551" t="str">
        <f>Sheet4!B530</f>
        <v>INC</v>
      </c>
      <c r="C551" t="str">
        <f>Sheet4!C529</f>
        <v>PT Hạ tầng Vĩnh Phúc</v>
      </c>
      <c r="D551" t="str">
        <f>Sheet4!D530</f>
        <v>HNX</v>
      </c>
      <c r="E551" s="7">
        <f>Sheet4!AH530/1000000000</f>
        <v>41.6</v>
      </c>
      <c r="F551" t="str">
        <f>Sheet4!E530</f>
        <v>Công nghiệp</v>
      </c>
      <c r="G551" t="str">
        <f>Sheet4!F530</f>
        <v>Xây dựng và Vật liệu</v>
      </c>
      <c r="H551" t="str">
        <f>Sheet4!G530</f>
        <v>Xây dựng</v>
      </c>
      <c r="I551" s="9" cm="1">
        <f t="array" ref="I55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8.3056999870000006</v>
      </c>
      <c r="J551" s="9" cm="1">
        <f t="array" ref="J55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13.909436554999999</v>
      </c>
      <c r="K551" s="10" cm="1">
        <f t="array" ref="K55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8.3799999999999999E-2</v>
      </c>
      <c r="L551" s="10" cm="1">
        <f t="array" ref="L55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51" s="9" cm="1">
        <f t="array" ref="M551">_xlfn.LET(_xlpm.val,IFERROR(INDEX(Sheet4!$2:$1605,MATCH(ChiTietKQKD[[#This Row],[Mã CP]],Sheet4!$B$2:$B$1605,0),_xlfn.XMATCH("*Lợi nhuận sau thuế*Q2*2026*",Sheet4!$1:$1,2)),0),IF(OR(_xlpm.val="",_xlpm.val=0),"",_xlpm.val/1000000000))</f>
        <v>0.69669792399999997</v>
      </c>
      <c r="N551" s="9" cm="1">
        <f t="array" ref="N551">_xlfn.LET(_xlpm.val,IFERROR(INDEX(Sheet4!$2:$1605,MATCH(ChiTietKQKD[[#This Row],[Mã CP]],Sheet4!$B$2:$B$1605,0),_xlfn.XMATCH("*Lợi nhuận sau thuế*6 tháng*2026*",Sheet4!$1:$1,2)),0),IF(OR(_xlpm.val="",_xlpm.val=0),"",_xlpm.val/1000000000))</f>
        <v>1.093324489</v>
      </c>
      <c r="O551" s="10" cm="1">
        <f t="array" ref="O551">IFERROR(INDEX(Sheet4!$2:$1605,MATCH(ChiTietKQKD[[#This Row],[Mã CP]],Sheet4!$B$2:$B$1605,0),_xlfn.XMATCH("*Tăng trưởng lợi nhuận sau thuế (YoY) (Quý*",Sheet4!$1:$1,2)),"")</f>
        <v>0.1278</v>
      </c>
      <c r="P551" s="10" cm="1">
        <f t="array" ref="P551">IFERROR(INDEX(Sheet4!$2:$1605,MATCH(ChiTietKQKD[[#This Row],[Mã CP]],Sheet4!$B$2:$B$1605,0),_xlfn.XMATCH("*Tăng trưởng lợi nhuận sau thuế (YoY) (6M)*",Sheet4!$1:$1,2)),"")</f>
        <v>0</v>
      </c>
      <c r="Q551" s="10" cm="1">
        <f t="array" ref="Q551">IFERROR(INDEX(Sheet4!$2:$1605,MATCH(ChiTietKQKD[[#This Row],[Mã CP]],Sheet4!$B$2:$B$1605,0),_xlfn.XMATCH("*Tăng trưởng doanh thu thuần (QoQ)*",Sheet4!$1:$1,2)),"")</f>
        <v>0.48220000000000002</v>
      </c>
      <c r="R551" s="10" cm="1">
        <f t="array" ref="R551">IFERROR(INDEX(Sheet4!$2:$1605,MATCH(ChiTietKQKD[[#This Row],[Mã CP]],Sheet4!$B$2:$B$1605,0),_xlfn.XMATCH("*Tăng trưởng lợi nhuận sau thuế (QoQ)*",Sheet4!$1:$1,2)),"")</f>
        <v>0.75660000000000005</v>
      </c>
    </row>
    <row r="552" spans="1:18" x14ac:dyDescent="0.25">
      <c r="A552" s="7">
        <f>Sheet4!A531</f>
        <v>530</v>
      </c>
      <c r="B552" t="str">
        <f>Sheet4!B531</f>
        <v>INN</v>
      </c>
      <c r="C552" t="str">
        <f>Sheet4!C530</f>
        <v>Tư vấn Đầu tư IDICO</v>
      </c>
      <c r="D552" t="str">
        <f>Sheet4!D531</f>
        <v>HNX</v>
      </c>
      <c r="E552" s="7">
        <f>Sheet4!AH531/1000000000</f>
        <v>1004.4</v>
      </c>
      <c r="F552" t="str">
        <f>Sheet4!E531</f>
        <v>Công nghiệp</v>
      </c>
      <c r="G552" t="str">
        <f>Sheet4!F531</f>
        <v>Hàng &amp; Dịch vụ Công nghiệp</v>
      </c>
      <c r="H552" t="str">
        <f>Sheet4!G531</f>
        <v>Containers &amp; Đóng gói</v>
      </c>
      <c r="I552" s="9" t="str" cm="1">
        <f t="array" ref="I55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52" s="9" t="str" cm="1">
        <f t="array" ref="J55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52" s="10" cm="1">
        <f t="array" ref="K55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52" s="10" cm="1">
        <f t="array" ref="L55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52" s="9" t="str" cm="1">
        <f t="array" ref="M55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52" s="9" t="str" cm="1">
        <f t="array" ref="N55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52" s="10" cm="1">
        <f t="array" ref="O552">IFERROR(INDEX(Sheet4!$2:$1605,MATCH(ChiTietKQKD[[#This Row],[Mã CP]],Sheet4!$B$2:$B$1605,0),_xlfn.XMATCH("*Tăng trưởng lợi nhuận sau thuế (YoY) (Quý*",Sheet4!$1:$1,2)),"")</f>
        <v>0</v>
      </c>
      <c r="P552" s="10" cm="1">
        <f t="array" ref="P552">IFERROR(INDEX(Sheet4!$2:$1605,MATCH(ChiTietKQKD[[#This Row],[Mã CP]],Sheet4!$B$2:$B$1605,0),_xlfn.XMATCH("*Tăng trưởng lợi nhuận sau thuế (YoY) (6M)*",Sheet4!$1:$1,2)),"")</f>
        <v>0</v>
      </c>
      <c r="Q552" s="10" cm="1">
        <f t="array" ref="Q552">IFERROR(INDEX(Sheet4!$2:$1605,MATCH(ChiTietKQKD[[#This Row],[Mã CP]],Sheet4!$B$2:$B$1605,0),_xlfn.XMATCH("*Tăng trưởng doanh thu thuần (QoQ)*",Sheet4!$1:$1,2)),"")</f>
        <v>0</v>
      </c>
      <c r="R552" s="10" cm="1">
        <f t="array" ref="R552">IFERROR(INDEX(Sheet4!$2:$1605,MATCH(ChiTietKQKD[[#This Row],[Mã CP]],Sheet4!$B$2:$B$1605,0),_xlfn.XMATCH("*Tăng trưởng lợi nhuận sau thuế (QoQ)*",Sheet4!$1:$1,2)),"")</f>
        <v>0</v>
      </c>
    </row>
    <row r="553" spans="1:18" x14ac:dyDescent="0.25">
      <c r="A553" s="7">
        <f>Sheet4!A532</f>
        <v>531</v>
      </c>
      <c r="B553" t="str">
        <f>Sheet4!B532</f>
        <v>IPA</v>
      </c>
      <c r="C553" t="str">
        <f>Sheet4!C531</f>
        <v>Bao bì và In Nông Nghiệp</v>
      </c>
      <c r="D553" t="str">
        <f>Sheet4!D532</f>
        <v>HNX</v>
      </c>
      <c r="E553" s="7">
        <f>Sheet4!AH532/1000000000</f>
        <v>3100.6187375</v>
      </c>
      <c r="F553" t="str">
        <f>Sheet4!E532</f>
        <v>Công nghiệp</v>
      </c>
      <c r="G553" t="str">
        <f>Sheet4!F532</f>
        <v>Hàng &amp; Dịch vụ Công nghiệp</v>
      </c>
      <c r="H553" t="str">
        <f>Sheet4!G532</f>
        <v>Tư vấn &amp; Hỗ trợ KD</v>
      </c>
      <c r="I553" s="9" t="str" cm="1">
        <f t="array" ref="I55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53" s="9" t="str" cm="1">
        <f t="array" ref="J55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53" s="10" cm="1">
        <f t="array" ref="K55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53" s="10" cm="1">
        <f t="array" ref="L55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53" s="9" t="str" cm="1">
        <f t="array" ref="M55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53" s="9" t="str" cm="1">
        <f t="array" ref="N55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53" s="10" cm="1">
        <f t="array" ref="O553">IFERROR(INDEX(Sheet4!$2:$1605,MATCH(ChiTietKQKD[[#This Row],[Mã CP]],Sheet4!$B$2:$B$1605,0),_xlfn.XMATCH("*Tăng trưởng lợi nhuận sau thuế (YoY) (Quý*",Sheet4!$1:$1,2)),"")</f>
        <v>0</v>
      </c>
      <c r="P553" s="10" cm="1">
        <f t="array" ref="P553">IFERROR(INDEX(Sheet4!$2:$1605,MATCH(ChiTietKQKD[[#This Row],[Mã CP]],Sheet4!$B$2:$B$1605,0),_xlfn.XMATCH("*Tăng trưởng lợi nhuận sau thuế (YoY) (6M)*",Sheet4!$1:$1,2)),"")</f>
        <v>0</v>
      </c>
      <c r="Q553" s="10" cm="1">
        <f t="array" ref="Q553">IFERROR(INDEX(Sheet4!$2:$1605,MATCH(ChiTietKQKD[[#This Row],[Mã CP]],Sheet4!$B$2:$B$1605,0),_xlfn.XMATCH("*Tăng trưởng doanh thu thuần (QoQ)*",Sheet4!$1:$1,2)),"")</f>
        <v>0</v>
      </c>
      <c r="R553" s="10" cm="1">
        <f t="array" ref="R553">IFERROR(INDEX(Sheet4!$2:$1605,MATCH(ChiTietKQKD[[#This Row],[Mã CP]],Sheet4!$B$2:$B$1605,0),_xlfn.XMATCH("*Tăng trưởng lợi nhuận sau thuế (QoQ)*",Sheet4!$1:$1,2)),"")</f>
        <v>0</v>
      </c>
    </row>
    <row r="554" spans="1:18" x14ac:dyDescent="0.25">
      <c r="A554" s="7">
        <f>Sheet4!A533</f>
        <v>532</v>
      </c>
      <c r="B554" t="str">
        <f>Sheet4!B533</f>
        <v>ITQ</v>
      </c>
      <c r="C554" t="str">
        <f>Sheet4!C532</f>
        <v>Tập đoàn Đầu tư I.P.A</v>
      </c>
      <c r="D554" t="str">
        <f>Sheet4!D533</f>
        <v>HNX</v>
      </c>
      <c r="E554" s="7">
        <f>Sheet4!AH533/1000000000</f>
        <v>79.608262499999995</v>
      </c>
      <c r="F554" t="str">
        <f>Sheet4!E533</f>
        <v>Nguyên vật liệu</v>
      </c>
      <c r="G554" t="str">
        <f>Sheet4!F533</f>
        <v>Tài nguyên Cơ bản</v>
      </c>
      <c r="H554" t="str">
        <f>Sheet4!G533</f>
        <v>Thép và sản phẩm thép</v>
      </c>
      <c r="I554" s="9" cm="1">
        <f t="array" ref="I55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214.49560302</v>
      </c>
      <c r="J554" s="9" cm="1">
        <f t="array" ref="J55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379.14553488799999</v>
      </c>
      <c r="K554" s="10" cm="1">
        <f t="array" ref="K55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0.33110000000000001</v>
      </c>
      <c r="L554" s="10" cm="1">
        <f t="array" ref="L55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0.35</v>
      </c>
      <c r="M554" s="9" cm="1">
        <f t="array" ref="M554">_xlfn.LET(_xlpm.val,IFERROR(INDEX(Sheet4!$2:$1605,MATCH(ChiTietKQKD[[#This Row],[Mã CP]],Sheet4!$B$2:$B$1605,0),_xlfn.XMATCH("*Lợi nhuận sau thuế*Q2*2026*",Sheet4!$1:$1,2)),0),IF(OR(_xlpm.val="",_xlpm.val=0),"",_xlpm.val/1000000000))</f>
        <v>6.8996778890000003</v>
      </c>
      <c r="N554" s="9" cm="1">
        <f t="array" ref="N554">_xlfn.LET(_xlpm.val,IFERROR(INDEX(Sheet4!$2:$1605,MATCH(ChiTietKQKD[[#This Row],[Mã CP]],Sheet4!$B$2:$B$1605,0),_xlfn.XMATCH("*Lợi nhuận sau thuế*6 tháng*2026*",Sheet4!$1:$1,2)),0),IF(OR(_xlpm.val="",_xlpm.val=0),"",_xlpm.val/1000000000))</f>
        <v>7.9502494690000001</v>
      </c>
      <c r="O554" s="10" cm="1">
        <f t="array" ref="O554">IFERROR(INDEX(Sheet4!$2:$1605,MATCH(ChiTietKQKD[[#This Row],[Mã CP]],Sheet4!$B$2:$B$1605,0),_xlfn.XMATCH("*Tăng trưởng lợi nhuận sau thuế (YoY) (Quý*",Sheet4!$1:$1,2)),"")</f>
        <v>10.064299999999999</v>
      </c>
      <c r="P554" s="10" cm="1">
        <f t="array" ref="P554">IFERROR(INDEX(Sheet4!$2:$1605,MATCH(ChiTietKQKD[[#This Row],[Mã CP]],Sheet4!$B$2:$B$1605,0),_xlfn.XMATCH("*Tăng trưởng lợi nhuận sau thuế (YoY) (6M)*",Sheet4!$1:$1,2)),"")</f>
        <v>9.7424999999999997</v>
      </c>
      <c r="Q554" s="10" cm="1">
        <f t="array" ref="Q554">IFERROR(INDEX(Sheet4!$2:$1605,MATCH(ChiTietKQKD[[#This Row],[Mã CP]],Sheet4!$B$2:$B$1605,0),_xlfn.XMATCH("*Tăng trưởng doanh thu thuần (QoQ)*",Sheet4!$1:$1,2)),"")</f>
        <v>0.30270000000000002</v>
      </c>
      <c r="R554" s="10" cm="1">
        <f t="array" ref="R554">IFERROR(INDEX(Sheet4!$2:$1605,MATCH(ChiTietKQKD[[#This Row],[Mã CP]],Sheet4!$B$2:$B$1605,0),_xlfn.XMATCH("*Tăng trưởng lợi nhuận sau thuế (QoQ)*",Sheet4!$1:$1,2)),"")</f>
        <v>5.5674999999999999</v>
      </c>
    </row>
    <row r="555" spans="1:18" x14ac:dyDescent="0.25">
      <c r="A555" s="7">
        <f>Sheet4!A534</f>
        <v>533</v>
      </c>
      <c r="B555" t="str">
        <f>Sheet4!B534</f>
        <v>IVS</v>
      </c>
      <c r="C555" t="str">
        <f>Sheet4!C533</f>
        <v>Tập đoàn Thiên Quang</v>
      </c>
      <c r="D555" t="str">
        <f>Sheet4!D534</f>
        <v>HNX</v>
      </c>
      <c r="E555" s="7">
        <f>Sheet4!AH534/1000000000</f>
        <v>650.52468320000003</v>
      </c>
      <c r="F555" t="str">
        <f>Sheet4!E534</f>
        <v>Tài chính</v>
      </c>
      <c r="G555" t="str">
        <f>Sheet4!F534</f>
        <v>Dịch vụ tài chính</v>
      </c>
      <c r="H555" t="str">
        <f>Sheet4!G534</f>
        <v>Môi giới chứng khoán</v>
      </c>
      <c r="I555" s="9" cm="1">
        <f t="array" ref="I55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34.615809179999999</v>
      </c>
      <c r="J555" s="9" cm="1">
        <f t="array" ref="J55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65.513401732000005</v>
      </c>
      <c r="K555" s="10" cm="1">
        <f t="array" ref="K55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0.28770000000000001</v>
      </c>
      <c r="L555" s="10" cm="1">
        <f t="array" ref="L55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0.44469999999999998</v>
      </c>
      <c r="M555" s="9" cm="1">
        <f t="array" ref="M555">_xlfn.LET(_xlpm.val,IFERROR(INDEX(Sheet4!$2:$1605,MATCH(ChiTietKQKD[[#This Row],[Mã CP]],Sheet4!$B$2:$B$1605,0),_xlfn.XMATCH("*Lợi nhuận sau thuế*Q2*2026*",Sheet4!$1:$1,2)),0),IF(OR(_xlpm.val="",_xlpm.val=0),"",_xlpm.val/1000000000))</f>
        <v>11.745183982</v>
      </c>
      <c r="N555" s="9" cm="1">
        <f t="array" ref="N555">_xlfn.LET(_xlpm.val,IFERROR(INDEX(Sheet4!$2:$1605,MATCH(ChiTietKQKD[[#This Row],[Mã CP]],Sheet4!$B$2:$B$1605,0),_xlfn.XMATCH("*Lợi nhuận sau thuế*6 tháng*2026*",Sheet4!$1:$1,2)),0),IF(OR(_xlpm.val="",_xlpm.val=0),"",_xlpm.val/1000000000))</f>
        <v>22.661794237999999</v>
      </c>
      <c r="O555" s="10" cm="1">
        <f t="array" ref="O555">IFERROR(INDEX(Sheet4!$2:$1605,MATCH(ChiTietKQKD[[#This Row],[Mã CP]],Sheet4!$B$2:$B$1605,0),_xlfn.XMATCH("*Tăng trưởng lợi nhuận sau thuế (YoY) (Quý*",Sheet4!$1:$1,2)),"")</f>
        <v>0.29820000000000002</v>
      </c>
      <c r="P555" s="10" cm="1">
        <f t="array" ref="P555">IFERROR(INDEX(Sheet4!$2:$1605,MATCH(ChiTietKQKD[[#This Row],[Mã CP]],Sheet4!$B$2:$B$1605,0),_xlfn.XMATCH("*Tăng trưởng lợi nhuận sau thuế (YoY) (6M)*",Sheet4!$1:$1,2)),"")</f>
        <v>0.71950000000000003</v>
      </c>
      <c r="Q555" s="10" cm="1">
        <f t="array" ref="Q555">IFERROR(INDEX(Sheet4!$2:$1605,MATCH(ChiTietKQKD[[#This Row],[Mã CP]],Sheet4!$B$2:$B$1605,0),_xlfn.XMATCH("*Tăng trưởng doanh thu thuần (QoQ)*",Sheet4!$1:$1,2)),"")</f>
        <v>0.1203</v>
      </c>
      <c r="R555" s="10" cm="1">
        <f t="array" ref="R555">IFERROR(INDEX(Sheet4!$2:$1605,MATCH(ChiTietKQKD[[#This Row],[Mã CP]],Sheet4!$B$2:$B$1605,0),_xlfn.XMATCH("*Tăng trưởng lợi nhuận sau thuế (QoQ)*",Sheet4!$1:$1,2)),"")</f>
        <v>7.5899999999999995E-2</v>
      </c>
    </row>
    <row r="556" spans="1:18" x14ac:dyDescent="0.25">
      <c r="A556" s="7">
        <f>Sheet4!A535</f>
        <v>534</v>
      </c>
      <c r="B556" t="str">
        <f>Sheet4!B535</f>
        <v>KDM</v>
      </c>
      <c r="C556" t="str">
        <f>Sheet4!C534</f>
        <v>Chứng khoán Guotai Haitong (Việt Nam)</v>
      </c>
      <c r="D556" t="str">
        <f>Sheet4!D535</f>
        <v>HNX</v>
      </c>
      <c r="E556" s="7">
        <f>Sheet4!AH535/1000000000</f>
        <v>165.6141858</v>
      </c>
      <c r="F556" t="str">
        <f>Sheet4!E535</f>
        <v>Công nghiệp</v>
      </c>
      <c r="G556" t="str">
        <f>Sheet4!F535</f>
        <v>Xây dựng và Vật liệu</v>
      </c>
      <c r="H556" t="str">
        <f>Sheet4!G535</f>
        <v>Xây dựng</v>
      </c>
      <c r="I556" s="9" t="str" cm="1">
        <f t="array" ref="I55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56" s="9" t="str" cm="1">
        <f t="array" ref="J55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56" s="10" cm="1">
        <f t="array" ref="K55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56" s="10" cm="1">
        <f t="array" ref="L55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56" s="9" t="str" cm="1">
        <f t="array" ref="M55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56" s="9" t="str" cm="1">
        <f t="array" ref="N55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56" s="10" cm="1">
        <f t="array" ref="O556">IFERROR(INDEX(Sheet4!$2:$1605,MATCH(ChiTietKQKD[[#This Row],[Mã CP]],Sheet4!$B$2:$B$1605,0),_xlfn.XMATCH("*Tăng trưởng lợi nhuận sau thuế (YoY) (Quý*",Sheet4!$1:$1,2)),"")</f>
        <v>0</v>
      </c>
      <c r="P556" s="10" cm="1">
        <f t="array" ref="P556">IFERROR(INDEX(Sheet4!$2:$1605,MATCH(ChiTietKQKD[[#This Row],[Mã CP]],Sheet4!$B$2:$B$1605,0),_xlfn.XMATCH("*Tăng trưởng lợi nhuận sau thuế (YoY) (6M)*",Sheet4!$1:$1,2)),"")</f>
        <v>0</v>
      </c>
      <c r="Q556" s="10" cm="1">
        <f t="array" ref="Q556">IFERROR(INDEX(Sheet4!$2:$1605,MATCH(ChiTietKQKD[[#This Row],[Mã CP]],Sheet4!$B$2:$B$1605,0),_xlfn.XMATCH("*Tăng trưởng doanh thu thuần (QoQ)*",Sheet4!$1:$1,2)),"")</f>
        <v>0</v>
      </c>
      <c r="R556" s="10" cm="1">
        <f t="array" ref="R556">IFERROR(INDEX(Sheet4!$2:$1605,MATCH(ChiTietKQKD[[#This Row],[Mã CP]],Sheet4!$B$2:$B$1605,0),_xlfn.XMATCH("*Tăng trưởng lợi nhuận sau thuế (QoQ)*",Sheet4!$1:$1,2)),"")</f>
        <v>0</v>
      </c>
    </row>
    <row r="557" spans="1:18" x14ac:dyDescent="0.25">
      <c r="A557" s="7">
        <f>Sheet4!A536</f>
        <v>535</v>
      </c>
      <c r="B557" t="str">
        <f>Sheet4!B536</f>
        <v>KHS</v>
      </c>
      <c r="C557" t="str">
        <f>Sheet4!C535</f>
        <v>Tập đoàn GCL</v>
      </c>
      <c r="D557" t="str">
        <f>Sheet4!D536</f>
        <v>HNX</v>
      </c>
      <c r="E557" s="7">
        <f>Sheet4!AH536/1000000000</f>
        <v>194.24619519999999</v>
      </c>
      <c r="F557" t="str">
        <f>Sheet4!E536</f>
        <v>Hàng Tiêu dùng</v>
      </c>
      <c r="G557" t="str">
        <f>Sheet4!F536</f>
        <v>Thực phẩm và đồ uống</v>
      </c>
      <c r="H557" t="str">
        <f>Sheet4!G536</f>
        <v>Nuôi trồng nông &amp; hải sản</v>
      </c>
      <c r="I557" s="9" cm="1">
        <f t="array" ref="I55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205.071719172</v>
      </c>
      <c r="J557" s="9" cm="1">
        <f t="array" ref="J55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392.03667857599999</v>
      </c>
      <c r="K557" s="10" cm="1">
        <f t="array" ref="K55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0.1053</v>
      </c>
      <c r="L557" s="10" cm="1">
        <f t="array" ref="L55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57" s="9" cm="1">
        <f t="array" ref="M557">_xlfn.LET(_xlpm.val,IFERROR(INDEX(Sheet4!$2:$1605,MATCH(ChiTietKQKD[[#This Row],[Mã CP]],Sheet4!$B$2:$B$1605,0),_xlfn.XMATCH("*Lợi nhuận sau thuế*Q2*2026*",Sheet4!$1:$1,2)),0),IF(OR(_xlpm.val="",_xlpm.val=0),"",_xlpm.val/1000000000))</f>
        <v>20.302418996</v>
      </c>
      <c r="N557" s="9" cm="1">
        <f t="array" ref="N557">_xlfn.LET(_xlpm.val,IFERROR(INDEX(Sheet4!$2:$1605,MATCH(ChiTietKQKD[[#This Row],[Mã CP]],Sheet4!$B$2:$B$1605,0),_xlfn.XMATCH("*Lợi nhuận sau thuế*6 tháng*2026*",Sheet4!$1:$1,2)),0),IF(OR(_xlpm.val="",_xlpm.val=0),"",_xlpm.val/1000000000))</f>
        <v>29.440148697000001</v>
      </c>
      <c r="O557" s="10" cm="1">
        <f t="array" ref="O557">IFERROR(INDEX(Sheet4!$2:$1605,MATCH(ChiTietKQKD[[#This Row],[Mã CP]],Sheet4!$B$2:$B$1605,0),_xlfn.XMATCH("*Tăng trưởng lợi nhuận sau thuế (YoY) (Quý*",Sheet4!$1:$1,2)),"")</f>
        <v>0.51400000000000001</v>
      </c>
      <c r="P557" s="10" cm="1">
        <f t="array" ref="P557">IFERROR(INDEX(Sheet4!$2:$1605,MATCH(ChiTietKQKD[[#This Row],[Mã CP]],Sheet4!$B$2:$B$1605,0),_xlfn.XMATCH("*Tăng trưởng lợi nhuận sau thuế (YoY) (6M)*",Sheet4!$1:$1,2)),"")</f>
        <v>0</v>
      </c>
      <c r="Q557" s="10" cm="1">
        <f t="array" ref="Q557">IFERROR(INDEX(Sheet4!$2:$1605,MATCH(ChiTietKQKD[[#This Row],[Mã CP]],Sheet4!$B$2:$B$1605,0),_xlfn.XMATCH("*Tăng trưởng doanh thu thuần (QoQ)*",Sheet4!$1:$1,2)),"")</f>
        <v>9.6799999999999997E-2</v>
      </c>
      <c r="R557" s="10" cm="1">
        <f t="array" ref="R557">IFERROR(INDEX(Sheet4!$2:$1605,MATCH(ChiTietKQKD[[#This Row],[Mã CP]],Sheet4!$B$2:$B$1605,0),_xlfn.XMATCH("*Tăng trưởng lợi nhuận sau thuế (QoQ)*",Sheet4!$1:$1,2)),"")</f>
        <v>1.2218</v>
      </c>
    </row>
    <row r="558" spans="1:18" x14ac:dyDescent="0.25">
      <c r="A558" s="7">
        <f>Sheet4!A537</f>
        <v>536</v>
      </c>
      <c r="B558" t="str">
        <f>Sheet4!B537</f>
        <v>KKC</v>
      </c>
      <c r="C558" t="str">
        <f>Sheet4!C536</f>
        <v>Thủy sản Kiên Hùng</v>
      </c>
      <c r="D558" t="str">
        <f>Sheet4!D537</f>
        <v>HNX</v>
      </c>
      <c r="E558" s="7">
        <f>Sheet4!AH537/1000000000</f>
        <v>30.6789144</v>
      </c>
      <c r="F558" t="str">
        <f>Sheet4!E537</f>
        <v>Nguyên vật liệu</v>
      </c>
      <c r="G558" t="str">
        <f>Sheet4!F537</f>
        <v>Tài nguyên Cơ bản</v>
      </c>
      <c r="H558" t="str">
        <f>Sheet4!G537</f>
        <v>Thép và sản phẩm thép</v>
      </c>
      <c r="I558" s="9" cm="1">
        <f t="array" ref="I55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0.92513459499999995</v>
      </c>
      <c r="J558" s="9" cm="1">
        <f t="array" ref="J55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3.0265703070000001</v>
      </c>
      <c r="K558" s="10" cm="1">
        <f t="array" ref="K55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-0.86199999999999999</v>
      </c>
      <c r="L558" s="10" cm="1">
        <f t="array" ref="L55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58" s="9" cm="1">
        <f t="array" ref="M558">_xlfn.LET(_xlpm.val,IFERROR(INDEX(Sheet4!$2:$1605,MATCH(ChiTietKQKD[[#This Row],[Mã CP]],Sheet4!$B$2:$B$1605,0),_xlfn.XMATCH("*Lợi nhuận sau thuế*Q2*2026*",Sheet4!$1:$1,2)),0),IF(OR(_xlpm.val="",_xlpm.val=0),"",_xlpm.val/1000000000))</f>
        <v>0.79812260199999996</v>
      </c>
      <c r="N558" s="9" cm="1">
        <f t="array" ref="N558">_xlfn.LET(_xlpm.val,IFERROR(INDEX(Sheet4!$2:$1605,MATCH(ChiTietKQKD[[#This Row],[Mã CP]],Sheet4!$B$2:$B$1605,0),_xlfn.XMATCH("*Lợi nhuận sau thuế*6 tháng*2026*",Sheet4!$1:$1,2)),0),IF(OR(_xlpm.val="",_xlpm.val=0),"",_xlpm.val/1000000000))</f>
        <v>2.238354937</v>
      </c>
      <c r="O558" s="10" cm="1">
        <f t="array" ref="O558">IFERROR(INDEX(Sheet4!$2:$1605,MATCH(ChiTietKQKD[[#This Row],[Mã CP]],Sheet4!$B$2:$B$1605,0),_xlfn.XMATCH("*Tăng trưởng lợi nhuận sau thuế (YoY) (Quý*",Sheet4!$1:$1,2)),"")</f>
        <v>2.0777000000000001</v>
      </c>
      <c r="P558" s="10" cm="1">
        <f t="array" ref="P558">IFERROR(INDEX(Sheet4!$2:$1605,MATCH(ChiTietKQKD[[#This Row],[Mã CP]],Sheet4!$B$2:$B$1605,0),_xlfn.XMATCH("*Tăng trưởng lợi nhuận sau thuế (YoY) (6M)*",Sheet4!$1:$1,2)),"")</f>
        <v>0</v>
      </c>
      <c r="Q558" s="10" cm="1">
        <f t="array" ref="Q558">IFERROR(INDEX(Sheet4!$2:$1605,MATCH(ChiTietKQKD[[#This Row],[Mã CP]],Sheet4!$B$2:$B$1605,0),_xlfn.XMATCH("*Tăng trưởng doanh thu thuần (QoQ)*",Sheet4!$1:$1,2)),"")</f>
        <v>-0.55979999999999996</v>
      </c>
      <c r="R558" s="10" cm="1">
        <f t="array" ref="R558">IFERROR(INDEX(Sheet4!$2:$1605,MATCH(ChiTietKQKD[[#This Row],[Mã CP]],Sheet4!$B$2:$B$1605,0),_xlfn.XMATCH("*Tăng trưởng lợi nhuận sau thuế (QoQ)*",Sheet4!$1:$1,2)),"")</f>
        <v>-0.44579999999999997</v>
      </c>
    </row>
    <row r="559" spans="1:18" x14ac:dyDescent="0.25">
      <c r="A559" s="7">
        <f>Sheet4!A538</f>
        <v>537</v>
      </c>
      <c r="B559" t="str">
        <f>Sheet4!B538</f>
        <v>KMT</v>
      </c>
      <c r="C559" t="str">
        <f>Sheet4!C537</f>
        <v>Tập đoàn Thành Thái</v>
      </c>
      <c r="D559" t="str">
        <f>Sheet4!D538</f>
        <v>HNX</v>
      </c>
      <c r="E559" s="7">
        <f>Sheet4!AH538/1000000000</f>
        <v>129.9746184</v>
      </c>
      <c r="F559" t="str">
        <f>Sheet4!E538</f>
        <v>Nguyên vật liệu</v>
      </c>
      <c r="G559" t="str">
        <f>Sheet4!F538</f>
        <v>Tài nguyên Cơ bản</v>
      </c>
      <c r="H559" t="str">
        <f>Sheet4!G538</f>
        <v>Thép và sản phẩm thép</v>
      </c>
      <c r="I559" s="9" t="str" cm="1">
        <f t="array" ref="I55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59" s="9" t="str" cm="1">
        <f t="array" ref="J55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59" s="10" cm="1">
        <f t="array" ref="K55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59" s="10" cm="1">
        <f t="array" ref="L55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59" s="9" t="str" cm="1">
        <f t="array" ref="M55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59" s="9" t="str" cm="1">
        <f t="array" ref="N55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59" s="10" cm="1">
        <f t="array" ref="O559">IFERROR(INDEX(Sheet4!$2:$1605,MATCH(ChiTietKQKD[[#This Row],[Mã CP]],Sheet4!$B$2:$B$1605,0),_xlfn.XMATCH("*Tăng trưởng lợi nhuận sau thuế (YoY) (Quý*",Sheet4!$1:$1,2)),"")</f>
        <v>0</v>
      </c>
      <c r="P559" s="10" cm="1">
        <f t="array" ref="P559">IFERROR(INDEX(Sheet4!$2:$1605,MATCH(ChiTietKQKD[[#This Row],[Mã CP]],Sheet4!$B$2:$B$1605,0),_xlfn.XMATCH("*Tăng trưởng lợi nhuận sau thuế (YoY) (6M)*",Sheet4!$1:$1,2)),"")</f>
        <v>0</v>
      </c>
      <c r="Q559" s="10" cm="1">
        <f t="array" ref="Q559">IFERROR(INDEX(Sheet4!$2:$1605,MATCH(ChiTietKQKD[[#This Row],[Mã CP]],Sheet4!$B$2:$B$1605,0),_xlfn.XMATCH("*Tăng trưởng doanh thu thuần (QoQ)*",Sheet4!$1:$1,2)),"")</f>
        <v>0</v>
      </c>
      <c r="R559" s="10" cm="1">
        <f t="array" ref="R559">IFERROR(INDEX(Sheet4!$2:$1605,MATCH(ChiTietKQKD[[#This Row],[Mã CP]],Sheet4!$B$2:$B$1605,0),_xlfn.XMATCH("*Tăng trưởng lợi nhuận sau thuế (QoQ)*",Sheet4!$1:$1,2)),"")</f>
        <v>0</v>
      </c>
    </row>
    <row r="560" spans="1:18" x14ac:dyDescent="0.25">
      <c r="A560" s="7">
        <f>Sheet4!A539</f>
        <v>538</v>
      </c>
      <c r="B560" t="str">
        <f>Sheet4!B539</f>
        <v>KSD</v>
      </c>
      <c r="C560" t="str">
        <f>Sheet4!C538</f>
        <v>Kim khí Miền Trung</v>
      </c>
      <c r="D560" t="str">
        <f>Sheet4!D539</f>
        <v>HNX</v>
      </c>
      <c r="E560" s="7">
        <f>Sheet4!AH539/1000000000</f>
        <v>58.8</v>
      </c>
      <c r="F560" t="str">
        <f>Sheet4!E539</f>
        <v>Hàng Tiêu dùng</v>
      </c>
      <c r="G560" t="str">
        <f>Sheet4!F539</f>
        <v>Hàng cá nhân &amp; Gia dụng</v>
      </c>
      <c r="H560" t="str">
        <f>Sheet4!G539</f>
        <v>Đồ gia dụng lâu bền</v>
      </c>
      <c r="I560" s="9" cm="1">
        <f t="array" ref="I56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4.6970861160000004</v>
      </c>
      <c r="J560" s="9" cm="1">
        <f t="array" ref="J56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12.374044979000001</v>
      </c>
      <c r="K560" s="10" cm="1">
        <f t="array" ref="K56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-0.40400000000000003</v>
      </c>
      <c r="L560" s="10" cm="1">
        <f t="array" ref="L56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60" s="9" cm="1">
        <f t="array" ref="M560">_xlfn.LET(_xlpm.val,IFERROR(INDEX(Sheet4!$2:$1605,MATCH(ChiTietKQKD[[#This Row],[Mã CP]],Sheet4!$B$2:$B$1605,0),_xlfn.XMATCH("*Lợi nhuận sau thuế*Q2*2026*",Sheet4!$1:$1,2)),0),IF(OR(_xlpm.val="",_xlpm.val=0),"",_xlpm.val/1000000000))</f>
        <v>-0.16894529</v>
      </c>
      <c r="N560" s="9" cm="1">
        <f t="array" ref="N560">_xlfn.LET(_xlpm.val,IFERROR(INDEX(Sheet4!$2:$1605,MATCH(ChiTietKQKD[[#This Row],[Mã CP]],Sheet4!$B$2:$B$1605,0),_xlfn.XMATCH("*Lợi nhuận sau thuế*6 tháng*2026*",Sheet4!$1:$1,2)),0),IF(OR(_xlpm.val="",_xlpm.val=0),"",_xlpm.val/1000000000))</f>
        <v>-1.021646179</v>
      </c>
      <c r="O560" s="10" cm="1">
        <f t="array" ref="O560">IFERROR(INDEX(Sheet4!$2:$1605,MATCH(ChiTietKQKD[[#This Row],[Mã CP]],Sheet4!$B$2:$B$1605,0),_xlfn.XMATCH("*Tăng trưởng lợi nhuận sau thuế (YoY) (Quý*",Sheet4!$1:$1,2)),"")</f>
        <v>0.89780000000000004</v>
      </c>
      <c r="P560" s="10" cm="1">
        <f t="array" ref="P560">IFERROR(INDEX(Sheet4!$2:$1605,MATCH(ChiTietKQKD[[#This Row],[Mã CP]],Sheet4!$B$2:$B$1605,0),_xlfn.XMATCH("*Tăng trưởng lợi nhuận sau thuế (YoY) (6M)*",Sheet4!$1:$1,2)),"")</f>
        <v>0</v>
      </c>
      <c r="Q560" s="10" cm="1">
        <f t="array" ref="Q560">IFERROR(INDEX(Sheet4!$2:$1605,MATCH(ChiTietKQKD[[#This Row],[Mã CP]],Sheet4!$B$2:$B$1605,0),_xlfn.XMATCH("*Tăng trưởng doanh thu thuần (QoQ)*",Sheet4!$1:$1,2)),"")</f>
        <v>-0.36649999999999999</v>
      </c>
      <c r="R560" s="10" cm="1">
        <f t="array" ref="R560">IFERROR(INDEX(Sheet4!$2:$1605,MATCH(ChiTietKQKD[[#This Row],[Mã CP]],Sheet4!$B$2:$B$1605,0),_xlfn.XMATCH("*Tăng trưởng lợi nhuận sau thuế (QoQ)*",Sheet4!$1:$1,2)),"")</f>
        <v>0.81420000000000003</v>
      </c>
    </row>
    <row r="561" spans="1:18" x14ac:dyDescent="0.25">
      <c r="A561" s="7">
        <f>Sheet4!A540</f>
        <v>539</v>
      </c>
      <c r="B561" t="str">
        <f>Sheet4!B540</f>
        <v>KSF</v>
      </c>
      <c r="C561" t="str">
        <f>Sheet4!C539</f>
        <v>Đầu tư DNA</v>
      </c>
      <c r="D561" t="str">
        <f>Sheet4!D540</f>
        <v>HNX</v>
      </c>
      <c r="E561" s="7">
        <f>Sheet4!AH540/1000000000</f>
        <v>70183.410023999997</v>
      </c>
      <c r="F561" t="str">
        <f>Sheet4!E540</f>
        <v>Tài chính</v>
      </c>
      <c r="G561" t="str">
        <f>Sheet4!F540</f>
        <v>Bất động sản</v>
      </c>
      <c r="H561" t="str">
        <f>Sheet4!G540</f>
        <v>Bất động sản</v>
      </c>
      <c r="I561" s="9" t="str" cm="1">
        <f t="array" ref="I56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61" s="9" t="str" cm="1">
        <f t="array" ref="J56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61" s="10" cm="1">
        <f t="array" ref="K56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61" s="10" cm="1">
        <f t="array" ref="L56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61" s="9" t="str" cm="1">
        <f t="array" ref="M56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61" s="9" t="str" cm="1">
        <f t="array" ref="N56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61" s="10" cm="1">
        <f t="array" ref="O561">IFERROR(INDEX(Sheet4!$2:$1605,MATCH(ChiTietKQKD[[#This Row],[Mã CP]],Sheet4!$B$2:$B$1605,0),_xlfn.XMATCH("*Tăng trưởng lợi nhuận sau thuế (YoY) (Quý*",Sheet4!$1:$1,2)),"")</f>
        <v>0</v>
      </c>
      <c r="P561" s="10" cm="1">
        <f t="array" ref="P561">IFERROR(INDEX(Sheet4!$2:$1605,MATCH(ChiTietKQKD[[#This Row],[Mã CP]],Sheet4!$B$2:$B$1605,0),_xlfn.XMATCH("*Tăng trưởng lợi nhuận sau thuế (YoY) (6M)*",Sheet4!$1:$1,2)),"")</f>
        <v>0</v>
      </c>
      <c r="Q561" s="10" cm="1">
        <f t="array" ref="Q561">IFERROR(INDEX(Sheet4!$2:$1605,MATCH(ChiTietKQKD[[#This Row],[Mã CP]],Sheet4!$B$2:$B$1605,0),_xlfn.XMATCH("*Tăng trưởng doanh thu thuần (QoQ)*",Sheet4!$1:$1,2)),"")</f>
        <v>0</v>
      </c>
      <c r="R561" s="10" cm="1">
        <f t="array" ref="R561">IFERROR(INDEX(Sheet4!$2:$1605,MATCH(ChiTietKQKD[[#This Row],[Mã CP]],Sheet4!$B$2:$B$1605,0),_xlfn.XMATCH("*Tăng trưởng lợi nhuận sau thuế (QoQ)*",Sheet4!$1:$1,2)),"")</f>
        <v>0</v>
      </c>
    </row>
    <row r="562" spans="1:18" x14ac:dyDescent="0.25">
      <c r="A562" s="7">
        <f>Sheet4!A541</f>
        <v>540</v>
      </c>
      <c r="B562" t="str">
        <f>Sheet4!B541</f>
        <v>KST</v>
      </c>
      <c r="C562" t="str">
        <f>Sheet4!C540</f>
        <v>Tập đoàn Sunshine</v>
      </c>
      <c r="D562" t="str">
        <f>Sheet4!D541</f>
        <v>HNX</v>
      </c>
      <c r="E562" s="7">
        <f>Sheet4!AH541/1000000000</f>
        <v>82.689875999999998</v>
      </c>
      <c r="F562" t="str">
        <f>Sheet4!E541</f>
        <v>Công nghệ Thông tin</v>
      </c>
      <c r="G562" t="str">
        <f>Sheet4!F541</f>
        <v>Công nghệ Thông tin</v>
      </c>
      <c r="H562" t="str">
        <f>Sheet4!G541</f>
        <v>Thiết bị viễn thông</v>
      </c>
      <c r="I562" s="9" t="str" cm="1">
        <f t="array" ref="I56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62" s="9" t="str" cm="1">
        <f t="array" ref="J56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62" s="10" cm="1">
        <f t="array" ref="K56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62" s="10" cm="1">
        <f t="array" ref="L56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62" s="9" t="str" cm="1">
        <f t="array" ref="M56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62" s="9" t="str" cm="1">
        <f t="array" ref="N56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62" s="10" cm="1">
        <f t="array" ref="O562">IFERROR(INDEX(Sheet4!$2:$1605,MATCH(ChiTietKQKD[[#This Row],[Mã CP]],Sheet4!$B$2:$B$1605,0),_xlfn.XMATCH("*Tăng trưởng lợi nhuận sau thuế (YoY) (Quý*",Sheet4!$1:$1,2)),"")</f>
        <v>0</v>
      </c>
      <c r="P562" s="10" cm="1">
        <f t="array" ref="P562">IFERROR(INDEX(Sheet4!$2:$1605,MATCH(ChiTietKQKD[[#This Row],[Mã CP]],Sheet4!$B$2:$B$1605,0),_xlfn.XMATCH("*Tăng trưởng lợi nhuận sau thuế (YoY) (6M)*",Sheet4!$1:$1,2)),"")</f>
        <v>0</v>
      </c>
      <c r="Q562" s="10" cm="1">
        <f t="array" ref="Q562">IFERROR(INDEX(Sheet4!$2:$1605,MATCH(ChiTietKQKD[[#This Row],[Mã CP]],Sheet4!$B$2:$B$1605,0),_xlfn.XMATCH("*Tăng trưởng doanh thu thuần (QoQ)*",Sheet4!$1:$1,2)),"")</f>
        <v>0</v>
      </c>
      <c r="R562" s="10" cm="1">
        <f t="array" ref="R562">IFERROR(INDEX(Sheet4!$2:$1605,MATCH(ChiTietKQKD[[#This Row],[Mã CP]],Sheet4!$B$2:$B$1605,0),_xlfn.XMATCH("*Tăng trưởng lợi nhuận sau thuế (QoQ)*",Sheet4!$1:$1,2)),"")</f>
        <v>0</v>
      </c>
    </row>
    <row r="563" spans="1:18" x14ac:dyDescent="0.25">
      <c r="A563" s="7">
        <f>Sheet4!A542</f>
        <v>541</v>
      </c>
      <c r="B563" t="str">
        <f>Sheet4!B542</f>
        <v>KSV</v>
      </c>
      <c r="C563" t="str">
        <f>Sheet4!C541</f>
        <v>KASATI</v>
      </c>
      <c r="D563" t="str">
        <f>Sheet4!D542</f>
        <v>HNX</v>
      </c>
      <c r="E563" s="7">
        <f>Sheet4!AH542/1000000000</f>
        <v>29070</v>
      </c>
      <c r="F563" t="str">
        <f>Sheet4!E542</f>
        <v>Nguyên vật liệu</v>
      </c>
      <c r="G563" t="str">
        <f>Sheet4!F542</f>
        <v>Tài nguyên Cơ bản</v>
      </c>
      <c r="H563" t="str">
        <f>Sheet4!G542</f>
        <v>Khai khoáng</v>
      </c>
      <c r="I563" s="9" t="str" cm="1">
        <f t="array" ref="I56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63" s="9" t="str" cm="1">
        <f t="array" ref="J56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63" s="10" cm="1">
        <f t="array" ref="K56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63" s="10" cm="1">
        <f t="array" ref="L56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63" s="9" t="str" cm="1">
        <f t="array" ref="M56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63" s="9" t="str" cm="1">
        <f t="array" ref="N56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63" s="10" cm="1">
        <f t="array" ref="O563">IFERROR(INDEX(Sheet4!$2:$1605,MATCH(ChiTietKQKD[[#This Row],[Mã CP]],Sheet4!$B$2:$B$1605,0),_xlfn.XMATCH("*Tăng trưởng lợi nhuận sau thuế (YoY) (Quý*",Sheet4!$1:$1,2)),"")</f>
        <v>0</v>
      </c>
      <c r="P563" s="10" cm="1">
        <f t="array" ref="P563">IFERROR(INDEX(Sheet4!$2:$1605,MATCH(ChiTietKQKD[[#This Row],[Mã CP]],Sheet4!$B$2:$B$1605,0),_xlfn.XMATCH("*Tăng trưởng lợi nhuận sau thuế (YoY) (6M)*",Sheet4!$1:$1,2)),"")</f>
        <v>0</v>
      </c>
      <c r="Q563" s="10" cm="1">
        <f t="array" ref="Q563">IFERROR(INDEX(Sheet4!$2:$1605,MATCH(ChiTietKQKD[[#This Row],[Mã CP]],Sheet4!$B$2:$B$1605,0),_xlfn.XMATCH("*Tăng trưởng doanh thu thuần (QoQ)*",Sheet4!$1:$1,2)),"")</f>
        <v>0</v>
      </c>
      <c r="R563" s="10" cm="1">
        <f t="array" ref="R563">IFERROR(INDEX(Sheet4!$2:$1605,MATCH(ChiTietKQKD[[#This Row],[Mã CP]],Sheet4!$B$2:$B$1605,0),_xlfn.XMATCH("*Tăng trưởng lợi nhuận sau thuế (QoQ)*",Sheet4!$1:$1,2)),"")</f>
        <v>0</v>
      </c>
    </row>
    <row r="564" spans="1:18" x14ac:dyDescent="0.25">
      <c r="A564" s="7">
        <f>Sheet4!A543</f>
        <v>542</v>
      </c>
      <c r="B564" t="str">
        <f>Sheet4!B543</f>
        <v>KTS</v>
      </c>
      <c r="C564" t="str">
        <f>Sheet4!C542</f>
        <v>Khoáng sản TKV</v>
      </c>
      <c r="D564" t="str">
        <f>Sheet4!D543</f>
        <v>HNX</v>
      </c>
      <c r="E564" s="7">
        <f>Sheet4!AH543/1000000000</f>
        <v>96.33</v>
      </c>
      <c r="F564" t="str">
        <f>Sheet4!E543</f>
        <v>Hàng Tiêu dùng</v>
      </c>
      <c r="G564" t="str">
        <f>Sheet4!F543</f>
        <v>Thực phẩm và đồ uống</v>
      </c>
      <c r="H564" t="str">
        <f>Sheet4!G543</f>
        <v>Thực phẩm</v>
      </c>
      <c r="I564" s="9" t="str" cm="1">
        <f t="array" ref="I56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64" s="9" t="str" cm="1">
        <f t="array" ref="J56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64" s="10" cm="1">
        <f t="array" ref="K56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64" s="10" cm="1">
        <f t="array" ref="L56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64" s="9" t="str" cm="1">
        <f t="array" ref="M56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64" s="9" t="str" cm="1">
        <f t="array" ref="N56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64" s="10" cm="1">
        <f t="array" ref="O564">IFERROR(INDEX(Sheet4!$2:$1605,MATCH(ChiTietKQKD[[#This Row],[Mã CP]],Sheet4!$B$2:$B$1605,0),_xlfn.XMATCH("*Tăng trưởng lợi nhuận sau thuế (YoY) (Quý*",Sheet4!$1:$1,2)),"")</f>
        <v>0</v>
      </c>
      <c r="P564" s="10" cm="1">
        <f t="array" ref="P564">IFERROR(INDEX(Sheet4!$2:$1605,MATCH(ChiTietKQKD[[#This Row],[Mã CP]],Sheet4!$B$2:$B$1605,0),_xlfn.XMATCH("*Tăng trưởng lợi nhuận sau thuế (YoY) (6M)*",Sheet4!$1:$1,2)),"")</f>
        <v>0</v>
      </c>
      <c r="Q564" s="10" cm="1">
        <f t="array" ref="Q564">IFERROR(INDEX(Sheet4!$2:$1605,MATCH(ChiTietKQKD[[#This Row],[Mã CP]],Sheet4!$B$2:$B$1605,0),_xlfn.XMATCH("*Tăng trưởng doanh thu thuần (QoQ)*",Sheet4!$1:$1,2)),"")</f>
        <v>0</v>
      </c>
      <c r="R564" s="10" cm="1">
        <f t="array" ref="R564">IFERROR(INDEX(Sheet4!$2:$1605,MATCH(ChiTietKQKD[[#This Row],[Mã CP]],Sheet4!$B$2:$B$1605,0),_xlfn.XMATCH("*Tăng trưởng lợi nhuận sau thuế (QoQ)*",Sheet4!$1:$1,2)),"")</f>
        <v>0</v>
      </c>
    </row>
    <row r="565" spans="1:18" x14ac:dyDescent="0.25">
      <c r="A565" s="7">
        <f>Sheet4!A544</f>
        <v>543</v>
      </c>
      <c r="B565" t="str">
        <f>Sheet4!B544</f>
        <v>L14</v>
      </c>
      <c r="C565" t="str">
        <f>Sheet4!C543</f>
        <v>Đường Kon Tum</v>
      </c>
      <c r="D565" t="str">
        <f>Sheet4!D544</f>
        <v>HNX</v>
      </c>
      <c r="E565" s="7">
        <f>Sheet4!AH544/1000000000</f>
        <v>567.81139599999995</v>
      </c>
      <c r="F565" t="str">
        <f>Sheet4!E544</f>
        <v>Công nghiệp</v>
      </c>
      <c r="G565" t="str">
        <f>Sheet4!F544</f>
        <v>Xây dựng và Vật liệu</v>
      </c>
      <c r="H565" t="str">
        <f>Sheet4!G544</f>
        <v>Xây dựng</v>
      </c>
      <c r="I565" s="9" cm="1">
        <f t="array" ref="I56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14.266430988</v>
      </c>
      <c r="J565" s="9" cm="1">
        <f t="array" ref="J56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42.496064636</v>
      </c>
      <c r="K565" s="10" cm="1">
        <f t="array" ref="K56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-0.1012</v>
      </c>
      <c r="L565" s="10" cm="1">
        <f t="array" ref="L56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-0.1075</v>
      </c>
      <c r="M565" s="9" cm="1">
        <f t="array" ref="M565">_xlfn.LET(_xlpm.val,IFERROR(INDEX(Sheet4!$2:$1605,MATCH(ChiTietKQKD[[#This Row],[Mã CP]],Sheet4!$B$2:$B$1605,0),_xlfn.XMATCH("*Lợi nhuận sau thuế*Q2*2026*",Sheet4!$1:$1,2)),0),IF(OR(_xlpm.val="",_xlpm.val=0),"",_xlpm.val/1000000000))</f>
        <v>0.111785487</v>
      </c>
      <c r="N565" s="9" cm="1">
        <f t="array" ref="N565">_xlfn.LET(_xlpm.val,IFERROR(INDEX(Sheet4!$2:$1605,MATCH(ChiTietKQKD[[#This Row],[Mã CP]],Sheet4!$B$2:$B$1605,0),_xlfn.XMATCH("*Lợi nhuận sau thuế*6 tháng*2026*",Sheet4!$1:$1,2)),0),IF(OR(_xlpm.val="",_xlpm.val=0),"",_xlpm.val/1000000000))</f>
        <v>1.622144392</v>
      </c>
      <c r="O565" s="10" cm="1">
        <f t="array" ref="O565">IFERROR(INDEX(Sheet4!$2:$1605,MATCH(ChiTietKQKD[[#This Row],[Mã CP]],Sheet4!$B$2:$B$1605,0),_xlfn.XMATCH("*Tăng trưởng lợi nhuận sau thuế (YoY) (Quý*",Sheet4!$1:$1,2)),"")</f>
        <v>-0.9778</v>
      </c>
      <c r="P565" s="10" cm="1">
        <f t="array" ref="P565">IFERROR(INDEX(Sheet4!$2:$1605,MATCH(ChiTietKQKD[[#This Row],[Mã CP]],Sheet4!$B$2:$B$1605,0),_xlfn.XMATCH("*Tăng trưởng lợi nhuận sau thuế (YoY) (6M)*",Sheet4!$1:$1,2)),"")</f>
        <v>-0.88</v>
      </c>
      <c r="Q565" s="10" cm="1">
        <f t="array" ref="Q565">IFERROR(INDEX(Sheet4!$2:$1605,MATCH(ChiTietKQKD[[#This Row],[Mã CP]],Sheet4!$B$2:$B$1605,0),_xlfn.XMATCH("*Tăng trưởng doanh thu thuần (QoQ)*",Sheet4!$1:$1,2)),"")</f>
        <v>-0.49459999999999998</v>
      </c>
      <c r="R565" s="10" cm="1">
        <f t="array" ref="R565">IFERROR(INDEX(Sheet4!$2:$1605,MATCH(ChiTietKQKD[[#This Row],[Mã CP]],Sheet4!$B$2:$B$1605,0),_xlfn.XMATCH("*Tăng trưởng lợi nhuận sau thuế (QoQ)*",Sheet4!$1:$1,2)),"")</f>
        <v>-0.92600000000000005</v>
      </c>
    </row>
    <row r="566" spans="1:18" x14ac:dyDescent="0.25">
      <c r="A566" s="7">
        <f>Sheet4!A545</f>
        <v>544</v>
      </c>
      <c r="B566" t="str">
        <f>Sheet4!B545</f>
        <v>L18</v>
      </c>
      <c r="C566" t="str">
        <f>Sheet4!C544</f>
        <v>Licogi 14</v>
      </c>
      <c r="D566" t="str">
        <f>Sheet4!D545</f>
        <v>HNX</v>
      </c>
      <c r="E566" s="7">
        <f>Sheet4!AH545/1000000000</f>
        <v>937.6642928</v>
      </c>
      <c r="F566" t="str">
        <f>Sheet4!E545</f>
        <v>Công nghiệp</v>
      </c>
      <c r="G566" t="str">
        <f>Sheet4!F545</f>
        <v>Xây dựng và Vật liệu</v>
      </c>
      <c r="H566" t="str">
        <f>Sheet4!G545</f>
        <v>Xây dựng</v>
      </c>
      <c r="I566" s="9" t="str" cm="1">
        <f t="array" ref="I56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66" s="9" t="str" cm="1">
        <f t="array" ref="J56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66" s="10" cm="1">
        <f t="array" ref="K56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66" s="10" cm="1">
        <f t="array" ref="L56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66" s="9" t="str" cm="1">
        <f t="array" ref="M56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66" s="9" t="str" cm="1">
        <f t="array" ref="N56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66" s="10" cm="1">
        <f t="array" ref="O566">IFERROR(INDEX(Sheet4!$2:$1605,MATCH(ChiTietKQKD[[#This Row],[Mã CP]],Sheet4!$B$2:$B$1605,0),_xlfn.XMATCH("*Tăng trưởng lợi nhuận sau thuế (YoY) (Quý*",Sheet4!$1:$1,2)),"")</f>
        <v>0</v>
      </c>
      <c r="P566" s="10" cm="1">
        <f t="array" ref="P566">IFERROR(INDEX(Sheet4!$2:$1605,MATCH(ChiTietKQKD[[#This Row],[Mã CP]],Sheet4!$B$2:$B$1605,0),_xlfn.XMATCH("*Tăng trưởng lợi nhuận sau thuế (YoY) (6M)*",Sheet4!$1:$1,2)),"")</f>
        <v>0</v>
      </c>
      <c r="Q566" s="10" cm="1">
        <f t="array" ref="Q566">IFERROR(INDEX(Sheet4!$2:$1605,MATCH(ChiTietKQKD[[#This Row],[Mã CP]],Sheet4!$B$2:$B$1605,0),_xlfn.XMATCH("*Tăng trưởng doanh thu thuần (QoQ)*",Sheet4!$1:$1,2)),"")</f>
        <v>0</v>
      </c>
      <c r="R566" s="10" cm="1">
        <f t="array" ref="R566">IFERROR(INDEX(Sheet4!$2:$1605,MATCH(ChiTietKQKD[[#This Row],[Mã CP]],Sheet4!$B$2:$B$1605,0),_xlfn.XMATCH("*Tăng trưởng lợi nhuận sau thuế (QoQ)*",Sheet4!$1:$1,2)),"")</f>
        <v>0</v>
      </c>
    </row>
    <row r="567" spans="1:18" x14ac:dyDescent="0.25">
      <c r="A567" s="7">
        <f>Sheet4!A546</f>
        <v>545</v>
      </c>
      <c r="B567" t="str">
        <f>Sheet4!B546</f>
        <v>L40</v>
      </c>
      <c r="C567" t="str">
        <f>Sheet4!C545</f>
        <v>LICOGI - 18</v>
      </c>
      <c r="D567" t="str">
        <f>Sheet4!D546</f>
        <v>HNX</v>
      </c>
      <c r="E567" s="7">
        <f>Sheet4!AH546/1000000000</f>
        <v>551.23118799999997</v>
      </c>
      <c r="F567" t="str">
        <f>Sheet4!E546</f>
        <v>Công nghiệp</v>
      </c>
      <c r="G567" t="str">
        <f>Sheet4!F546</f>
        <v>Xây dựng và Vật liệu</v>
      </c>
      <c r="H567" t="str">
        <f>Sheet4!G546</f>
        <v>Xây dựng</v>
      </c>
      <c r="I567" s="9" t="str" cm="1">
        <f t="array" ref="I56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67" s="9" t="str" cm="1">
        <f t="array" ref="J56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67" s="10" cm="1">
        <f t="array" ref="K56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67" s="10" cm="1">
        <f t="array" ref="L56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67" s="9" t="str" cm="1">
        <f t="array" ref="M56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67" s="9" t="str" cm="1">
        <f t="array" ref="N56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67" s="10" cm="1">
        <f t="array" ref="O567">IFERROR(INDEX(Sheet4!$2:$1605,MATCH(ChiTietKQKD[[#This Row],[Mã CP]],Sheet4!$B$2:$B$1605,0),_xlfn.XMATCH("*Tăng trưởng lợi nhuận sau thuế (YoY) (Quý*",Sheet4!$1:$1,2)),"")</f>
        <v>0</v>
      </c>
      <c r="P567" s="10" cm="1">
        <f t="array" ref="P567">IFERROR(INDEX(Sheet4!$2:$1605,MATCH(ChiTietKQKD[[#This Row],[Mã CP]],Sheet4!$B$2:$B$1605,0),_xlfn.XMATCH("*Tăng trưởng lợi nhuận sau thuế (YoY) (6M)*",Sheet4!$1:$1,2)),"")</f>
        <v>0</v>
      </c>
      <c r="Q567" s="10" cm="1">
        <f t="array" ref="Q567">IFERROR(INDEX(Sheet4!$2:$1605,MATCH(ChiTietKQKD[[#This Row],[Mã CP]],Sheet4!$B$2:$B$1605,0),_xlfn.XMATCH("*Tăng trưởng doanh thu thuần (QoQ)*",Sheet4!$1:$1,2)),"")</f>
        <v>0</v>
      </c>
      <c r="R567" s="10" cm="1">
        <f t="array" ref="R567">IFERROR(INDEX(Sheet4!$2:$1605,MATCH(ChiTietKQKD[[#This Row],[Mã CP]],Sheet4!$B$2:$B$1605,0),_xlfn.XMATCH("*Tăng trưởng lợi nhuận sau thuế (QoQ)*",Sheet4!$1:$1,2)),"")</f>
        <v>0</v>
      </c>
    </row>
    <row r="568" spans="1:18" x14ac:dyDescent="0.25">
      <c r="A568" s="7">
        <f>Sheet4!A547</f>
        <v>546</v>
      </c>
      <c r="B568" t="str">
        <f>Sheet4!B547</f>
        <v>LAS</v>
      </c>
      <c r="C568" t="str">
        <f>Sheet4!C546</f>
        <v>Đầu tư và Xây dựng 40</v>
      </c>
      <c r="D568" t="str">
        <f>Sheet4!D547</f>
        <v>HNX</v>
      </c>
      <c r="E568" s="7">
        <f>Sheet4!AH547/1000000000</f>
        <v>1309.1342400000001</v>
      </c>
      <c r="F568" t="str">
        <f>Sheet4!E547</f>
        <v>Nguyên vật liệu</v>
      </c>
      <c r="G568" t="str">
        <f>Sheet4!F547</f>
        <v>Hóa chất</v>
      </c>
      <c r="H568" t="str">
        <f>Sheet4!G547</f>
        <v>Sản phẩm hóa dầu, Nông dược &amp; Hóa chất khác</v>
      </c>
      <c r="I568" s="9" t="str" cm="1">
        <f t="array" ref="I56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68" s="9" t="str" cm="1">
        <f t="array" ref="J56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68" s="10" cm="1">
        <f t="array" ref="K56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68" s="10" cm="1">
        <f t="array" ref="L56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68" s="9" t="str" cm="1">
        <f t="array" ref="M56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68" s="9" t="str" cm="1">
        <f t="array" ref="N56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68" s="10" cm="1">
        <f t="array" ref="O568">IFERROR(INDEX(Sheet4!$2:$1605,MATCH(ChiTietKQKD[[#This Row],[Mã CP]],Sheet4!$B$2:$B$1605,0),_xlfn.XMATCH("*Tăng trưởng lợi nhuận sau thuế (YoY) (Quý*",Sheet4!$1:$1,2)),"")</f>
        <v>0</v>
      </c>
      <c r="P568" s="10" cm="1">
        <f t="array" ref="P568">IFERROR(INDEX(Sheet4!$2:$1605,MATCH(ChiTietKQKD[[#This Row],[Mã CP]],Sheet4!$B$2:$B$1605,0),_xlfn.XMATCH("*Tăng trưởng lợi nhuận sau thuế (YoY) (6M)*",Sheet4!$1:$1,2)),"")</f>
        <v>0</v>
      </c>
      <c r="Q568" s="10" cm="1">
        <f t="array" ref="Q568">IFERROR(INDEX(Sheet4!$2:$1605,MATCH(ChiTietKQKD[[#This Row],[Mã CP]],Sheet4!$B$2:$B$1605,0),_xlfn.XMATCH("*Tăng trưởng doanh thu thuần (QoQ)*",Sheet4!$1:$1,2)),"")</f>
        <v>0</v>
      </c>
      <c r="R568" s="10" cm="1">
        <f t="array" ref="R568">IFERROR(INDEX(Sheet4!$2:$1605,MATCH(ChiTietKQKD[[#This Row],[Mã CP]],Sheet4!$B$2:$B$1605,0),_xlfn.XMATCH("*Tăng trưởng lợi nhuận sau thuế (QoQ)*",Sheet4!$1:$1,2)),"")</f>
        <v>0</v>
      </c>
    </row>
    <row r="569" spans="1:18" x14ac:dyDescent="0.25">
      <c r="A569" s="7">
        <f>Sheet4!A548</f>
        <v>547</v>
      </c>
      <c r="B569" t="str">
        <f>Sheet4!B548</f>
        <v>LBE</v>
      </c>
      <c r="C569" t="str">
        <f>Sheet4!C547</f>
        <v>Hóa chất Lâm Thao</v>
      </c>
      <c r="D569" t="str">
        <f>Sheet4!D548</f>
        <v>HNX</v>
      </c>
      <c r="E569" s="7">
        <f>Sheet4!AH548/1000000000</f>
        <v>69.671137000000002</v>
      </c>
      <c r="F569" t="str">
        <f>Sheet4!E548</f>
        <v>Hàng Tiêu dùng</v>
      </c>
      <c r="G569" t="str">
        <f>Sheet4!F548</f>
        <v>Hàng cá nhân &amp; Gia dụng</v>
      </c>
      <c r="H569" t="str">
        <f>Sheet4!G548</f>
        <v>Hàng cá nhân</v>
      </c>
      <c r="I569" s="9" cm="1">
        <f t="array" ref="I56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29.895692050000001</v>
      </c>
      <c r="J569" s="9" cm="1">
        <f t="array" ref="J56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66.846187934</v>
      </c>
      <c r="K569" s="10" cm="1">
        <f t="array" ref="K56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-0.5645</v>
      </c>
      <c r="L569" s="10" cm="1">
        <f t="array" ref="L56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69" s="9" cm="1">
        <f t="array" ref="M569">_xlfn.LET(_xlpm.val,IFERROR(INDEX(Sheet4!$2:$1605,MATCH(ChiTietKQKD[[#This Row],[Mã CP]],Sheet4!$B$2:$B$1605,0),_xlfn.XMATCH("*Lợi nhuận sau thuế*Q2*2026*",Sheet4!$1:$1,2)),0),IF(OR(_xlpm.val="",_xlpm.val=0),"",_xlpm.val/1000000000))</f>
        <v>2.0984302100000001</v>
      </c>
      <c r="N569" s="9" cm="1">
        <f t="array" ref="N569">_xlfn.LET(_xlpm.val,IFERROR(INDEX(Sheet4!$2:$1605,MATCH(ChiTietKQKD[[#This Row],[Mã CP]],Sheet4!$B$2:$B$1605,0),_xlfn.XMATCH("*Lợi nhuận sau thuế*6 tháng*2026*",Sheet4!$1:$1,2)),0),IF(OR(_xlpm.val="",_xlpm.val=0),"",_xlpm.val/1000000000))</f>
        <v>6.7280305020000002</v>
      </c>
      <c r="O569" s="10" cm="1">
        <f t="array" ref="O569">IFERROR(INDEX(Sheet4!$2:$1605,MATCH(ChiTietKQKD[[#This Row],[Mã CP]],Sheet4!$B$2:$B$1605,0),_xlfn.XMATCH("*Tăng trưởng lợi nhuận sau thuế (YoY) (Quý*",Sheet4!$1:$1,2)),"")</f>
        <v>-0.13270000000000001</v>
      </c>
      <c r="P569" s="10" cm="1">
        <f t="array" ref="P569">IFERROR(INDEX(Sheet4!$2:$1605,MATCH(ChiTietKQKD[[#This Row],[Mã CP]],Sheet4!$B$2:$B$1605,0),_xlfn.XMATCH("*Tăng trưởng lợi nhuận sau thuế (YoY) (6M)*",Sheet4!$1:$1,2)),"")</f>
        <v>0</v>
      </c>
      <c r="Q569" s="10" cm="1">
        <f t="array" ref="Q569">IFERROR(INDEX(Sheet4!$2:$1605,MATCH(ChiTietKQKD[[#This Row],[Mã CP]],Sheet4!$B$2:$B$1605,0),_xlfn.XMATCH("*Tăng trưởng doanh thu thuần (QoQ)*",Sheet4!$1:$1,2)),"")</f>
        <v>-0.19089999999999999</v>
      </c>
      <c r="R569" s="10" cm="1">
        <f t="array" ref="R569">IFERROR(INDEX(Sheet4!$2:$1605,MATCH(ChiTietKQKD[[#This Row],[Mã CP]],Sheet4!$B$2:$B$1605,0),_xlfn.XMATCH("*Tăng trưởng lợi nhuận sau thuế (QoQ)*",Sheet4!$1:$1,2)),"")</f>
        <v>-0.54669999999999996</v>
      </c>
    </row>
    <row r="570" spans="1:18" x14ac:dyDescent="0.25">
      <c r="A570" s="7">
        <f>Sheet4!A549</f>
        <v>548</v>
      </c>
      <c r="B570" t="str">
        <f>Sheet4!B549</f>
        <v>LCD</v>
      </c>
      <c r="C570" t="str">
        <f>Sheet4!C548</f>
        <v>Thương mại và Dịch vụ LVA</v>
      </c>
      <c r="D570" t="str">
        <f>Sheet4!D549</f>
        <v>HNX</v>
      </c>
      <c r="E570" s="7">
        <f>Sheet4!AH549/1000000000</f>
        <v>29.398921999999999</v>
      </c>
      <c r="F570" t="str">
        <f>Sheet4!E549</f>
        <v>Công nghiệp</v>
      </c>
      <c r="G570" t="str">
        <f>Sheet4!F549</f>
        <v>Xây dựng và Vật liệu</v>
      </c>
      <c r="H570" t="str">
        <f>Sheet4!G549</f>
        <v>Xây dựng</v>
      </c>
      <c r="I570" s="9" t="str" cm="1">
        <f t="array" ref="I57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70" s="9" t="str" cm="1">
        <f t="array" ref="J57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70" s="10" cm="1">
        <f t="array" ref="K57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70" s="10" cm="1">
        <f t="array" ref="L57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70" s="9" t="str" cm="1">
        <f t="array" ref="M57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70" s="9" t="str" cm="1">
        <f t="array" ref="N57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70" s="10" cm="1">
        <f t="array" ref="O570">IFERROR(INDEX(Sheet4!$2:$1605,MATCH(ChiTietKQKD[[#This Row],[Mã CP]],Sheet4!$B$2:$B$1605,0),_xlfn.XMATCH("*Tăng trưởng lợi nhuận sau thuế (YoY) (Quý*",Sheet4!$1:$1,2)),"")</f>
        <v>0</v>
      </c>
      <c r="P570" s="10" cm="1">
        <f t="array" ref="P570">IFERROR(INDEX(Sheet4!$2:$1605,MATCH(ChiTietKQKD[[#This Row],[Mã CP]],Sheet4!$B$2:$B$1605,0),_xlfn.XMATCH("*Tăng trưởng lợi nhuận sau thuế (YoY) (6M)*",Sheet4!$1:$1,2)),"")</f>
        <v>0</v>
      </c>
      <c r="Q570" s="10" cm="1">
        <f t="array" ref="Q570">IFERROR(INDEX(Sheet4!$2:$1605,MATCH(ChiTietKQKD[[#This Row],[Mã CP]],Sheet4!$B$2:$B$1605,0),_xlfn.XMATCH("*Tăng trưởng doanh thu thuần (QoQ)*",Sheet4!$1:$1,2)),"")</f>
        <v>0</v>
      </c>
      <c r="R570" s="10" cm="1">
        <f t="array" ref="R570">IFERROR(INDEX(Sheet4!$2:$1605,MATCH(ChiTietKQKD[[#This Row],[Mã CP]],Sheet4!$B$2:$B$1605,0),_xlfn.XMATCH("*Tăng trưởng lợi nhuận sau thuế (QoQ)*",Sheet4!$1:$1,2)),"")</f>
        <v>0</v>
      </c>
    </row>
    <row r="571" spans="1:18" x14ac:dyDescent="0.25">
      <c r="A571" s="7">
        <f>Sheet4!A550</f>
        <v>549</v>
      </c>
      <c r="B571" t="str">
        <f>Sheet4!B550</f>
        <v>LDP</v>
      </c>
      <c r="C571" t="str">
        <f>Sheet4!C549</f>
        <v>Thí nghiệm cơ điện</v>
      </c>
      <c r="D571" t="str">
        <f>Sheet4!D550</f>
        <v>HNX</v>
      </c>
      <c r="E571" s="7">
        <f>Sheet4!AH550/1000000000</f>
        <v>155.44352050000001</v>
      </c>
      <c r="F571" t="str">
        <f>Sheet4!E550</f>
        <v>Dược phẩm và Y tế</v>
      </c>
      <c r="G571" t="str">
        <f>Sheet4!F550</f>
        <v>Y tế</v>
      </c>
      <c r="H571" t="str">
        <f>Sheet4!G550</f>
        <v>Dược phẩm</v>
      </c>
      <c r="I571" s="9" t="str" cm="1">
        <f t="array" ref="I57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71" s="9" t="str" cm="1">
        <f t="array" ref="J57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71" s="10" cm="1">
        <f t="array" ref="K57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71" s="10" cm="1">
        <f t="array" ref="L57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71" s="9" t="str" cm="1">
        <f t="array" ref="M57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71" s="9" t="str" cm="1">
        <f t="array" ref="N57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71" s="10" cm="1">
        <f t="array" ref="O571">IFERROR(INDEX(Sheet4!$2:$1605,MATCH(ChiTietKQKD[[#This Row],[Mã CP]],Sheet4!$B$2:$B$1605,0),_xlfn.XMATCH("*Tăng trưởng lợi nhuận sau thuế (YoY) (Quý*",Sheet4!$1:$1,2)),"")</f>
        <v>0</v>
      </c>
      <c r="P571" s="10" cm="1">
        <f t="array" ref="P571">IFERROR(INDEX(Sheet4!$2:$1605,MATCH(ChiTietKQKD[[#This Row],[Mã CP]],Sheet4!$B$2:$B$1605,0),_xlfn.XMATCH("*Tăng trưởng lợi nhuận sau thuế (YoY) (6M)*",Sheet4!$1:$1,2)),"")</f>
        <v>0</v>
      </c>
      <c r="Q571" s="10" cm="1">
        <f t="array" ref="Q571">IFERROR(INDEX(Sheet4!$2:$1605,MATCH(ChiTietKQKD[[#This Row],[Mã CP]],Sheet4!$B$2:$B$1605,0),_xlfn.XMATCH("*Tăng trưởng doanh thu thuần (QoQ)*",Sheet4!$1:$1,2)),"")</f>
        <v>0</v>
      </c>
      <c r="R571" s="10" cm="1">
        <f t="array" ref="R571">IFERROR(INDEX(Sheet4!$2:$1605,MATCH(ChiTietKQKD[[#This Row],[Mã CP]],Sheet4!$B$2:$B$1605,0),_xlfn.XMATCH("*Tăng trưởng lợi nhuận sau thuế (QoQ)*",Sheet4!$1:$1,2)),"")</f>
        <v>0</v>
      </c>
    </row>
    <row r="572" spans="1:18" x14ac:dyDescent="0.25">
      <c r="A572" s="7">
        <f>Sheet4!A551</f>
        <v>550</v>
      </c>
      <c r="B572" t="str">
        <f>Sheet4!B551</f>
        <v>LHC</v>
      </c>
      <c r="C572" t="str">
        <f>Sheet4!C550</f>
        <v>Dược Lâm Đồng - Ladophar</v>
      </c>
      <c r="D572" t="str">
        <f>Sheet4!D551</f>
        <v>HNX</v>
      </c>
      <c r="E572" s="7">
        <f>Sheet4!AH551/1000000000</f>
        <v>1330.56</v>
      </c>
      <c r="F572" t="str">
        <f>Sheet4!E551</f>
        <v>Công nghiệp</v>
      </c>
      <c r="G572" t="str">
        <f>Sheet4!F551</f>
        <v>Xây dựng và Vật liệu</v>
      </c>
      <c r="H572" t="str">
        <f>Sheet4!G551</f>
        <v>Xây dựng</v>
      </c>
      <c r="I572" s="9" t="str" cm="1">
        <f t="array" ref="I57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72" s="9" t="str" cm="1">
        <f t="array" ref="J57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72" s="10" cm="1">
        <f t="array" ref="K57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72" s="10" cm="1">
        <f t="array" ref="L57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72" s="9" t="str" cm="1">
        <f t="array" ref="M57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72" s="9" t="str" cm="1">
        <f t="array" ref="N57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72" s="10" cm="1">
        <f t="array" ref="O572">IFERROR(INDEX(Sheet4!$2:$1605,MATCH(ChiTietKQKD[[#This Row],[Mã CP]],Sheet4!$B$2:$B$1605,0),_xlfn.XMATCH("*Tăng trưởng lợi nhuận sau thuế (YoY) (Quý*",Sheet4!$1:$1,2)),"")</f>
        <v>0</v>
      </c>
      <c r="P572" s="10" cm="1">
        <f t="array" ref="P572">IFERROR(INDEX(Sheet4!$2:$1605,MATCH(ChiTietKQKD[[#This Row],[Mã CP]],Sheet4!$B$2:$B$1605,0),_xlfn.XMATCH("*Tăng trưởng lợi nhuận sau thuế (YoY) (6M)*",Sheet4!$1:$1,2)),"")</f>
        <v>0</v>
      </c>
      <c r="Q572" s="10" cm="1">
        <f t="array" ref="Q572">IFERROR(INDEX(Sheet4!$2:$1605,MATCH(ChiTietKQKD[[#This Row],[Mã CP]],Sheet4!$B$2:$B$1605,0),_xlfn.XMATCH("*Tăng trưởng doanh thu thuần (QoQ)*",Sheet4!$1:$1,2)),"")</f>
        <v>0</v>
      </c>
      <c r="R572" s="10" cm="1">
        <f t="array" ref="R572">IFERROR(INDEX(Sheet4!$2:$1605,MATCH(ChiTietKQKD[[#This Row],[Mã CP]],Sheet4!$B$2:$B$1605,0),_xlfn.XMATCH("*Tăng trưởng lợi nhuận sau thuế (QoQ)*",Sheet4!$1:$1,2)),"")</f>
        <v>0</v>
      </c>
    </row>
    <row r="573" spans="1:18" x14ac:dyDescent="0.25">
      <c r="A573" s="7">
        <f>Sheet4!A552</f>
        <v>551</v>
      </c>
      <c r="B573" t="str">
        <f>Sheet4!B552</f>
        <v>LIG</v>
      </c>
      <c r="C573" t="str">
        <f>Sheet4!C551</f>
        <v>XD Thủy lợi Lâm Đồng</v>
      </c>
      <c r="D573" t="str">
        <f>Sheet4!D552</f>
        <v>HNX</v>
      </c>
      <c r="E573" s="7">
        <f>Sheet4!AH552/1000000000</f>
        <v>329.7723135</v>
      </c>
      <c r="F573" t="str">
        <f>Sheet4!E552</f>
        <v>Công nghiệp</v>
      </c>
      <c r="G573" t="str">
        <f>Sheet4!F552</f>
        <v>Xây dựng và Vật liệu</v>
      </c>
      <c r="H573" t="str">
        <f>Sheet4!G552</f>
        <v>Xây dựng</v>
      </c>
      <c r="I573" s="9" t="str" cm="1">
        <f t="array" ref="I57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73" s="9" t="str" cm="1">
        <f t="array" ref="J57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73" s="10" cm="1">
        <f t="array" ref="K57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73" s="10" cm="1">
        <f t="array" ref="L57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73" s="9" t="str" cm="1">
        <f t="array" ref="M57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73" s="9" t="str" cm="1">
        <f t="array" ref="N57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73" s="10" cm="1">
        <f t="array" ref="O573">IFERROR(INDEX(Sheet4!$2:$1605,MATCH(ChiTietKQKD[[#This Row],[Mã CP]],Sheet4!$B$2:$B$1605,0),_xlfn.XMATCH("*Tăng trưởng lợi nhuận sau thuế (YoY) (Quý*",Sheet4!$1:$1,2)),"")</f>
        <v>0</v>
      </c>
      <c r="P573" s="10" cm="1">
        <f t="array" ref="P573">IFERROR(INDEX(Sheet4!$2:$1605,MATCH(ChiTietKQKD[[#This Row],[Mã CP]],Sheet4!$B$2:$B$1605,0),_xlfn.XMATCH("*Tăng trưởng lợi nhuận sau thuế (YoY) (6M)*",Sheet4!$1:$1,2)),"")</f>
        <v>0</v>
      </c>
      <c r="Q573" s="10" cm="1">
        <f t="array" ref="Q573">IFERROR(INDEX(Sheet4!$2:$1605,MATCH(ChiTietKQKD[[#This Row],[Mã CP]],Sheet4!$B$2:$B$1605,0),_xlfn.XMATCH("*Tăng trưởng doanh thu thuần (QoQ)*",Sheet4!$1:$1,2)),"")</f>
        <v>0</v>
      </c>
      <c r="R573" s="10" cm="1">
        <f t="array" ref="R573">IFERROR(INDEX(Sheet4!$2:$1605,MATCH(ChiTietKQKD[[#This Row],[Mã CP]],Sheet4!$B$2:$B$1605,0),_xlfn.XMATCH("*Tăng trưởng lợi nhuận sau thuế (QoQ)*",Sheet4!$1:$1,2)),"")</f>
        <v>0</v>
      </c>
    </row>
    <row r="574" spans="1:18" x14ac:dyDescent="0.25">
      <c r="A574" s="7">
        <f>Sheet4!A553</f>
        <v>552</v>
      </c>
      <c r="B574" t="str">
        <f>Sheet4!B553</f>
        <v>MAC</v>
      </c>
      <c r="C574" t="str">
        <f>Sheet4!C552</f>
        <v>Licogi 13</v>
      </c>
      <c r="D574" t="str">
        <f>Sheet4!D553</f>
        <v>HNX</v>
      </c>
      <c r="E574" s="7">
        <f>Sheet4!AH553/1000000000</f>
        <v>589.88627480000002</v>
      </c>
      <c r="F574" t="str">
        <f>Sheet4!E553</f>
        <v>Công nghiệp</v>
      </c>
      <c r="G574" t="str">
        <f>Sheet4!F553</f>
        <v>Hàng &amp; Dịch vụ Công nghiệp</v>
      </c>
      <c r="H574" t="str">
        <f>Sheet4!G553</f>
        <v>Xe tải &amp; Đóng tàu</v>
      </c>
      <c r="I574" s="9" t="str" cm="1">
        <f t="array" ref="I57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74" s="9" t="str" cm="1">
        <f t="array" ref="J57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74" s="10" cm="1">
        <f t="array" ref="K57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74" s="10" cm="1">
        <f t="array" ref="L57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74" s="9" t="str" cm="1">
        <f t="array" ref="M57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74" s="9" t="str" cm="1">
        <f t="array" ref="N57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74" s="10" cm="1">
        <f t="array" ref="O574">IFERROR(INDEX(Sheet4!$2:$1605,MATCH(ChiTietKQKD[[#This Row],[Mã CP]],Sheet4!$B$2:$B$1605,0),_xlfn.XMATCH("*Tăng trưởng lợi nhuận sau thuế (YoY) (Quý*",Sheet4!$1:$1,2)),"")</f>
        <v>0</v>
      </c>
      <c r="P574" s="10" cm="1">
        <f t="array" ref="P574">IFERROR(INDEX(Sheet4!$2:$1605,MATCH(ChiTietKQKD[[#This Row],[Mã CP]],Sheet4!$B$2:$B$1605,0),_xlfn.XMATCH("*Tăng trưởng lợi nhuận sau thuế (YoY) (6M)*",Sheet4!$1:$1,2)),"")</f>
        <v>0</v>
      </c>
      <c r="Q574" s="10" cm="1">
        <f t="array" ref="Q574">IFERROR(INDEX(Sheet4!$2:$1605,MATCH(ChiTietKQKD[[#This Row],[Mã CP]],Sheet4!$B$2:$B$1605,0),_xlfn.XMATCH("*Tăng trưởng doanh thu thuần (QoQ)*",Sheet4!$1:$1,2)),"")</f>
        <v>0</v>
      </c>
      <c r="R574" s="10" cm="1">
        <f t="array" ref="R574">IFERROR(INDEX(Sheet4!$2:$1605,MATCH(ChiTietKQKD[[#This Row],[Mã CP]],Sheet4!$B$2:$B$1605,0),_xlfn.XMATCH("*Tăng trưởng lợi nhuận sau thuế (QoQ)*",Sheet4!$1:$1,2)),"")</f>
        <v>0</v>
      </c>
    </row>
    <row r="575" spans="1:18" x14ac:dyDescent="0.25">
      <c r="A575" s="7">
        <f>Sheet4!A554</f>
        <v>553</v>
      </c>
      <c r="B575" t="str">
        <f>Sheet4!B554</f>
        <v>MAS</v>
      </c>
      <c r="C575" t="str">
        <f>Sheet4!C553</f>
        <v>Tập đoàn Macstar</v>
      </c>
      <c r="D575" t="str">
        <f>Sheet4!D554</f>
        <v>HNX</v>
      </c>
      <c r="E575" s="7">
        <f>Sheet4!AH554/1000000000</f>
        <v>148.5153684</v>
      </c>
      <c r="F575" t="str">
        <f>Sheet4!E554</f>
        <v>Dịch vụ Tiêu dùng</v>
      </c>
      <c r="G575" t="str">
        <f>Sheet4!F554</f>
        <v>Du lịch và Giải trí</v>
      </c>
      <c r="H575" t="str">
        <f>Sheet4!G554</f>
        <v>Vận tải hành khách &amp; Du lịch</v>
      </c>
      <c r="I575" s="9" t="str" cm="1">
        <f t="array" ref="I57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75" s="9" t="str" cm="1">
        <f t="array" ref="J57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75" s="10" cm="1">
        <f t="array" ref="K57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75" s="10" cm="1">
        <f t="array" ref="L57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75" s="9" t="str" cm="1">
        <f t="array" ref="M57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75" s="9" t="str" cm="1">
        <f t="array" ref="N57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75" s="10" cm="1">
        <f t="array" ref="O575">IFERROR(INDEX(Sheet4!$2:$1605,MATCH(ChiTietKQKD[[#This Row],[Mã CP]],Sheet4!$B$2:$B$1605,0),_xlfn.XMATCH("*Tăng trưởng lợi nhuận sau thuế (YoY) (Quý*",Sheet4!$1:$1,2)),"")</f>
        <v>0</v>
      </c>
      <c r="P575" s="10" cm="1">
        <f t="array" ref="P575">IFERROR(INDEX(Sheet4!$2:$1605,MATCH(ChiTietKQKD[[#This Row],[Mã CP]],Sheet4!$B$2:$B$1605,0),_xlfn.XMATCH("*Tăng trưởng lợi nhuận sau thuế (YoY) (6M)*",Sheet4!$1:$1,2)),"")</f>
        <v>0</v>
      </c>
      <c r="Q575" s="10" cm="1">
        <f t="array" ref="Q575">IFERROR(INDEX(Sheet4!$2:$1605,MATCH(ChiTietKQKD[[#This Row],[Mã CP]],Sheet4!$B$2:$B$1605,0),_xlfn.XMATCH("*Tăng trưởng doanh thu thuần (QoQ)*",Sheet4!$1:$1,2)),"")</f>
        <v>0</v>
      </c>
      <c r="R575" s="10" cm="1">
        <f t="array" ref="R575">IFERROR(INDEX(Sheet4!$2:$1605,MATCH(ChiTietKQKD[[#This Row],[Mã CP]],Sheet4!$B$2:$B$1605,0),_xlfn.XMATCH("*Tăng trưởng lợi nhuận sau thuế (QoQ)*",Sheet4!$1:$1,2)),"")</f>
        <v>0</v>
      </c>
    </row>
    <row r="576" spans="1:18" x14ac:dyDescent="0.25">
      <c r="A576" s="7">
        <f>Sheet4!A555</f>
        <v>554</v>
      </c>
      <c r="B576" t="str">
        <f>Sheet4!B555</f>
        <v>MBG</v>
      </c>
      <c r="C576" t="str">
        <f>Sheet4!C554</f>
        <v>Sân bay Đà Nẵng</v>
      </c>
      <c r="D576" t="str">
        <f>Sheet4!D555</f>
        <v>HNX</v>
      </c>
      <c r="E576" s="7">
        <f>Sheet4!AH555/1000000000</f>
        <v>288.524496</v>
      </c>
      <c r="F576" t="str">
        <f>Sheet4!E555</f>
        <v>Công nghiệp</v>
      </c>
      <c r="G576" t="str">
        <f>Sheet4!F555</f>
        <v>Xây dựng và Vật liệu</v>
      </c>
      <c r="H576" t="str">
        <f>Sheet4!G555</f>
        <v>Vật liệu xây dựng &amp; Nội thất</v>
      </c>
      <c r="I576" s="9" t="str" cm="1">
        <f t="array" ref="I57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76" s="9" t="str" cm="1">
        <f t="array" ref="J57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76" s="10" cm="1">
        <f t="array" ref="K57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76" s="10" cm="1">
        <f t="array" ref="L57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76" s="9" t="str" cm="1">
        <f t="array" ref="M57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76" s="9" t="str" cm="1">
        <f t="array" ref="N57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76" s="10" cm="1">
        <f t="array" ref="O576">IFERROR(INDEX(Sheet4!$2:$1605,MATCH(ChiTietKQKD[[#This Row],[Mã CP]],Sheet4!$B$2:$B$1605,0),_xlfn.XMATCH("*Tăng trưởng lợi nhuận sau thuế (YoY) (Quý*",Sheet4!$1:$1,2)),"")</f>
        <v>0</v>
      </c>
      <c r="P576" s="10" cm="1">
        <f t="array" ref="P576">IFERROR(INDEX(Sheet4!$2:$1605,MATCH(ChiTietKQKD[[#This Row],[Mã CP]],Sheet4!$B$2:$B$1605,0),_xlfn.XMATCH("*Tăng trưởng lợi nhuận sau thuế (YoY) (6M)*",Sheet4!$1:$1,2)),"")</f>
        <v>0</v>
      </c>
      <c r="Q576" s="10" cm="1">
        <f t="array" ref="Q576">IFERROR(INDEX(Sheet4!$2:$1605,MATCH(ChiTietKQKD[[#This Row],[Mã CP]],Sheet4!$B$2:$B$1605,0),_xlfn.XMATCH("*Tăng trưởng doanh thu thuần (QoQ)*",Sheet4!$1:$1,2)),"")</f>
        <v>0</v>
      </c>
      <c r="R576" s="10" cm="1">
        <f t="array" ref="R576">IFERROR(INDEX(Sheet4!$2:$1605,MATCH(ChiTietKQKD[[#This Row],[Mã CP]],Sheet4!$B$2:$B$1605,0),_xlfn.XMATCH("*Tăng trưởng lợi nhuận sau thuế (QoQ)*",Sheet4!$1:$1,2)),"")</f>
        <v>0</v>
      </c>
    </row>
    <row r="577" spans="1:18" x14ac:dyDescent="0.25">
      <c r="A577" s="7">
        <f>Sheet4!A556</f>
        <v>555</v>
      </c>
      <c r="B577" t="str">
        <f>Sheet4!B556</f>
        <v>MBS</v>
      </c>
      <c r="C577" t="str">
        <f>Sheet4!C555</f>
        <v>Tập đoàn MBG</v>
      </c>
      <c r="D577" t="str">
        <f>Sheet4!D556</f>
        <v>HNX</v>
      </c>
      <c r="E577" s="7">
        <f>Sheet4!AH556/1000000000</f>
        <v>18717.454766999999</v>
      </c>
      <c r="F577" t="str">
        <f>Sheet4!E556</f>
        <v>Tài chính</v>
      </c>
      <c r="G577" t="str">
        <f>Sheet4!F556</f>
        <v>Dịch vụ tài chính</v>
      </c>
      <c r="H577" t="str">
        <f>Sheet4!G556</f>
        <v>Môi giới chứng khoán</v>
      </c>
      <c r="I577" s="9" cm="1">
        <f t="array" ref="I57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1196.245644077</v>
      </c>
      <c r="J577" s="9" cm="1">
        <f t="array" ref="J57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2215.3415845989998</v>
      </c>
      <c r="K577" s="10" cm="1">
        <f t="array" ref="K57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0.50980000000000003</v>
      </c>
      <c r="L577" s="10" cm="1">
        <f t="array" ref="L57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0.5161</v>
      </c>
      <c r="M577" s="9" cm="1">
        <f t="array" ref="M577">_xlfn.LET(_xlpm.val,IFERROR(INDEX(Sheet4!$2:$1605,MATCH(ChiTietKQKD[[#This Row],[Mã CP]],Sheet4!$B$2:$B$1605,0),_xlfn.XMATCH("*Lợi nhuận sau thuế*Q2*2026*",Sheet4!$1:$1,2)),0),IF(OR(_xlpm.val="",_xlpm.val=0),"",_xlpm.val/1000000000))</f>
        <v>300.71762064799998</v>
      </c>
      <c r="N577" s="9" cm="1">
        <f t="array" ref="N577">_xlfn.LET(_xlpm.val,IFERROR(INDEX(Sheet4!$2:$1605,MATCH(ChiTietKQKD[[#This Row],[Mã CP]],Sheet4!$B$2:$B$1605,0),_xlfn.XMATCH("*Lợi nhuận sau thuế*6 tháng*2026*",Sheet4!$1:$1,2)),0),IF(OR(_xlpm.val="",_xlpm.val=0),"",_xlpm.val/1000000000))</f>
        <v>592.34598997299997</v>
      </c>
      <c r="O577" s="10" cm="1">
        <f t="array" ref="O577">IFERROR(INDEX(Sheet4!$2:$1605,MATCH(ChiTietKQKD[[#This Row],[Mã CP]],Sheet4!$B$2:$B$1605,0),_xlfn.XMATCH("*Tăng trưởng lợi nhuận sau thuế (YoY) (Quý*",Sheet4!$1:$1,2)),"")</f>
        <v>0.3604</v>
      </c>
      <c r="P577" s="10" cm="1">
        <f t="array" ref="P577">IFERROR(INDEX(Sheet4!$2:$1605,MATCH(ChiTietKQKD[[#This Row],[Mã CP]],Sheet4!$B$2:$B$1605,0),_xlfn.XMATCH("*Tăng trưởng lợi nhuận sau thuế (YoY) (6M)*",Sheet4!$1:$1,2)),"")</f>
        <v>0.2087</v>
      </c>
      <c r="Q577" s="10" cm="1">
        <f t="array" ref="Q577">IFERROR(INDEX(Sheet4!$2:$1605,MATCH(ChiTietKQKD[[#This Row],[Mã CP]],Sheet4!$B$2:$B$1605,0),_xlfn.XMATCH("*Tăng trưởng doanh thu thuần (QoQ)*",Sheet4!$1:$1,2)),"")</f>
        <v>0.17380000000000001</v>
      </c>
      <c r="R577" s="10" cm="1">
        <f t="array" ref="R577">IFERROR(INDEX(Sheet4!$2:$1605,MATCH(ChiTietKQKD[[#This Row],[Mã CP]],Sheet4!$B$2:$B$1605,0),_xlfn.XMATCH("*Tăng trưởng lợi nhuận sau thuế (QoQ)*",Sheet4!$1:$1,2)),"")</f>
        <v>3.1199999999999999E-2</v>
      </c>
    </row>
    <row r="578" spans="1:18" x14ac:dyDescent="0.25">
      <c r="A578" s="7">
        <f>Sheet4!A557</f>
        <v>556</v>
      </c>
      <c r="B578" t="str">
        <f>Sheet4!B557</f>
        <v>MCC</v>
      </c>
      <c r="C578" t="str">
        <f>Sheet4!C556</f>
        <v>Chứng khoán MB</v>
      </c>
      <c r="D578" t="str">
        <f>Sheet4!D557</f>
        <v>HNX</v>
      </c>
      <c r="E578" s="7">
        <f>Sheet4!AH557/1000000000</f>
        <v>65.816836800000004</v>
      </c>
      <c r="F578" t="str">
        <f>Sheet4!E557</f>
        <v>Công nghiệp</v>
      </c>
      <c r="G578" t="str">
        <f>Sheet4!F557</f>
        <v>Xây dựng và Vật liệu</v>
      </c>
      <c r="H578" t="str">
        <f>Sheet4!G557</f>
        <v>Vật liệu xây dựng &amp; Nội thất</v>
      </c>
      <c r="I578" s="9" t="str" cm="1">
        <f t="array" ref="I57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78" s="9" t="str" cm="1">
        <f t="array" ref="J57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78" s="10" cm="1">
        <f t="array" ref="K57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78" s="10" cm="1">
        <f t="array" ref="L57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78" s="9" t="str" cm="1">
        <f t="array" ref="M57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78" s="9" t="str" cm="1">
        <f t="array" ref="N57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78" s="10" cm="1">
        <f t="array" ref="O578">IFERROR(INDEX(Sheet4!$2:$1605,MATCH(ChiTietKQKD[[#This Row],[Mã CP]],Sheet4!$B$2:$B$1605,0),_xlfn.XMATCH("*Tăng trưởng lợi nhuận sau thuế (YoY) (Quý*",Sheet4!$1:$1,2)),"")</f>
        <v>0</v>
      </c>
      <c r="P578" s="10" cm="1">
        <f t="array" ref="P578">IFERROR(INDEX(Sheet4!$2:$1605,MATCH(ChiTietKQKD[[#This Row],[Mã CP]],Sheet4!$B$2:$B$1605,0),_xlfn.XMATCH("*Tăng trưởng lợi nhuận sau thuế (YoY) (6M)*",Sheet4!$1:$1,2)),"")</f>
        <v>0</v>
      </c>
      <c r="Q578" s="10" cm="1">
        <f t="array" ref="Q578">IFERROR(INDEX(Sheet4!$2:$1605,MATCH(ChiTietKQKD[[#This Row],[Mã CP]],Sheet4!$B$2:$B$1605,0),_xlfn.XMATCH("*Tăng trưởng doanh thu thuần (QoQ)*",Sheet4!$1:$1,2)),"")</f>
        <v>0</v>
      </c>
      <c r="R578" s="10" cm="1">
        <f t="array" ref="R578">IFERROR(INDEX(Sheet4!$2:$1605,MATCH(ChiTietKQKD[[#This Row],[Mã CP]],Sheet4!$B$2:$B$1605,0),_xlfn.XMATCH("*Tăng trưởng lợi nhuận sau thuế (QoQ)*",Sheet4!$1:$1,2)),"")</f>
        <v>0</v>
      </c>
    </row>
    <row r="579" spans="1:18" x14ac:dyDescent="0.25">
      <c r="A579" s="7">
        <f>Sheet4!A558</f>
        <v>557</v>
      </c>
      <c r="B579" t="str">
        <f>Sheet4!B558</f>
        <v>MCF</v>
      </c>
      <c r="C579" t="str">
        <f>Sheet4!C557</f>
        <v>Gạch ngói cao cấp</v>
      </c>
      <c r="D579" t="str">
        <f>Sheet4!D558</f>
        <v>HNX</v>
      </c>
      <c r="E579" s="7">
        <f>Sheet4!AH558/1000000000</f>
        <v>76.522649799999996</v>
      </c>
      <c r="F579" t="str">
        <f>Sheet4!E558</f>
        <v>Hàng Tiêu dùng</v>
      </c>
      <c r="G579" t="str">
        <f>Sheet4!F558</f>
        <v>Thực phẩm và đồ uống</v>
      </c>
      <c r="H579" t="str">
        <f>Sheet4!G558</f>
        <v>Thực phẩm</v>
      </c>
      <c r="I579" s="9" cm="1">
        <f t="array" ref="I57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212.76334938299999</v>
      </c>
      <c r="J579" s="9" cm="1">
        <f t="array" ref="J57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336.63209453899998</v>
      </c>
      <c r="K579" s="10" cm="1">
        <f t="array" ref="K57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0.5111</v>
      </c>
      <c r="L579" s="10" cm="1">
        <f t="array" ref="L57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0.1782</v>
      </c>
      <c r="M579" s="9" cm="1">
        <f t="array" ref="M579">_xlfn.LET(_xlpm.val,IFERROR(INDEX(Sheet4!$2:$1605,MATCH(ChiTietKQKD[[#This Row],[Mã CP]],Sheet4!$B$2:$B$1605,0),_xlfn.XMATCH("*Lợi nhuận sau thuế*Q2*2026*",Sheet4!$1:$1,2)),0),IF(OR(_xlpm.val="",_xlpm.val=0),"",_xlpm.val/1000000000))</f>
        <v>7.7430639159999997</v>
      </c>
      <c r="N579" s="9" cm="1">
        <f t="array" ref="N579">_xlfn.LET(_xlpm.val,IFERROR(INDEX(Sheet4!$2:$1605,MATCH(ChiTietKQKD[[#This Row],[Mã CP]],Sheet4!$B$2:$B$1605,0),_xlfn.XMATCH("*Lợi nhuận sau thuế*6 tháng*2026*",Sheet4!$1:$1,2)),0),IF(OR(_xlpm.val="",_xlpm.val=0),"",_xlpm.val/1000000000))</f>
        <v>10.927673444</v>
      </c>
      <c r="O579" s="10" cm="1">
        <f t="array" ref="O579">IFERROR(INDEX(Sheet4!$2:$1605,MATCH(ChiTietKQKD[[#This Row],[Mã CP]],Sheet4!$B$2:$B$1605,0),_xlfn.XMATCH("*Tăng trưởng lợi nhuận sau thuế (YoY) (Quý*",Sheet4!$1:$1,2)),"")</f>
        <v>1.2704</v>
      </c>
      <c r="P579" s="10" cm="1">
        <f t="array" ref="P579">IFERROR(INDEX(Sheet4!$2:$1605,MATCH(ChiTietKQKD[[#This Row],[Mã CP]],Sheet4!$B$2:$B$1605,0),_xlfn.XMATCH("*Tăng trưởng lợi nhuận sau thuế (YoY) (6M)*",Sheet4!$1:$1,2)),"")</f>
        <v>1.1071</v>
      </c>
      <c r="Q579" s="10" cm="1">
        <f t="array" ref="Q579">IFERROR(INDEX(Sheet4!$2:$1605,MATCH(ChiTietKQKD[[#This Row],[Mã CP]],Sheet4!$B$2:$B$1605,0),_xlfn.XMATCH("*Tăng trưởng doanh thu thuần (QoQ)*",Sheet4!$1:$1,2)),"")</f>
        <v>0.7177</v>
      </c>
      <c r="R579" s="10" cm="1">
        <f t="array" ref="R579">IFERROR(INDEX(Sheet4!$2:$1605,MATCH(ChiTietKQKD[[#This Row],[Mã CP]],Sheet4!$B$2:$B$1605,0),_xlfn.XMATCH("*Tăng trưởng lợi nhuận sau thuế (QoQ)*",Sheet4!$1:$1,2)),"")</f>
        <v>1.4314</v>
      </c>
    </row>
    <row r="580" spans="1:18" x14ac:dyDescent="0.25">
      <c r="A580" s="7">
        <f>Sheet4!A559</f>
        <v>558</v>
      </c>
      <c r="B580" t="str">
        <f>Sheet4!B559</f>
        <v>MCO</v>
      </c>
      <c r="C580" t="str">
        <f>Sheet4!C558</f>
        <v>Cơ khí và Lương thực Thực phẩm</v>
      </c>
      <c r="D580" t="str">
        <f>Sheet4!D559</f>
        <v>HNX</v>
      </c>
      <c r="E580" s="7">
        <f>Sheet4!AH559/1000000000</f>
        <v>19.698859200000001</v>
      </c>
      <c r="F580" t="str">
        <f>Sheet4!E559</f>
        <v>Công nghiệp</v>
      </c>
      <c r="G580" t="str">
        <f>Sheet4!F559</f>
        <v>Xây dựng và Vật liệu</v>
      </c>
      <c r="H580" t="str">
        <f>Sheet4!G559</f>
        <v>Xây dựng</v>
      </c>
      <c r="I580" s="9" t="str" cm="1">
        <f t="array" ref="I58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80" s="9" t="str" cm="1">
        <f t="array" ref="J58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80" s="10" cm="1">
        <f t="array" ref="K58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80" s="10" cm="1">
        <f t="array" ref="L58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80" s="9" t="str" cm="1">
        <f t="array" ref="M58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80" s="9" t="str" cm="1">
        <f t="array" ref="N58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80" s="10" cm="1">
        <f t="array" ref="O580">IFERROR(INDEX(Sheet4!$2:$1605,MATCH(ChiTietKQKD[[#This Row],[Mã CP]],Sheet4!$B$2:$B$1605,0),_xlfn.XMATCH("*Tăng trưởng lợi nhuận sau thuế (YoY) (Quý*",Sheet4!$1:$1,2)),"")</f>
        <v>0</v>
      </c>
      <c r="P580" s="10" cm="1">
        <f t="array" ref="P580">IFERROR(INDEX(Sheet4!$2:$1605,MATCH(ChiTietKQKD[[#This Row],[Mã CP]],Sheet4!$B$2:$B$1605,0),_xlfn.XMATCH("*Tăng trưởng lợi nhuận sau thuế (YoY) (6M)*",Sheet4!$1:$1,2)),"")</f>
        <v>0</v>
      </c>
      <c r="Q580" s="10" cm="1">
        <f t="array" ref="Q580">IFERROR(INDEX(Sheet4!$2:$1605,MATCH(ChiTietKQKD[[#This Row],[Mã CP]],Sheet4!$B$2:$B$1605,0),_xlfn.XMATCH("*Tăng trưởng doanh thu thuần (QoQ)*",Sheet4!$1:$1,2)),"")</f>
        <v>0</v>
      </c>
      <c r="R580" s="10" cm="1">
        <f t="array" ref="R580">IFERROR(INDEX(Sheet4!$2:$1605,MATCH(ChiTietKQKD[[#This Row],[Mã CP]],Sheet4!$B$2:$B$1605,0),_xlfn.XMATCH("*Tăng trưởng lợi nhuận sau thuế (QoQ)*",Sheet4!$1:$1,2)),"")</f>
        <v>0</v>
      </c>
    </row>
    <row r="581" spans="1:18" x14ac:dyDescent="0.25">
      <c r="A581" s="7">
        <f>Sheet4!A560</f>
        <v>559</v>
      </c>
      <c r="B581" t="str">
        <f>Sheet4!B560</f>
        <v>MDC</v>
      </c>
      <c r="C581" t="str">
        <f>Sheet4!C559</f>
        <v>BDC Việt Nam</v>
      </c>
      <c r="D581" t="str">
        <f>Sheet4!D560</f>
        <v>HNX</v>
      </c>
      <c r="E581" s="7">
        <f>Sheet4!AH560/1000000000</f>
        <v>184.1977756</v>
      </c>
      <c r="F581" t="str">
        <f>Sheet4!E560</f>
        <v>Nguyên vật liệu</v>
      </c>
      <c r="G581" t="str">
        <f>Sheet4!F560</f>
        <v>Tài nguyên Cơ bản</v>
      </c>
      <c r="H581" t="str">
        <f>Sheet4!G560</f>
        <v>Khai thác Than</v>
      </c>
      <c r="I581" s="9" cm="1">
        <f t="array" ref="I58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655.65929828799995</v>
      </c>
      <c r="J581" s="9" cm="1">
        <f t="array" ref="J58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1179.2715350349999</v>
      </c>
      <c r="K581" s="10" cm="1">
        <f t="array" ref="K58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-0.10340000000000001</v>
      </c>
      <c r="L581" s="10" cm="1">
        <f t="array" ref="L58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81" s="9" cm="1">
        <f t="array" ref="M581">_xlfn.LET(_xlpm.val,IFERROR(INDEX(Sheet4!$2:$1605,MATCH(ChiTietKQKD[[#This Row],[Mã CP]],Sheet4!$B$2:$B$1605,0),_xlfn.XMATCH("*Lợi nhuận sau thuế*Q2*2026*",Sheet4!$1:$1,2)),0),IF(OR(_xlpm.val="",_xlpm.val=0),"",_xlpm.val/1000000000))</f>
        <v>0.76669035799999996</v>
      </c>
      <c r="N581" s="9" cm="1">
        <f t="array" ref="N581">_xlfn.LET(_xlpm.val,IFERROR(INDEX(Sheet4!$2:$1605,MATCH(ChiTietKQKD[[#This Row],[Mã CP]],Sheet4!$B$2:$B$1605,0),_xlfn.XMATCH("*Lợi nhuận sau thuế*6 tháng*2026*",Sheet4!$1:$1,2)),0),IF(OR(_xlpm.val="",_xlpm.val=0),"",_xlpm.val/1000000000))</f>
        <v>5.8863508519999996</v>
      </c>
      <c r="O581" s="10" cm="1">
        <f t="array" ref="O581">IFERROR(INDEX(Sheet4!$2:$1605,MATCH(ChiTietKQKD[[#This Row],[Mã CP]],Sheet4!$B$2:$B$1605,0),_xlfn.XMATCH("*Tăng trưởng lợi nhuận sau thuế (YoY) (Quý*",Sheet4!$1:$1,2)),"")</f>
        <v>-0.89539999999999997</v>
      </c>
      <c r="P581" s="10" cm="1">
        <f t="array" ref="P581">IFERROR(INDEX(Sheet4!$2:$1605,MATCH(ChiTietKQKD[[#This Row],[Mã CP]],Sheet4!$B$2:$B$1605,0),_xlfn.XMATCH("*Tăng trưởng lợi nhuận sau thuế (YoY) (6M)*",Sheet4!$1:$1,2)),"")</f>
        <v>0</v>
      </c>
      <c r="Q581" s="10" cm="1">
        <f t="array" ref="Q581">IFERROR(INDEX(Sheet4!$2:$1605,MATCH(ChiTietKQKD[[#This Row],[Mã CP]],Sheet4!$B$2:$B$1605,0),_xlfn.XMATCH("*Tăng trưởng doanh thu thuần (QoQ)*",Sheet4!$1:$1,2)),"")</f>
        <v>0.25219999999999998</v>
      </c>
      <c r="R581" s="10" cm="1">
        <f t="array" ref="R581">IFERROR(INDEX(Sheet4!$2:$1605,MATCH(ChiTietKQKD[[#This Row],[Mã CP]],Sheet4!$B$2:$B$1605,0),_xlfn.XMATCH("*Tăng trưởng lợi nhuận sau thuế (QoQ)*",Sheet4!$1:$1,2)),"")</f>
        <v>-0.85019999999999996</v>
      </c>
    </row>
    <row r="582" spans="1:18" x14ac:dyDescent="0.25">
      <c r="A582" s="7">
        <f>Sheet4!A561</f>
        <v>560</v>
      </c>
      <c r="B582" t="str">
        <f>Sheet4!B561</f>
        <v>MDD</v>
      </c>
      <c r="C582" t="str">
        <f>Sheet4!C560</f>
        <v>Than Mông Dương</v>
      </c>
      <c r="D582" t="str">
        <f>Sheet4!D561</f>
        <v>HNX</v>
      </c>
      <c r="E582" s="7">
        <f>Sheet4!AH561/1000000000</f>
        <v>0</v>
      </c>
      <c r="F582" t="str">
        <f>Sheet4!E561</f>
        <v>Công nghiệp</v>
      </c>
      <c r="G582" t="str">
        <f>Sheet4!F561</f>
        <v>Hàng &amp; Dịch vụ Công nghiệp</v>
      </c>
      <c r="H582" t="str">
        <f>Sheet4!G561</f>
        <v>Máy công nghiệp</v>
      </c>
      <c r="I582" s="9" t="str" cm="1">
        <f t="array" ref="I58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82" s="9" t="str" cm="1">
        <f t="array" ref="J58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82" s="10" cm="1">
        <f t="array" ref="K58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82" s="10" cm="1">
        <f t="array" ref="L58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82" s="9" t="str" cm="1">
        <f t="array" ref="M58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82" s="9" t="str" cm="1">
        <f t="array" ref="N58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82" s="10" cm="1">
        <f t="array" ref="O582">IFERROR(INDEX(Sheet4!$2:$1605,MATCH(ChiTietKQKD[[#This Row],[Mã CP]],Sheet4!$B$2:$B$1605,0),_xlfn.XMATCH("*Tăng trưởng lợi nhuận sau thuế (YoY) (Quý*",Sheet4!$1:$1,2)),"")</f>
        <v>0</v>
      </c>
      <c r="P582" s="10" cm="1">
        <f t="array" ref="P582">IFERROR(INDEX(Sheet4!$2:$1605,MATCH(ChiTietKQKD[[#This Row],[Mã CP]],Sheet4!$B$2:$B$1605,0),_xlfn.XMATCH("*Tăng trưởng lợi nhuận sau thuế (YoY) (6M)*",Sheet4!$1:$1,2)),"")</f>
        <v>0</v>
      </c>
      <c r="Q582" s="10" cm="1">
        <f t="array" ref="Q582">IFERROR(INDEX(Sheet4!$2:$1605,MATCH(ChiTietKQKD[[#This Row],[Mã CP]],Sheet4!$B$2:$B$1605,0),_xlfn.XMATCH("*Tăng trưởng doanh thu thuần (QoQ)*",Sheet4!$1:$1,2)),"")</f>
        <v>0</v>
      </c>
      <c r="R582" s="10" cm="1">
        <f t="array" ref="R582">IFERROR(INDEX(Sheet4!$2:$1605,MATCH(ChiTietKQKD[[#This Row],[Mã CP]],Sheet4!$B$2:$B$1605,0),_xlfn.XMATCH("*Tăng trưởng lợi nhuận sau thuế (QoQ)*",Sheet4!$1:$1,2)),"")</f>
        <v>0</v>
      </c>
    </row>
    <row r="583" spans="1:18" x14ac:dyDescent="0.25">
      <c r="A583" s="7">
        <f>Sheet4!A562</f>
        <v>561</v>
      </c>
      <c r="B583" t="str">
        <f>Sheet4!B562</f>
        <v>MED</v>
      </c>
      <c r="C583" t="str">
        <f>Sheet4!C561</f>
        <v>Công ty Mai Động</v>
      </c>
      <c r="D583" t="str">
        <f>Sheet4!D562</f>
        <v>HNX</v>
      </c>
      <c r="E583" s="7">
        <f>Sheet4!AH562/1000000000</f>
        <v>228.34399999999999</v>
      </c>
      <c r="F583" t="str">
        <f>Sheet4!E562</f>
        <v>Dược phẩm và Y tế</v>
      </c>
      <c r="G583" t="str">
        <f>Sheet4!F562</f>
        <v>Y tế</v>
      </c>
      <c r="H583" t="str">
        <f>Sheet4!G562</f>
        <v>Dược phẩm</v>
      </c>
      <c r="I583" s="9" cm="1">
        <f t="array" ref="I58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122.927977974</v>
      </c>
      <c r="J583" s="9" cm="1">
        <f t="array" ref="J58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211.592187161</v>
      </c>
      <c r="K583" s="10" cm="1">
        <f t="array" ref="K58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0.41449999999999998</v>
      </c>
      <c r="L583" s="10" cm="1">
        <f t="array" ref="L58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83" s="9" cm="1">
        <f t="array" ref="M583">_xlfn.LET(_xlpm.val,IFERROR(INDEX(Sheet4!$2:$1605,MATCH(ChiTietKQKD[[#This Row],[Mã CP]],Sheet4!$B$2:$B$1605,0),_xlfn.XMATCH("*Lợi nhuận sau thuế*Q2*2026*",Sheet4!$1:$1,2)),0),IF(OR(_xlpm.val="",_xlpm.val=0),"",_xlpm.val/1000000000))</f>
        <v>5.2879149759999997</v>
      </c>
      <c r="N583" s="9" cm="1">
        <f t="array" ref="N583">_xlfn.LET(_xlpm.val,IFERROR(INDEX(Sheet4!$2:$1605,MATCH(ChiTietKQKD[[#This Row],[Mã CP]],Sheet4!$B$2:$B$1605,0),_xlfn.XMATCH("*Lợi nhuận sau thuế*6 tháng*2026*",Sheet4!$1:$1,2)),0),IF(OR(_xlpm.val="",_xlpm.val=0),"",_xlpm.val/1000000000))</f>
        <v>11.216524847000001</v>
      </c>
      <c r="O583" s="10" cm="1">
        <f t="array" ref="O583">IFERROR(INDEX(Sheet4!$2:$1605,MATCH(ChiTietKQKD[[#This Row],[Mã CP]],Sheet4!$B$2:$B$1605,0),_xlfn.XMATCH("*Tăng trưởng lợi nhuận sau thuế (YoY) (Quý*",Sheet4!$1:$1,2)),"")</f>
        <v>0.73850000000000005</v>
      </c>
      <c r="P583" s="10" cm="1">
        <f t="array" ref="P583">IFERROR(INDEX(Sheet4!$2:$1605,MATCH(ChiTietKQKD[[#This Row],[Mã CP]],Sheet4!$B$2:$B$1605,0),_xlfn.XMATCH("*Tăng trưởng lợi nhuận sau thuế (YoY) (6M)*",Sheet4!$1:$1,2)),"")</f>
        <v>0</v>
      </c>
      <c r="Q583" s="10" cm="1">
        <f t="array" ref="Q583">IFERROR(INDEX(Sheet4!$2:$1605,MATCH(ChiTietKQKD[[#This Row],[Mã CP]],Sheet4!$B$2:$B$1605,0),_xlfn.XMATCH("*Tăng trưởng doanh thu thuần (QoQ)*",Sheet4!$1:$1,2)),"")</f>
        <v>0.38640000000000002</v>
      </c>
      <c r="R583" s="10" cm="1">
        <f t="array" ref="R583">IFERROR(INDEX(Sheet4!$2:$1605,MATCH(ChiTietKQKD[[#This Row],[Mã CP]],Sheet4!$B$2:$B$1605,0),_xlfn.XMATCH("*Tăng trưởng lợi nhuận sau thuế (QoQ)*",Sheet4!$1:$1,2)),"")</f>
        <v>-0.1077</v>
      </c>
    </row>
    <row r="584" spans="1:18" x14ac:dyDescent="0.25">
      <c r="A584" s="7">
        <f>Sheet4!A563</f>
        <v>562</v>
      </c>
      <c r="B584" t="str">
        <f>Sheet4!B563</f>
        <v>MEL</v>
      </c>
      <c r="C584" t="str">
        <f>Sheet4!C562</f>
        <v>Dược Mediplantex</v>
      </c>
      <c r="D584" t="str">
        <f>Sheet4!D563</f>
        <v>HNX</v>
      </c>
      <c r="E584" s="7">
        <f>Sheet4!AH563/1000000000</f>
        <v>114</v>
      </c>
      <c r="F584" t="str">
        <f>Sheet4!E563</f>
        <v>Nguyên vật liệu</v>
      </c>
      <c r="G584" t="str">
        <f>Sheet4!F563</f>
        <v>Tài nguyên Cơ bản</v>
      </c>
      <c r="H584" t="str">
        <f>Sheet4!G563</f>
        <v>Thép và sản phẩm thép</v>
      </c>
      <c r="I584" s="9" cm="1">
        <f t="array" ref="I58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319.28374412800002</v>
      </c>
      <c r="J584" s="9" cm="1">
        <f t="array" ref="J58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555.61880948600003</v>
      </c>
      <c r="K584" s="10" cm="1">
        <f t="array" ref="K58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0.97799999999999998</v>
      </c>
      <c r="L584" s="10" cm="1">
        <f t="array" ref="L58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0.4713</v>
      </c>
      <c r="M584" s="9" cm="1">
        <f t="array" ref="M584">_xlfn.LET(_xlpm.val,IFERROR(INDEX(Sheet4!$2:$1605,MATCH(ChiTietKQKD[[#This Row],[Mã CP]],Sheet4!$B$2:$B$1605,0),_xlfn.XMATCH("*Lợi nhuận sau thuế*Q2*2026*",Sheet4!$1:$1,2)),0),IF(OR(_xlpm.val="",_xlpm.val=0),"",_xlpm.val/1000000000))</f>
        <v>8.1452116070000002</v>
      </c>
      <c r="N584" s="9" cm="1">
        <f t="array" ref="N584">_xlfn.LET(_xlpm.val,IFERROR(INDEX(Sheet4!$2:$1605,MATCH(ChiTietKQKD[[#This Row],[Mã CP]],Sheet4!$B$2:$B$1605,0),_xlfn.XMATCH("*Lợi nhuận sau thuế*6 tháng*2026*",Sheet4!$1:$1,2)),0),IF(OR(_xlpm.val="",_xlpm.val=0),"",_xlpm.val/1000000000))</f>
        <v>10.539787035</v>
      </c>
      <c r="O584" s="10" cm="1">
        <f t="array" ref="O584">IFERROR(INDEX(Sheet4!$2:$1605,MATCH(ChiTietKQKD[[#This Row],[Mã CP]],Sheet4!$B$2:$B$1605,0),_xlfn.XMATCH("*Tăng trưởng lợi nhuận sau thuế (YoY) (Quý*",Sheet4!$1:$1,2)),"")</f>
        <v>0.25580000000000003</v>
      </c>
      <c r="P584" s="10" cm="1">
        <f t="array" ref="P584">IFERROR(INDEX(Sheet4!$2:$1605,MATCH(ChiTietKQKD[[#This Row],[Mã CP]],Sheet4!$B$2:$B$1605,0),_xlfn.XMATCH("*Tăng trưởng lợi nhuận sau thuế (YoY) (6M)*",Sheet4!$1:$1,2)),"")</f>
        <v>0.38890000000000002</v>
      </c>
      <c r="Q584" s="10" cm="1">
        <f t="array" ref="Q584">IFERROR(INDEX(Sheet4!$2:$1605,MATCH(ChiTietKQKD[[#This Row],[Mã CP]],Sheet4!$B$2:$B$1605,0),_xlfn.XMATCH("*Tăng trưởng doanh thu thuần (QoQ)*",Sheet4!$1:$1,2)),"")</f>
        <v>0.35099999999999998</v>
      </c>
      <c r="R584" s="10" cm="1">
        <f t="array" ref="R584">IFERROR(INDEX(Sheet4!$2:$1605,MATCH(ChiTietKQKD[[#This Row],[Mã CP]],Sheet4!$B$2:$B$1605,0),_xlfn.XMATCH("*Tăng trưởng lợi nhuận sau thuế (QoQ)*",Sheet4!$1:$1,2)),"")</f>
        <v>2.4015</v>
      </c>
    </row>
    <row r="585" spans="1:18" x14ac:dyDescent="0.25">
      <c r="A585" s="7">
        <f>Sheet4!A564</f>
        <v>563</v>
      </c>
      <c r="B585" t="str">
        <f>Sheet4!B564</f>
        <v>MIC</v>
      </c>
      <c r="C585" t="str">
        <f>Sheet4!C563</f>
        <v>Thép Mê Lin</v>
      </c>
      <c r="D585" t="str">
        <f>Sheet4!D564</f>
        <v>HNX</v>
      </c>
      <c r="E585" s="7">
        <f>Sheet4!AH564/1000000000</f>
        <v>89.748172499999995</v>
      </c>
      <c r="F585" t="str">
        <f>Sheet4!E564</f>
        <v>Nguyên vật liệu</v>
      </c>
      <c r="G585" t="str">
        <f>Sheet4!F564</f>
        <v>Tài nguyên Cơ bản</v>
      </c>
      <c r="H585" t="str">
        <f>Sheet4!G564</f>
        <v>Khai khoáng</v>
      </c>
      <c r="I585" s="9" t="str" cm="1">
        <f t="array" ref="I58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85" s="9" t="str" cm="1">
        <f t="array" ref="J58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85" s="10" cm="1">
        <f t="array" ref="K58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85" s="10" cm="1">
        <f t="array" ref="L58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85" s="9" t="str" cm="1">
        <f t="array" ref="M58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85" s="9" t="str" cm="1">
        <f t="array" ref="N58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85" s="10" cm="1">
        <f t="array" ref="O585">IFERROR(INDEX(Sheet4!$2:$1605,MATCH(ChiTietKQKD[[#This Row],[Mã CP]],Sheet4!$B$2:$B$1605,0),_xlfn.XMATCH("*Tăng trưởng lợi nhuận sau thuế (YoY) (Quý*",Sheet4!$1:$1,2)),"")</f>
        <v>0</v>
      </c>
      <c r="P585" s="10" cm="1">
        <f t="array" ref="P585">IFERROR(INDEX(Sheet4!$2:$1605,MATCH(ChiTietKQKD[[#This Row],[Mã CP]],Sheet4!$B$2:$B$1605,0),_xlfn.XMATCH("*Tăng trưởng lợi nhuận sau thuế (YoY) (6M)*",Sheet4!$1:$1,2)),"")</f>
        <v>0</v>
      </c>
      <c r="Q585" s="10" cm="1">
        <f t="array" ref="Q585">IFERROR(INDEX(Sheet4!$2:$1605,MATCH(ChiTietKQKD[[#This Row],[Mã CP]],Sheet4!$B$2:$B$1605,0),_xlfn.XMATCH("*Tăng trưởng doanh thu thuần (QoQ)*",Sheet4!$1:$1,2)),"")</f>
        <v>0</v>
      </c>
      <c r="R585" s="10" cm="1">
        <f t="array" ref="R585">IFERROR(INDEX(Sheet4!$2:$1605,MATCH(ChiTietKQKD[[#This Row],[Mã CP]],Sheet4!$B$2:$B$1605,0),_xlfn.XMATCH("*Tăng trưởng lợi nhuận sau thuế (QoQ)*",Sheet4!$1:$1,2)),"")</f>
        <v>0</v>
      </c>
    </row>
    <row r="586" spans="1:18" x14ac:dyDescent="0.25">
      <c r="A586" s="7">
        <f>Sheet4!A565</f>
        <v>564</v>
      </c>
      <c r="B586" t="str">
        <f>Sheet4!B565</f>
        <v>MKV</v>
      </c>
      <c r="C586" t="str">
        <f>Sheet4!C564</f>
        <v>Khoáng sản Quảng Nam</v>
      </c>
      <c r="D586" t="str">
        <f>Sheet4!D565</f>
        <v>HNX</v>
      </c>
      <c r="E586" s="7">
        <f>Sheet4!AH565/1000000000</f>
        <v>93</v>
      </c>
      <c r="F586" t="str">
        <f>Sheet4!E565</f>
        <v>Dược phẩm và Y tế</v>
      </c>
      <c r="G586" t="str">
        <f>Sheet4!F565</f>
        <v>Y tế</v>
      </c>
      <c r="H586" t="str">
        <f>Sheet4!G565</f>
        <v>Dược phẩm</v>
      </c>
      <c r="I586" s="9" cm="1">
        <f t="array" ref="I58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35.398416050000002</v>
      </c>
      <c r="J586" s="9" cm="1">
        <f t="array" ref="J58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71.423512556000006</v>
      </c>
      <c r="K586" s="10" cm="1">
        <f t="array" ref="K58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4.65E-2</v>
      </c>
      <c r="L586" s="10" cm="1">
        <f t="array" ref="L58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6.2199999999999998E-2</v>
      </c>
      <c r="M586" s="9" cm="1">
        <f t="array" ref="M586">_xlfn.LET(_xlpm.val,IFERROR(INDEX(Sheet4!$2:$1605,MATCH(ChiTietKQKD[[#This Row],[Mã CP]],Sheet4!$B$2:$B$1605,0),_xlfn.XMATCH("*Lợi nhuận sau thuế*Q2*2026*",Sheet4!$1:$1,2)),0),IF(OR(_xlpm.val="",_xlpm.val=0),"",_xlpm.val/1000000000))</f>
        <v>1.1692548270000001</v>
      </c>
      <c r="N586" s="9" cm="1">
        <f t="array" ref="N586">_xlfn.LET(_xlpm.val,IFERROR(INDEX(Sheet4!$2:$1605,MATCH(ChiTietKQKD[[#This Row],[Mã CP]],Sheet4!$B$2:$B$1605,0),_xlfn.XMATCH("*Lợi nhuận sau thuế*6 tháng*2026*",Sheet4!$1:$1,2)),0),IF(OR(_xlpm.val="",_xlpm.val=0),"",_xlpm.val/1000000000))</f>
        <v>2.2179787069999999</v>
      </c>
      <c r="O586" s="10" cm="1">
        <f t="array" ref="O586">IFERROR(INDEX(Sheet4!$2:$1605,MATCH(ChiTietKQKD[[#This Row],[Mã CP]],Sheet4!$B$2:$B$1605,0),_xlfn.XMATCH("*Tăng trưởng lợi nhuận sau thuế (YoY) (Quý*",Sheet4!$1:$1,2)),"")</f>
        <v>-0.48470000000000002</v>
      </c>
      <c r="P586" s="10" cm="1">
        <f t="array" ref="P586">IFERROR(INDEX(Sheet4!$2:$1605,MATCH(ChiTietKQKD[[#This Row],[Mã CP]],Sheet4!$B$2:$B$1605,0),_xlfn.XMATCH("*Tăng trưởng lợi nhuận sau thuế (YoY) (6M)*",Sheet4!$1:$1,2)),"")</f>
        <v>-0.4753</v>
      </c>
      <c r="Q586" s="10" cm="1">
        <f t="array" ref="Q586">IFERROR(INDEX(Sheet4!$2:$1605,MATCH(ChiTietKQKD[[#This Row],[Mã CP]],Sheet4!$B$2:$B$1605,0),_xlfn.XMATCH("*Tăng trưởng doanh thu thuần (QoQ)*",Sheet4!$1:$1,2)),"")</f>
        <v>-1.7399999999999999E-2</v>
      </c>
      <c r="R586" s="10" cm="1">
        <f t="array" ref="R586">IFERROR(INDEX(Sheet4!$2:$1605,MATCH(ChiTietKQKD[[#This Row],[Mã CP]],Sheet4!$B$2:$B$1605,0),_xlfn.XMATCH("*Tăng trưởng lợi nhuận sau thuế (QoQ)*",Sheet4!$1:$1,2)),"")</f>
        <v>0.1149</v>
      </c>
    </row>
    <row r="587" spans="1:18" x14ac:dyDescent="0.25">
      <c r="A587" s="7">
        <f>Sheet4!A566</f>
        <v>565</v>
      </c>
      <c r="B587" t="str">
        <f>Sheet4!B566</f>
        <v>MST</v>
      </c>
      <c r="C587" t="str">
        <f>Sheet4!C565</f>
        <v>Dược Thú Y Cai Lậy</v>
      </c>
      <c r="D587" t="str">
        <f>Sheet4!D566</f>
        <v>HNX</v>
      </c>
      <c r="E587" s="7">
        <f>Sheet4!AH566/1000000000</f>
        <v>1136.0422000000001</v>
      </c>
      <c r="F587" t="str">
        <f>Sheet4!E566</f>
        <v>Công nghiệp</v>
      </c>
      <c r="G587" t="str">
        <f>Sheet4!F566</f>
        <v>Xây dựng và Vật liệu</v>
      </c>
      <c r="H587" t="str">
        <f>Sheet4!G566</f>
        <v>Xây dựng</v>
      </c>
      <c r="I587" s="9" cm="1">
        <f t="array" ref="I58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501.73111298100002</v>
      </c>
      <c r="J587" s="9" cm="1">
        <f t="array" ref="J58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894.97199052400003</v>
      </c>
      <c r="K587" s="10" cm="1">
        <f t="array" ref="K58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0.36609999999999998</v>
      </c>
      <c r="L587" s="10" cm="1">
        <f t="array" ref="L58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0.2235</v>
      </c>
      <c r="M587" s="9" cm="1">
        <f t="array" ref="M587">_xlfn.LET(_xlpm.val,IFERROR(INDEX(Sheet4!$2:$1605,MATCH(ChiTietKQKD[[#This Row],[Mã CP]],Sheet4!$B$2:$B$1605,0),_xlfn.XMATCH("*Lợi nhuận sau thuế*Q2*2026*",Sheet4!$1:$1,2)),0),IF(OR(_xlpm.val="",_xlpm.val=0),"",_xlpm.val/1000000000))</f>
        <v>8.5237794149999999</v>
      </c>
      <c r="N587" s="9" cm="1">
        <f t="array" ref="N587">_xlfn.LET(_xlpm.val,IFERROR(INDEX(Sheet4!$2:$1605,MATCH(ChiTietKQKD[[#This Row],[Mã CP]],Sheet4!$B$2:$B$1605,0),_xlfn.XMATCH("*Lợi nhuận sau thuế*6 tháng*2026*",Sheet4!$1:$1,2)),0),IF(OR(_xlpm.val="",_xlpm.val=0),"",_xlpm.val/1000000000))</f>
        <v>16.245498135999998</v>
      </c>
      <c r="O587" s="10" cm="1">
        <f t="array" ref="O587">IFERROR(INDEX(Sheet4!$2:$1605,MATCH(ChiTietKQKD[[#This Row],[Mã CP]],Sheet4!$B$2:$B$1605,0),_xlfn.XMATCH("*Tăng trưởng lợi nhuận sau thuế (YoY) (Quý*",Sheet4!$1:$1,2)),"")</f>
        <v>1.5322</v>
      </c>
      <c r="P587" s="10" cm="1">
        <f t="array" ref="P587">IFERROR(INDEX(Sheet4!$2:$1605,MATCH(ChiTietKQKD[[#This Row],[Mã CP]],Sheet4!$B$2:$B$1605,0),_xlfn.XMATCH("*Tăng trưởng lợi nhuận sau thuế (YoY) (6M)*",Sheet4!$1:$1,2)),"")</f>
        <v>0.50919999999999999</v>
      </c>
      <c r="Q587" s="10" cm="1">
        <f t="array" ref="Q587">IFERROR(INDEX(Sheet4!$2:$1605,MATCH(ChiTietKQKD[[#This Row],[Mã CP]],Sheet4!$B$2:$B$1605,0),_xlfn.XMATCH("*Tăng trưởng doanh thu thuần (QoQ)*",Sheet4!$1:$1,2)),"")</f>
        <v>0.27589999999999998</v>
      </c>
      <c r="R587" s="10" cm="1">
        <f t="array" ref="R587">IFERROR(INDEX(Sheet4!$2:$1605,MATCH(ChiTietKQKD[[#This Row],[Mã CP]],Sheet4!$B$2:$B$1605,0),_xlfn.XMATCH("*Tăng trưởng lợi nhuận sau thuế (QoQ)*",Sheet4!$1:$1,2)),"")</f>
        <v>0.13239999999999999</v>
      </c>
    </row>
    <row r="588" spans="1:18" x14ac:dyDescent="0.25">
      <c r="A588" s="7">
        <f>Sheet4!A567</f>
        <v>566</v>
      </c>
      <c r="B588" t="str">
        <f>Sheet4!B567</f>
        <v>MVB</v>
      </c>
      <c r="C588" t="str">
        <f>Sheet4!C566</f>
        <v>Đầu tư MST</v>
      </c>
      <c r="D588" t="str">
        <f>Sheet4!D567</f>
        <v>HNX</v>
      </c>
      <c r="E588" s="7">
        <f>Sheet4!AH567/1000000000</f>
        <v>1743</v>
      </c>
      <c r="F588" t="str">
        <f>Sheet4!E567</f>
        <v>Nguyên vật liệu</v>
      </c>
      <c r="G588" t="str">
        <f>Sheet4!F567</f>
        <v>Tài nguyên Cơ bản</v>
      </c>
      <c r="H588" t="str">
        <f>Sheet4!G567</f>
        <v>Khai khoáng</v>
      </c>
      <c r="I588" s="9" t="str" cm="1">
        <f t="array" ref="I58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88" s="9" t="str" cm="1">
        <f t="array" ref="J58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88" s="10" cm="1">
        <f t="array" ref="K58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88" s="10" cm="1">
        <f t="array" ref="L58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88" s="9" t="str" cm="1">
        <f t="array" ref="M58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88" s="9" t="str" cm="1">
        <f t="array" ref="N58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88" s="10" cm="1">
        <f t="array" ref="O588">IFERROR(INDEX(Sheet4!$2:$1605,MATCH(ChiTietKQKD[[#This Row],[Mã CP]],Sheet4!$B$2:$B$1605,0),_xlfn.XMATCH("*Tăng trưởng lợi nhuận sau thuế (YoY) (Quý*",Sheet4!$1:$1,2)),"")</f>
        <v>0</v>
      </c>
      <c r="P588" s="10" cm="1">
        <f t="array" ref="P588">IFERROR(INDEX(Sheet4!$2:$1605,MATCH(ChiTietKQKD[[#This Row],[Mã CP]],Sheet4!$B$2:$B$1605,0),_xlfn.XMATCH("*Tăng trưởng lợi nhuận sau thuế (YoY) (6M)*",Sheet4!$1:$1,2)),"")</f>
        <v>0</v>
      </c>
      <c r="Q588" s="10" cm="1">
        <f t="array" ref="Q588">IFERROR(INDEX(Sheet4!$2:$1605,MATCH(ChiTietKQKD[[#This Row],[Mã CP]],Sheet4!$B$2:$B$1605,0),_xlfn.XMATCH("*Tăng trưởng doanh thu thuần (QoQ)*",Sheet4!$1:$1,2)),"")</f>
        <v>0</v>
      </c>
      <c r="R588" s="10" cm="1">
        <f t="array" ref="R588">IFERROR(INDEX(Sheet4!$2:$1605,MATCH(ChiTietKQKD[[#This Row],[Mã CP]],Sheet4!$B$2:$B$1605,0),_xlfn.XMATCH("*Tăng trưởng lợi nhuận sau thuế (QoQ)*",Sheet4!$1:$1,2)),"")</f>
        <v>0</v>
      </c>
    </row>
    <row r="589" spans="1:18" x14ac:dyDescent="0.25">
      <c r="A589" s="7">
        <f>Sheet4!A568</f>
        <v>567</v>
      </c>
      <c r="B589" t="str">
        <f>Sheet4!B568</f>
        <v>NAG</v>
      </c>
      <c r="C589" t="str">
        <f>Sheet4!C567</f>
        <v>Mỏ Việt Bắc - TKV</v>
      </c>
      <c r="D589" t="str">
        <f>Sheet4!D568</f>
        <v>HNX</v>
      </c>
      <c r="E589" s="7">
        <f>Sheet4!AH568/1000000000</f>
        <v>368.15608200000003</v>
      </c>
      <c r="F589" t="str">
        <f>Sheet4!E568</f>
        <v>Công nghiệp</v>
      </c>
      <c r="G589" t="str">
        <f>Sheet4!F568</f>
        <v>Hàng &amp; Dịch vụ Công nghiệp</v>
      </c>
      <c r="H589" t="str">
        <f>Sheet4!G568</f>
        <v>Hàng điện &amp; điện tử</v>
      </c>
      <c r="I589" s="9" t="str" cm="1">
        <f t="array" ref="I58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89" s="9" t="str" cm="1">
        <f t="array" ref="J58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89" s="10" cm="1">
        <f t="array" ref="K58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89" s="10" cm="1">
        <f t="array" ref="L58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89" s="9" t="str" cm="1">
        <f t="array" ref="M58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89" s="9" t="str" cm="1">
        <f t="array" ref="N58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89" s="10" cm="1">
        <f t="array" ref="O589">IFERROR(INDEX(Sheet4!$2:$1605,MATCH(ChiTietKQKD[[#This Row],[Mã CP]],Sheet4!$B$2:$B$1605,0),_xlfn.XMATCH("*Tăng trưởng lợi nhuận sau thuế (YoY) (Quý*",Sheet4!$1:$1,2)),"")</f>
        <v>0</v>
      </c>
      <c r="P589" s="10" cm="1">
        <f t="array" ref="P589">IFERROR(INDEX(Sheet4!$2:$1605,MATCH(ChiTietKQKD[[#This Row],[Mã CP]],Sheet4!$B$2:$B$1605,0),_xlfn.XMATCH("*Tăng trưởng lợi nhuận sau thuế (YoY) (6M)*",Sheet4!$1:$1,2)),"")</f>
        <v>0</v>
      </c>
      <c r="Q589" s="10" cm="1">
        <f t="array" ref="Q589">IFERROR(INDEX(Sheet4!$2:$1605,MATCH(ChiTietKQKD[[#This Row],[Mã CP]],Sheet4!$B$2:$B$1605,0),_xlfn.XMATCH("*Tăng trưởng doanh thu thuần (QoQ)*",Sheet4!$1:$1,2)),"")</f>
        <v>0</v>
      </c>
      <c r="R589" s="10" cm="1">
        <f t="array" ref="R589">IFERROR(INDEX(Sheet4!$2:$1605,MATCH(ChiTietKQKD[[#This Row],[Mã CP]],Sheet4!$B$2:$B$1605,0),_xlfn.XMATCH("*Tăng trưởng lợi nhuận sau thuế (QoQ)*",Sheet4!$1:$1,2)),"")</f>
        <v>0</v>
      </c>
    </row>
    <row r="590" spans="1:18" x14ac:dyDescent="0.25">
      <c r="A590" s="7">
        <f>Sheet4!A569</f>
        <v>568</v>
      </c>
      <c r="B590" t="str">
        <f>Sheet4!B569</f>
        <v>NAP</v>
      </c>
      <c r="C590" t="str">
        <f>Sheet4!C568</f>
        <v>Tập đoàn Nagakawa</v>
      </c>
      <c r="D590" t="str">
        <f>Sheet4!D569</f>
        <v>HNX</v>
      </c>
      <c r="E590" s="7">
        <f>Sheet4!AH569/1000000000</f>
        <v>238.84092000000001</v>
      </c>
      <c r="F590" t="str">
        <f>Sheet4!E569</f>
        <v>Công nghiệp</v>
      </c>
      <c r="G590" t="str">
        <f>Sheet4!F569</f>
        <v>Hàng &amp; Dịch vụ Công nghiệp</v>
      </c>
      <c r="H590" t="str">
        <f>Sheet4!G569</f>
        <v>Kho bãi, hậu cần và bảo dưỡng</v>
      </c>
      <c r="I590" s="9" cm="1">
        <f t="array" ref="I59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72.046718509000002</v>
      </c>
      <c r="J590" s="9" cm="1">
        <f t="array" ref="J59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135.450719671</v>
      </c>
      <c r="K590" s="10" cm="1">
        <f t="array" ref="K59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8.5500000000000007E-2</v>
      </c>
      <c r="L590" s="10" cm="1">
        <f t="array" ref="L59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90" s="9" cm="1">
        <f t="array" ref="M590">_xlfn.LET(_xlpm.val,IFERROR(INDEX(Sheet4!$2:$1605,MATCH(ChiTietKQKD[[#This Row],[Mã CP]],Sheet4!$B$2:$B$1605,0),_xlfn.XMATCH("*Lợi nhuận sau thuế*Q2*2026*",Sheet4!$1:$1,2)),0),IF(OR(_xlpm.val="",_xlpm.val=0),"",_xlpm.val/1000000000))</f>
        <v>6.3392787640000003</v>
      </c>
      <c r="N590" s="9" cm="1">
        <f t="array" ref="N590">_xlfn.LET(_xlpm.val,IFERROR(INDEX(Sheet4!$2:$1605,MATCH(ChiTietKQKD[[#This Row],[Mã CP]],Sheet4!$B$2:$B$1605,0),_xlfn.XMATCH("*Lợi nhuận sau thuế*6 tháng*2026*",Sheet4!$1:$1,2)),0),IF(OR(_xlpm.val="",_xlpm.val=0),"",_xlpm.val/1000000000))</f>
        <v>12.630219868999999</v>
      </c>
      <c r="O590" s="10" cm="1">
        <f t="array" ref="O590">IFERROR(INDEX(Sheet4!$2:$1605,MATCH(ChiTietKQKD[[#This Row],[Mã CP]],Sheet4!$B$2:$B$1605,0),_xlfn.XMATCH("*Tăng trưởng lợi nhuận sau thuế (YoY) (Quý*",Sheet4!$1:$1,2)),"")</f>
        <v>-0.41920000000000002</v>
      </c>
      <c r="P590" s="10" cm="1">
        <f t="array" ref="P590">IFERROR(INDEX(Sheet4!$2:$1605,MATCH(ChiTietKQKD[[#This Row],[Mã CP]],Sheet4!$B$2:$B$1605,0),_xlfn.XMATCH("*Tăng trưởng lợi nhuận sau thuế (YoY) (6M)*",Sheet4!$1:$1,2)),"")</f>
        <v>0</v>
      </c>
      <c r="Q590" s="10" cm="1">
        <f t="array" ref="Q590">IFERROR(INDEX(Sheet4!$2:$1605,MATCH(ChiTietKQKD[[#This Row],[Mã CP]],Sheet4!$B$2:$B$1605,0),_xlfn.XMATCH("*Tăng trưởng doanh thu thuần (QoQ)*",Sheet4!$1:$1,2)),"")</f>
        <v>0.1363</v>
      </c>
      <c r="R590" s="10" cm="1">
        <f t="array" ref="R590">IFERROR(INDEX(Sheet4!$2:$1605,MATCH(ChiTietKQKD[[#This Row],[Mã CP]],Sheet4!$B$2:$B$1605,0),_xlfn.XMATCH("*Tăng trưởng lợi nhuận sau thuế (QoQ)*",Sheet4!$1:$1,2)),"")</f>
        <v>7.7000000000000002E-3</v>
      </c>
    </row>
    <row r="591" spans="1:18" x14ac:dyDescent="0.25">
      <c r="A591" s="7">
        <f>Sheet4!A570</f>
        <v>569</v>
      </c>
      <c r="B591" t="str">
        <f>Sheet4!B570</f>
        <v>NBC</v>
      </c>
      <c r="C591" t="str">
        <f>Sheet4!C569</f>
        <v>Cảng Nghệ Tĩnh</v>
      </c>
      <c r="D591" t="str">
        <f>Sheet4!D570</f>
        <v>HNX</v>
      </c>
      <c r="E591" s="7">
        <f>Sheet4!AH570/1000000000</f>
        <v>288.59316719999998</v>
      </c>
      <c r="F591" t="str">
        <f>Sheet4!E570</f>
        <v>Nguyên vật liệu</v>
      </c>
      <c r="G591" t="str">
        <f>Sheet4!F570</f>
        <v>Tài nguyên Cơ bản</v>
      </c>
      <c r="H591" t="str">
        <f>Sheet4!G570</f>
        <v>Khai thác Than</v>
      </c>
      <c r="I591" s="9" cm="1">
        <f t="array" ref="I59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750.32117146999997</v>
      </c>
      <c r="J591" s="9" cm="1">
        <f t="array" ref="J59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1193.8724580989999</v>
      </c>
      <c r="K591" s="10" cm="1">
        <f t="array" ref="K59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0.32950000000000002</v>
      </c>
      <c r="L591" s="10" cm="1">
        <f t="array" ref="L59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-7.2900000000000006E-2</v>
      </c>
      <c r="M591" s="9" cm="1">
        <f t="array" ref="M591">_xlfn.LET(_xlpm.val,IFERROR(INDEX(Sheet4!$2:$1605,MATCH(ChiTietKQKD[[#This Row],[Mã CP]],Sheet4!$B$2:$B$1605,0),_xlfn.XMATCH("*Lợi nhuận sau thuế*Q2*2026*",Sheet4!$1:$1,2)),0),IF(OR(_xlpm.val="",_xlpm.val=0),"",_xlpm.val/1000000000))</f>
        <v>20.795683543999999</v>
      </c>
      <c r="N591" s="9" cm="1">
        <f t="array" ref="N591">_xlfn.LET(_xlpm.val,IFERROR(INDEX(Sheet4!$2:$1605,MATCH(ChiTietKQKD[[#This Row],[Mã CP]],Sheet4!$B$2:$B$1605,0),_xlfn.XMATCH("*Lợi nhuận sau thuế*6 tháng*2026*",Sheet4!$1:$1,2)),0),IF(OR(_xlpm.val="",_xlpm.val=0),"",_xlpm.val/1000000000))</f>
        <v>27.121683780000001</v>
      </c>
      <c r="O591" s="10" cm="1">
        <f t="array" ref="O591">IFERROR(INDEX(Sheet4!$2:$1605,MATCH(ChiTietKQKD[[#This Row],[Mã CP]],Sheet4!$B$2:$B$1605,0),_xlfn.XMATCH("*Tăng trưởng lợi nhuận sau thuế (YoY) (Quý*",Sheet4!$1:$1,2)),"")</f>
        <v>3.6111</v>
      </c>
      <c r="P591" s="10" cm="1">
        <f t="array" ref="P591">IFERROR(INDEX(Sheet4!$2:$1605,MATCH(ChiTietKQKD[[#This Row],[Mã CP]],Sheet4!$B$2:$B$1605,0),_xlfn.XMATCH("*Tăng trưởng lợi nhuận sau thuế (YoY) (6M)*",Sheet4!$1:$1,2)),"")</f>
        <v>0.86399999999999999</v>
      </c>
      <c r="Q591" s="10" cm="1">
        <f t="array" ref="Q591">IFERROR(INDEX(Sheet4!$2:$1605,MATCH(ChiTietKQKD[[#This Row],[Mã CP]],Sheet4!$B$2:$B$1605,0),_xlfn.XMATCH("*Tăng trưởng doanh thu thuần (QoQ)*",Sheet4!$1:$1,2)),"")</f>
        <v>0.69159999999999999</v>
      </c>
      <c r="R591" s="10" cm="1">
        <f t="array" ref="R591">IFERROR(INDEX(Sheet4!$2:$1605,MATCH(ChiTietKQKD[[#This Row],[Mã CP]],Sheet4!$B$2:$B$1605,0),_xlfn.XMATCH("*Tăng trưởng lợi nhuận sau thuế (QoQ)*",Sheet4!$1:$1,2)),"")</f>
        <v>2.2873000000000001</v>
      </c>
    </row>
    <row r="592" spans="1:18" x14ac:dyDescent="0.25">
      <c r="A592" s="7">
        <f>Sheet4!A571</f>
        <v>570</v>
      </c>
      <c r="B592" t="str">
        <f>Sheet4!B571</f>
        <v>NBP</v>
      </c>
      <c r="C592" t="str">
        <f>Sheet4!C570</f>
        <v>Than Núi Béo</v>
      </c>
      <c r="D592" t="str">
        <f>Sheet4!D571</f>
        <v>HNX</v>
      </c>
      <c r="E592" s="7">
        <f>Sheet4!AH571/1000000000</f>
        <v>97.777799999999999</v>
      </c>
      <c r="F592" t="str">
        <f>Sheet4!E571</f>
        <v>Tiện ích Cộng đồng</v>
      </c>
      <c r="G592" t="str">
        <f>Sheet4!F571</f>
        <v>Điện, nước &amp; xăng dầu khí đốt</v>
      </c>
      <c r="H592" t="str">
        <f>Sheet4!G571</f>
        <v>Sản xuất &amp; Phân phối Điện</v>
      </c>
      <c r="I592" s="9" cm="1">
        <f t="array" ref="I59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197.78338263800001</v>
      </c>
      <c r="J592" s="9" cm="1">
        <f t="array" ref="J59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270.768310751</v>
      </c>
      <c r="K592" s="10" cm="1">
        <f t="array" ref="K59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0.67020000000000002</v>
      </c>
      <c r="L592" s="10" cm="1">
        <f t="array" ref="L59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92" s="9" cm="1">
        <f t="array" ref="M592">_xlfn.LET(_xlpm.val,IFERROR(INDEX(Sheet4!$2:$1605,MATCH(ChiTietKQKD[[#This Row],[Mã CP]],Sheet4!$B$2:$B$1605,0),_xlfn.XMATCH("*Lợi nhuận sau thuế*Q2*2026*",Sheet4!$1:$1,2)),0),IF(OR(_xlpm.val="",_xlpm.val=0),"",_xlpm.val/1000000000))</f>
        <v>12.101626647</v>
      </c>
      <c r="N592" s="9" cm="1">
        <f t="array" ref="N592">_xlfn.LET(_xlpm.val,IFERROR(INDEX(Sheet4!$2:$1605,MATCH(ChiTietKQKD[[#This Row],[Mã CP]],Sheet4!$B$2:$B$1605,0),_xlfn.XMATCH("*Lợi nhuận sau thuế*6 tháng*2026*",Sheet4!$1:$1,2)),0),IF(OR(_xlpm.val="",_xlpm.val=0),"",_xlpm.val/1000000000))</f>
        <v>19.278050939</v>
      </c>
      <c r="O592" s="10" cm="1">
        <f t="array" ref="O592">IFERROR(INDEX(Sheet4!$2:$1605,MATCH(ChiTietKQKD[[#This Row],[Mã CP]],Sheet4!$B$2:$B$1605,0),_xlfn.XMATCH("*Tăng trưởng lợi nhuận sau thuế (YoY) (Quý*",Sheet4!$1:$1,2)),"")</f>
        <v>1.3338000000000001</v>
      </c>
      <c r="P592" s="10" cm="1">
        <f t="array" ref="P592">IFERROR(INDEX(Sheet4!$2:$1605,MATCH(ChiTietKQKD[[#This Row],[Mã CP]],Sheet4!$B$2:$B$1605,0),_xlfn.XMATCH("*Tăng trưởng lợi nhuận sau thuế (YoY) (6M)*",Sheet4!$1:$1,2)),"")</f>
        <v>0</v>
      </c>
      <c r="Q592" s="10" cm="1">
        <f t="array" ref="Q592">IFERROR(INDEX(Sheet4!$2:$1605,MATCH(ChiTietKQKD[[#This Row],[Mã CP]],Sheet4!$B$2:$B$1605,0),_xlfn.XMATCH("*Tăng trưởng doanh thu thuần (QoQ)*",Sheet4!$1:$1,2)),"")</f>
        <v>1.7099</v>
      </c>
      <c r="R592" s="10" cm="1">
        <f t="array" ref="R592">IFERROR(INDEX(Sheet4!$2:$1605,MATCH(ChiTietKQKD[[#This Row],[Mã CP]],Sheet4!$B$2:$B$1605,0),_xlfn.XMATCH("*Tăng trưởng lợi nhuận sau thuế (QoQ)*",Sheet4!$1:$1,2)),"")</f>
        <v>0.68630000000000002</v>
      </c>
    </row>
    <row r="593" spans="1:18" x14ac:dyDescent="0.25">
      <c r="A593" s="7">
        <f>Sheet4!A572</f>
        <v>571</v>
      </c>
      <c r="B593" t="str">
        <f>Sheet4!B572</f>
        <v>NBW</v>
      </c>
      <c r="C593" t="str">
        <f>Sheet4!C571</f>
        <v>Nhiệt điện Ninh Bình</v>
      </c>
      <c r="D593" t="str">
        <f>Sheet4!D572</f>
        <v>HNX</v>
      </c>
      <c r="E593" s="7">
        <f>Sheet4!AH572/1000000000</f>
        <v>364.06</v>
      </c>
      <c r="F593" t="str">
        <f>Sheet4!E572</f>
        <v>Tiện ích Cộng đồng</v>
      </c>
      <c r="G593" t="str">
        <f>Sheet4!F572</f>
        <v>Điện, nước &amp; xăng dầu khí đốt</v>
      </c>
      <c r="H593" t="str">
        <f>Sheet4!G572</f>
        <v>Nước</v>
      </c>
      <c r="I593" s="9" cm="1">
        <f t="array" ref="I59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239.87565508700001</v>
      </c>
      <c r="J593" s="9" cm="1">
        <f t="array" ref="J59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463.723802756</v>
      </c>
      <c r="K593" s="10" cm="1">
        <f t="array" ref="K59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1.9E-2</v>
      </c>
      <c r="L593" s="10" cm="1">
        <f t="array" ref="L59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1.3100000000000001E-2</v>
      </c>
      <c r="M593" s="9" cm="1">
        <f t="array" ref="M593">_xlfn.LET(_xlpm.val,IFERROR(INDEX(Sheet4!$2:$1605,MATCH(ChiTietKQKD[[#This Row],[Mã CP]],Sheet4!$B$2:$B$1605,0),_xlfn.XMATCH("*Lợi nhuận sau thuế*Q2*2026*",Sheet4!$1:$1,2)),0),IF(OR(_xlpm.val="",_xlpm.val=0),"",_xlpm.val/1000000000))</f>
        <v>8.4740515270000003</v>
      </c>
      <c r="N593" s="9" cm="1">
        <f t="array" ref="N593">_xlfn.LET(_xlpm.val,IFERROR(INDEX(Sheet4!$2:$1605,MATCH(ChiTietKQKD[[#This Row],[Mã CP]],Sheet4!$B$2:$B$1605,0),_xlfn.XMATCH("*Lợi nhuận sau thuế*6 tháng*2026*",Sheet4!$1:$1,2)),0),IF(OR(_xlpm.val="",_xlpm.val=0),"",_xlpm.val/1000000000))</f>
        <v>16.920488448</v>
      </c>
      <c r="O593" s="10" cm="1">
        <f t="array" ref="O593">IFERROR(INDEX(Sheet4!$2:$1605,MATCH(ChiTietKQKD[[#This Row],[Mã CP]],Sheet4!$B$2:$B$1605,0),_xlfn.XMATCH("*Tăng trưởng lợi nhuận sau thuế (YoY) (Quý*",Sheet4!$1:$1,2)),"")</f>
        <v>-7.2300000000000003E-2</v>
      </c>
      <c r="P593" s="10" cm="1">
        <f t="array" ref="P593">IFERROR(INDEX(Sheet4!$2:$1605,MATCH(ChiTietKQKD[[#This Row],[Mã CP]],Sheet4!$B$2:$B$1605,0),_xlfn.XMATCH("*Tăng trưởng lợi nhuận sau thuế (YoY) (6M)*",Sheet4!$1:$1,2)),"")</f>
        <v>-0.19370000000000001</v>
      </c>
      <c r="Q593" s="10" cm="1">
        <f t="array" ref="Q593">IFERROR(INDEX(Sheet4!$2:$1605,MATCH(ChiTietKQKD[[#This Row],[Mã CP]],Sheet4!$B$2:$B$1605,0),_xlfn.XMATCH("*Tăng trưởng doanh thu thuần (QoQ)*",Sheet4!$1:$1,2)),"")</f>
        <v>7.1599999999999997E-2</v>
      </c>
      <c r="R593" s="10" cm="1">
        <f t="array" ref="R593">IFERROR(INDEX(Sheet4!$2:$1605,MATCH(ChiTietKQKD[[#This Row],[Mã CP]],Sheet4!$B$2:$B$1605,0),_xlfn.XMATCH("*Tăng trưởng lợi nhuận sau thuế (QoQ)*",Sheet4!$1:$1,2)),"")</f>
        <v>3.3E-3</v>
      </c>
    </row>
    <row r="594" spans="1:18" x14ac:dyDescent="0.25">
      <c r="A594" s="7">
        <f>Sheet4!A573</f>
        <v>572</v>
      </c>
      <c r="B594" t="str">
        <f>Sheet4!B573</f>
        <v>NDN</v>
      </c>
      <c r="C594" t="str">
        <f>Sheet4!C572</f>
        <v>Cấp nước Nhà Bè</v>
      </c>
      <c r="D594" t="str">
        <f>Sheet4!D573</f>
        <v>HNX</v>
      </c>
      <c r="E594" s="7">
        <f>Sheet4!AH573/1000000000</f>
        <v>680.75039200000003</v>
      </c>
      <c r="F594" t="str">
        <f>Sheet4!E573</f>
        <v>Tài chính</v>
      </c>
      <c r="G594" t="str">
        <f>Sheet4!F573</f>
        <v>Bất động sản</v>
      </c>
      <c r="H594" t="str">
        <f>Sheet4!G573</f>
        <v>Bất động sản</v>
      </c>
      <c r="I594" s="9" t="str" cm="1">
        <f t="array" ref="I59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94" s="9" t="str" cm="1">
        <f t="array" ref="J59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94" s="10" cm="1">
        <f t="array" ref="K59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94" s="10" cm="1">
        <f t="array" ref="L59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94" s="9" t="str" cm="1">
        <f t="array" ref="M59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94" s="9" t="str" cm="1">
        <f t="array" ref="N59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94" s="10" cm="1">
        <f t="array" ref="O594">IFERROR(INDEX(Sheet4!$2:$1605,MATCH(ChiTietKQKD[[#This Row],[Mã CP]],Sheet4!$B$2:$B$1605,0),_xlfn.XMATCH("*Tăng trưởng lợi nhuận sau thuế (YoY) (Quý*",Sheet4!$1:$1,2)),"")</f>
        <v>0</v>
      </c>
      <c r="P594" s="10" cm="1">
        <f t="array" ref="P594">IFERROR(INDEX(Sheet4!$2:$1605,MATCH(ChiTietKQKD[[#This Row],[Mã CP]],Sheet4!$B$2:$B$1605,0),_xlfn.XMATCH("*Tăng trưởng lợi nhuận sau thuế (YoY) (6M)*",Sheet4!$1:$1,2)),"")</f>
        <v>0</v>
      </c>
      <c r="Q594" s="10" cm="1">
        <f t="array" ref="Q594">IFERROR(INDEX(Sheet4!$2:$1605,MATCH(ChiTietKQKD[[#This Row],[Mã CP]],Sheet4!$B$2:$B$1605,0),_xlfn.XMATCH("*Tăng trưởng doanh thu thuần (QoQ)*",Sheet4!$1:$1,2)),"")</f>
        <v>0</v>
      </c>
      <c r="R594" s="10" cm="1">
        <f t="array" ref="R594">IFERROR(INDEX(Sheet4!$2:$1605,MATCH(ChiTietKQKD[[#This Row],[Mã CP]],Sheet4!$B$2:$B$1605,0),_xlfn.XMATCH("*Tăng trưởng lợi nhuận sau thuế (QoQ)*",Sheet4!$1:$1,2)),"")</f>
        <v>0</v>
      </c>
    </row>
    <row r="595" spans="1:18" x14ac:dyDescent="0.25">
      <c r="A595" s="7">
        <f>Sheet4!A574</f>
        <v>573</v>
      </c>
      <c r="B595" t="str">
        <f>Sheet4!B574</f>
        <v>NDX</v>
      </c>
      <c r="C595" t="str">
        <f>Sheet4!C573</f>
        <v>PT Nhà Đà Nẵng</v>
      </c>
      <c r="D595" t="str">
        <f>Sheet4!D574</f>
        <v>HNX</v>
      </c>
      <c r="E595" s="7">
        <f>Sheet4!AH574/1000000000</f>
        <v>65.195387600000004</v>
      </c>
      <c r="F595" t="str">
        <f>Sheet4!E574</f>
        <v>Công nghiệp</v>
      </c>
      <c r="G595" t="str">
        <f>Sheet4!F574</f>
        <v>Xây dựng và Vật liệu</v>
      </c>
      <c r="H595" t="str">
        <f>Sheet4!G574</f>
        <v>Xây dựng</v>
      </c>
      <c r="I595" s="9" t="str" cm="1">
        <f t="array" ref="I59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95" s="9" t="str" cm="1">
        <f t="array" ref="J59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95" s="10" cm="1">
        <f t="array" ref="K59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95" s="10" cm="1">
        <f t="array" ref="L59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95" s="9" t="str" cm="1">
        <f t="array" ref="M59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95" s="9" t="str" cm="1">
        <f t="array" ref="N59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95" s="10" cm="1">
        <f t="array" ref="O595">IFERROR(INDEX(Sheet4!$2:$1605,MATCH(ChiTietKQKD[[#This Row],[Mã CP]],Sheet4!$B$2:$B$1605,0),_xlfn.XMATCH("*Tăng trưởng lợi nhuận sau thuế (YoY) (Quý*",Sheet4!$1:$1,2)),"")</f>
        <v>0</v>
      </c>
      <c r="P595" s="10" cm="1">
        <f t="array" ref="P595">IFERROR(INDEX(Sheet4!$2:$1605,MATCH(ChiTietKQKD[[#This Row],[Mã CP]],Sheet4!$B$2:$B$1605,0),_xlfn.XMATCH("*Tăng trưởng lợi nhuận sau thuế (YoY) (6M)*",Sheet4!$1:$1,2)),"")</f>
        <v>0</v>
      </c>
      <c r="Q595" s="10" cm="1">
        <f t="array" ref="Q595">IFERROR(INDEX(Sheet4!$2:$1605,MATCH(ChiTietKQKD[[#This Row],[Mã CP]],Sheet4!$B$2:$B$1605,0),_xlfn.XMATCH("*Tăng trưởng doanh thu thuần (QoQ)*",Sheet4!$1:$1,2)),"")</f>
        <v>0</v>
      </c>
      <c r="R595" s="10" cm="1">
        <f t="array" ref="R595">IFERROR(INDEX(Sheet4!$2:$1605,MATCH(ChiTietKQKD[[#This Row],[Mã CP]],Sheet4!$B$2:$B$1605,0),_xlfn.XMATCH("*Tăng trưởng lợi nhuận sau thuế (QoQ)*",Sheet4!$1:$1,2)),"")</f>
        <v>0</v>
      </c>
    </row>
    <row r="596" spans="1:18" x14ac:dyDescent="0.25">
      <c r="A596" s="7">
        <f>Sheet4!A575</f>
        <v>574</v>
      </c>
      <c r="B596" t="str">
        <f>Sheet4!B575</f>
        <v>NET</v>
      </c>
      <c r="C596" t="str">
        <f>Sheet4!C574</f>
        <v>Phát triển Nhà Đà Nẵng</v>
      </c>
      <c r="D596" t="str">
        <f>Sheet4!D575</f>
        <v>HNX</v>
      </c>
      <c r="E596" s="7">
        <f>Sheet4!AH575/1000000000</f>
        <v>1406.6178872</v>
      </c>
      <c r="F596" t="str">
        <f>Sheet4!E575</f>
        <v>Hàng Tiêu dùng</v>
      </c>
      <c r="G596" t="str">
        <f>Sheet4!F575</f>
        <v>Hàng cá nhân &amp; Gia dụng</v>
      </c>
      <c r="H596" t="str">
        <f>Sheet4!G575</f>
        <v>Hàng cá nhân</v>
      </c>
      <c r="I596" s="9" cm="1">
        <f t="array" ref="I59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455.76865713400002</v>
      </c>
      <c r="J596" s="9" cm="1">
        <f t="array" ref="J59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891.33087380400002</v>
      </c>
      <c r="K596" s="10" cm="1">
        <f t="array" ref="K59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0.29380000000000001</v>
      </c>
      <c r="L596" s="10" cm="1">
        <f t="array" ref="L59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0.2069</v>
      </c>
      <c r="M596" s="9" cm="1">
        <f t="array" ref="M596">_xlfn.LET(_xlpm.val,IFERROR(INDEX(Sheet4!$2:$1605,MATCH(ChiTietKQKD[[#This Row],[Mã CP]],Sheet4!$B$2:$B$1605,0),_xlfn.XMATCH("*Lợi nhuận sau thuế*Q2*2026*",Sheet4!$1:$1,2)),0),IF(OR(_xlpm.val="",_xlpm.val=0),"",_xlpm.val/1000000000))</f>
        <v>8.3575469869999992</v>
      </c>
      <c r="N596" s="9" cm="1">
        <f t="array" ref="N596">_xlfn.LET(_xlpm.val,IFERROR(INDEX(Sheet4!$2:$1605,MATCH(ChiTietKQKD[[#This Row],[Mã CP]],Sheet4!$B$2:$B$1605,0),_xlfn.XMATCH("*Lợi nhuận sau thuế*6 tháng*2026*",Sheet4!$1:$1,2)),0),IF(OR(_xlpm.val="",_xlpm.val=0),"",_xlpm.val/1000000000))</f>
        <v>46.538958501000003</v>
      </c>
      <c r="O596" s="10" cm="1">
        <f t="array" ref="O596">IFERROR(INDEX(Sheet4!$2:$1605,MATCH(ChiTietKQKD[[#This Row],[Mã CP]],Sheet4!$B$2:$B$1605,0),_xlfn.XMATCH("*Tăng trưởng lợi nhuận sau thuế (YoY) (Quý*",Sheet4!$1:$1,2)),"")</f>
        <v>-0.72250000000000003</v>
      </c>
      <c r="P596" s="10" cm="1">
        <f t="array" ref="P596">IFERROR(INDEX(Sheet4!$2:$1605,MATCH(ChiTietKQKD[[#This Row],[Mã CP]],Sheet4!$B$2:$B$1605,0),_xlfn.XMATCH("*Tăng trưởng lợi nhuận sau thuế (YoY) (6M)*",Sheet4!$1:$1,2)),"")</f>
        <v>-0.43</v>
      </c>
      <c r="Q596" s="10" cm="1">
        <f t="array" ref="Q596">IFERROR(INDEX(Sheet4!$2:$1605,MATCH(ChiTietKQKD[[#This Row],[Mã CP]],Sheet4!$B$2:$B$1605,0),_xlfn.XMATCH("*Tăng trưởng doanh thu thuần (QoQ)*",Sheet4!$1:$1,2)),"")</f>
        <v>4.6399999999999997E-2</v>
      </c>
      <c r="R596" s="10" cm="1">
        <f t="array" ref="R596">IFERROR(INDEX(Sheet4!$2:$1605,MATCH(ChiTietKQKD[[#This Row],[Mã CP]],Sheet4!$B$2:$B$1605,0),_xlfn.XMATCH("*Tăng trưởng lợi nhuận sau thuế (QoQ)*",Sheet4!$1:$1,2)),"")</f>
        <v>-0.78110000000000002</v>
      </c>
    </row>
    <row r="597" spans="1:18" x14ac:dyDescent="0.25">
      <c r="A597" s="7">
        <f>Sheet4!A576</f>
        <v>575</v>
      </c>
      <c r="B597" t="str">
        <f>Sheet4!B576</f>
        <v>NFC</v>
      </c>
      <c r="C597" t="str">
        <f>Sheet4!C575</f>
        <v>Bột giặt Net</v>
      </c>
      <c r="D597" t="str">
        <f>Sheet4!D576</f>
        <v>HNX</v>
      </c>
      <c r="E597" s="7">
        <f>Sheet4!AH576/1000000000</f>
        <v>835.32990600000005</v>
      </c>
      <c r="F597" t="str">
        <f>Sheet4!E576</f>
        <v>Nguyên vật liệu</v>
      </c>
      <c r="G597" t="str">
        <f>Sheet4!F576</f>
        <v>Hóa chất</v>
      </c>
      <c r="H597" t="str">
        <f>Sheet4!G576</f>
        <v>Sản phẩm hóa dầu, Nông dược &amp; Hóa chất khác</v>
      </c>
      <c r="I597" s="9" cm="1">
        <f t="array" ref="I59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376.05942606600001</v>
      </c>
      <c r="J597" s="9" cm="1">
        <f t="array" ref="J59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891.14402334299996</v>
      </c>
      <c r="K597" s="10" cm="1">
        <f t="array" ref="K59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1.3100000000000001E-2</v>
      </c>
      <c r="L597" s="10" cm="1">
        <f t="array" ref="L59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8.1699999999999995E-2</v>
      </c>
      <c r="M597" s="9" cm="1">
        <f t="array" ref="M597">_xlfn.LET(_xlpm.val,IFERROR(INDEX(Sheet4!$2:$1605,MATCH(ChiTietKQKD[[#This Row],[Mã CP]],Sheet4!$B$2:$B$1605,0),_xlfn.XMATCH("*Lợi nhuận sau thuế*Q2*2026*",Sheet4!$1:$1,2)),0),IF(OR(_xlpm.val="",_xlpm.val=0),"",_xlpm.val/1000000000))</f>
        <v>39.465369090000003</v>
      </c>
      <c r="N597" s="9" cm="1">
        <f t="array" ref="N597">_xlfn.LET(_xlpm.val,IFERROR(INDEX(Sheet4!$2:$1605,MATCH(ChiTietKQKD[[#This Row],[Mã CP]],Sheet4!$B$2:$B$1605,0),_xlfn.XMATCH("*Lợi nhuận sau thuế*6 tháng*2026*",Sheet4!$1:$1,2)),0),IF(OR(_xlpm.val="",_xlpm.val=0),"",_xlpm.val/1000000000))</f>
        <v>93.445897793</v>
      </c>
      <c r="O597" s="10" cm="1">
        <f t="array" ref="O597">IFERROR(INDEX(Sheet4!$2:$1605,MATCH(ChiTietKQKD[[#This Row],[Mã CP]],Sheet4!$B$2:$B$1605,0),_xlfn.XMATCH("*Tăng trưởng lợi nhuận sau thuế (YoY) (Quý*",Sheet4!$1:$1,2)),"")</f>
        <v>0.39350000000000002</v>
      </c>
      <c r="P597" s="10" cm="1">
        <f t="array" ref="P597">IFERROR(INDEX(Sheet4!$2:$1605,MATCH(ChiTietKQKD[[#This Row],[Mã CP]],Sheet4!$B$2:$B$1605,0),_xlfn.XMATCH("*Tăng trưởng lợi nhuận sau thuế (YoY) (6M)*",Sheet4!$1:$1,2)),"")</f>
        <v>0.3926</v>
      </c>
      <c r="Q597" s="10" cm="1">
        <f t="array" ref="Q597">IFERROR(INDEX(Sheet4!$2:$1605,MATCH(ChiTietKQKD[[#This Row],[Mã CP]],Sheet4!$B$2:$B$1605,0),_xlfn.XMATCH("*Tăng trưởng doanh thu thuần (QoQ)*",Sheet4!$1:$1,2)),"")</f>
        <v>-0.26989999999999997</v>
      </c>
      <c r="R597" s="10" cm="1">
        <f t="array" ref="R597">IFERROR(INDEX(Sheet4!$2:$1605,MATCH(ChiTietKQKD[[#This Row],[Mã CP]],Sheet4!$B$2:$B$1605,0),_xlfn.XMATCH("*Tăng trưởng lợi nhuận sau thuế (QoQ)*",Sheet4!$1:$1,2)),"")</f>
        <v>-0.26889999999999997</v>
      </c>
    </row>
    <row r="598" spans="1:18" x14ac:dyDescent="0.25">
      <c r="A598" s="7">
        <f>Sheet4!A577</f>
        <v>576</v>
      </c>
      <c r="B598" t="str">
        <f>Sheet4!B577</f>
        <v>NHC</v>
      </c>
      <c r="C598" t="str">
        <f>Sheet4!C576</f>
        <v>Phân lân Ninh Bình</v>
      </c>
      <c r="D598" t="str">
        <f>Sheet4!D577</f>
        <v>HNX</v>
      </c>
      <c r="E598" s="7">
        <f>Sheet4!AH577/1000000000</f>
        <v>72.084545399999996</v>
      </c>
      <c r="F598" t="str">
        <f>Sheet4!E577</f>
        <v>Công nghiệp</v>
      </c>
      <c r="G598" t="str">
        <f>Sheet4!F577</f>
        <v>Xây dựng và Vật liệu</v>
      </c>
      <c r="H598" t="str">
        <f>Sheet4!G577</f>
        <v>Vật liệu xây dựng &amp; Nội thất</v>
      </c>
      <c r="I598" s="9" t="str" cm="1">
        <f t="array" ref="I59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98" s="9" t="str" cm="1">
        <f t="array" ref="J59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98" s="10" cm="1">
        <f t="array" ref="K59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98" s="10" cm="1">
        <f t="array" ref="L59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98" s="9" t="str" cm="1">
        <f t="array" ref="M59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98" s="9" t="str" cm="1">
        <f t="array" ref="N59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98" s="10" cm="1">
        <f t="array" ref="O598">IFERROR(INDEX(Sheet4!$2:$1605,MATCH(ChiTietKQKD[[#This Row],[Mã CP]],Sheet4!$B$2:$B$1605,0),_xlfn.XMATCH("*Tăng trưởng lợi nhuận sau thuế (YoY) (Quý*",Sheet4!$1:$1,2)),"")</f>
        <v>0</v>
      </c>
      <c r="P598" s="10" cm="1">
        <f t="array" ref="P598">IFERROR(INDEX(Sheet4!$2:$1605,MATCH(ChiTietKQKD[[#This Row],[Mã CP]],Sheet4!$B$2:$B$1605,0),_xlfn.XMATCH("*Tăng trưởng lợi nhuận sau thuế (YoY) (6M)*",Sheet4!$1:$1,2)),"")</f>
        <v>0</v>
      </c>
      <c r="Q598" s="10" cm="1">
        <f t="array" ref="Q598">IFERROR(INDEX(Sheet4!$2:$1605,MATCH(ChiTietKQKD[[#This Row],[Mã CP]],Sheet4!$B$2:$B$1605,0),_xlfn.XMATCH("*Tăng trưởng doanh thu thuần (QoQ)*",Sheet4!$1:$1,2)),"")</f>
        <v>0</v>
      </c>
      <c r="R598" s="10" cm="1">
        <f t="array" ref="R598">IFERROR(INDEX(Sheet4!$2:$1605,MATCH(ChiTietKQKD[[#This Row],[Mã CP]],Sheet4!$B$2:$B$1605,0),_xlfn.XMATCH("*Tăng trưởng lợi nhuận sau thuế (QoQ)*",Sheet4!$1:$1,2)),"")</f>
        <v>0</v>
      </c>
    </row>
    <row r="599" spans="1:18" x14ac:dyDescent="0.25">
      <c r="A599" s="7">
        <f>Sheet4!A578</f>
        <v>577</v>
      </c>
      <c r="B599" t="str">
        <f>Sheet4!B578</f>
        <v>NRC</v>
      </c>
      <c r="C599" t="str">
        <f>Sheet4!C577</f>
        <v>Gạch ngói Nhị Hiệp</v>
      </c>
      <c r="D599" t="str">
        <f>Sheet4!D578</f>
        <v>HNX</v>
      </c>
      <c r="E599" s="7">
        <f>Sheet4!AH578/1000000000</f>
        <v>472.24858619999998</v>
      </c>
      <c r="F599" t="str">
        <f>Sheet4!E578</f>
        <v>Tài chính</v>
      </c>
      <c r="G599" t="str">
        <f>Sheet4!F578</f>
        <v>Bất động sản</v>
      </c>
      <c r="H599" t="str">
        <f>Sheet4!G578</f>
        <v>Bất động sản</v>
      </c>
      <c r="I599" s="9" t="str" cm="1">
        <f t="array" ref="I59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599" s="9" t="str" cm="1">
        <f t="array" ref="J59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599" s="10" cm="1">
        <f t="array" ref="K59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599" s="10" cm="1">
        <f t="array" ref="L59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599" s="9" t="str" cm="1">
        <f t="array" ref="M59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599" s="9" t="str" cm="1">
        <f t="array" ref="N59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599" s="10" cm="1">
        <f t="array" ref="O599">IFERROR(INDEX(Sheet4!$2:$1605,MATCH(ChiTietKQKD[[#This Row],[Mã CP]],Sheet4!$B$2:$B$1605,0),_xlfn.XMATCH("*Tăng trưởng lợi nhuận sau thuế (YoY) (Quý*",Sheet4!$1:$1,2)),"")</f>
        <v>0</v>
      </c>
      <c r="P599" s="10" cm="1">
        <f t="array" ref="P599">IFERROR(INDEX(Sheet4!$2:$1605,MATCH(ChiTietKQKD[[#This Row],[Mã CP]],Sheet4!$B$2:$B$1605,0),_xlfn.XMATCH("*Tăng trưởng lợi nhuận sau thuế (YoY) (6M)*",Sheet4!$1:$1,2)),"")</f>
        <v>0</v>
      </c>
      <c r="Q599" s="10" cm="1">
        <f t="array" ref="Q599">IFERROR(INDEX(Sheet4!$2:$1605,MATCH(ChiTietKQKD[[#This Row],[Mã CP]],Sheet4!$B$2:$B$1605,0),_xlfn.XMATCH("*Tăng trưởng doanh thu thuần (QoQ)*",Sheet4!$1:$1,2)),"")</f>
        <v>0</v>
      </c>
      <c r="R599" s="10" cm="1">
        <f t="array" ref="R599">IFERROR(INDEX(Sheet4!$2:$1605,MATCH(ChiTietKQKD[[#This Row],[Mã CP]],Sheet4!$B$2:$B$1605,0),_xlfn.XMATCH("*Tăng trưởng lợi nhuận sau thuế (QoQ)*",Sheet4!$1:$1,2)),"")</f>
        <v>0</v>
      </c>
    </row>
    <row r="600" spans="1:18" x14ac:dyDescent="0.25">
      <c r="A600" s="7">
        <f>Sheet4!A579</f>
        <v>578</v>
      </c>
      <c r="B600" t="str">
        <f>Sheet4!B579</f>
        <v>NSH</v>
      </c>
      <c r="C600" t="str">
        <f>Sheet4!C578</f>
        <v>Tập đoàn Bất động sản Quốc gia</v>
      </c>
      <c r="D600" t="str">
        <f>Sheet4!D579</f>
        <v>HNX</v>
      </c>
      <c r="E600" s="7">
        <f>Sheet4!AH579/1000000000</f>
        <v>88.981779099999997</v>
      </c>
      <c r="F600" t="str">
        <f>Sheet4!E579</f>
        <v>Nguyên vật liệu</v>
      </c>
      <c r="G600" t="str">
        <f>Sheet4!F579</f>
        <v>Tài nguyên Cơ bản</v>
      </c>
      <c r="H600" t="str">
        <f>Sheet4!G579</f>
        <v>Nhôm</v>
      </c>
      <c r="I600" s="9" cm="1">
        <f t="array" ref="I60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318.38809545599997</v>
      </c>
      <c r="J600" s="9" cm="1">
        <f t="array" ref="J60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560.82951001399999</v>
      </c>
      <c r="K600" s="10" cm="1">
        <f t="array" ref="K60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00" s="10" cm="1">
        <f t="array" ref="L60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00" s="9" cm="1">
        <f t="array" ref="M600">_xlfn.LET(_xlpm.val,IFERROR(INDEX(Sheet4!$2:$1605,MATCH(ChiTietKQKD[[#This Row],[Mã CP]],Sheet4!$B$2:$B$1605,0),_xlfn.XMATCH("*Lợi nhuận sau thuế*Q2*2026*",Sheet4!$1:$1,2)),0),IF(OR(_xlpm.val="",_xlpm.val=0),"",_xlpm.val/1000000000))</f>
        <v>0.83427013100000003</v>
      </c>
      <c r="N600" s="9" cm="1">
        <f t="array" ref="N600">_xlfn.LET(_xlpm.val,IFERROR(INDEX(Sheet4!$2:$1605,MATCH(ChiTietKQKD[[#This Row],[Mã CP]],Sheet4!$B$2:$B$1605,0),_xlfn.XMATCH("*Lợi nhuận sau thuế*6 tháng*2026*",Sheet4!$1:$1,2)),0),IF(OR(_xlpm.val="",_xlpm.val=0),"",_xlpm.val/1000000000))</f>
        <v>2.0618080120000002</v>
      </c>
      <c r="O600" s="10" cm="1">
        <f t="array" ref="O600">IFERROR(INDEX(Sheet4!$2:$1605,MATCH(ChiTietKQKD[[#This Row],[Mã CP]],Sheet4!$B$2:$B$1605,0),_xlfn.XMATCH("*Tăng trưởng lợi nhuận sau thuế (YoY) (Quý*",Sheet4!$1:$1,2)),"")</f>
        <v>0</v>
      </c>
      <c r="P600" s="10" cm="1">
        <f t="array" ref="P600">IFERROR(INDEX(Sheet4!$2:$1605,MATCH(ChiTietKQKD[[#This Row],[Mã CP]],Sheet4!$B$2:$B$1605,0),_xlfn.XMATCH("*Tăng trưởng lợi nhuận sau thuế (YoY) (6M)*",Sheet4!$1:$1,2)),"")</f>
        <v>0</v>
      </c>
      <c r="Q600" s="10" cm="1">
        <f t="array" ref="Q600">IFERROR(INDEX(Sheet4!$2:$1605,MATCH(ChiTietKQKD[[#This Row],[Mã CP]],Sheet4!$B$2:$B$1605,0),_xlfn.XMATCH("*Tăng trưởng doanh thu thuần (QoQ)*",Sheet4!$1:$1,2)),"")</f>
        <v>0</v>
      </c>
      <c r="R600" s="10" cm="1">
        <f t="array" ref="R600">IFERROR(INDEX(Sheet4!$2:$1605,MATCH(ChiTietKQKD[[#This Row],[Mã CP]],Sheet4!$B$2:$B$1605,0),_xlfn.XMATCH("*Tăng trưởng lợi nhuận sau thuế (QoQ)*",Sheet4!$1:$1,2)),"")</f>
        <v>0</v>
      </c>
    </row>
    <row r="601" spans="1:18" x14ac:dyDescent="0.25">
      <c r="A601" s="7">
        <f>Sheet4!A580</f>
        <v>579</v>
      </c>
      <c r="B601" t="str">
        <f>Sheet4!B580</f>
        <v>NST</v>
      </c>
      <c r="C601" t="str">
        <f>Sheet4!C579</f>
        <v>Nhôm Sông Hồng</v>
      </c>
      <c r="D601" t="str">
        <f>Sheet4!D580</f>
        <v>HNX</v>
      </c>
      <c r="E601" s="7">
        <f>Sheet4!AH580/1000000000</f>
        <v>136.66443659999999</v>
      </c>
      <c r="F601" t="str">
        <f>Sheet4!E580</f>
        <v>Hàng Tiêu dùng</v>
      </c>
      <c r="G601" t="str">
        <f>Sheet4!F580</f>
        <v>Hàng cá nhân &amp; Gia dụng</v>
      </c>
      <c r="H601" t="str">
        <f>Sheet4!G580</f>
        <v>Thuốc lá</v>
      </c>
      <c r="I601" s="9" t="str" cm="1">
        <f t="array" ref="I60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01" s="9" t="str" cm="1">
        <f t="array" ref="J60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01" s="10" cm="1">
        <f t="array" ref="K60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01" s="10" cm="1">
        <f t="array" ref="L60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01" s="9" t="str" cm="1">
        <f t="array" ref="M60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01" s="9" t="str" cm="1">
        <f t="array" ref="N60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01" s="10" cm="1">
        <f t="array" ref="O601">IFERROR(INDEX(Sheet4!$2:$1605,MATCH(ChiTietKQKD[[#This Row],[Mã CP]],Sheet4!$B$2:$B$1605,0),_xlfn.XMATCH("*Tăng trưởng lợi nhuận sau thuế (YoY) (Quý*",Sheet4!$1:$1,2)),"")</f>
        <v>0</v>
      </c>
      <c r="P601" s="10" cm="1">
        <f t="array" ref="P601">IFERROR(INDEX(Sheet4!$2:$1605,MATCH(ChiTietKQKD[[#This Row],[Mã CP]],Sheet4!$B$2:$B$1605,0),_xlfn.XMATCH("*Tăng trưởng lợi nhuận sau thuế (YoY) (6M)*",Sheet4!$1:$1,2)),"")</f>
        <v>0</v>
      </c>
      <c r="Q601" s="10" cm="1">
        <f t="array" ref="Q601">IFERROR(INDEX(Sheet4!$2:$1605,MATCH(ChiTietKQKD[[#This Row],[Mã CP]],Sheet4!$B$2:$B$1605,0),_xlfn.XMATCH("*Tăng trưởng doanh thu thuần (QoQ)*",Sheet4!$1:$1,2)),"")</f>
        <v>0</v>
      </c>
      <c r="R601" s="10" cm="1">
        <f t="array" ref="R601">IFERROR(INDEX(Sheet4!$2:$1605,MATCH(ChiTietKQKD[[#This Row],[Mã CP]],Sheet4!$B$2:$B$1605,0),_xlfn.XMATCH("*Tăng trưởng lợi nhuận sau thuế (QoQ)*",Sheet4!$1:$1,2)),"")</f>
        <v>0</v>
      </c>
    </row>
    <row r="602" spans="1:18" x14ac:dyDescent="0.25">
      <c r="A602" s="7">
        <f>Sheet4!A581</f>
        <v>580</v>
      </c>
      <c r="B602" t="str">
        <f>Sheet4!B581</f>
        <v>NTH</v>
      </c>
      <c r="C602" t="str">
        <f>Sheet4!C580</f>
        <v>Thuốc lá Ngân Sơn</v>
      </c>
      <c r="D602" t="str">
        <f>Sheet4!D581</f>
        <v>HNX</v>
      </c>
      <c r="E602" s="7">
        <f>Sheet4!AH581/1000000000</f>
        <v>572.50880900000004</v>
      </c>
      <c r="F602" t="str">
        <f>Sheet4!E581</f>
        <v>Tiện ích Cộng đồng</v>
      </c>
      <c r="G602" t="str">
        <f>Sheet4!F581</f>
        <v>Điện, nước &amp; xăng dầu khí đốt</v>
      </c>
      <c r="H602" t="str">
        <f>Sheet4!G581</f>
        <v>Sản xuất &amp; Phân phối Điện</v>
      </c>
      <c r="I602" s="9" cm="1">
        <f t="array" ref="I60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31.940356196</v>
      </c>
      <c r="J602" s="9" cm="1">
        <f t="array" ref="J60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64.494804586000001</v>
      </c>
      <c r="K602" s="10" cm="1">
        <f t="array" ref="K60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-8.8999999999999999E-3</v>
      </c>
      <c r="L602" s="10" cm="1">
        <f t="array" ref="L60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-6.8400000000000002E-2</v>
      </c>
      <c r="M602" s="9" cm="1">
        <f t="array" ref="M602">_xlfn.LET(_xlpm.val,IFERROR(INDEX(Sheet4!$2:$1605,MATCH(ChiTietKQKD[[#This Row],[Mã CP]],Sheet4!$B$2:$B$1605,0),_xlfn.XMATCH("*Lợi nhuận sau thuế*Q2*2026*",Sheet4!$1:$1,2)),0),IF(OR(_xlpm.val="",_xlpm.val=0),"",_xlpm.val/1000000000))</f>
        <v>17.548979173999999</v>
      </c>
      <c r="N602" s="9" cm="1">
        <f t="array" ref="N602">_xlfn.LET(_xlpm.val,IFERROR(INDEX(Sheet4!$2:$1605,MATCH(ChiTietKQKD[[#This Row],[Mã CP]],Sheet4!$B$2:$B$1605,0),_xlfn.XMATCH("*Lợi nhuận sau thuế*6 tháng*2026*",Sheet4!$1:$1,2)),0),IF(OR(_xlpm.val="",_xlpm.val=0),"",_xlpm.val/1000000000))</f>
        <v>35.595396977999997</v>
      </c>
      <c r="O602" s="10" cm="1">
        <f t="array" ref="O602">IFERROR(INDEX(Sheet4!$2:$1605,MATCH(ChiTietKQKD[[#This Row],[Mã CP]],Sheet4!$B$2:$B$1605,0),_xlfn.XMATCH("*Tăng trưởng lợi nhuận sau thuế (YoY) (Quý*",Sheet4!$1:$1,2)),"")</f>
        <v>1.01E-2</v>
      </c>
      <c r="P602" s="10" cm="1">
        <f t="array" ref="P602">IFERROR(INDEX(Sheet4!$2:$1605,MATCH(ChiTietKQKD[[#This Row],[Mã CP]],Sheet4!$B$2:$B$1605,0),_xlfn.XMATCH("*Tăng trưởng lợi nhuận sau thuế (YoY) (6M)*",Sheet4!$1:$1,2)),"")</f>
        <v>-7.3400000000000007E-2</v>
      </c>
      <c r="Q602" s="10" cm="1">
        <f t="array" ref="Q602">IFERROR(INDEX(Sheet4!$2:$1605,MATCH(ChiTietKQKD[[#This Row],[Mã CP]],Sheet4!$B$2:$B$1605,0),_xlfn.XMATCH("*Tăng trưởng doanh thu thuần (QoQ)*",Sheet4!$1:$1,2)),"")</f>
        <v>-1.89E-2</v>
      </c>
      <c r="R602" s="10" cm="1">
        <f t="array" ref="R602">IFERROR(INDEX(Sheet4!$2:$1605,MATCH(ChiTietKQKD[[#This Row],[Mã CP]],Sheet4!$B$2:$B$1605,0),_xlfn.XMATCH("*Tăng trưởng lợi nhuận sau thuế (QoQ)*",Sheet4!$1:$1,2)),"")</f>
        <v>-2.76E-2</v>
      </c>
    </row>
    <row r="603" spans="1:18" x14ac:dyDescent="0.25">
      <c r="A603" s="7">
        <f>Sheet4!A582</f>
        <v>581</v>
      </c>
      <c r="B603" t="str">
        <f>Sheet4!B582</f>
        <v>NTP</v>
      </c>
      <c r="C603" t="str">
        <f>Sheet4!C581</f>
        <v>Thủy điện Nước Trong</v>
      </c>
      <c r="D603" t="str">
        <f>Sheet4!D582</f>
        <v>HNX</v>
      </c>
      <c r="E603" s="7">
        <f>Sheet4!AH582/1000000000</f>
        <v>9769.6717103999999</v>
      </c>
      <c r="F603" t="str">
        <f>Sheet4!E582</f>
        <v>Công nghiệp</v>
      </c>
      <c r="G603" t="str">
        <f>Sheet4!F582</f>
        <v>Xây dựng và Vật liệu</v>
      </c>
      <c r="H603" t="str">
        <f>Sheet4!G582</f>
        <v>Vật liệu xây dựng &amp; Nội thất</v>
      </c>
      <c r="I603" s="9" cm="1">
        <f t="array" ref="I60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2167.1755460549998</v>
      </c>
      <c r="J603" s="9" cm="1">
        <f t="array" ref="J60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3645.297444196</v>
      </c>
      <c r="K603" s="10" cm="1">
        <f t="array" ref="K60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8.8599999999999998E-2</v>
      </c>
      <c r="L603" s="10" cm="1">
        <f t="array" ref="L60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03" s="9" cm="1">
        <f t="array" ref="M603">_xlfn.LET(_xlpm.val,IFERROR(INDEX(Sheet4!$2:$1605,MATCH(ChiTietKQKD[[#This Row],[Mã CP]],Sheet4!$B$2:$B$1605,0),_xlfn.XMATCH("*Lợi nhuận sau thuế*Q2*2026*",Sheet4!$1:$1,2)),0),IF(OR(_xlpm.val="",_xlpm.val=0),"",_xlpm.val/1000000000))</f>
        <v>477.55995510899999</v>
      </c>
      <c r="N603" s="9" cm="1">
        <f t="array" ref="N603">_xlfn.LET(_xlpm.val,IFERROR(INDEX(Sheet4!$2:$1605,MATCH(ChiTietKQKD[[#This Row],[Mã CP]],Sheet4!$B$2:$B$1605,0),_xlfn.XMATCH("*Lợi nhuận sau thuế*6 tháng*2026*",Sheet4!$1:$1,2)),0),IF(OR(_xlpm.val="",_xlpm.val=0),"",_xlpm.val/1000000000))</f>
        <v>731.968082063</v>
      </c>
      <c r="O603" s="10" cm="1">
        <f t="array" ref="O603">IFERROR(INDEX(Sheet4!$2:$1605,MATCH(ChiTietKQKD[[#This Row],[Mã CP]],Sheet4!$B$2:$B$1605,0),_xlfn.XMATCH("*Tăng trưởng lợi nhuận sau thuế (YoY) (Quý*",Sheet4!$1:$1,2)),"")</f>
        <v>0.49</v>
      </c>
      <c r="P603" s="10" cm="1">
        <f t="array" ref="P603">IFERROR(INDEX(Sheet4!$2:$1605,MATCH(ChiTietKQKD[[#This Row],[Mã CP]],Sheet4!$B$2:$B$1605,0),_xlfn.XMATCH("*Tăng trưởng lợi nhuận sau thuế (YoY) (6M)*",Sheet4!$1:$1,2)),"")</f>
        <v>0</v>
      </c>
      <c r="Q603" s="10" cm="1">
        <f t="array" ref="Q603">IFERROR(INDEX(Sheet4!$2:$1605,MATCH(ChiTietKQKD[[#This Row],[Mã CP]],Sheet4!$B$2:$B$1605,0),_xlfn.XMATCH("*Tăng trưởng doanh thu thuần (QoQ)*",Sheet4!$1:$1,2)),"")</f>
        <v>0.4662</v>
      </c>
      <c r="R603" s="10" cm="1">
        <f t="array" ref="R603">IFERROR(INDEX(Sheet4!$2:$1605,MATCH(ChiTietKQKD[[#This Row],[Mã CP]],Sheet4!$B$2:$B$1605,0),_xlfn.XMATCH("*Tăng trưởng lợi nhuận sau thuế (QoQ)*",Sheet4!$1:$1,2)),"")</f>
        <v>0.87709999999999999</v>
      </c>
    </row>
    <row r="604" spans="1:18" x14ac:dyDescent="0.25">
      <c r="A604" s="7">
        <f>Sheet4!A583</f>
        <v>582</v>
      </c>
      <c r="B604" t="str">
        <f>Sheet4!B583</f>
        <v>NVB</v>
      </c>
      <c r="C604" t="str">
        <f>Sheet4!C582</f>
        <v>Nhựa Tiền Phong</v>
      </c>
      <c r="D604" t="str">
        <f>Sheet4!D583</f>
        <v>HNX</v>
      </c>
      <c r="E604" s="7">
        <f>Sheet4!AH583/1000000000</f>
        <v>33925.739911600002</v>
      </c>
      <c r="F604" t="str">
        <f>Sheet4!E583</f>
        <v>Ngân hàng</v>
      </c>
      <c r="G604" t="str">
        <f>Sheet4!F583</f>
        <v>Ngân hàng</v>
      </c>
      <c r="H604" t="str">
        <f>Sheet4!G583</f>
        <v>Ngân hàng</v>
      </c>
      <c r="I604" s="9" t="str" cm="1">
        <f t="array" ref="I60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04" s="9" t="str" cm="1">
        <f t="array" ref="J60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04" s="10" t="str" cm="1">
        <f t="array" ref="K60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604" s="10" t="str" cm="1">
        <f t="array" ref="L60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604" s="9" t="str" cm="1">
        <f t="array" ref="M60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04" s="9" t="str" cm="1">
        <f t="array" ref="N60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04" s="10" cm="1">
        <f t="array" ref="O604">IFERROR(INDEX(Sheet4!$2:$1605,MATCH(ChiTietKQKD[[#This Row],[Mã CP]],Sheet4!$B$2:$B$1605,0),_xlfn.XMATCH("*Tăng trưởng lợi nhuận sau thuế (YoY) (Quý*",Sheet4!$1:$1,2)),"")</f>
        <v>0</v>
      </c>
      <c r="P604" s="10" cm="1">
        <f t="array" ref="P604">IFERROR(INDEX(Sheet4!$2:$1605,MATCH(ChiTietKQKD[[#This Row],[Mã CP]],Sheet4!$B$2:$B$1605,0),_xlfn.XMATCH("*Tăng trưởng lợi nhuận sau thuế (YoY) (6M)*",Sheet4!$1:$1,2)),"")</f>
        <v>0</v>
      </c>
      <c r="Q604" s="10" cm="1">
        <f t="array" ref="Q604">IFERROR(INDEX(Sheet4!$2:$1605,MATCH(ChiTietKQKD[[#This Row],[Mã CP]],Sheet4!$B$2:$B$1605,0),_xlfn.XMATCH("*Tăng trưởng doanh thu thuần (QoQ)*",Sheet4!$1:$1,2)),"")</f>
        <v>0</v>
      </c>
      <c r="R604" s="10" cm="1">
        <f t="array" ref="R604">IFERROR(INDEX(Sheet4!$2:$1605,MATCH(ChiTietKQKD[[#This Row],[Mã CP]],Sheet4!$B$2:$B$1605,0),_xlfn.XMATCH("*Tăng trưởng lợi nhuận sau thuế (QoQ)*",Sheet4!$1:$1,2)),"")</f>
        <v>0</v>
      </c>
    </row>
    <row r="605" spans="1:18" x14ac:dyDescent="0.25">
      <c r="A605" s="7">
        <f>Sheet4!A584</f>
        <v>583</v>
      </c>
      <c r="B605" t="str">
        <f>Sheet4!B584</f>
        <v>OCH</v>
      </c>
      <c r="C605" t="str">
        <f>Sheet4!C583</f>
        <v>Ngân hàng Quốc Dân</v>
      </c>
      <c r="D605" t="str">
        <f>Sheet4!D584</f>
        <v>HNX</v>
      </c>
      <c r="E605" s="7">
        <f>Sheet4!AH584/1000000000</f>
        <v>1340</v>
      </c>
      <c r="F605" t="str">
        <f>Sheet4!E584</f>
        <v>Hàng Tiêu dùng</v>
      </c>
      <c r="G605" t="str">
        <f>Sheet4!F584</f>
        <v>Thực phẩm và đồ uống</v>
      </c>
      <c r="H605" t="str">
        <f>Sheet4!G584</f>
        <v>Thực phẩm</v>
      </c>
      <c r="I605" s="9" t="str" cm="1">
        <f t="array" ref="I60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05" s="9" t="str" cm="1">
        <f t="array" ref="J60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05" s="10" cm="1">
        <f t="array" ref="K60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05" s="10" cm="1">
        <f t="array" ref="L60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05" s="9" t="str" cm="1">
        <f t="array" ref="M60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05" s="9" t="str" cm="1">
        <f t="array" ref="N60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05" s="10" cm="1">
        <f t="array" ref="O605">IFERROR(INDEX(Sheet4!$2:$1605,MATCH(ChiTietKQKD[[#This Row],[Mã CP]],Sheet4!$B$2:$B$1605,0),_xlfn.XMATCH("*Tăng trưởng lợi nhuận sau thuế (YoY) (Quý*",Sheet4!$1:$1,2)),"")</f>
        <v>0</v>
      </c>
      <c r="P605" s="10" cm="1">
        <f t="array" ref="P605">IFERROR(INDEX(Sheet4!$2:$1605,MATCH(ChiTietKQKD[[#This Row],[Mã CP]],Sheet4!$B$2:$B$1605,0),_xlfn.XMATCH("*Tăng trưởng lợi nhuận sau thuế (YoY) (6M)*",Sheet4!$1:$1,2)),"")</f>
        <v>0</v>
      </c>
      <c r="Q605" s="10" cm="1">
        <f t="array" ref="Q605">IFERROR(INDEX(Sheet4!$2:$1605,MATCH(ChiTietKQKD[[#This Row],[Mã CP]],Sheet4!$B$2:$B$1605,0),_xlfn.XMATCH("*Tăng trưởng doanh thu thuần (QoQ)*",Sheet4!$1:$1,2)),"")</f>
        <v>0</v>
      </c>
      <c r="R605" s="10" cm="1">
        <f t="array" ref="R605">IFERROR(INDEX(Sheet4!$2:$1605,MATCH(ChiTietKQKD[[#This Row],[Mã CP]],Sheet4!$B$2:$B$1605,0),_xlfn.XMATCH("*Tăng trưởng lợi nhuận sau thuế (QoQ)*",Sheet4!$1:$1,2)),"")</f>
        <v>0</v>
      </c>
    </row>
    <row r="606" spans="1:18" x14ac:dyDescent="0.25">
      <c r="A606" s="7">
        <f>Sheet4!A585</f>
        <v>584</v>
      </c>
      <c r="B606" t="str">
        <f>Sheet4!B585</f>
        <v>ONE</v>
      </c>
      <c r="C606" t="str">
        <f>Sheet4!C584</f>
        <v>Khách sạn và Dịch vụ OCH</v>
      </c>
      <c r="D606" t="str">
        <f>Sheet4!D585</f>
        <v>HNX</v>
      </c>
      <c r="E606" s="7">
        <f>Sheet4!AH585/1000000000</f>
        <v>90.777067000000002</v>
      </c>
      <c r="F606" t="str">
        <f>Sheet4!E585</f>
        <v>Công nghệ Thông tin</v>
      </c>
      <c r="G606" t="str">
        <f>Sheet4!F585</f>
        <v>Công nghệ Thông tin</v>
      </c>
      <c r="H606" t="str">
        <f>Sheet4!G585</f>
        <v>Phần cứng</v>
      </c>
      <c r="I606" s="9" cm="1">
        <f t="array" ref="I60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153.58436010099999</v>
      </c>
      <c r="J606" s="9" cm="1">
        <f t="array" ref="J60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199.376788307</v>
      </c>
      <c r="K606" s="10" cm="1">
        <f t="array" ref="K60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1.2497</v>
      </c>
      <c r="L606" s="10" cm="1">
        <f t="array" ref="L60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0.92859999999999998</v>
      </c>
      <c r="M606" s="9" cm="1">
        <f t="array" ref="M606">_xlfn.LET(_xlpm.val,IFERROR(INDEX(Sheet4!$2:$1605,MATCH(ChiTietKQKD[[#This Row],[Mã CP]],Sheet4!$B$2:$B$1605,0),_xlfn.XMATCH("*Lợi nhuận sau thuế*Q2*2026*",Sheet4!$1:$1,2)),0),IF(OR(_xlpm.val="",_xlpm.val=0),"",_xlpm.val/1000000000))</f>
        <v>12.949867573000001</v>
      </c>
      <c r="N606" s="9" cm="1">
        <f t="array" ref="N606">_xlfn.LET(_xlpm.val,IFERROR(INDEX(Sheet4!$2:$1605,MATCH(ChiTietKQKD[[#This Row],[Mã CP]],Sheet4!$B$2:$B$1605,0),_xlfn.XMATCH("*Lợi nhuận sau thuế*6 tháng*2026*",Sheet4!$1:$1,2)),0),IF(OR(_xlpm.val="",_xlpm.val=0),"",_xlpm.val/1000000000))</f>
        <v>11.288564571</v>
      </c>
      <c r="O606" s="10" cm="1">
        <f t="array" ref="O606">IFERROR(INDEX(Sheet4!$2:$1605,MATCH(ChiTietKQKD[[#This Row],[Mã CP]],Sheet4!$B$2:$B$1605,0),_xlfn.XMATCH("*Tăng trưởng lợi nhuận sau thuế (YoY) (Quý*",Sheet4!$1:$1,2)),"")</f>
        <v>13.254899999999999</v>
      </c>
      <c r="P606" s="10" cm="1">
        <f t="array" ref="P606">IFERROR(INDEX(Sheet4!$2:$1605,MATCH(ChiTietKQKD[[#This Row],[Mã CP]],Sheet4!$B$2:$B$1605,0),_xlfn.XMATCH("*Tăng trưởng lợi nhuận sau thuế (YoY) (6M)*",Sheet4!$1:$1,2)),"")</f>
        <v>22.768899999999999</v>
      </c>
      <c r="Q606" s="10" cm="1">
        <f t="array" ref="Q606">IFERROR(INDEX(Sheet4!$2:$1605,MATCH(ChiTietKQKD[[#This Row],[Mã CP]],Sheet4!$B$2:$B$1605,0),_xlfn.XMATCH("*Tăng trưởng doanh thu thuần (QoQ)*",Sheet4!$1:$1,2)),"")</f>
        <v>2.3538999999999999</v>
      </c>
      <c r="R606" s="10" cm="1">
        <f t="array" ref="R606">IFERROR(INDEX(Sheet4!$2:$1605,MATCH(ChiTietKQKD[[#This Row],[Mã CP]],Sheet4!$B$2:$B$1605,0),_xlfn.XMATCH("*Tăng trưởng lợi nhuận sau thuế (QoQ)*",Sheet4!$1:$1,2)),"")</f>
        <v>8.7949999999999999</v>
      </c>
    </row>
    <row r="607" spans="1:18" x14ac:dyDescent="0.25">
      <c r="A607" s="7">
        <f>Sheet4!A586</f>
        <v>585</v>
      </c>
      <c r="B607" t="str">
        <f>Sheet4!B586</f>
        <v>PBP</v>
      </c>
      <c r="C607" t="str">
        <f>Sheet4!C585</f>
        <v>Truyền thông Số 1</v>
      </c>
      <c r="D607" t="str">
        <f>Sheet4!D586</f>
        <v>HNX</v>
      </c>
      <c r="E607" s="7">
        <f>Sheet4!AH586/1000000000</f>
        <v>54.714482400000001</v>
      </c>
      <c r="F607" t="str">
        <f>Sheet4!E586</f>
        <v>Công nghiệp</v>
      </c>
      <c r="G607" t="str">
        <f>Sheet4!F586</f>
        <v>Hàng &amp; Dịch vụ Công nghiệp</v>
      </c>
      <c r="H607" t="str">
        <f>Sheet4!G586</f>
        <v>Containers &amp; Đóng gói</v>
      </c>
      <c r="I607" s="9" cm="1">
        <f t="array" ref="I60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148.97222202399999</v>
      </c>
      <c r="J607" s="9" cm="1">
        <f t="array" ref="J60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199.70305283100001</v>
      </c>
      <c r="K607" s="10" cm="1">
        <f t="array" ref="K60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0.57850000000000001</v>
      </c>
      <c r="L607" s="10" cm="1">
        <f t="array" ref="L60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07" s="9" cm="1">
        <f t="array" ref="M607">_xlfn.LET(_xlpm.val,IFERROR(INDEX(Sheet4!$2:$1605,MATCH(ChiTietKQKD[[#This Row],[Mã CP]],Sheet4!$B$2:$B$1605,0),_xlfn.XMATCH("*Lợi nhuận sau thuế*Q2*2026*",Sheet4!$1:$1,2)),0),IF(OR(_xlpm.val="",_xlpm.val=0),"",_xlpm.val/1000000000))</f>
        <v>2.4998928220000001</v>
      </c>
      <c r="N607" s="9" cm="1">
        <f t="array" ref="N607">_xlfn.LET(_xlpm.val,IFERROR(INDEX(Sheet4!$2:$1605,MATCH(ChiTietKQKD[[#This Row],[Mã CP]],Sheet4!$B$2:$B$1605,0),_xlfn.XMATCH("*Lợi nhuận sau thuế*6 tháng*2026*",Sheet4!$1:$1,2)),0),IF(OR(_xlpm.val="",_xlpm.val=0),"",_xlpm.val/1000000000))</f>
        <v>4.1604596520000001</v>
      </c>
      <c r="O607" s="10" cm="1">
        <f t="array" ref="O607">IFERROR(INDEX(Sheet4!$2:$1605,MATCH(ChiTietKQKD[[#This Row],[Mã CP]],Sheet4!$B$2:$B$1605,0),_xlfn.XMATCH("*Tăng trưởng lợi nhuận sau thuế (YoY) (Quý*",Sheet4!$1:$1,2)),"")</f>
        <v>9.8599999999999993E-2</v>
      </c>
      <c r="P607" s="10" cm="1">
        <f t="array" ref="P607">IFERROR(INDEX(Sheet4!$2:$1605,MATCH(ChiTietKQKD[[#This Row],[Mã CP]],Sheet4!$B$2:$B$1605,0),_xlfn.XMATCH("*Tăng trưởng lợi nhuận sau thuế (YoY) (6M)*",Sheet4!$1:$1,2)),"")</f>
        <v>0</v>
      </c>
      <c r="Q607" s="10" cm="1">
        <f t="array" ref="Q607">IFERROR(INDEX(Sheet4!$2:$1605,MATCH(ChiTietKQKD[[#This Row],[Mã CP]],Sheet4!$B$2:$B$1605,0),_xlfn.XMATCH("*Tăng trưởng doanh thu thuần (QoQ)*",Sheet4!$1:$1,2)),"")</f>
        <v>1.9365000000000001</v>
      </c>
      <c r="R607" s="10" cm="1">
        <f t="array" ref="R607">IFERROR(INDEX(Sheet4!$2:$1605,MATCH(ChiTietKQKD[[#This Row],[Mã CP]],Sheet4!$B$2:$B$1605,0),_xlfn.XMATCH("*Tăng trưởng lợi nhuận sau thuế (QoQ)*",Sheet4!$1:$1,2)),"")</f>
        <v>0.50539999999999996</v>
      </c>
    </row>
    <row r="608" spans="1:18" x14ac:dyDescent="0.25">
      <c r="A608" s="7">
        <f>Sheet4!A587</f>
        <v>586</v>
      </c>
      <c r="B608" t="str">
        <f>Sheet4!B587</f>
        <v>PCE</v>
      </c>
      <c r="C608" t="str">
        <f>Sheet4!C586</f>
        <v>Bao bì Dầu khí VN</v>
      </c>
      <c r="D608" t="str">
        <f>Sheet4!D587</f>
        <v>HNX</v>
      </c>
      <c r="E608" s="7">
        <f>Sheet4!AH587/1000000000</f>
        <v>195</v>
      </c>
      <c r="F608" t="str">
        <f>Sheet4!E587</f>
        <v>Nguyên vật liệu</v>
      </c>
      <c r="G608" t="str">
        <f>Sheet4!F587</f>
        <v>Hóa chất</v>
      </c>
      <c r="H608" t="str">
        <f>Sheet4!G587</f>
        <v>Sản phẩm hóa dầu, Nông dược &amp; Hóa chất khác</v>
      </c>
      <c r="I608" s="9" t="str" cm="1">
        <f t="array" ref="I60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08" s="9" t="str" cm="1">
        <f t="array" ref="J60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08" s="10" cm="1">
        <f t="array" ref="K60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08" s="10" cm="1">
        <f t="array" ref="L60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08" s="9" t="str" cm="1">
        <f t="array" ref="M60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08" s="9" t="str" cm="1">
        <f t="array" ref="N60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08" s="10" cm="1">
        <f t="array" ref="O608">IFERROR(INDEX(Sheet4!$2:$1605,MATCH(ChiTietKQKD[[#This Row],[Mã CP]],Sheet4!$B$2:$B$1605,0),_xlfn.XMATCH("*Tăng trưởng lợi nhuận sau thuế (YoY) (Quý*",Sheet4!$1:$1,2)),"")</f>
        <v>0</v>
      </c>
      <c r="P608" s="10" cm="1">
        <f t="array" ref="P608">IFERROR(INDEX(Sheet4!$2:$1605,MATCH(ChiTietKQKD[[#This Row],[Mã CP]],Sheet4!$B$2:$B$1605,0),_xlfn.XMATCH("*Tăng trưởng lợi nhuận sau thuế (YoY) (6M)*",Sheet4!$1:$1,2)),"")</f>
        <v>0</v>
      </c>
      <c r="Q608" s="10" cm="1">
        <f t="array" ref="Q608">IFERROR(INDEX(Sheet4!$2:$1605,MATCH(ChiTietKQKD[[#This Row],[Mã CP]],Sheet4!$B$2:$B$1605,0),_xlfn.XMATCH("*Tăng trưởng doanh thu thuần (QoQ)*",Sheet4!$1:$1,2)),"")</f>
        <v>0</v>
      </c>
      <c r="R608" s="10" cm="1">
        <f t="array" ref="R608">IFERROR(INDEX(Sheet4!$2:$1605,MATCH(ChiTietKQKD[[#This Row],[Mã CP]],Sheet4!$B$2:$B$1605,0),_xlfn.XMATCH("*Tăng trưởng lợi nhuận sau thuế (QoQ)*",Sheet4!$1:$1,2)),"")</f>
        <v>0</v>
      </c>
    </row>
    <row r="609" spans="1:18" x14ac:dyDescent="0.25">
      <c r="A609" s="7">
        <f>Sheet4!A588</f>
        <v>587</v>
      </c>
      <c r="B609" t="str">
        <f>Sheet4!B588</f>
        <v>PCH</v>
      </c>
      <c r="C609" t="str">
        <f>Sheet4!C587</f>
        <v>Phân bón và Hóa chất DK Miền Trung</v>
      </c>
      <c r="D609" t="str">
        <f>Sheet4!D588</f>
        <v>HNX</v>
      </c>
      <c r="E609" s="7">
        <f>Sheet4!AH588/1000000000</f>
        <v>467.5420312</v>
      </c>
      <c r="F609" t="str">
        <f>Sheet4!E588</f>
        <v>Nguyên vật liệu</v>
      </c>
      <c r="G609" t="str">
        <f>Sheet4!F588</f>
        <v>Hóa chất</v>
      </c>
      <c r="H609" t="str">
        <f>Sheet4!G588</f>
        <v>Nhựa, cao su &amp; sợi</v>
      </c>
      <c r="I609" s="9" t="str" cm="1">
        <f t="array" ref="I60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09" s="9" t="str" cm="1">
        <f t="array" ref="J60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09" s="10" cm="1">
        <f t="array" ref="K60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09" s="10" cm="1">
        <f t="array" ref="L60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09" s="9" t="str" cm="1">
        <f t="array" ref="M60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09" s="9" t="str" cm="1">
        <f t="array" ref="N60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09" s="10" cm="1">
        <f t="array" ref="O609">IFERROR(INDEX(Sheet4!$2:$1605,MATCH(ChiTietKQKD[[#This Row],[Mã CP]],Sheet4!$B$2:$B$1605,0),_xlfn.XMATCH("*Tăng trưởng lợi nhuận sau thuế (YoY) (Quý*",Sheet4!$1:$1,2)),"")</f>
        <v>0</v>
      </c>
      <c r="P609" s="10" cm="1">
        <f t="array" ref="P609">IFERROR(INDEX(Sheet4!$2:$1605,MATCH(ChiTietKQKD[[#This Row],[Mã CP]],Sheet4!$B$2:$B$1605,0),_xlfn.XMATCH("*Tăng trưởng lợi nhuận sau thuế (YoY) (6M)*",Sheet4!$1:$1,2)),"")</f>
        <v>0</v>
      </c>
      <c r="Q609" s="10" cm="1">
        <f t="array" ref="Q609">IFERROR(INDEX(Sheet4!$2:$1605,MATCH(ChiTietKQKD[[#This Row],[Mã CP]],Sheet4!$B$2:$B$1605,0),_xlfn.XMATCH("*Tăng trưởng doanh thu thuần (QoQ)*",Sheet4!$1:$1,2)),"")</f>
        <v>0</v>
      </c>
      <c r="R609" s="10" cm="1">
        <f t="array" ref="R609">IFERROR(INDEX(Sheet4!$2:$1605,MATCH(ChiTietKQKD[[#This Row],[Mã CP]],Sheet4!$B$2:$B$1605,0),_xlfn.XMATCH("*Tăng trưởng lợi nhuận sau thuế (QoQ)*",Sheet4!$1:$1,2)),"")</f>
        <v>0</v>
      </c>
    </row>
    <row r="610" spans="1:18" x14ac:dyDescent="0.25">
      <c r="A610" s="7">
        <f>Sheet4!A589</f>
        <v>588</v>
      </c>
      <c r="B610" t="str">
        <f>Sheet4!B589</f>
        <v>PCT</v>
      </c>
      <c r="C610" t="str">
        <f>Sheet4!C588</f>
        <v>Picomat Holding</v>
      </c>
      <c r="D610" t="str">
        <f>Sheet4!D589</f>
        <v>HNX</v>
      </c>
      <c r="E610" s="7">
        <f>Sheet4!AH589/1000000000</f>
        <v>816.36202860000003</v>
      </c>
      <c r="F610" t="str">
        <f>Sheet4!E589</f>
        <v>Công nghiệp</v>
      </c>
      <c r="G610" t="str">
        <f>Sheet4!F589</f>
        <v>Hàng &amp; Dịch vụ Công nghiệp</v>
      </c>
      <c r="H610" t="str">
        <f>Sheet4!G589</f>
        <v>Dịch vụ vận tải</v>
      </c>
      <c r="I610" s="9" t="str" cm="1">
        <f t="array" ref="I61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10" s="9" t="str" cm="1">
        <f t="array" ref="J61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10" s="10" cm="1">
        <f t="array" ref="K61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10" s="10" cm="1">
        <f t="array" ref="L61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10" s="9" t="str" cm="1">
        <f t="array" ref="M61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10" s="9" t="str" cm="1">
        <f t="array" ref="N61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10" s="10" cm="1">
        <f t="array" ref="O610">IFERROR(INDEX(Sheet4!$2:$1605,MATCH(ChiTietKQKD[[#This Row],[Mã CP]],Sheet4!$B$2:$B$1605,0),_xlfn.XMATCH("*Tăng trưởng lợi nhuận sau thuế (YoY) (Quý*",Sheet4!$1:$1,2)),"")</f>
        <v>0</v>
      </c>
      <c r="P610" s="10" cm="1">
        <f t="array" ref="P610">IFERROR(INDEX(Sheet4!$2:$1605,MATCH(ChiTietKQKD[[#This Row],[Mã CP]],Sheet4!$B$2:$B$1605,0),_xlfn.XMATCH("*Tăng trưởng lợi nhuận sau thuế (YoY) (6M)*",Sheet4!$1:$1,2)),"")</f>
        <v>0</v>
      </c>
      <c r="Q610" s="10" cm="1">
        <f t="array" ref="Q610">IFERROR(INDEX(Sheet4!$2:$1605,MATCH(ChiTietKQKD[[#This Row],[Mã CP]],Sheet4!$B$2:$B$1605,0),_xlfn.XMATCH("*Tăng trưởng doanh thu thuần (QoQ)*",Sheet4!$1:$1,2)),"")</f>
        <v>0</v>
      </c>
      <c r="R610" s="10" cm="1">
        <f t="array" ref="R610">IFERROR(INDEX(Sheet4!$2:$1605,MATCH(ChiTietKQKD[[#This Row],[Mã CP]],Sheet4!$B$2:$B$1605,0),_xlfn.XMATCH("*Tăng trưởng lợi nhuận sau thuế (QoQ)*",Sheet4!$1:$1,2)),"")</f>
        <v>0</v>
      </c>
    </row>
    <row r="611" spans="1:18" x14ac:dyDescent="0.25">
      <c r="A611" s="7">
        <f>Sheet4!A590</f>
        <v>589</v>
      </c>
      <c r="B611" t="str">
        <f>Sheet4!B590</f>
        <v>PDB</v>
      </c>
      <c r="C611" t="str">
        <f>Sheet4!C589</f>
        <v>Vận tải Biển Global Pacific</v>
      </c>
      <c r="D611" t="str">
        <f>Sheet4!D590</f>
        <v>HNX</v>
      </c>
      <c r="E611" s="7">
        <f>Sheet4!AH590/1000000000</f>
        <v>183.54560860000001</v>
      </c>
      <c r="F611" t="str">
        <f>Sheet4!E590</f>
        <v>Công nghiệp</v>
      </c>
      <c r="G611" t="str">
        <f>Sheet4!F590</f>
        <v>Xây dựng và Vật liệu</v>
      </c>
      <c r="H611" t="str">
        <f>Sheet4!G590</f>
        <v>Vật liệu xây dựng &amp; Nội thất</v>
      </c>
      <c r="I611" s="9" t="str" cm="1">
        <f t="array" ref="I61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11" s="9" t="str" cm="1">
        <f t="array" ref="J61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11" s="10" cm="1">
        <f t="array" ref="K61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11" s="10" cm="1">
        <f t="array" ref="L61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11" s="9" t="str" cm="1">
        <f t="array" ref="M61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11" s="9" t="str" cm="1">
        <f t="array" ref="N61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11" s="10" cm="1">
        <f t="array" ref="O611">IFERROR(INDEX(Sheet4!$2:$1605,MATCH(ChiTietKQKD[[#This Row],[Mã CP]],Sheet4!$B$2:$B$1605,0),_xlfn.XMATCH("*Tăng trưởng lợi nhuận sau thuế (YoY) (Quý*",Sheet4!$1:$1,2)),"")</f>
        <v>0</v>
      </c>
      <c r="P611" s="10" cm="1">
        <f t="array" ref="P611">IFERROR(INDEX(Sheet4!$2:$1605,MATCH(ChiTietKQKD[[#This Row],[Mã CP]],Sheet4!$B$2:$B$1605,0),_xlfn.XMATCH("*Tăng trưởng lợi nhuận sau thuế (YoY) (6M)*",Sheet4!$1:$1,2)),"")</f>
        <v>0</v>
      </c>
      <c r="Q611" s="10" cm="1">
        <f t="array" ref="Q611">IFERROR(INDEX(Sheet4!$2:$1605,MATCH(ChiTietKQKD[[#This Row],[Mã CP]],Sheet4!$B$2:$B$1605,0),_xlfn.XMATCH("*Tăng trưởng doanh thu thuần (QoQ)*",Sheet4!$1:$1,2)),"")</f>
        <v>0</v>
      </c>
      <c r="R611" s="10" cm="1">
        <f t="array" ref="R611">IFERROR(INDEX(Sheet4!$2:$1605,MATCH(ChiTietKQKD[[#This Row],[Mã CP]],Sheet4!$B$2:$B$1605,0),_xlfn.XMATCH("*Tăng trưởng lợi nhuận sau thuế (QoQ)*",Sheet4!$1:$1,2)),"")</f>
        <v>0</v>
      </c>
    </row>
    <row r="612" spans="1:18" x14ac:dyDescent="0.25">
      <c r="A612" s="7">
        <f>Sheet4!A591</f>
        <v>590</v>
      </c>
      <c r="B612" t="str">
        <f>Sheet4!B591</f>
        <v>PEN</v>
      </c>
      <c r="C612" t="str">
        <f>Sheet4!C590</f>
        <v>DIN Capital</v>
      </c>
      <c r="D612" t="str">
        <f>Sheet4!D591</f>
        <v>HNX</v>
      </c>
      <c r="E612" s="7">
        <f>Sheet4!AH591/1000000000</f>
        <v>52.5</v>
      </c>
      <c r="F612" t="str">
        <f>Sheet4!E591</f>
        <v>Công nghiệp</v>
      </c>
      <c r="G612" t="str">
        <f>Sheet4!F591</f>
        <v>Xây dựng và Vật liệu</v>
      </c>
      <c r="H612" t="str">
        <f>Sheet4!G591</f>
        <v>Xây dựng</v>
      </c>
      <c r="I612" s="9" cm="1">
        <f t="array" ref="I61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98.609231452000003</v>
      </c>
      <c r="J612" s="9" cm="1">
        <f t="array" ref="J61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141.01923868399999</v>
      </c>
      <c r="K612" s="10" cm="1">
        <f t="array" ref="K61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0.77249999999999996</v>
      </c>
      <c r="L612" s="10" cm="1">
        <f t="array" ref="L61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0.32200000000000001</v>
      </c>
      <c r="M612" s="9" cm="1">
        <f t="array" ref="M612">_xlfn.LET(_xlpm.val,IFERROR(INDEX(Sheet4!$2:$1605,MATCH(ChiTietKQKD[[#This Row],[Mã CP]],Sheet4!$B$2:$B$1605,0),_xlfn.XMATCH("*Lợi nhuận sau thuế*Q2*2026*",Sheet4!$1:$1,2)),0),IF(OR(_xlpm.val="",_xlpm.val=0),"",_xlpm.val/1000000000))</f>
        <v>0.11752080199999999</v>
      </c>
      <c r="N612" s="9" cm="1">
        <f t="array" ref="N612">_xlfn.LET(_xlpm.val,IFERROR(INDEX(Sheet4!$2:$1605,MATCH(ChiTietKQKD[[#This Row],[Mã CP]],Sheet4!$B$2:$B$1605,0),_xlfn.XMATCH("*Lợi nhuận sau thuế*6 tháng*2026*",Sheet4!$1:$1,2)),0),IF(OR(_xlpm.val="",_xlpm.val=0),"",_xlpm.val/1000000000))</f>
        <v>-3.9955474359999998</v>
      </c>
      <c r="O612" s="10" cm="1">
        <f t="array" ref="O612">IFERROR(INDEX(Sheet4!$2:$1605,MATCH(ChiTietKQKD[[#This Row],[Mã CP]],Sheet4!$B$2:$B$1605,0),_xlfn.XMATCH("*Tăng trưởng lợi nhuận sau thuế (YoY) (Quý*",Sheet4!$1:$1,2)),"")</f>
        <v>-0.95530000000000004</v>
      </c>
      <c r="P612" s="10" cm="1">
        <f t="array" ref="P612">IFERROR(INDEX(Sheet4!$2:$1605,MATCH(ChiTietKQKD[[#This Row],[Mã CP]],Sheet4!$B$2:$B$1605,0),_xlfn.XMATCH("*Tăng trưởng lợi nhuận sau thuế (YoY) (6M)*",Sheet4!$1:$1,2)),"")</f>
        <v>-5.2214999999999998</v>
      </c>
      <c r="Q612" s="10" cm="1">
        <f t="array" ref="Q612">IFERROR(INDEX(Sheet4!$2:$1605,MATCH(ChiTietKQKD[[#This Row],[Mã CP]],Sheet4!$B$2:$B$1605,0),_xlfn.XMATCH("*Tăng trưởng doanh thu thuần (QoQ)*",Sheet4!$1:$1,2)),"")</f>
        <v>1.3250999999999999</v>
      </c>
      <c r="R612" s="10" cm="1">
        <f t="array" ref="R612">IFERROR(INDEX(Sheet4!$2:$1605,MATCH(ChiTietKQKD[[#This Row],[Mã CP]],Sheet4!$B$2:$B$1605,0),_xlfn.XMATCH("*Tăng trưởng lợi nhuận sau thuế (QoQ)*",Sheet4!$1:$1,2)),"")</f>
        <v>1.0286</v>
      </c>
    </row>
    <row r="613" spans="1:18" x14ac:dyDescent="0.25">
      <c r="A613" s="7">
        <f>Sheet4!A592</f>
        <v>591</v>
      </c>
      <c r="B613" t="str">
        <f>Sheet4!B592</f>
        <v>PGN</v>
      </c>
      <c r="C613" t="str">
        <f>Sheet4!C591</f>
        <v>Xây lắp III Petrolimex</v>
      </c>
      <c r="D613" t="str">
        <f>Sheet4!D592</f>
        <v>HNX</v>
      </c>
      <c r="E613" s="7">
        <f>Sheet4!AH592/1000000000</f>
        <v>50.163752700000003</v>
      </c>
      <c r="F613" t="str">
        <f>Sheet4!E592</f>
        <v>Nguyên vật liệu</v>
      </c>
      <c r="G613" t="str">
        <f>Sheet4!F592</f>
        <v>Hóa chất</v>
      </c>
      <c r="H613" t="str">
        <f>Sheet4!G592</f>
        <v>Nhựa, cao su &amp; sợi</v>
      </c>
      <c r="I613" s="9" cm="1">
        <f t="array" ref="I61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29.59132</v>
      </c>
      <c r="J613" s="9" cm="1">
        <f t="array" ref="J61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47.929832500000003</v>
      </c>
      <c r="K613" s="10" cm="1">
        <f t="array" ref="K61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1.8700000000000001E-2</v>
      </c>
      <c r="L613" s="10" cm="1">
        <f t="array" ref="L61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13" s="9" cm="1">
        <f t="array" ref="M613">_xlfn.LET(_xlpm.val,IFERROR(INDEX(Sheet4!$2:$1605,MATCH(ChiTietKQKD[[#This Row],[Mã CP]],Sheet4!$B$2:$B$1605,0),_xlfn.XMATCH("*Lợi nhuận sau thuế*Q2*2026*",Sheet4!$1:$1,2)),0),IF(OR(_xlpm.val="",_xlpm.val=0),"",_xlpm.val/1000000000))</f>
        <v>0.56564153399999995</v>
      </c>
      <c r="N613" s="9" cm="1">
        <f t="array" ref="N613">_xlfn.LET(_xlpm.val,IFERROR(INDEX(Sheet4!$2:$1605,MATCH(ChiTietKQKD[[#This Row],[Mã CP]],Sheet4!$B$2:$B$1605,0),_xlfn.XMATCH("*Lợi nhuận sau thuế*6 tháng*2026*",Sheet4!$1:$1,2)),0),IF(OR(_xlpm.val="",_xlpm.val=0),"",_xlpm.val/1000000000))</f>
        <v>0.64305783599999999</v>
      </c>
      <c r="O613" s="10" cm="1">
        <f t="array" ref="O613">IFERROR(INDEX(Sheet4!$2:$1605,MATCH(ChiTietKQKD[[#This Row],[Mã CP]],Sheet4!$B$2:$B$1605,0),_xlfn.XMATCH("*Tăng trưởng lợi nhuận sau thuế (YoY) (Quý*",Sheet4!$1:$1,2)),"")</f>
        <v>1.4033</v>
      </c>
      <c r="P613" s="10" cm="1">
        <f t="array" ref="P613">IFERROR(INDEX(Sheet4!$2:$1605,MATCH(ChiTietKQKD[[#This Row],[Mã CP]],Sheet4!$B$2:$B$1605,0),_xlfn.XMATCH("*Tăng trưởng lợi nhuận sau thuế (YoY) (6M)*",Sheet4!$1:$1,2)),"")</f>
        <v>0</v>
      </c>
      <c r="Q613" s="10" cm="1">
        <f t="array" ref="Q613">IFERROR(INDEX(Sheet4!$2:$1605,MATCH(ChiTietKQKD[[#This Row],[Mã CP]],Sheet4!$B$2:$B$1605,0),_xlfn.XMATCH("*Tăng trưởng doanh thu thuần (QoQ)*",Sheet4!$1:$1,2)),"")</f>
        <v>0.61360000000000003</v>
      </c>
      <c r="R613" s="10" cm="1">
        <f t="array" ref="R613">IFERROR(INDEX(Sheet4!$2:$1605,MATCH(ChiTietKQKD[[#This Row],[Mã CP]],Sheet4!$B$2:$B$1605,0),_xlfn.XMATCH("*Tăng trưởng lợi nhuận sau thuế (QoQ)*",Sheet4!$1:$1,2)),"")</f>
        <v>6.2925000000000004</v>
      </c>
    </row>
    <row r="614" spans="1:18" x14ac:dyDescent="0.25">
      <c r="A614" s="7">
        <f>Sheet4!A593</f>
        <v>592</v>
      </c>
      <c r="B614" t="str">
        <f>Sheet4!B593</f>
        <v>PGS</v>
      </c>
      <c r="C614" t="str">
        <f>Sheet4!C592</f>
        <v>Phụ Gia Nhựa</v>
      </c>
      <c r="D614" t="str">
        <f>Sheet4!D593</f>
        <v>HNX</v>
      </c>
      <c r="E614" s="7">
        <f>Sheet4!AH593/1000000000</f>
        <v>2749.9336699999999</v>
      </c>
      <c r="F614" t="str">
        <f>Sheet4!E593</f>
        <v>Tiện ích Cộng đồng</v>
      </c>
      <c r="G614" t="str">
        <f>Sheet4!F593</f>
        <v>Điện, nước &amp; xăng dầu khí đốt</v>
      </c>
      <c r="H614" t="str">
        <f>Sheet4!G593</f>
        <v>Phân phối xăng dầu &amp; khí đốt</v>
      </c>
      <c r="I614" s="9" t="str" cm="1">
        <f t="array" ref="I61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14" s="9" t="str" cm="1">
        <f t="array" ref="J61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14" s="10" cm="1">
        <f t="array" ref="K61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14" s="10" cm="1">
        <f t="array" ref="L61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14" s="9" t="str" cm="1">
        <f t="array" ref="M61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14" s="9" t="str" cm="1">
        <f t="array" ref="N61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14" s="10" cm="1">
        <f t="array" ref="O614">IFERROR(INDEX(Sheet4!$2:$1605,MATCH(ChiTietKQKD[[#This Row],[Mã CP]],Sheet4!$B$2:$B$1605,0),_xlfn.XMATCH("*Tăng trưởng lợi nhuận sau thuế (YoY) (Quý*",Sheet4!$1:$1,2)),"")</f>
        <v>0</v>
      </c>
      <c r="P614" s="10" cm="1">
        <f t="array" ref="P614">IFERROR(INDEX(Sheet4!$2:$1605,MATCH(ChiTietKQKD[[#This Row],[Mã CP]],Sheet4!$B$2:$B$1605,0),_xlfn.XMATCH("*Tăng trưởng lợi nhuận sau thuế (YoY) (6M)*",Sheet4!$1:$1,2)),"")</f>
        <v>0</v>
      </c>
      <c r="Q614" s="10" cm="1">
        <f t="array" ref="Q614">IFERROR(INDEX(Sheet4!$2:$1605,MATCH(ChiTietKQKD[[#This Row],[Mã CP]],Sheet4!$B$2:$B$1605,0),_xlfn.XMATCH("*Tăng trưởng doanh thu thuần (QoQ)*",Sheet4!$1:$1,2)),"")</f>
        <v>0</v>
      </c>
      <c r="R614" s="10" cm="1">
        <f t="array" ref="R614">IFERROR(INDEX(Sheet4!$2:$1605,MATCH(ChiTietKQKD[[#This Row],[Mã CP]],Sheet4!$B$2:$B$1605,0),_xlfn.XMATCH("*Tăng trưởng lợi nhuận sau thuế (QoQ)*",Sheet4!$1:$1,2)),"")</f>
        <v>0</v>
      </c>
    </row>
    <row r="615" spans="1:18" x14ac:dyDescent="0.25">
      <c r="A615" s="7">
        <f>Sheet4!A594</f>
        <v>593</v>
      </c>
      <c r="B615" t="str">
        <f>Sheet4!B594</f>
        <v>PGT</v>
      </c>
      <c r="C615" t="str">
        <f>Sheet4!C593</f>
        <v>Khí Miền Nam</v>
      </c>
      <c r="D615" t="str">
        <f>Sheet4!D594</f>
        <v>HNX</v>
      </c>
      <c r="E615" s="7">
        <f>Sheet4!AH594/1000000000</f>
        <v>69.3135075</v>
      </c>
      <c r="F615" t="str">
        <f>Sheet4!E594</f>
        <v>Dịch vụ Tiêu dùng</v>
      </c>
      <c r="G615" t="str">
        <f>Sheet4!F594</f>
        <v>Du lịch và Giải trí</v>
      </c>
      <c r="H615" t="str">
        <f>Sheet4!G594</f>
        <v>Vận tải hành khách &amp; Du lịch</v>
      </c>
      <c r="I615" s="9" t="str" cm="1">
        <f t="array" ref="I61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15" s="9" t="str" cm="1">
        <f t="array" ref="J61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15" s="10" cm="1">
        <f t="array" ref="K61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15" s="10" cm="1">
        <f t="array" ref="L61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15" s="9" t="str" cm="1">
        <f t="array" ref="M61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15" s="9" t="str" cm="1">
        <f t="array" ref="N61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15" s="10" cm="1">
        <f t="array" ref="O615">IFERROR(INDEX(Sheet4!$2:$1605,MATCH(ChiTietKQKD[[#This Row],[Mã CP]],Sheet4!$B$2:$B$1605,0),_xlfn.XMATCH("*Tăng trưởng lợi nhuận sau thuế (YoY) (Quý*",Sheet4!$1:$1,2)),"")</f>
        <v>0</v>
      </c>
      <c r="P615" s="10" cm="1">
        <f t="array" ref="P615">IFERROR(INDEX(Sheet4!$2:$1605,MATCH(ChiTietKQKD[[#This Row],[Mã CP]],Sheet4!$B$2:$B$1605,0),_xlfn.XMATCH("*Tăng trưởng lợi nhuận sau thuế (YoY) (6M)*",Sheet4!$1:$1,2)),"")</f>
        <v>0</v>
      </c>
      <c r="Q615" s="10" cm="1">
        <f t="array" ref="Q615">IFERROR(INDEX(Sheet4!$2:$1605,MATCH(ChiTietKQKD[[#This Row],[Mã CP]],Sheet4!$B$2:$B$1605,0),_xlfn.XMATCH("*Tăng trưởng doanh thu thuần (QoQ)*",Sheet4!$1:$1,2)),"")</f>
        <v>0</v>
      </c>
      <c r="R615" s="10" cm="1">
        <f t="array" ref="R615">IFERROR(INDEX(Sheet4!$2:$1605,MATCH(ChiTietKQKD[[#This Row],[Mã CP]],Sheet4!$B$2:$B$1605,0),_xlfn.XMATCH("*Tăng trưởng lợi nhuận sau thuế (QoQ)*",Sheet4!$1:$1,2)),"")</f>
        <v>0</v>
      </c>
    </row>
    <row r="616" spans="1:18" x14ac:dyDescent="0.25">
      <c r="A616" s="7">
        <f>Sheet4!A595</f>
        <v>594</v>
      </c>
      <c r="B616" t="str">
        <f>Sheet4!B595</f>
        <v>PHN</v>
      </c>
      <c r="C616" t="str">
        <f>Sheet4!C594</f>
        <v>PGT Holdings</v>
      </c>
      <c r="D616" t="str">
        <f>Sheet4!D595</f>
        <v>HNX</v>
      </c>
      <c r="E616" s="7">
        <f>Sheet4!AH595/1000000000</f>
        <v>406.94440709999998</v>
      </c>
      <c r="F616" t="str">
        <f>Sheet4!E595</f>
        <v>Công nghiệp</v>
      </c>
      <c r="G616" t="str">
        <f>Sheet4!F595</f>
        <v>Hàng &amp; Dịch vụ Công nghiệp</v>
      </c>
      <c r="H616" t="str">
        <f>Sheet4!G595</f>
        <v>Hàng điện &amp; điện tử</v>
      </c>
      <c r="I616" s="9" cm="1">
        <f t="array" ref="I61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110.519782101</v>
      </c>
      <c r="J616" s="9" cm="1">
        <f t="array" ref="J61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239.60950464199999</v>
      </c>
      <c r="K616" s="10" cm="1">
        <f t="array" ref="K61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0.32419999999999999</v>
      </c>
      <c r="L616" s="10" cm="1">
        <f t="array" ref="L61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0.21679999999999999</v>
      </c>
      <c r="M616" s="9" cm="1">
        <f t="array" ref="M616">_xlfn.LET(_xlpm.val,IFERROR(INDEX(Sheet4!$2:$1605,MATCH(ChiTietKQKD[[#This Row],[Mã CP]],Sheet4!$B$2:$B$1605,0),_xlfn.XMATCH("*Lợi nhuận sau thuế*Q2*2026*",Sheet4!$1:$1,2)),0),IF(OR(_xlpm.val="",_xlpm.val=0),"",_xlpm.val/1000000000))</f>
        <v>8.2310642690000009</v>
      </c>
      <c r="N616" s="9" cm="1">
        <f t="array" ref="N616">_xlfn.LET(_xlpm.val,IFERROR(INDEX(Sheet4!$2:$1605,MATCH(ChiTietKQKD[[#This Row],[Mã CP]],Sheet4!$B$2:$B$1605,0),_xlfn.XMATCH("*Lợi nhuận sau thuế*6 tháng*2026*",Sheet4!$1:$1,2)),0),IF(OR(_xlpm.val="",_xlpm.val=0),"",_xlpm.val/1000000000))</f>
        <v>18.869571561000001</v>
      </c>
      <c r="O616" s="10" cm="1">
        <f t="array" ref="O616">IFERROR(INDEX(Sheet4!$2:$1605,MATCH(ChiTietKQKD[[#This Row],[Mã CP]],Sheet4!$B$2:$B$1605,0),_xlfn.XMATCH("*Tăng trưởng lợi nhuận sau thuế (YoY) (Quý*",Sheet4!$1:$1,2)),"")</f>
        <v>8.2000000000000007E-3</v>
      </c>
      <c r="P616" s="10" cm="1">
        <f t="array" ref="P616">IFERROR(INDEX(Sheet4!$2:$1605,MATCH(ChiTietKQKD[[#This Row],[Mã CP]],Sheet4!$B$2:$B$1605,0),_xlfn.XMATCH("*Tăng trưởng lợi nhuận sau thuế (YoY) (6M)*",Sheet4!$1:$1,2)),"")</f>
        <v>-4.6199999999999998E-2</v>
      </c>
      <c r="Q616" s="10" cm="1">
        <f t="array" ref="Q616">IFERROR(INDEX(Sheet4!$2:$1605,MATCH(ChiTietKQKD[[#This Row],[Mã CP]],Sheet4!$B$2:$B$1605,0),_xlfn.XMATCH("*Tăng trưởng doanh thu thuần (QoQ)*",Sheet4!$1:$1,2)),"")</f>
        <v>-0.1439</v>
      </c>
      <c r="R616" s="10" cm="1">
        <f t="array" ref="R616">IFERROR(INDEX(Sheet4!$2:$1605,MATCH(ChiTietKQKD[[#This Row],[Mã CP]],Sheet4!$B$2:$B$1605,0),_xlfn.XMATCH("*Tăng trưởng lợi nhuận sau thuế (QoQ)*",Sheet4!$1:$1,2)),"")</f>
        <v>-0.2263</v>
      </c>
    </row>
    <row r="617" spans="1:18" x14ac:dyDescent="0.25">
      <c r="A617" s="7">
        <f>Sheet4!A596</f>
        <v>595</v>
      </c>
      <c r="B617" t="str">
        <f>Sheet4!B596</f>
        <v>PIA</v>
      </c>
      <c r="C617" t="str">
        <f>Sheet4!C595</f>
        <v>Pin Hà Nội</v>
      </c>
      <c r="D617" t="str">
        <f>Sheet4!D596</f>
        <v>HNX</v>
      </c>
      <c r="E617" s="7">
        <f>Sheet4!AH596/1000000000</f>
        <v>93.6</v>
      </c>
      <c r="F617" t="str">
        <f>Sheet4!E596</f>
        <v>Viễn thông</v>
      </c>
      <c r="G617" t="str">
        <f>Sheet4!F596</f>
        <v>Viễn thông</v>
      </c>
      <c r="H617" t="str">
        <f>Sheet4!G596</f>
        <v>Viễn thông cố định</v>
      </c>
      <c r="I617" s="9" t="str" cm="1">
        <f t="array" ref="I61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17" s="9" t="str" cm="1">
        <f t="array" ref="J61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17" s="10" cm="1">
        <f t="array" ref="K61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17" s="10" cm="1">
        <f t="array" ref="L61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17" s="9" t="str" cm="1">
        <f t="array" ref="M61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17" s="9" t="str" cm="1">
        <f t="array" ref="N61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17" s="10" cm="1">
        <f t="array" ref="O617">IFERROR(INDEX(Sheet4!$2:$1605,MATCH(ChiTietKQKD[[#This Row],[Mã CP]],Sheet4!$B$2:$B$1605,0),_xlfn.XMATCH("*Tăng trưởng lợi nhuận sau thuế (YoY) (Quý*",Sheet4!$1:$1,2)),"")</f>
        <v>0</v>
      </c>
      <c r="P617" s="10" cm="1">
        <f t="array" ref="P617">IFERROR(INDEX(Sheet4!$2:$1605,MATCH(ChiTietKQKD[[#This Row],[Mã CP]],Sheet4!$B$2:$B$1605,0),_xlfn.XMATCH("*Tăng trưởng lợi nhuận sau thuế (YoY) (6M)*",Sheet4!$1:$1,2)),"")</f>
        <v>0</v>
      </c>
      <c r="Q617" s="10" cm="1">
        <f t="array" ref="Q617">IFERROR(INDEX(Sheet4!$2:$1605,MATCH(ChiTietKQKD[[#This Row],[Mã CP]],Sheet4!$B$2:$B$1605,0),_xlfn.XMATCH("*Tăng trưởng doanh thu thuần (QoQ)*",Sheet4!$1:$1,2)),"")</f>
        <v>0</v>
      </c>
      <c r="R617" s="10" cm="1">
        <f t="array" ref="R617">IFERROR(INDEX(Sheet4!$2:$1605,MATCH(ChiTietKQKD[[#This Row],[Mã CP]],Sheet4!$B$2:$B$1605,0),_xlfn.XMATCH("*Tăng trưởng lợi nhuận sau thuế (QoQ)*",Sheet4!$1:$1,2)),"")</f>
        <v>0</v>
      </c>
    </row>
    <row r="618" spans="1:18" x14ac:dyDescent="0.25">
      <c r="A618" s="7">
        <f>Sheet4!A597</f>
        <v>596</v>
      </c>
      <c r="B618" t="str">
        <f>Sheet4!B597</f>
        <v>PIC</v>
      </c>
      <c r="C618" t="str">
        <f>Sheet4!C596</f>
        <v>Tin học Viễn thông Petrolimex</v>
      </c>
      <c r="D618" t="str">
        <f>Sheet4!D597</f>
        <v>HNX</v>
      </c>
      <c r="E618" s="7">
        <f>Sheet4!AH597/1000000000</f>
        <v>466.75847399999998</v>
      </c>
      <c r="F618" t="str">
        <f>Sheet4!E597</f>
        <v>Tiện ích Cộng đồng</v>
      </c>
      <c r="G618" t="str">
        <f>Sheet4!F597</f>
        <v>Điện, nước &amp; xăng dầu khí đốt</v>
      </c>
      <c r="H618" t="str">
        <f>Sheet4!G597</f>
        <v>Sản xuất &amp; Phân phối Điện</v>
      </c>
      <c r="I618" s="9" cm="1">
        <f t="array" ref="I61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17.394750119000001</v>
      </c>
      <c r="J618" s="9" cm="1">
        <f t="array" ref="J61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51.358670203999999</v>
      </c>
      <c r="K618" s="10" cm="1">
        <f t="array" ref="K61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-0.4788</v>
      </c>
      <c r="L618" s="10" cm="1">
        <f t="array" ref="L61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-0.31169999999999998</v>
      </c>
      <c r="M618" s="9" cm="1">
        <f t="array" ref="M618">_xlfn.LET(_xlpm.val,IFERROR(INDEX(Sheet4!$2:$1605,MATCH(ChiTietKQKD[[#This Row],[Mã CP]],Sheet4!$B$2:$B$1605,0),_xlfn.XMATCH("*Lợi nhuận sau thuế*Q2*2026*",Sheet4!$1:$1,2)),0),IF(OR(_xlpm.val="",_xlpm.val=0),"",_xlpm.val/1000000000))</f>
        <v>-2.1213465340000002</v>
      </c>
      <c r="N618" s="9" cm="1">
        <f t="array" ref="N618">_xlfn.LET(_xlpm.val,IFERROR(INDEX(Sheet4!$2:$1605,MATCH(ChiTietKQKD[[#This Row],[Mã CP]],Sheet4!$B$2:$B$1605,0),_xlfn.XMATCH("*Lợi nhuận sau thuế*6 tháng*2026*",Sheet4!$1:$1,2)),0),IF(OR(_xlpm.val="",_xlpm.val=0),"",_xlpm.val/1000000000))</f>
        <v>10.209543771</v>
      </c>
      <c r="O618" s="10" cm="1">
        <f t="array" ref="O618">IFERROR(INDEX(Sheet4!$2:$1605,MATCH(ChiTietKQKD[[#This Row],[Mã CP]],Sheet4!$B$2:$B$1605,0),_xlfn.XMATCH("*Tăng trưởng lợi nhuận sau thuế (YoY) (Quý*",Sheet4!$1:$1,2)),"")</f>
        <v>-1.1813</v>
      </c>
      <c r="P618" s="10" cm="1">
        <f t="array" ref="P618">IFERROR(INDEX(Sheet4!$2:$1605,MATCH(ChiTietKQKD[[#This Row],[Mã CP]],Sheet4!$B$2:$B$1605,0),_xlfn.XMATCH("*Tăng trưởng lợi nhuận sau thuế (YoY) (6M)*",Sheet4!$1:$1,2)),"")</f>
        <v>-0.64880000000000004</v>
      </c>
      <c r="Q618" s="10" cm="1">
        <f t="array" ref="Q618">IFERROR(INDEX(Sheet4!$2:$1605,MATCH(ChiTietKQKD[[#This Row],[Mã CP]],Sheet4!$B$2:$B$1605,0),_xlfn.XMATCH("*Tăng trưởng doanh thu thuần (QoQ)*",Sheet4!$1:$1,2)),"")</f>
        <v>-0.48780000000000001</v>
      </c>
      <c r="R618" s="10" cm="1">
        <f t="array" ref="R618">IFERROR(INDEX(Sheet4!$2:$1605,MATCH(ChiTietKQKD[[#This Row],[Mã CP]],Sheet4!$B$2:$B$1605,0),_xlfn.XMATCH("*Tăng trưởng lợi nhuận sau thuế (QoQ)*",Sheet4!$1:$1,2)),"")</f>
        <v>-1.1719999999999999</v>
      </c>
    </row>
    <row r="619" spans="1:18" x14ac:dyDescent="0.25">
      <c r="A619" s="7">
        <f>Sheet4!A598</f>
        <v>597</v>
      </c>
      <c r="B619" t="str">
        <f>Sheet4!B598</f>
        <v>PJC</v>
      </c>
      <c r="C619" t="str">
        <f>Sheet4!C597</f>
        <v>Đầu tư Điện lực 3</v>
      </c>
      <c r="D619" t="str">
        <f>Sheet4!D598</f>
        <v>HNX</v>
      </c>
      <c r="E619" s="7">
        <f>Sheet4!AH598/1000000000</f>
        <v>282.08414850000003</v>
      </c>
      <c r="F619" t="str">
        <f>Sheet4!E598</f>
        <v>Tiện ích Cộng đồng</v>
      </c>
      <c r="G619" t="str">
        <f>Sheet4!F598</f>
        <v>Điện, nước &amp; xăng dầu khí đốt</v>
      </c>
      <c r="H619" t="str">
        <f>Sheet4!G598</f>
        <v>Phân phối xăng dầu &amp; khí đốt</v>
      </c>
      <c r="I619" s="9" cm="1">
        <f t="array" ref="I61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526.91551895800001</v>
      </c>
      <c r="J619" s="9" cm="1">
        <f t="array" ref="J61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930.21525572999997</v>
      </c>
      <c r="K619" s="10" cm="1">
        <f t="array" ref="K61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0.72050000000000003</v>
      </c>
      <c r="L619" s="10" cm="1">
        <f t="array" ref="L61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19" s="9" cm="1">
        <f t="array" ref="M619">_xlfn.LET(_xlpm.val,IFERROR(INDEX(Sheet4!$2:$1605,MATCH(ChiTietKQKD[[#This Row],[Mã CP]],Sheet4!$B$2:$B$1605,0),_xlfn.XMATCH("*Lợi nhuận sau thuế*Q2*2026*",Sheet4!$1:$1,2)),0),IF(OR(_xlpm.val="",_xlpm.val=0),"",_xlpm.val/1000000000))</f>
        <v>13.198380585000001</v>
      </c>
      <c r="N619" s="9" cm="1">
        <f t="array" ref="N619">_xlfn.LET(_xlpm.val,IFERROR(INDEX(Sheet4!$2:$1605,MATCH(ChiTietKQKD[[#This Row],[Mã CP]],Sheet4!$B$2:$B$1605,0),_xlfn.XMATCH("*Lợi nhuận sau thuế*6 tháng*2026*",Sheet4!$1:$1,2)),0),IF(OR(_xlpm.val="",_xlpm.val=0),"",_xlpm.val/1000000000))</f>
        <v>28.274900601999999</v>
      </c>
      <c r="O619" s="10" cm="1">
        <f t="array" ref="O619">IFERROR(INDEX(Sheet4!$2:$1605,MATCH(ChiTietKQKD[[#This Row],[Mã CP]],Sheet4!$B$2:$B$1605,0),_xlfn.XMATCH("*Tăng trưởng lợi nhuận sau thuế (YoY) (Quý*",Sheet4!$1:$1,2)),"")</f>
        <v>0.5393</v>
      </c>
      <c r="P619" s="10" cm="1">
        <f t="array" ref="P619">IFERROR(INDEX(Sheet4!$2:$1605,MATCH(ChiTietKQKD[[#This Row],[Mã CP]],Sheet4!$B$2:$B$1605,0),_xlfn.XMATCH("*Tăng trưởng lợi nhuận sau thuế (YoY) (6M)*",Sheet4!$1:$1,2)),"")</f>
        <v>0</v>
      </c>
      <c r="Q619" s="10" cm="1">
        <f t="array" ref="Q619">IFERROR(INDEX(Sheet4!$2:$1605,MATCH(ChiTietKQKD[[#This Row],[Mã CP]],Sheet4!$B$2:$B$1605,0),_xlfn.XMATCH("*Tăng trưởng doanh thu thuần (QoQ)*",Sheet4!$1:$1,2)),"")</f>
        <v>0.30649999999999999</v>
      </c>
      <c r="R619" s="10" cm="1">
        <f t="array" ref="R619">IFERROR(INDEX(Sheet4!$2:$1605,MATCH(ChiTietKQKD[[#This Row],[Mã CP]],Sheet4!$B$2:$B$1605,0),_xlfn.XMATCH("*Tăng trưởng lợi nhuận sau thuế (QoQ)*",Sheet4!$1:$1,2)),"")</f>
        <v>-0.1246</v>
      </c>
    </row>
    <row r="620" spans="1:18" x14ac:dyDescent="0.25">
      <c r="A620" s="7">
        <f>Sheet4!A599</f>
        <v>598</v>
      </c>
      <c r="B620" t="str">
        <f>Sheet4!B599</f>
        <v>PLC</v>
      </c>
      <c r="C620" t="str">
        <f>Sheet4!C598</f>
        <v>TM và Vận tải Petrolimex HN</v>
      </c>
      <c r="D620" t="str">
        <f>Sheet4!D599</f>
        <v>HNX</v>
      </c>
      <c r="E620" s="7">
        <f>Sheet4!AH599/1000000000</f>
        <v>1454.356188</v>
      </c>
      <c r="F620" t="str">
        <f>Sheet4!E599</f>
        <v>Nguyên vật liệu</v>
      </c>
      <c r="G620" t="str">
        <f>Sheet4!F599</f>
        <v>Hóa chất</v>
      </c>
      <c r="H620" t="str">
        <f>Sheet4!G599</f>
        <v>Sản phẩm hóa dầu, Nông dược &amp; Hóa chất khác</v>
      </c>
      <c r="I620" s="9" t="str" cm="1">
        <f t="array" ref="I62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20" s="9" t="str" cm="1">
        <f t="array" ref="J62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20" s="10" cm="1">
        <f t="array" ref="K62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20" s="10" cm="1">
        <f t="array" ref="L62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20" s="9" t="str" cm="1">
        <f t="array" ref="M62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20" s="9" t="str" cm="1">
        <f t="array" ref="N62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20" s="10" cm="1">
        <f t="array" ref="O620">IFERROR(INDEX(Sheet4!$2:$1605,MATCH(ChiTietKQKD[[#This Row],[Mã CP]],Sheet4!$B$2:$B$1605,0),_xlfn.XMATCH("*Tăng trưởng lợi nhuận sau thuế (YoY) (Quý*",Sheet4!$1:$1,2)),"")</f>
        <v>0</v>
      </c>
      <c r="P620" s="10" cm="1">
        <f t="array" ref="P620">IFERROR(INDEX(Sheet4!$2:$1605,MATCH(ChiTietKQKD[[#This Row],[Mã CP]],Sheet4!$B$2:$B$1605,0),_xlfn.XMATCH("*Tăng trưởng lợi nhuận sau thuế (YoY) (6M)*",Sheet4!$1:$1,2)),"")</f>
        <v>0</v>
      </c>
      <c r="Q620" s="10" cm="1">
        <f t="array" ref="Q620">IFERROR(INDEX(Sheet4!$2:$1605,MATCH(ChiTietKQKD[[#This Row],[Mã CP]],Sheet4!$B$2:$B$1605,0),_xlfn.XMATCH("*Tăng trưởng doanh thu thuần (QoQ)*",Sheet4!$1:$1,2)),"")</f>
        <v>0</v>
      </c>
      <c r="R620" s="10" cm="1">
        <f t="array" ref="R620">IFERROR(INDEX(Sheet4!$2:$1605,MATCH(ChiTietKQKD[[#This Row],[Mã CP]],Sheet4!$B$2:$B$1605,0),_xlfn.XMATCH("*Tăng trưởng lợi nhuận sau thuế (QoQ)*",Sheet4!$1:$1,2)),"")</f>
        <v>0</v>
      </c>
    </row>
    <row r="621" spans="1:18" x14ac:dyDescent="0.25">
      <c r="A621" s="7">
        <f>Sheet4!A600</f>
        <v>599</v>
      </c>
      <c r="B621" t="str">
        <f>Sheet4!B600</f>
        <v>PMB</v>
      </c>
      <c r="C621" t="str">
        <f>Sheet4!C599</f>
        <v>Hóa dầu Petrolimex</v>
      </c>
      <c r="D621" t="str">
        <f>Sheet4!D600</f>
        <v>HNX</v>
      </c>
      <c r="E621" s="7">
        <f>Sheet4!AH600/1000000000</f>
        <v>127.2</v>
      </c>
      <c r="F621" t="str">
        <f>Sheet4!E600</f>
        <v>Nguyên vật liệu</v>
      </c>
      <c r="G621" t="str">
        <f>Sheet4!F600</f>
        <v>Hóa chất</v>
      </c>
      <c r="H621" t="str">
        <f>Sheet4!G600</f>
        <v>Sản phẩm hóa dầu, Nông dược &amp; Hóa chất khác</v>
      </c>
      <c r="I621" s="9" cm="1">
        <f t="array" ref="I62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562.87471446400002</v>
      </c>
      <c r="J621" s="9" cm="1">
        <f t="array" ref="J62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1398.3827161659999</v>
      </c>
      <c r="K621" s="10" cm="1">
        <f t="array" ref="K62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-0.29070000000000001</v>
      </c>
      <c r="L621" s="10" cm="1">
        <f t="array" ref="L62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-8.5099999999999995E-2</v>
      </c>
      <c r="M621" s="9" cm="1">
        <f t="array" ref="M621">_xlfn.LET(_xlpm.val,IFERROR(INDEX(Sheet4!$2:$1605,MATCH(ChiTietKQKD[[#This Row],[Mã CP]],Sheet4!$B$2:$B$1605,0),_xlfn.XMATCH("*Lợi nhuận sau thuế*Q2*2026*",Sheet4!$1:$1,2)),0),IF(OR(_xlpm.val="",_xlpm.val=0),"",_xlpm.val/1000000000))</f>
        <v>4.0849552329999996</v>
      </c>
      <c r="N621" s="9" cm="1">
        <f t="array" ref="N621">_xlfn.LET(_xlpm.val,IFERROR(INDEX(Sheet4!$2:$1605,MATCH(ChiTietKQKD[[#This Row],[Mã CP]],Sheet4!$B$2:$B$1605,0),_xlfn.XMATCH("*Lợi nhuận sau thuế*6 tháng*2026*",Sheet4!$1:$1,2)),0),IF(OR(_xlpm.val="",_xlpm.val=0),"",_xlpm.val/1000000000))</f>
        <v>18.166064935000001</v>
      </c>
      <c r="O621" s="10" cm="1">
        <f t="array" ref="O621">IFERROR(INDEX(Sheet4!$2:$1605,MATCH(ChiTietKQKD[[#This Row],[Mã CP]],Sheet4!$B$2:$B$1605,0),_xlfn.XMATCH("*Tăng trưởng lợi nhuận sau thuế (YoY) (Quý*",Sheet4!$1:$1,2)),"")</f>
        <v>-0.42499999999999999</v>
      </c>
      <c r="P621" s="10" cm="1">
        <f t="array" ref="P621">IFERROR(INDEX(Sheet4!$2:$1605,MATCH(ChiTietKQKD[[#This Row],[Mã CP]],Sheet4!$B$2:$B$1605,0),_xlfn.XMATCH("*Tăng trưởng lợi nhuận sau thuế (YoY) (6M)*",Sheet4!$1:$1,2)),"")</f>
        <v>0.16289999999999999</v>
      </c>
      <c r="Q621" s="10" cm="1">
        <f t="array" ref="Q621">IFERROR(INDEX(Sheet4!$2:$1605,MATCH(ChiTietKQKD[[#This Row],[Mã CP]],Sheet4!$B$2:$B$1605,0),_xlfn.XMATCH("*Tăng trưởng doanh thu thuần (QoQ)*",Sheet4!$1:$1,2)),"")</f>
        <v>-0.32629999999999998</v>
      </c>
      <c r="R621" s="10" cm="1">
        <f t="array" ref="R621">IFERROR(INDEX(Sheet4!$2:$1605,MATCH(ChiTietKQKD[[#This Row],[Mã CP]],Sheet4!$B$2:$B$1605,0),_xlfn.XMATCH("*Tăng trưởng lợi nhuận sau thuế (QoQ)*",Sheet4!$1:$1,2)),"")</f>
        <v>-0.70989999999999998</v>
      </c>
    </row>
    <row r="622" spans="1:18" x14ac:dyDescent="0.25">
      <c r="A622" s="7">
        <f>Sheet4!A601</f>
        <v>600</v>
      </c>
      <c r="B622" t="str">
        <f>Sheet4!B601</f>
        <v>PMC</v>
      </c>
      <c r="C622" t="str">
        <f>Sheet4!C600</f>
        <v>Phân bón và Hóa chất Dầu khí Miền Bắc</v>
      </c>
      <c r="D622" t="str">
        <f>Sheet4!D601</f>
        <v>HNX</v>
      </c>
      <c r="E622" s="7">
        <f>Sheet4!AH601/1000000000</f>
        <v>1193.6360867000001</v>
      </c>
      <c r="F622" t="str">
        <f>Sheet4!E601</f>
        <v>Dược phẩm và Y tế</v>
      </c>
      <c r="G622" t="str">
        <f>Sheet4!F601</f>
        <v>Y tế</v>
      </c>
      <c r="H622" t="str">
        <f>Sheet4!G601</f>
        <v>Dược phẩm</v>
      </c>
      <c r="I622" s="9" t="str" cm="1">
        <f t="array" ref="I62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22" s="9" t="str" cm="1">
        <f t="array" ref="J62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22" s="10" cm="1">
        <f t="array" ref="K62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22" s="10" cm="1">
        <f t="array" ref="L62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22" s="9" t="str" cm="1">
        <f t="array" ref="M62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22" s="9" t="str" cm="1">
        <f t="array" ref="N62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22" s="10" cm="1">
        <f t="array" ref="O622">IFERROR(INDEX(Sheet4!$2:$1605,MATCH(ChiTietKQKD[[#This Row],[Mã CP]],Sheet4!$B$2:$B$1605,0),_xlfn.XMATCH("*Tăng trưởng lợi nhuận sau thuế (YoY) (Quý*",Sheet4!$1:$1,2)),"")</f>
        <v>0</v>
      </c>
      <c r="P622" s="10" cm="1">
        <f t="array" ref="P622">IFERROR(INDEX(Sheet4!$2:$1605,MATCH(ChiTietKQKD[[#This Row],[Mã CP]],Sheet4!$B$2:$B$1605,0),_xlfn.XMATCH("*Tăng trưởng lợi nhuận sau thuế (YoY) (6M)*",Sheet4!$1:$1,2)),"")</f>
        <v>0</v>
      </c>
      <c r="Q622" s="10" cm="1">
        <f t="array" ref="Q622">IFERROR(INDEX(Sheet4!$2:$1605,MATCH(ChiTietKQKD[[#This Row],[Mã CP]],Sheet4!$B$2:$B$1605,0),_xlfn.XMATCH("*Tăng trưởng doanh thu thuần (QoQ)*",Sheet4!$1:$1,2)),"")</f>
        <v>0</v>
      </c>
      <c r="R622" s="10" cm="1">
        <f t="array" ref="R622">IFERROR(INDEX(Sheet4!$2:$1605,MATCH(ChiTietKQKD[[#This Row],[Mã CP]],Sheet4!$B$2:$B$1605,0),_xlfn.XMATCH("*Tăng trưởng lợi nhuận sau thuế (QoQ)*",Sheet4!$1:$1,2)),"")</f>
        <v>0</v>
      </c>
    </row>
    <row r="623" spans="1:18" x14ac:dyDescent="0.25">
      <c r="A623" s="7">
        <f>Sheet4!A602</f>
        <v>601</v>
      </c>
      <c r="B623" t="str">
        <f>Sheet4!B602</f>
        <v>PMP</v>
      </c>
      <c r="C623" t="str">
        <f>Sheet4!C601</f>
        <v>Pharmedic</v>
      </c>
      <c r="D623" t="str">
        <f>Sheet4!D602</f>
        <v>HNX</v>
      </c>
      <c r="E623" s="7">
        <f>Sheet4!AH602/1000000000</f>
        <v>50.4</v>
      </c>
      <c r="F623" t="str">
        <f>Sheet4!E602</f>
        <v>Công nghiệp</v>
      </c>
      <c r="G623" t="str">
        <f>Sheet4!F602</f>
        <v>Hàng &amp; Dịch vụ Công nghiệp</v>
      </c>
      <c r="H623" t="str">
        <f>Sheet4!G602</f>
        <v>Containers &amp; Đóng gói</v>
      </c>
      <c r="I623" s="9" cm="1">
        <f t="array" ref="I62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242.21050652599999</v>
      </c>
      <c r="J623" s="9" cm="1">
        <f t="array" ref="J62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388.52244576099997</v>
      </c>
      <c r="K623" s="10" cm="1">
        <f t="array" ref="K62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0.36299999999999999</v>
      </c>
      <c r="L623" s="10" cm="1">
        <f t="array" ref="L62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0.19589999999999999</v>
      </c>
      <c r="M623" s="9" cm="1">
        <f t="array" ref="M623">_xlfn.LET(_xlpm.val,IFERROR(INDEX(Sheet4!$2:$1605,MATCH(ChiTietKQKD[[#This Row],[Mã CP]],Sheet4!$B$2:$B$1605,0),_xlfn.XMATCH("*Lợi nhuận sau thuế*Q2*2026*",Sheet4!$1:$1,2)),0),IF(OR(_xlpm.val="",_xlpm.val=0),"",_xlpm.val/1000000000))</f>
        <v>2.7459614860000001</v>
      </c>
      <c r="N623" s="9" cm="1">
        <f t="array" ref="N623">_xlfn.LET(_xlpm.val,IFERROR(INDEX(Sheet4!$2:$1605,MATCH(ChiTietKQKD[[#This Row],[Mã CP]],Sheet4!$B$2:$B$1605,0),_xlfn.XMATCH("*Lợi nhuận sau thuế*6 tháng*2026*",Sheet4!$1:$1,2)),0),IF(OR(_xlpm.val="",_xlpm.val=0),"",_xlpm.val/1000000000))</f>
        <v>4.6960761980000001</v>
      </c>
      <c r="O623" s="10" cm="1">
        <f t="array" ref="O623">IFERROR(INDEX(Sheet4!$2:$1605,MATCH(ChiTietKQKD[[#This Row],[Mã CP]],Sheet4!$B$2:$B$1605,0),_xlfn.XMATCH("*Tăng trưởng lợi nhuận sau thuế (YoY) (Quý*",Sheet4!$1:$1,2)),"")</f>
        <v>0.24510000000000001</v>
      </c>
      <c r="P623" s="10" cm="1">
        <f t="array" ref="P623">IFERROR(INDEX(Sheet4!$2:$1605,MATCH(ChiTietKQKD[[#This Row],[Mã CP]],Sheet4!$B$2:$B$1605,0),_xlfn.XMATCH("*Tăng trưởng lợi nhuận sau thuế (YoY) (6M)*",Sheet4!$1:$1,2)),"")</f>
        <v>0.1764</v>
      </c>
      <c r="Q623" s="10" cm="1">
        <f t="array" ref="Q623">IFERROR(INDEX(Sheet4!$2:$1605,MATCH(ChiTietKQKD[[#This Row],[Mã CP]],Sheet4!$B$2:$B$1605,0),_xlfn.XMATCH("*Tăng trưởng doanh thu thuần (QoQ)*",Sheet4!$1:$1,2)),"")</f>
        <v>0.65539999999999998</v>
      </c>
      <c r="R623" s="10" cm="1">
        <f t="array" ref="R623">IFERROR(INDEX(Sheet4!$2:$1605,MATCH(ChiTietKQKD[[#This Row],[Mã CP]],Sheet4!$B$2:$B$1605,0),_xlfn.XMATCH("*Tăng trưởng lợi nhuận sau thuế (QoQ)*",Sheet4!$1:$1,2)),"")</f>
        <v>0.40810000000000002</v>
      </c>
    </row>
    <row r="624" spans="1:18" x14ac:dyDescent="0.25">
      <c r="A624" s="7">
        <f>Sheet4!A603</f>
        <v>602</v>
      </c>
      <c r="B624" t="str">
        <f>Sheet4!B603</f>
        <v>PMS</v>
      </c>
      <c r="C624" t="str">
        <f>Sheet4!C602</f>
        <v>Bao bì Đạm Phú Mỹ</v>
      </c>
      <c r="D624" t="str">
        <f>Sheet4!D603</f>
        <v>HNX</v>
      </c>
      <c r="E624" s="7">
        <f>Sheet4!AH603/1000000000</f>
        <v>241.25936200000001</v>
      </c>
      <c r="F624" t="str">
        <f>Sheet4!E603</f>
        <v>Công nghiệp</v>
      </c>
      <c r="G624" t="str">
        <f>Sheet4!F603</f>
        <v>Hàng &amp; Dịch vụ Công nghiệp</v>
      </c>
      <c r="H624" t="str">
        <f>Sheet4!G603</f>
        <v>Máy công nghiệp</v>
      </c>
      <c r="I624" s="9" t="str" cm="1">
        <f t="array" ref="I62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24" s="9" t="str" cm="1">
        <f t="array" ref="J62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24" s="10" cm="1">
        <f t="array" ref="K62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24" s="10" cm="1">
        <f t="array" ref="L62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24" s="9" t="str" cm="1">
        <f t="array" ref="M62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24" s="9" t="str" cm="1">
        <f t="array" ref="N62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24" s="10" cm="1">
        <f t="array" ref="O624">IFERROR(INDEX(Sheet4!$2:$1605,MATCH(ChiTietKQKD[[#This Row],[Mã CP]],Sheet4!$B$2:$B$1605,0),_xlfn.XMATCH("*Tăng trưởng lợi nhuận sau thuế (YoY) (Quý*",Sheet4!$1:$1,2)),"")</f>
        <v>0</v>
      </c>
      <c r="P624" s="10" cm="1">
        <f t="array" ref="P624">IFERROR(INDEX(Sheet4!$2:$1605,MATCH(ChiTietKQKD[[#This Row],[Mã CP]],Sheet4!$B$2:$B$1605,0),_xlfn.XMATCH("*Tăng trưởng lợi nhuận sau thuế (YoY) (6M)*",Sheet4!$1:$1,2)),"")</f>
        <v>0</v>
      </c>
      <c r="Q624" s="10" cm="1">
        <f t="array" ref="Q624">IFERROR(INDEX(Sheet4!$2:$1605,MATCH(ChiTietKQKD[[#This Row],[Mã CP]],Sheet4!$B$2:$B$1605,0),_xlfn.XMATCH("*Tăng trưởng doanh thu thuần (QoQ)*",Sheet4!$1:$1,2)),"")</f>
        <v>0</v>
      </c>
      <c r="R624" s="10" cm="1">
        <f t="array" ref="R624">IFERROR(INDEX(Sheet4!$2:$1605,MATCH(ChiTietKQKD[[#This Row],[Mã CP]],Sheet4!$B$2:$B$1605,0),_xlfn.XMATCH("*Tăng trưởng lợi nhuận sau thuế (QoQ)*",Sheet4!$1:$1,2)),"")</f>
        <v>0</v>
      </c>
    </row>
    <row r="625" spans="1:18" x14ac:dyDescent="0.25">
      <c r="A625" s="7">
        <f>Sheet4!A604</f>
        <v>603</v>
      </c>
      <c r="B625" t="str">
        <f>Sheet4!B604</f>
        <v>POT</v>
      </c>
      <c r="C625" t="str">
        <f>Sheet4!C603</f>
        <v>Cơ khí xăng dầu</v>
      </c>
      <c r="D625" t="str">
        <f>Sheet4!D604</f>
        <v>HNX</v>
      </c>
      <c r="E625" s="7">
        <f>Sheet4!AH604/1000000000</f>
        <v>427.46013199999999</v>
      </c>
      <c r="F625" t="str">
        <f>Sheet4!E604</f>
        <v>Công nghệ Thông tin</v>
      </c>
      <c r="G625" t="str">
        <f>Sheet4!F604</f>
        <v>Công nghệ Thông tin</v>
      </c>
      <c r="H625" t="str">
        <f>Sheet4!G604</f>
        <v>Phần cứng</v>
      </c>
      <c r="I625" s="9" t="str" cm="1">
        <f t="array" ref="I62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25" s="9" t="str" cm="1">
        <f t="array" ref="J62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25" s="10" cm="1">
        <f t="array" ref="K62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25" s="10" cm="1">
        <f t="array" ref="L62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25" s="9" t="str" cm="1">
        <f t="array" ref="M62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25" s="9" t="str" cm="1">
        <f t="array" ref="N62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25" s="10" cm="1">
        <f t="array" ref="O625">IFERROR(INDEX(Sheet4!$2:$1605,MATCH(ChiTietKQKD[[#This Row],[Mã CP]],Sheet4!$B$2:$B$1605,0),_xlfn.XMATCH("*Tăng trưởng lợi nhuận sau thuế (YoY) (Quý*",Sheet4!$1:$1,2)),"")</f>
        <v>0</v>
      </c>
      <c r="P625" s="10" cm="1">
        <f t="array" ref="P625">IFERROR(INDEX(Sheet4!$2:$1605,MATCH(ChiTietKQKD[[#This Row],[Mã CP]],Sheet4!$B$2:$B$1605,0),_xlfn.XMATCH("*Tăng trưởng lợi nhuận sau thuế (YoY) (6M)*",Sheet4!$1:$1,2)),"")</f>
        <v>0</v>
      </c>
      <c r="Q625" s="10" cm="1">
        <f t="array" ref="Q625">IFERROR(INDEX(Sheet4!$2:$1605,MATCH(ChiTietKQKD[[#This Row],[Mã CP]],Sheet4!$B$2:$B$1605,0),_xlfn.XMATCH("*Tăng trưởng doanh thu thuần (QoQ)*",Sheet4!$1:$1,2)),"")</f>
        <v>0</v>
      </c>
      <c r="R625" s="10" cm="1">
        <f t="array" ref="R625">IFERROR(INDEX(Sheet4!$2:$1605,MATCH(ChiTietKQKD[[#This Row],[Mã CP]],Sheet4!$B$2:$B$1605,0),_xlfn.XMATCH("*Tăng trưởng lợi nhuận sau thuế (QoQ)*",Sheet4!$1:$1,2)),"")</f>
        <v>0</v>
      </c>
    </row>
    <row r="626" spans="1:18" x14ac:dyDescent="0.25">
      <c r="A626" s="7">
        <f>Sheet4!A605</f>
        <v>604</v>
      </c>
      <c r="B626" t="str">
        <f>Sheet4!B605</f>
        <v>PPE</v>
      </c>
      <c r="C626" t="str">
        <f>Sheet4!C604</f>
        <v>Thiết bị Bưu điện Postef</v>
      </c>
      <c r="D626" t="str">
        <f>Sheet4!D605</f>
        <v>HNX</v>
      </c>
      <c r="E626" s="7">
        <f>Sheet4!AH605/1000000000</f>
        <v>52.2</v>
      </c>
      <c r="F626" t="str">
        <f>Sheet4!E605</f>
        <v>Công nghiệp</v>
      </c>
      <c r="G626" t="str">
        <f>Sheet4!F605</f>
        <v>Hàng &amp; Dịch vụ Công nghiệp</v>
      </c>
      <c r="H626" t="str">
        <f>Sheet4!G605</f>
        <v>Tư vấn &amp; Hỗ trợ KD</v>
      </c>
      <c r="I626" s="9" t="str" cm="1">
        <f t="array" ref="I62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26" s="9" t="str" cm="1">
        <f t="array" ref="J62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26" s="10" cm="1">
        <f t="array" ref="K62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26" s="10" cm="1">
        <f t="array" ref="L62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26" s="9" t="str" cm="1">
        <f t="array" ref="M62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26" s="9" t="str" cm="1">
        <f t="array" ref="N62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26" s="10" cm="1">
        <f t="array" ref="O626">IFERROR(INDEX(Sheet4!$2:$1605,MATCH(ChiTietKQKD[[#This Row],[Mã CP]],Sheet4!$B$2:$B$1605,0),_xlfn.XMATCH("*Tăng trưởng lợi nhuận sau thuế (YoY) (Quý*",Sheet4!$1:$1,2)),"")</f>
        <v>0</v>
      </c>
      <c r="P626" s="10" cm="1">
        <f t="array" ref="P626">IFERROR(INDEX(Sheet4!$2:$1605,MATCH(ChiTietKQKD[[#This Row],[Mã CP]],Sheet4!$B$2:$B$1605,0),_xlfn.XMATCH("*Tăng trưởng lợi nhuận sau thuế (YoY) (6M)*",Sheet4!$1:$1,2)),"")</f>
        <v>0</v>
      </c>
      <c r="Q626" s="10" cm="1">
        <f t="array" ref="Q626">IFERROR(INDEX(Sheet4!$2:$1605,MATCH(ChiTietKQKD[[#This Row],[Mã CP]],Sheet4!$B$2:$B$1605,0),_xlfn.XMATCH("*Tăng trưởng doanh thu thuần (QoQ)*",Sheet4!$1:$1,2)),"")</f>
        <v>0</v>
      </c>
      <c r="R626" s="10" cm="1">
        <f t="array" ref="R626">IFERROR(INDEX(Sheet4!$2:$1605,MATCH(ChiTietKQKD[[#This Row],[Mã CP]],Sheet4!$B$2:$B$1605,0),_xlfn.XMATCH("*Tăng trưởng lợi nhuận sau thuế (QoQ)*",Sheet4!$1:$1,2)),"")</f>
        <v>0</v>
      </c>
    </row>
    <row r="627" spans="1:18" x14ac:dyDescent="0.25">
      <c r="A627" s="7">
        <f>Sheet4!A606</f>
        <v>605</v>
      </c>
      <c r="B627" t="str">
        <f>Sheet4!B606</f>
        <v>PPP</v>
      </c>
      <c r="C627" t="str">
        <f>Sheet4!C605</f>
        <v>PVPower Engineering</v>
      </c>
      <c r="D627" t="str">
        <f>Sheet4!D606</f>
        <v>HNX</v>
      </c>
      <c r="E627" s="7">
        <f>Sheet4!AH606/1000000000</f>
        <v>157.5198389</v>
      </c>
      <c r="F627" t="str">
        <f>Sheet4!E606</f>
        <v>Dược phẩm và Y tế</v>
      </c>
      <c r="G627" t="str">
        <f>Sheet4!F606</f>
        <v>Y tế</v>
      </c>
      <c r="H627" t="str">
        <f>Sheet4!G606</f>
        <v>Dược phẩm</v>
      </c>
      <c r="I627" s="9" t="str" cm="1">
        <f t="array" ref="I62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27" s="9" t="str" cm="1">
        <f t="array" ref="J62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27" s="10" cm="1">
        <f t="array" ref="K62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27" s="10" cm="1">
        <f t="array" ref="L62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27" s="9" t="str" cm="1">
        <f t="array" ref="M62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27" s="9" t="str" cm="1">
        <f t="array" ref="N62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27" s="10" cm="1">
        <f t="array" ref="O627">IFERROR(INDEX(Sheet4!$2:$1605,MATCH(ChiTietKQKD[[#This Row],[Mã CP]],Sheet4!$B$2:$B$1605,0),_xlfn.XMATCH("*Tăng trưởng lợi nhuận sau thuế (YoY) (Quý*",Sheet4!$1:$1,2)),"")</f>
        <v>0</v>
      </c>
      <c r="P627" s="10" cm="1">
        <f t="array" ref="P627">IFERROR(INDEX(Sheet4!$2:$1605,MATCH(ChiTietKQKD[[#This Row],[Mã CP]],Sheet4!$B$2:$B$1605,0),_xlfn.XMATCH("*Tăng trưởng lợi nhuận sau thuế (YoY) (6M)*",Sheet4!$1:$1,2)),"")</f>
        <v>0</v>
      </c>
      <c r="Q627" s="10" cm="1">
        <f t="array" ref="Q627">IFERROR(INDEX(Sheet4!$2:$1605,MATCH(ChiTietKQKD[[#This Row],[Mã CP]],Sheet4!$B$2:$B$1605,0),_xlfn.XMATCH("*Tăng trưởng doanh thu thuần (QoQ)*",Sheet4!$1:$1,2)),"")</f>
        <v>0</v>
      </c>
      <c r="R627" s="10" cm="1">
        <f t="array" ref="R627">IFERROR(INDEX(Sheet4!$2:$1605,MATCH(ChiTietKQKD[[#This Row],[Mã CP]],Sheet4!$B$2:$B$1605,0),_xlfn.XMATCH("*Tăng trưởng lợi nhuận sau thuế (QoQ)*",Sheet4!$1:$1,2)),"")</f>
        <v>0</v>
      </c>
    </row>
    <row r="628" spans="1:18" x14ac:dyDescent="0.25">
      <c r="A628" s="7">
        <f>Sheet4!A607</f>
        <v>606</v>
      </c>
      <c r="B628" t="str">
        <f>Sheet4!B607</f>
        <v>PPS</v>
      </c>
      <c r="C628" t="str">
        <f>Sheet4!C606</f>
        <v>PP.Pharco</v>
      </c>
      <c r="D628" t="str">
        <f>Sheet4!D607</f>
        <v>HNX</v>
      </c>
      <c r="E628" s="7">
        <f>Sheet4!AH607/1000000000</f>
        <v>150</v>
      </c>
      <c r="F628" t="str">
        <f>Sheet4!E607</f>
        <v>Công nghiệp</v>
      </c>
      <c r="G628" t="str">
        <f>Sheet4!F607</f>
        <v>Hàng &amp; Dịch vụ Công nghiệp</v>
      </c>
      <c r="H628" t="str">
        <f>Sheet4!G607</f>
        <v>Tư vấn &amp; Hỗ trợ KD</v>
      </c>
      <c r="I628" s="9" t="str" cm="1">
        <f t="array" ref="I62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28" s="9" t="str" cm="1">
        <f t="array" ref="J62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28" s="10" cm="1">
        <f t="array" ref="K62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28" s="10" cm="1">
        <f t="array" ref="L62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28" s="9" t="str" cm="1">
        <f t="array" ref="M62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28" s="9" t="str" cm="1">
        <f t="array" ref="N62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28" s="10" cm="1">
        <f t="array" ref="O628">IFERROR(INDEX(Sheet4!$2:$1605,MATCH(ChiTietKQKD[[#This Row],[Mã CP]],Sheet4!$B$2:$B$1605,0),_xlfn.XMATCH("*Tăng trưởng lợi nhuận sau thuế (YoY) (Quý*",Sheet4!$1:$1,2)),"")</f>
        <v>0</v>
      </c>
      <c r="P628" s="10" cm="1">
        <f t="array" ref="P628">IFERROR(INDEX(Sheet4!$2:$1605,MATCH(ChiTietKQKD[[#This Row],[Mã CP]],Sheet4!$B$2:$B$1605,0),_xlfn.XMATCH("*Tăng trưởng lợi nhuận sau thuế (YoY) (6M)*",Sheet4!$1:$1,2)),"")</f>
        <v>0</v>
      </c>
      <c r="Q628" s="10" cm="1">
        <f t="array" ref="Q628">IFERROR(INDEX(Sheet4!$2:$1605,MATCH(ChiTietKQKD[[#This Row],[Mã CP]],Sheet4!$B$2:$B$1605,0),_xlfn.XMATCH("*Tăng trưởng doanh thu thuần (QoQ)*",Sheet4!$1:$1,2)),"")</f>
        <v>0</v>
      </c>
      <c r="R628" s="10" cm="1">
        <f t="array" ref="R628">IFERROR(INDEX(Sheet4!$2:$1605,MATCH(ChiTietKQKD[[#This Row],[Mã CP]],Sheet4!$B$2:$B$1605,0),_xlfn.XMATCH("*Tăng trưởng lợi nhuận sau thuế (QoQ)*",Sheet4!$1:$1,2)),"")</f>
        <v>0</v>
      </c>
    </row>
    <row r="629" spans="1:18" x14ac:dyDescent="0.25">
      <c r="A629" s="7">
        <f>Sheet4!A608</f>
        <v>607</v>
      </c>
      <c r="B629" t="str">
        <f>Sheet4!B608</f>
        <v>PPT</v>
      </c>
      <c r="C629" t="str">
        <f>Sheet4!C607</f>
        <v>DVKT Điện lực Dầu khí</v>
      </c>
      <c r="D629" t="str">
        <f>Sheet4!D608</f>
        <v>HNX</v>
      </c>
      <c r="E629" s="7">
        <f>Sheet4!AH608/1000000000</f>
        <v>300.56732190000002</v>
      </c>
      <c r="F629" t="str">
        <f>Sheet4!E608</f>
        <v>Tiện ích Cộng đồng</v>
      </c>
      <c r="G629" t="str">
        <f>Sheet4!F608</f>
        <v>Điện, nước &amp; xăng dầu khí đốt</v>
      </c>
      <c r="H629" t="str">
        <f>Sheet4!G608</f>
        <v>Phân phối xăng dầu &amp; khí đốt</v>
      </c>
      <c r="I629" s="9" t="str" cm="1">
        <f t="array" ref="I62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29" s="9" t="str" cm="1">
        <f t="array" ref="J62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29" s="10" cm="1">
        <f t="array" ref="K62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29" s="10" cm="1">
        <f t="array" ref="L62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29" s="9" t="str" cm="1">
        <f t="array" ref="M62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29" s="9" t="str" cm="1">
        <f t="array" ref="N62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29" s="10" cm="1">
        <f t="array" ref="O629">IFERROR(INDEX(Sheet4!$2:$1605,MATCH(ChiTietKQKD[[#This Row],[Mã CP]],Sheet4!$B$2:$B$1605,0),_xlfn.XMATCH("*Tăng trưởng lợi nhuận sau thuế (YoY) (Quý*",Sheet4!$1:$1,2)),"")</f>
        <v>0</v>
      </c>
      <c r="P629" s="10" cm="1">
        <f t="array" ref="P629">IFERROR(INDEX(Sheet4!$2:$1605,MATCH(ChiTietKQKD[[#This Row],[Mã CP]],Sheet4!$B$2:$B$1605,0),_xlfn.XMATCH("*Tăng trưởng lợi nhuận sau thuế (YoY) (6M)*",Sheet4!$1:$1,2)),"")</f>
        <v>0</v>
      </c>
      <c r="Q629" s="10" cm="1">
        <f t="array" ref="Q629">IFERROR(INDEX(Sheet4!$2:$1605,MATCH(ChiTietKQKD[[#This Row],[Mã CP]],Sheet4!$B$2:$B$1605,0),_xlfn.XMATCH("*Tăng trưởng doanh thu thuần (QoQ)*",Sheet4!$1:$1,2)),"")</f>
        <v>0</v>
      </c>
      <c r="R629" s="10" cm="1">
        <f t="array" ref="R629">IFERROR(INDEX(Sheet4!$2:$1605,MATCH(ChiTietKQKD[[#This Row],[Mã CP]],Sheet4!$B$2:$B$1605,0),_xlfn.XMATCH("*Tăng trưởng lợi nhuận sau thuế (QoQ)*",Sheet4!$1:$1,2)),"")</f>
        <v>0</v>
      </c>
    </row>
    <row r="630" spans="1:18" x14ac:dyDescent="0.25">
      <c r="A630" s="7">
        <f>Sheet4!A609</f>
        <v>608</v>
      </c>
      <c r="B630" t="str">
        <f>Sheet4!B609</f>
        <v>PPY</v>
      </c>
      <c r="C630" t="str">
        <f>Sheet4!C608</f>
        <v>Petro Times</v>
      </c>
      <c r="D630" t="str">
        <f>Sheet4!D609</f>
        <v>HNX</v>
      </c>
      <c r="E630" s="7">
        <f>Sheet4!AH609/1000000000</f>
        <v>86.967238800000004</v>
      </c>
      <c r="F630" t="str">
        <f>Sheet4!E609</f>
        <v>Tiện ích Cộng đồng</v>
      </c>
      <c r="G630" t="str">
        <f>Sheet4!F609</f>
        <v>Điện, nước &amp; xăng dầu khí đốt</v>
      </c>
      <c r="H630" t="str">
        <f>Sheet4!G609</f>
        <v>Phân phối xăng dầu &amp; khí đốt</v>
      </c>
      <c r="I630" s="9" cm="1">
        <f t="array" ref="I63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2089.4792397910001</v>
      </c>
      <c r="J630" s="9" cm="1">
        <f t="array" ref="J63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3412.6548595129998</v>
      </c>
      <c r="K630" s="10" cm="1">
        <f t="array" ref="K63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1.0127999999999999</v>
      </c>
      <c r="L630" s="10" cm="1">
        <f t="array" ref="L63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0.6613</v>
      </c>
      <c r="M630" s="9" cm="1">
        <f t="array" ref="M630">_xlfn.LET(_xlpm.val,IFERROR(INDEX(Sheet4!$2:$1605,MATCH(ChiTietKQKD[[#This Row],[Mã CP]],Sheet4!$B$2:$B$1605,0),_xlfn.XMATCH("*Lợi nhuận sau thuế*Q2*2026*",Sheet4!$1:$1,2)),0),IF(OR(_xlpm.val="",_xlpm.val=0),"",_xlpm.val/1000000000))</f>
        <v>9.9461801510000001</v>
      </c>
      <c r="N630" s="9" cm="1">
        <f t="array" ref="N630">_xlfn.LET(_xlpm.val,IFERROR(INDEX(Sheet4!$2:$1605,MATCH(ChiTietKQKD[[#This Row],[Mã CP]],Sheet4!$B$2:$B$1605,0),_xlfn.XMATCH("*Lợi nhuận sau thuế*6 tháng*2026*",Sheet4!$1:$1,2)),0),IF(OR(_xlpm.val="",_xlpm.val=0),"",_xlpm.val/1000000000))</f>
        <v>18.293253734</v>
      </c>
      <c r="O630" s="10" cm="1">
        <f t="array" ref="O630">IFERROR(INDEX(Sheet4!$2:$1605,MATCH(ChiTietKQKD[[#This Row],[Mã CP]],Sheet4!$B$2:$B$1605,0),_xlfn.XMATCH("*Tăng trưởng lợi nhuận sau thuế (YoY) (Quý*",Sheet4!$1:$1,2)),"")</f>
        <v>6.1593</v>
      </c>
      <c r="P630" s="10" cm="1">
        <f t="array" ref="P630">IFERROR(INDEX(Sheet4!$2:$1605,MATCH(ChiTietKQKD[[#This Row],[Mã CP]],Sheet4!$B$2:$B$1605,0),_xlfn.XMATCH("*Tăng trưởng lợi nhuận sau thuế (YoY) (6M)*",Sheet4!$1:$1,2)),"")</f>
        <v>8.1130999999999993</v>
      </c>
      <c r="Q630" s="10" cm="1">
        <f t="array" ref="Q630">IFERROR(INDEX(Sheet4!$2:$1605,MATCH(ChiTietKQKD[[#This Row],[Mã CP]],Sheet4!$B$2:$B$1605,0),_xlfn.XMATCH("*Tăng trưởng doanh thu thuần (QoQ)*",Sheet4!$1:$1,2)),"")</f>
        <v>0.57909999999999995</v>
      </c>
      <c r="R630" s="10" cm="1">
        <f t="array" ref="R630">IFERROR(INDEX(Sheet4!$2:$1605,MATCH(ChiTietKQKD[[#This Row],[Mã CP]],Sheet4!$B$2:$B$1605,0),_xlfn.XMATCH("*Tăng trưởng lợi nhuận sau thuế (QoQ)*",Sheet4!$1:$1,2)),"")</f>
        <v>0.19159999999999999</v>
      </c>
    </row>
    <row r="631" spans="1:18" x14ac:dyDescent="0.25">
      <c r="A631" s="7">
        <f>Sheet4!A610</f>
        <v>609</v>
      </c>
      <c r="B631" t="str">
        <f>Sheet4!B610</f>
        <v>PRC</v>
      </c>
      <c r="C631" t="str">
        <f>Sheet4!C609</f>
        <v>Xăng dầu dầu khí Phú Yên</v>
      </c>
      <c r="D631" t="str">
        <f>Sheet4!D610</f>
        <v>HNX</v>
      </c>
      <c r="E631" s="7">
        <f>Sheet4!AH610/1000000000</f>
        <v>65.096829</v>
      </c>
      <c r="F631" t="str">
        <f>Sheet4!E610</f>
        <v>Công nghiệp</v>
      </c>
      <c r="G631" t="str">
        <f>Sheet4!F610</f>
        <v>Hàng &amp; Dịch vụ Công nghiệp</v>
      </c>
      <c r="H631" t="str">
        <f>Sheet4!G610</f>
        <v>Dịch vụ vận tải</v>
      </c>
      <c r="I631" s="9" cm="1">
        <f t="array" ref="I63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79.800456439000001</v>
      </c>
      <c r="J631" s="9" cm="1">
        <f t="array" ref="J63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134.31924433099999</v>
      </c>
      <c r="K631" s="10" cm="1">
        <f t="array" ref="K63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0.95630000000000004</v>
      </c>
      <c r="L631" s="10" cm="1">
        <f t="array" ref="L63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0.85119999999999996</v>
      </c>
      <c r="M631" s="9" cm="1">
        <f t="array" ref="M631">_xlfn.LET(_xlpm.val,IFERROR(INDEX(Sheet4!$2:$1605,MATCH(ChiTietKQKD[[#This Row],[Mã CP]],Sheet4!$B$2:$B$1605,0),_xlfn.XMATCH("*Lợi nhuận sau thuế*Q2*2026*",Sheet4!$1:$1,2)),0),IF(OR(_xlpm.val="",_xlpm.val=0),"",_xlpm.val/1000000000))</f>
        <v>1.681112465</v>
      </c>
      <c r="N631" s="9" cm="1">
        <f t="array" ref="N631">_xlfn.LET(_xlpm.val,IFERROR(INDEX(Sheet4!$2:$1605,MATCH(ChiTietKQKD[[#This Row],[Mã CP]],Sheet4!$B$2:$B$1605,0),_xlfn.XMATCH("*Lợi nhuận sau thuế*6 tháng*2026*",Sheet4!$1:$1,2)),0),IF(OR(_xlpm.val="",_xlpm.val=0),"",_xlpm.val/1000000000))</f>
        <v>1.036745963</v>
      </c>
      <c r="O631" s="10" cm="1">
        <f t="array" ref="O631">IFERROR(INDEX(Sheet4!$2:$1605,MATCH(ChiTietKQKD[[#This Row],[Mã CP]],Sheet4!$B$2:$B$1605,0),_xlfn.XMATCH("*Tăng trưởng lợi nhuận sau thuế (YoY) (Quý*",Sheet4!$1:$1,2)),"")</f>
        <v>0.36840000000000001</v>
      </c>
      <c r="P631" s="10" cm="1">
        <f t="array" ref="P631">IFERROR(INDEX(Sheet4!$2:$1605,MATCH(ChiTietKQKD[[#This Row],[Mã CP]],Sheet4!$B$2:$B$1605,0),_xlfn.XMATCH("*Tăng trưởng lợi nhuận sau thuế (YoY) (6M)*",Sheet4!$1:$1,2)),"")</f>
        <v>-0.44180000000000003</v>
      </c>
      <c r="Q631" s="10" cm="1">
        <f t="array" ref="Q631">IFERROR(INDEX(Sheet4!$2:$1605,MATCH(ChiTietKQKD[[#This Row],[Mã CP]],Sheet4!$B$2:$B$1605,0),_xlfn.XMATCH("*Tăng trưởng doanh thu thuần (QoQ)*",Sheet4!$1:$1,2)),"")</f>
        <v>0.4637</v>
      </c>
      <c r="R631" s="10" cm="1">
        <f t="array" ref="R631">IFERROR(INDEX(Sheet4!$2:$1605,MATCH(ChiTietKQKD[[#This Row],[Mã CP]],Sheet4!$B$2:$B$1605,0),_xlfn.XMATCH("*Tăng trưởng lợi nhuận sau thuế (QoQ)*",Sheet4!$1:$1,2)),"")</f>
        <v>3.6711999999999998</v>
      </c>
    </row>
    <row r="632" spans="1:18" x14ac:dyDescent="0.25">
      <c r="A632" s="7">
        <f>Sheet4!A611</f>
        <v>610</v>
      </c>
      <c r="B632" t="str">
        <f>Sheet4!B611</f>
        <v>PRE</v>
      </c>
      <c r="C632" t="str">
        <f>Sheet4!C610</f>
        <v>Vận tải Portserco</v>
      </c>
      <c r="D632" t="str">
        <f>Sheet4!D611</f>
        <v>HNX</v>
      </c>
      <c r="E632" s="7">
        <f>Sheet4!AH611/1000000000</f>
        <v>2891.88</v>
      </c>
      <c r="F632" t="str">
        <f>Sheet4!E611</f>
        <v>Tài chính</v>
      </c>
      <c r="G632" t="str">
        <f>Sheet4!F611</f>
        <v>Bảo hiểm</v>
      </c>
      <c r="H632" t="str">
        <f>Sheet4!G611</f>
        <v>Tái bảo hiểm</v>
      </c>
      <c r="I632" s="9" t="str" cm="1">
        <f t="array" ref="I63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32" s="9" t="str" cm="1">
        <f t="array" ref="J63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32" s="10" cm="1">
        <f t="array" ref="K63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32" s="10" cm="1">
        <f t="array" ref="L63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32" s="9" t="str" cm="1">
        <f t="array" ref="M63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32" s="9" t="str" cm="1">
        <f t="array" ref="N63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32" s="10" cm="1">
        <f t="array" ref="O632">IFERROR(INDEX(Sheet4!$2:$1605,MATCH(ChiTietKQKD[[#This Row],[Mã CP]],Sheet4!$B$2:$B$1605,0),_xlfn.XMATCH("*Tăng trưởng lợi nhuận sau thuế (YoY) (Quý*",Sheet4!$1:$1,2)),"")</f>
        <v>0</v>
      </c>
      <c r="P632" s="10" cm="1">
        <f t="array" ref="P632">IFERROR(INDEX(Sheet4!$2:$1605,MATCH(ChiTietKQKD[[#This Row],[Mã CP]],Sheet4!$B$2:$B$1605,0),_xlfn.XMATCH("*Tăng trưởng lợi nhuận sau thuế (YoY) (6M)*",Sheet4!$1:$1,2)),"")</f>
        <v>0</v>
      </c>
      <c r="Q632" s="10" cm="1">
        <f t="array" ref="Q632">IFERROR(INDEX(Sheet4!$2:$1605,MATCH(ChiTietKQKD[[#This Row],[Mã CP]],Sheet4!$B$2:$B$1605,0),_xlfn.XMATCH("*Tăng trưởng doanh thu thuần (QoQ)*",Sheet4!$1:$1,2)),"")</f>
        <v>0</v>
      </c>
      <c r="R632" s="10" cm="1">
        <f t="array" ref="R632">IFERROR(INDEX(Sheet4!$2:$1605,MATCH(ChiTietKQKD[[#This Row],[Mã CP]],Sheet4!$B$2:$B$1605,0),_xlfn.XMATCH("*Tăng trưởng lợi nhuận sau thuế (QoQ)*",Sheet4!$1:$1,2)),"")</f>
        <v>0</v>
      </c>
    </row>
    <row r="633" spans="1:18" x14ac:dyDescent="0.25">
      <c r="A633" s="7">
        <f>Sheet4!A612</f>
        <v>611</v>
      </c>
      <c r="B633" t="str">
        <f>Sheet4!B612</f>
        <v>PSC</v>
      </c>
      <c r="C633" t="str">
        <f>Sheet4!C611</f>
        <v>Tái bảo hiểm PVI</v>
      </c>
      <c r="D633" t="str">
        <f>Sheet4!D612</f>
        <v>HNX</v>
      </c>
      <c r="E633" s="7">
        <f>Sheet4!AH612/1000000000</f>
        <v>79.92</v>
      </c>
      <c r="F633" t="str">
        <f>Sheet4!E612</f>
        <v>Công nghiệp</v>
      </c>
      <c r="G633" t="str">
        <f>Sheet4!F612</f>
        <v>Hàng &amp; Dịch vụ Công nghiệp</v>
      </c>
      <c r="H633" t="str">
        <f>Sheet4!G612</f>
        <v>Dịch vụ vận tải</v>
      </c>
      <c r="I633" s="9" cm="1">
        <f t="array" ref="I63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281.11408483999998</v>
      </c>
      <c r="J633" s="9" cm="1">
        <f t="array" ref="J63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515.28624958399996</v>
      </c>
      <c r="K633" s="10" cm="1">
        <f t="array" ref="K63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0.53090000000000004</v>
      </c>
      <c r="L633" s="10" cm="1">
        <f t="array" ref="L63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0.42009999999999997</v>
      </c>
      <c r="M633" s="9" cm="1">
        <f t="array" ref="M633">_xlfn.LET(_xlpm.val,IFERROR(INDEX(Sheet4!$2:$1605,MATCH(ChiTietKQKD[[#This Row],[Mã CP]],Sheet4!$B$2:$B$1605,0),_xlfn.XMATCH("*Lợi nhuận sau thuế*Q2*2026*",Sheet4!$1:$1,2)),0),IF(OR(_xlpm.val="",_xlpm.val=0),"",_xlpm.val/1000000000))</f>
        <v>2.9248504030000002</v>
      </c>
      <c r="N633" s="9" cm="1">
        <f t="array" ref="N633">_xlfn.LET(_xlpm.val,IFERROR(INDEX(Sheet4!$2:$1605,MATCH(ChiTietKQKD[[#This Row],[Mã CP]],Sheet4!$B$2:$B$1605,0),_xlfn.XMATCH("*Lợi nhuận sau thuế*6 tháng*2026*",Sheet4!$1:$1,2)),0),IF(OR(_xlpm.val="",_xlpm.val=0),"",_xlpm.val/1000000000))</f>
        <v>5.0657886970000003</v>
      </c>
      <c r="O633" s="10" cm="1">
        <f t="array" ref="O633">IFERROR(INDEX(Sheet4!$2:$1605,MATCH(ChiTietKQKD[[#This Row],[Mã CP]],Sheet4!$B$2:$B$1605,0),_xlfn.XMATCH("*Tăng trưởng lợi nhuận sau thuế (YoY) (Quý*",Sheet4!$1:$1,2)),"")</f>
        <v>0.49370000000000003</v>
      </c>
      <c r="P633" s="10" cm="1">
        <f t="array" ref="P633">IFERROR(INDEX(Sheet4!$2:$1605,MATCH(ChiTietKQKD[[#This Row],[Mã CP]],Sheet4!$B$2:$B$1605,0),_xlfn.XMATCH("*Tăng trưởng lợi nhuận sau thuế (YoY) (6M)*",Sheet4!$1:$1,2)),"")</f>
        <v>0.1227</v>
      </c>
      <c r="Q633" s="10" cm="1">
        <f t="array" ref="Q633">IFERROR(INDEX(Sheet4!$2:$1605,MATCH(ChiTietKQKD[[#This Row],[Mã CP]],Sheet4!$B$2:$B$1605,0),_xlfn.XMATCH("*Tăng trưởng doanh thu thuần (QoQ)*",Sheet4!$1:$1,2)),"")</f>
        <v>0.20050000000000001</v>
      </c>
      <c r="R633" s="10" cm="1">
        <f t="array" ref="R633">IFERROR(INDEX(Sheet4!$2:$1605,MATCH(ChiTietKQKD[[#This Row],[Mã CP]],Sheet4!$B$2:$B$1605,0),_xlfn.XMATCH("*Tăng trưởng lợi nhuận sau thuế (QoQ)*",Sheet4!$1:$1,2)),"")</f>
        <v>0.36620000000000003</v>
      </c>
    </row>
    <row r="634" spans="1:18" x14ac:dyDescent="0.25">
      <c r="A634" s="7">
        <f>Sheet4!A613</f>
        <v>612</v>
      </c>
      <c r="B634" t="str">
        <f>Sheet4!B613</f>
        <v>PSD</v>
      </c>
      <c r="C634" t="str">
        <f>Sheet4!C612</f>
        <v>Vận tải Petrolimex SG</v>
      </c>
      <c r="D634" t="str">
        <f>Sheet4!D613</f>
        <v>HNX</v>
      </c>
      <c r="E634" s="7">
        <f>Sheet4!AH613/1000000000</f>
        <v>864.44630400000005</v>
      </c>
      <c r="F634" t="str">
        <f>Sheet4!E613</f>
        <v>Dịch vụ Tiêu dùng</v>
      </c>
      <c r="G634" t="str">
        <f>Sheet4!F613</f>
        <v>Bán lẻ</v>
      </c>
      <c r="H634" t="str">
        <f>Sheet4!G613</f>
        <v>Phân phối hàng chuyên dụng</v>
      </c>
      <c r="I634" s="9" cm="1">
        <f t="array" ref="I63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2675.1019154219998</v>
      </c>
      <c r="J634" s="9" cm="1">
        <f t="array" ref="J63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5192.2856793319997</v>
      </c>
      <c r="K634" s="10" cm="1">
        <f t="array" ref="K63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0.41849999999999998</v>
      </c>
      <c r="L634" s="10" cm="1">
        <f t="array" ref="L63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0.60819999999999996</v>
      </c>
      <c r="M634" s="9" cm="1">
        <f t="array" ref="M634">_xlfn.LET(_xlpm.val,IFERROR(INDEX(Sheet4!$2:$1605,MATCH(ChiTietKQKD[[#This Row],[Mã CP]],Sheet4!$B$2:$B$1605,0),_xlfn.XMATCH("*Lợi nhuận sau thuế*Q2*2026*",Sheet4!$1:$1,2)),0),IF(OR(_xlpm.val="",_xlpm.val=0),"",_xlpm.val/1000000000))</f>
        <v>49.037004437</v>
      </c>
      <c r="N634" s="9" cm="1">
        <f t="array" ref="N634">_xlfn.LET(_xlpm.val,IFERROR(INDEX(Sheet4!$2:$1605,MATCH(ChiTietKQKD[[#This Row],[Mã CP]],Sheet4!$B$2:$B$1605,0),_xlfn.XMATCH("*Lợi nhuận sau thuế*6 tháng*2026*",Sheet4!$1:$1,2)),0),IF(OR(_xlpm.val="",_xlpm.val=0),"",_xlpm.val/1000000000))</f>
        <v>103.278161685</v>
      </c>
      <c r="O634" s="10" cm="1">
        <f t="array" ref="O634">IFERROR(INDEX(Sheet4!$2:$1605,MATCH(ChiTietKQKD[[#This Row],[Mã CP]],Sheet4!$B$2:$B$1605,0),_xlfn.XMATCH("*Tăng trưởng lợi nhuận sau thuế (YoY) (Quý*",Sheet4!$1:$1,2)),"")</f>
        <v>0.65149999999999997</v>
      </c>
      <c r="P634" s="10" cm="1">
        <f t="array" ref="P634">IFERROR(INDEX(Sheet4!$2:$1605,MATCH(ChiTietKQKD[[#This Row],[Mã CP]],Sheet4!$B$2:$B$1605,0),_xlfn.XMATCH("*Tăng trưởng lợi nhuận sau thuế (YoY) (6M)*",Sheet4!$1:$1,2)),"")</f>
        <v>0.99229999999999996</v>
      </c>
      <c r="Q634" s="10" cm="1">
        <f t="array" ref="Q634">IFERROR(INDEX(Sheet4!$2:$1605,MATCH(ChiTietKQKD[[#This Row],[Mã CP]],Sheet4!$B$2:$B$1605,0),_xlfn.XMATCH("*Tăng trưởng doanh thu thuần (QoQ)*",Sheet4!$1:$1,2)),"")</f>
        <v>6.2700000000000006E-2</v>
      </c>
      <c r="R634" s="10" cm="1">
        <f t="array" ref="R634">IFERROR(INDEX(Sheet4!$2:$1605,MATCH(ChiTietKQKD[[#This Row],[Mã CP]],Sheet4!$B$2:$B$1605,0),_xlfn.XMATCH("*Tăng trưởng lợi nhuận sau thuế (QoQ)*",Sheet4!$1:$1,2)),"")</f>
        <v>-9.5899999999999999E-2</v>
      </c>
    </row>
    <row r="635" spans="1:18" x14ac:dyDescent="0.25">
      <c r="A635" s="7">
        <f>Sheet4!A614</f>
        <v>613</v>
      </c>
      <c r="B635" t="str">
        <f>Sheet4!B614</f>
        <v>PSE</v>
      </c>
      <c r="C635" t="str">
        <f>Sheet4!C613</f>
        <v>Phân phối Tổng hợp Dầu khí</v>
      </c>
      <c r="D635" t="str">
        <f>Sheet4!D614</f>
        <v>HNX</v>
      </c>
      <c r="E635" s="7">
        <f>Sheet4!AH614/1000000000</f>
        <v>130</v>
      </c>
      <c r="F635" t="str">
        <f>Sheet4!E614</f>
        <v>Nguyên vật liệu</v>
      </c>
      <c r="G635" t="str">
        <f>Sheet4!F614</f>
        <v>Hóa chất</v>
      </c>
      <c r="H635" t="str">
        <f>Sheet4!G614</f>
        <v>Sản phẩm hóa dầu, Nông dược &amp; Hóa chất khác</v>
      </c>
      <c r="I635" s="9" cm="1">
        <f t="array" ref="I63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1276.973585512</v>
      </c>
      <c r="J635" s="9" t="str" cm="1">
        <f t="array" ref="J63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35" s="10" cm="1">
        <f t="array" ref="K63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35" s="10" cm="1">
        <f t="array" ref="L63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35" s="9" cm="1">
        <f t="array" ref="M635">_xlfn.LET(_xlpm.val,IFERROR(INDEX(Sheet4!$2:$1605,MATCH(ChiTietKQKD[[#This Row],[Mã CP]],Sheet4!$B$2:$B$1605,0),_xlfn.XMATCH("*Lợi nhuận sau thuế*Q2*2026*",Sheet4!$1:$1,2)),0),IF(OR(_xlpm.val="",_xlpm.val=0),"",_xlpm.val/1000000000))</f>
        <v>5.0417100450000003</v>
      </c>
      <c r="N635" s="9" t="str" cm="1">
        <f t="array" ref="N63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35" s="10" cm="1">
        <f t="array" ref="O635">IFERROR(INDEX(Sheet4!$2:$1605,MATCH(ChiTietKQKD[[#This Row],[Mã CP]],Sheet4!$B$2:$B$1605,0),_xlfn.XMATCH("*Tăng trưởng lợi nhuận sau thuế (YoY) (Quý*",Sheet4!$1:$1,2)),"")</f>
        <v>0</v>
      </c>
      <c r="P635" s="10" cm="1">
        <f t="array" ref="P635">IFERROR(INDEX(Sheet4!$2:$1605,MATCH(ChiTietKQKD[[#This Row],[Mã CP]],Sheet4!$B$2:$B$1605,0),_xlfn.XMATCH("*Tăng trưởng lợi nhuận sau thuế (YoY) (6M)*",Sheet4!$1:$1,2)),"")</f>
        <v>0</v>
      </c>
      <c r="Q635" s="10" cm="1">
        <f t="array" ref="Q635">IFERROR(INDEX(Sheet4!$2:$1605,MATCH(ChiTietKQKD[[#This Row],[Mã CP]],Sheet4!$B$2:$B$1605,0),_xlfn.XMATCH("*Tăng trưởng doanh thu thuần (QoQ)*",Sheet4!$1:$1,2)),"")</f>
        <v>0</v>
      </c>
      <c r="R635" s="10" cm="1">
        <f t="array" ref="R635">IFERROR(INDEX(Sheet4!$2:$1605,MATCH(ChiTietKQKD[[#This Row],[Mã CP]],Sheet4!$B$2:$B$1605,0),_xlfn.XMATCH("*Tăng trưởng lợi nhuận sau thuế (QoQ)*",Sheet4!$1:$1,2)),"")</f>
        <v>0</v>
      </c>
    </row>
    <row r="636" spans="1:18" x14ac:dyDescent="0.25">
      <c r="A636" s="7">
        <f>Sheet4!A615</f>
        <v>614</v>
      </c>
      <c r="B636" t="str">
        <f>Sheet4!B615</f>
        <v>PSI</v>
      </c>
      <c r="C636" t="str">
        <f>Sheet4!C614</f>
        <v>Phân bón và hóa chất dầu khí Đông Nam Bộ</v>
      </c>
      <c r="D636" t="str">
        <f>Sheet4!D615</f>
        <v>HNX</v>
      </c>
      <c r="E636" s="7">
        <f>Sheet4!AH615/1000000000</f>
        <v>610.38126</v>
      </c>
      <c r="F636" t="str">
        <f>Sheet4!E615</f>
        <v>Tài chính</v>
      </c>
      <c r="G636" t="str">
        <f>Sheet4!F615</f>
        <v>Dịch vụ tài chính</v>
      </c>
      <c r="H636" t="str">
        <f>Sheet4!G615</f>
        <v>Môi giới chứng khoán</v>
      </c>
      <c r="I636" s="9" cm="1">
        <f t="array" ref="I63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107.788595985</v>
      </c>
      <c r="J636" s="9" cm="1">
        <f t="array" ref="J63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236.11871329600001</v>
      </c>
      <c r="K636" s="10" cm="1">
        <f t="array" ref="K63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-0.20069999999999999</v>
      </c>
      <c r="L636" s="10" cm="1">
        <f t="array" ref="L63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2.5700000000000001E-2</v>
      </c>
      <c r="M636" s="9" cm="1">
        <f t="array" ref="M636">_xlfn.LET(_xlpm.val,IFERROR(INDEX(Sheet4!$2:$1605,MATCH(ChiTietKQKD[[#This Row],[Mã CP]],Sheet4!$B$2:$B$1605,0),_xlfn.XMATCH("*Lợi nhuận sau thuế*Q2*2026*",Sheet4!$1:$1,2)),0),IF(OR(_xlpm.val="",_xlpm.val=0),"",_xlpm.val/1000000000))</f>
        <v>15.257019442000001</v>
      </c>
      <c r="N636" s="9" cm="1">
        <f t="array" ref="N636">_xlfn.LET(_xlpm.val,IFERROR(INDEX(Sheet4!$2:$1605,MATCH(ChiTietKQKD[[#This Row],[Mã CP]],Sheet4!$B$2:$B$1605,0),_xlfn.XMATCH("*Lợi nhuận sau thuế*6 tháng*2026*",Sheet4!$1:$1,2)),0),IF(OR(_xlpm.val="",_xlpm.val=0),"",_xlpm.val/1000000000))</f>
        <v>41.128619784999998</v>
      </c>
      <c r="O636" s="10" cm="1">
        <f t="array" ref="O636">IFERROR(INDEX(Sheet4!$2:$1605,MATCH(ChiTietKQKD[[#This Row],[Mã CP]],Sheet4!$B$2:$B$1605,0),_xlfn.XMATCH("*Tăng trưởng lợi nhuận sau thuế (YoY) (Quý*",Sheet4!$1:$1,2)),"")</f>
        <v>0.58179999999999998</v>
      </c>
      <c r="P636" s="10" cm="1">
        <f t="array" ref="P636">IFERROR(INDEX(Sheet4!$2:$1605,MATCH(ChiTietKQKD[[#This Row],[Mã CP]],Sheet4!$B$2:$B$1605,0),_xlfn.XMATCH("*Tăng trưởng lợi nhuận sau thuế (YoY) (6M)*",Sheet4!$1:$1,2)),"")</f>
        <v>1.2914000000000001</v>
      </c>
      <c r="Q636" s="10" cm="1">
        <f t="array" ref="Q636">IFERROR(INDEX(Sheet4!$2:$1605,MATCH(ChiTietKQKD[[#This Row],[Mã CP]],Sheet4!$B$2:$B$1605,0),_xlfn.XMATCH("*Tăng trưởng doanh thu thuần (QoQ)*",Sheet4!$1:$1,2)),"")</f>
        <v>-0.16009999999999999</v>
      </c>
      <c r="R636" s="10" cm="1">
        <f t="array" ref="R636">IFERROR(INDEX(Sheet4!$2:$1605,MATCH(ChiTietKQKD[[#This Row],[Mã CP]],Sheet4!$B$2:$B$1605,0),_xlfn.XMATCH("*Tăng trưởng lợi nhuận sau thuế (QoQ)*",Sheet4!$1:$1,2)),"")</f>
        <v>-0.4103</v>
      </c>
    </row>
    <row r="637" spans="1:18" x14ac:dyDescent="0.25">
      <c r="A637" s="7">
        <f>Sheet4!A616</f>
        <v>615</v>
      </c>
      <c r="B637" t="str">
        <f>Sheet4!B616</f>
        <v>PSW</v>
      </c>
      <c r="C637" t="str">
        <f>Sheet4!C615</f>
        <v>Chứng khoán Dầu khí</v>
      </c>
      <c r="D637" t="str">
        <f>Sheet4!D616</f>
        <v>HNX</v>
      </c>
      <c r="E637" s="7">
        <f>Sheet4!AH616/1000000000</f>
        <v>142.80000000000001</v>
      </c>
      <c r="F637" t="str">
        <f>Sheet4!E616</f>
        <v>Nguyên vật liệu</v>
      </c>
      <c r="G637" t="str">
        <f>Sheet4!F616</f>
        <v>Hóa chất</v>
      </c>
      <c r="H637" t="str">
        <f>Sheet4!G616</f>
        <v>Sản phẩm hóa dầu, Nông dược &amp; Hóa chất khác</v>
      </c>
      <c r="I637" s="9" cm="1">
        <f t="array" ref="I63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1245.028287396</v>
      </c>
      <c r="J637" s="9" cm="1">
        <f t="array" ref="J63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2120.6717293860002</v>
      </c>
      <c r="K637" s="10" cm="1">
        <f t="array" ref="K63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0.2399</v>
      </c>
      <c r="L637" s="10" cm="1">
        <f t="array" ref="L63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8.3400000000000002E-2</v>
      </c>
      <c r="M637" s="9" cm="1">
        <f t="array" ref="M637">_xlfn.LET(_xlpm.val,IFERROR(INDEX(Sheet4!$2:$1605,MATCH(ChiTietKQKD[[#This Row],[Mã CP]],Sheet4!$B$2:$B$1605,0),_xlfn.XMATCH("*Lợi nhuận sau thuế*Q2*2026*",Sheet4!$1:$1,2)),0),IF(OR(_xlpm.val="",_xlpm.val=0),"",_xlpm.val/1000000000))</f>
        <v>18.571950587</v>
      </c>
      <c r="N637" s="9" cm="1">
        <f t="array" ref="N637">_xlfn.LET(_xlpm.val,IFERROR(INDEX(Sheet4!$2:$1605,MATCH(ChiTietKQKD[[#This Row],[Mã CP]],Sheet4!$B$2:$B$1605,0),_xlfn.XMATCH("*Lợi nhuận sau thuế*6 tháng*2026*",Sheet4!$1:$1,2)),0),IF(OR(_xlpm.val="",_xlpm.val=0),"",_xlpm.val/1000000000))</f>
        <v>25.612393425</v>
      </c>
      <c r="O637" s="10" cm="1">
        <f t="array" ref="O637">IFERROR(INDEX(Sheet4!$2:$1605,MATCH(ChiTietKQKD[[#This Row],[Mã CP]],Sheet4!$B$2:$B$1605,0),_xlfn.XMATCH("*Tăng trưởng lợi nhuận sau thuế (YoY) (Quý*",Sheet4!$1:$1,2)),"")</f>
        <v>0.62839999999999996</v>
      </c>
      <c r="P637" s="10" cm="1">
        <f t="array" ref="P637">IFERROR(INDEX(Sheet4!$2:$1605,MATCH(ChiTietKQKD[[#This Row],[Mã CP]],Sheet4!$B$2:$B$1605,0),_xlfn.XMATCH("*Tăng trưởng lợi nhuận sau thuế (YoY) (6M)*",Sheet4!$1:$1,2)),"")</f>
        <v>0.62129999999999996</v>
      </c>
      <c r="Q637" s="10" cm="1">
        <f t="array" ref="Q637">IFERROR(INDEX(Sheet4!$2:$1605,MATCH(ChiTietKQKD[[#This Row],[Mã CP]],Sheet4!$B$2:$B$1605,0),_xlfn.XMATCH("*Tăng trưởng doanh thu thuần (QoQ)*",Sheet4!$1:$1,2)),"")</f>
        <v>0.42180000000000001</v>
      </c>
      <c r="R637" s="10" cm="1">
        <f t="array" ref="R637">IFERROR(INDEX(Sheet4!$2:$1605,MATCH(ChiTietKQKD[[#This Row],[Mã CP]],Sheet4!$B$2:$B$1605,0),_xlfn.XMATCH("*Tăng trưởng lợi nhuận sau thuế (QoQ)*",Sheet4!$1:$1,2)),"")</f>
        <v>1.6378999999999999</v>
      </c>
    </row>
    <row r="638" spans="1:18" x14ac:dyDescent="0.25">
      <c r="A638" s="7">
        <f>Sheet4!A617</f>
        <v>616</v>
      </c>
      <c r="B638" t="str">
        <f>Sheet4!B617</f>
        <v>PTD</v>
      </c>
      <c r="C638" t="str">
        <f>Sheet4!C616</f>
        <v>Phân bón hóa chất dầu khí Tây Nam Bộ</v>
      </c>
      <c r="D638" t="str">
        <f>Sheet4!D617</f>
        <v>HNX</v>
      </c>
      <c r="E638" s="7">
        <f>Sheet4!AH617/1000000000</f>
        <v>73.999752099999995</v>
      </c>
      <c r="F638" t="str">
        <f>Sheet4!E617</f>
        <v>Công nghiệp</v>
      </c>
      <c r="G638" t="str">
        <f>Sheet4!F617</f>
        <v>Xây dựng và Vật liệu</v>
      </c>
      <c r="H638" t="str">
        <f>Sheet4!G617</f>
        <v>Xây dựng</v>
      </c>
      <c r="I638" s="9" t="str" cm="1">
        <f t="array" ref="I63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38" s="9" t="str" cm="1">
        <f t="array" ref="J63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38" s="10" cm="1">
        <f t="array" ref="K63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38" s="10" cm="1">
        <f t="array" ref="L63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38" s="9" t="str" cm="1">
        <f t="array" ref="M63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38" s="9" t="str" cm="1">
        <f t="array" ref="N63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38" s="10" cm="1">
        <f t="array" ref="O638">IFERROR(INDEX(Sheet4!$2:$1605,MATCH(ChiTietKQKD[[#This Row],[Mã CP]],Sheet4!$B$2:$B$1605,0),_xlfn.XMATCH("*Tăng trưởng lợi nhuận sau thuế (YoY) (Quý*",Sheet4!$1:$1,2)),"")</f>
        <v>0</v>
      </c>
      <c r="P638" s="10" cm="1">
        <f t="array" ref="P638">IFERROR(INDEX(Sheet4!$2:$1605,MATCH(ChiTietKQKD[[#This Row],[Mã CP]],Sheet4!$B$2:$B$1605,0),_xlfn.XMATCH("*Tăng trưởng lợi nhuận sau thuế (YoY) (6M)*",Sheet4!$1:$1,2)),"")</f>
        <v>0</v>
      </c>
      <c r="Q638" s="10" cm="1">
        <f t="array" ref="Q638">IFERROR(INDEX(Sheet4!$2:$1605,MATCH(ChiTietKQKD[[#This Row],[Mã CP]],Sheet4!$B$2:$B$1605,0),_xlfn.XMATCH("*Tăng trưởng doanh thu thuần (QoQ)*",Sheet4!$1:$1,2)),"")</f>
        <v>0</v>
      </c>
      <c r="R638" s="10" cm="1">
        <f t="array" ref="R638">IFERROR(INDEX(Sheet4!$2:$1605,MATCH(ChiTietKQKD[[#This Row],[Mã CP]],Sheet4!$B$2:$B$1605,0),_xlfn.XMATCH("*Tăng trưởng lợi nhuận sau thuế (QoQ)*",Sheet4!$1:$1,2)),"")</f>
        <v>0</v>
      </c>
    </row>
    <row r="639" spans="1:18" x14ac:dyDescent="0.25">
      <c r="A639" s="7">
        <f>Sheet4!A618</f>
        <v>617</v>
      </c>
      <c r="B639" t="str">
        <f>Sheet4!B618</f>
        <v>PTI</v>
      </c>
      <c r="C639" t="str">
        <f>Sheet4!C617</f>
        <v>Thiết kế-XD-TM Phúc Thịnh</v>
      </c>
      <c r="D639" t="str">
        <f>Sheet4!D618</f>
        <v>HNX</v>
      </c>
      <c r="E639" s="7">
        <f>Sheet4!AH618/1000000000</f>
        <v>2653.0268380000002</v>
      </c>
      <c r="F639" t="str">
        <f>Sheet4!E618</f>
        <v>Tài chính</v>
      </c>
      <c r="G639" t="str">
        <f>Sheet4!F618</f>
        <v>Bảo hiểm</v>
      </c>
      <c r="H639" t="str">
        <f>Sheet4!G618</f>
        <v>Bảo hiểm phi nhân thọ</v>
      </c>
      <c r="I639" s="9" t="str" cm="1">
        <f t="array" ref="I63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39" s="9" t="str" cm="1">
        <f t="array" ref="J63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39" s="10" cm="1">
        <f t="array" ref="K63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39" s="10" cm="1">
        <f t="array" ref="L63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39" s="9" t="str" cm="1">
        <f t="array" ref="M63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39" s="9" t="str" cm="1">
        <f t="array" ref="N63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39" s="10" cm="1">
        <f t="array" ref="O639">IFERROR(INDEX(Sheet4!$2:$1605,MATCH(ChiTietKQKD[[#This Row],[Mã CP]],Sheet4!$B$2:$B$1605,0),_xlfn.XMATCH("*Tăng trưởng lợi nhuận sau thuế (YoY) (Quý*",Sheet4!$1:$1,2)),"")</f>
        <v>0</v>
      </c>
      <c r="P639" s="10" cm="1">
        <f t="array" ref="P639">IFERROR(INDEX(Sheet4!$2:$1605,MATCH(ChiTietKQKD[[#This Row],[Mã CP]],Sheet4!$B$2:$B$1605,0),_xlfn.XMATCH("*Tăng trưởng lợi nhuận sau thuế (YoY) (6M)*",Sheet4!$1:$1,2)),"")</f>
        <v>0</v>
      </c>
      <c r="Q639" s="10" cm="1">
        <f t="array" ref="Q639">IFERROR(INDEX(Sheet4!$2:$1605,MATCH(ChiTietKQKD[[#This Row],[Mã CP]],Sheet4!$B$2:$B$1605,0),_xlfn.XMATCH("*Tăng trưởng doanh thu thuần (QoQ)*",Sheet4!$1:$1,2)),"")</f>
        <v>0</v>
      </c>
      <c r="R639" s="10" cm="1">
        <f t="array" ref="R639">IFERROR(INDEX(Sheet4!$2:$1605,MATCH(ChiTietKQKD[[#This Row],[Mã CP]],Sheet4!$B$2:$B$1605,0),_xlfn.XMATCH("*Tăng trưởng lợi nhuận sau thuế (QoQ)*",Sheet4!$1:$1,2)),"")</f>
        <v>0</v>
      </c>
    </row>
    <row r="640" spans="1:18" x14ac:dyDescent="0.25">
      <c r="A640" s="7">
        <f>Sheet4!A619</f>
        <v>618</v>
      </c>
      <c r="B640" t="str">
        <f>Sheet4!B619</f>
        <v>PTS</v>
      </c>
      <c r="C640" t="str">
        <f>Sheet4!C618</f>
        <v>Bảo hiểm Bưu điện</v>
      </c>
      <c r="D640" t="str">
        <f>Sheet4!D619</f>
        <v>HNX</v>
      </c>
      <c r="E640" s="7">
        <f>Sheet4!AH619/1000000000</f>
        <v>47.328000000000003</v>
      </c>
      <c r="F640" t="str">
        <f>Sheet4!E619</f>
        <v>Công nghiệp</v>
      </c>
      <c r="G640" t="str">
        <f>Sheet4!F619</f>
        <v>Hàng &amp; Dịch vụ Công nghiệp</v>
      </c>
      <c r="H640" t="str">
        <f>Sheet4!G619</f>
        <v>Dịch vụ vận tải</v>
      </c>
      <c r="I640" s="9" t="str" cm="1">
        <f t="array" ref="I64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40" s="9" t="str" cm="1">
        <f t="array" ref="J64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40" s="10" cm="1">
        <f t="array" ref="K64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40" s="10" cm="1">
        <f t="array" ref="L64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40" s="9" t="str" cm="1">
        <f t="array" ref="M64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40" s="9" t="str" cm="1">
        <f t="array" ref="N64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40" s="10" cm="1">
        <f t="array" ref="O640">IFERROR(INDEX(Sheet4!$2:$1605,MATCH(ChiTietKQKD[[#This Row],[Mã CP]],Sheet4!$B$2:$B$1605,0),_xlfn.XMATCH("*Tăng trưởng lợi nhuận sau thuế (YoY) (Quý*",Sheet4!$1:$1,2)),"")</f>
        <v>0</v>
      </c>
      <c r="P640" s="10" cm="1">
        <f t="array" ref="P640">IFERROR(INDEX(Sheet4!$2:$1605,MATCH(ChiTietKQKD[[#This Row],[Mã CP]],Sheet4!$B$2:$B$1605,0),_xlfn.XMATCH("*Tăng trưởng lợi nhuận sau thuế (YoY) (6M)*",Sheet4!$1:$1,2)),"")</f>
        <v>0</v>
      </c>
      <c r="Q640" s="10" cm="1">
        <f t="array" ref="Q640">IFERROR(INDEX(Sheet4!$2:$1605,MATCH(ChiTietKQKD[[#This Row],[Mã CP]],Sheet4!$B$2:$B$1605,0),_xlfn.XMATCH("*Tăng trưởng doanh thu thuần (QoQ)*",Sheet4!$1:$1,2)),"")</f>
        <v>0</v>
      </c>
      <c r="R640" s="10" cm="1">
        <f t="array" ref="R640">IFERROR(INDEX(Sheet4!$2:$1605,MATCH(ChiTietKQKD[[#This Row],[Mã CP]],Sheet4!$B$2:$B$1605,0),_xlfn.XMATCH("*Tăng trưởng lợi nhuận sau thuế (QoQ)*",Sheet4!$1:$1,2)),"")</f>
        <v>0</v>
      </c>
    </row>
    <row r="641" spans="1:18" x14ac:dyDescent="0.25">
      <c r="A641" s="7">
        <f>Sheet4!A620</f>
        <v>619</v>
      </c>
      <c r="B641" t="str">
        <f>Sheet4!B620</f>
        <v>PTX</v>
      </c>
      <c r="C641" t="str">
        <f>Sheet4!C619</f>
        <v>Vận tải Petrolimex HP</v>
      </c>
      <c r="D641" t="str">
        <f>Sheet4!D620</f>
        <v>HNX</v>
      </c>
      <c r="E641" s="7">
        <f>Sheet4!AH620/1000000000</f>
        <v>100.9895121</v>
      </c>
      <c r="F641" t="str">
        <f>Sheet4!E620</f>
        <v>Tiện ích Cộng đồng</v>
      </c>
      <c r="G641" t="str">
        <f>Sheet4!F620</f>
        <v>Điện, nước &amp; xăng dầu khí đốt</v>
      </c>
      <c r="H641" t="str">
        <f>Sheet4!G620</f>
        <v>Phân phối xăng dầu &amp; khí đốt</v>
      </c>
      <c r="I641" s="9" cm="1">
        <f t="array" ref="I64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717.48633283300001</v>
      </c>
      <c r="J641" s="9" cm="1">
        <f t="array" ref="J64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1260.9555903979999</v>
      </c>
      <c r="K641" s="10" cm="1">
        <f t="array" ref="K64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0.66549999999999998</v>
      </c>
      <c r="L641" s="10" cm="1">
        <f t="array" ref="L64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0.4965</v>
      </c>
      <c r="M641" s="9" cm="1">
        <f t="array" ref="M641">_xlfn.LET(_xlpm.val,IFERROR(INDEX(Sheet4!$2:$1605,MATCH(ChiTietKQKD[[#This Row],[Mã CP]],Sheet4!$B$2:$B$1605,0),_xlfn.XMATCH("*Lợi nhuận sau thuế*Q2*2026*",Sheet4!$1:$1,2)),0),IF(OR(_xlpm.val="",_xlpm.val=0),"",_xlpm.val/1000000000))</f>
        <v>4.687259944</v>
      </c>
      <c r="N641" s="9" cm="1">
        <f t="array" ref="N641">_xlfn.LET(_xlpm.val,IFERROR(INDEX(Sheet4!$2:$1605,MATCH(ChiTietKQKD[[#This Row],[Mã CP]],Sheet4!$B$2:$B$1605,0),_xlfn.XMATCH("*Lợi nhuận sau thuế*6 tháng*2026*",Sheet4!$1:$1,2)),0),IF(OR(_xlpm.val="",_xlpm.val=0),"",_xlpm.val/1000000000))</f>
        <v>16.168121367000001</v>
      </c>
      <c r="O641" s="10" cm="1">
        <f t="array" ref="O641">IFERROR(INDEX(Sheet4!$2:$1605,MATCH(ChiTietKQKD[[#This Row],[Mã CP]],Sheet4!$B$2:$B$1605,0),_xlfn.XMATCH("*Tăng trưởng lợi nhuận sau thuế (YoY) (Quý*",Sheet4!$1:$1,2)),"")</f>
        <v>0.153</v>
      </c>
      <c r="P641" s="10" cm="1">
        <f t="array" ref="P641">IFERROR(INDEX(Sheet4!$2:$1605,MATCH(ChiTietKQKD[[#This Row],[Mã CP]],Sheet4!$B$2:$B$1605,0),_xlfn.XMATCH("*Tăng trưởng lợi nhuận sau thuế (YoY) (6M)*",Sheet4!$1:$1,2)),"")</f>
        <v>0.97750000000000004</v>
      </c>
      <c r="Q641" s="10" cm="1">
        <f t="array" ref="Q641">IFERROR(INDEX(Sheet4!$2:$1605,MATCH(ChiTietKQKD[[#This Row],[Mã CP]],Sheet4!$B$2:$B$1605,0),_xlfn.XMATCH("*Tăng trưởng doanh thu thuần (QoQ)*",Sheet4!$1:$1,2)),"")</f>
        <v>0.32019999999999998</v>
      </c>
      <c r="R641" s="10" cm="1">
        <f t="array" ref="R641">IFERROR(INDEX(Sheet4!$2:$1605,MATCH(ChiTietKQKD[[#This Row],[Mã CP]],Sheet4!$B$2:$B$1605,0),_xlfn.XMATCH("*Tăng trưởng lợi nhuận sau thuế (QoQ)*",Sheet4!$1:$1,2)),"")</f>
        <v>-0.5917</v>
      </c>
    </row>
    <row r="642" spans="1:18" x14ac:dyDescent="0.25">
      <c r="A642" s="7">
        <f>Sheet4!A621</f>
        <v>620</v>
      </c>
      <c r="B642" t="str">
        <f>Sheet4!B621</f>
        <v>PV2</v>
      </c>
      <c r="C642" t="str">
        <f>Sheet4!C620</f>
        <v>VT Petrolimex Nghệ Tĩnh</v>
      </c>
      <c r="D642" t="str">
        <f>Sheet4!D621</f>
        <v>HNX</v>
      </c>
      <c r="E642" s="7">
        <f>Sheet4!AH621/1000000000</f>
        <v>66.363839999999996</v>
      </c>
      <c r="F642" t="str">
        <f>Sheet4!E621</f>
        <v>Tài chính</v>
      </c>
      <c r="G642" t="str">
        <f>Sheet4!F621</f>
        <v>Bất động sản</v>
      </c>
      <c r="H642" t="str">
        <f>Sheet4!G621</f>
        <v>Bất động sản</v>
      </c>
      <c r="I642" s="9" t="str" cm="1">
        <f t="array" ref="I64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42" s="9" t="str" cm="1">
        <f t="array" ref="J64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42" s="10" cm="1">
        <f t="array" ref="K64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42" s="10" cm="1">
        <f t="array" ref="L64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42" s="9" t="str" cm="1">
        <f t="array" ref="M64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42" s="9" t="str" cm="1">
        <f t="array" ref="N64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42" s="10" cm="1">
        <f t="array" ref="O642">IFERROR(INDEX(Sheet4!$2:$1605,MATCH(ChiTietKQKD[[#This Row],[Mã CP]],Sheet4!$B$2:$B$1605,0),_xlfn.XMATCH("*Tăng trưởng lợi nhuận sau thuế (YoY) (Quý*",Sheet4!$1:$1,2)),"")</f>
        <v>0</v>
      </c>
      <c r="P642" s="10" cm="1">
        <f t="array" ref="P642">IFERROR(INDEX(Sheet4!$2:$1605,MATCH(ChiTietKQKD[[#This Row],[Mã CP]],Sheet4!$B$2:$B$1605,0),_xlfn.XMATCH("*Tăng trưởng lợi nhuận sau thuế (YoY) (6M)*",Sheet4!$1:$1,2)),"")</f>
        <v>0</v>
      </c>
      <c r="Q642" s="10" cm="1">
        <f t="array" ref="Q642">IFERROR(INDEX(Sheet4!$2:$1605,MATCH(ChiTietKQKD[[#This Row],[Mã CP]],Sheet4!$B$2:$B$1605,0),_xlfn.XMATCH("*Tăng trưởng doanh thu thuần (QoQ)*",Sheet4!$1:$1,2)),"")</f>
        <v>0</v>
      </c>
      <c r="R642" s="10" cm="1">
        <f t="array" ref="R642">IFERROR(INDEX(Sheet4!$2:$1605,MATCH(ChiTietKQKD[[#This Row],[Mã CP]],Sheet4!$B$2:$B$1605,0),_xlfn.XMATCH("*Tăng trưởng lợi nhuận sau thuế (QoQ)*",Sheet4!$1:$1,2)),"")</f>
        <v>0</v>
      </c>
    </row>
    <row r="643" spans="1:18" x14ac:dyDescent="0.25">
      <c r="A643" s="7">
        <f>Sheet4!A622</f>
        <v>621</v>
      </c>
      <c r="B643" t="str">
        <f>Sheet4!B622</f>
        <v>PVB</v>
      </c>
      <c r="C643" t="str">
        <f>Sheet4!C621</f>
        <v>Genea Capital</v>
      </c>
      <c r="D643" t="str">
        <f>Sheet4!D622</f>
        <v>HNX</v>
      </c>
      <c r="E643" s="7">
        <f>Sheet4!AH622/1000000000</f>
        <v>444.95995879999998</v>
      </c>
      <c r="F643" t="str">
        <f>Sheet4!E622</f>
        <v>Dầu khí</v>
      </c>
      <c r="G643" t="str">
        <f>Sheet4!F622</f>
        <v>Dầu khí</v>
      </c>
      <c r="H643" t="str">
        <f>Sheet4!G622</f>
        <v>Thiết bị và Dịch vụ Dầu khí</v>
      </c>
      <c r="I643" s="9" t="str" cm="1">
        <f t="array" ref="I64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43" s="9" t="str" cm="1">
        <f t="array" ref="J64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43" s="10" cm="1">
        <f t="array" ref="K64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43" s="10" cm="1">
        <f t="array" ref="L64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43" s="9" t="str" cm="1">
        <f t="array" ref="M64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43" s="9" t="str" cm="1">
        <f t="array" ref="N64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43" s="10" cm="1">
        <f t="array" ref="O643">IFERROR(INDEX(Sheet4!$2:$1605,MATCH(ChiTietKQKD[[#This Row],[Mã CP]],Sheet4!$B$2:$B$1605,0),_xlfn.XMATCH("*Tăng trưởng lợi nhuận sau thuế (YoY) (Quý*",Sheet4!$1:$1,2)),"")</f>
        <v>0</v>
      </c>
      <c r="P643" s="10" cm="1">
        <f t="array" ref="P643">IFERROR(INDEX(Sheet4!$2:$1605,MATCH(ChiTietKQKD[[#This Row],[Mã CP]],Sheet4!$B$2:$B$1605,0),_xlfn.XMATCH("*Tăng trưởng lợi nhuận sau thuế (YoY) (6M)*",Sheet4!$1:$1,2)),"")</f>
        <v>0</v>
      </c>
      <c r="Q643" s="10" cm="1">
        <f t="array" ref="Q643">IFERROR(INDEX(Sheet4!$2:$1605,MATCH(ChiTietKQKD[[#This Row],[Mã CP]],Sheet4!$B$2:$B$1605,0),_xlfn.XMATCH("*Tăng trưởng doanh thu thuần (QoQ)*",Sheet4!$1:$1,2)),"")</f>
        <v>0</v>
      </c>
      <c r="R643" s="10" cm="1">
        <f t="array" ref="R643">IFERROR(INDEX(Sheet4!$2:$1605,MATCH(ChiTietKQKD[[#This Row],[Mã CP]],Sheet4!$B$2:$B$1605,0),_xlfn.XMATCH("*Tăng trưởng lợi nhuận sau thuế (QoQ)*",Sheet4!$1:$1,2)),"")</f>
        <v>0</v>
      </c>
    </row>
    <row r="644" spans="1:18" x14ac:dyDescent="0.25">
      <c r="A644" s="7">
        <f>Sheet4!A623</f>
        <v>622</v>
      </c>
      <c r="B644" t="str">
        <f>Sheet4!B623</f>
        <v>PVC</v>
      </c>
      <c r="C644" t="str">
        <f>Sheet4!C622</f>
        <v>Bọc ống Dầu khí Việt Nam</v>
      </c>
      <c r="D644" t="str">
        <f>Sheet4!D623</f>
        <v>HNX</v>
      </c>
      <c r="E644" s="7">
        <f>Sheet4!AH623/1000000000</f>
        <v>958.09466339999994</v>
      </c>
      <c r="F644" t="str">
        <f>Sheet4!E623</f>
        <v>Dầu khí</v>
      </c>
      <c r="G644" t="str">
        <f>Sheet4!F623</f>
        <v>Dầu khí</v>
      </c>
      <c r="H644" t="str">
        <f>Sheet4!G623</f>
        <v>Thiết bị và Dịch vụ Dầu khí</v>
      </c>
      <c r="I644" s="9" t="str" cm="1">
        <f t="array" ref="I64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44" s="9" t="str" cm="1">
        <f t="array" ref="J64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44" s="10" cm="1">
        <f t="array" ref="K64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44" s="10" cm="1">
        <f t="array" ref="L64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44" s="9" t="str" cm="1">
        <f t="array" ref="M64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44" s="9" t="str" cm="1">
        <f t="array" ref="N64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44" s="10" cm="1">
        <f t="array" ref="O644">IFERROR(INDEX(Sheet4!$2:$1605,MATCH(ChiTietKQKD[[#This Row],[Mã CP]],Sheet4!$B$2:$B$1605,0),_xlfn.XMATCH("*Tăng trưởng lợi nhuận sau thuế (YoY) (Quý*",Sheet4!$1:$1,2)),"")</f>
        <v>0</v>
      </c>
      <c r="P644" s="10" cm="1">
        <f t="array" ref="P644">IFERROR(INDEX(Sheet4!$2:$1605,MATCH(ChiTietKQKD[[#This Row],[Mã CP]],Sheet4!$B$2:$B$1605,0),_xlfn.XMATCH("*Tăng trưởng lợi nhuận sau thuế (YoY) (6M)*",Sheet4!$1:$1,2)),"")</f>
        <v>0</v>
      </c>
      <c r="Q644" s="10" cm="1">
        <f t="array" ref="Q644">IFERROR(INDEX(Sheet4!$2:$1605,MATCH(ChiTietKQKD[[#This Row],[Mã CP]],Sheet4!$B$2:$B$1605,0),_xlfn.XMATCH("*Tăng trưởng doanh thu thuần (QoQ)*",Sheet4!$1:$1,2)),"")</f>
        <v>0</v>
      </c>
      <c r="R644" s="10" cm="1">
        <f t="array" ref="R644">IFERROR(INDEX(Sheet4!$2:$1605,MATCH(ChiTietKQKD[[#This Row],[Mã CP]],Sheet4!$B$2:$B$1605,0),_xlfn.XMATCH("*Tăng trưởng lợi nhuận sau thuế (QoQ)*",Sheet4!$1:$1,2)),"")</f>
        <v>0</v>
      </c>
    </row>
    <row r="645" spans="1:18" x14ac:dyDescent="0.25">
      <c r="A645" s="7">
        <f>Sheet4!A624</f>
        <v>623</v>
      </c>
      <c r="B645" t="str">
        <f>Sheet4!B624</f>
        <v>PVG</v>
      </c>
      <c r="C645" t="str">
        <f>Sheet4!C623</f>
        <v>Hóa chất và Dịch vụ Dầu khí</v>
      </c>
      <c r="D645" t="str">
        <f>Sheet4!D624</f>
        <v>HNX</v>
      </c>
      <c r="E645" s="7">
        <f>Sheet4!AH624/1000000000</f>
        <v>223.9917232</v>
      </c>
      <c r="F645" t="str">
        <f>Sheet4!E624</f>
        <v>Tiện ích Cộng đồng</v>
      </c>
      <c r="G645" t="str">
        <f>Sheet4!F624</f>
        <v>Điện, nước &amp; xăng dầu khí đốt</v>
      </c>
      <c r="H645" t="str">
        <f>Sheet4!G624</f>
        <v>Phân phối xăng dầu &amp; khí đốt</v>
      </c>
      <c r="I645" s="9" cm="1">
        <f t="array" ref="I64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1589.1370801139999</v>
      </c>
      <c r="J645" s="9" cm="1">
        <f t="array" ref="J64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3037.1124942430001</v>
      </c>
      <c r="K645" s="10" cm="1">
        <f t="array" ref="K64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6.1999999999999998E-3</v>
      </c>
      <c r="L645" s="10" cm="1">
        <f t="array" ref="L64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2.8999999999999998E-3</v>
      </c>
      <c r="M645" s="9" cm="1">
        <f t="array" ref="M645">_xlfn.LET(_xlpm.val,IFERROR(INDEX(Sheet4!$2:$1605,MATCH(ChiTietKQKD[[#This Row],[Mã CP]],Sheet4!$B$2:$B$1605,0),_xlfn.XMATCH("*Lợi nhuận sau thuế*Q2*2026*",Sheet4!$1:$1,2)),0),IF(OR(_xlpm.val="",_xlpm.val=0),"",_xlpm.val/1000000000))</f>
        <v>5.6092160399999997</v>
      </c>
      <c r="N645" s="9" cm="1">
        <f t="array" ref="N645">_xlfn.LET(_xlpm.val,IFERROR(INDEX(Sheet4!$2:$1605,MATCH(ChiTietKQKD[[#This Row],[Mã CP]],Sheet4!$B$2:$B$1605,0),_xlfn.XMATCH("*Lợi nhuận sau thuế*6 tháng*2026*",Sheet4!$1:$1,2)),0),IF(OR(_xlpm.val="",_xlpm.val=0),"",_xlpm.val/1000000000))</f>
        <v>9.6255624799999993</v>
      </c>
      <c r="O645" s="10" cm="1">
        <f t="array" ref="O645">IFERROR(INDEX(Sheet4!$2:$1605,MATCH(ChiTietKQKD[[#This Row],[Mã CP]],Sheet4!$B$2:$B$1605,0),_xlfn.XMATCH("*Tăng trưởng lợi nhuận sau thuế (YoY) (Quý*",Sheet4!$1:$1,2)),"")</f>
        <v>0.76139999999999997</v>
      </c>
      <c r="P645" s="10" cm="1">
        <f t="array" ref="P645">IFERROR(INDEX(Sheet4!$2:$1605,MATCH(ChiTietKQKD[[#This Row],[Mã CP]],Sheet4!$B$2:$B$1605,0),_xlfn.XMATCH("*Tăng trưởng lợi nhuận sau thuế (YoY) (6M)*",Sheet4!$1:$1,2)),"")</f>
        <v>0.58709999999999996</v>
      </c>
      <c r="Q645" s="10" cm="1">
        <f t="array" ref="Q645">IFERROR(INDEX(Sheet4!$2:$1605,MATCH(ChiTietKQKD[[#This Row],[Mã CP]],Sheet4!$B$2:$B$1605,0),_xlfn.XMATCH("*Tăng trưởng doanh thu thuần (QoQ)*",Sheet4!$1:$1,2)),"")</f>
        <v>9.7500000000000003E-2</v>
      </c>
      <c r="R645" s="10" cm="1">
        <f t="array" ref="R645">IFERROR(INDEX(Sheet4!$2:$1605,MATCH(ChiTietKQKD[[#This Row],[Mã CP]],Sheet4!$B$2:$B$1605,0),_xlfn.XMATCH("*Tăng trưởng lợi nhuận sau thuế (QoQ)*",Sheet4!$1:$1,2)),"")</f>
        <v>0.39660000000000001</v>
      </c>
    </row>
    <row r="646" spans="1:18" x14ac:dyDescent="0.25">
      <c r="A646" s="7">
        <f>Sheet4!A625</f>
        <v>624</v>
      </c>
      <c r="B646" t="str">
        <f>Sheet4!B625</f>
        <v>PVI</v>
      </c>
      <c r="C646" t="str">
        <f>Sheet4!C624</f>
        <v>Kinh doanh LPG Việt Nam</v>
      </c>
      <c r="D646" t="str">
        <f>Sheet4!D625</f>
        <v>HNX</v>
      </c>
      <c r="E646" s="7">
        <f>Sheet4!AH625/1000000000</f>
        <v>16748.2934905</v>
      </c>
      <c r="F646" t="str">
        <f>Sheet4!E625</f>
        <v>Tài chính</v>
      </c>
      <c r="G646" t="str">
        <f>Sheet4!F625</f>
        <v>Bảo hiểm</v>
      </c>
      <c r="H646" t="str">
        <f>Sheet4!G625</f>
        <v>Bảo hiểm phi nhân thọ</v>
      </c>
      <c r="I646" s="9" cm="1">
        <f t="array" ref="I64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2934.1763311069999</v>
      </c>
      <c r="J646" s="9" cm="1">
        <f t="array" ref="J64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5628.7195803349996</v>
      </c>
      <c r="K646" s="10" cm="1">
        <f t="array" ref="K64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0.29530000000000001</v>
      </c>
      <c r="L646" s="10" cm="1">
        <f t="array" ref="L64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0.28510000000000002</v>
      </c>
      <c r="M646" s="9" cm="1">
        <f t="array" ref="M646">_xlfn.LET(_xlpm.val,IFERROR(INDEX(Sheet4!$2:$1605,MATCH(ChiTietKQKD[[#This Row],[Mã CP]],Sheet4!$B$2:$B$1605,0),_xlfn.XMATCH("*Lợi nhuận sau thuế*Q2*2026*",Sheet4!$1:$1,2)),0),IF(OR(_xlpm.val="",_xlpm.val=0),"",_xlpm.val/1000000000))</f>
        <v>414.83731711299998</v>
      </c>
      <c r="N646" s="9" cm="1">
        <f t="array" ref="N646">_xlfn.LET(_xlpm.val,IFERROR(INDEX(Sheet4!$2:$1605,MATCH(ChiTietKQKD[[#This Row],[Mã CP]],Sheet4!$B$2:$B$1605,0),_xlfn.XMATCH("*Lợi nhuận sau thuế*6 tháng*2026*",Sheet4!$1:$1,2)),0),IF(OR(_xlpm.val="",_xlpm.val=0),"",_xlpm.val/1000000000))</f>
        <v>960.89416466900002</v>
      </c>
      <c r="O646" s="10" cm="1">
        <f t="array" ref="O646">IFERROR(INDEX(Sheet4!$2:$1605,MATCH(ChiTietKQKD[[#This Row],[Mã CP]],Sheet4!$B$2:$B$1605,0),_xlfn.XMATCH("*Tăng trưởng lợi nhuận sau thuế (YoY) (Quý*",Sheet4!$1:$1,2)),"")</f>
        <v>4.7999999999999996E-3</v>
      </c>
      <c r="P646" s="10" cm="1">
        <f t="array" ref="P646">IFERROR(INDEX(Sheet4!$2:$1605,MATCH(ChiTietKQKD[[#This Row],[Mã CP]],Sheet4!$B$2:$B$1605,0),_xlfn.XMATCH("*Tăng trưởng lợi nhuận sau thuế (YoY) (6M)*",Sheet4!$1:$1,2)),"")</f>
        <v>0.29389999999999999</v>
      </c>
      <c r="Q646" s="10" cm="1">
        <f t="array" ref="Q646">IFERROR(INDEX(Sheet4!$2:$1605,MATCH(ChiTietKQKD[[#This Row],[Mã CP]],Sheet4!$B$2:$B$1605,0),_xlfn.XMATCH("*Tăng trưởng doanh thu thuần (QoQ)*",Sheet4!$1:$1,2)),"")</f>
        <v>8.0699999999999994E-2</v>
      </c>
      <c r="R646" s="10" cm="1">
        <f t="array" ref="R646">IFERROR(INDEX(Sheet4!$2:$1605,MATCH(ChiTietKQKD[[#This Row],[Mã CP]],Sheet4!$B$2:$B$1605,0),_xlfn.XMATCH("*Tăng trưởng lợi nhuận sau thuế (QoQ)*",Sheet4!$1:$1,2)),"")</f>
        <v>-0.25190000000000001</v>
      </c>
    </row>
    <row r="647" spans="1:18" x14ac:dyDescent="0.25">
      <c r="A647" s="7">
        <f>Sheet4!A626</f>
        <v>625</v>
      </c>
      <c r="B647" t="str">
        <f>Sheet4!B626</f>
        <v>PVS</v>
      </c>
      <c r="C647" t="str">
        <f>Sheet4!C625</f>
        <v>PVI Holdings</v>
      </c>
      <c r="D647" t="str">
        <f>Sheet4!D626</f>
        <v>HNX</v>
      </c>
      <c r="E647" s="7">
        <f>Sheet4!AH626/1000000000</f>
        <v>16928.005276899999</v>
      </c>
      <c r="F647" t="str">
        <f>Sheet4!E626</f>
        <v>Dầu khí</v>
      </c>
      <c r="G647" t="str">
        <f>Sheet4!F626</f>
        <v>Dầu khí</v>
      </c>
      <c r="H647" t="str">
        <f>Sheet4!G626</f>
        <v>Thiết bị và Dịch vụ Dầu khí</v>
      </c>
      <c r="I647" s="9" t="str" cm="1">
        <f t="array" ref="I64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47" s="9" t="str" cm="1">
        <f t="array" ref="J64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47" s="10" cm="1">
        <f t="array" ref="K64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47" s="10" cm="1">
        <f t="array" ref="L64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47" s="9" t="str" cm="1">
        <f t="array" ref="M64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47" s="9" t="str" cm="1">
        <f t="array" ref="N64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47" s="10" cm="1">
        <f t="array" ref="O647">IFERROR(INDEX(Sheet4!$2:$1605,MATCH(ChiTietKQKD[[#This Row],[Mã CP]],Sheet4!$B$2:$B$1605,0),_xlfn.XMATCH("*Tăng trưởng lợi nhuận sau thuế (YoY) (Quý*",Sheet4!$1:$1,2)),"")</f>
        <v>0</v>
      </c>
      <c r="P647" s="10" cm="1">
        <f t="array" ref="P647">IFERROR(INDEX(Sheet4!$2:$1605,MATCH(ChiTietKQKD[[#This Row],[Mã CP]],Sheet4!$B$2:$B$1605,0),_xlfn.XMATCH("*Tăng trưởng lợi nhuận sau thuế (YoY) (6M)*",Sheet4!$1:$1,2)),"")</f>
        <v>0</v>
      </c>
      <c r="Q647" s="10" cm="1">
        <f t="array" ref="Q647">IFERROR(INDEX(Sheet4!$2:$1605,MATCH(ChiTietKQKD[[#This Row],[Mã CP]],Sheet4!$B$2:$B$1605,0),_xlfn.XMATCH("*Tăng trưởng doanh thu thuần (QoQ)*",Sheet4!$1:$1,2)),"")</f>
        <v>0</v>
      </c>
      <c r="R647" s="10" cm="1">
        <f t="array" ref="R647">IFERROR(INDEX(Sheet4!$2:$1605,MATCH(ChiTietKQKD[[#This Row],[Mã CP]],Sheet4!$B$2:$B$1605,0),_xlfn.XMATCH("*Tăng trưởng lợi nhuận sau thuế (QoQ)*",Sheet4!$1:$1,2)),"")</f>
        <v>0</v>
      </c>
    </row>
    <row r="648" spans="1:18" x14ac:dyDescent="0.25">
      <c r="A648" s="7">
        <f>Sheet4!A627</f>
        <v>626</v>
      </c>
      <c r="B648" t="str">
        <f>Sheet4!B627</f>
        <v>PXK</v>
      </c>
      <c r="C648" t="str">
        <f>Sheet4!C626</f>
        <v>DVKT Dầu khí PTSC</v>
      </c>
      <c r="D648" t="str">
        <f>Sheet4!D627</f>
        <v>HNX</v>
      </c>
      <c r="E648" s="7">
        <f>Sheet4!AH627/1000000000</f>
        <v>0</v>
      </c>
      <c r="F648" t="str">
        <f>Sheet4!E627</f>
        <v>Công nghiệp</v>
      </c>
      <c r="G648" t="str">
        <f>Sheet4!F627</f>
        <v>Xây dựng và Vật liệu</v>
      </c>
      <c r="H648" t="str">
        <f>Sheet4!G627</f>
        <v>Xây dựng</v>
      </c>
      <c r="I648" s="9" t="str" cm="1">
        <f t="array" ref="I64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48" s="9" t="str" cm="1">
        <f t="array" ref="J64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48" s="10" cm="1">
        <f t="array" ref="K64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48" s="10" cm="1">
        <f t="array" ref="L64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48" s="9" t="str" cm="1">
        <f t="array" ref="M64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48" s="9" t="str" cm="1">
        <f t="array" ref="N64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48" s="10" cm="1">
        <f t="array" ref="O648">IFERROR(INDEX(Sheet4!$2:$1605,MATCH(ChiTietKQKD[[#This Row],[Mã CP]],Sheet4!$B$2:$B$1605,0),_xlfn.XMATCH("*Tăng trưởng lợi nhuận sau thuế (YoY) (Quý*",Sheet4!$1:$1,2)),"")</f>
        <v>0</v>
      </c>
      <c r="P648" s="10" cm="1">
        <f t="array" ref="P648">IFERROR(INDEX(Sheet4!$2:$1605,MATCH(ChiTietKQKD[[#This Row],[Mã CP]],Sheet4!$B$2:$B$1605,0),_xlfn.XMATCH("*Tăng trưởng lợi nhuận sau thuế (YoY) (6M)*",Sheet4!$1:$1,2)),"")</f>
        <v>0</v>
      </c>
      <c r="Q648" s="10" cm="1">
        <f t="array" ref="Q648">IFERROR(INDEX(Sheet4!$2:$1605,MATCH(ChiTietKQKD[[#This Row],[Mã CP]],Sheet4!$B$2:$B$1605,0),_xlfn.XMATCH("*Tăng trưởng doanh thu thuần (QoQ)*",Sheet4!$1:$1,2)),"")</f>
        <v>0</v>
      </c>
      <c r="R648" s="10" cm="1">
        <f t="array" ref="R648">IFERROR(INDEX(Sheet4!$2:$1605,MATCH(ChiTietKQKD[[#This Row],[Mã CP]],Sheet4!$B$2:$B$1605,0),_xlfn.XMATCH("*Tăng trưởng lợi nhuận sau thuế (QoQ)*",Sheet4!$1:$1,2)),"")</f>
        <v>0</v>
      </c>
    </row>
    <row r="649" spans="1:18" x14ac:dyDescent="0.25">
      <c r="A649" s="7">
        <f>Sheet4!A628</f>
        <v>627</v>
      </c>
      <c r="B649" t="str">
        <f>Sheet4!B628</f>
        <v>QHD</v>
      </c>
      <c r="C649" t="str">
        <f>Sheet4!C627</f>
        <v>XL dầu khí Kinh Bắc</v>
      </c>
      <c r="D649" t="str">
        <f>Sheet4!D628</f>
        <v>HNX</v>
      </c>
      <c r="E649" s="7">
        <f>Sheet4!AH628/1000000000</f>
        <v>324.84496100000001</v>
      </c>
      <c r="F649" t="str">
        <f>Sheet4!E628</f>
        <v>Công nghiệp</v>
      </c>
      <c r="G649" t="str">
        <f>Sheet4!F628</f>
        <v>Hàng &amp; Dịch vụ Công nghiệp</v>
      </c>
      <c r="H649" t="str">
        <f>Sheet4!G628</f>
        <v>Công nghiệp phức hợp</v>
      </c>
      <c r="I649" s="9" cm="1">
        <f t="array" ref="I64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150.523226163</v>
      </c>
      <c r="J649" s="9" cm="1">
        <f t="array" ref="J64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282.26885033500002</v>
      </c>
      <c r="K649" s="10" cm="1">
        <f t="array" ref="K64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0.27739999999999998</v>
      </c>
      <c r="L649" s="10" cm="1">
        <f t="array" ref="L64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49" s="9" cm="1">
        <f t="array" ref="M649">_xlfn.LET(_xlpm.val,IFERROR(INDEX(Sheet4!$2:$1605,MATCH(ChiTietKQKD[[#This Row],[Mã CP]],Sheet4!$B$2:$B$1605,0),_xlfn.XMATCH("*Lợi nhuận sau thuế*Q2*2026*",Sheet4!$1:$1,2)),0),IF(OR(_xlpm.val="",_xlpm.val=0),"",_xlpm.val/1000000000))</f>
        <v>11.661718930999999</v>
      </c>
      <c r="N649" s="9" cm="1">
        <f t="array" ref="N649">_xlfn.LET(_xlpm.val,IFERROR(INDEX(Sheet4!$2:$1605,MATCH(ChiTietKQKD[[#This Row],[Mã CP]],Sheet4!$B$2:$B$1605,0),_xlfn.XMATCH("*Lợi nhuận sau thuế*6 tháng*2026*",Sheet4!$1:$1,2)),0),IF(OR(_xlpm.val="",_xlpm.val=0),"",_xlpm.val/1000000000))</f>
        <v>19.741018646000001</v>
      </c>
      <c r="O649" s="10" cm="1">
        <f t="array" ref="O649">IFERROR(INDEX(Sheet4!$2:$1605,MATCH(ChiTietKQKD[[#This Row],[Mã CP]],Sheet4!$B$2:$B$1605,0),_xlfn.XMATCH("*Tăng trưởng lợi nhuận sau thuế (YoY) (Quý*",Sheet4!$1:$1,2)),"")</f>
        <v>1.0395000000000001</v>
      </c>
      <c r="P649" s="10" cm="1">
        <f t="array" ref="P649">IFERROR(INDEX(Sheet4!$2:$1605,MATCH(ChiTietKQKD[[#This Row],[Mã CP]],Sheet4!$B$2:$B$1605,0),_xlfn.XMATCH("*Tăng trưởng lợi nhuận sau thuế (YoY) (6M)*",Sheet4!$1:$1,2)),"")</f>
        <v>0</v>
      </c>
      <c r="Q649" s="10" cm="1">
        <f t="array" ref="Q649">IFERROR(INDEX(Sheet4!$2:$1605,MATCH(ChiTietKQKD[[#This Row],[Mã CP]],Sheet4!$B$2:$B$1605,0),_xlfn.XMATCH("*Tăng trưởng doanh thu thuần (QoQ)*",Sheet4!$1:$1,2)),"")</f>
        <v>0.14249999999999999</v>
      </c>
      <c r="R649" s="10" cm="1">
        <f t="array" ref="R649">IFERROR(INDEX(Sheet4!$2:$1605,MATCH(ChiTietKQKD[[#This Row],[Mã CP]],Sheet4!$B$2:$B$1605,0),_xlfn.XMATCH("*Tăng trưởng lợi nhuận sau thuế (QoQ)*",Sheet4!$1:$1,2)),"")</f>
        <v>0.44340000000000002</v>
      </c>
    </row>
    <row r="650" spans="1:18" x14ac:dyDescent="0.25">
      <c r="A650" s="7">
        <f>Sheet4!A629</f>
        <v>628</v>
      </c>
      <c r="B650" t="str">
        <f>Sheet4!B629</f>
        <v>QST</v>
      </c>
      <c r="C650" t="str">
        <f>Sheet4!C628</f>
        <v>Que hàn Việt Đức</v>
      </c>
      <c r="D650" t="str">
        <f>Sheet4!D629</f>
        <v>HNX</v>
      </c>
      <c r="E650" s="7">
        <f>Sheet4!AH629/1000000000</f>
        <v>92.34</v>
      </c>
      <c r="F650" t="str">
        <f>Sheet4!E629</f>
        <v>Dịch vụ Tiêu dùng</v>
      </c>
      <c r="G650" t="str">
        <f>Sheet4!F629</f>
        <v>Truyền thông</v>
      </c>
      <c r="H650" t="str">
        <f>Sheet4!G629</f>
        <v>Sách, ấn bản &amp; sản phẩm văn hóa</v>
      </c>
      <c r="I650" s="9" t="str" cm="1">
        <f t="array" ref="I65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50" s="9" t="str" cm="1">
        <f t="array" ref="J65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50" s="10" cm="1">
        <f t="array" ref="K65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50" s="10" cm="1">
        <f t="array" ref="L65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50" s="9" t="str" cm="1">
        <f t="array" ref="M65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50" s="9" t="str" cm="1">
        <f t="array" ref="N65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50" s="10" cm="1">
        <f t="array" ref="O650">IFERROR(INDEX(Sheet4!$2:$1605,MATCH(ChiTietKQKD[[#This Row],[Mã CP]],Sheet4!$B$2:$B$1605,0),_xlfn.XMATCH("*Tăng trưởng lợi nhuận sau thuế (YoY) (Quý*",Sheet4!$1:$1,2)),"")</f>
        <v>0</v>
      </c>
      <c r="P650" s="10" cm="1">
        <f t="array" ref="P650">IFERROR(INDEX(Sheet4!$2:$1605,MATCH(ChiTietKQKD[[#This Row],[Mã CP]],Sheet4!$B$2:$B$1605,0),_xlfn.XMATCH("*Tăng trưởng lợi nhuận sau thuế (YoY) (6M)*",Sheet4!$1:$1,2)),"")</f>
        <v>0</v>
      </c>
      <c r="Q650" s="10" cm="1">
        <f t="array" ref="Q650">IFERROR(INDEX(Sheet4!$2:$1605,MATCH(ChiTietKQKD[[#This Row],[Mã CP]],Sheet4!$B$2:$B$1605,0),_xlfn.XMATCH("*Tăng trưởng doanh thu thuần (QoQ)*",Sheet4!$1:$1,2)),"")</f>
        <v>0</v>
      </c>
      <c r="R650" s="10" cm="1">
        <f t="array" ref="R650">IFERROR(INDEX(Sheet4!$2:$1605,MATCH(ChiTietKQKD[[#This Row],[Mã CP]],Sheet4!$B$2:$B$1605,0),_xlfn.XMATCH("*Tăng trưởng lợi nhuận sau thuế (QoQ)*",Sheet4!$1:$1,2)),"")</f>
        <v>0</v>
      </c>
    </row>
    <row r="651" spans="1:18" x14ac:dyDescent="0.25">
      <c r="A651" s="7">
        <f>Sheet4!A630</f>
        <v>629</v>
      </c>
      <c r="B651" t="str">
        <f>Sheet4!B630</f>
        <v>QTC</v>
      </c>
      <c r="C651" t="str">
        <f>Sheet4!C629</f>
        <v>Sách Quảng Ninh</v>
      </c>
      <c r="D651" t="str">
        <f>Sheet4!D630</f>
        <v>HNX</v>
      </c>
      <c r="E651" s="7">
        <f>Sheet4!AH630/1000000000</f>
        <v>94.77</v>
      </c>
      <c r="F651" t="str">
        <f>Sheet4!E630</f>
        <v>Công nghiệp</v>
      </c>
      <c r="G651" t="str">
        <f>Sheet4!F630</f>
        <v>Xây dựng và Vật liệu</v>
      </c>
      <c r="H651" t="str">
        <f>Sheet4!G630</f>
        <v>Xây dựng</v>
      </c>
      <c r="I651" s="9" t="str" cm="1">
        <f t="array" ref="I65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51" s="9" t="str" cm="1">
        <f t="array" ref="J65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51" s="10" cm="1">
        <f t="array" ref="K65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51" s="10" cm="1">
        <f t="array" ref="L65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51" s="9" t="str" cm="1">
        <f t="array" ref="M65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51" s="9" t="str" cm="1">
        <f t="array" ref="N65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51" s="10" cm="1">
        <f t="array" ref="O651">IFERROR(INDEX(Sheet4!$2:$1605,MATCH(ChiTietKQKD[[#This Row],[Mã CP]],Sheet4!$B$2:$B$1605,0),_xlfn.XMATCH("*Tăng trưởng lợi nhuận sau thuế (YoY) (Quý*",Sheet4!$1:$1,2)),"")</f>
        <v>0</v>
      </c>
      <c r="P651" s="10" cm="1">
        <f t="array" ref="P651">IFERROR(INDEX(Sheet4!$2:$1605,MATCH(ChiTietKQKD[[#This Row],[Mã CP]],Sheet4!$B$2:$B$1605,0),_xlfn.XMATCH("*Tăng trưởng lợi nhuận sau thuế (YoY) (6M)*",Sheet4!$1:$1,2)),"")</f>
        <v>0</v>
      </c>
      <c r="Q651" s="10" cm="1">
        <f t="array" ref="Q651">IFERROR(INDEX(Sheet4!$2:$1605,MATCH(ChiTietKQKD[[#This Row],[Mã CP]],Sheet4!$B$2:$B$1605,0),_xlfn.XMATCH("*Tăng trưởng doanh thu thuần (QoQ)*",Sheet4!$1:$1,2)),"")</f>
        <v>0</v>
      </c>
      <c r="R651" s="10" cm="1">
        <f t="array" ref="R651">IFERROR(INDEX(Sheet4!$2:$1605,MATCH(ChiTietKQKD[[#This Row],[Mã CP]],Sheet4!$B$2:$B$1605,0),_xlfn.XMATCH("*Tăng trưởng lợi nhuận sau thuế (QoQ)*",Sheet4!$1:$1,2)),"")</f>
        <v>0</v>
      </c>
    </row>
    <row r="652" spans="1:18" x14ac:dyDescent="0.25">
      <c r="A652" s="7">
        <f>Sheet4!A631</f>
        <v>630</v>
      </c>
      <c r="B652" t="str">
        <f>Sheet4!B631</f>
        <v>RCL</v>
      </c>
      <c r="C652" t="str">
        <f>Sheet4!C630</f>
        <v>GTVT Quảng Nam</v>
      </c>
      <c r="D652" t="str">
        <f>Sheet4!D631</f>
        <v>HNX</v>
      </c>
      <c r="E652" s="7">
        <f>Sheet4!AH631/1000000000</f>
        <v>161.48515040000001</v>
      </c>
      <c r="F652" t="str">
        <f>Sheet4!E631</f>
        <v>Tài chính</v>
      </c>
      <c r="G652" t="str">
        <f>Sheet4!F631</f>
        <v>Bất động sản</v>
      </c>
      <c r="H652" t="str">
        <f>Sheet4!G631</f>
        <v>Bất động sản</v>
      </c>
      <c r="I652" s="9" cm="1">
        <f t="array" ref="I65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2.4126738830000001</v>
      </c>
      <c r="J652" s="9" cm="1">
        <f t="array" ref="J65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4.8747733010000003</v>
      </c>
      <c r="K652" s="10" cm="1">
        <f t="array" ref="K65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-0.49469999999999997</v>
      </c>
      <c r="L652" s="10" cm="1">
        <f t="array" ref="L65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-0.3301</v>
      </c>
      <c r="M652" s="9" cm="1">
        <f t="array" ref="M652">_xlfn.LET(_xlpm.val,IFERROR(INDEX(Sheet4!$2:$1605,MATCH(ChiTietKQKD[[#This Row],[Mã CP]],Sheet4!$B$2:$B$1605,0),_xlfn.XMATCH("*Lợi nhuận sau thuế*Q2*2026*",Sheet4!$1:$1,2)),0),IF(OR(_xlpm.val="",_xlpm.val=0),"",_xlpm.val/1000000000))</f>
        <v>2.56142066</v>
      </c>
      <c r="N652" s="9" cm="1">
        <f t="array" ref="N652">_xlfn.LET(_xlpm.val,IFERROR(INDEX(Sheet4!$2:$1605,MATCH(ChiTietKQKD[[#This Row],[Mã CP]],Sheet4!$B$2:$B$1605,0),_xlfn.XMATCH("*Lợi nhuận sau thuế*6 tháng*2026*",Sheet4!$1:$1,2)),0),IF(OR(_xlpm.val="",_xlpm.val=0),"",_xlpm.val/1000000000))</f>
        <v>2.6738063790000002</v>
      </c>
      <c r="O652" s="10" cm="1">
        <f t="array" ref="O652">IFERROR(INDEX(Sheet4!$2:$1605,MATCH(ChiTietKQKD[[#This Row],[Mã CP]],Sheet4!$B$2:$B$1605,0),_xlfn.XMATCH("*Tăng trưởng lợi nhuận sau thuế (YoY) (Quý*",Sheet4!$1:$1,2)),"")</f>
        <v>3.5996999999999999</v>
      </c>
      <c r="P652" s="10" cm="1">
        <f t="array" ref="P652">IFERROR(INDEX(Sheet4!$2:$1605,MATCH(ChiTietKQKD[[#This Row],[Mã CP]],Sheet4!$B$2:$B$1605,0),_xlfn.XMATCH("*Tăng trưởng lợi nhuận sau thuế (YoY) (6M)*",Sheet4!$1:$1,2)),"")</f>
        <v>3.2995000000000001</v>
      </c>
      <c r="Q652" s="10" cm="1">
        <f t="array" ref="Q652">IFERROR(INDEX(Sheet4!$2:$1605,MATCH(ChiTietKQKD[[#This Row],[Mã CP]],Sheet4!$B$2:$B$1605,0),_xlfn.XMATCH("*Tăng trưởng doanh thu thuần (QoQ)*",Sheet4!$1:$1,2)),"")</f>
        <v>-2.01E-2</v>
      </c>
      <c r="R652" s="10" cm="1">
        <f t="array" ref="R652">IFERROR(INDEX(Sheet4!$2:$1605,MATCH(ChiTietKQKD[[#This Row],[Mã CP]],Sheet4!$B$2:$B$1605,0),_xlfn.XMATCH("*Tăng trưởng lợi nhuận sau thuế (QoQ)*",Sheet4!$1:$1,2)),"")</f>
        <v>21.7913</v>
      </c>
    </row>
    <row r="653" spans="1:18" x14ac:dyDescent="0.25">
      <c r="A653" s="7">
        <f>Sheet4!A632</f>
        <v>631</v>
      </c>
      <c r="B653" t="str">
        <f>Sheet4!B632</f>
        <v>S55</v>
      </c>
      <c r="C653" t="str">
        <f>Sheet4!C631</f>
        <v>Địa Ốc Chợ Lớn</v>
      </c>
      <c r="D653" t="str">
        <f>Sheet4!D632</f>
        <v>HNX</v>
      </c>
      <c r="E653" s="7">
        <f>Sheet4!AH632/1000000000</f>
        <v>659</v>
      </c>
      <c r="F653" t="str">
        <f>Sheet4!E632</f>
        <v>Công nghiệp</v>
      </c>
      <c r="G653" t="str">
        <f>Sheet4!F632</f>
        <v>Xây dựng và Vật liệu</v>
      </c>
      <c r="H653" t="str">
        <f>Sheet4!G632</f>
        <v>Xây dựng</v>
      </c>
      <c r="I653" s="9" t="str" cm="1">
        <f t="array" ref="I65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53" s="9" t="str" cm="1">
        <f t="array" ref="J65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53" s="10" cm="1">
        <f t="array" ref="K65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53" s="10" cm="1">
        <f t="array" ref="L65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53" s="9" t="str" cm="1">
        <f t="array" ref="M65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53" s="9" t="str" cm="1">
        <f t="array" ref="N65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53" s="10" cm="1">
        <f t="array" ref="O653">IFERROR(INDEX(Sheet4!$2:$1605,MATCH(ChiTietKQKD[[#This Row],[Mã CP]],Sheet4!$B$2:$B$1605,0),_xlfn.XMATCH("*Tăng trưởng lợi nhuận sau thuế (YoY) (Quý*",Sheet4!$1:$1,2)),"")</f>
        <v>0</v>
      </c>
      <c r="P653" s="10" cm="1">
        <f t="array" ref="P653">IFERROR(INDEX(Sheet4!$2:$1605,MATCH(ChiTietKQKD[[#This Row],[Mã CP]],Sheet4!$B$2:$B$1605,0),_xlfn.XMATCH("*Tăng trưởng lợi nhuận sau thuế (YoY) (6M)*",Sheet4!$1:$1,2)),"")</f>
        <v>0</v>
      </c>
      <c r="Q653" s="10" cm="1">
        <f t="array" ref="Q653">IFERROR(INDEX(Sheet4!$2:$1605,MATCH(ChiTietKQKD[[#This Row],[Mã CP]],Sheet4!$B$2:$B$1605,0),_xlfn.XMATCH("*Tăng trưởng doanh thu thuần (QoQ)*",Sheet4!$1:$1,2)),"")</f>
        <v>0</v>
      </c>
      <c r="R653" s="10" cm="1">
        <f t="array" ref="R653">IFERROR(INDEX(Sheet4!$2:$1605,MATCH(ChiTietKQKD[[#This Row],[Mã CP]],Sheet4!$B$2:$B$1605,0),_xlfn.XMATCH("*Tăng trưởng lợi nhuận sau thuế (QoQ)*",Sheet4!$1:$1,2)),"")</f>
        <v>0</v>
      </c>
    </row>
    <row r="654" spans="1:18" x14ac:dyDescent="0.25">
      <c r="A654" s="7">
        <f>Sheet4!A633</f>
        <v>632</v>
      </c>
      <c r="B654" t="str">
        <f>Sheet4!B633</f>
        <v>S99</v>
      </c>
      <c r="C654" t="str">
        <f>Sheet4!C632</f>
        <v>Sông Đà 505</v>
      </c>
      <c r="D654" t="str">
        <f>Sheet4!D633</f>
        <v>HNX</v>
      </c>
      <c r="E654" s="7">
        <f>Sheet4!AH633/1000000000</f>
        <v>848.22383520000005</v>
      </c>
      <c r="F654" t="str">
        <f>Sheet4!E633</f>
        <v>Công nghiệp</v>
      </c>
      <c r="G654" t="str">
        <f>Sheet4!F633</f>
        <v>Xây dựng và Vật liệu</v>
      </c>
      <c r="H654" t="str">
        <f>Sheet4!G633</f>
        <v>Xây dựng</v>
      </c>
      <c r="I654" s="9" t="str" cm="1">
        <f t="array" ref="I65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54" s="9" t="str" cm="1">
        <f t="array" ref="J65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54" s="10" cm="1">
        <f t="array" ref="K65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54" s="10" cm="1">
        <f t="array" ref="L65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54" s="9" t="str" cm="1">
        <f t="array" ref="M65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54" s="9" t="str" cm="1">
        <f t="array" ref="N65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54" s="10" cm="1">
        <f t="array" ref="O654">IFERROR(INDEX(Sheet4!$2:$1605,MATCH(ChiTietKQKD[[#This Row],[Mã CP]],Sheet4!$B$2:$B$1605,0),_xlfn.XMATCH("*Tăng trưởng lợi nhuận sau thuế (YoY) (Quý*",Sheet4!$1:$1,2)),"")</f>
        <v>0</v>
      </c>
      <c r="P654" s="10" cm="1">
        <f t="array" ref="P654">IFERROR(INDEX(Sheet4!$2:$1605,MATCH(ChiTietKQKD[[#This Row],[Mã CP]],Sheet4!$B$2:$B$1605,0),_xlfn.XMATCH("*Tăng trưởng lợi nhuận sau thuế (YoY) (6M)*",Sheet4!$1:$1,2)),"")</f>
        <v>0</v>
      </c>
      <c r="Q654" s="10" cm="1">
        <f t="array" ref="Q654">IFERROR(INDEX(Sheet4!$2:$1605,MATCH(ChiTietKQKD[[#This Row],[Mã CP]],Sheet4!$B$2:$B$1605,0),_xlfn.XMATCH("*Tăng trưởng doanh thu thuần (QoQ)*",Sheet4!$1:$1,2)),"")</f>
        <v>0</v>
      </c>
      <c r="R654" s="10" cm="1">
        <f t="array" ref="R654">IFERROR(INDEX(Sheet4!$2:$1605,MATCH(ChiTietKQKD[[#This Row],[Mã CP]],Sheet4!$B$2:$B$1605,0),_xlfn.XMATCH("*Tăng trưởng lợi nhuận sau thuế (QoQ)*",Sheet4!$1:$1,2)),"")</f>
        <v>0</v>
      </c>
    </row>
    <row r="655" spans="1:18" x14ac:dyDescent="0.25">
      <c r="A655" s="7">
        <f>Sheet4!A634</f>
        <v>633</v>
      </c>
      <c r="B655" t="str">
        <f>Sheet4!B634</f>
        <v>SAF</v>
      </c>
      <c r="C655" t="str">
        <f>Sheet4!C633</f>
        <v>Sông Đà 9.09 (SCI)</v>
      </c>
      <c r="D655" t="str">
        <f>Sheet4!D634</f>
        <v>HNX</v>
      </c>
      <c r="E655" s="7">
        <f>Sheet4!AH634/1000000000</f>
        <v>662.56245000000001</v>
      </c>
      <c r="F655" t="str">
        <f>Sheet4!E634</f>
        <v>Hàng Tiêu dùng</v>
      </c>
      <c r="G655" t="str">
        <f>Sheet4!F634</f>
        <v>Thực phẩm và đồ uống</v>
      </c>
      <c r="H655" t="str">
        <f>Sheet4!G634</f>
        <v>Thực phẩm</v>
      </c>
      <c r="I655" s="9" cm="1">
        <f t="array" ref="I65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177.59248757700001</v>
      </c>
      <c r="J655" s="9" cm="1">
        <f t="array" ref="J65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369.47170432199999</v>
      </c>
      <c r="K655" s="10" cm="1">
        <f t="array" ref="K65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-6.5699999999999995E-2</v>
      </c>
      <c r="L655" s="10" cm="1">
        <f t="array" ref="L65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1.38E-2</v>
      </c>
      <c r="M655" s="9" cm="1">
        <f t="array" ref="M655">_xlfn.LET(_xlpm.val,IFERROR(INDEX(Sheet4!$2:$1605,MATCH(ChiTietKQKD[[#This Row],[Mã CP]],Sheet4!$B$2:$B$1605,0),_xlfn.XMATCH("*Lợi nhuận sau thuế*Q2*2026*",Sheet4!$1:$1,2)),0),IF(OR(_xlpm.val="",_xlpm.val=0),"",_xlpm.val/1000000000))</f>
        <v>11.919388809999999</v>
      </c>
      <c r="N655" s="9" cm="1">
        <f t="array" ref="N655">_xlfn.LET(_xlpm.val,IFERROR(INDEX(Sheet4!$2:$1605,MATCH(ChiTietKQKD[[#This Row],[Mã CP]],Sheet4!$B$2:$B$1605,0),_xlfn.XMATCH("*Lợi nhuận sau thuế*6 tháng*2026*",Sheet4!$1:$1,2)),0),IF(OR(_xlpm.val="",_xlpm.val=0),"",_xlpm.val/1000000000))</f>
        <v>24.395396753</v>
      </c>
      <c r="O655" s="10" cm="1">
        <f t="array" ref="O655">IFERROR(INDEX(Sheet4!$2:$1605,MATCH(ChiTietKQKD[[#This Row],[Mã CP]],Sheet4!$B$2:$B$1605,0),_xlfn.XMATCH("*Tăng trưởng lợi nhuận sau thuế (YoY) (Quý*",Sheet4!$1:$1,2)),"")</f>
        <v>-9.7000000000000003E-3</v>
      </c>
      <c r="P655" s="10" cm="1">
        <f t="array" ref="P655">IFERROR(INDEX(Sheet4!$2:$1605,MATCH(ChiTietKQKD[[#This Row],[Mã CP]],Sheet4!$B$2:$B$1605,0),_xlfn.XMATCH("*Tăng trưởng lợi nhuận sau thuế (YoY) (6M)*",Sheet4!$1:$1,2)),"")</f>
        <v>-2.3999999999999998E-3</v>
      </c>
      <c r="Q655" s="10" cm="1">
        <f t="array" ref="Q655">IFERROR(INDEX(Sheet4!$2:$1605,MATCH(ChiTietKQKD[[#This Row],[Mã CP]],Sheet4!$B$2:$B$1605,0),_xlfn.XMATCH("*Tăng trưởng doanh thu thuần (QoQ)*",Sheet4!$1:$1,2)),"")</f>
        <v>-7.4499999999999997E-2</v>
      </c>
      <c r="R655" s="10" cm="1">
        <f t="array" ref="R655">IFERROR(INDEX(Sheet4!$2:$1605,MATCH(ChiTietKQKD[[#This Row],[Mã CP]],Sheet4!$B$2:$B$1605,0),_xlfn.XMATCH("*Tăng trưởng lợi nhuận sau thuế (QoQ)*",Sheet4!$1:$1,2)),"")</f>
        <v>-4.4600000000000001E-2</v>
      </c>
    </row>
    <row r="656" spans="1:18" x14ac:dyDescent="0.25">
      <c r="A656" s="7">
        <f>Sheet4!A635</f>
        <v>634</v>
      </c>
      <c r="B656" t="str">
        <f>Sheet4!B635</f>
        <v>SCG</v>
      </c>
      <c r="C656" t="str">
        <f>Sheet4!C634</f>
        <v>Thực Phẩm SAFOCO</v>
      </c>
      <c r="D656" t="str">
        <f>Sheet4!D635</f>
        <v>HNX</v>
      </c>
      <c r="E656" s="7">
        <f>Sheet4!AH635/1000000000</f>
        <v>5151</v>
      </c>
      <c r="F656" t="str">
        <f>Sheet4!E635</f>
        <v>Công nghiệp</v>
      </c>
      <c r="G656" t="str">
        <f>Sheet4!F635</f>
        <v>Xây dựng và Vật liệu</v>
      </c>
      <c r="H656" t="str">
        <f>Sheet4!G635</f>
        <v>Xây dựng</v>
      </c>
      <c r="I656" s="9" t="str" cm="1">
        <f t="array" ref="I65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56" s="9" t="str" cm="1">
        <f t="array" ref="J65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56" s="10" cm="1">
        <f t="array" ref="K65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56" s="10" cm="1">
        <f t="array" ref="L65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56" s="9" t="str" cm="1">
        <f t="array" ref="M65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56" s="9" t="str" cm="1">
        <f t="array" ref="N65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56" s="10" cm="1">
        <f t="array" ref="O656">IFERROR(INDEX(Sheet4!$2:$1605,MATCH(ChiTietKQKD[[#This Row],[Mã CP]],Sheet4!$B$2:$B$1605,0),_xlfn.XMATCH("*Tăng trưởng lợi nhuận sau thuế (YoY) (Quý*",Sheet4!$1:$1,2)),"")</f>
        <v>0</v>
      </c>
      <c r="P656" s="10" cm="1">
        <f t="array" ref="P656">IFERROR(INDEX(Sheet4!$2:$1605,MATCH(ChiTietKQKD[[#This Row],[Mã CP]],Sheet4!$B$2:$B$1605,0),_xlfn.XMATCH("*Tăng trưởng lợi nhuận sau thuế (YoY) (6M)*",Sheet4!$1:$1,2)),"")</f>
        <v>0</v>
      </c>
      <c r="Q656" s="10" cm="1">
        <f t="array" ref="Q656">IFERROR(INDEX(Sheet4!$2:$1605,MATCH(ChiTietKQKD[[#This Row],[Mã CP]],Sheet4!$B$2:$B$1605,0),_xlfn.XMATCH("*Tăng trưởng doanh thu thuần (QoQ)*",Sheet4!$1:$1,2)),"")</f>
        <v>0</v>
      </c>
      <c r="R656" s="10" cm="1">
        <f t="array" ref="R656">IFERROR(INDEX(Sheet4!$2:$1605,MATCH(ChiTietKQKD[[#This Row],[Mã CP]],Sheet4!$B$2:$B$1605,0),_xlfn.XMATCH("*Tăng trưởng lợi nhuận sau thuế (QoQ)*",Sheet4!$1:$1,2)),"")</f>
        <v>0</v>
      </c>
    </row>
    <row r="657" spans="1:18" x14ac:dyDescent="0.25">
      <c r="A657" s="7">
        <f>Sheet4!A636</f>
        <v>635</v>
      </c>
      <c r="B657" t="str">
        <f>Sheet4!B636</f>
        <v>SCI</v>
      </c>
      <c r="C657" t="str">
        <f>Sheet4!C635</f>
        <v>Xây dựng SCG</v>
      </c>
      <c r="D657" t="str">
        <f>Sheet4!D636</f>
        <v>HNX</v>
      </c>
      <c r="E657" s="7">
        <f>Sheet4!AH636/1000000000</f>
        <v>445.2</v>
      </c>
      <c r="F657" t="str">
        <f>Sheet4!E636</f>
        <v>Công nghiệp</v>
      </c>
      <c r="G657" t="str">
        <f>Sheet4!F636</f>
        <v>Xây dựng và Vật liệu</v>
      </c>
      <c r="H657" t="str">
        <f>Sheet4!G636</f>
        <v>Xây dựng</v>
      </c>
      <c r="I657" s="9" t="str" cm="1">
        <f t="array" ref="I65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57" s="9" t="str" cm="1">
        <f t="array" ref="J65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57" s="10" cm="1">
        <f t="array" ref="K65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57" s="10" cm="1">
        <f t="array" ref="L65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57" s="9" t="str" cm="1">
        <f t="array" ref="M65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57" s="9" t="str" cm="1">
        <f t="array" ref="N65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57" s="10" cm="1">
        <f t="array" ref="O657">IFERROR(INDEX(Sheet4!$2:$1605,MATCH(ChiTietKQKD[[#This Row],[Mã CP]],Sheet4!$B$2:$B$1605,0),_xlfn.XMATCH("*Tăng trưởng lợi nhuận sau thuế (YoY) (Quý*",Sheet4!$1:$1,2)),"")</f>
        <v>0</v>
      </c>
      <c r="P657" s="10" cm="1">
        <f t="array" ref="P657">IFERROR(INDEX(Sheet4!$2:$1605,MATCH(ChiTietKQKD[[#This Row],[Mã CP]],Sheet4!$B$2:$B$1605,0),_xlfn.XMATCH("*Tăng trưởng lợi nhuận sau thuế (YoY) (6M)*",Sheet4!$1:$1,2)),"")</f>
        <v>0</v>
      </c>
      <c r="Q657" s="10" cm="1">
        <f t="array" ref="Q657">IFERROR(INDEX(Sheet4!$2:$1605,MATCH(ChiTietKQKD[[#This Row],[Mã CP]],Sheet4!$B$2:$B$1605,0),_xlfn.XMATCH("*Tăng trưởng doanh thu thuần (QoQ)*",Sheet4!$1:$1,2)),"")</f>
        <v>0</v>
      </c>
      <c r="R657" s="10" cm="1">
        <f t="array" ref="R657">IFERROR(INDEX(Sheet4!$2:$1605,MATCH(ChiTietKQKD[[#This Row],[Mã CP]],Sheet4!$B$2:$B$1605,0),_xlfn.XMATCH("*Tăng trưởng lợi nhuận sau thuế (QoQ)*",Sheet4!$1:$1,2)),"")</f>
        <v>0</v>
      </c>
    </row>
    <row r="658" spans="1:18" x14ac:dyDescent="0.25">
      <c r="A658" s="7">
        <f>Sheet4!A637</f>
        <v>636</v>
      </c>
      <c r="B658" t="str">
        <f>Sheet4!B637</f>
        <v>SD5</v>
      </c>
      <c r="C658" t="str">
        <f>Sheet4!C636</f>
        <v>SCI E&amp;C</v>
      </c>
      <c r="D658" t="str">
        <f>Sheet4!D637</f>
        <v>HNX</v>
      </c>
      <c r="E658" s="7">
        <f>Sheet4!AH637/1000000000</f>
        <v>179.3989512</v>
      </c>
      <c r="F658" t="str">
        <f>Sheet4!E637</f>
        <v>Công nghiệp</v>
      </c>
      <c r="G658" t="str">
        <f>Sheet4!F637</f>
        <v>Xây dựng và Vật liệu</v>
      </c>
      <c r="H658" t="str">
        <f>Sheet4!G637</f>
        <v>Xây dựng</v>
      </c>
      <c r="I658" s="9" t="str" cm="1">
        <f t="array" ref="I65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58" s="9" t="str" cm="1">
        <f t="array" ref="J65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58" s="10" cm="1">
        <f t="array" ref="K65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58" s="10" cm="1">
        <f t="array" ref="L65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58" s="9" t="str" cm="1">
        <f t="array" ref="M65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58" s="9" t="str" cm="1">
        <f t="array" ref="N65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58" s="10" cm="1">
        <f t="array" ref="O658">IFERROR(INDEX(Sheet4!$2:$1605,MATCH(ChiTietKQKD[[#This Row],[Mã CP]],Sheet4!$B$2:$B$1605,0),_xlfn.XMATCH("*Tăng trưởng lợi nhuận sau thuế (YoY) (Quý*",Sheet4!$1:$1,2)),"")</f>
        <v>0</v>
      </c>
      <c r="P658" s="10" cm="1">
        <f t="array" ref="P658">IFERROR(INDEX(Sheet4!$2:$1605,MATCH(ChiTietKQKD[[#This Row],[Mã CP]],Sheet4!$B$2:$B$1605,0),_xlfn.XMATCH("*Tăng trưởng lợi nhuận sau thuế (YoY) (6M)*",Sheet4!$1:$1,2)),"")</f>
        <v>0</v>
      </c>
      <c r="Q658" s="10" cm="1">
        <f t="array" ref="Q658">IFERROR(INDEX(Sheet4!$2:$1605,MATCH(ChiTietKQKD[[#This Row],[Mã CP]],Sheet4!$B$2:$B$1605,0),_xlfn.XMATCH("*Tăng trưởng doanh thu thuần (QoQ)*",Sheet4!$1:$1,2)),"")</f>
        <v>0</v>
      </c>
      <c r="R658" s="10" cm="1">
        <f t="array" ref="R658">IFERROR(INDEX(Sheet4!$2:$1605,MATCH(ChiTietKQKD[[#This Row],[Mã CP]],Sheet4!$B$2:$B$1605,0),_xlfn.XMATCH("*Tăng trưởng lợi nhuận sau thuế (QoQ)*",Sheet4!$1:$1,2)),"")</f>
        <v>0</v>
      </c>
    </row>
    <row r="659" spans="1:18" x14ac:dyDescent="0.25">
      <c r="A659" s="7">
        <f>Sheet4!A638</f>
        <v>637</v>
      </c>
      <c r="B659" t="str">
        <f>Sheet4!B638</f>
        <v>SD9</v>
      </c>
      <c r="C659" t="str">
        <f>Sheet4!C637</f>
        <v>Sông Đà 5</v>
      </c>
      <c r="D659" t="str">
        <f>Sheet4!D638</f>
        <v>HNX</v>
      </c>
      <c r="E659" s="7">
        <f>Sheet4!AH638/1000000000</f>
        <v>342.34</v>
      </c>
      <c r="F659" t="str">
        <f>Sheet4!E638</f>
        <v>Công nghiệp</v>
      </c>
      <c r="G659" t="str">
        <f>Sheet4!F638</f>
        <v>Xây dựng và Vật liệu</v>
      </c>
      <c r="H659" t="str">
        <f>Sheet4!G638</f>
        <v>Xây dựng</v>
      </c>
      <c r="I659" s="9" t="str" cm="1">
        <f t="array" ref="I65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59" s="9" t="str" cm="1">
        <f t="array" ref="J65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59" s="10" cm="1">
        <f t="array" ref="K65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59" s="10" cm="1">
        <f t="array" ref="L65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59" s="9" t="str" cm="1">
        <f t="array" ref="M65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59" s="9" t="str" cm="1">
        <f t="array" ref="N65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59" s="10" cm="1">
        <f t="array" ref="O659">IFERROR(INDEX(Sheet4!$2:$1605,MATCH(ChiTietKQKD[[#This Row],[Mã CP]],Sheet4!$B$2:$B$1605,0),_xlfn.XMATCH("*Tăng trưởng lợi nhuận sau thuế (YoY) (Quý*",Sheet4!$1:$1,2)),"")</f>
        <v>0</v>
      </c>
      <c r="P659" s="10" cm="1">
        <f t="array" ref="P659">IFERROR(INDEX(Sheet4!$2:$1605,MATCH(ChiTietKQKD[[#This Row],[Mã CP]],Sheet4!$B$2:$B$1605,0),_xlfn.XMATCH("*Tăng trưởng lợi nhuận sau thuế (YoY) (6M)*",Sheet4!$1:$1,2)),"")</f>
        <v>0</v>
      </c>
      <c r="Q659" s="10" cm="1">
        <f t="array" ref="Q659">IFERROR(INDEX(Sheet4!$2:$1605,MATCH(ChiTietKQKD[[#This Row],[Mã CP]],Sheet4!$B$2:$B$1605,0),_xlfn.XMATCH("*Tăng trưởng doanh thu thuần (QoQ)*",Sheet4!$1:$1,2)),"")</f>
        <v>0</v>
      </c>
      <c r="R659" s="10" cm="1">
        <f t="array" ref="R659">IFERROR(INDEX(Sheet4!$2:$1605,MATCH(ChiTietKQKD[[#This Row],[Mã CP]],Sheet4!$B$2:$B$1605,0),_xlfn.XMATCH("*Tăng trưởng lợi nhuận sau thuế (QoQ)*",Sheet4!$1:$1,2)),"")</f>
        <v>0</v>
      </c>
    </row>
    <row r="660" spans="1:18" x14ac:dyDescent="0.25">
      <c r="A660" s="7">
        <f>Sheet4!A639</f>
        <v>638</v>
      </c>
      <c r="B660" t="str">
        <f>Sheet4!B639</f>
        <v>SDC</v>
      </c>
      <c r="C660" t="str">
        <f>Sheet4!C638</f>
        <v>Sông Đà 9</v>
      </c>
      <c r="D660" t="str">
        <f>Sheet4!D639</f>
        <v>HNX</v>
      </c>
      <c r="E660" s="7">
        <f>Sheet4!AH639/1000000000</f>
        <v>20.885527199999999</v>
      </c>
      <c r="F660" t="str">
        <f>Sheet4!E639</f>
        <v>Công nghiệp</v>
      </c>
      <c r="G660" t="str">
        <f>Sheet4!F639</f>
        <v>Hàng &amp; Dịch vụ Công nghiệp</v>
      </c>
      <c r="H660" t="str">
        <f>Sheet4!G639</f>
        <v>Tư vấn &amp; Hỗ trợ KD</v>
      </c>
      <c r="I660" s="9" cm="1">
        <f t="array" ref="I66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18.500193617000001</v>
      </c>
      <c r="J660" s="9" cm="1">
        <f t="array" ref="J66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35.00483234</v>
      </c>
      <c r="K660" s="10" cm="1">
        <f t="array" ref="K66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0.185</v>
      </c>
      <c r="L660" s="10" cm="1">
        <f t="array" ref="L66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0.35959999999999998</v>
      </c>
      <c r="M660" s="9" cm="1">
        <f t="array" ref="M660">_xlfn.LET(_xlpm.val,IFERROR(INDEX(Sheet4!$2:$1605,MATCH(ChiTietKQKD[[#This Row],[Mã CP]],Sheet4!$B$2:$B$1605,0),_xlfn.XMATCH("*Lợi nhuận sau thuế*Q2*2026*",Sheet4!$1:$1,2)),0),IF(OR(_xlpm.val="",_xlpm.val=0),"",_xlpm.val/1000000000))</f>
        <v>0.53574687799999998</v>
      </c>
      <c r="N660" s="9" cm="1">
        <f t="array" ref="N660">_xlfn.LET(_xlpm.val,IFERROR(INDEX(Sheet4!$2:$1605,MATCH(ChiTietKQKD[[#This Row],[Mã CP]],Sheet4!$B$2:$B$1605,0),_xlfn.XMATCH("*Lợi nhuận sau thuế*6 tháng*2026*",Sheet4!$1:$1,2)),0),IF(OR(_xlpm.val="",_xlpm.val=0),"",_xlpm.val/1000000000))</f>
        <v>1.0521489749999999</v>
      </c>
      <c r="O660" s="10" cm="1">
        <f t="array" ref="O660">IFERROR(INDEX(Sheet4!$2:$1605,MATCH(ChiTietKQKD[[#This Row],[Mã CP]],Sheet4!$B$2:$B$1605,0),_xlfn.XMATCH("*Tăng trưởng lợi nhuận sau thuế (YoY) (Quý*",Sheet4!$1:$1,2)),"")</f>
        <v>0.35849999999999999</v>
      </c>
      <c r="P660" s="10" cm="1">
        <f t="array" ref="P660">IFERROR(INDEX(Sheet4!$2:$1605,MATCH(ChiTietKQKD[[#This Row],[Mã CP]],Sheet4!$B$2:$B$1605,0),_xlfn.XMATCH("*Tăng trưởng lợi nhuận sau thuế (YoY) (6M)*",Sheet4!$1:$1,2)),"")</f>
        <v>0.51429999999999998</v>
      </c>
      <c r="Q660" s="10" cm="1">
        <f t="array" ref="Q660">IFERROR(INDEX(Sheet4!$2:$1605,MATCH(ChiTietKQKD[[#This Row],[Mã CP]],Sheet4!$B$2:$B$1605,0),_xlfn.XMATCH("*Tăng trưởng doanh thu thuần (QoQ)*",Sheet4!$1:$1,2)),"")</f>
        <v>0.12089999999999999</v>
      </c>
      <c r="R660" s="10" cm="1">
        <f t="array" ref="R660">IFERROR(INDEX(Sheet4!$2:$1605,MATCH(ChiTietKQKD[[#This Row],[Mã CP]],Sheet4!$B$2:$B$1605,0),_xlfn.XMATCH("*Tăng trưởng lợi nhuận sau thuế (QoQ)*",Sheet4!$1:$1,2)),"")</f>
        <v>1.7500000000000002E-2</v>
      </c>
    </row>
    <row r="661" spans="1:18" x14ac:dyDescent="0.25">
      <c r="A661" s="7">
        <f>Sheet4!A640</f>
        <v>639</v>
      </c>
      <c r="B661" t="str">
        <f>Sheet4!B640</f>
        <v>SDG</v>
      </c>
      <c r="C661" t="str">
        <f>Sheet4!C639</f>
        <v>Tư vấn Sông Đà</v>
      </c>
      <c r="D661" t="str">
        <f>Sheet4!D640</f>
        <v>HNX</v>
      </c>
      <c r="E661" s="7">
        <f>Sheet4!AH640/1000000000</f>
        <v>100.3859703</v>
      </c>
      <c r="F661" t="str">
        <f>Sheet4!E640</f>
        <v>Công nghiệp</v>
      </c>
      <c r="G661" t="str">
        <f>Sheet4!F640</f>
        <v>Hàng &amp; Dịch vụ Công nghiệp</v>
      </c>
      <c r="H661" t="str">
        <f>Sheet4!G640</f>
        <v>Containers &amp; Đóng gói</v>
      </c>
      <c r="I661" s="9" t="str" cm="1">
        <f t="array" ref="I66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61" s="9" t="str" cm="1">
        <f t="array" ref="J66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61" s="10" cm="1">
        <f t="array" ref="K66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61" s="10" cm="1">
        <f t="array" ref="L66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61" s="9" t="str" cm="1">
        <f t="array" ref="M66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61" s="9" t="str" cm="1">
        <f t="array" ref="N66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61" s="10" cm="1">
        <f t="array" ref="O661">IFERROR(INDEX(Sheet4!$2:$1605,MATCH(ChiTietKQKD[[#This Row],[Mã CP]],Sheet4!$B$2:$B$1605,0),_xlfn.XMATCH("*Tăng trưởng lợi nhuận sau thuế (YoY) (Quý*",Sheet4!$1:$1,2)),"")</f>
        <v>0</v>
      </c>
      <c r="P661" s="10" cm="1">
        <f t="array" ref="P661">IFERROR(INDEX(Sheet4!$2:$1605,MATCH(ChiTietKQKD[[#This Row],[Mã CP]],Sheet4!$B$2:$B$1605,0),_xlfn.XMATCH("*Tăng trưởng lợi nhuận sau thuế (YoY) (6M)*",Sheet4!$1:$1,2)),"")</f>
        <v>0</v>
      </c>
      <c r="Q661" s="10" cm="1">
        <f t="array" ref="Q661">IFERROR(INDEX(Sheet4!$2:$1605,MATCH(ChiTietKQKD[[#This Row],[Mã CP]],Sheet4!$B$2:$B$1605,0),_xlfn.XMATCH("*Tăng trưởng doanh thu thuần (QoQ)*",Sheet4!$1:$1,2)),"")</f>
        <v>0</v>
      </c>
      <c r="R661" s="10" cm="1">
        <f t="array" ref="R661">IFERROR(INDEX(Sheet4!$2:$1605,MATCH(ChiTietKQKD[[#This Row],[Mã CP]],Sheet4!$B$2:$B$1605,0),_xlfn.XMATCH("*Tăng trưởng lợi nhuận sau thuế (QoQ)*",Sheet4!$1:$1,2)),"")</f>
        <v>0</v>
      </c>
    </row>
    <row r="662" spans="1:18" x14ac:dyDescent="0.25">
      <c r="A662" s="7">
        <f>Sheet4!A641</f>
        <v>640</v>
      </c>
      <c r="B662" t="str">
        <f>Sheet4!B641</f>
        <v>SDN</v>
      </c>
      <c r="C662" t="str">
        <f>Sheet4!C640</f>
        <v>Sadico Cần Thơ</v>
      </c>
      <c r="D662" t="str">
        <f>Sheet4!D641</f>
        <v>HNX</v>
      </c>
      <c r="E662" s="7">
        <f>Sheet4!AH641/1000000000</f>
        <v>54.655847999999999</v>
      </c>
      <c r="F662" t="str">
        <f>Sheet4!E641</f>
        <v>Công nghiệp</v>
      </c>
      <c r="G662" t="str">
        <f>Sheet4!F641</f>
        <v>Xây dựng và Vật liệu</v>
      </c>
      <c r="H662" t="str">
        <f>Sheet4!G641</f>
        <v>Vật liệu xây dựng &amp; Nội thất</v>
      </c>
      <c r="I662" s="9" cm="1">
        <f t="array" ref="I66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28.462203886000001</v>
      </c>
      <c r="J662" s="9" t="str" cm="1">
        <f t="array" ref="J66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62" s="10" cm="1">
        <f t="array" ref="K66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2.4899999999999999E-2</v>
      </c>
      <c r="L662" s="10" cm="1">
        <f t="array" ref="L66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4.0800000000000003E-2</v>
      </c>
      <c r="M662" s="9" cm="1">
        <f t="array" ref="M662">_xlfn.LET(_xlpm.val,IFERROR(INDEX(Sheet4!$2:$1605,MATCH(ChiTietKQKD[[#This Row],[Mã CP]],Sheet4!$B$2:$B$1605,0),_xlfn.XMATCH("*Lợi nhuận sau thuế*Q2*2026*",Sheet4!$1:$1,2)),0),IF(OR(_xlpm.val="",_xlpm.val=0),"",_xlpm.val/1000000000))</f>
        <v>0.44516421900000003</v>
      </c>
      <c r="N662" s="9" t="str" cm="1">
        <f t="array" ref="N66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62" s="10" cm="1">
        <f t="array" ref="O662">IFERROR(INDEX(Sheet4!$2:$1605,MATCH(ChiTietKQKD[[#This Row],[Mã CP]],Sheet4!$B$2:$B$1605,0),_xlfn.XMATCH("*Tăng trưởng lợi nhuận sau thuế (YoY) (Quý*",Sheet4!$1:$1,2)),"")</f>
        <v>-0.83599999999999997</v>
      </c>
      <c r="P662" s="10" cm="1">
        <f t="array" ref="P662">IFERROR(INDEX(Sheet4!$2:$1605,MATCH(ChiTietKQKD[[#This Row],[Mã CP]],Sheet4!$B$2:$B$1605,0),_xlfn.XMATCH("*Tăng trưởng lợi nhuận sau thuế (YoY) (6M)*",Sheet4!$1:$1,2)),"")</f>
        <v>3.7000000000000002E-3</v>
      </c>
      <c r="Q662" s="10" cm="1">
        <f t="array" ref="Q662">IFERROR(INDEX(Sheet4!$2:$1605,MATCH(ChiTietKQKD[[#This Row],[Mã CP]],Sheet4!$B$2:$B$1605,0),_xlfn.XMATCH("*Tăng trưởng doanh thu thuần (QoQ)*",Sheet4!$1:$1,2)),"")</f>
        <v>5.0900000000000001E-2</v>
      </c>
      <c r="R662" s="10" cm="1">
        <f t="array" ref="R662">IFERROR(INDEX(Sheet4!$2:$1605,MATCH(ChiTietKQKD[[#This Row],[Mã CP]],Sheet4!$B$2:$B$1605,0),_xlfn.XMATCH("*Tăng trưởng lợi nhuận sau thuế (QoQ)*",Sheet4!$1:$1,2)),"")</f>
        <v>-0.90390000000000004</v>
      </c>
    </row>
    <row r="663" spans="1:18" x14ac:dyDescent="0.25">
      <c r="A663" s="7">
        <f>Sheet4!A642</f>
        <v>641</v>
      </c>
      <c r="B663" t="str">
        <f>Sheet4!B642</f>
        <v>SDU</v>
      </c>
      <c r="C663" t="str">
        <f>Sheet4!C641</f>
        <v>Sơn Đồng Nai</v>
      </c>
      <c r="D663" t="str">
        <f>Sheet4!D642</f>
        <v>HNX</v>
      </c>
      <c r="E663" s="7">
        <f>Sheet4!AH642/1000000000</f>
        <v>132</v>
      </c>
      <c r="F663" t="str">
        <f>Sheet4!E642</f>
        <v>Công nghiệp</v>
      </c>
      <c r="G663" t="str">
        <f>Sheet4!F642</f>
        <v>Xây dựng và Vật liệu</v>
      </c>
      <c r="H663" t="str">
        <f>Sheet4!G642</f>
        <v>Xây dựng</v>
      </c>
      <c r="I663" s="9" t="str" cm="1">
        <f t="array" ref="I66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63" s="9" t="str" cm="1">
        <f t="array" ref="J66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63" s="10" cm="1">
        <f t="array" ref="K66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63" s="10" cm="1">
        <f t="array" ref="L66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63" s="9" t="str" cm="1">
        <f t="array" ref="M66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63" s="9" t="str" cm="1">
        <f t="array" ref="N66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63" s="10" cm="1">
        <f t="array" ref="O663">IFERROR(INDEX(Sheet4!$2:$1605,MATCH(ChiTietKQKD[[#This Row],[Mã CP]],Sheet4!$B$2:$B$1605,0),_xlfn.XMATCH("*Tăng trưởng lợi nhuận sau thuế (YoY) (Quý*",Sheet4!$1:$1,2)),"")</f>
        <v>0</v>
      </c>
      <c r="P663" s="10" cm="1">
        <f t="array" ref="P663">IFERROR(INDEX(Sheet4!$2:$1605,MATCH(ChiTietKQKD[[#This Row],[Mã CP]],Sheet4!$B$2:$B$1605,0),_xlfn.XMATCH("*Tăng trưởng lợi nhuận sau thuế (YoY) (6M)*",Sheet4!$1:$1,2)),"")</f>
        <v>0</v>
      </c>
      <c r="Q663" s="10" cm="1">
        <f t="array" ref="Q663">IFERROR(INDEX(Sheet4!$2:$1605,MATCH(ChiTietKQKD[[#This Row],[Mã CP]],Sheet4!$B$2:$B$1605,0),_xlfn.XMATCH("*Tăng trưởng doanh thu thuần (QoQ)*",Sheet4!$1:$1,2)),"")</f>
        <v>0</v>
      </c>
      <c r="R663" s="10" cm="1">
        <f t="array" ref="R663">IFERROR(INDEX(Sheet4!$2:$1605,MATCH(ChiTietKQKD[[#This Row],[Mã CP]],Sheet4!$B$2:$B$1605,0),_xlfn.XMATCH("*Tăng trưởng lợi nhuận sau thuế (QoQ)*",Sheet4!$1:$1,2)),"")</f>
        <v>0</v>
      </c>
    </row>
    <row r="664" spans="1:18" x14ac:dyDescent="0.25">
      <c r="A664" s="7">
        <f>Sheet4!A643</f>
        <v>642</v>
      </c>
      <c r="B664" t="str">
        <f>Sheet4!B643</f>
        <v>SEB</v>
      </c>
      <c r="C664" t="str">
        <f>Sheet4!C642</f>
        <v>Đô thị Sông Đà</v>
      </c>
      <c r="D664" t="str">
        <f>Sheet4!D643</f>
        <v>HNX</v>
      </c>
      <c r="E664" s="7">
        <f>Sheet4!AH643/1000000000</f>
        <v>1212.7988250999999</v>
      </c>
      <c r="F664" t="str">
        <f>Sheet4!E643</f>
        <v>Tiện ích Cộng đồng</v>
      </c>
      <c r="G664" t="str">
        <f>Sheet4!F643</f>
        <v>Điện, nước &amp; xăng dầu khí đốt</v>
      </c>
      <c r="H664" t="str">
        <f>Sheet4!G643</f>
        <v>Sản xuất &amp; Phân phối Điện</v>
      </c>
      <c r="I664" s="9" t="str" cm="1">
        <f t="array" ref="I66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64" s="9" t="str" cm="1">
        <f t="array" ref="J66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64" s="10" cm="1">
        <f t="array" ref="K66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64" s="10" cm="1">
        <f t="array" ref="L66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64" s="9" t="str" cm="1">
        <f t="array" ref="M66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64" s="9" t="str" cm="1">
        <f t="array" ref="N66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64" s="10" cm="1">
        <f t="array" ref="O664">IFERROR(INDEX(Sheet4!$2:$1605,MATCH(ChiTietKQKD[[#This Row],[Mã CP]],Sheet4!$B$2:$B$1605,0),_xlfn.XMATCH("*Tăng trưởng lợi nhuận sau thuế (YoY) (Quý*",Sheet4!$1:$1,2)),"")</f>
        <v>0</v>
      </c>
      <c r="P664" s="10" cm="1">
        <f t="array" ref="P664">IFERROR(INDEX(Sheet4!$2:$1605,MATCH(ChiTietKQKD[[#This Row],[Mã CP]],Sheet4!$B$2:$B$1605,0),_xlfn.XMATCH("*Tăng trưởng lợi nhuận sau thuế (YoY) (6M)*",Sheet4!$1:$1,2)),"")</f>
        <v>0</v>
      </c>
      <c r="Q664" s="10" cm="1">
        <f t="array" ref="Q664">IFERROR(INDEX(Sheet4!$2:$1605,MATCH(ChiTietKQKD[[#This Row],[Mã CP]],Sheet4!$B$2:$B$1605,0),_xlfn.XMATCH("*Tăng trưởng doanh thu thuần (QoQ)*",Sheet4!$1:$1,2)),"")</f>
        <v>0</v>
      </c>
      <c r="R664" s="10" cm="1">
        <f t="array" ref="R664">IFERROR(INDEX(Sheet4!$2:$1605,MATCH(ChiTietKQKD[[#This Row],[Mã CP]],Sheet4!$B$2:$B$1605,0),_xlfn.XMATCH("*Tăng trưởng lợi nhuận sau thuế (QoQ)*",Sheet4!$1:$1,2)),"")</f>
        <v>0</v>
      </c>
    </row>
    <row r="665" spans="1:18" x14ac:dyDescent="0.25">
      <c r="A665" s="7">
        <f>Sheet4!A644</f>
        <v>643</v>
      </c>
      <c r="B665" t="str">
        <f>Sheet4!B644</f>
        <v>SED</v>
      </c>
      <c r="C665" t="str">
        <f>Sheet4!C643</f>
        <v>Điện miền Trung</v>
      </c>
      <c r="D665" t="str">
        <f>Sheet4!D644</f>
        <v>HNX</v>
      </c>
      <c r="E665" s="7">
        <f>Sheet4!AH644/1000000000</f>
        <v>140.00417999999999</v>
      </c>
      <c r="F665" t="str">
        <f>Sheet4!E644</f>
        <v>Dịch vụ Tiêu dùng</v>
      </c>
      <c r="G665" t="str">
        <f>Sheet4!F644</f>
        <v>Truyền thông</v>
      </c>
      <c r="H665" t="str">
        <f>Sheet4!G644</f>
        <v>Sách, ấn bản &amp; sản phẩm văn hóa</v>
      </c>
      <c r="I665" s="9" cm="1">
        <f t="array" ref="I66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810.18069191200004</v>
      </c>
      <c r="J665" s="9" cm="1">
        <f t="array" ref="J66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857.91066810200005</v>
      </c>
      <c r="K665" s="10" cm="1">
        <f t="array" ref="K66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0.19989999999999999</v>
      </c>
      <c r="L665" s="10" cm="1">
        <f t="array" ref="L66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65" s="9" cm="1">
        <f t="array" ref="M665">_xlfn.LET(_xlpm.val,IFERROR(INDEX(Sheet4!$2:$1605,MATCH(ChiTietKQKD[[#This Row],[Mã CP]],Sheet4!$B$2:$B$1605,0),_xlfn.XMATCH("*Lợi nhuận sau thuế*Q2*2026*",Sheet4!$1:$1,2)),0),IF(OR(_xlpm.val="",_xlpm.val=0),"",_xlpm.val/1000000000))</f>
        <v>19.175581548</v>
      </c>
      <c r="N665" s="9" cm="1">
        <f t="array" ref="N665">_xlfn.LET(_xlpm.val,IFERROR(INDEX(Sheet4!$2:$1605,MATCH(ChiTietKQKD[[#This Row],[Mã CP]],Sheet4!$B$2:$B$1605,0),_xlfn.XMATCH("*Lợi nhuận sau thuế*6 tháng*2026*",Sheet4!$1:$1,2)),0),IF(OR(_xlpm.val="",_xlpm.val=0),"",_xlpm.val/1000000000))</f>
        <v>21.162661379999999</v>
      </c>
      <c r="O665" s="10" cm="1">
        <f t="array" ref="O665">IFERROR(INDEX(Sheet4!$2:$1605,MATCH(ChiTietKQKD[[#This Row],[Mã CP]],Sheet4!$B$2:$B$1605,0),_xlfn.XMATCH("*Tăng trưởng lợi nhuận sau thuế (YoY) (Quý*",Sheet4!$1:$1,2)),"")</f>
        <v>-0.22739999999999999</v>
      </c>
      <c r="P665" s="10" cm="1">
        <f t="array" ref="P665">IFERROR(INDEX(Sheet4!$2:$1605,MATCH(ChiTietKQKD[[#This Row],[Mã CP]],Sheet4!$B$2:$B$1605,0),_xlfn.XMATCH("*Tăng trưởng lợi nhuận sau thuế (YoY) (6M)*",Sheet4!$1:$1,2)),"")</f>
        <v>0</v>
      </c>
      <c r="Q665" s="10" cm="1">
        <f t="array" ref="Q665">IFERROR(INDEX(Sheet4!$2:$1605,MATCH(ChiTietKQKD[[#This Row],[Mã CP]],Sheet4!$B$2:$B$1605,0),_xlfn.XMATCH("*Tăng trưởng doanh thu thuần (QoQ)*",Sheet4!$1:$1,2)),"")</f>
        <v>15.974299999999999</v>
      </c>
      <c r="R665" s="10" cm="1">
        <f t="array" ref="R665">IFERROR(INDEX(Sheet4!$2:$1605,MATCH(ChiTietKQKD[[#This Row],[Mã CP]],Sheet4!$B$2:$B$1605,0),_xlfn.XMATCH("*Tăng trưởng lợi nhuận sau thuế (QoQ)*",Sheet4!$1:$1,2)),"")</f>
        <v>8.6501000000000001</v>
      </c>
    </row>
    <row r="666" spans="1:18" x14ac:dyDescent="0.25">
      <c r="A666" s="7">
        <f>Sheet4!A645</f>
        <v>644</v>
      </c>
      <c r="B666" t="str">
        <f>Sheet4!B645</f>
        <v>SFN</v>
      </c>
      <c r="C666" t="str">
        <f>Sheet4!C644</f>
        <v>Phát triển GD Phương Nam</v>
      </c>
      <c r="D666" t="str">
        <f>Sheet4!D645</f>
        <v>HNX</v>
      </c>
      <c r="E666" s="7">
        <f>Sheet4!AH645/1000000000</f>
        <v>43.821494999999999</v>
      </c>
      <c r="F666" t="str">
        <f>Sheet4!E645</f>
        <v>Công nghiệp</v>
      </c>
      <c r="G666" t="str">
        <f>Sheet4!F645</f>
        <v>Hàng &amp; Dịch vụ Công nghiệp</v>
      </c>
      <c r="H666" t="str">
        <f>Sheet4!G645</f>
        <v>Nhà cung cấp thiết bị</v>
      </c>
      <c r="I666" s="9" cm="1">
        <f t="array" ref="I66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32.470550799000002</v>
      </c>
      <c r="J666" s="9" cm="1">
        <f t="array" ref="J66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65.850908427999997</v>
      </c>
      <c r="K666" s="10" cm="1">
        <f t="array" ref="K66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-0.159</v>
      </c>
      <c r="L666" s="10" cm="1">
        <f t="array" ref="L66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-9.3700000000000006E-2</v>
      </c>
      <c r="M666" s="9" cm="1">
        <f t="array" ref="M666">_xlfn.LET(_xlpm.val,IFERROR(INDEX(Sheet4!$2:$1605,MATCH(ChiTietKQKD[[#This Row],[Mã CP]],Sheet4!$B$2:$B$1605,0),_xlfn.XMATCH("*Lợi nhuận sau thuế*Q2*2026*",Sheet4!$1:$1,2)),0),IF(OR(_xlpm.val="",_xlpm.val=0),"",_xlpm.val/1000000000))</f>
        <v>2.6604784549999998</v>
      </c>
      <c r="N666" s="9" cm="1">
        <f t="array" ref="N666">_xlfn.LET(_xlpm.val,IFERROR(INDEX(Sheet4!$2:$1605,MATCH(ChiTietKQKD[[#This Row],[Mã CP]],Sheet4!$B$2:$B$1605,0),_xlfn.XMATCH("*Lợi nhuận sau thuế*6 tháng*2026*",Sheet4!$1:$1,2)),0),IF(OR(_xlpm.val="",_xlpm.val=0),"",_xlpm.val/1000000000))</f>
        <v>4.0909519400000001</v>
      </c>
      <c r="O666" s="10" cm="1">
        <f t="array" ref="O666">IFERROR(INDEX(Sheet4!$2:$1605,MATCH(ChiTietKQKD[[#This Row],[Mã CP]],Sheet4!$B$2:$B$1605,0),_xlfn.XMATCH("*Tăng trưởng lợi nhuận sau thuế (YoY) (Quý*",Sheet4!$1:$1,2)),"")</f>
        <v>-9.9900000000000003E-2</v>
      </c>
      <c r="P666" s="10" cm="1">
        <f t="array" ref="P666">IFERROR(INDEX(Sheet4!$2:$1605,MATCH(ChiTietKQKD[[#This Row],[Mã CP]],Sheet4!$B$2:$B$1605,0),_xlfn.XMATCH("*Tăng trưởng lợi nhuận sau thuế (YoY) (6M)*",Sheet4!$1:$1,2)),"")</f>
        <v>-0.17929999999999999</v>
      </c>
      <c r="Q666" s="10" cm="1">
        <f t="array" ref="Q666">IFERROR(INDEX(Sheet4!$2:$1605,MATCH(ChiTietKQKD[[#This Row],[Mã CP]],Sheet4!$B$2:$B$1605,0),_xlfn.XMATCH("*Tăng trưởng doanh thu thuần (QoQ)*",Sheet4!$1:$1,2)),"")</f>
        <v>-2.7300000000000001E-2</v>
      </c>
      <c r="R666" s="10" cm="1">
        <f t="array" ref="R666">IFERROR(INDEX(Sheet4!$2:$1605,MATCH(ChiTietKQKD[[#This Row],[Mã CP]],Sheet4!$B$2:$B$1605,0),_xlfn.XMATCH("*Tăng trưởng lợi nhuận sau thuế (QoQ)*",Sheet4!$1:$1,2)),"")</f>
        <v>0.8599</v>
      </c>
    </row>
    <row r="667" spans="1:18" x14ac:dyDescent="0.25">
      <c r="A667" s="7">
        <f>Sheet4!A646</f>
        <v>645</v>
      </c>
      <c r="B667" t="str">
        <f>Sheet4!B646</f>
        <v>SGC</v>
      </c>
      <c r="C667" t="str">
        <f>Sheet4!C645</f>
        <v>Dệt lưới Sài Gòn</v>
      </c>
      <c r="D667" t="str">
        <f>Sheet4!D646</f>
        <v>HNX</v>
      </c>
      <c r="E667" s="7">
        <f>Sheet4!AH646/1000000000</f>
        <v>757.64347999999995</v>
      </c>
      <c r="F667" t="str">
        <f>Sheet4!E646</f>
        <v>Hàng Tiêu dùng</v>
      </c>
      <c r="G667" t="str">
        <f>Sheet4!F646</f>
        <v>Thực phẩm và đồ uống</v>
      </c>
      <c r="H667" t="str">
        <f>Sheet4!G646</f>
        <v>Thực phẩm</v>
      </c>
      <c r="I667" s="9" t="str" cm="1">
        <f t="array" ref="I66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67" s="9" t="str" cm="1">
        <f t="array" ref="J66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67" s="10" cm="1">
        <f t="array" ref="K66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67" s="10" cm="1">
        <f t="array" ref="L66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67" s="9" t="str" cm="1">
        <f t="array" ref="M66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67" s="9" t="str" cm="1">
        <f t="array" ref="N66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67" s="10" cm="1">
        <f t="array" ref="O667">IFERROR(INDEX(Sheet4!$2:$1605,MATCH(ChiTietKQKD[[#This Row],[Mã CP]],Sheet4!$B$2:$B$1605,0),_xlfn.XMATCH("*Tăng trưởng lợi nhuận sau thuế (YoY) (Quý*",Sheet4!$1:$1,2)),"")</f>
        <v>0</v>
      </c>
      <c r="P667" s="10" cm="1">
        <f t="array" ref="P667">IFERROR(INDEX(Sheet4!$2:$1605,MATCH(ChiTietKQKD[[#This Row],[Mã CP]],Sheet4!$B$2:$B$1605,0),_xlfn.XMATCH("*Tăng trưởng lợi nhuận sau thuế (YoY) (6M)*",Sheet4!$1:$1,2)),"")</f>
        <v>0</v>
      </c>
      <c r="Q667" s="10" cm="1">
        <f t="array" ref="Q667">IFERROR(INDEX(Sheet4!$2:$1605,MATCH(ChiTietKQKD[[#This Row],[Mã CP]],Sheet4!$B$2:$B$1605,0),_xlfn.XMATCH("*Tăng trưởng doanh thu thuần (QoQ)*",Sheet4!$1:$1,2)),"")</f>
        <v>0</v>
      </c>
      <c r="R667" s="10" cm="1">
        <f t="array" ref="R667">IFERROR(INDEX(Sheet4!$2:$1605,MATCH(ChiTietKQKD[[#This Row],[Mã CP]],Sheet4!$B$2:$B$1605,0),_xlfn.XMATCH("*Tăng trưởng lợi nhuận sau thuế (QoQ)*",Sheet4!$1:$1,2)),"")</f>
        <v>0</v>
      </c>
    </row>
    <row r="668" spans="1:18" x14ac:dyDescent="0.25">
      <c r="A668" s="7">
        <f>Sheet4!A647</f>
        <v>646</v>
      </c>
      <c r="B668" t="str">
        <f>Sheet4!B647</f>
        <v>SGD</v>
      </c>
      <c r="C668" t="str">
        <f>Sheet4!C646</f>
        <v>Bánh phồng tôm Sa Giang</v>
      </c>
      <c r="D668" t="str">
        <f>Sheet4!D647</f>
        <v>HNX</v>
      </c>
      <c r="E668" s="7">
        <f>Sheet4!AH647/1000000000</f>
        <v>72.774000000000001</v>
      </c>
      <c r="F668" t="str">
        <f>Sheet4!E647</f>
        <v>Dịch vụ Tiêu dùng</v>
      </c>
      <c r="G668" t="str">
        <f>Sheet4!F647</f>
        <v>Truyền thông</v>
      </c>
      <c r="H668" t="str">
        <f>Sheet4!G647</f>
        <v>Sách, ấn bản &amp; sản phẩm văn hóa</v>
      </c>
      <c r="I668" s="9" t="str" cm="1">
        <f t="array" ref="I66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68" s="9" t="str" cm="1">
        <f t="array" ref="J66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68" s="10" cm="1">
        <f t="array" ref="K66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68" s="10" cm="1">
        <f t="array" ref="L66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68" s="9" t="str" cm="1">
        <f t="array" ref="M66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68" s="9" t="str" cm="1">
        <f t="array" ref="N66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68" s="10" cm="1">
        <f t="array" ref="O668">IFERROR(INDEX(Sheet4!$2:$1605,MATCH(ChiTietKQKD[[#This Row],[Mã CP]],Sheet4!$B$2:$B$1605,0),_xlfn.XMATCH("*Tăng trưởng lợi nhuận sau thuế (YoY) (Quý*",Sheet4!$1:$1,2)),"")</f>
        <v>0</v>
      </c>
      <c r="P668" s="10" cm="1">
        <f t="array" ref="P668">IFERROR(INDEX(Sheet4!$2:$1605,MATCH(ChiTietKQKD[[#This Row],[Mã CP]],Sheet4!$B$2:$B$1605,0),_xlfn.XMATCH("*Tăng trưởng lợi nhuận sau thuế (YoY) (6M)*",Sheet4!$1:$1,2)),"")</f>
        <v>0</v>
      </c>
      <c r="Q668" s="10" cm="1">
        <f t="array" ref="Q668">IFERROR(INDEX(Sheet4!$2:$1605,MATCH(ChiTietKQKD[[#This Row],[Mã CP]],Sheet4!$B$2:$B$1605,0),_xlfn.XMATCH("*Tăng trưởng doanh thu thuần (QoQ)*",Sheet4!$1:$1,2)),"")</f>
        <v>0</v>
      </c>
      <c r="R668" s="10" cm="1">
        <f t="array" ref="R668">IFERROR(INDEX(Sheet4!$2:$1605,MATCH(ChiTietKQKD[[#This Row],[Mã CP]],Sheet4!$B$2:$B$1605,0),_xlfn.XMATCH("*Tăng trưởng lợi nhuận sau thuế (QoQ)*",Sheet4!$1:$1,2)),"")</f>
        <v>0</v>
      </c>
    </row>
    <row r="669" spans="1:18" x14ac:dyDescent="0.25">
      <c r="A669" s="7">
        <f>Sheet4!A648</f>
        <v>647</v>
      </c>
      <c r="B669" t="str">
        <f>Sheet4!B648</f>
        <v>SGH</v>
      </c>
      <c r="C669" t="str">
        <f>Sheet4!C647</f>
        <v>Sách GD TP.HCM</v>
      </c>
      <c r="D669" t="str">
        <f>Sheet4!D648</f>
        <v>HNX</v>
      </c>
      <c r="E669" s="7">
        <f>Sheet4!AH648/1000000000</f>
        <v>218.84457</v>
      </c>
      <c r="F669" t="str">
        <f>Sheet4!E648</f>
        <v>Dịch vụ Tiêu dùng</v>
      </c>
      <c r="G669" t="str">
        <f>Sheet4!F648</f>
        <v>Du lịch và Giải trí</v>
      </c>
      <c r="H669" t="str">
        <f>Sheet4!G648</f>
        <v>Khách sạn</v>
      </c>
      <c r="I669" s="9" cm="1">
        <f t="array" ref="I66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12.727844839999999</v>
      </c>
      <c r="J669" s="9" cm="1">
        <f t="array" ref="J66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25.620791701000002</v>
      </c>
      <c r="K669" s="10" cm="1">
        <f t="array" ref="K66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2.9100000000000001E-2</v>
      </c>
      <c r="L669" s="10" cm="1">
        <f t="array" ref="L66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4.3900000000000002E-2</v>
      </c>
      <c r="M669" s="9" cm="1">
        <f t="array" ref="M669">_xlfn.LET(_xlpm.val,IFERROR(INDEX(Sheet4!$2:$1605,MATCH(ChiTietKQKD[[#This Row],[Mã CP]],Sheet4!$B$2:$B$1605,0),_xlfn.XMATCH("*Lợi nhuận sau thuế*Q2*2026*",Sheet4!$1:$1,2)),0),IF(OR(_xlpm.val="",_xlpm.val=0),"",_xlpm.val/1000000000))</f>
        <v>3.6906403079999999</v>
      </c>
      <c r="N669" s="9" cm="1">
        <f t="array" ref="N669">_xlfn.LET(_xlpm.val,IFERROR(INDEX(Sheet4!$2:$1605,MATCH(ChiTietKQKD[[#This Row],[Mã CP]],Sheet4!$B$2:$B$1605,0),_xlfn.XMATCH("*Lợi nhuận sau thuế*6 tháng*2026*",Sheet4!$1:$1,2)),0),IF(OR(_xlpm.val="",_xlpm.val=0),"",_xlpm.val/1000000000))</f>
        <v>8.9696810350000007</v>
      </c>
      <c r="O669" s="10" cm="1">
        <f t="array" ref="O669">IFERROR(INDEX(Sheet4!$2:$1605,MATCH(ChiTietKQKD[[#This Row],[Mã CP]],Sheet4!$B$2:$B$1605,0),_xlfn.XMATCH("*Tăng trưởng lợi nhuận sau thuế (YoY) (Quý*",Sheet4!$1:$1,2)),"")</f>
        <v>0.34789999999999999</v>
      </c>
      <c r="P669" s="10" cm="1">
        <f t="array" ref="P669">IFERROR(INDEX(Sheet4!$2:$1605,MATCH(ChiTietKQKD[[#This Row],[Mã CP]],Sheet4!$B$2:$B$1605,0),_xlfn.XMATCH("*Tăng trưởng lợi nhuận sau thuế (YoY) (6M)*",Sheet4!$1:$1,2)),"")</f>
        <v>0.20300000000000001</v>
      </c>
      <c r="Q669" s="10" cm="1">
        <f t="array" ref="Q669">IFERROR(INDEX(Sheet4!$2:$1605,MATCH(ChiTietKQKD[[#This Row],[Mã CP]],Sheet4!$B$2:$B$1605,0),_xlfn.XMATCH("*Tăng trưởng doanh thu thuần (QoQ)*",Sheet4!$1:$1,2)),"")</f>
        <v>-1.2800000000000001E-2</v>
      </c>
      <c r="R669" s="10" cm="1">
        <f t="array" ref="R669">IFERROR(INDEX(Sheet4!$2:$1605,MATCH(ChiTietKQKD[[#This Row],[Mã CP]],Sheet4!$B$2:$B$1605,0),_xlfn.XMATCH("*Tăng trưởng lợi nhuận sau thuế (QoQ)*",Sheet4!$1:$1,2)),"")</f>
        <v>-0.30099999999999999</v>
      </c>
    </row>
    <row r="670" spans="1:18" x14ac:dyDescent="0.25">
      <c r="A670" s="7">
        <f>Sheet4!A649</f>
        <v>648</v>
      </c>
      <c r="B670" t="str">
        <f>Sheet4!B649</f>
        <v>SHE</v>
      </c>
      <c r="C670" t="str">
        <f>Sheet4!C648</f>
        <v>Khách sạn Sài Gòn</v>
      </c>
      <c r="D670" t="str">
        <f>Sheet4!D649</f>
        <v>HNX</v>
      </c>
      <c r="E670" s="7">
        <f>Sheet4!AH649/1000000000</f>
        <v>487.52939249999997</v>
      </c>
      <c r="F670" t="str">
        <f>Sheet4!E649</f>
        <v>Hàng Tiêu dùng</v>
      </c>
      <c r="G670" t="str">
        <f>Sheet4!F649</f>
        <v>Hàng cá nhân &amp; Gia dụng</v>
      </c>
      <c r="H670" t="str">
        <f>Sheet4!G649</f>
        <v>Đồ gia dụng lâu bền</v>
      </c>
      <c r="I670" s="9" t="str" cm="1">
        <f t="array" ref="I67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70" s="9" t="str" cm="1">
        <f t="array" ref="J67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70" s="10" cm="1">
        <f t="array" ref="K67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70" s="10" cm="1">
        <f t="array" ref="L67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70" s="9" t="str" cm="1">
        <f t="array" ref="M67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70" s="9" t="str" cm="1">
        <f t="array" ref="N67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70" s="10" cm="1">
        <f t="array" ref="O670">IFERROR(INDEX(Sheet4!$2:$1605,MATCH(ChiTietKQKD[[#This Row],[Mã CP]],Sheet4!$B$2:$B$1605,0),_xlfn.XMATCH("*Tăng trưởng lợi nhuận sau thuế (YoY) (Quý*",Sheet4!$1:$1,2)),"")</f>
        <v>0</v>
      </c>
      <c r="P670" s="10" cm="1">
        <f t="array" ref="P670">IFERROR(INDEX(Sheet4!$2:$1605,MATCH(ChiTietKQKD[[#This Row],[Mã CP]],Sheet4!$B$2:$B$1605,0),_xlfn.XMATCH("*Tăng trưởng lợi nhuận sau thuế (YoY) (6M)*",Sheet4!$1:$1,2)),"")</f>
        <v>0</v>
      </c>
      <c r="Q670" s="10" cm="1">
        <f t="array" ref="Q670">IFERROR(INDEX(Sheet4!$2:$1605,MATCH(ChiTietKQKD[[#This Row],[Mã CP]],Sheet4!$B$2:$B$1605,0),_xlfn.XMATCH("*Tăng trưởng doanh thu thuần (QoQ)*",Sheet4!$1:$1,2)),"")</f>
        <v>0</v>
      </c>
      <c r="R670" s="10" cm="1">
        <f t="array" ref="R670">IFERROR(INDEX(Sheet4!$2:$1605,MATCH(ChiTietKQKD[[#This Row],[Mã CP]],Sheet4!$B$2:$B$1605,0),_xlfn.XMATCH("*Tăng trưởng lợi nhuận sau thuế (QoQ)*",Sheet4!$1:$1,2)),"")</f>
        <v>0</v>
      </c>
    </row>
    <row r="671" spans="1:18" x14ac:dyDescent="0.25">
      <c r="A671" s="7">
        <f>Sheet4!A650</f>
        <v>649</v>
      </c>
      <c r="B671" t="str">
        <f>Sheet4!B650</f>
        <v>SHN</v>
      </c>
      <c r="C671" t="str">
        <f>Sheet4!C649</f>
        <v>PT Năng Lượng Sơn Hà</v>
      </c>
      <c r="D671" t="str">
        <f>Sheet4!D650</f>
        <v>HNX</v>
      </c>
      <c r="E671" s="7">
        <f>Sheet4!AH650/1000000000</f>
        <v>1231.2678965</v>
      </c>
      <c r="F671" t="str">
        <f>Sheet4!E650</f>
        <v>Nguyên vật liệu</v>
      </c>
      <c r="G671" t="str">
        <f>Sheet4!F650</f>
        <v>Tài nguyên Cơ bản</v>
      </c>
      <c r="H671" t="str">
        <f>Sheet4!G650</f>
        <v>Khai thác Than</v>
      </c>
      <c r="I671" s="9" t="str" cm="1">
        <f t="array" ref="I67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71" s="9" t="str" cm="1">
        <f t="array" ref="J67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71" s="10" cm="1">
        <f t="array" ref="K67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71" s="10" cm="1">
        <f t="array" ref="L67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71" s="9" t="str" cm="1">
        <f t="array" ref="M67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71" s="9" t="str" cm="1">
        <f t="array" ref="N67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71" s="10" cm="1">
        <f t="array" ref="O671">IFERROR(INDEX(Sheet4!$2:$1605,MATCH(ChiTietKQKD[[#This Row],[Mã CP]],Sheet4!$B$2:$B$1605,0),_xlfn.XMATCH("*Tăng trưởng lợi nhuận sau thuế (YoY) (Quý*",Sheet4!$1:$1,2)),"")</f>
        <v>0</v>
      </c>
      <c r="P671" s="10" cm="1">
        <f t="array" ref="P671">IFERROR(INDEX(Sheet4!$2:$1605,MATCH(ChiTietKQKD[[#This Row],[Mã CP]],Sheet4!$B$2:$B$1605,0),_xlfn.XMATCH("*Tăng trưởng lợi nhuận sau thuế (YoY) (6M)*",Sheet4!$1:$1,2)),"")</f>
        <v>0</v>
      </c>
      <c r="Q671" s="10" cm="1">
        <f t="array" ref="Q671">IFERROR(INDEX(Sheet4!$2:$1605,MATCH(ChiTietKQKD[[#This Row],[Mã CP]],Sheet4!$B$2:$B$1605,0),_xlfn.XMATCH("*Tăng trưởng doanh thu thuần (QoQ)*",Sheet4!$1:$1,2)),"")</f>
        <v>0</v>
      </c>
      <c r="R671" s="10" cm="1">
        <f t="array" ref="R671">IFERROR(INDEX(Sheet4!$2:$1605,MATCH(ChiTietKQKD[[#This Row],[Mã CP]],Sheet4!$B$2:$B$1605,0),_xlfn.XMATCH("*Tăng trưởng lợi nhuận sau thuế (QoQ)*",Sheet4!$1:$1,2)),"")</f>
        <v>0</v>
      </c>
    </row>
    <row r="672" spans="1:18" x14ac:dyDescent="0.25">
      <c r="A672" s="7">
        <f>Sheet4!A651</f>
        <v>650</v>
      </c>
      <c r="B672" t="str">
        <f>Sheet4!B651</f>
        <v>SHS</v>
      </c>
      <c r="C672" t="str">
        <f>Sheet4!C650</f>
        <v>Đầu tư Tổng hợp Hà Nội</v>
      </c>
      <c r="D672" t="str">
        <f>Sheet4!D651</f>
        <v>HNX</v>
      </c>
      <c r="E672" s="7">
        <f>Sheet4!AH651/1000000000</f>
        <v>13851.718188000001</v>
      </c>
      <c r="F672" t="str">
        <f>Sheet4!E651</f>
        <v>Tài chính</v>
      </c>
      <c r="G672" t="str">
        <f>Sheet4!F651</f>
        <v>Dịch vụ tài chính</v>
      </c>
      <c r="H672" t="str">
        <f>Sheet4!G651</f>
        <v>Môi giới chứng khoán</v>
      </c>
      <c r="I672" s="9" cm="1">
        <f t="array" ref="I67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450.33958958599999</v>
      </c>
      <c r="J672" s="9" cm="1">
        <f t="array" ref="J67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1015.037906522</v>
      </c>
      <c r="K672" s="10" cm="1">
        <f t="array" ref="K67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-0.35099999999999998</v>
      </c>
      <c r="L672" s="10" cm="1">
        <f t="array" ref="L67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-0.1915</v>
      </c>
      <c r="M672" s="9" cm="1">
        <f t="array" ref="M672">_xlfn.LET(_xlpm.val,IFERROR(INDEX(Sheet4!$2:$1605,MATCH(ChiTietKQKD[[#This Row],[Mã CP]],Sheet4!$B$2:$B$1605,0),_xlfn.XMATCH("*Lợi nhuận sau thuế*Q2*2026*",Sheet4!$1:$1,2)),0),IF(OR(_xlpm.val="",_xlpm.val=0),"",_xlpm.val/1000000000))</f>
        <v>75.774982472999994</v>
      </c>
      <c r="N672" s="9" cm="1">
        <f t="array" ref="N672">_xlfn.LET(_xlpm.val,IFERROR(INDEX(Sheet4!$2:$1605,MATCH(ChiTietKQKD[[#This Row],[Mã CP]],Sheet4!$B$2:$B$1605,0),_xlfn.XMATCH("*Lợi nhuận sau thuế*6 tháng*2026*",Sheet4!$1:$1,2)),0),IF(OR(_xlpm.val="",_xlpm.val=0),"",_xlpm.val/1000000000))</f>
        <v>307.599146389</v>
      </c>
      <c r="O672" s="10" cm="1">
        <f t="array" ref="O672">IFERROR(INDEX(Sheet4!$2:$1605,MATCH(ChiTietKQKD[[#This Row],[Mã CP]],Sheet4!$B$2:$B$1605,0),_xlfn.XMATCH("*Tăng trưởng lợi nhuận sau thuế (YoY) (Quý*",Sheet4!$1:$1,2)),"")</f>
        <v>-0.80200000000000005</v>
      </c>
      <c r="P672" s="10" cm="1">
        <f t="array" ref="P672">IFERROR(INDEX(Sheet4!$2:$1605,MATCH(ChiTietKQKD[[#This Row],[Mã CP]],Sheet4!$B$2:$B$1605,0),_xlfn.XMATCH("*Tăng trưởng lợi nhuận sau thuế (YoY) (6M)*",Sheet4!$1:$1,2)),"")</f>
        <v>-0.52349999999999997</v>
      </c>
      <c r="Q672" s="10" cm="1">
        <f t="array" ref="Q672">IFERROR(INDEX(Sheet4!$2:$1605,MATCH(ChiTietKQKD[[#This Row],[Mã CP]],Sheet4!$B$2:$B$1605,0),_xlfn.XMATCH("*Tăng trưởng doanh thu thuần (QoQ)*",Sheet4!$1:$1,2)),"")</f>
        <v>-0.20250000000000001</v>
      </c>
      <c r="R672" s="10" cm="1">
        <f t="array" ref="R672">IFERROR(INDEX(Sheet4!$2:$1605,MATCH(ChiTietKQKD[[#This Row],[Mã CP]],Sheet4!$B$2:$B$1605,0),_xlfn.XMATCH("*Tăng trưởng lợi nhuận sau thuế (QoQ)*",Sheet4!$1:$1,2)),"")</f>
        <v>-0.67310000000000003</v>
      </c>
    </row>
    <row r="673" spans="1:18" x14ac:dyDescent="0.25">
      <c r="A673" s="7">
        <f>Sheet4!A652</f>
        <v>651</v>
      </c>
      <c r="B673" t="str">
        <f>Sheet4!B652</f>
        <v>SJ1</v>
      </c>
      <c r="C673" t="str">
        <f>Sheet4!C651</f>
        <v>Chứng khoán SG - HN</v>
      </c>
      <c r="D673" t="str">
        <f>Sheet4!D652</f>
        <v>HNX</v>
      </c>
      <c r="E673" s="7">
        <f>Sheet4!AH652/1000000000</f>
        <v>691.20012540000005</v>
      </c>
      <c r="F673" t="str">
        <f>Sheet4!E652</f>
        <v>Hàng Tiêu dùng</v>
      </c>
      <c r="G673" t="str">
        <f>Sheet4!F652</f>
        <v>Thực phẩm và đồ uống</v>
      </c>
      <c r="H673" t="str">
        <f>Sheet4!G652</f>
        <v>Nuôi trồng nông &amp; hải sản</v>
      </c>
      <c r="I673" s="9" t="str" cm="1">
        <f t="array" ref="I67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73" s="9" t="str" cm="1">
        <f t="array" ref="J67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73" s="10" cm="1">
        <f t="array" ref="K67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73" s="10" cm="1">
        <f t="array" ref="L67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73" s="9" t="str" cm="1">
        <f t="array" ref="M67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73" s="9" t="str" cm="1">
        <f t="array" ref="N67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73" s="10" cm="1">
        <f t="array" ref="O673">IFERROR(INDEX(Sheet4!$2:$1605,MATCH(ChiTietKQKD[[#This Row],[Mã CP]],Sheet4!$B$2:$B$1605,0),_xlfn.XMATCH("*Tăng trưởng lợi nhuận sau thuế (YoY) (Quý*",Sheet4!$1:$1,2)),"")</f>
        <v>0</v>
      </c>
      <c r="P673" s="10" cm="1">
        <f t="array" ref="P673">IFERROR(INDEX(Sheet4!$2:$1605,MATCH(ChiTietKQKD[[#This Row],[Mã CP]],Sheet4!$B$2:$B$1605,0),_xlfn.XMATCH("*Tăng trưởng lợi nhuận sau thuế (YoY) (6M)*",Sheet4!$1:$1,2)),"")</f>
        <v>0</v>
      </c>
      <c r="Q673" s="10" cm="1">
        <f t="array" ref="Q673">IFERROR(INDEX(Sheet4!$2:$1605,MATCH(ChiTietKQKD[[#This Row],[Mã CP]],Sheet4!$B$2:$B$1605,0),_xlfn.XMATCH("*Tăng trưởng doanh thu thuần (QoQ)*",Sheet4!$1:$1,2)),"")</f>
        <v>0</v>
      </c>
      <c r="R673" s="10" cm="1">
        <f t="array" ref="R673">IFERROR(INDEX(Sheet4!$2:$1605,MATCH(ChiTietKQKD[[#This Row],[Mã CP]],Sheet4!$B$2:$B$1605,0),_xlfn.XMATCH("*Tăng trưởng lợi nhuận sau thuế (QoQ)*",Sheet4!$1:$1,2)),"")</f>
        <v>0</v>
      </c>
    </row>
    <row r="674" spans="1:18" x14ac:dyDescent="0.25">
      <c r="A674" s="7">
        <f>Sheet4!A653</f>
        <v>652</v>
      </c>
      <c r="B674" t="str">
        <f>Sheet4!B653</f>
        <v>SJE</v>
      </c>
      <c r="C674" t="str">
        <f>Sheet4!C652</f>
        <v>Nông nghiệp Hùng Hậu</v>
      </c>
      <c r="D674" t="str">
        <f>Sheet4!D653</f>
        <v>HNX</v>
      </c>
      <c r="E674" s="7">
        <f>Sheet4!AH653/1000000000</f>
        <v>432</v>
      </c>
      <c r="F674" t="str">
        <f>Sheet4!E653</f>
        <v>Công nghiệp</v>
      </c>
      <c r="G674" t="str">
        <f>Sheet4!F653</f>
        <v>Xây dựng và Vật liệu</v>
      </c>
      <c r="H674" t="str">
        <f>Sheet4!G653</f>
        <v>Xây dựng</v>
      </c>
      <c r="I674" s="9" t="str" cm="1">
        <f t="array" ref="I67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74" s="9" t="str" cm="1">
        <f t="array" ref="J67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74" s="10" cm="1">
        <f t="array" ref="K67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74" s="10" cm="1">
        <f t="array" ref="L67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74" s="9" t="str" cm="1">
        <f t="array" ref="M67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74" s="9" t="str" cm="1">
        <f t="array" ref="N67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74" s="10" cm="1">
        <f t="array" ref="O674">IFERROR(INDEX(Sheet4!$2:$1605,MATCH(ChiTietKQKD[[#This Row],[Mã CP]],Sheet4!$B$2:$B$1605,0),_xlfn.XMATCH("*Tăng trưởng lợi nhuận sau thuế (YoY) (Quý*",Sheet4!$1:$1,2)),"")</f>
        <v>0</v>
      </c>
      <c r="P674" s="10" cm="1">
        <f t="array" ref="P674">IFERROR(INDEX(Sheet4!$2:$1605,MATCH(ChiTietKQKD[[#This Row],[Mã CP]],Sheet4!$B$2:$B$1605,0),_xlfn.XMATCH("*Tăng trưởng lợi nhuận sau thuế (YoY) (6M)*",Sheet4!$1:$1,2)),"")</f>
        <v>0</v>
      </c>
      <c r="Q674" s="10" cm="1">
        <f t="array" ref="Q674">IFERROR(INDEX(Sheet4!$2:$1605,MATCH(ChiTietKQKD[[#This Row],[Mã CP]],Sheet4!$B$2:$B$1605,0),_xlfn.XMATCH("*Tăng trưởng doanh thu thuần (QoQ)*",Sheet4!$1:$1,2)),"")</f>
        <v>0</v>
      </c>
      <c r="R674" s="10" cm="1">
        <f t="array" ref="R674">IFERROR(INDEX(Sheet4!$2:$1605,MATCH(ChiTietKQKD[[#This Row],[Mã CP]],Sheet4!$B$2:$B$1605,0),_xlfn.XMATCH("*Tăng trưởng lợi nhuận sau thuế (QoQ)*",Sheet4!$1:$1,2)),"")</f>
        <v>0</v>
      </c>
    </row>
    <row r="675" spans="1:18" x14ac:dyDescent="0.25">
      <c r="A675" s="7">
        <f>Sheet4!A654</f>
        <v>653</v>
      </c>
      <c r="B675" t="str">
        <f>Sheet4!B654</f>
        <v>SLS</v>
      </c>
      <c r="C675" t="str">
        <f>Sheet4!C653</f>
        <v>Sông Đà 11</v>
      </c>
      <c r="D675" t="str">
        <f>Sheet4!D654</f>
        <v>HNX</v>
      </c>
      <c r="E675" s="7">
        <f>Sheet4!AH654/1000000000</f>
        <v>1361.0803550000001</v>
      </c>
      <c r="F675" t="str">
        <f>Sheet4!E654</f>
        <v>Hàng Tiêu dùng</v>
      </c>
      <c r="G675" t="str">
        <f>Sheet4!F654</f>
        <v>Thực phẩm và đồ uống</v>
      </c>
      <c r="H675" t="str">
        <f>Sheet4!G654</f>
        <v>Thực phẩm</v>
      </c>
      <c r="I675" s="9" t="str" cm="1">
        <f t="array" ref="I67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75" s="9" t="str" cm="1">
        <f t="array" ref="J67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75" s="10" cm="1">
        <f t="array" ref="K67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75" s="10" cm="1">
        <f t="array" ref="L67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75" s="9" t="str" cm="1">
        <f t="array" ref="M67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75" s="9" t="str" cm="1">
        <f t="array" ref="N67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75" s="10" cm="1">
        <f t="array" ref="O675">IFERROR(INDEX(Sheet4!$2:$1605,MATCH(ChiTietKQKD[[#This Row],[Mã CP]],Sheet4!$B$2:$B$1605,0),_xlfn.XMATCH("*Tăng trưởng lợi nhuận sau thuế (YoY) (Quý*",Sheet4!$1:$1,2)),"")</f>
        <v>0</v>
      </c>
      <c r="P675" s="10" cm="1">
        <f t="array" ref="P675">IFERROR(INDEX(Sheet4!$2:$1605,MATCH(ChiTietKQKD[[#This Row],[Mã CP]],Sheet4!$B$2:$B$1605,0),_xlfn.XMATCH("*Tăng trưởng lợi nhuận sau thuế (YoY) (6M)*",Sheet4!$1:$1,2)),"")</f>
        <v>0</v>
      </c>
      <c r="Q675" s="10" cm="1">
        <f t="array" ref="Q675">IFERROR(INDEX(Sheet4!$2:$1605,MATCH(ChiTietKQKD[[#This Row],[Mã CP]],Sheet4!$B$2:$B$1605,0),_xlfn.XMATCH("*Tăng trưởng doanh thu thuần (QoQ)*",Sheet4!$1:$1,2)),"")</f>
        <v>0</v>
      </c>
      <c r="R675" s="10" cm="1">
        <f t="array" ref="R675">IFERROR(INDEX(Sheet4!$2:$1605,MATCH(ChiTietKQKD[[#This Row],[Mã CP]],Sheet4!$B$2:$B$1605,0),_xlfn.XMATCH("*Tăng trưởng lợi nhuận sau thuế (QoQ)*",Sheet4!$1:$1,2)),"")</f>
        <v>0</v>
      </c>
    </row>
    <row r="676" spans="1:18" x14ac:dyDescent="0.25">
      <c r="A676" s="7">
        <f>Sheet4!A655</f>
        <v>654</v>
      </c>
      <c r="B676" t="str">
        <f>Sheet4!B655</f>
        <v>SMN</v>
      </c>
      <c r="C676" t="str">
        <f>Sheet4!C654</f>
        <v>Mía đường Sơn La</v>
      </c>
      <c r="D676" t="str">
        <f>Sheet4!D655</f>
        <v>HNX</v>
      </c>
      <c r="E676" s="7">
        <f>Sheet4!AH655/1000000000</f>
        <v>28.6325</v>
      </c>
      <c r="F676" t="str">
        <f>Sheet4!E655</f>
        <v>Dịch vụ Tiêu dùng</v>
      </c>
      <c r="G676" t="str">
        <f>Sheet4!F655</f>
        <v>Truyền thông</v>
      </c>
      <c r="H676" t="str">
        <f>Sheet4!G655</f>
        <v>Sách, ấn bản &amp; sản phẩm văn hóa</v>
      </c>
      <c r="I676" s="9" cm="1">
        <f t="array" ref="I67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259.59090666700001</v>
      </c>
      <c r="J676" s="9" cm="1">
        <f t="array" ref="J67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269.73334703699999</v>
      </c>
      <c r="K676" s="10" cm="1">
        <f t="array" ref="K67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0.55659999999999998</v>
      </c>
      <c r="L676" s="10" cm="1">
        <f t="array" ref="L67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0.45419999999999999</v>
      </c>
      <c r="M676" s="9" cm="1">
        <f t="array" ref="M676">_xlfn.LET(_xlpm.val,IFERROR(INDEX(Sheet4!$2:$1605,MATCH(ChiTietKQKD[[#This Row],[Mã CP]],Sheet4!$B$2:$B$1605,0),_xlfn.XMATCH("*Lợi nhuận sau thuế*Q2*2026*",Sheet4!$1:$1,2)),0),IF(OR(_xlpm.val="",_xlpm.val=0),"",_xlpm.val/1000000000))</f>
        <v>4.7534249539999998</v>
      </c>
      <c r="N676" s="9" cm="1">
        <f t="array" ref="N676">_xlfn.LET(_xlpm.val,IFERROR(INDEX(Sheet4!$2:$1605,MATCH(ChiTietKQKD[[#This Row],[Mã CP]],Sheet4!$B$2:$B$1605,0),_xlfn.XMATCH("*Lợi nhuận sau thuế*6 tháng*2026*",Sheet4!$1:$1,2)),0),IF(OR(_xlpm.val="",_xlpm.val=0),"",_xlpm.val/1000000000))</f>
        <v>2.2751713690000002</v>
      </c>
      <c r="O676" s="10" cm="1">
        <f t="array" ref="O676">IFERROR(INDEX(Sheet4!$2:$1605,MATCH(ChiTietKQKD[[#This Row],[Mã CP]],Sheet4!$B$2:$B$1605,0),_xlfn.XMATCH("*Tăng trưởng lợi nhuận sau thuế (YoY) (Quý*",Sheet4!$1:$1,2)),"")</f>
        <v>0.52669999999999995</v>
      </c>
      <c r="P676" s="10" cm="1">
        <f t="array" ref="P676">IFERROR(INDEX(Sheet4!$2:$1605,MATCH(ChiTietKQKD[[#This Row],[Mã CP]],Sheet4!$B$2:$B$1605,0),_xlfn.XMATCH("*Tăng trưởng lợi nhuận sau thuế (YoY) (6M)*",Sheet4!$1:$1,2)),"")</f>
        <v>-0.28160000000000002</v>
      </c>
      <c r="Q676" s="10" cm="1">
        <f t="array" ref="Q676">IFERROR(INDEX(Sheet4!$2:$1605,MATCH(ChiTietKQKD[[#This Row],[Mã CP]],Sheet4!$B$2:$B$1605,0),_xlfn.XMATCH("*Tăng trưởng doanh thu thuần (QoQ)*",Sheet4!$1:$1,2)),"")</f>
        <v>24.5945</v>
      </c>
      <c r="R676" s="10" cm="1">
        <f t="array" ref="R676">IFERROR(INDEX(Sheet4!$2:$1605,MATCH(ChiTietKQKD[[#This Row],[Mã CP]],Sheet4!$B$2:$B$1605,0),_xlfn.XMATCH("*Tăng trưởng lợi nhuận sau thuế (QoQ)*",Sheet4!$1:$1,2)),"")</f>
        <v>2.9180999999999999</v>
      </c>
    </row>
    <row r="677" spans="1:18" x14ac:dyDescent="0.25">
      <c r="A677" s="7">
        <f>Sheet4!A656</f>
        <v>655</v>
      </c>
      <c r="B677" t="str">
        <f>Sheet4!B656</f>
        <v>SMT</v>
      </c>
      <c r="C677" t="str">
        <f>Sheet4!C655</f>
        <v>Sách và thiết bị GD miền Nam</v>
      </c>
      <c r="D677" t="str">
        <f>Sheet4!D656</f>
        <v>HNX</v>
      </c>
      <c r="E677" s="7">
        <f>Sheet4!AH656/1000000000</f>
        <v>80.041015799999997</v>
      </c>
      <c r="F677" t="str">
        <f>Sheet4!E656</f>
        <v>Công nghệ Thông tin</v>
      </c>
      <c r="G677" t="str">
        <f>Sheet4!F656</f>
        <v>Công nghệ Thông tin</v>
      </c>
      <c r="H677" t="str">
        <f>Sheet4!G656</f>
        <v>Thiết bị viễn thông</v>
      </c>
      <c r="I677" s="9" t="str" cm="1">
        <f t="array" ref="I67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77" s="9" t="str" cm="1">
        <f t="array" ref="J67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77" s="10" cm="1">
        <f t="array" ref="K67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77" s="10" cm="1">
        <f t="array" ref="L67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77" s="9" t="str" cm="1">
        <f t="array" ref="M67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77" s="9" t="str" cm="1">
        <f t="array" ref="N67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77" s="10" cm="1">
        <f t="array" ref="O677">IFERROR(INDEX(Sheet4!$2:$1605,MATCH(ChiTietKQKD[[#This Row],[Mã CP]],Sheet4!$B$2:$B$1605,0),_xlfn.XMATCH("*Tăng trưởng lợi nhuận sau thuế (YoY) (Quý*",Sheet4!$1:$1,2)),"")</f>
        <v>0</v>
      </c>
      <c r="P677" s="10" cm="1">
        <f t="array" ref="P677">IFERROR(INDEX(Sheet4!$2:$1605,MATCH(ChiTietKQKD[[#This Row],[Mã CP]],Sheet4!$B$2:$B$1605,0),_xlfn.XMATCH("*Tăng trưởng lợi nhuận sau thuế (YoY) (6M)*",Sheet4!$1:$1,2)),"")</f>
        <v>0</v>
      </c>
      <c r="Q677" s="10" cm="1">
        <f t="array" ref="Q677">IFERROR(INDEX(Sheet4!$2:$1605,MATCH(ChiTietKQKD[[#This Row],[Mã CP]],Sheet4!$B$2:$B$1605,0),_xlfn.XMATCH("*Tăng trưởng doanh thu thuần (QoQ)*",Sheet4!$1:$1,2)),"")</f>
        <v>0</v>
      </c>
      <c r="R677" s="10" cm="1">
        <f t="array" ref="R677">IFERROR(INDEX(Sheet4!$2:$1605,MATCH(ChiTietKQKD[[#This Row],[Mã CP]],Sheet4!$B$2:$B$1605,0),_xlfn.XMATCH("*Tăng trưởng lợi nhuận sau thuế (QoQ)*",Sheet4!$1:$1,2)),"")</f>
        <v>0</v>
      </c>
    </row>
    <row r="678" spans="1:18" x14ac:dyDescent="0.25">
      <c r="A678" s="7">
        <f>Sheet4!A657</f>
        <v>656</v>
      </c>
      <c r="B678" t="str">
        <f>Sheet4!B657</f>
        <v>SPC</v>
      </c>
      <c r="C678" t="str">
        <f>Sheet4!C656</f>
        <v>SAMETEL</v>
      </c>
      <c r="D678" t="str">
        <f>Sheet4!D657</f>
        <v>HNX</v>
      </c>
      <c r="E678" s="7">
        <f>Sheet4!AH657/1000000000</f>
        <v>100.035</v>
      </c>
      <c r="F678" t="str">
        <f>Sheet4!E657</f>
        <v>Nguyên vật liệu</v>
      </c>
      <c r="G678" t="str">
        <f>Sheet4!F657</f>
        <v>Hóa chất</v>
      </c>
      <c r="H678" t="str">
        <f>Sheet4!G657</f>
        <v>Sản phẩm hóa dầu, Nông dược &amp; Hóa chất khác</v>
      </c>
      <c r="I678" s="9" t="str" cm="1">
        <f t="array" ref="I67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78" s="9" t="str" cm="1">
        <f t="array" ref="J67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78" s="10" cm="1">
        <f t="array" ref="K67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78" s="10" cm="1">
        <f t="array" ref="L67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78" s="9" t="str" cm="1">
        <f t="array" ref="M67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78" s="9" t="str" cm="1">
        <f t="array" ref="N67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78" s="10" cm="1">
        <f t="array" ref="O678">IFERROR(INDEX(Sheet4!$2:$1605,MATCH(ChiTietKQKD[[#This Row],[Mã CP]],Sheet4!$B$2:$B$1605,0),_xlfn.XMATCH("*Tăng trưởng lợi nhuận sau thuế (YoY) (Quý*",Sheet4!$1:$1,2)),"")</f>
        <v>0</v>
      </c>
      <c r="P678" s="10" cm="1">
        <f t="array" ref="P678">IFERROR(INDEX(Sheet4!$2:$1605,MATCH(ChiTietKQKD[[#This Row],[Mã CP]],Sheet4!$B$2:$B$1605,0),_xlfn.XMATCH("*Tăng trưởng lợi nhuận sau thuế (YoY) (6M)*",Sheet4!$1:$1,2)),"")</f>
        <v>0</v>
      </c>
      <c r="Q678" s="10" cm="1">
        <f t="array" ref="Q678">IFERROR(INDEX(Sheet4!$2:$1605,MATCH(ChiTietKQKD[[#This Row],[Mã CP]],Sheet4!$B$2:$B$1605,0),_xlfn.XMATCH("*Tăng trưởng doanh thu thuần (QoQ)*",Sheet4!$1:$1,2)),"")</f>
        <v>0</v>
      </c>
      <c r="R678" s="10" cm="1">
        <f t="array" ref="R678">IFERROR(INDEX(Sheet4!$2:$1605,MATCH(ChiTietKQKD[[#This Row],[Mã CP]],Sheet4!$B$2:$B$1605,0),_xlfn.XMATCH("*Tăng trưởng lợi nhuận sau thuế (QoQ)*",Sheet4!$1:$1,2)),"")</f>
        <v>0</v>
      </c>
    </row>
    <row r="679" spans="1:18" x14ac:dyDescent="0.25">
      <c r="A679" s="7">
        <f>Sheet4!A658</f>
        <v>657</v>
      </c>
      <c r="B679" t="str">
        <f>Sheet4!B658</f>
        <v>SRA</v>
      </c>
      <c r="C679" t="str">
        <f>Sheet4!C657</f>
        <v>BV Thực vật Sài Gòn</v>
      </c>
      <c r="D679" t="str">
        <f>Sheet4!D658</f>
        <v>HNX</v>
      </c>
      <c r="E679" s="7">
        <f>Sheet4!AH658/1000000000</f>
        <v>77.759953199999998</v>
      </c>
      <c r="F679" t="str">
        <f>Sheet4!E658</f>
        <v>Dược phẩm và Y tế</v>
      </c>
      <c r="G679" t="str">
        <f>Sheet4!F658</f>
        <v>Y tế</v>
      </c>
      <c r="H679" t="str">
        <f>Sheet4!G658</f>
        <v>Thiết bị y tế</v>
      </c>
      <c r="I679" s="9" t="str" cm="1">
        <f t="array" ref="I67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79" s="9" t="str" cm="1">
        <f t="array" ref="J67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79" s="10" cm="1">
        <f t="array" ref="K67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79" s="10" cm="1">
        <f t="array" ref="L67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79" s="9" t="str" cm="1">
        <f t="array" ref="M67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79" s="9" t="str" cm="1">
        <f t="array" ref="N67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79" s="10" cm="1">
        <f t="array" ref="O679">IFERROR(INDEX(Sheet4!$2:$1605,MATCH(ChiTietKQKD[[#This Row],[Mã CP]],Sheet4!$B$2:$B$1605,0),_xlfn.XMATCH("*Tăng trưởng lợi nhuận sau thuế (YoY) (Quý*",Sheet4!$1:$1,2)),"")</f>
        <v>0</v>
      </c>
      <c r="P679" s="10" cm="1">
        <f t="array" ref="P679">IFERROR(INDEX(Sheet4!$2:$1605,MATCH(ChiTietKQKD[[#This Row],[Mã CP]],Sheet4!$B$2:$B$1605,0),_xlfn.XMATCH("*Tăng trưởng lợi nhuận sau thuế (YoY) (6M)*",Sheet4!$1:$1,2)),"")</f>
        <v>0</v>
      </c>
      <c r="Q679" s="10" cm="1">
        <f t="array" ref="Q679">IFERROR(INDEX(Sheet4!$2:$1605,MATCH(ChiTietKQKD[[#This Row],[Mã CP]],Sheet4!$B$2:$B$1605,0),_xlfn.XMATCH("*Tăng trưởng doanh thu thuần (QoQ)*",Sheet4!$1:$1,2)),"")</f>
        <v>0</v>
      </c>
      <c r="R679" s="10" cm="1">
        <f t="array" ref="R679">IFERROR(INDEX(Sheet4!$2:$1605,MATCH(ChiTietKQKD[[#This Row],[Mã CP]],Sheet4!$B$2:$B$1605,0),_xlfn.XMATCH("*Tăng trưởng lợi nhuận sau thuế (QoQ)*",Sheet4!$1:$1,2)),"")</f>
        <v>0</v>
      </c>
    </row>
    <row r="680" spans="1:18" x14ac:dyDescent="0.25">
      <c r="A680" s="7">
        <f>Sheet4!A659</f>
        <v>658</v>
      </c>
      <c r="B680" t="str">
        <f>Sheet4!B659</f>
        <v>SSM</v>
      </c>
      <c r="C680" t="str">
        <f>Sheet4!C658</f>
        <v>SARA Việt Nam</v>
      </c>
      <c r="D680" t="str">
        <f>Sheet4!D659</f>
        <v>HNX</v>
      </c>
      <c r="E680" s="7">
        <f>Sheet4!AH659/1000000000</f>
        <v>22.758394200000001</v>
      </c>
      <c r="F680" t="str">
        <f>Sheet4!E659</f>
        <v>Nguyên vật liệu</v>
      </c>
      <c r="G680" t="str">
        <f>Sheet4!F659</f>
        <v>Tài nguyên Cơ bản</v>
      </c>
      <c r="H680" t="str">
        <f>Sheet4!G659</f>
        <v>Thép và sản phẩm thép</v>
      </c>
      <c r="I680" s="9" t="str" cm="1">
        <f t="array" ref="I68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80" s="9" t="str" cm="1">
        <f t="array" ref="J68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80" s="10" cm="1">
        <f t="array" ref="K68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80" s="10" cm="1">
        <f t="array" ref="L68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80" s="9" t="str" cm="1">
        <f t="array" ref="M68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80" s="9" t="str" cm="1">
        <f t="array" ref="N68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80" s="10" cm="1">
        <f t="array" ref="O680">IFERROR(INDEX(Sheet4!$2:$1605,MATCH(ChiTietKQKD[[#This Row],[Mã CP]],Sheet4!$B$2:$B$1605,0),_xlfn.XMATCH("*Tăng trưởng lợi nhuận sau thuế (YoY) (Quý*",Sheet4!$1:$1,2)),"")</f>
        <v>0</v>
      </c>
      <c r="P680" s="10" cm="1">
        <f t="array" ref="P680">IFERROR(INDEX(Sheet4!$2:$1605,MATCH(ChiTietKQKD[[#This Row],[Mã CP]],Sheet4!$B$2:$B$1605,0),_xlfn.XMATCH("*Tăng trưởng lợi nhuận sau thuế (YoY) (6M)*",Sheet4!$1:$1,2)),"")</f>
        <v>0</v>
      </c>
      <c r="Q680" s="10" cm="1">
        <f t="array" ref="Q680">IFERROR(INDEX(Sheet4!$2:$1605,MATCH(ChiTietKQKD[[#This Row],[Mã CP]],Sheet4!$B$2:$B$1605,0),_xlfn.XMATCH("*Tăng trưởng doanh thu thuần (QoQ)*",Sheet4!$1:$1,2)),"")</f>
        <v>0</v>
      </c>
      <c r="R680" s="10" cm="1">
        <f t="array" ref="R680">IFERROR(INDEX(Sheet4!$2:$1605,MATCH(ChiTietKQKD[[#This Row],[Mã CP]],Sheet4!$B$2:$B$1605,0),_xlfn.XMATCH("*Tăng trưởng lợi nhuận sau thuế (QoQ)*",Sheet4!$1:$1,2)),"")</f>
        <v>0</v>
      </c>
    </row>
    <row r="681" spans="1:18" x14ac:dyDescent="0.25">
      <c r="A681" s="7">
        <f>Sheet4!A660</f>
        <v>659</v>
      </c>
      <c r="B681" t="str">
        <f>Sheet4!B660</f>
        <v>STC</v>
      </c>
      <c r="C681" t="str">
        <f>Sheet4!C659</f>
        <v>Kết cấu Thép VNECO</v>
      </c>
      <c r="D681" t="str">
        <f>Sheet4!D660</f>
        <v>HNX</v>
      </c>
      <c r="E681" s="7">
        <f>Sheet4!AH660/1000000000</f>
        <v>77.617761000000002</v>
      </c>
      <c r="F681" t="str">
        <f>Sheet4!E660</f>
        <v>Dịch vụ Tiêu dùng</v>
      </c>
      <c r="G681" t="str">
        <f>Sheet4!F660</f>
        <v>Truyền thông</v>
      </c>
      <c r="H681" t="str">
        <f>Sheet4!G660</f>
        <v>Sách, ấn bản &amp; sản phẩm văn hóa</v>
      </c>
      <c r="I681" s="9" t="str" cm="1">
        <f t="array" ref="I68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81" s="9" t="str" cm="1">
        <f t="array" ref="J68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81" s="10" cm="1">
        <f t="array" ref="K68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81" s="10" cm="1">
        <f t="array" ref="L68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81" s="9" t="str" cm="1">
        <f t="array" ref="M68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81" s="9" t="str" cm="1">
        <f t="array" ref="N68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81" s="10" cm="1">
        <f t="array" ref="O681">IFERROR(INDEX(Sheet4!$2:$1605,MATCH(ChiTietKQKD[[#This Row],[Mã CP]],Sheet4!$B$2:$B$1605,0),_xlfn.XMATCH("*Tăng trưởng lợi nhuận sau thuế (YoY) (Quý*",Sheet4!$1:$1,2)),"")</f>
        <v>0</v>
      </c>
      <c r="P681" s="10" cm="1">
        <f t="array" ref="P681">IFERROR(INDEX(Sheet4!$2:$1605,MATCH(ChiTietKQKD[[#This Row],[Mã CP]],Sheet4!$B$2:$B$1605,0),_xlfn.XMATCH("*Tăng trưởng lợi nhuận sau thuế (YoY) (6M)*",Sheet4!$1:$1,2)),"")</f>
        <v>0</v>
      </c>
      <c r="Q681" s="10" cm="1">
        <f t="array" ref="Q681">IFERROR(INDEX(Sheet4!$2:$1605,MATCH(ChiTietKQKD[[#This Row],[Mã CP]],Sheet4!$B$2:$B$1605,0),_xlfn.XMATCH("*Tăng trưởng doanh thu thuần (QoQ)*",Sheet4!$1:$1,2)),"")</f>
        <v>0</v>
      </c>
      <c r="R681" s="10" cm="1">
        <f t="array" ref="R681">IFERROR(INDEX(Sheet4!$2:$1605,MATCH(ChiTietKQKD[[#This Row],[Mã CP]],Sheet4!$B$2:$B$1605,0),_xlfn.XMATCH("*Tăng trưởng lợi nhuận sau thuế (QoQ)*",Sheet4!$1:$1,2)),"")</f>
        <v>0</v>
      </c>
    </row>
    <row r="682" spans="1:18" x14ac:dyDescent="0.25">
      <c r="A682" s="7">
        <f>Sheet4!A661</f>
        <v>660</v>
      </c>
      <c r="B682" t="str">
        <f>Sheet4!B661</f>
        <v>STP</v>
      </c>
      <c r="C682" t="str">
        <f>Sheet4!C660</f>
        <v>Sách và TB Trường học TP HCM</v>
      </c>
      <c r="D682" t="str">
        <f>Sheet4!D661</f>
        <v>HNX</v>
      </c>
      <c r="E682" s="7">
        <f>Sheet4!AH661/1000000000</f>
        <v>60.967678800000002</v>
      </c>
      <c r="F682" t="str">
        <f>Sheet4!E661</f>
        <v>Công nghiệp</v>
      </c>
      <c r="G682" t="str">
        <f>Sheet4!F661</f>
        <v>Hàng &amp; Dịch vụ Công nghiệp</v>
      </c>
      <c r="H682" t="str">
        <f>Sheet4!G661</f>
        <v>Containers &amp; Đóng gói</v>
      </c>
      <c r="I682" s="9" t="str" cm="1">
        <f t="array" ref="I68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82" s="9" t="str" cm="1">
        <f t="array" ref="J68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82" s="10" cm="1">
        <f t="array" ref="K68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82" s="10" cm="1">
        <f t="array" ref="L68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82" s="9" t="str" cm="1">
        <f t="array" ref="M68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82" s="9" t="str" cm="1">
        <f t="array" ref="N68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82" s="10" cm="1">
        <f t="array" ref="O682">IFERROR(INDEX(Sheet4!$2:$1605,MATCH(ChiTietKQKD[[#This Row],[Mã CP]],Sheet4!$B$2:$B$1605,0),_xlfn.XMATCH("*Tăng trưởng lợi nhuận sau thuế (YoY) (Quý*",Sheet4!$1:$1,2)),"")</f>
        <v>0</v>
      </c>
      <c r="P682" s="10" cm="1">
        <f t="array" ref="P682">IFERROR(INDEX(Sheet4!$2:$1605,MATCH(ChiTietKQKD[[#This Row],[Mã CP]],Sheet4!$B$2:$B$1605,0),_xlfn.XMATCH("*Tăng trưởng lợi nhuận sau thuế (YoY) (6M)*",Sheet4!$1:$1,2)),"")</f>
        <v>0</v>
      </c>
      <c r="Q682" s="10" cm="1">
        <f t="array" ref="Q682">IFERROR(INDEX(Sheet4!$2:$1605,MATCH(ChiTietKQKD[[#This Row],[Mã CP]],Sheet4!$B$2:$B$1605,0),_xlfn.XMATCH("*Tăng trưởng doanh thu thuần (QoQ)*",Sheet4!$1:$1,2)),"")</f>
        <v>0</v>
      </c>
      <c r="R682" s="10" cm="1">
        <f t="array" ref="R682">IFERROR(INDEX(Sheet4!$2:$1605,MATCH(ChiTietKQKD[[#This Row],[Mã CP]],Sheet4!$B$2:$B$1605,0),_xlfn.XMATCH("*Tăng trưởng lợi nhuận sau thuế (QoQ)*",Sheet4!$1:$1,2)),"")</f>
        <v>0</v>
      </c>
    </row>
    <row r="683" spans="1:18" x14ac:dyDescent="0.25">
      <c r="A683" s="7">
        <f>Sheet4!A662</f>
        <v>661</v>
      </c>
      <c r="B683" t="str">
        <f>Sheet4!B662</f>
        <v>SVN</v>
      </c>
      <c r="C683" t="str">
        <f>Sheet4!C661</f>
        <v>CN Thương Mại Sông Đà</v>
      </c>
      <c r="D683" t="str">
        <f>Sheet4!D662</f>
        <v>HNX</v>
      </c>
      <c r="E683" s="7">
        <f>Sheet4!AH662/1000000000</f>
        <v>54.6</v>
      </c>
      <c r="F683" t="str">
        <f>Sheet4!E662</f>
        <v>Công nghiệp</v>
      </c>
      <c r="G683" t="str">
        <f>Sheet4!F662</f>
        <v>Xây dựng và Vật liệu</v>
      </c>
      <c r="H683" t="str">
        <f>Sheet4!G662</f>
        <v>Xây dựng</v>
      </c>
      <c r="I683" s="9" t="str" cm="1">
        <f t="array" ref="I68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83" s="9" t="str" cm="1">
        <f t="array" ref="J68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83" s="10" cm="1">
        <f t="array" ref="K68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83" s="10" cm="1">
        <f t="array" ref="L68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83" s="9" t="str" cm="1">
        <f t="array" ref="M68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83" s="9" t="str" cm="1">
        <f t="array" ref="N68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83" s="10" cm="1">
        <f t="array" ref="O683">IFERROR(INDEX(Sheet4!$2:$1605,MATCH(ChiTietKQKD[[#This Row],[Mã CP]],Sheet4!$B$2:$B$1605,0),_xlfn.XMATCH("*Tăng trưởng lợi nhuận sau thuế (YoY) (Quý*",Sheet4!$1:$1,2)),"")</f>
        <v>0</v>
      </c>
      <c r="P683" s="10" cm="1">
        <f t="array" ref="P683">IFERROR(INDEX(Sheet4!$2:$1605,MATCH(ChiTietKQKD[[#This Row],[Mã CP]],Sheet4!$B$2:$B$1605,0),_xlfn.XMATCH("*Tăng trưởng lợi nhuận sau thuế (YoY) (6M)*",Sheet4!$1:$1,2)),"")</f>
        <v>0</v>
      </c>
      <c r="Q683" s="10" cm="1">
        <f t="array" ref="Q683">IFERROR(INDEX(Sheet4!$2:$1605,MATCH(ChiTietKQKD[[#This Row],[Mã CP]],Sheet4!$B$2:$B$1605,0),_xlfn.XMATCH("*Tăng trưởng doanh thu thuần (QoQ)*",Sheet4!$1:$1,2)),"")</f>
        <v>0</v>
      </c>
      <c r="R683" s="10" cm="1">
        <f t="array" ref="R683">IFERROR(INDEX(Sheet4!$2:$1605,MATCH(ChiTietKQKD[[#This Row],[Mã CP]],Sheet4!$B$2:$B$1605,0),_xlfn.XMATCH("*Tăng trưởng lợi nhuận sau thuế (QoQ)*",Sheet4!$1:$1,2)),"")</f>
        <v>0</v>
      </c>
    </row>
    <row r="684" spans="1:18" x14ac:dyDescent="0.25">
      <c r="A684" s="7">
        <f>Sheet4!A663</f>
        <v>662</v>
      </c>
      <c r="B684" t="str">
        <f>Sheet4!B663</f>
        <v>SZB</v>
      </c>
      <c r="C684" t="str">
        <f>Sheet4!C662</f>
        <v>Tập đoàn Vexilla Việt Nam</v>
      </c>
      <c r="D684" t="str">
        <f>Sheet4!D663</f>
        <v>HNX</v>
      </c>
      <c r="E684" s="7">
        <f>Sheet4!AH663/1000000000</f>
        <v>1302</v>
      </c>
      <c r="F684" t="str">
        <f>Sheet4!E663</f>
        <v>Tài chính</v>
      </c>
      <c r="G684" t="str">
        <f>Sheet4!F663</f>
        <v>Bất động sản</v>
      </c>
      <c r="H684" t="str">
        <f>Sheet4!G663</f>
        <v>Bất động sản</v>
      </c>
      <c r="I684" s="9" cm="1">
        <f t="array" ref="I68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132.65441181700001</v>
      </c>
      <c r="J684" s="9" cm="1">
        <f t="array" ref="J68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262.59077433800002</v>
      </c>
      <c r="K684" s="10" cm="1">
        <f t="array" ref="K68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0.245</v>
      </c>
      <c r="L684" s="10" cm="1">
        <f t="array" ref="L68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0.2671</v>
      </c>
      <c r="M684" s="9" cm="1">
        <f t="array" ref="M684">_xlfn.LET(_xlpm.val,IFERROR(INDEX(Sheet4!$2:$1605,MATCH(ChiTietKQKD[[#This Row],[Mã CP]],Sheet4!$B$2:$B$1605,0),_xlfn.XMATCH("*Lợi nhuận sau thuế*Q2*2026*",Sheet4!$1:$1,2)),0),IF(OR(_xlpm.val="",_xlpm.val=0),"",_xlpm.val/1000000000))</f>
        <v>53.689672412999997</v>
      </c>
      <c r="N684" s="9" cm="1">
        <f t="array" ref="N684">_xlfn.LET(_xlpm.val,IFERROR(INDEX(Sheet4!$2:$1605,MATCH(ChiTietKQKD[[#This Row],[Mã CP]],Sheet4!$B$2:$B$1605,0),_xlfn.XMATCH("*Lợi nhuận sau thuế*6 tháng*2026*",Sheet4!$1:$1,2)),0),IF(OR(_xlpm.val="",_xlpm.val=0),"",_xlpm.val/1000000000))</f>
        <v>95.186677709999998</v>
      </c>
      <c r="O684" s="10" cm="1">
        <f t="array" ref="O684">IFERROR(INDEX(Sheet4!$2:$1605,MATCH(ChiTietKQKD[[#This Row],[Mã CP]],Sheet4!$B$2:$B$1605,0),_xlfn.XMATCH("*Tăng trưởng lợi nhuận sau thuế (YoY) (Quý*",Sheet4!$1:$1,2)),"")</f>
        <v>0.33339999999999997</v>
      </c>
      <c r="P684" s="10" cm="1">
        <f t="array" ref="P684">IFERROR(INDEX(Sheet4!$2:$1605,MATCH(ChiTietKQKD[[#This Row],[Mã CP]],Sheet4!$B$2:$B$1605,0),_xlfn.XMATCH("*Tăng trưởng lợi nhuận sau thuế (YoY) (6M)*",Sheet4!$1:$1,2)),"")</f>
        <v>0.30120000000000002</v>
      </c>
      <c r="Q684" s="10" cm="1">
        <f t="array" ref="Q684">IFERROR(INDEX(Sheet4!$2:$1605,MATCH(ChiTietKQKD[[#This Row],[Mã CP]],Sheet4!$B$2:$B$1605,0),_xlfn.XMATCH("*Tăng trưởng doanh thu thuần (QoQ)*",Sheet4!$1:$1,2)),"")</f>
        <v>2.0899999999999998E-2</v>
      </c>
      <c r="R684" s="10" cm="1">
        <f t="array" ref="R684">IFERROR(INDEX(Sheet4!$2:$1605,MATCH(ChiTietKQKD[[#This Row],[Mã CP]],Sheet4!$B$2:$B$1605,0),_xlfn.XMATCH("*Tăng trưởng lợi nhuận sau thuế (QoQ)*",Sheet4!$1:$1,2)),"")</f>
        <v>0.29380000000000001</v>
      </c>
    </row>
    <row r="685" spans="1:18" x14ac:dyDescent="0.25">
      <c r="A685" s="7">
        <f>Sheet4!A664</f>
        <v>663</v>
      </c>
      <c r="B685" t="str">
        <f>Sheet4!B664</f>
        <v>TA9</v>
      </c>
      <c r="C685" t="str">
        <f>Sheet4!C663</f>
        <v>Sonadezi Long Bình</v>
      </c>
      <c r="D685" t="str">
        <f>Sheet4!D664</f>
        <v>HNX</v>
      </c>
      <c r="E685" s="7">
        <f>Sheet4!AH664/1000000000</f>
        <v>141.64767000000001</v>
      </c>
      <c r="F685" t="str">
        <f>Sheet4!E664</f>
        <v>Công nghiệp</v>
      </c>
      <c r="G685" t="str">
        <f>Sheet4!F664</f>
        <v>Xây dựng và Vật liệu</v>
      </c>
      <c r="H685" t="str">
        <f>Sheet4!G664</f>
        <v>Xây dựng</v>
      </c>
      <c r="I685" s="9" t="str" cm="1">
        <f t="array" ref="I68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85" s="9" t="str" cm="1">
        <f t="array" ref="J68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85" s="10" cm="1">
        <f t="array" ref="K68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85" s="10" cm="1">
        <f t="array" ref="L68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85" s="9" t="str" cm="1">
        <f t="array" ref="M68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85" s="9" t="str" cm="1">
        <f t="array" ref="N68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85" s="10" cm="1">
        <f t="array" ref="O685">IFERROR(INDEX(Sheet4!$2:$1605,MATCH(ChiTietKQKD[[#This Row],[Mã CP]],Sheet4!$B$2:$B$1605,0),_xlfn.XMATCH("*Tăng trưởng lợi nhuận sau thuế (YoY) (Quý*",Sheet4!$1:$1,2)),"")</f>
        <v>0</v>
      </c>
      <c r="P685" s="10" cm="1">
        <f t="array" ref="P685">IFERROR(INDEX(Sheet4!$2:$1605,MATCH(ChiTietKQKD[[#This Row],[Mã CP]],Sheet4!$B$2:$B$1605,0),_xlfn.XMATCH("*Tăng trưởng lợi nhuận sau thuế (YoY) (6M)*",Sheet4!$1:$1,2)),"")</f>
        <v>0</v>
      </c>
      <c r="Q685" s="10" cm="1">
        <f t="array" ref="Q685">IFERROR(INDEX(Sheet4!$2:$1605,MATCH(ChiTietKQKD[[#This Row],[Mã CP]],Sheet4!$B$2:$B$1605,0),_xlfn.XMATCH("*Tăng trưởng doanh thu thuần (QoQ)*",Sheet4!$1:$1,2)),"")</f>
        <v>0</v>
      </c>
      <c r="R685" s="10" cm="1">
        <f t="array" ref="R685">IFERROR(INDEX(Sheet4!$2:$1605,MATCH(ChiTietKQKD[[#This Row],[Mã CP]],Sheet4!$B$2:$B$1605,0),_xlfn.XMATCH("*Tăng trưởng lợi nhuận sau thuế (QoQ)*",Sheet4!$1:$1,2)),"")</f>
        <v>0</v>
      </c>
    </row>
    <row r="686" spans="1:18" x14ac:dyDescent="0.25">
      <c r="A686" s="7">
        <f>Sheet4!A665</f>
        <v>664</v>
      </c>
      <c r="B686" t="str">
        <f>Sheet4!B665</f>
        <v>TD6</v>
      </c>
      <c r="C686" t="str">
        <f>Sheet4!C664</f>
        <v>Xây lắp Thành An 96</v>
      </c>
      <c r="D686" t="str">
        <f>Sheet4!D665</f>
        <v>HNX</v>
      </c>
      <c r="E686" s="7">
        <f>Sheet4!AH665/1000000000</f>
        <v>377.80473219999999</v>
      </c>
      <c r="F686" t="str">
        <f>Sheet4!E665</f>
        <v>Nguyên vật liệu</v>
      </c>
      <c r="G686" t="str">
        <f>Sheet4!F665</f>
        <v>Tài nguyên Cơ bản</v>
      </c>
      <c r="H686" t="str">
        <f>Sheet4!G665</f>
        <v>Khai thác Than</v>
      </c>
      <c r="I686" s="9" t="str" cm="1">
        <f t="array" ref="I68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86" s="9" t="str" cm="1">
        <f t="array" ref="J68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86" s="10" cm="1">
        <f t="array" ref="K68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86" s="10" cm="1">
        <f t="array" ref="L68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86" s="9" t="str" cm="1">
        <f t="array" ref="M68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86" s="9" t="str" cm="1">
        <f t="array" ref="N68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86" s="10" cm="1">
        <f t="array" ref="O686">IFERROR(INDEX(Sheet4!$2:$1605,MATCH(ChiTietKQKD[[#This Row],[Mã CP]],Sheet4!$B$2:$B$1605,0),_xlfn.XMATCH("*Tăng trưởng lợi nhuận sau thuế (YoY) (Quý*",Sheet4!$1:$1,2)),"")</f>
        <v>0</v>
      </c>
      <c r="P686" s="10" cm="1">
        <f t="array" ref="P686">IFERROR(INDEX(Sheet4!$2:$1605,MATCH(ChiTietKQKD[[#This Row],[Mã CP]],Sheet4!$B$2:$B$1605,0),_xlfn.XMATCH("*Tăng trưởng lợi nhuận sau thuế (YoY) (6M)*",Sheet4!$1:$1,2)),"")</f>
        <v>0</v>
      </c>
      <c r="Q686" s="10" cm="1">
        <f t="array" ref="Q686">IFERROR(INDEX(Sheet4!$2:$1605,MATCH(ChiTietKQKD[[#This Row],[Mã CP]],Sheet4!$B$2:$B$1605,0),_xlfn.XMATCH("*Tăng trưởng doanh thu thuần (QoQ)*",Sheet4!$1:$1,2)),"")</f>
        <v>0</v>
      </c>
      <c r="R686" s="10" cm="1">
        <f t="array" ref="R686">IFERROR(INDEX(Sheet4!$2:$1605,MATCH(ChiTietKQKD[[#This Row],[Mã CP]],Sheet4!$B$2:$B$1605,0),_xlfn.XMATCH("*Tăng trưởng lợi nhuận sau thuế (QoQ)*",Sheet4!$1:$1,2)),"")</f>
        <v>0</v>
      </c>
    </row>
    <row r="687" spans="1:18" x14ac:dyDescent="0.25">
      <c r="A687" s="7">
        <f>Sheet4!A666</f>
        <v>665</v>
      </c>
      <c r="B687" t="str">
        <f>Sheet4!B666</f>
        <v>TDT</v>
      </c>
      <c r="C687" t="str">
        <f>Sheet4!C665</f>
        <v>Than Đèo Nai - Cọc Sáu - TKV</v>
      </c>
      <c r="D687" t="str">
        <f>Sheet4!D666</f>
        <v>HNX</v>
      </c>
      <c r="E687" s="7">
        <f>Sheet4!AH666/1000000000</f>
        <v>164.8860846</v>
      </c>
      <c r="F687" t="str">
        <f>Sheet4!E666</f>
        <v>Hàng Tiêu dùng</v>
      </c>
      <c r="G687" t="str">
        <f>Sheet4!F666</f>
        <v>Hàng cá nhân &amp; Gia dụng</v>
      </c>
      <c r="H687" t="str">
        <f>Sheet4!G666</f>
        <v>Hàng May mặc</v>
      </c>
      <c r="I687" s="9" cm="1">
        <f t="array" ref="I68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188.424250285</v>
      </c>
      <c r="J687" s="9" cm="1">
        <f t="array" ref="J68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377.331319065</v>
      </c>
      <c r="K687" s="10" cm="1">
        <f t="array" ref="K68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6.4000000000000003E-3</v>
      </c>
      <c r="L687" s="10" cm="1">
        <f t="array" ref="L68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0.3216</v>
      </c>
      <c r="M687" s="9" cm="1">
        <f t="array" ref="M687">_xlfn.LET(_xlpm.val,IFERROR(INDEX(Sheet4!$2:$1605,MATCH(ChiTietKQKD[[#This Row],[Mã CP]],Sheet4!$B$2:$B$1605,0),_xlfn.XMATCH("*Lợi nhuận sau thuế*Q2*2026*",Sheet4!$1:$1,2)),0),IF(OR(_xlpm.val="",_xlpm.val=0),"",_xlpm.val/1000000000))</f>
        <v>3.5903422709999999</v>
      </c>
      <c r="N687" s="9" cm="1">
        <f t="array" ref="N687">_xlfn.LET(_xlpm.val,IFERROR(INDEX(Sheet4!$2:$1605,MATCH(ChiTietKQKD[[#This Row],[Mã CP]],Sheet4!$B$2:$B$1605,0),_xlfn.XMATCH("*Lợi nhuận sau thuế*6 tháng*2026*",Sheet4!$1:$1,2)),0),IF(OR(_xlpm.val="",_xlpm.val=0),"",_xlpm.val/1000000000))</f>
        <v>7.4686682559999999</v>
      </c>
      <c r="O687" s="10" cm="1">
        <f t="array" ref="O687">IFERROR(INDEX(Sheet4!$2:$1605,MATCH(ChiTietKQKD[[#This Row],[Mã CP]],Sheet4!$B$2:$B$1605,0),_xlfn.XMATCH("*Tăng trưởng lợi nhuận sau thuế (YoY) (Quý*",Sheet4!$1:$1,2)),"")</f>
        <v>0.49790000000000001</v>
      </c>
      <c r="P687" s="10" cm="1">
        <f t="array" ref="P687">IFERROR(INDEX(Sheet4!$2:$1605,MATCH(ChiTietKQKD[[#This Row],[Mã CP]],Sheet4!$B$2:$B$1605,0),_xlfn.XMATCH("*Tăng trưởng lợi nhuận sau thuế (YoY) (6M)*",Sheet4!$1:$1,2)),"")</f>
        <v>1.6248</v>
      </c>
      <c r="Q687" s="10" cm="1">
        <f t="array" ref="Q687">IFERROR(INDEX(Sheet4!$2:$1605,MATCH(ChiTietKQKD[[#This Row],[Mã CP]],Sheet4!$B$2:$B$1605,0),_xlfn.XMATCH("*Tăng trưởng doanh thu thuần (QoQ)*",Sheet4!$1:$1,2)),"")</f>
        <v>-2.5999999999999999E-3</v>
      </c>
      <c r="R687" s="10" cm="1">
        <f t="array" ref="R687">IFERROR(INDEX(Sheet4!$2:$1605,MATCH(ChiTietKQKD[[#This Row],[Mã CP]],Sheet4!$B$2:$B$1605,0),_xlfn.XMATCH("*Tăng trưởng lợi nhuận sau thuế (QoQ)*",Sheet4!$1:$1,2)),"")</f>
        <v>-7.4300000000000005E-2</v>
      </c>
    </row>
    <row r="688" spans="1:18" x14ac:dyDescent="0.25">
      <c r="A688" s="7">
        <f>Sheet4!A667</f>
        <v>666</v>
      </c>
      <c r="B688" t="str">
        <f>Sheet4!B667</f>
        <v>TET</v>
      </c>
      <c r="C688" t="str">
        <f>Sheet4!C666</f>
        <v>Đầu tư và Phát triển TDT</v>
      </c>
      <c r="D688" t="str">
        <f>Sheet4!D667</f>
        <v>HNX</v>
      </c>
      <c r="E688" s="7">
        <f>Sheet4!AH667/1000000000</f>
        <v>2892.4367099999999</v>
      </c>
      <c r="F688" t="str">
        <f>Sheet4!E667</f>
        <v>Hàng Tiêu dùng</v>
      </c>
      <c r="G688" t="str">
        <f>Sheet4!F667</f>
        <v>Hàng cá nhân &amp; Gia dụng</v>
      </c>
      <c r="H688" t="str">
        <f>Sheet4!G667</f>
        <v>Hàng May mặc</v>
      </c>
      <c r="I688" s="9" cm="1">
        <f t="array" ref="I68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6.0861926100000003</v>
      </c>
      <c r="J688" s="9" cm="1">
        <f t="array" ref="J68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11.842523610000001</v>
      </c>
      <c r="K688" s="10" cm="1">
        <f t="array" ref="K68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0.13930000000000001</v>
      </c>
      <c r="L688" s="10" cm="1">
        <f t="array" ref="L68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2.3699999999999999E-2</v>
      </c>
      <c r="M688" s="9" cm="1">
        <f t="array" ref="M688">_xlfn.LET(_xlpm.val,IFERROR(INDEX(Sheet4!$2:$1605,MATCH(ChiTietKQKD[[#This Row],[Mã CP]],Sheet4!$B$2:$B$1605,0),_xlfn.XMATCH("*Lợi nhuận sau thuế*Q2*2026*",Sheet4!$1:$1,2)),0),IF(OR(_xlpm.val="",_xlpm.val=0),"",_xlpm.val/1000000000))</f>
        <v>2.3060944139999999</v>
      </c>
      <c r="N688" s="9" cm="1">
        <f t="array" ref="N688">_xlfn.LET(_xlpm.val,IFERROR(INDEX(Sheet4!$2:$1605,MATCH(ChiTietKQKD[[#This Row],[Mã CP]],Sheet4!$B$2:$B$1605,0),_xlfn.XMATCH("*Lợi nhuận sau thuế*6 tháng*2026*",Sheet4!$1:$1,2)),0),IF(OR(_xlpm.val="",_xlpm.val=0),"",_xlpm.val/1000000000))</f>
        <v>2.7765825089999998</v>
      </c>
      <c r="O688" s="10" cm="1">
        <f t="array" ref="O688">IFERROR(INDEX(Sheet4!$2:$1605,MATCH(ChiTietKQKD[[#This Row],[Mã CP]],Sheet4!$B$2:$B$1605,0),_xlfn.XMATCH("*Tăng trưởng lợi nhuận sau thuế (YoY) (Quý*",Sheet4!$1:$1,2)),"")</f>
        <v>-0.57150000000000001</v>
      </c>
      <c r="P688" s="10" cm="1">
        <f t="array" ref="P688">IFERROR(INDEX(Sheet4!$2:$1605,MATCH(ChiTietKQKD[[#This Row],[Mã CP]],Sheet4!$B$2:$B$1605,0),_xlfn.XMATCH("*Tăng trưởng lợi nhuận sau thuế (YoY) (6M)*",Sheet4!$1:$1,2)),"")</f>
        <v>-0.51280000000000003</v>
      </c>
      <c r="Q688" s="10" cm="1">
        <f t="array" ref="Q688">IFERROR(INDEX(Sheet4!$2:$1605,MATCH(ChiTietKQKD[[#This Row],[Mã CP]],Sheet4!$B$2:$B$1605,0),_xlfn.XMATCH("*Tăng trưởng doanh thu thuần (QoQ)*",Sheet4!$1:$1,2)),"")</f>
        <v>5.7299999999999997E-2</v>
      </c>
      <c r="R688" s="10" cm="1">
        <f t="array" ref="R688">IFERROR(INDEX(Sheet4!$2:$1605,MATCH(ChiTietKQKD[[#This Row],[Mã CP]],Sheet4!$B$2:$B$1605,0),_xlfn.XMATCH("*Tăng trưởng lợi nhuận sau thuế (QoQ)*",Sheet4!$1:$1,2)),"")</f>
        <v>3.9015</v>
      </c>
    </row>
    <row r="689" spans="1:18" x14ac:dyDescent="0.25">
      <c r="A689" s="7">
        <f>Sheet4!A668</f>
        <v>667</v>
      </c>
      <c r="B689" t="str">
        <f>Sheet4!B668</f>
        <v>TFC</v>
      </c>
      <c r="C689" t="str">
        <f>Sheet4!C667</f>
        <v>Bất động sản Pristie</v>
      </c>
      <c r="D689" t="str">
        <f>Sheet4!D668</f>
        <v>HNX</v>
      </c>
      <c r="E689" s="7">
        <f>Sheet4!AH668/1000000000</f>
        <v>757.34973000000002</v>
      </c>
      <c r="F689" t="str">
        <f>Sheet4!E668</f>
        <v>Hàng Tiêu dùng</v>
      </c>
      <c r="G689" t="str">
        <f>Sheet4!F668</f>
        <v>Thực phẩm và đồ uống</v>
      </c>
      <c r="H689" t="str">
        <f>Sheet4!G668</f>
        <v>Thực phẩm</v>
      </c>
      <c r="I689" s="9" t="str" cm="1">
        <f t="array" ref="I68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89" s="9" t="str" cm="1">
        <f t="array" ref="J68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89" s="10" cm="1">
        <f t="array" ref="K68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89" s="10" cm="1">
        <f t="array" ref="L68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89" s="9" t="str" cm="1">
        <f t="array" ref="M68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89" s="9" t="str" cm="1">
        <f t="array" ref="N68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89" s="10" cm="1">
        <f t="array" ref="O689">IFERROR(INDEX(Sheet4!$2:$1605,MATCH(ChiTietKQKD[[#This Row],[Mã CP]],Sheet4!$B$2:$B$1605,0),_xlfn.XMATCH("*Tăng trưởng lợi nhuận sau thuế (YoY) (Quý*",Sheet4!$1:$1,2)),"")</f>
        <v>0</v>
      </c>
      <c r="P689" s="10" cm="1">
        <f t="array" ref="P689">IFERROR(INDEX(Sheet4!$2:$1605,MATCH(ChiTietKQKD[[#This Row],[Mã CP]],Sheet4!$B$2:$B$1605,0),_xlfn.XMATCH("*Tăng trưởng lợi nhuận sau thuế (YoY) (6M)*",Sheet4!$1:$1,2)),"")</f>
        <v>0</v>
      </c>
      <c r="Q689" s="10" cm="1">
        <f t="array" ref="Q689">IFERROR(INDEX(Sheet4!$2:$1605,MATCH(ChiTietKQKD[[#This Row],[Mã CP]],Sheet4!$B$2:$B$1605,0),_xlfn.XMATCH("*Tăng trưởng doanh thu thuần (QoQ)*",Sheet4!$1:$1,2)),"")</f>
        <v>0</v>
      </c>
      <c r="R689" s="10" cm="1">
        <f t="array" ref="R689">IFERROR(INDEX(Sheet4!$2:$1605,MATCH(ChiTietKQKD[[#This Row],[Mã CP]],Sheet4!$B$2:$B$1605,0),_xlfn.XMATCH("*Tăng trưởng lợi nhuận sau thuế (QoQ)*",Sheet4!$1:$1,2)),"")</f>
        <v>0</v>
      </c>
    </row>
    <row r="690" spans="1:18" x14ac:dyDescent="0.25">
      <c r="A690" s="7">
        <f>Sheet4!A669</f>
        <v>668</v>
      </c>
      <c r="B690" t="str">
        <f>Sheet4!B669</f>
        <v>THB</v>
      </c>
      <c r="C690" t="str">
        <f>Sheet4!C668</f>
        <v>CTCP Trang</v>
      </c>
      <c r="D690" t="str">
        <f>Sheet4!D669</f>
        <v>HNX</v>
      </c>
      <c r="E690" s="7">
        <f>Sheet4!AH669/1000000000</f>
        <v>105.106044</v>
      </c>
      <c r="F690" t="str">
        <f>Sheet4!E669</f>
        <v>Hàng Tiêu dùng</v>
      </c>
      <c r="G690" t="str">
        <f>Sheet4!F669</f>
        <v>Thực phẩm và đồ uống</v>
      </c>
      <c r="H690" t="str">
        <f>Sheet4!G669</f>
        <v>Sản xuất bia</v>
      </c>
      <c r="I690" s="9" t="str" cm="1">
        <f t="array" ref="I69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90" s="9" t="str" cm="1">
        <f t="array" ref="J69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90" s="10" cm="1">
        <f t="array" ref="K69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90" s="10" cm="1">
        <f t="array" ref="L69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90" s="9" t="str" cm="1">
        <f t="array" ref="M69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90" s="9" t="str" cm="1">
        <f t="array" ref="N69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90" s="10" cm="1">
        <f t="array" ref="O690">IFERROR(INDEX(Sheet4!$2:$1605,MATCH(ChiTietKQKD[[#This Row],[Mã CP]],Sheet4!$B$2:$B$1605,0),_xlfn.XMATCH("*Tăng trưởng lợi nhuận sau thuế (YoY) (Quý*",Sheet4!$1:$1,2)),"")</f>
        <v>0</v>
      </c>
      <c r="P690" s="10" cm="1">
        <f t="array" ref="P690">IFERROR(INDEX(Sheet4!$2:$1605,MATCH(ChiTietKQKD[[#This Row],[Mã CP]],Sheet4!$B$2:$B$1605,0),_xlfn.XMATCH("*Tăng trưởng lợi nhuận sau thuế (YoY) (6M)*",Sheet4!$1:$1,2)),"")</f>
        <v>0</v>
      </c>
      <c r="Q690" s="10" cm="1">
        <f t="array" ref="Q690">IFERROR(INDEX(Sheet4!$2:$1605,MATCH(ChiTietKQKD[[#This Row],[Mã CP]],Sheet4!$B$2:$B$1605,0),_xlfn.XMATCH("*Tăng trưởng doanh thu thuần (QoQ)*",Sheet4!$1:$1,2)),"")</f>
        <v>0</v>
      </c>
      <c r="R690" s="10" cm="1">
        <f t="array" ref="R690">IFERROR(INDEX(Sheet4!$2:$1605,MATCH(ChiTietKQKD[[#This Row],[Mã CP]],Sheet4!$B$2:$B$1605,0),_xlfn.XMATCH("*Tăng trưởng lợi nhuận sau thuế (QoQ)*",Sheet4!$1:$1,2)),"")</f>
        <v>0</v>
      </c>
    </row>
    <row r="691" spans="1:18" x14ac:dyDescent="0.25">
      <c r="A691" s="7">
        <f>Sheet4!A670</f>
        <v>669</v>
      </c>
      <c r="B691" t="str">
        <f>Sheet4!B670</f>
        <v>THD</v>
      </c>
      <c r="C691" t="str">
        <f>Sheet4!C669</f>
        <v>Bia Hà Nội - Thanh Hóa</v>
      </c>
      <c r="D691" t="str">
        <f>Sheet4!D670</f>
        <v>HNX</v>
      </c>
      <c r="E691" s="7">
        <f>Sheet4!AH670/1000000000</f>
        <v>47932.496513999999</v>
      </c>
      <c r="F691" t="str">
        <f>Sheet4!E670</f>
        <v>Tài chính</v>
      </c>
      <c r="G691" t="str">
        <f>Sheet4!F670</f>
        <v>Bất động sản</v>
      </c>
      <c r="H691" t="str">
        <f>Sheet4!G670</f>
        <v>Tư Vấn, Định giá, Môi giới Bất động sản</v>
      </c>
      <c r="I691" s="9" t="str" cm="1">
        <f t="array" ref="I69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91" s="9" t="str" cm="1">
        <f t="array" ref="J69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91" s="10" cm="1">
        <f t="array" ref="K69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91" s="10" cm="1">
        <f t="array" ref="L69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91" s="9" t="str" cm="1">
        <f t="array" ref="M69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91" s="9" t="str" cm="1">
        <f t="array" ref="N69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91" s="10" cm="1">
        <f t="array" ref="O691">IFERROR(INDEX(Sheet4!$2:$1605,MATCH(ChiTietKQKD[[#This Row],[Mã CP]],Sheet4!$B$2:$B$1605,0),_xlfn.XMATCH("*Tăng trưởng lợi nhuận sau thuế (YoY) (Quý*",Sheet4!$1:$1,2)),"")</f>
        <v>0</v>
      </c>
      <c r="P691" s="10" cm="1">
        <f t="array" ref="P691">IFERROR(INDEX(Sheet4!$2:$1605,MATCH(ChiTietKQKD[[#This Row],[Mã CP]],Sheet4!$B$2:$B$1605,0),_xlfn.XMATCH("*Tăng trưởng lợi nhuận sau thuế (YoY) (6M)*",Sheet4!$1:$1,2)),"")</f>
        <v>0</v>
      </c>
      <c r="Q691" s="10" cm="1">
        <f t="array" ref="Q691">IFERROR(INDEX(Sheet4!$2:$1605,MATCH(ChiTietKQKD[[#This Row],[Mã CP]],Sheet4!$B$2:$B$1605,0),_xlfn.XMATCH("*Tăng trưởng doanh thu thuần (QoQ)*",Sheet4!$1:$1,2)),"")</f>
        <v>0</v>
      </c>
      <c r="R691" s="10" cm="1">
        <f t="array" ref="R691">IFERROR(INDEX(Sheet4!$2:$1605,MATCH(ChiTietKQKD[[#This Row],[Mã CP]],Sheet4!$B$2:$B$1605,0),_xlfn.XMATCH("*Tăng trưởng lợi nhuận sau thuế (QoQ)*",Sheet4!$1:$1,2)),"")</f>
        <v>0</v>
      </c>
    </row>
    <row r="692" spans="1:18" x14ac:dyDescent="0.25">
      <c r="A692" s="7">
        <f>Sheet4!A671</f>
        <v>670</v>
      </c>
      <c r="B692" t="str">
        <f>Sheet4!B671</f>
        <v>THS</v>
      </c>
      <c r="C692" t="str">
        <f>Sheet4!C670</f>
        <v>Công ty Thaiholdings</v>
      </c>
      <c r="D692" t="str">
        <f>Sheet4!D671</f>
        <v>HNX</v>
      </c>
      <c r="E692" s="7">
        <f>Sheet4!AH671/1000000000</f>
        <v>24.57</v>
      </c>
      <c r="F692" t="str">
        <f>Sheet4!E671</f>
        <v>Dịch vụ Tiêu dùng</v>
      </c>
      <c r="G692" t="str">
        <f>Sheet4!F671</f>
        <v>Bán lẻ</v>
      </c>
      <c r="H692" t="str">
        <f>Sheet4!G671</f>
        <v>Bán lẻ phức hợp</v>
      </c>
      <c r="I692" s="9" cm="1">
        <f t="array" ref="I69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181.61443420200001</v>
      </c>
      <c r="J692" s="9" cm="1">
        <f t="array" ref="J69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299.30886366300001</v>
      </c>
      <c r="K692" s="10" cm="1">
        <f t="array" ref="K69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0.50360000000000005</v>
      </c>
      <c r="L692" s="10" cm="1">
        <f t="array" ref="L69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92" s="9" cm="1">
        <f t="array" ref="M692">_xlfn.LET(_xlpm.val,IFERROR(INDEX(Sheet4!$2:$1605,MATCH(ChiTietKQKD[[#This Row],[Mã CP]],Sheet4!$B$2:$B$1605,0),_xlfn.XMATCH("*Lợi nhuận sau thuế*Q2*2026*",Sheet4!$1:$1,2)),0),IF(OR(_xlpm.val="",_xlpm.val=0),"",_xlpm.val/1000000000))</f>
        <v>0.26277121199999998</v>
      </c>
      <c r="N692" s="9" cm="1">
        <f t="array" ref="N692">_xlfn.LET(_xlpm.val,IFERROR(INDEX(Sheet4!$2:$1605,MATCH(ChiTietKQKD[[#This Row],[Mã CP]],Sheet4!$B$2:$B$1605,0),_xlfn.XMATCH("*Lợi nhuận sau thuế*6 tháng*2026*",Sheet4!$1:$1,2)),0),IF(OR(_xlpm.val="",_xlpm.val=0),"",_xlpm.val/1000000000))</f>
        <v>0.48630291799999997</v>
      </c>
      <c r="O692" s="10" cm="1">
        <f t="array" ref="O692">IFERROR(INDEX(Sheet4!$2:$1605,MATCH(ChiTietKQKD[[#This Row],[Mã CP]],Sheet4!$B$2:$B$1605,0),_xlfn.XMATCH("*Tăng trưởng lợi nhuận sau thuế (YoY) (Quý*",Sheet4!$1:$1,2)),"")</f>
        <v>9.9099999999999994E-2</v>
      </c>
      <c r="P692" s="10" cm="1">
        <f t="array" ref="P692">IFERROR(INDEX(Sheet4!$2:$1605,MATCH(ChiTietKQKD[[#This Row],[Mã CP]],Sheet4!$B$2:$B$1605,0),_xlfn.XMATCH("*Tăng trưởng lợi nhuận sau thuế (YoY) (6M)*",Sheet4!$1:$1,2)),"")</f>
        <v>0</v>
      </c>
      <c r="Q692" s="10" cm="1">
        <f t="array" ref="Q692">IFERROR(INDEX(Sheet4!$2:$1605,MATCH(ChiTietKQKD[[#This Row],[Mã CP]],Sheet4!$B$2:$B$1605,0),_xlfn.XMATCH("*Tăng trưởng doanh thu thuần (QoQ)*",Sheet4!$1:$1,2)),"")</f>
        <v>0.54310000000000003</v>
      </c>
      <c r="R692" s="10" cm="1">
        <f t="array" ref="R692">IFERROR(INDEX(Sheet4!$2:$1605,MATCH(ChiTietKQKD[[#This Row],[Mã CP]],Sheet4!$B$2:$B$1605,0),_xlfn.XMATCH("*Tăng trưởng lợi nhuận sau thuế (QoQ)*",Sheet4!$1:$1,2)),"")</f>
        <v>0.17549999999999999</v>
      </c>
    </row>
    <row r="693" spans="1:18" x14ac:dyDescent="0.25">
      <c r="A693" s="7">
        <f>Sheet4!A672</f>
        <v>671</v>
      </c>
      <c r="B693" t="str">
        <f>Sheet4!B672</f>
        <v>THT</v>
      </c>
      <c r="C693" t="str">
        <f>Sheet4!C671</f>
        <v>Thanh Hoa Sông Đà</v>
      </c>
      <c r="D693" t="str">
        <f>Sheet4!D672</f>
        <v>HNX</v>
      </c>
      <c r="E693" s="7">
        <f>Sheet4!AH672/1000000000</f>
        <v>181.8109848</v>
      </c>
      <c r="F693" t="str">
        <f>Sheet4!E672</f>
        <v>Nguyên vật liệu</v>
      </c>
      <c r="G693" t="str">
        <f>Sheet4!F672</f>
        <v>Tài nguyên Cơ bản</v>
      </c>
      <c r="H693" t="str">
        <f>Sheet4!G672</f>
        <v>Khai thác Than</v>
      </c>
      <c r="I693" s="9" t="str" cm="1">
        <f t="array" ref="I69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93" s="9" t="str" cm="1">
        <f t="array" ref="J69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93" s="10" cm="1">
        <f t="array" ref="K69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93" s="10" cm="1">
        <f t="array" ref="L69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93" s="9" t="str" cm="1">
        <f t="array" ref="M69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93" s="9" t="str" cm="1">
        <f t="array" ref="N69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93" s="10" cm="1">
        <f t="array" ref="O693">IFERROR(INDEX(Sheet4!$2:$1605,MATCH(ChiTietKQKD[[#This Row],[Mã CP]],Sheet4!$B$2:$B$1605,0),_xlfn.XMATCH("*Tăng trưởng lợi nhuận sau thuế (YoY) (Quý*",Sheet4!$1:$1,2)),"")</f>
        <v>0</v>
      </c>
      <c r="P693" s="10" cm="1">
        <f t="array" ref="P693">IFERROR(INDEX(Sheet4!$2:$1605,MATCH(ChiTietKQKD[[#This Row],[Mã CP]],Sheet4!$B$2:$B$1605,0),_xlfn.XMATCH("*Tăng trưởng lợi nhuận sau thuế (YoY) (6M)*",Sheet4!$1:$1,2)),"")</f>
        <v>0</v>
      </c>
      <c r="Q693" s="10" cm="1">
        <f t="array" ref="Q693">IFERROR(INDEX(Sheet4!$2:$1605,MATCH(ChiTietKQKD[[#This Row],[Mã CP]],Sheet4!$B$2:$B$1605,0),_xlfn.XMATCH("*Tăng trưởng doanh thu thuần (QoQ)*",Sheet4!$1:$1,2)),"")</f>
        <v>0</v>
      </c>
      <c r="R693" s="10" cm="1">
        <f t="array" ref="R693">IFERROR(INDEX(Sheet4!$2:$1605,MATCH(ChiTietKQKD[[#This Row],[Mã CP]],Sheet4!$B$2:$B$1605,0),_xlfn.XMATCH("*Tăng trưởng lợi nhuận sau thuế (QoQ)*",Sheet4!$1:$1,2)),"")</f>
        <v>0</v>
      </c>
    </row>
    <row r="694" spans="1:18" x14ac:dyDescent="0.25">
      <c r="A694" s="7">
        <f>Sheet4!A673</f>
        <v>672</v>
      </c>
      <c r="B694" t="str">
        <f>Sheet4!B673</f>
        <v>TIG</v>
      </c>
      <c r="C694" t="str">
        <f>Sheet4!C672</f>
        <v>Than Hà Tu</v>
      </c>
      <c r="D694" t="str">
        <f>Sheet4!D673</f>
        <v>HNX</v>
      </c>
      <c r="E694" s="7">
        <f>Sheet4!AH673/1000000000</f>
        <v>1180.9978504999999</v>
      </c>
      <c r="F694" t="str">
        <f>Sheet4!E673</f>
        <v>Tài chính</v>
      </c>
      <c r="G694" t="str">
        <f>Sheet4!F673</f>
        <v>Bất động sản</v>
      </c>
      <c r="H694" t="str">
        <f>Sheet4!G673</f>
        <v>Bất động sản</v>
      </c>
      <c r="I694" s="9" t="str" cm="1">
        <f t="array" ref="I69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94" s="9" t="str" cm="1">
        <f t="array" ref="J69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94" s="10" cm="1">
        <f t="array" ref="K69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94" s="10" cm="1">
        <f t="array" ref="L69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94" s="9" t="str" cm="1">
        <f t="array" ref="M69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94" s="9" t="str" cm="1">
        <f t="array" ref="N69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94" s="10" cm="1">
        <f t="array" ref="O694">IFERROR(INDEX(Sheet4!$2:$1605,MATCH(ChiTietKQKD[[#This Row],[Mã CP]],Sheet4!$B$2:$B$1605,0),_xlfn.XMATCH("*Tăng trưởng lợi nhuận sau thuế (YoY) (Quý*",Sheet4!$1:$1,2)),"")</f>
        <v>0</v>
      </c>
      <c r="P694" s="10" cm="1">
        <f t="array" ref="P694">IFERROR(INDEX(Sheet4!$2:$1605,MATCH(ChiTietKQKD[[#This Row],[Mã CP]],Sheet4!$B$2:$B$1605,0),_xlfn.XMATCH("*Tăng trưởng lợi nhuận sau thuế (YoY) (6M)*",Sheet4!$1:$1,2)),"")</f>
        <v>0</v>
      </c>
      <c r="Q694" s="10" cm="1">
        <f t="array" ref="Q694">IFERROR(INDEX(Sheet4!$2:$1605,MATCH(ChiTietKQKD[[#This Row],[Mã CP]],Sheet4!$B$2:$B$1605,0),_xlfn.XMATCH("*Tăng trưởng doanh thu thuần (QoQ)*",Sheet4!$1:$1,2)),"")</f>
        <v>0</v>
      </c>
      <c r="R694" s="10" cm="1">
        <f t="array" ref="R694">IFERROR(INDEX(Sheet4!$2:$1605,MATCH(ChiTietKQKD[[#This Row],[Mã CP]],Sheet4!$B$2:$B$1605,0),_xlfn.XMATCH("*Tăng trưởng lợi nhuận sau thuế (QoQ)*",Sheet4!$1:$1,2)),"")</f>
        <v>0</v>
      </c>
    </row>
    <row r="695" spans="1:18" x14ac:dyDescent="0.25">
      <c r="A695" s="7">
        <f>Sheet4!A674</f>
        <v>673</v>
      </c>
      <c r="B695" t="str">
        <f>Sheet4!B674</f>
        <v>TJC</v>
      </c>
      <c r="C695" t="str">
        <f>Sheet4!C673</f>
        <v>Tập đoàn Đầu tư Thăng Long</v>
      </c>
      <c r="D695" t="str">
        <f>Sheet4!D674</f>
        <v>HNX</v>
      </c>
      <c r="E695" s="7">
        <f>Sheet4!AH674/1000000000</f>
        <v>67.94</v>
      </c>
      <c r="F695" t="str">
        <f>Sheet4!E674</f>
        <v>Công nghiệp</v>
      </c>
      <c r="G695" t="str">
        <f>Sheet4!F674</f>
        <v>Hàng &amp; Dịch vụ Công nghiệp</v>
      </c>
      <c r="H695" t="str">
        <f>Sheet4!G674</f>
        <v>Dịch vụ vận tải</v>
      </c>
      <c r="I695" s="9" t="str" cm="1">
        <f t="array" ref="I69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95" s="9" t="str" cm="1">
        <f t="array" ref="J69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95" s="10" cm="1">
        <f t="array" ref="K69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95" s="10" cm="1">
        <f t="array" ref="L69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95" s="9" t="str" cm="1">
        <f t="array" ref="M69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95" s="9" t="str" cm="1">
        <f t="array" ref="N69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95" s="10" cm="1">
        <f t="array" ref="O695">IFERROR(INDEX(Sheet4!$2:$1605,MATCH(ChiTietKQKD[[#This Row],[Mã CP]],Sheet4!$B$2:$B$1605,0),_xlfn.XMATCH("*Tăng trưởng lợi nhuận sau thuế (YoY) (Quý*",Sheet4!$1:$1,2)),"")</f>
        <v>0</v>
      </c>
      <c r="P695" s="10" cm="1">
        <f t="array" ref="P695">IFERROR(INDEX(Sheet4!$2:$1605,MATCH(ChiTietKQKD[[#This Row],[Mã CP]],Sheet4!$B$2:$B$1605,0),_xlfn.XMATCH("*Tăng trưởng lợi nhuận sau thuế (YoY) (6M)*",Sheet4!$1:$1,2)),"")</f>
        <v>0</v>
      </c>
      <c r="Q695" s="10" cm="1">
        <f t="array" ref="Q695">IFERROR(INDEX(Sheet4!$2:$1605,MATCH(ChiTietKQKD[[#This Row],[Mã CP]],Sheet4!$B$2:$B$1605,0),_xlfn.XMATCH("*Tăng trưởng doanh thu thuần (QoQ)*",Sheet4!$1:$1,2)),"")</f>
        <v>0</v>
      </c>
      <c r="R695" s="10" cm="1">
        <f t="array" ref="R695">IFERROR(INDEX(Sheet4!$2:$1605,MATCH(ChiTietKQKD[[#This Row],[Mã CP]],Sheet4!$B$2:$B$1605,0),_xlfn.XMATCH("*Tăng trưởng lợi nhuận sau thuế (QoQ)*",Sheet4!$1:$1,2)),"")</f>
        <v>0</v>
      </c>
    </row>
    <row r="696" spans="1:18" x14ac:dyDescent="0.25">
      <c r="A696" s="7">
        <f>Sheet4!A675</f>
        <v>674</v>
      </c>
      <c r="B696" t="str">
        <f>Sheet4!B675</f>
        <v>TKU</v>
      </c>
      <c r="C696" t="str">
        <f>Sheet4!C674</f>
        <v>Dịch vụ Vận tải và Thương mại</v>
      </c>
      <c r="D696" t="str">
        <f>Sheet4!D675</f>
        <v>HNX</v>
      </c>
      <c r="E696" s="7">
        <f>Sheet4!AH675/1000000000</f>
        <v>492.25467900000001</v>
      </c>
      <c r="F696" t="str">
        <f>Sheet4!E675</f>
        <v>Nguyên vật liệu</v>
      </c>
      <c r="G696" t="str">
        <f>Sheet4!F675</f>
        <v>Tài nguyên Cơ bản</v>
      </c>
      <c r="H696" t="str">
        <f>Sheet4!G675</f>
        <v>Nhôm</v>
      </c>
      <c r="I696" s="9" cm="1">
        <f t="array" ref="I69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145.19083215800001</v>
      </c>
      <c r="J696" s="9" cm="1">
        <f t="array" ref="J69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285.19074077699997</v>
      </c>
      <c r="K696" s="10" cm="1">
        <f t="array" ref="K69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-0.13489999999999999</v>
      </c>
      <c r="L696" s="10" cm="1">
        <f t="array" ref="L69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-0.26</v>
      </c>
      <c r="M696" s="9" cm="1">
        <f t="array" ref="M696">_xlfn.LET(_xlpm.val,IFERROR(INDEX(Sheet4!$2:$1605,MATCH(ChiTietKQKD[[#This Row],[Mã CP]],Sheet4!$B$2:$B$1605,0),_xlfn.XMATCH("*Lợi nhuận sau thuế*Q2*2026*",Sheet4!$1:$1,2)),0),IF(OR(_xlpm.val="",_xlpm.val=0),"",_xlpm.val/1000000000))</f>
        <v>5.5256420559999997</v>
      </c>
      <c r="N696" s="9" cm="1">
        <f t="array" ref="N696">_xlfn.LET(_xlpm.val,IFERROR(INDEX(Sheet4!$2:$1605,MATCH(ChiTietKQKD[[#This Row],[Mã CP]],Sheet4!$B$2:$B$1605,0),_xlfn.XMATCH("*Lợi nhuận sau thuế*6 tháng*2026*",Sheet4!$1:$1,2)),0),IF(OR(_xlpm.val="",_xlpm.val=0),"",_xlpm.val/1000000000))</f>
        <v>13.743319447999999</v>
      </c>
      <c r="O696" s="10" cm="1">
        <f t="array" ref="O696">IFERROR(INDEX(Sheet4!$2:$1605,MATCH(ChiTietKQKD[[#This Row],[Mã CP]],Sheet4!$B$2:$B$1605,0),_xlfn.XMATCH("*Tăng trưởng lợi nhuận sau thuế (YoY) (Quý*",Sheet4!$1:$1,2)),"")</f>
        <v>-0.42830000000000001</v>
      </c>
      <c r="P696" s="10" cm="1">
        <f t="array" ref="P696">IFERROR(INDEX(Sheet4!$2:$1605,MATCH(ChiTietKQKD[[#This Row],[Mã CP]],Sheet4!$B$2:$B$1605,0),_xlfn.XMATCH("*Tăng trưởng lợi nhuận sau thuế (YoY) (6M)*",Sheet4!$1:$1,2)),"")</f>
        <v>-0.4929</v>
      </c>
      <c r="Q696" s="10" cm="1">
        <f t="array" ref="Q696">IFERROR(INDEX(Sheet4!$2:$1605,MATCH(ChiTietKQKD[[#This Row],[Mã CP]],Sheet4!$B$2:$B$1605,0),_xlfn.XMATCH("*Tăng trưởng doanh thu thuần (QoQ)*",Sheet4!$1:$1,2)),"")</f>
        <v>3.7100000000000001E-2</v>
      </c>
      <c r="R696" s="10" cm="1">
        <f t="array" ref="R696">IFERROR(INDEX(Sheet4!$2:$1605,MATCH(ChiTietKQKD[[#This Row],[Mã CP]],Sheet4!$B$2:$B$1605,0),_xlfn.XMATCH("*Tăng trưởng lợi nhuận sau thuế (QoQ)*",Sheet4!$1:$1,2)),"")</f>
        <v>-0.3276</v>
      </c>
    </row>
    <row r="697" spans="1:18" x14ac:dyDescent="0.25">
      <c r="A697" s="7">
        <f>Sheet4!A676</f>
        <v>675</v>
      </c>
      <c r="B697" t="str">
        <f>Sheet4!B676</f>
        <v>TMB</v>
      </c>
      <c r="C697" t="str">
        <f>Sheet4!C675</f>
        <v>Công nghiệp Tung Kuang</v>
      </c>
      <c r="D697" t="str">
        <f>Sheet4!D676</f>
        <v>HNX</v>
      </c>
      <c r="E697" s="7">
        <f>Sheet4!AH676/1000000000</f>
        <v>751.5</v>
      </c>
      <c r="F697" t="str">
        <f>Sheet4!E676</f>
        <v>Nguyên vật liệu</v>
      </c>
      <c r="G697" t="str">
        <f>Sheet4!F676</f>
        <v>Tài nguyên Cơ bản</v>
      </c>
      <c r="H697" t="str">
        <f>Sheet4!G676</f>
        <v>Khai thác Than</v>
      </c>
      <c r="I697" s="9" t="str" cm="1">
        <f t="array" ref="I69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697" s="9" t="str" cm="1">
        <f t="array" ref="J69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697" s="10" cm="1">
        <f t="array" ref="K69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697" s="10" cm="1">
        <f t="array" ref="L69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97" s="9" t="str" cm="1">
        <f t="array" ref="M69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697" s="9" t="str" cm="1">
        <f t="array" ref="N69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697" s="10" cm="1">
        <f t="array" ref="O697">IFERROR(INDEX(Sheet4!$2:$1605,MATCH(ChiTietKQKD[[#This Row],[Mã CP]],Sheet4!$B$2:$B$1605,0),_xlfn.XMATCH("*Tăng trưởng lợi nhuận sau thuế (YoY) (Quý*",Sheet4!$1:$1,2)),"")</f>
        <v>0</v>
      </c>
      <c r="P697" s="10" cm="1">
        <f t="array" ref="P697">IFERROR(INDEX(Sheet4!$2:$1605,MATCH(ChiTietKQKD[[#This Row],[Mã CP]],Sheet4!$B$2:$B$1605,0),_xlfn.XMATCH("*Tăng trưởng lợi nhuận sau thuế (YoY) (6M)*",Sheet4!$1:$1,2)),"")</f>
        <v>0</v>
      </c>
      <c r="Q697" s="10" cm="1">
        <f t="array" ref="Q697">IFERROR(INDEX(Sheet4!$2:$1605,MATCH(ChiTietKQKD[[#This Row],[Mã CP]],Sheet4!$B$2:$B$1605,0),_xlfn.XMATCH("*Tăng trưởng doanh thu thuần (QoQ)*",Sheet4!$1:$1,2)),"")</f>
        <v>0</v>
      </c>
      <c r="R697" s="10" cm="1">
        <f t="array" ref="R697">IFERROR(INDEX(Sheet4!$2:$1605,MATCH(ChiTietKQKD[[#This Row],[Mã CP]],Sheet4!$B$2:$B$1605,0),_xlfn.XMATCH("*Tăng trưởng lợi nhuận sau thuế (QoQ)*",Sheet4!$1:$1,2)),"")</f>
        <v>0</v>
      </c>
    </row>
    <row r="698" spans="1:18" x14ac:dyDescent="0.25">
      <c r="A698" s="7">
        <f>Sheet4!A677</f>
        <v>676</v>
      </c>
      <c r="B698" t="str">
        <f>Sheet4!B677</f>
        <v>TMC</v>
      </c>
      <c r="C698" t="str">
        <f>Sheet4!C676</f>
        <v>Than Miền Bắc - Vinacomin</v>
      </c>
      <c r="D698" t="str">
        <f>Sheet4!D677</f>
        <v>HNX</v>
      </c>
      <c r="E698" s="7">
        <f>Sheet4!AH677/1000000000</f>
        <v>86.8</v>
      </c>
      <c r="F698" t="str">
        <f>Sheet4!E677</f>
        <v>Tiện ích Cộng đồng</v>
      </c>
      <c r="G698" t="str">
        <f>Sheet4!F677</f>
        <v>Điện, nước &amp; xăng dầu khí đốt</v>
      </c>
      <c r="H698" t="str">
        <f>Sheet4!G677</f>
        <v>Phân phối xăng dầu &amp; khí đốt</v>
      </c>
      <c r="I698" s="9" cm="1">
        <f t="array" ref="I69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1144.236338785</v>
      </c>
      <c r="J698" s="9" cm="1">
        <f t="array" ref="J69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1912.9680879909999</v>
      </c>
      <c r="K698" s="10" cm="1">
        <f t="array" ref="K69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1.0408999999999999</v>
      </c>
      <c r="L698" s="10" cm="1">
        <f t="array" ref="L69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98" s="9" cm="1">
        <f t="array" ref="M698">_xlfn.LET(_xlpm.val,IFERROR(INDEX(Sheet4!$2:$1605,MATCH(ChiTietKQKD[[#This Row],[Mã CP]],Sheet4!$B$2:$B$1605,0),_xlfn.XMATCH("*Lợi nhuận sau thuế*Q2*2026*",Sheet4!$1:$1,2)),0),IF(OR(_xlpm.val="",_xlpm.val=0),"",_xlpm.val/1000000000))</f>
        <v>2.3547606129999998</v>
      </c>
      <c r="N698" s="9" cm="1">
        <f t="array" ref="N698">_xlfn.LET(_xlpm.val,IFERROR(INDEX(Sheet4!$2:$1605,MATCH(ChiTietKQKD[[#This Row],[Mã CP]],Sheet4!$B$2:$B$1605,0),_xlfn.XMATCH("*Lợi nhuận sau thuế*6 tháng*2026*",Sheet4!$1:$1,2)),0),IF(OR(_xlpm.val="",_xlpm.val=0),"",_xlpm.val/1000000000))</f>
        <v>5.3993371080000001</v>
      </c>
      <c r="O698" s="10" cm="1">
        <f t="array" ref="O698">IFERROR(INDEX(Sheet4!$2:$1605,MATCH(ChiTietKQKD[[#This Row],[Mã CP]],Sheet4!$B$2:$B$1605,0),_xlfn.XMATCH("*Tăng trưởng lợi nhuận sau thuế (YoY) (Quý*",Sheet4!$1:$1,2)),"")</f>
        <v>0.12690000000000001</v>
      </c>
      <c r="P698" s="10" cm="1">
        <f t="array" ref="P698">IFERROR(INDEX(Sheet4!$2:$1605,MATCH(ChiTietKQKD[[#This Row],[Mã CP]],Sheet4!$B$2:$B$1605,0),_xlfn.XMATCH("*Tăng trưởng lợi nhuận sau thuế (YoY) (6M)*",Sheet4!$1:$1,2)),"")</f>
        <v>0</v>
      </c>
      <c r="Q698" s="10" cm="1">
        <f t="array" ref="Q698">IFERROR(INDEX(Sheet4!$2:$1605,MATCH(ChiTietKQKD[[#This Row],[Mã CP]],Sheet4!$B$2:$B$1605,0),_xlfn.XMATCH("*Tăng trưởng doanh thu thuần (QoQ)*",Sheet4!$1:$1,2)),"")</f>
        <v>0.48849999999999999</v>
      </c>
      <c r="R698" s="10" cm="1">
        <f t="array" ref="R698">IFERROR(INDEX(Sheet4!$2:$1605,MATCH(ChiTietKQKD[[#This Row],[Mã CP]],Sheet4!$B$2:$B$1605,0),_xlfn.XMATCH("*Tăng trưởng lợi nhuận sau thuế (QoQ)*",Sheet4!$1:$1,2)),"")</f>
        <v>-0.2266</v>
      </c>
    </row>
    <row r="699" spans="1:18" x14ac:dyDescent="0.25">
      <c r="A699" s="7">
        <f>Sheet4!A678</f>
        <v>677</v>
      </c>
      <c r="B699" t="str">
        <f>Sheet4!B678</f>
        <v>TMX</v>
      </c>
      <c r="C699" t="str">
        <f>Sheet4!C677</f>
        <v>XNK Thủ Đức</v>
      </c>
      <c r="D699" t="str">
        <f>Sheet4!D678</f>
        <v>HNX</v>
      </c>
      <c r="E699" s="7">
        <f>Sheet4!AH678/1000000000</f>
        <v>48.6</v>
      </c>
      <c r="F699" t="str">
        <f>Sheet4!E678</f>
        <v>Công nghiệp</v>
      </c>
      <c r="G699" t="str">
        <f>Sheet4!F678</f>
        <v>Xây dựng và Vật liệu</v>
      </c>
      <c r="H699" t="str">
        <f>Sheet4!G678</f>
        <v>Vật liệu xây dựng &amp; Nội thất</v>
      </c>
      <c r="I699" s="9" cm="1">
        <f t="array" ref="I69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134.898730094</v>
      </c>
      <c r="J699" s="9" cm="1">
        <f t="array" ref="J69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223.33657008399999</v>
      </c>
      <c r="K699" s="10" cm="1">
        <f t="array" ref="K69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-0.1009</v>
      </c>
      <c r="L699" s="10" cm="1">
        <f t="array" ref="L69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699" s="9" cm="1">
        <f t="array" ref="M699">_xlfn.LET(_xlpm.val,IFERROR(INDEX(Sheet4!$2:$1605,MATCH(ChiTietKQKD[[#This Row],[Mã CP]],Sheet4!$B$2:$B$1605,0),_xlfn.XMATCH("*Lợi nhuận sau thuế*Q2*2026*",Sheet4!$1:$1,2)),0),IF(OR(_xlpm.val="",_xlpm.val=0),"",_xlpm.val/1000000000))</f>
        <v>0.64776785599999998</v>
      </c>
      <c r="N699" s="9" cm="1">
        <f t="array" ref="N699">_xlfn.LET(_xlpm.val,IFERROR(INDEX(Sheet4!$2:$1605,MATCH(ChiTietKQKD[[#This Row],[Mã CP]],Sheet4!$B$2:$B$1605,0),_xlfn.XMATCH("*Lợi nhuận sau thuế*6 tháng*2026*",Sheet4!$1:$1,2)),0),IF(OR(_xlpm.val="",_xlpm.val=0),"",_xlpm.val/1000000000))</f>
        <v>1.075384779</v>
      </c>
      <c r="O699" s="10" cm="1">
        <f t="array" ref="O699">IFERROR(INDEX(Sheet4!$2:$1605,MATCH(ChiTietKQKD[[#This Row],[Mã CP]],Sheet4!$B$2:$B$1605,0),_xlfn.XMATCH("*Tăng trưởng lợi nhuận sau thuế (YoY) (Quý*",Sheet4!$1:$1,2)),"")</f>
        <v>-0.7016</v>
      </c>
      <c r="P699" s="10" cm="1">
        <f t="array" ref="P699">IFERROR(INDEX(Sheet4!$2:$1605,MATCH(ChiTietKQKD[[#This Row],[Mã CP]],Sheet4!$B$2:$B$1605,0),_xlfn.XMATCH("*Tăng trưởng lợi nhuận sau thuế (YoY) (6M)*",Sheet4!$1:$1,2)),"")</f>
        <v>0</v>
      </c>
      <c r="Q699" s="10" cm="1">
        <f t="array" ref="Q699">IFERROR(INDEX(Sheet4!$2:$1605,MATCH(ChiTietKQKD[[#This Row],[Mã CP]],Sheet4!$B$2:$B$1605,0),_xlfn.XMATCH("*Tăng trưởng doanh thu thuần (QoQ)*",Sheet4!$1:$1,2)),"")</f>
        <v>0.52539999999999998</v>
      </c>
      <c r="R699" s="10" cm="1">
        <f t="array" ref="R699">IFERROR(INDEX(Sheet4!$2:$1605,MATCH(ChiTietKQKD[[#This Row],[Mã CP]],Sheet4!$B$2:$B$1605,0),_xlfn.XMATCH("*Tăng trưởng lợi nhuận sau thuế (QoQ)*",Sheet4!$1:$1,2)),"")</f>
        <v>0.39369999999999999</v>
      </c>
    </row>
    <row r="700" spans="1:18" x14ac:dyDescent="0.25">
      <c r="A700" s="7">
        <f>Sheet4!A679</f>
        <v>678</v>
      </c>
      <c r="B700" t="str">
        <f>Sheet4!B679</f>
        <v>TNG</v>
      </c>
      <c r="C700" t="str">
        <f>Sheet4!C678</f>
        <v>Thương mại Xi măng</v>
      </c>
      <c r="D700" t="str">
        <f>Sheet4!D679</f>
        <v>HNX</v>
      </c>
      <c r="E700" s="7">
        <f>Sheet4!AH679/1000000000</f>
        <v>2136.9390155999999</v>
      </c>
      <c r="F700" t="str">
        <f>Sheet4!E679</f>
        <v>Hàng Tiêu dùng</v>
      </c>
      <c r="G700" t="str">
        <f>Sheet4!F679</f>
        <v>Hàng cá nhân &amp; Gia dụng</v>
      </c>
      <c r="H700" t="str">
        <f>Sheet4!G679</f>
        <v>Hàng May mặc</v>
      </c>
      <c r="I700" s="9" cm="1">
        <f t="array" ref="I70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2913.9521717940002</v>
      </c>
      <c r="J700" s="9" cm="1">
        <f t="array" ref="J70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4865.910657331</v>
      </c>
      <c r="K700" s="10" cm="1">
        <f t="array" ref="K70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0.15279999999999999</v>
      </c>
      <c r="L700" s="10" cm="1">
        <f t="array" ref="L70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0.2049</v>
      </c>
      <c r="M700" s="9" cm="1">
        <f t="array" ref="M700">_xlfn.LET(_xlpm.val,IFERROR(INDEX(Sheet4!$2:$1605,MATCH(ChiTietKQKD[[#This Row],[Mã CP]],Sheet4!$B$2:$B$1605,0),_xlfn.XMATCH("*Lợi nhuận sau thuế*Q2*2026*",Sheet4!$1:$1,2)),0),IF(OR(_xlpm.val="",_xlpm.val=0),"",_xlpm.val/1000000000))</f>
        <v>146.85280872999999</v>
      </c>
      <c r="N700" s="9" cm="1">
        <f t="array" ref="N700">_xlfn.LET(_xlpm.val,IFERROR(INDEX(Sheet4!$2:$1605,MATCH(ChiTietKQKD[[#This Row],[Mã CP]],Sheet4!$B$2:$B$1605,0),_xlfn.XMATCH("*Lợi nhuận sau thuế*6 tháng*2026*",Sheet4!$1:$1,2)),0),IF(OR(_xlpm.val="",_xlpm.val=0),"",_xlpm.val/1000000000))</f>
        <v>203.708361352</v>
      </c>
      <c r="O700" s="10" cm="1">
        <f t="array" ref="O700">IFERROR(INDEX(Sheet4!$2:$1605,MATCH(ChiTietKQKD[[#This Row],[Mã CP]],Sheet4!$B$2:$B$1605,0),_xlfn.XMATCH("*Tăng trưởng lợi nhuận sau thuế (YoY) (Quý*",Sheet4!$1:$1,2)),"")</f>
        <v>0.22359999999999999</v>
      </c>
      <c r="P700" s="10" cm="1">
        <f t="array" ref="P700">IFERROR(INDEX(Sheet4!$2:$1605,MATCH(ChiTietKQKD[[#This Row],[Mã CP]],Sheet4!$B$2:$B$1605,0),_xlfn.XMATCH("*Tăng trưởng lợi nhuận sau thuế (YoY) (6M)*",Sheet4!$1:$1,2)),"")</f>
        <v>0.26819999999999999</v>
      </c>
      <c r="Q700" s="10" cm="1">
        <f t="array" ref="Q700">IFERROR(INDEX(Sheet4!$2:$1605,MATCH(ChiTietKQKD[[#This Row],[Mã CP]],Sheet4!$B$2:$B$1605,0),_xlfn.XMATCH("*Tăng trưởng doanh thu thuần (QoQ)*",Sheet4!$1:$1,2)),"")</f>
        <v>0.49280000000000002</v>
      </c>
      <c r="R700" s="10" cm="1">
        <f t="array" ref="R700">IFERROR(INDEX(Sheet4!$2:$1605,MATCH(ChiTietKQKD[[#This Row],[Mã CP]],Sheet4!$B$2:$B$1605,0),_xlfn.XMATCH("*Tăng trưởng lợi nhuận sau thuế (QoQ)*",Sheet4!$1:$1,2)),"")</f>
        <v>1.4360999999999999</v>
      </c>
    </row>
    <row r="701" spans="1:18" x14ac:dyDescent="0.25">
      <c r="A701" s="7">
        <f>Sheet4!A680</f>
        <v>679</v>
      </c>
      <c r="B701" t="str">
        <f>Sheet4!B680</f>
        <v>TOT</v>
      </c>
      <c r="C701" t="str">
        <f>Sheet4!C679</f>
        <v>Đầu tư và Thương mại TNG</v>
      </c>
      <c r="D701" t="str">
        <f>Sheet4!D680</f>
        <v>HNX</v>
      </c>
      <c r="E701" s="7">
        <f>Sheet4!AH680/1000000000</f>
        <v>156.07122000000001</v>
      </c>
      <c r="F701" t="str">
        <f>Sheet4!E680</f>
        <v>Công nghiệp</v>
      </c>
      <c r="G701" t="str">
        <f>Sheet4!F680</f>
        <v>Hàng &amp; Dịch vụ Công nghiệp</v>
      </c>
      <c r="H701" t="str">
        <f>Sheet4!G680</f>
        <v>Dịch vụ vận tải</v>
      </c>
      <c r="I701" s="9" cm="1">
        <f t="array" ref="I70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104.47186616800001</v>
      </c>
      <c r="J701" s="9" cm="1">
        <f t="array" ref="J70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203.07732316600001</v>
      </c>
      <c r="K701" s="10" cm="1">
        <f t="array" ref="K70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0.46129999999999999</v>
      </c>
      <c r="L701" s="10" cm="1">
        <f t="array" ref="L70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0.56630000000000003</v>
      </c>
      <c r="M701" s="9" cm="1">
        <f t="array" ref="M701">_xlfn.LET(_xlpm.val,IFERROR(INDEX(Sheet4!$2:$1605,MATCH(ChiTietKQKD[[#This Row],[Mã CP]],Sheet4!$B$2:$B$1605,0),_xlfn.XMATCH("*Lợi nhuận sau thuế*Q2*2026*",Sheet4!$1:$1,2)),0),IF(OR(_xlpm.val="",_xlpm.val=0),"",_xlpm.val/1000000000))</f>
        <v>8.7834272149999997</v>
      </c>
      <c r="N701" s="9" cm="1">
        <f t="array" ref="N701">_xlfn.LET(_xlpm.val,IFERROR(INDEX(Sheet4!$2:$1605,MATCH(ChiTietKQKD[[#This Row],[Mã CP]],Sheet4!$B$2:$B$1605,0),_xlfn.XMATCH("*Lợi nhuận sau thuế*6 tháng*2026*",Sheet4!$1:$1,2)),0),IF(OR(_xlpm.val="",_xlpm.val=0),"",_xlpm.val/1000000000))</f>
        <v>17.434378747</v>
      </c>
      <c r="O701" s="10" cm="1">
        <f t="array" ref="O701">IFERROR(INDEX(Sheet4!$2:$1605,MATCH(ChiTietKQKD[[#This Row],[Mã CP]],Sheet4!$B$2:$B$1605,0),_xlfn.XMATCH("*Tăng trưởng lợi nhuận sau thuế (YoY) (Quý*",Sheet4!$1:$1,2)),"")</f>
        <v>4.5900000000000003E-2</v>
      </c>
      <c r="P701" s="10" cm="1">
        <f t="array" ref="P701">IFERROR(INDEX(Sheet4!$2:$1605,MATCH(ChiTietKQKD[[#This Row],[Mã CP]],Sheet4!$B$2:$B$1605,0),_xlfn.XMATCH("*Tăng trưởng lợi nhuận sau thuế (YoY) (6M)*",Sheet4!$1:$1,2)),"")</f>
        <v>0.55779999999999996</v>
      </c>
      <c r="Q701" s="10" cm="1">
        <f t="array" ref="Q701">IFERROR(INDEX(Sheet4!$2:$1605,MATCH(ChiTietKQKD[[#This Row],[Mã CP]],Sheet4!$B$2:$B$1605,0),_xlfn.XMATCH("*Tăng trưởng doanh thu thuần (QoQ)*",Sheet4!$1:$1,2)),"")</f>
        <v>5.9499999999999997E-2</v>
      </c>
      <c r="R701" s="10" cm="1">
        <f t="array" ref="R701">IFERROR(INDEX(Sheet4!$2:$1605,MATCH(ChiTietKQKD[[#This Row],[Mã CP]],Sheet4!$B$2:$B$1605,0),_xlfn.XMATCH("*Tăng trưởng lợi nhuận sau thuế (QoQ)*",Sheet4!$1:$1,2)),"")</f>
        <v>1.5299999999999999E-2</v>
      </c>
    </row>
    <row r="702" spans="1:18" x14ac:dyDescent="0.25">
      <c r="A702" s="7">
        <f>Sheet4!A681</f>
        <v>680</v>
      </c>
      <c r="B702" t="str">
        <f>Sheet4!B681</f>
        <v>TPP</v>
      </c>
      <c r="C702" t="str">
        <f>Sheet4!C680</f>
        <v>Vận tải Transimex</v>
      </c>
      <c r="D702" t="str">
        <f>Sheet4!D681</f>
        <v>HNX</v>
      </c>
      <c r="E702" s="7">
        <f>Sheet4!AH681/1000000000</f>
        <v>609.99693539999998</v>
      </c>
      <c r="F702" t="str">
        <f>Sheet4!E681</f>
        <v>Công nghiệp</v>
      </c>
      <c r="G702" t="str">
        <f>Sheet4!F681</f>
        <v>Hàng &amp; Dịch vụ Công nghiệp</v>
      </c>
      <c r="H702" t="str">
        <f>Sheet4!G681</f>
        <v>Containers &amp; Đóng gói</v>
      </c>
      <c r="I702" s="9" t="str" cm="1">
        <f t="array" ref="I70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02" s="9" t="str" cm="1">
        <f t="array" ref="J70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02" s="10" cm="1">
        <f t="array" ref="K70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02" s="10" cm="1">
        <f t="array" ref="L70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02" s="9" t="str" cm="1">
        <f t="array" ref="M70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02" s="9" t="str" cm="1">
        <f t="array" ref="N70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02" s="10" cm="1">
        <f t="array" ref="O702">IFERROR(INDEX(Sheet4!$2:$1605,MATCH(ChiTietKQKD[[#This Row],[Mã CP]],Sheet4!$B$2:$B$1605,0),_xlfn.XMATCH("*Tăng trưởng lợi nhuận sau thuế (YoY) (Quý*",Sheet4!$1:$1,2)),"")</f>
        <v>0</v>
      </c>
      <c r="P702" s="10" cm="1">
        <f t="array" ref="P702">IFERROR(INDEX(Sheet4!$2:$1605,MATCH(ChiTietKQKD[[#This Row],[Mã CP]],Sheet4!$B$2:$B$1605,0),_xlfn.XMATCH("*Tăng trưởng lợi nhuận sau thuế (YoY) (6M)*",Sheet4!$1:$1,2)),"")</f>
        <v>0</v>
      </c>
      <c r="Q702" s="10" cm="1">
        <f t="array" ref="Q702">IFERROR(INDEX(Sheet4!$2:$1605,MATCH(ChiTietKQKD[[#This Row],[Mã CP]],Sheet4!$B$2:$B$1605,0),_xlfn.XMATCH("*Tăng trưởng doanh thu thuần (QoQ)*",Sheet4!$1:$1,2)),"")</f>
        <v>0</v>
      </c>
      <c r="R702" s="10" cm="1">
        <f t="array" ref="R702">IFERROR(INDEX(Sheet4!$2:$1605,MATCH(ChiTietKQKD[[#This Row],[Mã CP]],Sheet4!$B$2:$B$1605,0),_xlfn.XMATCH("*Tăng trưởng lợi nhuận sau thuế (QoQ)*",Sheet4!$1:$1,2)),"")</f>
        <v>0</v>
      </c>
    </row>
    <row r="703" spans="1:18" x14ac:dyDescent="0.25">
      <c r="A703" s="7">
        <f>Sheet4!A682</f>
        <v>681</v>
      </c>
      <c r="B703" t="str">
        <f>Sheet4!B682</f>
        <v>TSB</v>
      </c>
      <c r="C703" t="str">
        <f>Sheet4!C681</f>
        <v>Nhựa Tân Phú VN</v>
      </c>
      <c r="D703" t="str">
        <f>Sheet4!D682</f>
        <v>HNX</v>
      </c>
      <c r="E703" s="7">
        <f>Sheet4!AH682/1000000000</f>
        <v>129.513216</v>
      </c>
      <c r="F703" t="str">
        <f>Sheet4!E682</f>
        <v>Công nghiệp</v>
      </c>
      <c r="G703" t="str">
        <f>Sheet4!F682</f>
        <v>Hàng &amp; Dịch vụ Công nghiệp</v>
      </c>
      <c r="H703" t="str">
        <f>Sheet4!G682</f>
        <v>Hàng điện &amp; điện tử</v>
      </c>
      <c r="I703" s="9" t="str" cm="1">
        <f t="array" ref="I70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03" s="9" t="str" cm="1">
        <f t="array" ref="J70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03" s="10" cm="1">
        <f t="array" ref="K70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03" s="10" cm="1">
        <f t="array" ref="L70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03" s="9" t="str" cm="1">
        <f t="array" ref="M70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03" s="9" t="str" cm="1">
        <f t="array" ref="N70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03" s="10" cm="1">
        <f t="array" ref="O703">IFERROR(INDEX(Sheet4!$2:$1605,MATCH(ChiTietKQKD[[#This Row],[Mã CP]],Sheet4!$B$2:$B$1605,0),_xlfn.XMATCH("*Tăng trưởng lợi nhuận sau thuế (YoY) (Quý*",Sheet4!$1:$1,2)),"")</f>
        <v>0</v>
      </c>
      <c r="P703" s="10" cm="1">
        <f t="array" ref="P703">IFERROR(INDEX(Sheet4!$2:$1605,MATCH(ChiTietKQKD[[#This Row],[Mã CP]],Sheet4!$B$2:$B$1605,0),_xlfn.XMATCH("*Tăng trưởng lợi nhuận sau thuế (YoY) (6M)*",Sheet4!$1:$1,2)),"")</f>
        <v>0</v>
      </c>
      <c r="Q703" s="10" cm="1">
        <f t="array" ref="Q703">IFERROR(INDEX(Sheet4!$2:$1605,MATCH(ChiTietKQKD[[#This Row],[Mã CP]],Sheet4!$B$2:$B$1605,0),_xlfn.XMATCH("*Tăng trưởng doanh thu thuần (QoQ)*",Sheet4!$1:$1,2)),"")</f>
        <v>0</v>
      </c>
      <c r="R703" s="10" cm="1">
        <f t="array" ref="R703">IFERROR(INDEX(Sheet4!$2:$1605,MATCH(ChiTietKQKD[[#This Row],[Mã CP]],Sheet4!$B$2:$B$1605,0),_xlfn.XMATCH("*Tăng trưởng lợi nhuận sau thuế (QoQ)*",Sheet4!$1:$1,2)),"")</f>
        <v>0</v>
      </c>
    </row>
    <row r="704" spans="1:18" x14ac:dyDescent="0.25">
      <c r="A704" s="7">
        <f>Sheet4!A683</f>
        <v>682</v>
      </c>
      <c r="B704" t="str">
        <f>Sheet4!B683</f>
        <v>TTC</v>
      </c>
      <c r="C704" t="str">
        <f>Sheet4!C682</f>
        <v>Ắc quy Tia Sáng</v>
      </c>
      <c r="D704" t="str">
        <f>Sheet4!D683</f>
        <v>HNX</v>
      </c>
      <c r="E704" s="7">
        <f>Sheet4!AH683/1000000000</f>
        <v>54.058804799999997</v>
      </c>
      <c r="F704" t="str">
        <f>Sheet4!E683</f>
        <v>Công nghiệp</v>
      </c>
      <c r="G704" t="str">
        <f>Sheet4!F683</f>
        <v>Xây dựng và Vật liệu</v>
      </c>
      <c r="H704" t="str">
        <f>Sheet4!G683</f>
        <v>Vật liệu xây dựng &amp; Nội thất</v>
      </c>
      <c r="I704" s="9" cm="1">
        <f t="array" ref="I70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4.7763797849999996</v>
      </c>
      <c r="J704" s="9" cm="1">
        <f t="array" ref="J70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19.364485904999999</v>
      </c>
      <c r="K704" s="10" cm="1">
        <f t="array" ref="K70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-0.87409999999999999</v>
      </c>
      <c r="L704" s="10" cm="1">
        <f t="array" ref="L70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04" s="9" cm="1">
        <f t="array" ref="M704">_xlfn.LET(_xlpm.val,IFERROR(INDEX(Sheet4!$2:$1605,MATCH(ChiTietKQKD[[#This Row],[Mã CP]],Sheet4!$B$2:$B$1605,0),_xlfn.XMATCH("*Lợi nhuận sau thuế*Q2*2026*",Sheet4!$1:$1,2)),0),IF(OR(_xlpm.val="",_xlpm.val=0),"",_xlpm.val/1000000000))</f>
        <v>11.189857033999999</v>
      </c>
      <c r="N704" s="9" cm="1">
        <f t="array" ref="N704">_xlfn.LET(_xlpm.val,IFERROR(INDEX(Sheet4!$2:$1605,MATCH(ChiTietKQKD[[#This Row],[Mã CP]],Sheet4!$B$2:$B$1605,0),_xlfn.XMATCH("*Lợi nhuận sau thuế*6 tháng*2026*",Sheet4!$1:$1,2)),0),IF(OR(_xlpm.val="",_xlpm.val=0),"",_xlpm.val/1000000000))</f>
        <v>15.015276804000001</v>
      </c>
      <c r="O704" s="10" cm="1">
        <f t="array" ref="O704">IFERROR(INDEX(Sheet4!$2:$1605,MATCH(ChiTietKQKD[[#This Row],[Mã CP]],Sheet4!$B$2:$B$1605,0),_xlfn.XMATCH("*Tăng trưởng lợi nhuận sau thuế (YoY) (Quý*",Sheet4!$1:$1,2)),"")</f>
        <v>226.06219999999999</v>
      </c>
      <c r="P704" s="10" cm="1">
        <f t="array" ref="P704">IFERROR(INDEX(Sheet4!$2:$1605,MATCH(ChiTietKQKD[[#This Row],[Mã CP]],Sheet4!$B$2:$B$1605,0),_xlfn.XMATCH("*Tăng trưởng lợi nhuận sau thuế (YoY) (6M)*",Sheet4!$1:$1,2)),"")</f>
        <v>0</v>
      </c>
      <c r="Q704" s="10" cm="1">
        <f t="array" ref="Q704">IFERROR(INDEX(Sheet4!$2:$1605,MATCH(ChiTietKQKD[[#This Row],[Mã CP]],Sheet4!$B$2:$B$1605,0),_xlfn.XMATCH("*Tăng trưởng doanh thu thuần (QoQ)*",Sheet4!$1:$1,2)),"")</f>
        <v>-0.67259999999999998</v>
      </c>
      <c r="R704" s="10" cm="1">
        <f t="array" ref="R704">IFERROR(INDEX(Sheet4!$2:$1605,MATCH(ChiTietKQKD[[#This Row],[Mã CP]],Sheet4!$B$2:$B$1605,0),_xlfn.XMATCH("*Tăng trưởng lợi nhuận sau thuế (QoQ)*",Sheet4!$1:$1,2)),"")</f>
        <v>1.9251</v>
      </c>
    </row>
    <row r="705" spans="1:18" x14ac:dyDescent="0.25">
      <c r="A705" s="7">
        <f>Sheet4!A684</f>
        <v>683</v>
      </c>
      <c r="B705" t="str">
        <f>Sheet4!B684</f>
        <v>TTH</v>
      </c>
      <c r="C705" t="str">
        <f>Sheet4!C683</f>
        <v>Gạch men Thanh Thanh</v>
      </c>
      <c r="D705" t="str">
        <f>Sheet4!D684</f>
        <v>HNX</v>
      </c>
      <c r="E705" s="7">
        <f>Sheet4!AH684/1000000000</f>
        <v>82.2246612</v>
      </c>
      <c r="F705" t="str">
        <f>Sheet4!E684</f>
        <v>Nguyên vật liệu</v>
      </c>
      <c r="G705" t="str">
        <f>Sheet4!F684</f>
        <v>Tài nguyên Cơ bản</v>
      </c>
      <c r="H705" t="str">
        <f>Sheet4!G684</f>
        <v>Thép và sản phẩm thép</v>
      </c>
      <c r="I705" s="9" cm="1">
        <f t="array" ref="I70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161.078133388</v>
      </c>
      <c r="J705" s="9" cm="1">
        <f t="array" ref="J70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303.559803332</v>
      </c>
      <c r="K705" s="10" cm="1">
        <f t="array" ref="K70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0.17269999999999999</v>
      </c>
      <c r="L705" s="10" cm="1">
        <f t="array" ref="L70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0.1173</v>
      </c>
      <c r="M705" s="9" cm="1">
        <f t="array" ref="M705">_xlfn.LET(_xlpm.val,IFERROR(INDEX(Sheet4!$2:$1605,MATCH(ChiTietKQKD[[#This Row],[Mã CP]],Sheet4!$B$2:$B$1605,0),_xlfn.XMATCH("*Lợi nhuận sau thuế*Q2*2026*",Sheet4!$1:$1,2)),0),IF(OR(_xlpm.val="",_xlpm.val=0),"",_xlpm.val/1000000000))</f>
        <v>4.0167990319999998</v>
      </c>
      <c r="N705" s="9" cm="1">
        <f t="array" ref="N705">_xlfn.LET(_xlpm.val,IFERROR(INDEX(Sheet4!$2:$1605,MATCH(ChiTietKQKD[[#This Row],[Mã CP]],Sheet4!$B$2:$B$1605,0),_xlfn.XMATCH("*Lợi nhuận sau thuế*6 tháng*2026*",Sheet4!$1:$1,2)),0),IF(OR(_xlpm.val="",_xlpm.val=0),"",_xlpm.val/1000000000))</f>
        <v>3.2764198050000002</v>
      </c>
      <c r="O705" s="10" cm="1">
        <f t="array" ref="O705">IFERROR(INDEX(Sheet4!$2:$1605,MATCH(ChiTietKQKD[[#This Row],[Mã CP]],Sheet4!$B$2:$B$1605,0),_xlfn.XMATCH("*Tăng trưởng lợi nhuận sau thuế (YoY) (Quý*",Sheet4!$1:$1,2)),"")</f>
        <v>1.4078999999999999</v>
      </c>
      <c r="P705" s="10" cm="1">
        <f t="array" ref="P705">IFERROR(INDEX(Sheet4!$2:$1605,MATCH(ChiTietKQKD[[#This Row],[Mã CP]],Sheet4!$B$2:$B$1605,0),_xlfn.XMATCH("*Tăng trưởng lợi nhuận sau thuế (YoY) (6M)*",Sheet4!$1:$1,2)),"")</f>
        <v>1.3563000000000001</v>
      </c>
      <c r="Q705" s="10" cm="1">
        <f t="array" ref="Q705">IFERROR(INDEX(Sheet4!$2:$1605,MATCH(ChiTietKQKD[[#This Row],[Mã CP]],Sheet4!$B$2:$B$1605,0),_xlfn.XMATCH("*Tăng trưởng doanh thu thuần (QoQ)*",Sheet4!$1:$1,2)),"")</f>
        <v>0.1305</v>
      </c>
      <c r="R705" s="10" cm="1">
        <f t="array" ref="R705">IFERROR(INDEX(Sheet4!$2:$1605,MATCH(ChiTietKQKD[[#This Row],[Mã CP]],Sheet4!$B$2:$B$1605,0),_xlfn.XMATCH("*Tăng trưởng lợi nhuận sau thuế (QoQ)*",Sheet4!$1:$1,2)),"")</f>
        <v>6.4253</v>
      </c>
    </row>
    <row r="706" spans="1:18" x14ac:dyDescent="0.25">
      <c r="A706" s="7">
        <f>Sheet4!A685</f>
        <v>684</v>
      </c>
      <c r="B706" t="str">
        <f>Sheet4!B685</f>
        <v>TTL</v>
      </c>
      <c r="C706" t="str">
        <f>Sheet4!C684</f>
        <v>TM và DV Tiến Thành</v>
      </c>
      <c r="D706" t="str">
        <f>Sheet4!D685</f>
        <v>HNX</v>
      </c>
      <c r="E706" s="7">
        <f>Sheet4!AH685/1000000000</f>
        <v>292.97590000000002</v>
      </c>
      <c r="F706" t="str">
        <f>Sheet4!E685</f>
        <v>Công nghiệp</v>
      </c>
      <c r="G706" t="str">
        <f>Sheet4!F685</f>
        <v>Xây dựng và Vật liệu</v>
      </c>
      <c r="H706" t="str">
        <f>Sheet4!G685</f>
        <v>Xây dựng</v>
      </c>
      <c r="I706" s="9" t="str" cm="1">
        <f t="array" ref="I70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06" s="9" t="str" cm="1">
        <f t="array" ref="J70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06" s="10" cm="1">
        <f t="array" ref="K70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06" s="10" cm="1">
        <f t="array" ref="L70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06" s="9" t="str" cm="1">
        <f t="array" ref="M70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06" s="9" t="str" cm="1">
        <f t="array" ref="N70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06" s="10" cm="1">
        <f t="array" ref="O706">IFERROR(INDEX(Sheet4!$2:$1605,MATCH(ChiTietKQKD[[#This Row],[Mã CP]],Sheet4!$B$2:$B$1605,0),_xlfn.XMATCH("*Tăng trưởng lợi nhuận sau thuế (YoY) (Quý*",Sheet4!$1:$1,2)),"")</f>
        <v>0</v>
      </c>
      <c r="P706" s="10" cm="1">
        <f t="array" ref="P706">IFERROR(INDEX(Sheet4!$2:$1605,MATCH(ChiTietKQKD[[#This Row],[Mã CP]],Sheet4!$B$2:$B$1605,0),_xlfn.XMATCH("*Tăng trưởng lợi nhuận sau thuế (YoY) (6M)*",Sheet4!$1:$1,2)),"")</f>
        <v>0</v>
      </c>
      <c r="Q706" s="10" cm="1">
        <f t="array" ref="Q706">IFERROR(INDEX(Sheet4!$2:$1605,MATCH(ChiTietKQKD[[#This Row],[Mã CP]],Sheet4!$B$2:$B$1605,0),_xlfn.XMATCH("*Tăng trưởng doanh thu thuần (QoQ)*",Sheet4!$1:$1,2)),"")</f>
        <v>0</v>
      </c>
      <c r="R706" s="10" cm="1">
        <f t="array" ref="R706">IFERROR(INDEX(Sheet4!$2:$1605,MATCH(ChiTietKQKD[[#This Row],[Mã CP]],Sheet4!$B$2:$B$1605,0),_xlfn.XMATCH("*Tăng trưởng lợi nhuận sau thuế (QoQ)*",Sheet4!$1:$1,2)),"")</f>
        <v>0</v>
      </c>
    </row>
    <row r="707" spans="1:18" x14ac:dyDescent="0.25">
      <c r="A707" s="7">
        <f>Sheet4!A686</f>
        <v>685</v>
      </c>
      <c r="B707" t="str">
        <f>Sheet4!B686</f>
        <v>TTT</v>
      </c>
      <c r="C707" t="str">
        <f>Sheet4!C685</f>
        <v>TCT Thăng Long</v>
      </c>
      <c r="D707" t="str">
        <f>Sheet4!D686</f>
        <v>HNX</v>
      </c>
      <c r="E707" s="7">
        <f>Sheet4!AH686/1000000000</f>
        <v>141.67651000000001</v>
      </c>
      <c r="F707" t="str">
        <f>Sheet4!E686</f>
        <v>Dịch vụ Tiêu dùng</v>
      </c>
      <c r="G707" t="str">
        <f>Sheet4!F686</f>
        <v>Du lịch và Giải trí</v>
      </c>
      <c r="H707" t="str">
        <f>Sheet4!G686</f>
        <v>Vận tải hành khách &amp; Du lịch</v>
      </c>
      <c r="I707" s="9" t="str" cm="1">
        <f t="array" ref="I70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07" s="9" t="str" cm="1">
        <f t="array" ref="J70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07" s="10" cm="1">
        <f t="array" ref="K70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07" s="10" cm="1">
        <f t="array" ref="L70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07" s="9" t="str" cm="1">
        <f t="array" ref="M70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07" s="9" t="str" cm="1">
        <f t="array" ref="N70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07" s="10" cm="1">
        <f t="array" ref="O707">IFERROR(INDEX(Sheet4!$2:$1605,MATCH(ChiTietKQKD[[#This Row],[Mã CP]],Sheet4!$B$2:$B$1605,0),_xlfn.XMATCH("*Tăng trưởng lợi nhuận sau thuế (YoY) (Quý*",Sheet4!$1:$1,2)),"")</f>
        <v>0</v>
      </c>
      <c r="P707" s="10" cm="1">
        <f t="array" ref="P707">IFERROR(INDEX(Sheet4!$2:$1605,MATCH(ChiTietKQKD[[#This Row],[Mã CP]],Sheet4!$B$2:$B$1605,0),_xlfn.XMATCH("*Tăng trưởng lợi nhuận sau thuế (YoY) (6M)*",Sheet4!$1:$1,2)),"")</f>
        <v>0</v>
      </c>
      <c r="Q707" s="10" cm="1">
        <f t="array" ref="Q707">IFERROR(INDEX(Sheet4!$2:$1605,MATCH(ChiTietKQKD[[#This Row],[Mã CP]],Sheet4!$B$2:$B$1605,0),_xlfn.XMATCH("*Tăng trưởng doanh thu thuần (QoQ)*",Sheet4!$1:$1,2)),"")</f>
        <v>0</v>
      </c>
      <c r="R707" s="10" cm="1">
        <f t="array" ref="R707">IFERROR(INDEX(Sheet4!$2:$1605,MATCH(ChiTietKQKD[[#This Row],[Mã CP]],Sheet4!$B$2:$B$1605,0),_xlfn.XMATCH("*Tăng trưởng lợi nhuận sau thuế (QoQ)*",Sheet4!$1:$1,2)),"")</f>
        <v>0</v>
      </c>
    </row>
    <row r="708" spans="1:18" x14ac:dyDescent="0.25">
      <c r="A708" s="7">
        <f>Sheet4!A687</f>
        <v>686</v>
      </c>
      <c r="B708" t="str">
        <f>Sheet4!B687</f>
        <v>TV3</v>
      </c>
      <c r="C708" t="str">
        <f>Sheet4!C686</f>
        <v>Du lịch - Thương Mại Tây Ninh</v>
      </c>
      <c r="D708" t="str">
        <f>Sheet4!D687</f>
        <v>HNX</v>
      </c>
      <c r="E708" s="7">
        <f>Sheet4!AH687/1000000000</f>
        <v>143.7110639</v>
      </c>
      <c r="F708" t="str">
        <f>Sheet4!E687</f>
        <v>Công nghiệp</v>
      </c>
      <c r="G708" t="str">
        <f>Sheet4!F687</f>
        <v>Hàng &amp; Dịch vụ Công nghiệp</v>
      </c>
      <c r="H708" t="str">
        <f>Sheet4!G687</f>
        <v>Tư vấn &amp; Hỗ trợ KD</v>
      </c>
      <c r="I708" s="9" t="str" cm="1">
        <f t="array" ref="I70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08" s="9" t="str" cm="1">
        <f t="array" ref="J70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08" s="10" cm="1">
        <f t="array" ref="K70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08" s="10" cm="1">
        <f t="array" ref="L70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08" s="9" t="str" cm="1">
        <f t="array" ref="M70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08" s="9" t="str" cm="1">
        <f t="array" ref="N70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08" s="10" cm="1">
        <f t="array" ref="O708">IFERROR(INDEX(Sheet4!$2:$1605,MATCH(ChiTietKQKD[[#This Row],[Mã CP]],Sheet4!$B$2:$B$1605,0),_xlfn.XMATCH("*Tăng trưởng lợi nhuận sau thuế (YoY) (Quý*",Sheet4!$1:$1,2)),"")</f>
        <v>0</v>
      </c>
      <c r="P708" s="10" cm="1">
        <f t="array" ref="P708">IFERROR(INDEX(Sheet4!$2:$1605,MATCH(ChiTietKQKD[[#This Row],[Mã CP]],Sheet4!$B$2:$B$1605,0),_xlfn.XMATCH("*Tăng trưởng lợi nhuận sau thuế (YoY) (6M)*",Sheet4!$1:$1,2)),"")</f>
        <v>0</v>
      </c>
      <c r="Q708" s="10" cm="1">
        <f t="array" ref="Q708">IFERROR(INDEX(Sheet4!$2:$1605,MATCH(ChiTietKQKD[[#This Row],[Mã CP]],Sheet4!$B$2:$B$1605,0),_xlfn.XMATCH("*Tăng trưởng doanh thu thuần (QoQ)*",Sheet4!$1:$1,2)),"")</f>
        <v>0</v>
      </c>
      <c r="R708" s="10" cm="1">
        <f t="array" ref="R708">IFERROR(INDEX(Sheet4!$2:$1605,MATCH(ChiTietKQKD[[#This Row],[Mã CP]],Sheet4!$B$2:$B$1605,0),_xlfn.XMATCH("*Tăng trưởng lợi nhuận sau thuế (QoQ)*",Sheet4!$1:$1,2)),"")</f>
        <v>0</v>
      </c>
    </row>
    <row r="709" spans="1:18" x14ac:dyDescent="0.25">
      <c r="A709" s="7">
        <f>Sheet4!A688</f>
        <v>687</v>
      </c>
      <c r="B709" t="str">
        <f>Sheet4!B688</f>
        <v>TV4</v>
      </c>
      <c r="C709" t="str">
        <f>Sheet4!C687</f>
        <v>Tư vấn XD điện 3</v>
      </c>
      <c r="D709" t="str">
        <f>Sheet4!D688</f>
        <v>HNX</v>
      </c>
      <c r="E709" s="7">
        <f>Sheet4!AH688/1000000000</f>
        <v>253.20311040000001</v>
      </c>
      <c r="F709" t="str">
        <f>Sheet4!E688</f>
        <v>Công nghiệp</v>
      </c>
      <c r="G709" t="str">
        <f>Sheet4!F688</f>
        <v>Hàng &amp; Dịch vụ Công nghiệp</v>
      </c>
      <c r="H709" t="str">
        <f>Sheet4!G688</f>
        <v>Tư vấn &amp; Hỗ trợ KD</v>
      </c>
      <c r="I709" s="9" cm="1">
        <f t="array" ref="I70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43.541475493</v>
      </c>
      <c r="J709" s="9" cm="1">
        <f t="array" ref="J70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104.27283205099999</v>
      </c>
      <c r="K709" s="10" cm="1">
        <f t="array" ref="K70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-0.16650000000000001</v>
      </c>
      <c r="L709" s="10" cm="1">
        <f t="array" ref="L70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6.3E-2</v>
      </c>
      <c r="M709" s="9" cm="1">
        <f t="array" ref="M709">_xlfn.LET(_xlpm.val,IFERROR(INDEX(Sheet4!$2:$1605,MATCH(ChiTietKQKD[[#This Row],[Mã CP]],Sheet4!$B$2:$B$1605,0),_xlfn.XMATCH("*Lợi nhuận sau thuế*Q2*2026*",Sheet4!$1:$1,2)),0),IF(OR(_xlpm.val="",_xlpm.val=0),"",_xlpm.val/1000000000))</f>
        <v>3.5960734150000002</v>
      </c>
      <c r="N709" s="9" cm="1">
        <f t="array" ref="N709">_xlfn.LET(_xlpm.val,IFERROR(INDEX(Sheet4!$2:$1605,MATCH(ChiTietKQKD[[#This Row],[Mã CP]],Sheet4!$B$2:$B$1605,0),_xlfn.XMATCH("*Lợi nhuận sau thuế*6 tháng*2026*",Sheet4!$1:$1,2)),0),IF(OR(_xlpm.val="",_xlpm.val=0),"",_xlpm.val/1000000000))</f>
        <v>7.1723134560000004</v>
      </c>
      <c r="O709" s="10" cm="1">
        <f t="array" ref="O709">IFERROR(INDEX(Sheet4!$2:$1605,MATCH(ChiTietKQKD[[#This Row],[Mã CP]],Sheet4!$B$2:$B$1605,0),_xlfn.XMATCH("*Tăng trưởng lợi nhuận sau thuế (YoY) (Quý*",Sheet4!$1:$1,2)),"")</f>
        <v>0.12280000000000001</v>
      </c>
      <c r="P709" s="10" cm="1">
        <f t="array" ref="P709">IFERROR(INDEX(Sheet4!$2:$1605,MATCH(ChiTietKQKD[[#This Row],[Mã CP]],Sheet4!$B$2:$B$1605,0),_xlfn.XMATCH("*Tăng trưởng lợi nhuận sau thuế (YoY) (6M)*",Sheet4!$1:$1,2)),"")</f>
        <v>0.2147</v>
      </c>
      <c r="Q709" s="10" cm="1">
        <f t="array" ref="Q709">IFERROR(INDEX(Sheet4!$2:$1605,MATCH(ChiTietKQKD[[#This Row],[Mã CP]],Sheet4!$B$2:$B$1605,0),_xlfn.XMATCH("*Tăng trưởng doanh thu thuần (QoQ)*",Sheet4!$1:$1,2)),"")</f>
        <v>-0.28299999999999997</v>
      </c>
      <c r="R709" s="10" cm="1">
        <f t="array" ref="R709">IFERROR(INDEX(Sheet4!$2:$1605,MATCH(ChiTietKQKD[[#This Row],[Mã CP]],Sheet4!$B$2:$B$1605,0),_xlfn.XMATCH("*Tăng trưởng lợi nhuận sau thuế (QoQ)*",Sheet4!$1:$1,2)),"")</f>
        <v>5.4999999999999997E-3</v>
      </c>
    </row>
    <row r="710" spans="1:18" x14ac:dyDescent="0.25">
      <c r="A710" s="7">
        <f>Sheet4!A689</f>
        <v>688</v>
      </c>
      <c r="B710" t="str">
        <f>Sheet4!B689</f>
        <v>TVC</v>
      </c>
      <c r="C710" t="str">
        <f>Sheet4!C688</f>
        <v>Tư vấn XD Điện 4</v>
      </c>
      <c r="D710" t="str">
        <f>Sheet4!D689</f>
        <v>HNX</v>
      </c>
      <c r="E710" s="7">
        <f>Sheet4!AH689/1000000000</f>
        <v>624.47567400000003</v>
      </c>
      <c r="F710" t="str">
        <f>Sheet4!E689</f>
        <v>Tài chính</v>
      </c>
      <c r="G710" t="str">
        <f>Sheet4!F689</f>
        <v>Dịch vụ tài chính</v>
      </c>
      <c r="H710" t="str">
        <f>Sheet4!G689</f>
        <v>Tài chính đặc biệt</v>
      </c>
      <c r="I710" s="9" t="str" cm="1">
        <f t="array" ref="I71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10" s="9" t="str" cm="1">
        <f t="array" ref="J71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10" s="10" cm="1">
        <f t="array" ref="K71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10" s="10" cm="1">
        <f t="array" ref="L71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10" s="9" t="str" cm="1">
        <f t="array" ref="M71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10" s="9" t="str" cm="1">
        <f t="array" ref="N71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10" s="10" cm="1">
        <f t="array" ref="O710">IFERROR(INDEX(Sheet4!$2:$1605,MATCH(ChiTietKQKD[[#This Row],[Mã CP]],Sheet4!$B$2:$B$1605,0),_xlfn.XMATCH("*Tăng trưởng lợi nhuận sau thuế (YoY) (Quý*",Sheet4!$1:$1,2)),"")</f>
        <v>0</v>
      </c>
      <c r="P710" s="10" cm="1">
        <f t="array" ref="P710">IFERROR(INDEX(Sheet4!$2:$1605,MATCH(ChiTietKQKD[[#This Row],[Mã CP]],Sheet4!$B$2:$B$1605,0),_xlfn.XMATCH("*Tăng trưởng lợi nhuận sau thuế (YoY) (6M)*",Sheet4!$1:$1,2)),"")</f>
        <v>0</v>
      </c>
      <c r="Q710" s="10" cm="1">
        <f t="array" ref="Q710">IFERROR(INDEX(Sheet4!$2:$1605,MATCH(ChiTietKQKD[[#This Row],[Mã CP]],Sheet4!$B$2:$B$1605,0),_xlfn.XMATCH("*Tăng trưởng doanh thu thuần (QoQ)*",Sheet4!$1:$1,2)),"")</f>
        <v>0</v>
      </c>
      <c r="R710" s="10" cm="1">
        <f t="array" ref="R710">IFERROR(INDEX(Sheet4!$2:$1605,MATCH(ChiTietKQKD[[#This Row],[Mã CP]],Sheet4!$B$2:$B$1605,0),_xlfn.XMATCH("*Tăng trưởng lợi nhuận sau thuế (QoQ)*",Sheet4!$1:$1,2)),"")</f>
        <v>0</v>
      </c>
    </row>
    <row r="711" spans="1:18" x14ac:dyDescent="0.25">
      <c r="A711" s="7">
        <f>Sheet4!A690</f>
        <v>689</v>
      </c>
      <c r="B711" t="str">
        <f>Sheet4!B690</f>
        <v>TVD</v>
      </c>
      <c r="C711" t="str">
        <f>Sheet4!C689</f>
        <v>Tập đoàn Quản lý tài sản T-Corp</v>
      </c>
      <c r="D711" t="str">
        <f>Sheet4!D690</f>
        <v>HNX</v>
      </c>
      <c r="E711" s="7">
        <f>Sheet4!AH690/1000000000</f>
        <v>391.17691680000001</v>
      </c>
      <c r="F711" t="str">
        <f>Sheet4!E690</f>
        <v>Nguyên vật liệu</v>
      </c>
      <c r="G711" t="str">
        <f>Sheet4!F690</f>
        <v>Tài nguyên Cơ bản</v>
      </c>
      <c r="H711" t="str">
        <f>Sheet4!G690</f>
        <v>Khai thác Than</v>
      </c>
      <c r="I711" s="9" cm="1">
        <f t="array" ref="I71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1717.525535197</v>
      </c>
      <c r="J711" s="9" cm="1">
        <f t="array" ref="J71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3243.1784583829999</v>
      </c>
      <c r="K711" s="10" cm="1">
        <f t="array" ref="K71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2.58E-2</v>
      </c>
      <c r="L711" s="10" cm="1">
        <f t="array" ref="L71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11" s="9" cm="1">
        <f t="array" ref="M711">_xlfn.LET(_xlpm.val,IFERROR(INDEX(Sheet4!$2:$1605,MATCH(ChiTietKQKD[[#This Row],[Mã CP]],Sheet4!$B$2:$B$1605,0),_xlfn.XMATCH("*Lợi nhuận sau thuế*Q2*2026*",Sheet4!$1:$1,2)),0),IF(OR(_xlpm.val="",_xlpm.val=0),"",_xlpm.val/1000000000))</f>
        <v>15.100469345</v>
      </c>
      <c r="N711" s="9" cm="1">
        <f t="array" ref="N711">_xlfn.LET(_xlpm.val,IFERROR(INDEX(Sheet4!$2:$1605,MATCH(ChiTietKQKD[[#This Row],[Mã CP]],Sheet4!$B$2:$B$1605,0),_xlfn.XMATCH("*Lợi nhuận sau thuế*6 tháng*2026*",Sheet4!$1:$1,2)),0),IF(OR(_xlpm.val="",_xlpm.val=0),"",_xlpm.val/1000000000))</f>
        <v>35.693655307</v>
      </c>
      <c r="O711" s="10" cm="1">
        <f t="array" ref="O711">IFERROR(INDEX(Sheet4!$2:$1605,MATCH(ChiTietKQKD[[#This Row],[Mã CP]],Sheet4!$B$2:$B$1605,0),_xlfn.XMATCH("*Tăng trưởng lợi nhuận sau thuế (YoY) (Quý*",Sheet4!$1:$1,2)),"")</f>
        <v>-0.1802</v>
      </c>
      <c r="P711" s="10" cm="1">
        <f t="array" ref="P711">IFERROR(INDEX(Sheet4!$2:$1605,MATCH(ChiTietKQKD[[#This Row],[Mã CP]],Sheet4!$B$2:$B$1605,0),_xlfn.XMATCH("*Tăng trưởng lợi nhuận sau thuế (YoY) (6M)*",Sheet4!$1:$1,2)),"")</f>
        <v>0</v>
      </c>
      <c r="Q711" s="10" cm="1">
        <f t="array" ref="Q711">IFERROR(INDEX(Sheet4!$2:$1605,MATCH(ChiTietKQKD[[#This Row],[Mã CP]],Sheet4!$B$2:$B$1605,0),_xlfn.XMATCH("*Tăng trưởng doanh thu thuần (QoQ)*",Sheet4!$1:$1,2)),"")</f>
        <v>0.1258</v>
      </c>
      <c r="R711" s="10" cm="1">
        <f t="array" ref="R711">IFERROR(INDEX(Sheet4!$2:$1605,MATCH(ChiTietKQKD[[#This Row],[Mã CP]],Sheet4!$B$2:$B$1605,0),_xlfn.XMATCH("*Tăng trưởng lợi nhuận sau thuế (QoQ)*",Sheet4!$1:$1,2)),"")</f>
        <v>-0.26669999999999999</v>
      </c>
    </row>
    <row r="712" spans="1:18" x14ac:dyDescent="0.25">
      <c r="A712" s="7">
        <f>Sheet4!A691</f>
        <v>690</v>
      </c>
      <c r="B712" t="str">
        <f>Sheet4!B691</f>
        <v>TXM</v>
      </c>
      <c r="C712" t="str">
        <f>Sheet4!C690</f>
        <v>Than Vàng Danh</v>
      </c>
      <c r="D712" t="str">
        <f>Sheet4!D691</f>
        <v>HNX</v>
      </c>
      <c r="E712" s="7">
        <f>Sheet4!AH691/1000000000</f>
        <v>33.6</v>
      </c>
      <c r="F712" t="str">
        <f>Sheet4!E691</f>
        <v>Công nghiệp</v>
      </c>
      <c r="G712" t="str">
        <f>Sheet4!F691</f>
        <v>Xây dựng và Vật liệu</v>
      </c>
      <c r="H712" t="str">
        <f>Sheet4!G691</f>
        <v>Vật liệu xây dựng &amp; Nội thất</v>
      </c>
      <c r="I712" s="9" cm="1">
        <f t="array" ref="I71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84.446841589000002</v>
      </c>
      <c r="J712" s="9" cm="1">
        <f t="array" ref="J71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134.771573913</v>
      </c>
      <c r="K712" s="10" cm="1">
        <f t="array" ref="K71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8.4199999999999997E-2</v>
      </c>
      <c r="L712" s="10" cm="1">
        <f t="array" ref="L71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12" s="9" cm="1">
        <f t="array" ref="M712">_xlfn.LET(_xlpm.val,IFERROR(INDEX(Sheet4!$2:$1605,MATCH(ChiTietKQKD[[#This Row],[Mã CP]],Sheet4!$B$2:$B$1605,0),_xlfn.XMATCH("*Lợi nhuận sau thuế*Q2*2026*",Sheet4!$1:$1,2)),0),IF(OR(_xlpm.val="",_xlpm.val=0),"",_xlpm.val/1000000000))</f>
        <v>0.70179271099999996</v>
      </c>
      <c r="N712" s="9" cm="1">
        <f t="array" ref="N712">_xlfn.LET(_xlpm.val,IFERROR(INDEX(Sheet4!$2:$1605,MATCH(ChiTietKQKD[[#This Row],[Mã CP]],Sheet4!$B$2:$B$1605,0),_xlfn.XMATCH("*Lợi nhuận sau thuế*6 tháng*2026*",Sheet4!$1:$1,2)),0),IF(OR(_xlpm.val="",_xlpm.val=0),"",_xlpm.val/1000000000))</f>
        <v>0.83032844900000002</v>
      </c>
      <c r="O712" s="10" cm="1">
        <f t="array" ref="O712">IFERROR(INDEX(Sheet4!$2:$1605,MATCH(ChiTietKQKD[[#This Row],[Mã CP]],Sheet4!$B$2:$B$1605,0),_xlfn.XMATCH("*Tăng trưởng lợi nhuận sau thuế (YoY) (Quý*",Sheet4!$1:$1,2)),"")</f>
        <v>4.3085000000000004</v>
      </c>
      <c r="P712" s="10" cm="1">
        <f t="array" ref="P712">IFERROR(INDEX(Sheet4!$2:$1605,MATCH(ChiTietKQKD[[#This Row],[Mã CP]],Sheet4!$B$2:$B$1605,0),_xlfn.XMATCH("*Tăng trưởng lợi nhuận sau thuế (YoY) (6M)*",Sheet4!$1:$1,2)),"")</f>
        <v>0</v>
      </c>
      <c r="Q712" s="10" cm="1">
        <f t="array" ref="Q712">IFERROR(INDEX(Sheet4!$2:$1605,MATCH(ChiTietKQKD[[#This Row],[Mã CP]],Sheet4!$B$2:$B$1605,0),_xlfn.XMATCH("*Tăng trưởng doanh thu thuần (QoQ)*",Sheet4!$1:$1,2)),"")</f>
        <v>0.67800000000000005</v>
      </c>
      <c r="R712" s="10" cm="1">
        <f t="array" ref="R712">IFERROR(INDEX(Sheet4!$2:$1605,MATCH(ChiTietKQKD[[#This Row],[Mã CP]],Sheet4!$B$2:$B$1605,0),_xlfn.XMATCH("*Tăng trưởng lợi nhuận sau thuế (QoQ)*",Sheet4!$1:$1,2)),"")</f>
        <v>4.4599000000000002</v>
      </c>
    </row>
    <row r="713" spans="1:18" x14ac:dyDescent="0.25">
      <c r="A713" s="7">
        <f>Sheet4!A692</f>
        <v>691</v>
      </c>
      <c r="B713" t="str">
        <f>Sheet4!B692</f>
        <v>UNI</v>
      </c>
      <c r="C713" t="str">
        <f>Sheet4!C691</f>
        <v>Thạch cao Xi măng</v>
      </c>
      <c r="D713" t="str">
        <f>Sheet4!D692</f>
        <v>HNX</v>
      </c>
      <c r="E713" s="7">
        <f>Sheet4!AH692/1000000000</f>
        <v>277.01460800000001</v>
      </c>
      <c r="F713" t="str">
        <f>Sheet4!E692</f>
        <v>Công nghệ Thông tin</v>
      </c>
      <c r="G713" t="str">
        <f>Sheet4!F692</f>
        <v>Công nghệ Thông tin</v>
      </c>
      <c r="H713" t="str">
        <f>Sheet4!G692</f>
        <v>Dịch vụ Máy tính</v>
      </c>
      <c r="I713" s="9" cm="1">
        <f t="array" ref="I71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5.67</v>
      </c>
      <c r="J713" s="9" cm="1">
        <f t="array" ref="J71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5.67</v>
      </c>
      <c r="K713" s="10" cm="1">
        <f t="array" ref="K71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8.4499999999999993</v>
      </c>
      <c r="L713" s="10" cm="1">
        <f t="array" ref="L71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5.3</v>
      </c>
      <c r="M713" s="9" cm="1">
        <f t="array" ref="M713">_xlfn.LET(_xlpm.val,IFERROR(INDEX(Sheet4!$2:$1605,MATCH(ChiTietKQKD[[#This Row],[Mã CP]],Sheet4!$B$2:$B$1605,0),_xlfn.XMATCH("*Lợi nhuận sau thuế*Q2*2026*",Sheet4!$1:$1,2)),0),IF(OR(_xlpm.val="",_xlpm.val=0),"",_xlpm.val/1000000000))</f>
        <v>0.84537569599999995</v>
      </c>
      <c r="N713" s="9" cm="1">
        <f t="array" ref="N713">_xlfn.LET(_xlpm.val,IFERROR(INDEX(Sheet4!$2:$1605,MATCH(ChiTietKQKD[[#This Row],[Mã CP]],Sheet4!$B$2:$B$1605,0),_xlfn.XMATCH("*Lợi nhuận sau thuế*6 tháng*2026*",Sheet4!$1:$1,2)),0),IF(OR(_xlpm.val="",_xlpm.val=0),"",_xlpm.val/1000000000))</f>
        <v>-5.8565444000000001E-2</v>
      </c>
      <c r="O713" s="10" cm="1">
        <f t="array" ref="O713">IFERROR(INDEX(Sheet4!$2:$1605,MATCH(ChiTietKQKD[[#This Row],[Mã CP]],Sheet4!$B$2:$B$1605,0),_xlfn.XMATCH("*Tăng trưởng lợi nhuận sau thuế (YoY) (Quý*",Sheet4!$1:$1,2)),"")</f>
        <v>32.265300000000003</v>
      </c>
      <c r="P713" s="10" cm="1">
        <f t="array" ref="P713">IFERROR(INDEX(Sheet4!$2:$1605,MATCH(ChiTietKQKD[[#This Row],[Mã CP]],Sheet4!$B$2:$B$1605,0),_xlfn.XMATCH("*Tăng trưởng lợi nhuận sau thuế (YoY) (6M)*",Sheet4!$1:$1,2)),"")</f>
        <v>-2.2970000000000002</v>
      </c>
      <c r="Q713" s="10" cm="1">
        <f t="array" ref="Q713">IFERROR(INDEX(Sheet4!$2:$1605,MATCH(ChiTietKQKD[[#This Row],[Mã CP]],Sheet4!$B$2:$B$1605,0),_xlfn.XMATCH("*Tăng trưởng doanh thu thuần (QoQ)*",Sheet4!$1:$1,2)),"")</f>
        <v>0</v>
      </c>
      <c r="R713" s="10" cm="1">
        <f t="array" ref="R713">IFERROR(INDEX(Sheet4!$2:$1605,MATCH(ChiTietKQKD[[#This Row],[Mã CP]],Sheet4!$B$2:$B$1605,0),_xlfn.XMATCH("*Tăng trưởng lợi nhuận sau thuế (QoQ)*",Sheet4!$1:$1,2)),"")</f>
        <v>1.9352</v>
      </c>
    </row>
    <row r="714" spans="1:18" x14ac:dyDescent="0.25">
      <c r="A714" s="7">
        <f>Sheet4!A693</f>
        <v>692</v>
      </c>
      <c r="B714" t="str">
        <f>Sheet4!B693</f>
        <v>V12</v>
      </c>
      <c r="C714" t="str">
        <f>Sheet4!C692</f>
        <v>Đầu tư và Phát triển Sao Mai Việt</v>
      </c>
      <c r="D714" t="str">
        <f>Sheet4!D693</f>
        <v>HNX</v>
      </c>
      <c r="E714" s="7">
        <f>Sheet4!AH693/1000000000</f>
        <v>130.32320000000001</v>
      </c>
      <c r="F714" t="str">
        <f>Sheet4!E693</f>
        <v>Công nghiệp</v>
      </c>
      <c r="G714" t="str">
        <f>Sheet4!F693</f>
        <v>Xây dựng và Vật liệu</v>
      </c>
      <c r="H714" t="str">
        <f>Sheet4!G693</f>
        <v>Xây dựng</v>
      </c>
      <c r="I714" s="9" t="str" cm="1">
        <f t="array" ref="I71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14" s="9" t="str" cm="1">
        <f t="array" ref="J71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14" s="10" cm="1">
        <f t="array" ref="K71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14" s="10" cm="1">
        <f t="array" ref="L71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14" s="9" t="str" cm="1">
        <f t="array" ref="M71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14" s="9" t="str" cm="1">
        <f t="array" ref="N71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14" s="10" cm="1">
        <f t="array" ref="O714">IFERROR(INDEX(Sheet4!$2:$1605,MATCH(ChiTietKQKD[[#This Row],[Mã CP]],Sheet4!$B$2:$B$1605,0),_xlfn.XMATCH("*Tăng trưởng lợi nhuận sau thuế (YoY) (Quý*",Sheet4!$1:$1,2)),"")</f>
        <v>0</v>
      </c>
      <c r="P714" s="10" cm="1">
        <f t="array" ref="P714">IFERROR(INDEX(Sheet4!$2:$1605,MATCH(ChiTietKQKD[[#This Row],[Mã CP]],Sheet4!$B$2:$B$1605,0),_xlfn.XMATCH("*Tăng trưởng lợi nhuận sau thuế (YoY) (6M)*",Sheet4!$1:$1,2)),"")</f>
        <v>0</v>
      </c>
      <c r="Q714" s="10" cm="1">
        <f t="array" ref="Q714">IFERROR(INDEX(Sheet4!$2:$1605,MATCH(ChiTietKQKD[[#This Row],[Mã CP]],Sheet4!$B$2:$B$1605,0),_xlfn.XMATCH("*Tăng trưởng doanh thu thuần (QoQ)*",Sheet4!$1:$1,2)),"")</f>
        <v>0</v>
      </c>
      <c r="R714" s="10" cm="1">
        <f t="array" ref="R714">IFERROR(INDEX(Sheet4!$2:$1605,MATCH(ChiTietKQKD[[#This Row],[Mã CP]],Sheet4!$B$2:$B$1605,0),_xlfn.XMATCH("*Tăng trưởng lợi nhuận sau thuế (QoQ)*",Sheet4!$1:$1,2)),"")</f>
        <v>0</v>
      </c>
    </row>
    <row r="715" spans="1:18" x14ac:dyDescent="0.25">
      <c r="A715" s="7">
        <f>Sheet4!A694</f>
        <v>693</v>
      </c>
      <c r="B715" t="str">
        <f>Sheet4!B694</f>
        <v>V21</v>
      </c>
      <c r="C715" t="str">
        <f>Sheet4!C693</f>
        <v>VINACONEX 12</v>
      </c>
      <c r="D715" t="str">
        <f>Sheet4!D694</f>
        <v>HNX</v>
      </c>
      <c r="E715" s="7">
        <f>Sheet4!AH694/1000000000</f>
        <v>67.198818399999993</v>
      </c>
      <c r="F715" t="str">
        <f>Sheet4!E694</f>
        <v>Tài chính</v>
      </c>
      <c r="G715" t="str">
        <f>Sheet4!F694</f>
        <v>Bất động sản</v>
      </c>
      <c r="H715" t="str">
        <f>Sheet4!G694</f>
        <v>Bất động sản</v>
      </c>
      <c r="I715" s="9" cm="1">
        <f t="array" ref="I71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17.028525309999999</v>
      </c>
      <c r="J715" s="9" cm="1">
        <f t="array" ref="J71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39.344715258999997</v>
      </c>
      <c r="K715" s="10" cm="1">
        <f t="array" ref="K71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-0.70430000000000004</v>
      </c>
      <c r="L715" s="10" cm="1">
        <f t="array" ref="L71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-0.59809999999999997</v>
      </c>
      <c r="M715" s="9" cm="1">
        <f t="array" ref="M715">_xlfn.LET(_xlpm.val,IFERROR(INDEX(Sheet4!$2:$1605,MATCH(ChiTietKQKD[[#This Row],[Mã CP]],Sheet4!$B$2:$B$1605,0),_xlfn.XMATCH("*Lợi nhuận sau thuế*Q2*2026*",Sheet4!$1:$1,2)),0),IF(OR(_xlpm.val="",_xlpm.val=0),"",_xlpm.val/1000000000))</f>
        <v>0.21929573699999999</v>
      </c>
      <c r="N715" s="9" cm="1">
        <f t="array" ref="N715">_xlfn.LET(_xlpm.val,IFERROR(INDEX(Sheet4!$2:$1605,MATCH(ChiTietKQKD[[#This Row],[Mã CP]],Sheet4!$B$2:$B$1605,0),_xlfn.XMATCH("*Lợi nhuận sau thuế*6 tháng*2026*",Sheet4!$1:$1,2)),0),IF(OR(_xlpm.val="",_xlpm.val=0),"",_xlpm.val/1000000000))</f>
        <v>0.383050116</v>
      </c>
      <c r="O715" s="10" cm="1">
        <f t="array" ref="O715">IFERROR(INDEX(Sheet4!$2:$1605,MATCH(ChiTietKQKD[[#This Row],[Mã CP]],Sheet4!$B$2:$B$1605,0),_xlfn.XMATCH("*Tăng trưởng lợi nhuận sau thuế (YoY) (Quý*",Sheet4!$1:$1,2)),"")</f>
        <v>6.5000000000000002E-2</v>
      </c>
      <c r="P715" s="10" cm="1">
        <f t="array" ref="P715">IFERROR(INDEX(Sheet4!$2:$1605,MATCH(ChiTietKQKD[[#This Row],[Mã CP]],Sheet4!$B$2:$B$1605,0),_xlfn.XMATCH("*Tăng trưởng lợi nhuận sau thuế (YoY) (6M)*",Sheet4!$1:$1,2)),"")</f>
        <v>0.1603</v>
      </c>
      <c r="Q715" s="10" cm="1">
        <f t="array" ref="Q715">IFERROR(INDEX(Sheet4!$2:$1605,MATCH(ChiTietKQKD[[#This Row],[Mã CP]],Sheet4!$B$2:$B$1605,0),_xlfn.XMATCH("*Tăng trưởng doanh thu thuần (QoQ)*",Sheet4!$1:$1,2)),"")</f>
        <v>-0.2369</v>
      </c>
      <c r="R715" s="10" cm="1">
        <f t="array" ref="R715">IFERROR(INDEX(Sheet4!$2:$1605,MATCH(ChiTietKQKD[[#This Row],[Mã CP]],Sheet4!$B$2:$B$1605,0),_xlfn.XMATCH("*Tăng trưởng lợi nhuận sau thuế (QoQ)*",Sheet4!$1:$1,2)),"")</f>
        <v>0.3392</v>
      </c>
    </row>
    <row r="716" spans="1:18" x14ac:dyDescent="0.25">
      <c r="A716" s="7">
        <f>Sheet4!A695</f>
        <v>694</v>
      </c>
      <c r="B716" t="str">
        <f>Sheet4!B695</f>
        <v>VBC</v>
      </c>
      <c r="C716" t="str">
        <f>Sheet4!C694</f>
        <v>Vinaconex 21</v>
      </c>
      <c r="D716" t="str">
        <f>Sheet4!D695</f>
        <v>HNX</v>
      </c>
      <c r="E716" s="7">
        <f>Sheet4!AH695/1000000000</f>
        <v>134.24928399999999</v>
      </c>
      <c r="F716" t="str">
        <f>Sheet4!E695</f>
        <v>Công nghiệp</v>
      </c>
      <c r="G716" t="str">
        <f>Sheet4!F695</f>
        <v>Hàng &amp; Dịch vụ Công nghiệp</v>
      </c>
      <c r="H716" t="str">
        <f>Sheet4!G695</f>
        <v>Containers &amp; Đóng gói</v>
      </c>
      <c r="I716" s="9" t="str" cm="1">
        <f t="array" ref="I71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16" s="9" t="str" cm="1">
        <f t="array" ref="J71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16" s="10" cm="1">
        <f t="array" ref="K71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16" s="10" cm="1">
        <f t="array" ref="L71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16" s="9" t="str" cm="1">
        <f t="array" ref="M71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16" s="9" t="str" cm="1">
        <f t="array" ref="N71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16" s="10" cm="1">
        <f t="array" ref="O716">IFERROR(INDEX(Sheet4!$2:$1605,MATCH(ChiTietKQKD[[#This Row],[Mã CP]],Sheet4!$B$2:$B$1605,0),_xlfn.XMATCH("*Tăng trưởng lợi nhuận sau thuế (YoY) (Quý*",Sheet4!$1:$1,2)),"")</f>
        <v>0</v>
      </c>
      <c r="P716" s="10" cm="1">
        <f t="array" ref="P716">IFERROR(INDEX(Sheet4!$2:$1605,MATCH(ChiTietKQKD[[#This Row],[Mã CP]],Sheet4!$B$2:$B$1605,0),_xlfn.XMATCH("*Tăng trưởng lợi nhuận sau thuế (YoY) (6M)*",Sheet4!$1:$1,2)),"")</f>
        <v>0</v>
      </c>
      <c r="Q716" s="10" cm="1">
        <f t="array" ref="Q716">IFERROR(INDEX(Sheet4!$2:$1605,MATCH(ChiTietKQKD[[#This Row],[Mã CP]],Sheet4!$B$2:$B$1605,0),_xlfn.XMATCH("*Tăng trưởng doanh thu thuần (QoQ)*",Sheet4!$1:$1,2)),"")</f>
        <v>0</v>
      </c>
      <c r="R716" s="10" cm="1">
        <f t="array" ref="R716">IFERROR(INDEX(Sheet4!$2:$1605,MATCH(ChiTietKQKD[[#This Row],[Mã CP]],Sheet4!$B$2:$B$1605,0),_xlfn.XMATCH("*Tăng trưởng lợi nhuận sau thuế (QoQ)*",Sheet4!$1:$1,2)),"")</f>
        <v>0</v>
      </c>
    </row>
    <row r="717" spans="1:18" x14ac:dyDescent="0.25">
      <c r="A717" s="7">
        <f>Sheet4!A696</f>
        <v>695</v>
      </c>
      <c r="B717" t="str">
        <f>Sheet4!B696</f>
        <v>VC1</v>
      </c>
      <c r="C717" t="str">
        <f>Sheet4!C695</f>
        <v>Nhựa - Bao bì Vinh</v>
      </c>
      <c r="D717" t="str">
        <f>Sheet4!D696</f>
        <v>HNX</v>
      </c>
      <c r="E717" s="7">
        <f>Sheet4!AH696/1000000000</f>
        <v>154.80000000000001</v>
      </c>
      <c r="F717" t="str">
        <f>Sheet4!E696</f>
        <v>Công nghiệp</v>
      </c>
      <c r="G717" t="str">
        <f>Sheet4!F696</f>
        <v>Xây dựng và Vật liệu</v>
      </c>
      <c r="H717" t="str">
        <f>Sheet4!G696</f>
        <v>Xây dựng</v>
      </c>
      <c r="I717" s="9" t="str" cm="1">
        <f t="array" ref="I71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17" s="9" t="str" cm="1">
        <f t="array" ref="J71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17" s="10" cm="1">
        <f t="array" ref="K71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17" s="10" cm="1">
        <f t="array" ref="L71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17" s="9" t="str" cm="1">
        <f t="array" ref="M71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17" s="9" t="str" cm="1">
        <f t="array" ref="N71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17" s="10" cm="1">
        <f t="array" ref="O717">IFERROR(INDEX(Sheet4!$2:$1605,MATCH(ChiTietKQKD[[#This Row],[Mã CP]],Sheet4!$B$2:$B$1605,0),_xlfn.XMATCH("*Tăng trưởng lợi nhuận sau thuế (YoY) (Quý*",Sheet4!$1:$1,2)),"")</f>
        <v>0</v>
      </c>
      <c r="P717" s="10" cm="1">
        <f t="array" ref="P717">IFERROR(INDEX(Sheet4!$2:$1605,MATCH(ChiTietKQKD[[#This Row],[Mã CP]],Sheet4!$B$2:$B$1605,0),_xlfn.XMATCH("*Tăng trưởng lợi nhuận sau thuế (YoY) (6M)*",Sheet4!$1:$1,2)),"")</f>
        <v>0</v>
      </c>
      <c r="Q717" s="10" cm="1">
        <f t="array" ref="Q717">IFERROR(INDEX(Sheet4!$2:$1605,MATCH(ChiTietKQKD[[#This Row],[Mã CP]],Sheet4!$B$2:$B$1605,0),_xlfn.XMATCH("*Tăng trưởng doanh thu thuần (QoQ)*",Sheet4!$1:$1,2)),"")</f>
        <v>0</v>
      </c>
      <c r="R717" s="10" cm="1">
        <f t="array" ref="R717">IFERROR(INDEX(Sheet4!$2:$1605,MATCH(ChiTietKQKD[[#This Row],[Mã CP]],Sheet4!$B$2:$B$1605,0),_xlfn.XMATCH("*Tăng trưởng lợi nhuận sau thuế (QoQ)*",Sheet4!$1:$1,2)),"")</f>
        <v>0</v>
      </c>
    </row>
    <row r="718" spans="1:18" x14ac:dyDescent="0.25">
      <c r="A718" s="7">
        <f>Sheet4!A697</f>
        <v>696</v>
      </c>
      <c r="B718" t="str">
        <f>Sheet4!B697</f>
        <v>VC2</v>
      </c>
      <c r="C718" t="str">
        <f>Sheet4!C696</f>
        <v>Xây dựng số 1</v>
      </c>
      <c r="D718" t="str">
        <f>Sheet4!D697</f>
        <v>HNX</v>
      </c>
      <c r="E718" s="7">
        <f>Sheet4!AH697/1000000000</f>
        <v>287.45299499999999</v>
      </c>
      <c r="F718" t="str">
        <f>Sheet4!E697</f>
        <v>Công nghiệp</v>
      </c>
      <c r="G718" t="str">
        <f>Sheet4!F697</f>
        <v>Xây dựng và Vật liệu</v>
      </c>
      <c r="H718" t="str">
        <f>Sheet4!G697</f>
        <v>Xây dựng</v>
      </c>
      <c r="I718" s="9" t="str" cm="1">
        <f t="array" ref="I71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18" s="9" t="str" cm="1">
        <f t="array" ref="J71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18" s="10" cm="1">
        <f t="array" ref="K71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18" s="10" cm="1">
        <f t="array" ref="L71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18" s="9" t="str" cm="1">
        <f t="array" ref="M71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18" s="9" t="str" cm="1">
        <f t="array" ref="N71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18" s="10" cm="1">
        <f t="array" ref="O718">IFERROR(INDEX(Sheet4!$2:$1605,MATCH(ChiTietKQKD[[#This Row],[Mã CP]],Sheet4!$B$2:$B$1605,0),_xlfn.XMATCH("*Tăng trưởng lợi nhuận sau thuế (YoY) (Quý*",Sheet4!$1:$1,2)),"")</f>
        <v>0</v>
      </c>
      <c r="P718" s="10" cm="1">
        <f t="array" ref="P718">IFERROR(INDEX(Sheet4!$2:$1605,MATCH(ChiTietKQKD[[#This Row],[Mã CP]],Sheet4!$B$2:$B$1605,0),_xlfn.XMATCH("*Tăng trưởng lợi nhuận sau thuế (YoY) (6M)*",Sheet4!$1:$1,2)),"")</f>
        <v>0</v>
      </c>
      <c r="Q718" s="10" cm="1">
        <f t="array" ref="Q718">IFERROR(INDEX(Sheet4!$2:$1605,MATCH(ChiTietKQKD[[#This Row],[Mã CP]],Sheet4!$B$2:$B$1605,0),_xlfn.XMATCH("*Tăng trưởng doanh thu thuần (QoQ)*",Sheet4!$1:$1,2)),"")</f>
        <v>0</v>
      </c>
      <c r="R718" s="10" cm="1">
        <f t="array" ref="R718">IFERROR(INDEX(Sheet4!$2:$1605,MATCH(ChiTietKQKD[[#This Row],[Mã CP]],Sheet4!$B$2:$B$1605,0),_xlfn.XMATCH("*Tăng trưởng lợi nhuận sau thuế (QoQ)*",Sheet4!$1:$1,2)),"")</f>
        <v>0</v>
      </c>
    </row>
    <row r="719" spans="1:18" x14ac:dyDescent="0.25">
      <c r="A719" s="7">
        <f>Sheet4!A698</f>
        <v>697</v>
      </c>
      <c r="B719" t="str">
        <f>Sheet4!B698</f>
        <v>VC3</v>
      </c>
      <c r="C719" t="str">
        <f>Sheet4!C697</f>
        <v>Đầu tư và Xây dựng VINA2</v>
      </c>
      <c r="D719" t="str">
        <f>Sheet4!D698</f>
        <v>HNX</v>
      </c>
      <c r="E719" s="7">
        <f>Sheet4!AH698/1000000000</f>
        <v>3571.0878564</v>
      </c>
      <c r="F719" t="str">
        <f>Sheet4!E698</f>
        <v>Tài chính</v>
      </c>
      <c r="G719" t="str">
        <f>Sheet4!F698</f>
        <v>Bất động sản</v>
      </c>
      <c r="H719" t="str">
        <f>Sheet4!G698</f>
        <v>Tư Vấn, Định giá, Môi giới Bất động sản</v>
      </c>
      <c r="I719" s="9" t="str" cm="1">
        <f t="array" ref="I71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19" s="9" t="str" cm="1">
        <f t="array" ref="J71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19" s="10" cm="1">
        <f t="array" ref="K71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19" s="10" cm="1">
        <f t="array" ref="L71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19" s="9" t="str" cm="1">
        <f t="array" ref="M71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19" s="9" t="str" cm="1">
        <f t="array" ref="N71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19" s="10" cm="1">
        <f t="array" ref="O719">IFERROR(INDEX(Sheet4!$2:$1605,MATCH(ChiTietKQKD[[#This Row],[Mã CP]],Sheet4!$B$2:$B$1605,0),_xlfn.XMATCH("*Tăng trưởng lợi nhuận sau thuế (YoY) (Quý*",Sheet4!$1:$1,2)),"")</f>
        <v>0</v>
      </c>
      <c r="P719" s="10" cm="1">
        <f t="array" ref="P719">IFERROR(INDEX(Sheet4!$2:$1605,MATCH(ChiTietKQKD[[#This Row],[Mã CP]],Sheet4!$B$2:$B$1605,0),_xlfn.XMATCH("*Tăng trưởng lợi nhuận sau thuế (YoY) (6M)*",Sheet4!$1:$1,2)),"")</f>
        <v>0</v>
      </c>
      <c r="Q719" s="10" cm="1">
        <f t="array" ref="Q719">IFERROR(INDEX(Sheet4!$2:$1605,MATCH(ChiTietKQKD[[#This Row],[Mã CP]],Sheet4!$B$2:$B$1605,0),_xlfn.XMATCH("*Tăng trưởng doanh thu thuần (QoQ)*",Sheet4!$1:$1,2)),"")</f>
        <v>0</v>
      </c>
      <c r="R719" s="10" cm="1">
        <f t="array" ref="R719">IFERROR(INDEX(Sheet4!$2:$1605,MATCH(ChiTietKQKD[[#This Row],[Mã CP]],Sheet4!$B$2:$B$1605,0),_xlfn.XMATCH("*Tăng trưởng lợi nhuận sau thuế (QoQ)*",Sheet4!$1:$1,2)),"")</f>
        <v>0</v>
      </c>
    </row>
    <row r="720" spans="1:18" x14ac:dyDescent="0.25">
      <c r="A720" s="7">
        <f>Sheet4!A699</f>
        <v>698</v>
      </c>
      <c r="B720" t="str">
        <f>Sheet4!B699</f>
        <v>VC6</v>
      </c>
      <c r="C720" t="str">
        <f>Sheet4!C698</f>
        <v>Tập đoàn Nam Mê Kông</v>
      </c>
      <c r="D720" t="str">
        <f>Sheet4!D699</f>
        <v>HNX</v>
      </c>
      <c r="E720" s="7">
        <f>Sheet4!AH699/1000000000</f>
        <v>265.54068869999998</v>
      </c>
      <c r="F720" t="str">
        <f>Sheet4!E699</f>
        <v>Công nghiệp</v>
      </c>
      <c r="G720" t="str">
        <f>Sheet4!F699</f>
        <v>Xây dựng và Vật liệu</v>
      </c>
      <c r="H720" t="str">
        <f>Sheet4!G699</f>
        <v>Xây dựng</v>
      </c>
      <c r="I720" s="9" t="str" cm="1">
        <f t="array" ref="I72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20" s="9" t="str" cm="1">
        <f t="array" ref="J72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20" s="10" cm="1">
        <f t="array" ref="K72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20" s="10" cm="1">
        <f t="array" ref="L72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20" s="9" t="str" cm="1">
        <f t="array" ref="M72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20" s="9" t="str" cm="1">
        <f t="array" ref="N72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20" s="10" cm="1">
        <f t="array" ref="O720">IFERROR(INDEX(Sheet4!$2:$1605,MATCH(ChiTietKQKD[[#This Row],[Mã CP]],Sheet4!$B$2:$B$1605,0),_xlfn.XMATCH("*Tăng trưởng lợi nhuận sau thuế (YoY) (Quý*",Sheet4!$1:$1,2)),"")</f>
        <v>0</v>
      </c>
      <c r="P720" s="10" cm="1">
        <f t="array" ref="P720">IFERROR(INDEX(Sheet4!$2:$1605,MATCH(ChiTietKQKD[[#This Row],[Mã CP]],Sheet4!$B$2:$B$1605,0),_xlfn.XMATCH("*Tăng trưởng lợi nhuận sau thuế (YoY) (6M)*",Sheet4!$1:$1,2)),"")</f>
        <v>0</v>
      </c>
      <c r="Q720" s="10" cm="1">
        <f t="array" ref="Q720">IFERROR(INDEX(Sheet4!$2:$1605,MATCH(ChiTietKQKD[[#This Row],[Mã CP]],Sheet4!$B$2:$B$1605,0),_xlfn.XMATCH("*Tăng trưởng doanh thu thuần (QoQ)*",Sheet4!$1:$1,2)),"")</f>
        <v>0</v>
      </c>
      <c r="R720" s="10" cm="1">
        <f t="array" ref="R720">IFERROR(INDEX(Sheet4!$2:$1605,MATCH(ChiTietKQKD[[#This Row],[Mã CP]],Sheet4!$B$2:$B$1605,0),_xlfn.XMATCH("*Tăng trưởng lợi nhuận sau thuế (QoQ)*",Sheet4!$1:$1,2)),"")</f>
        <v>0</v>
      </c>
    </row>
    <row r="721" spans="1:18" x14ac:dyDescent="0.25">
      <c r="A721" s="7">
        <f>Sheet4!A700</f>
        <v>699</v>
      </c>
      <c r="B721" t="str">
        <f>Sheet4!B700</f>
        <v>VC7</v>
      </c>
      <c r="C721" t="str">
        <f>Sheet4!C699</f>
        <v>Visicons</v>
      </c>
      <c r="D721" t="str">
        <f>Sheet4!D700</f>
        <v>HNX</v>
      </c>
      <c r="E721" s="7">
        <f>Sheet4!AH700/1000000000</f>
        <v>739.89728119999995</v>
      </c>
      <c r="F721" t="str">
        <f>Sheet4!E700</f>
        <v>Công nghiệp</v>
      </c>
      <c r="G721" t="str">
        <f>Sheet4!F700</f>
        <v>Xây dựng và Vật liệu</v>
      </c>
      <c r="H721" t="str">
        <f>Sheet4!G700</f>
        <v>Xây dựng</v>
      </c>
      <c r="I721" s="9" t="str" cm="1">
        <f t="array" ref="I72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21" s="9" t="str" cm="1">
        <f t="array" ref="J72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21" s="10" cm="1">
        <f t="array" ref="K72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21" s="10" cm="1">
        <f t="array" ref="L72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21" s="9" t="str" cm="1">
        <f t="array" ref="M72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21" s="9" t="str" cm="1">
        <f t="array" ref="N72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21" s="10" cm="1">
        <f t="array" ref="O721">IFERROR(INDEX(Sheet4!$2:$1605,MATCH(ChiTietKQKD[[#This Row],[Mã CP]],Sheet4!$B$2:$B$1605,0),_xlfn.XMATCH("*Tăng trưởng lợi nhuận sau thuế (YoY) (Quý*",Sheet4!$1:$1,2)),"")</f>
        <v>0</v>
      </c>
      <c r="P721" s="10" cm="1">
        <f t="array" ref="P721">IFERROR(INDEX(Sheet4!$2:$1605,MATCH(ChiTietKQKD[[#This Row],[Mã CP]],Sheet4!$B$2:$B$1605,0),_xlfn.XMATCH("*Tăng trưởng lợi nhuận sau thuế (YoY) (6M)*",Sheet4!$1:$1,2)),"")</f>
        <v>0</v>
      </c>
      <c r="Q721" s="10" cm="1">
        <f t="array" ref="Q721">IFERROR(INDEX(Sheet4!$2:$1605,MATCH(ChiTietKQKD[[#This Row],[Mã CP]],Sheet4!$B$2:$B$1605,0),_xlfn.XMATCH("*Tăng trưởng doanh thu thuần (QoQ)*",Sheet4!$1:$1,2)),"")</f>
        <v>0</v>
      </c>
      <c r="R721" s="10" cm="1">
        <f t="array" ref="R721">IFERROR(INDEX(Sheet4!$2:$1605,MATCH(ChiTietKQKD[[#This Row],[Mã CP]],Sheet4!$B$2:$B$1605,0),_xlfn.XMATCH("*Tăng trưởng lợi nhuận sau thuế (QoQ)*",Sheet4!$1:$1,2)),"")</f>
        <v>0</v>
      </c>
    </row>
    <row r="722" spans="1:18" x14ac:dyDescent="0.25">
      <c r="A722" s="7">
        <f>Sheet4!A701</f>
        <v>700</v>
      </c>
      <c r="B722" t="str">
        <f>Sheet4!B701</f>
        <v>VC9</v>
      </c>
      <c r="C722" t="str">
        <f>Sheet4!C700</f>
        <v>BGI Group</v>
      </c>
      <c r="D722" t="str">
        <f>Sheet4!D701</f>
        <v>HNX</v>
      </c>
      <c r="E722" s="7">
        <f>Sheet4!AH701/1000000000</f>
        <v>75.128399999999999</v>
      </c>
      <c r="F722" t="str">
        <f>Sheet4!E701</f>
        <v>Công nghiệp</v>
      </c>
      <c r="G722" t="str">
        <f>Sheet4!F701</f>
        <v>Xây dựng và Vật liệu</v>
      </c>
      <c r="H722" t="str">
        <f>Sheet4!G701</f>
        <v>Xây dựng</v>
      </c>
      <c r="I722" s="9" t="str" cm="1">
        <f t="array" ref="I72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22" s="9" t="str" cm="1">
        <f t="array" ref="J72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22" s="10" cm="1">
        <f t="array" ref="K72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22" s="10" cm="1">
        <f t="array" ref="L72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22" s="9" t="str" cm="1">
        <f t="array" ref="M72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22" s="9" t="str" cm="1">
        <f t="array" ref="N72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22" s="10" cm="1">
        <f t="array" ref="O722">IFERROR(INDEX(Sheet4!$2:$1605,MATCH(ChiTietKQKD[[#This Row],[Mã CP]],Sheet4!$B$2:$B$1605,0),_xlfn.XMATCH("*Tăng trưởng lợi nhuận sau thuế (YoY) (Quý*",Sheet4!$1:$1,2)),"")</f>
        <v>0</v>
      </c>
      <c r="P722" s="10" cm="1">
        <f t="array" ref="P722">IFERROR(INDEX(Sheet4!$2:$1605,MATCH(ChiTietKQKD[[#This Row],[Mã CP]],Sheet4!$B$2:$B$1605,0),_xlfn.XMATCH("*Tăng trưởng lợi nhuận sau thuế (YoY) (6M)*",Sheet4!$1:$1,2)),"")</f>
        <v>0</v>
      </c>
      <c r="Q722" s="10" cm="1">
        <f t="array" ref="Q722">IFERROR(INDEX(Sheet4!$2:$1605,MATCH(ChiTietKQKD[[#This Row],[Mã CP]],Sheet4!$B$2:$B$1605,0),_xlfn.XMATCH("*Tăng trưởng doanh thu thuần (QoQ)*",Sheet4!$1:$1,2)),"")</f>
        <v>0</v>
      </c>
      <c r="R722" s="10" cm="1">
        <f t="array" ref="R722">IFERROR(INDEX(Sheet4!$2:$1605,MATCH(ChiTietKQKD[[#This Row],[Mã CP]],Sheet4!$B$2:$B$1605,0),_xlfn.XMATCH("*Tăng trưởng lợi nhuận sau thuế (QoQ)*",Sheet4!$1:$1,2)),"")</f>
        <v>0</v>
      </c>
    </row>
    <row r="723" spans="1:18" x14ac:dyDescent="0.25">
      <c r="A723" s="7">
        <f>Sheet4!A702</f>
        <v>701</v>
      </c>
      <c r="B723" t="str">
        <f>Sheet4!B702</f>
        <v>VCC</v>
      </c>
      <c r="C723" t="str">
        <f>Sheet4!C701</f>
        <v>Xây dựng số 9</v>
      </c>
      <c r="D723" t="str">
        <f>Sheet4!D702</f>
        <v>HNX</v>
      </c>
      <c r="E723" s="7">
        <f>Sheet4!AH702/1000000000</f>
        <v>223.2</v>
      </c>
      <c r="F723" t="str">
        <f>Sheet4!E702</f>
        <v>Công nghiệp</v>
      </c>
      <c r="G723" t="str">
        <f>Sheet4!F702</f>
        <v>Xây dựng và Vật liệu</v>
      </c>
      <c r="H723" t="str">
        <f>Sheet4!G702</f>
        <v>Xây dựng</v>
      </c>
      <c r="I723" s="9" t="str" cm="1">
        <f t="array" ref="I72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23" s="9" t="str" cm="1">
        <f t="array" ref="J72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23" s="10" cm="1">
        <f t="array" ref="K72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23" s="10" cm="1">
        <f t="array" ref="L72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23" s="9" t="str" cm="1">
        <f t="array" ref="M72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23" s="9" t="str" cm="1">
        <f t="array" ref="N72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23" s="10" cm="1">
        <f t="array" ref="O723">IFERROR(INDEX(Sheet4!$2:$1605,MATCH(ChiTietKQKD[[#This Row],[Mã CP]],Sheet4!$B$2:$B$1605,0),_xlfn.XMATCH("*Tăng trưởng lợi nhuận sau thuế (YoY) (Quý*",Sheet4!$1:$1,2)),"")</f>
        <v>0</v>
      </c>
      <c r="P723" s="10" cm="1">
        <f t="array" ref="P723">IFERROR(INDEX(Sheet4!$2:$1605,MATCH(ChiTietKQKD[[#This Row],[Mã CP]],Sheet4!$B$2:$B$1605,0),_xlfn.XMATCH("*Tăng trưởng lợi nhuận sau thuế (YoY) (6M)*",Sheet4!$1:$1,2)),"")</f>
        <v>0</v>
      </c>
      <c r="Q723" s="10" cm="1">
        <f t="array" ref="Q723">IFERROR(INDEX(Sheet4!$2:$1605,MATCH(ChiTietKQKD[[#This Row],[Mã CP]],Sheet4!$B$2:$B$1605,0),_xlfn.XMATCH("*Tăng trưởng doanh thu thuần (QoQ)*",Sheet4!$1:$1,2)),"")</f>
        <v>0</v>
      </c>
      <c r="R723" s="10" cm="1">
        <f t="array" ref="R723">IFERROR(INDEX(Sheet4!$2:$1605,MATCH(ChiTietKQKD[[#This Row],[Mã CP]],Sheet4!$B$2:$B$1605,0),_xlfn.XMATCH("*Tăng trưởng lợi nhuận sau thuế (QoQ)*",Sheet4!$1:$1,2)),"")</f>
        <v>0</v>
      </c>
    </row>
    <row r="724" spans="1:18" x14ac:dyDescent="0.25">
      <c r="A724" s="7">
        <f>Sheet4!A703</f>
        <v>702</v>
      </c>
      <c r="B724" t="str">
        <f>Sheet4!B703</f>
        <v>VCM</v>
      </c>
      <c r="C724" t="str">
        <f>Sheet4!C702</f>
        <v>Vinaconex 25</v>
      </c>
      <c r="D724" t="str">
        <f>Sheet4!D703</f>
        <v>HNX</v>
      </c>
      <c r="E724" s="7">
        <f>Sheet4!AH703/1000000000</f>
        <v>96</v>
      </c>
      <c r="F724" t="str">
        <f>Sheet4!E703</f>
        <v>Công nghiệp</v>
      </c>
      <c r="G724" t="str">
        <f>Sheet4!F703</f>
        <v>Hàng &amp; Dịch vụ Công nghiệp</v>
      </c>
      <c r="H724" t="str">
        <f>Sheet4!G703</f>
        <v>Máy công nghiệp</v>
      </c>
      <c r="I724" s="9" t="str" cm="1">
        <f t="array" ref="I72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24" s="9" t="str" cm="1">
        <f t="array" ref="J72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24" s="10" cm="1">
        <f t="array" ref="K72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24" s="10" cm="1">
        <f t="array" ref="L72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24" s="9" t="str" cm="1">
        <f t="array" ref="M72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24" s="9" t="str" cm="1">
        <f t="array" ref="N72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24" s="10" cm="1">
        <f t="array" ref="O724">IFERROR(INDEX(Sheet4!$2:$1605,MATCH(ChiTietKQKD[[#This Row],[Mã CP]],Sheet4!$B$2:$B$1605,0),_xlfn.XMATCH("*Tăng trưởng lợi nhuận sau thuế (YoY) (Quý*",Sheet4!$1:$1,2)),"")</f>
        <v>0</v>
      </c>
      <c r="P724" s="10" cm="1">
        <f t="array" ref="P724">IFERROR(INDEX(Sheet4!$2:$1605,MATCH(ChiTietKQKD[[#This Row],[Mã CP]],Sheet4!$B$2:$B$1605,0),_xlfn.XMATCH("*Tăng trưởng lợi nhuận sau thuế (YoY) (6M)*",Sheet4!$1:$1,2)),"")</f>
        <v>0</v>
      </c>
      <c r="Q724" s="10" cm="1">
        <f t="array" ref="Q724">IFERROR(INDEX(Sheet4!$2:$1605,MATCH(ChiTietKQKD[[#This Row],[Mã CP]],Sheet4!$B$2:$B$1605,0),_xlfn.XMATCH("*Tăng trưởng doanh thu thuần (QoQ)*",Sheet4!$1:$1,2)),"")</f>
        <v>0</v>
      </c>
      <c r="R724" s="10" cm="1">
        <f t="array" ref="R724">IFERROR(INDEX(Sheet4!$2:$1605,MATCH(ChiTietKQKD[[#This Row],[Mã CP]],Sheet4!$B$2:$B$1605,0),_xlfn.XMATCH("*Tăng trưởng lợi nhuận sau thuế (QoQ)*",Sheet4!$1:$1,2)),"")</f>
        <v>0</v>
      </c>
    </row>
    <row r="725" spans="1:18" x14ac:dyDescent="0.25">
      <c r="A725" s="7">
        <f>Sheet4!A704</f>
        <v>703</v>
      </c>
      <c r="B725" t="str">
        <f>Sheet4!B704</f>
        <v>VCS</v>
      </c>
      <c r="C725" t="str">
        <f>Sheet4!C703</f>
        <v>BV Life</v>
      </c>
      <c r="D725" t="str">
        <f>Sheet4!D704</f>
        <v>HNX</v>
      </c>
      <c r="E725" s="7">
        <f>Sheet4!AH704/1000000000</f>
        <v>5232</v>
      </c>
      <c r="F725" t="str">
        <f>Sheet4!E704</f>
        <v>Công nghiệp</v>
      </c>
      <c r="G725" t="str">
        <f>Sheet4!F704</f>
        <v>Xây dựng và Vật liệu</v>
      </c>
      <c r="H725" t="str">
        <f>Sheet4!G704</f>
        <v>Vật liệu xây dựng &amp; Nội thất</v>
      </c>
      <c r="I725" s="9" t="str" cm="1">
        <f t="array" ref="I72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25" s="9" t="str" cm="1">
        <f t="array" ref="J72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25" s="10" cm="1">
        <f t="array" ref="K72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25" s="10" cm="1">
        <f t="array" ref="L72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25" s="9" t="str" cm="1">
        <f t="array" ref="M72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25" s="9" t="str" cm="1">
        <f t="array" ref="N72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25" s="10" cm="1">
        <f t="array" ref="O725">IFERROR(INDEX(Sheet4!$2:$1605,MATCH(ChiTietKQKD[[#This Row],[Mã CP]],Sheet4!$B$2:$B$1605,0),_xlfn.XMATCH("*Tăng trưởng lợi nhuận sau thuế (YoY) (Quý*",Sheet4!$1:$1,2)),"")</f>
        <v>0</v>
      </c>
      <c r="P725" s="10" cm="1">
        <f t="array" ref="P725">IFERROR(INDEX(Sheet4!$2:$1605,MATCH(ChiTietKQKD[[#This Row],[Mã CP]],Sheet4!$B$2:$B$1605,0),_xlfn.XMATCH("*Tăng trưởng lợi nhuận sau thuế (YoY) (6M)*",Sheet4!$1:$1,2)),"")</f>
        <v>0</v>
      </c>
      <c r="Q725" s="10" cm="1">
        <f t="array" ref="Q725">IFERROR(INDEX(Sheet4!$2:$1605,MATCH(ChiTietKQKD[[#This Row],[Mã CP]],Sheet4!$B$2:$B$1605,0),_xlfn.XMATCH("*Tăng trưởng doanh thu thuần (QoQ)*",Sheet4!$1:$1,2)),"")</f>
        <v>0</v>
      </c>
      <c r="R725" s="10" cm="1">
        <f t="array" ref="R725">IFERROR(INDEX(Sheet4!$2:$1605,MATCH(ChiTietKQKD[[#This Row],[Mã CP]],Sheet4!$B$2:$B$1605,0),_xlfn.XMATCH("*Tăng trưởng lợi nhuận sau thuế (QoQ)*",Sheet4!$1:$1,2)),"")</f>
        <v>0</v>
      </c>
    </row>
    <row r="726" spans="1:18" x14ac:dyDescent="0.25">
      <c r="A726" s="7">
        <f>Sheet4!A705</f>
        <v>704</v>
      </c>
      <c r="B726" t="str">
        <f>Sheet4!B705</f>
        <v>VDL</v>
      </c>
      <c r="C726" t="str">
        <f>Sheet4!C704</f>
        <v>VICOSTONE</v>
      </c>
      <c r="D726" t="str">
        <f>Sheet4!D705</f>
        <v>HNX</v>
      </c>
      <c r="E726" s="7">
        <f>Sheet4!AH705/1000000000</f>
        <v>114.32577000000001</v>
      </c>
      <c r="F726" t="str">
        <f>Sheet4!E705</f>
        <v>Hàng Tiêu dùng</v>
      </c>
      <c r="G726" t="str">
        <f>Sheet4!F705</f>
        <v>Thực phẩm và đồ uống</v>
      </c>
      <c r="H726" t="str">
        <f>Sheet4!G705</f>
        <v>Vang &amp; Rượu mạnh</v>
      </c>
      <c r="I726" s="9" t="str" cm="1">
        <f t="array" ref="I72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26" s="9" t="str" cm="1">
        <f t="array" ref="J72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26" s="10" cm="1">
        <f t="array" ref="K72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26" s="10" cm="1">
        <f t="array" ref="L72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26" s="9" t="str" cm="1">
        <f t="array" ref="M72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26" s="9" t="str" cm="1">
        <f t="array" ref="N72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26" s="10" cm="1">
        <f t="array" ref="O726">IFERROR(INDEX(Sheet4!$2:$1605,MATCH(ChiTietKQKD[[#This Row],[Mã CP]],Sheet4!$B$2:$B$1605,0),_xlfn.XMATCH("*Tăng trưởng lợi nhuận sau thuế (YoY) (Quý*",Sheet4!$1:$1,2)),"")</f>
        <v>0</v>
      </c>
      <c r="P726" s="10" cm="1">
        <f t="array" ref="P726">IFERROR(INDEX(Sheet4!$2:$1605,MATCH(ChiTietKQKD[[#This Row],[Mã CP]],Sheet4!$B$2:$B$1605,0),_xlfn.XMATCH("*Tăng trưởng lợi nhuận sau thuế (YoY) (6M)*",Sheet4!$1:$1,2)),"")</f>
        <v>0</v>
      </c>
      <c r="Q726" s="10" cm="1">
        <f t="array" ref="Q726">IFERROR(INDEX(Sheet4!$2:$1605,MATCH(ChiTietKQKD[[#This Row],[Mã CP]],Sheet4!$B$2:$B$1605,0),_xlfn.XMATCH("*Tăng trưởng doanh thu thuần (QoQ)*",Sheet4!$1:$1,2)),"")</f>
        <v>0</v>
      </c>
      <c r="R726" s="10" cm="1">
        <f t="array" ref="R726">IFERROR(INDEX(Sheet4!$2:$1605,MATCH(ChiTietKQKD[[#This Row],[Mã CP]],Sheet4!$B$2:$B$1605,0),_xlfn.XMATCH("*Tăng trưởng lợi nhuận sau thuế (QoQ)*",Sheet4!$1:$1,2)),"")</f>
        <v>0</v>
      </c>
    </row>
    <row r="727" spans="1:18" x14ac:dyDescent="0.25">
      <c r="A727" s="7">
        <f>Sheet4!A706</f>
        <v>705</v>
      </c>
      <c r="B727" t="str">
        <f>Sheet4!B706</f>
        <v>VE1</v>
      </c>
      <c r="C727" t="str">
        <f>Sheet4!C705</f>
        <v>Thực phẩm Lâm Đồng</v>
      </c>
      <c r="D727" t="str">
        <f>Sheet4!D706</f>
        <v>HNX</v>
      </c>
      <c r="E727" s="7">
        <f>Sheet4!AH706/1000000000</f>
        <v>17.793839999999999</v>
      </c>
      <c r="F727" t="str">
        <f>Sheet4!E706</f>
        <v>Công nghiệp</v>
      </c>
      <c r="G727" t="str">
        <f>Sheet4!F706</f>
        <v>Xây dựng và Vật liệu</v>
      </c>
      <c r="H727" t="str">
        <f>Sheet4!G706</f>
        <v>Xây dựng</v>
      </c>
      <c r="I727" s="9" t="str" cm="1">
        <f t="array" ref="I72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27" s="9" t="str" cm="1">
        <f t="array" ref="J72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27" s="10" cm="1">
        <f t="array" ref="K72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-1</v>
      </c>
      <c r="L727" s="10" cm="1">
        <f t="array" ref="L72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27" s="9" cm="1">
        <f t="array" ref="M727">_xlfn.LET(_xlpm.val,IFERROR(INDEX(Sheet4!$2:$1605,MATCH(ChiTietKQKD[[#This Row],[Mã CP]],Sheet4!$B$2:$B$1605,0),_xlfn.XMATCH("*Lợi nhuận sau thuế*Q2*2026*",Sheet4!$1:$1,2)),0),IF(OR(_xlpm.val="",_xlpm.val=0),"",_xlpm.val/1000000000))</f>
        <v>-0.56113399600000002</v>
      </c>
      <c r="N727" s="9" cm="1">
        <f t="array" ref="N727">_xlfn.LET(_xlpm.val,IFERROR(INDEX(Sheet4!$2:$1605,MATCH(ChiTietKQKD[[#This Row],[Mã CP]],Sheet4!$B$2:$B$1605,0),_xlfn.XMATCH("*Lợi nhuận sau thuế*6 tháng*2026*",Sheet4!$1:$1,2)),0),IF(OR(_xlpm.val="",_xlpm.val=0),"",_xlpm.val/1000000000))</f>
        <v>-1.665417556</v>
      </c>
      <c r="O727" s="10" cm="1">
        <f t="array" ref="O727">IFERROR(INDEX(Sheet4!$2:$1605,MATCH(ChiTietKQKD[[#This Row],[Mã CP]],Sheet4!$B$2:$B$1605,0),_xlfn.XMATCH("*Tăng trưởng lợi nhuận sau thuế (YoY) (Quý*",Sheet4!$1:$1,2)),"")</f>
        <v>-0.6704</v>
      </c>
      <c r="P727" s="10" cm="1">
        <f t="array" ref="P727">IFERROR(INDEX(Sheet4!$2:$1605,MATCH(ChiTietKQKD[[#This Row],[Mã CP]],Sheet4!$B$2:$B$1605,0),_xlfn.XMATCH("*Tăng trưởng lợi nhuận sau thuế (YoY) (6M)*",Sheet4!$1:$1,2)),"")</f>
        <v>0</v>
      </c>
      <c r="Q727" s="10" cm="1">
        <f t="array" ref="Q727">IFERROR(INDEX(Sheet4!$2:$1605,MATCH(ChiTietKQKD[[#This Row],[Mã CP]],Sheet4!$B$2:$B$1605,0),_xlfn.XMATCH("*Tăng trưởng doanh thu thuần (QoQ)*",Sheet4!$1:$1,2)),"")</f>
        <v>0</v>
      </c>
      <c r="R727" s="10" cm="1">
        <f t="array" ref="R727">IFERROR(INDEX(Sheet4!$2:$1605,MATCH(ChiTietKQKD[[#This Row],[Mã CP]],Sheet4!$B$2:$B$1605,0),_xlfn.XMATCH("*Tăng trưởng lợi nhuận sau thuế (QoQ)*",Sheet4!$1:$1,2)),"")</f>
        <v>0.4919</v>
      </c>
    </row>
    <row r="728" spans="1:18" x14ac:dyDescent="0.25">
      <c r="A728" s="7">
        <f>Sheet4!A707</f>
        <v>706</v>
      </c>
      <c r="B728" t="str">
        <f>Sheet4!B707</f>
        <v>VE3</v>
      </c>
      <c r="C728" t="str">
        <f>Sheet4!C706</f>
        <v>VNECO 1</v>
      </c>
      <c r="D728" t="str">
        <f>Sheet4!D707</f>
        <v>HNX</v>
      </c>
      <c r="E728" s="7">
        <f>Sheet4!AH707/1000000000</f>
        <v>19.72</v>
      </c>
      <c r="F728" t="str">
        <f>Sheet4!E707</f>
        <v>Công nghiệp</v>
      </c>
      <c r="G728" t="str">
        <f>Sheet4!F707</f>
        <v>Xây dựng và Vật liệu</v>
      </c>
      <c r="H728" t="str">
        <f>Sheet4!G707</f>
        <v>Xây dựng</v>
      </c>
      <c r="I728" s="9" t="str" cm="1">
        <f t="array" ref="I72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28" s="9" t="str" cm="1">
        <f t="array" ref="J72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28" s="10" cm="1">
        <f t="array" ref="K72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28" s="10" cm="1">
        <f t="array" ref="L72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28" s="9" t="str" cm="1">
        <f t="array" ref="M72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28" s="9" t="str" cm="1">
        <f t="array" ref="N72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28" s="10" cm="1">
        <f t="array" ref="O728">IFERROR(INDEX(Sheet4!$2:$1605,MATCH(ChiTietKQKD[[#This Row],[Mã CP]],Sheet4!$B$2:$B$1605,0),_xlfn.XMATCH("*Tăng trưởng lợi nhuận sau thuế (YoY) (Quý*",Sheet4!$1:$1,2)),"")</f>
        <v>0</v>
      </c>
      <c r="P728" s="10" cm="1">
        <f t="array" ref="P728">IFERROR(INDEX(Sheet4!$2:$1605,MATCH(ChiTietKQKD[[#This Row],[Mã CP]],Sheet4!$B$2:$B$1605,0),_xlfn.XMATCH("*Tăng trưởng lợi nhuận sau thuế (YoY) (6M)*",Sheet4!$1:$1,2)),"")</f>
        <v>0</v>
      </c>
      <c r="Q728" s="10" cm="1">
        <f t="array" ref="Q728">IFERROR(INDEX(Sheet4!$2:$1605,MATCH(ChiTietKQKD[[#This Row],[Mã CP]],Sheet4!$B$2:$B$1605,0),_xlfn.XMATCH("*Tăng trưởng doanh thu thuần (QoQ)*",Sheet4!$1:$1,2)),"")</f>
        <v>0</v>
      </c>
      <c r="R728" s="10" cm="1">
        <f t="array" ref="R728">IFERROR(INDEX(Sheet4!$2:$1605,MATCH(ChiTietKQKD[[#This Row],[Mã CP]],Sheet4!$B$2:$B$1605,0),_xlfn.XMATCH("*Tăng trưởng lợi nhuận sau thuế (QoQ)*",Sheet4!$1:$1,2)),"")</f>
        <v>0</v>
      </c>
    </row>
    <row r="729" spans="1:18" x14ac:dyDescent="0.25">
      <c r="A729" s="7">
        <f>Sheet4!A708</f>
        <v>707</v>
      </c>
      <c r="B729" t="str">
        <f>Sheet4!B708</f>
        <v>VE4</v>
      </c>
      <c r="C729" t="str">
        <f>Sheet4!C707</f>
        <v>Xây dựng điện VNECO 3</v>
      </c>
      <c r="D729" t="str">
        <f>Sheet4!D708</f>
        <v>HNX</v>
      </c>
      <c r="E729" s="7">
        <f>Sheet4!AH708/1000000000</f>
        <v>787.28</v>
      </c>
      <c r="F729" t="str">
        <f>Sheet4!E708</f>
        <v>Công nghiệp</v>
      </c>
      <c r="G729" t="str">
        <f>Sheet4!F708</f>
        <v>Xây dựng và Vật liệu</v>
      </c>
      <c r="H729" t="str">
        <f>Sheet4!G708</f>
        <v>Xây dựng</v>
      </c>
      <c r="I729" s="9" cm="1">
        <f t="array" ref="I72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2.753061872</v>
      </c>
      <c r="J729" s="9" cm="1">
        <f t="array" ref="J72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7.7596682540000002</v>
      </c>
      <c r="K729" s="10" cm="1">
        <f t="array" ref="K72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-0.80620000000000003</v>
      </c>
      <c r="L729" s="10" cm="1">
        <f t="array" ref="L72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29" s="9" cm="1">
        <f t="array" ref="M729">_xlfn.LET(_xlpm.val,IFERROR(INDEX(Sheet4!$2:$1605,MATCH(ChiTietKQKD[[#This Row],[Mã CP]],Sheet4!$B$2:$B$1605,0),_xlfn.XMATCH("*Lợi nhuận sau thuế*Q2*2026*",Sheet4!$1:$1,2)),0),IF(OR(_xlpm.val="",_xlpm.val=0),"",_xlpm.val/1000000000))</f>
        <v>0.104759003</v>
      </c>
      <c r="N729" s="9" cm="1">
        <f t="array" ref="N729">_xlfn.LET(_xlpm.val,IFERROR(INDEX(Sheet4!$2:$1605,MATCH(ChiTietKQKD[[#This Row],[Mã CP]],Sheet4!$B$2:$B$1605,0),_xlfn.XMATCH("*Lợi nhuận sau thuế*6 tháng*2026*",Sheet4!$1:$1,2)),0),IF(OR(_xlpm.val="",_xlpm.val=0),"",_xlpm.val/1000000000))</f>
        <v>-0.62306911899999995</v>
      </c>
      <c r="O729" s="10" cm="1">
        <f t="array" ref="O729">IFERROR(INDEX(Sheet4!$2:$1605,MATCH(ChiTietKQKD[[#This Row],[Mã CP]],Sheet4!$B$2:$B$1605,0),_xlfn.XMATCH("*Tăng trưởng lợi nhuận sau thuế (YoY) (Quý*",Sheet4!$1:$1,2)),"")</f>
        <v>2.8102999999999998</v>
      </c>
      <c r="P729" s="10" cm="1">
        <f t="array" ref="P729">IFERROR(INDEX(Sheet4!$2:$1605,MATCH(ChiTietKQKD[[#This Row],[Mã CP]],Sheet4!$B$2:$B$1605,0),_xlfn.XMATCH("*Tăng trưởng lợi nhuận sau thuế (YoY) (6M)*",Sheet4!$1:$1,2)),"")</f>
        <v>0</v>
      </c>
      <c r="Q729" s="10" cm="1">
        <f t="array" ref="Q729">IFERROR(INDEX(Sheet4!$2:$1605,MATCH(ChiTietKQKD[[#This Row],[Mã CP]],Sheet4!$B$2:$B$1605,0),_xlfn.XMATCH("*Tăng trưởng doanh thu thuần (QoQ)*",Sheet4!$1:$1,2)),"")</f>
        <v>-0.4501</v>
      </c>
      <c r="R729" s="10" cm="1">
        <f t="array" ref="R729">IFERROR(INDEX(Sheet4!$2:$1605,MATCH(ChiTietKQKD[[#This Row],[Mã CP]],Sheet4!$B$2:$B$1605,0),_xlfn.XMATCH("*Tăng trưởng lợi nhuận sau thuế (QoQ)*",Sheet4!$1:$1,2)),"")</f>
        <v>1.1438999999999999</v>
      </c>
    </row>
    <row r="730" spans="1:18" x14ac:dyDescent="0.25">
      <c r="A730" s="7">
        <f>Sheet4!A709</f>
        <v>708</v>
      </c>
      <c r="B730" t="str">
        <f>Sheet4!B709</f>
        <v>VFS</v>
      </c>
      <c r="C730" t="str">
        <f>Sheet4!C708</f>
        <v>Xây dựng điện VNECO4</v>
      </c>
      <c r="D730" t="str">
        <f>Sheet4!D709</f>
        <v>HNX</v>
      </c>
      <c r="E730" s="7">
        <f>Sheet4!AH709/1000000000</f>
        <v>1493.4453195000001</v>
      </c>
      <c r="F730" t="str">
        <f>Sheet4!E709</f>
        <v>Tài chính</v>
      </c>
      <c r="G730" t="str">
        <f>Sheet4!F709</f>
        <v>Dịch vụ tài chính</v>
      </c>
      <c r="H730" t="str">
        <f>Sheet4!G709</f>
        <v>Môi giới chứng khoán</v>
      </c>
      <c r="I730" s="9" cm="1">
        <f t="array" ref="I73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170.63684715400001</v>
      </c>
      <c r="J730" s="9" cm="1">
        <f t="array" ref="J73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300.799045224</v>
      </c>
      <c r="K730" s="10" cm="1">
        <f t="array" ref="K73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0.52190000000000003</v>
      </c>
      <c r="L730" s="10" cm="1">
        <f t="array" ref="L73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0.46479999999999999</v>
      </c>
      <c r="M730" s="9" cm="1">
        <f t="array" ref="M730">_xlfn.LET(_xlpm.val,IFERROR(INDEX(Sheet4!$2:$1605,MATCH(ChiTietKQKD[[#This Row],[Mã CP]],Sheet4!$B$2:$B$1605,0),_xlfn.XMATCH("*Lợi nhuận sau thuế*Q2*2026*",Sheet4!$1:$1,2)),0),IF(OR(_xlpm.val="",_xlpm.val=0),"",_xlpm.val/1000000000))</f>
        <v>30.481419983999999</v>
      </c>
      <c r="N730" s="9" cm="1">
        <f t="array" ref="N730">_xlfn.LET(_xlpm.val,IFERROR(INDEX(Sheet4!$2:$1605,MATCH(ChiTietKQKD[[#This Row],[Mã CP]],Sheet4!$B$2:$B$1605,0),_xlfn.XMATCH("*Lợi nhuận sau thuế*6 tháng*2026*",Sheet4!$1:$1,2)),0),IF(OR(_xlpm.val="",_xlpm.val=0),"",_xlpm.val/1000000000))</f>
        <v>56.012308392000001</v>
      </c>
      <c r="O730" s="10" cm="1">
        <f t="array" ref="O730">IFERROR(INDEX(Sheet4!$2:$1605,MATCH(ChiTietKQKD[[#This Row],[Mã CP]],Sheet4!$B$2:$B$1605,0),_xlfn.XMATCH("*Tăng trưởng lợi nhuận sau thuế (YoY) (Quý*",Sheet4!$1:$1,2)),"")</f>
        <v>-0.128</v>
      </c>
      <c r="P730" s="10" cm="1">
        <f t="array" ref="P730">IFERROR(INDEX(Sheet4!$2:$1605,MATCH(ChiTietKQKD[[#This Row],[Mã CP]],Sheet4!$B$2:$B$1605,0),_xlfn.XMATCH("*Tăng trưởng lợi nhuận sau thuế (YoY) (6M)*",Sheet4!$1:$1,2)),"")</f>
        <v>-0.15989999999999999</v>
      </c>
      <c r="Q730" s="10" cm="1">
        <f t="array" ref="Q730">IFERROR(INDEX(Sheet4!$2:$1605,MATCH(ChiTietKQKD[[#This Row],[Mã CP]],Sheet4!$B$2:$B$1605,0),_xlfn.XMATCH("*Tăng trưởng doanh thu thuần (QoQ)*",Sheet4!$1:$1,2)),"")</f>
        <v>0.311</v>
      </c>
      <c r="R730" s="10" cm="1">
        <f t="array" ref="R730">IFERROR(INDEX(Sheet4!$2:$1605,MATCH(ChiTietKQKD[[#This Row],[Mã CP]],Sheet4!$B$2:$B$1605,0),_xlfn.XMATCH("*Tăng trưởng lợi nhuận sau thuế (QoQ)*",Sheet4!$1:$1,2)),"")</f>
        <v>0.19389999999999999</v>
      </c>
    </row>
    <row r="731" spans="1:18" x14ac:dyDescent="0.25">
      <c r="A731" s="7">
        <f>Sheet4!A710</f>
        <v>709</v>
      </c>
      <c r="B731" t="str">
        <f>Sheet4!B710</f>
        <v>VGP</v>
      </c>
      <c r="C731" t="str">
        <f>Sheet4!C709</f>
        <v>Chứng khoán Nhất Việt</v>
      </c>
      <c r="D731" t="str">
        <f>Sheet4!D710</f>
        <v>HNX</v>
      </c>
      <c r="E731" s="7">
        <f>Sheet4!AH710/1000000000</f>
        <v>206.60434079999999</v>
      </c>
      <c r="F731" t="str">
        <f>Sheet4!E710</f>
        <v>Công nghiệp</v>
      </c>
      <c r="G731" t="str">
        <f>Sheet4!F710</f>
        <v>Hàng &amp; Dịch vụ Công nghiệp</v>
      </c>
      <c r="H731" t="str">
        <f>Sheet4!G710</f>
        <v>Kho bãi, hậu cần và bảo dưỡng</v>
      </c>
      <c r="I731" s="9" t="str" cm="1">
        <f t="array" ref="I73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31" s="9" t="str" cm="1">
        <f t="array" ref="J73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31" s="10" cm="1">
        <f t="array" ref="K73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31" s="10" cm="1">
        <f t="array" ref="L73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31" s="9" t="str" cm="1">
        <f t="array" ref="M73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31" s="9" t="str" cm="1">
        <f t="array" ref="N73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31" s="10" cm="1">
        <f t="array" ref="O731">IFERROR(INDEX(Sheet4!$2:$1605,MATCH(ChiTietKQKD[[#This Row],[Mã CP]],Sheet4!$B$2:$B$1605,0),_xlfn.XMATCH("*Tăng trưởng lợi nhuận sau thuế (YoY) (Quý*",Sheet4!$1:$1,2)),"")</f>
        <v>0</v>
      </c>
      <c r="P731" s="10" cm="1">
        <f t="array" ref="P731">IFERROR(INDEX(Sheet4!$2:$1605,MATCH(ChiTietKQKD[[#This Row],[Mã CP]],Sheet4!$B$2:$B$1605,0),_xlfn.XMATCH("*Tăng trưởng lợi nhuận sau thuế (YoY) (6M)*",Sheet4!$1:$1,2)),"")</f>
        <v>0</v>
      </c>
      <c r="Q731" s="10" cm="1">
        <f t="array" ref="Q731">IFERROR(INDEX(Sheet4!$2:$1605,MATCH(ChiTietKQKD[[#This Row],[Mã CP]],Sheet4!$B$2:$B$1605,0),_xlfn.XMATCH("*Tăng trưởng doanh thu thuần (QoQ)*",Sheet4!$1:$1,2)),"")</f>
        <v>0</v>
      </c>
      <c r="R731" s="10" cm="1">
        <f t="array" ref="R731">IFERROR(INDEX(Sheet4!$2:$1605,MATCH(ChiTietKQKD[[#This Row],[Mã CP]],Sheet4!$B$2:$B$1605,0),_xlfn.XMATCH("*Tăng trưởng lợi nhuận sau thuế (QoQ)*",Sheet4!$1:$1,2)),"")</f>
        <v>0</v>
      </c>
    </row>
    <row r="732" spans="1:18" x14ac:dyDescent="0.25">
      <c r="A732" s="7">
        <f>Sheet4!A711</f>
        <v>710</v>
      </c>
      <c r="B732" t="str">
        <f>Sheet4!B711</f>
        <v>VGS</v>
      </c>
      <c r="C732" t="str">
        <f>Sheet4!C710</f>
        <v>Cảng Rau Quả</v>
      </c>
      <c r="D732" t="str">
        <f>Sheet4!D711</f>
        <v>HNX</v>
      </c>
      <c r="E732" s="7">
        <f>Sheet4!AH711/1000000000</f>
        <v>1088.9775434999999</v>
      </c>
      <c r="F732" t="str">
        <f>Sheet4!E711</f>
        <v>Nguyên vật liệu</v>
      </c>
      <c r="G732" t="str">
        <f>Sheet4!F711</f>
        <v>Tài nguyên Cơ bản</v>
      </c>
      <c r="H732" t="str">
        <f>Sheet4!G711</f>
        <v>Thép và sản phẩm thép</v>
      </c>
      <c r="I732" s="9" t="str" cm="1">
        <f t="array" ref="I73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32" s="9" t="str" cm="1">
        <f t="array" ref="J73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32" s="10" cm="1">
        <f t="array" ref="K73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32" s="10" cm="1">
        <f t="array" ref="L73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32" s="9" t="str" cm="1">
        <f t="array" ref="M73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32" s="9" t="str" cm="1">
        <f t="array" ref="N73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32" s="10" cm="1">
        <f t="array" ref="O732">IFERROR(INDEX(Sheet4!$2:$1605,MATCH(ChiTietKQKD[[#This Row],[Mã CP]],Sheet4!$B$2:$B$1605,0),_xlfn.XMATCH("*Tăng trưởng lợi nhuận sau thuế (YoY) (Quý*",Sheet4!$1:$1,2)),"")</f>
        <v>0</v>
      </c>
      <c r="P732" s="10" cm="1">
        <f t="array" ref="P732">IFERROR(INDEX(Sheet4!$2:$1605,MATCH(ChiTietKQKD[[#This Row],[Mã CP]],Sheet4!$B$2:$B$1605,0),_xlfn.XMATCH("*Tăng trưởng lợi nhuận sau thuế (YoY) (6M)*",Sheet4!$1:$1,2)),"")</f>
        <v>0</v>
      </c>
      <c r="Q732" s="10" cm="1">
        <f t="array" ref="Q732">IFERROR(INDEX(Sheet4!$2:$1605,MATCH(ChiTietKQKD[[#This Row],[Mã CP]],Sheet4!$B$2:$B$1605,0),_xlfn.XMATCH("*Tăng trưởng doanh thu thuần (QoQ)*",Sheet4!$1:$1,2)),"")</f>
        <v>0</v>
      </c>
      <c r="R732" s="10" cm="1">
        <f t="array" ref="R732">IFERROR(INDEX(Sheet4!$2:$1605,MATCH(ChiTietKQKD[[#This Row],[Mã CP]],Sheet4!$B$2:$B$1605,0),_xlfn.XMATCH("*Tăng trưởng lợi nhuận sau thuế (QoQ)*",Sheet4!$1:$1,2)),"")</f>
        <v>0</v>
      </c>
    </row>
    <row r="733" spans="1:18" x14ac:dyDescent="0.25">
      <c r="A733" s="7">
        <f>Sheet4!A712</f>
        <v>711</v>
      </c>
      <c r="B733" t="str">
        <f>Sheet4!B712</f>
        <v>VHE</v>
      </c>
      <c r="C733" t="str">
        <f>Sheet4!C711</f>
        <v>Ống thép Việt Đức</v>
      </c>
      <c r="D733" t="str">
        <f>Sheet4!D712</f>
        <v>HNX</v>
      </c>
      <c r="E733" s="7">
        <f>Sheet4!AH712/1000000000</f>
        <v>99.419988000000004</v>
      </c>
      <c r="F733" t="str">
        <f>Sheet4!E712</f>
        <v>Dược phẩm và Y tế</v>
      </c>
      <c r="G733" t="str">
        <f>Sheet4!F712</f>
        <v>Y tế</v>
      </c>
      <c r="H733" t="str">
        <f>Sheet4!G712</f>
        <v>Dược phẩm</v>
      </c>
      <c r="I733" s="9" t="str" cm="1">
        <f t="array" ref="I73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33" s="9" t="str" cm="1">
        <f t="array" ref="J73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33" s="10" cm="1">
        <f t="array" ref="K73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33" s="10" cm="1">
        <f t="array" ref="L73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33" s="9" t="str" cm="1">
        <f t="array" ref="M73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33" s="9" t="str" cm="1">
        <f t="array" ref="N73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33" s="10" cm="1">
        <f t="array" ref="O733">IFERROR(INDEX(Sheet4!$2:$1605,MATCH(ChiTietKQKD[[#This Row],[Mã CP]],Sheet4!$B$2:$B$1605,0),_xlfn.XMATCH("*Tăng trưởng lợi nhuận sau thuế (YoY) (Quý*",Sheet4!$1:$1,2)),"")</f>
        <v>0</v>
      </c>
      <c r="P733" s="10" cm="1">
        <f t="array" ref="P733">IFERROR(INDEX(Sheet4!$2:$1605,MATCH(ChiTietKQKD[[#This Row],[Mã CP]],Sheet4!$B$2:$B$1605,0),_xlfn.XMATCH("*Tăng trưởng lợi nhuận sau thuế (YoY) (6M)*",Sheet4!$1:$1,2)),"")</f>
        <v>0</v>
      </c>
      <c r="Q733" s="10" cm="1">
        <f t="array" ref="Q733">IFERROR(INDEX(Sheet4!$2:$1605,MATCH(ChiTietKQKD[[#This Row],[Mã CP]],Sheet4!$B$2:$B$1605,0),_xlfn.XMATCH("*Tăng trưởng doanh thu thuần (QoQ)*",Sheet4!$1:$1,2)),"")</f>
        <v>0</v>
      </c>
      <c r="R733" s="10" cm="1">
        <f t="array" ref="R733">IFERROR(INDEX(Sheet4!$2:$1605,MATCH(ChiTietKQKD[[#This Row],[Mã CP]],Sheet4!$B$2:$B$1605,0),_xlfn.XMATCH("*Tăng trưởng lợi nhuận sau thuế (QoQ)*",Sheet4!$1:$1,2)),"")</f>
        <v>0</v>
      </c>
    </row>
    <row r="734" spans="1:18" x14ac:dyDescent="0.25">
      <c r="A734" s="7">
        <f>Sheet4!A713</f>
        <v>712</v>
      </c>
      <c r="B734" t="str">
        <f>Sheet4!B713</f>
        <v>VHL</v>
      </c>
      <c r="C734" t="str">
        <f>Sheet4!C712</f>
        <v>Dược liệu và Thực phẩm VN</v>
      </c>
      <c r="D734" t="str">
        <f>Sheet4!D713</f>
        <v>HNX</v>
      </c>
      <c r="E734" s="7">
        <f>Sheet4!AH713/1000000000</f>
        <v>275</v>
      </c>
      <c r="F734" t="str">
        <f>Sheet4!E713</f>
        <v>Công nghiệp</v>
      </c>
      <c r="G734" t="str">
        <f>Sheet4!F713</f>
        <v>Xây dựng và Vật liệu</v>
      </c>
      <c r="H734" t="str">
        <f>Sheet4!G713</f>
        <v>Vật liệu xây dựng &amp; Nội thất</v>
      </c>
      <c r="I734" s="9" t="str" cm="1">
        <f t="array" ref="I73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34" s="9" t="str" cm="1">
        <f t="array" ref="J73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34" s="10" cm="1">
        <f t="array" ref="K73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34" s="10" cm="1">
        <f t="array" ref="L73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34" s="9" t="str" cm="1">
        <f t="array" ref="M73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34" s="9" t="str" cm="1">
        <f t="array" ref="N73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34" s="10" cm="1">
        <f t="array" ref="O734">IFERROR(INDEX(Sheet4!$2:$1605,MATCH(ChiTietKQKD[[#This Row],[Mã CP]],Sheet4!$B$2:$B$1605,0),_xlfn.XMATCH("*Tăng trưởng lợi nhuận sau thuế (YoY) (Quý*",Sheet4!$1:$1,2)),"")</f>
        <v>0</v>
      </c>
      <c r="P734" s="10" cm="1">
        <f t="array" ref="P734">IFERROR(INDEX(Sheet4!$2:$1605,MATCH(ChiTietKQKD[[#This Row],[Mã CP]],Sheet4!$B$2:$B$1605,0),_xlfn.XMATCH("*Tăng trưởng lợi nhuận sau thuế (YoY) (6M)*",Sheet4!$1:$1,2)),"")</f>
        <v>0</v>
      </c>
      <c r="Q734" s="10" cm="1">
        <f t="array" ref="Q734">IFERROR(INDEX(Sheet4!$2:$1605,MATCH(ChiTietKQKD[[#This Row],[Mã CP]],Sheet4!$B$2:$B$1605,0),_xlfn.XMATCH("*Tăng trưởng doanh thu thuần (QoQ)*",Sheet4!$1:$1,2)),"")</f>
        <v>0</v>
      </c>
      <c r="R734" s="10" cm="1">
        <f t="array" ref="R734">IFERROR(INDEX(Sheet4!$2:$1605,MATCH(ChiTietKQKD[[#This Row],[Mã CP]],Sheet4!$B$2:$B$1605,0),_xlfn.XMATCH("*Tăng trưởng lợi nhuận sau thuế (QoQ)*",Sheet4!$1:$1,2)),"")</f>
        <v>0</v>
      </c>
    </row>
    <row r="735" spans="1:18" x14ac:dyDescent="0.25">
      <c r="A735" s="7">
        <f>Sheet4!A714</f>
        <v>713</v>
      </c>
      <c r="B735" t="str">
        <f>Sheet4!B714</f>
        <v>VIF</v>
      </c>
      <c r="C735" t="str">
        <f>Sheet4!C713</f>
        <v>Viglacera Hạ Long</v>
      </c>
      <c r="D735" t="str">
        <f>Sheet4!D714</f>
        <v>HNX</v>
      </c>
      <c r="E735" s="7">
        <f>Sheet4!AH714/1000000000</f>
        <v>5075</v>
      </c>
      <c r="F735" t="str">
        <f>Sheet4!E714</f>
        <v>Nguyên vật liệu</v>
      </c>
      <c r="G735" t="str">
        <f>Sheet4!F714</f>
        <v>Tài nguyên Cơ bản</v>
      </c>
      <c r="H735" t="str">
        <f>Sheet4!G714</f>
        <v>Lâm sản và Chế biến gỗ</v>
      </c>
      <c r="I735" s="9" t="str" cm="1">
        <f t="array" ref="I73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35" s="9" t="str" cm="1">
        <f t="array" ref="J73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35" s="10" cm="1">
        <f t="array" ref="K73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35" s="10" cm="1">
        <f t="array" ref="L73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35" s="9" t="str" cm="1">
        <f t="array" ref="M73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35" s="9" t="str" cm="1">
        <f t="array" ref="N73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35" s="10" cm="1">
        <f t="array" ref="O735">IFERROR(INDEX(Sheet4!$2:$1605,MATCH(ChiTietKQKD[[#This Row],[Mã CP]],Sheet4!$B$2:$B$1605,0),_xlfn.XMATCH("*Tăng trưởng lợi nhuận sau thuế (YoY) (Quý*",Sheet4!$1:$1,2)),"")</f>
        <v>0</v>
      </c>
      <c r="P735" s="10" cm="1">
        <f t="array" ref="P735">IFERROR(INDEX(Sheet4!$2:$1605,MATCH(ChiTietKQKD[[#This Row],[Mã CP]],Sheet4!$B$2:$B$1605,0),_xlfn.XMATCH("*Tăng trưởng lợi nhuận sau thuế (YoY) (6M)*",Sheet4!$1:$1,2)),"")</f>
        <v>0</v>
      </c>
      <c r="Q735" s="10" cm="1">
        <f t="array" ref="Q735">IFERROR(INDEX(Sheet4!$2:$1605,MATCH(ChiTietKQKD[[#This Row],[Mã CP]],Sheet4!$B$2:$B$1605,0),_xlfn.XMATCH("*Tăng trưởng doanh thu thuần (QoQ)*",Sheet4!$1:$1,2)),"")</f>
        <v>0</v>
      </c>
      <c r="R735" s="10" cm="1">
        <f t="array" ref="R735">IFERROR(INDEX(Sheet4!$2:$1605,MATCH(ChiTietKQKD[[#This Row],[Mã CP]],Sheet4!$B$2:$B$1605,0),_xlfn.XMATCH("*Tăng trưởng lợi nhuận sau thuế (QoQ)*",Sheet4!$1:$1,2)),"")</f>
        <v>0</v>
      </c>
    </row>
    <row r="736" spans="1:18" x14ac:dyDescent="0.25">
      <c r="A736" s="7">
        <f>Sheet4!A715</f>
        <v>714</v>
      </c>
      <c r="B736" t="str">
        <f>Sheet4!B715</f>
        <v>VIG</v>
      </c>
      <c r="C736" t="str">
        <f>Sheet4!C714</f>
        <v>Lâm nghiệp Việt Nam</v>
      </c>
      <c r="D736" t="str">
        <f>Sheet4!D715</f>
        <v>HNX</v>
      </c>
      <c r="E736" s="7">
        <f>Sheet4!AH715/1000000000</f>
        <v>189.55985999999999</v>
      </c>
      <c r="F736" t="str">
        <f>Sheet4!E715</f>
        <v>Tài chính</v>
      </c>
      <c r="G736" t="str">
        <f>Sheet4!F715</f>
        <v>Dịch vụ tài chính</v>
      </c>
      <c r="H736" t="str">
        <f>Sheet4!G715</f>
        <v>Môi giới chứng khoán</v>
      </c>
      <c r="I736" s="9" cm="1">
        <f t="array" ref="I73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3.426990741</v>
      </c>
      <c r="J736" s="9" cm="1">
        <f t="array" ref="J73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8.7933393590000009</v>
      </c>
      <c r="K736" s="10" cm="1">
        <f t="array" ref="K73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-0.20860000000000001</v>
      </c>
      <c r="L736" s="10" cm="1">
        <f t="array" ref="L73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5.9400000000000001E-2</v>
      </c>
      <c r="M736" s="9" cm="1">
        <f t="array" ref="M736">_xlfn.LET(_xlpm.val,IFERROR(INDEX(Sheet4!$2:$1605,MATCH(ChiTietKQKD[[#This Row],[Mã CP]],Sheet4!$B$2:$B$1605,0),_xlfn.XMATCH("*Lợi nhuận sau thuế*Q2*2026*",Sheet4!$1:$1,2)),0),IF(OR(_xlpm.val="",_xlpm.val=0),"",_xlpm.val/1000000000))</f>
        <v>-2.238074911</v>
      </c>
      <c r="N736" s="9" cm="1">
        <f t="array" ref="N736">_xlfn.LET(_xlpm.val,IFERROR(INDEX(Sheet4!$2:$1605,MATCH(ChiTietKQKD[[#This Row],[Mã CP]],Sheet4!$B$2:$B$1605,0),_xlfn.XMATCH("*Lợi nhuận sau thuế*6 tháng*2026*",Sheet4!$1:$1,2)),0),IF(OR(_xlpm.val="",_xlpm.val=0),"",_xlpm.val/1000000000))</f>
        <v>-3.672294596</v>
      </c>
      <c r="O736" s="10" cm="1">
        <f t="array" ref="O736">IFERROR(INDEX(Sheet4!$2:$1605,MATCH(ChiTietKQKD[[#This Row],[Mã CP]],Sheet4!$B$2:$B$1605,0),_xlfn.XMATCH("*Tăng trưởng lợi nhuận sau thuế (YoY) (Quý*",Sheet4!$1:$1,2)),"")</f>
        <v>0.86599999999999999</v>
      </c>
      <c r="P736" s="10" cm="1">
        <f t="array" ref="P736">IFERROR(INDEX(Sheet4!$2:$1605,MATCH(ChiTietKQKD[[#This Row],[Mã CP]],Sheet4!$B$2:$B$1605,0),_xlfn.XMATCH("*Tăng trưởng lợi nhuận sau thuế (YoY) (6M)*",Sheet4!$1:$1,2)),"")</f>
        <v>0.81279999999999997</v>
      </c>
      <c r="Q736" s="10" cm="1">
        <f t="array" ref="Q736">IFERROR(INDEX(Sheet4!$2:$1605,MATCH(ChiTietKQKD[[#This Row],[Mã CP]],Sheet4!$B$2:$B$1605,0),_xlfn.XMATCH("*Tăng trưởng doanh thu thuần (QoQ)*",Sheet4!$1:$1,2)),"")</f>
        <v>-0.3614</v>
      </c>
      <c r="R736" s="10" cm="1">
        <f t="array" ref="R736">IFERROR(INDEX(Sheet4!$2:$1605,MATCH(ChiTietKQKD[[#This Row],[Mã CP]],Sheet4!$B$2:$B$1605,0),_xlfn.XMATCH("*Tăng trưởng lợi nhuận sau thuế (QoQ)*",Sheet4!$1:$1,2)),"")</f>
        <v>-0.54320000000000002</v>
      </c>
    </row>
    <row r="737" spans="1:18" x14ac:dyDescent="0.25">
      <c r="A737" s="7">
        <f>Sheet4!A716</f>
        <v>715</v>
      </c>
      <c r="B737" t="str">
        <f>Sheet4!B716</f>
        <v>VIT</v>
      </c>
      <c r="C737" t="str">
        <f>Sheet4!C715</f>
        <v>Chứng khoán Đầu tư Tài chính Việt Nam</v>
      </c>
      <c r="D737" t="str">
        <f>Sheet4!D716</f>
        <v>HNX</v>
      </c>
      <c r="E737" s="7">
        <f>Sheet4!AH716/1000000000</f>
        <v>1995.2199499999999</v>
      </c>
      <c r="F737" t="str">
        <f>Sheet4!E716</f>
        <v>Công nghiệp</v>
      </c>
      <c r="G737" t="str">
        <f>Sheet4!F716</f>
        <v>Xây dựng và Vật liệu</v>
      </c>
      <c r="H737" t="str">
        <f>Sheet4!G716</f>
        <v>Vật liệu xây dựng &amp; Nội thất</v>
      </c>
      <c r="I737" s="9" cm="1">
        <f t="array" ref="I73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1097.554754019</v>
      </c>
      <c r="J737" s="9" cm="1">
        <f t="array" ref="J73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1930.5959209329999</v>
      </c>
      <c r="K737" s="10" cm="1">
        <f t="array" ref="K73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0.99980000000000002</v>
      </c>
      <c r="L737" s="10" cm="1">
        <f t="array" ref="L73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1.1246</v>
      </c>
      <c r="M737" s="9" cm="1">
        <f t="array" ref="M737">_xlfn.LET(_xlpm.val,IFERROR(INDEX(Sheet4!$2:$1605,MATCH(ChiTietKQKD[[#This Row],[Mã CP]],Sheet4!$B$2:$B$1605,0),_xlfn.XMATCH("*Lợi nhuận sau thuế*Q2*2026*",Sheet4!$1:$1,2)),0),IF(OR(_xlpm.val="",_xlpm.val=0),"",_xlpm.val/1000000000))</f>
        <v>47.625012269000003</v>
      </c>
      <c r="N737" s="9" cm="1">
        <f t="array" ref="N737">_xlfn.LET(_xlpm.val,IFERROR(INDEX(Sheet4!$2:$1605,MATCH(ChiTietKQKD[[#This Row],[Mã CP]],Sheet4!$B$2:$B$1605,0),_xlfn.XMATCH("*Lợi nhuận sau thuế*6 tháng*2026*",Sheet4!$1:$1,2)),0),IF(OR(_xlpm.val="",_xlpm.val=0),"",_xlpm.val/1000000000))</f>
        <v>47.889948126</v>
      </c>
      <c r="O737" s="10" cm="1">
        <f t="array" ref="O737">IFERROR(INDEX(Sheet4!$2:$1605,MATCH(ChiTietKQKD[[#This Row],[Mã CP]],Sheet4!$B$2:$B$1605,0),_xlfn.XMATCH("*Tăng trưởng lợi nhuận sau thuế (YoY) (Quý*",Sheet4!$1:$1,2)),"")</f>
        <v>0.96460000000000001</v>
      </c>
      <c r="P737" s="10" cm="1">
        <f t="array" ref="P737">IFERROR(INDEX(Sheet4!$2:$1605,MATCH(ChiTietKQKD[[#This Row],[Mã CP]],Sheet4!$B$2:$B$1605,0),_xlfn.XMATCH("*Tăng trưởng lợi nhuận sau thuế (YoY) (6M)*",Sheet4!$1:$1,2)),"")</f>
        <v>2.1396000000000002</v>
      </c>
      <c r="Q737" s="10" cm="1">
        <f t="array" ref="Q737">IFERROR(INDEX(Sheet4!$2:$1605,MATCH(ChiTietKQKD[[#This Row],[Mã CP]],Sheet4!$B$2:$B$1605,0),_xlfn.XMATCH("*Tăng trưởng doanh thu thuần (QoQ)*",Sheet4!$1:$1,2)),"")</f>
        <v>0.27110000000000001</v>
      </c>
      <c r="R737" s="10" cm="1">
        <f t="array" ref="R737">IFERROR(INDEX(Sheet4!$2:$1605,MATCH(ChiTietKQKD[[#This Row],[Mã CP]],Sheet4!$B$2:$B$1605,0),_xlfn.XMATCH("*Tăng trưởng lợi nhuận sau thuế (QoQ)*",Sheet4!$1:$1,2)),"")</f>
        <v>178.76050000000001</v>
      </c>
    </row>
    <row r="738" spans="1:18" x14ac:dyDescent="0.25">
      <c r="A738" s="7">
        <f>Sheet4!A717</f>
        <v>716</v>
      </c>
      <c r="B738" t="str">
        <f>Sheet4!B717</f>
        <v>VLA</v>
      </c>
      <c r="C738" t="str">
        <f>Sheet4!C716</f>
        <v>Viglacera Tiên Sơn</v>
      </c>
      <c r="D738" t="str">
        <f>Sheet4!D717</f>
        <v>HNX</v>
      </c>
      <c r="E738" s="7">
        <f>Sheet4!AH717/1000000000</f>
        <v>43.556356399999999</v>
      </c>
      <c r="F738" t="str">
        <f>Sheet4!E717</f>
        <v>Công nghệ Thông tin</v>
      </c>
      <c r="G738" t="str">
        <f>Sheet4!F717</f>
        <v>Công nghệ Thông tin</v>
      </c>
      <c r="H738" t="str">
        <f>Sheet4!G717</f>
        <v>Phần mềm</v>
      </c>
      <c r="I738" s="9" cm="1">
        <f t="array" ref="I73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0.47935185299999999</v>
      </c>
      <c r="J738" s="9" cm="1">
        <f t="array" ref="J73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1.01484223</v>
      </c>
      <c r="K738" s="10" cm="1">
        <f t="array" ref="K73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-0.89249999999999996</v>
      </c>
      <c r="L738" s="10" cm="1">
        <f t="array" ref="L73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-0.89910000000000001</v>
      </c>
      <c r="M738" s="9" cm="1">
        <f t="array" ref="M738">_xlfn.LET(_xlpm.val,IFERROR(INDEX(Sheet4!$2:$1605,MATCH(ChiTietKQKD[[#This Row],[Mã CP]],Sheet4!$B$2:$B$1605,0),_xlfn.XMATCH("*Lợi nhuận sau thuế*Q2*2026*",Sheet4!$1:$1,2)),0),IF(OR(_xlpm.val="",_xlpm.val=0),"",_xlpm.val/1000000000))</f>
        <v>0.26084450300000001</v>
      </c>
      <c r="N738" s="9" cm="1">
        <f t="array" ref="N738">_xlfn.LET(_xlpm.val,IFERROR(INDEX(Sheet4!$2:$1605,MATCH(ChiTietKQKD[[#This Row],[Mã CP]],Sheet4!$B$2:$B$1605,0),_xlfn.XMATCH("*Lợi nhuận sau thuế*6 tháng*2026*",Sheet4!$1:$1,2)),0),IF(OR(_xlpm.val="",_xlpm.val=0),"",_xlpm.val/1000000000))</f>
        <v>0.47163847800000003</v>
      </c>
      <c r="O738" s="10" cm="1">
        <f t="array" ref="O738">IFERROR(INDEX(Sheet4!$2:$1605,MATCH(ChiTietKQKD[[#This Row],[Mã CP]],Sheet4!$B$2:$B$1605,0),_xlfn.XMATCH("*Tăng trưởng lợi nhuận sau thuế (YoY) (Quý*",Sheet4!$1:$1,2)),"")</f>
        <v>3.9514</v>
      </c>
      <c r="P738" s="10" cm="1">
        <f t="array" ref="P738">IFERROR(INDEX(Sheet4!$2:$1605,MATCH(ChiTietKQKD[[#This Row],[Mã CP]],Sheet4!$B$2:$B$1605,0),_xlfn.XMATCH("*Tăng trưởng lợi nhuận sau thuế (YoY) (6M)*",Sheet4!$1:$1,2)),"")</f>
        <v>1.0454000000000001</v>
      </c>
      <c r="Q738" s="10" cm="1">
        <f t="array" ref="Q738">IFERROR(INDEX(Sheet4!$2:$1605,MATCH(ChiTietKQKD[[#This Row],[Mã CP]],Sheet4!$B$2:$B$1605,0),_xlfn.XMATCH("*Tăng trưởng doanh thu thuần (QoQ)*",Sheet4!$1:$1,2)),"")</f>
        <v>-0.1048</v>
      </c>
      <c r="R738" s="10" cm="1">
        <f t="array" ref="R738">IFERROR(INDEX(Sheet4!$2:$1605,MATCH(ChiTietKQKD[[#This Row],[Mã CP]],Sheet4!$B$2:$B$1605,0),_xlfn.XMATCH("*Tăng trưởng lợi nhuận sau thuế (QoQ)*",Sheet4!$1:$1,2)),"")</f>
        <v>0.2374</v>
      </c>
    </row>
    <row r="739" spans="1:18" x14ac:dyDescent="0.25">
      <c r="A739" s="7">
        <f>Sheet4!A718</f>
        <v>717</v>
      </c>
      <c r="B739" t="str">
        <f>Sheet4!B718</f>
        <v>VMC</v>
      </c>
      <c r="C739" t="str">
        <f>Sheet4!C717</f>
        <v>PT Công nghệ Văn Lang</v>
      </c>
      <c r="D739" t="str">
        <f>Sheet4!D718</f>
        <v>HNX</v>
      </c>
      <c r="E739" s="7">
        <f>Sheet4!AH718/1000000000</f>
        <v>103.4892612</v>
      </c>
      <c r="F739" t="str">
        <f>Sheet4!E718</f>
        <v>Công nghiệp</v>
      </c>
      <c r="G739" t="str">
        <f>Sheet4!F718</f>
        <v>Xây dựng và Vật liệu</v>
      </c>
      <c r="H739" t="str">
        <f>Sheet4!G718</f>
        <v>Xây dựng</v>
      </c>
      <c r="I739" s="9" t="str" cm="1">
        <f t="array" ref="I73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39" s="9" t="str" cm="1">
        <f t="array" ref="J73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39" s="10" cm="1">
        <f t="array" ref="K73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39" s="10" cm="1">
        <f t="array" ref="L73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39" s="9" t="str" cm="1">
        <f t="array" ref="M73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39" s="9" t="str" cm="1">
        <f t="array" ref="N73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39" s="10" cm="1">
        <f t="array" ref="O739">IFERROR(INDEX(Sheet4!$2:$1605,MATCH(ChiTietKQKD[[#This Row],[Mã CP]],Sheet4!$B$2:$B$1605,0),_xlfn.XMATCH("*Tăng trưởng lợi nhuận sau thuế (YoY) (Quý*",Sheet4!$1:$1,2)),"")</f>
        <v>0</v>
      </c>
      <c r="P739" s="10" cm="1">
        <f t="array" ref="P739">IFERROR(INDEX(Sheet4!$2:$1605,MATCH(ChiTietKQKD[[#This Row],[Mã CP]],Sheet4!$B$2:$B$1605,0),_xlfn.XMATCH("*Tăng trưởng lợi nhuận sau thuế (YoY) (6M)*",Sheet4!$1:$1,2)),"")</f>
        <v>0</v>
      </c>
      <c r="Q739" s="10" cm="1">
        <f t="array" ref="Q739">IFERROR(INDEX(Sheet4!$2:$1605,MATCH(ChiTietKQKD[[#This Row],[Mã CP]],Sheet4!$B$2:$B$1605,0),_xlfn.XMATCH("*Tăng trưởng doanh thu thuần (QoQ)*",Sheet4!$1:$1,2)),"")</f>
        <v>0</v>
      </c>
      <c r="R739" s="10" cm="1">
        <f t="array" ref="R739">IFERROR(INDEX(Sheet4!$2:$1605,MATCH(ChiTietKQKD[[#This Row],[Mã CP]],Sheet4!$B$2:$B$1605,0),_xlfn.XMATCH("*Tăng trưởng lợi nhuận sau thuế (QoQ)*",Sheet4!$1:$1,2)),"")</f>
        <v>0</v>
      </c>
    </row>
    <row r="740" spans="1:18" x14ac:dyDescent="0.25">
      <c r="A740" s="7">
        <f>Sheet4!A719</f>
        <v>718</v>
      </c>
      <c r="B740" t="str">
        <f>Sheet4!B719</f>
        <v>VMS</v>
      </c>
      <c r="C740" t="str">
        <f>Sheet4!C718</f>
        <v>VIMECO</v>
      </c>
      <c r="D740" t="str">
        <f>Sheet4!D719</f>
        <v>HNX</v>
      </c>
      <c r="E740" s="7">
        <f>Sheet4!AH719/1000000000</f>
        <v>422.99990600000001</v>
      </c>
      <c r="F740" t="str">
        <f>Sheet4!E719</f>
        <v>Công nghiệp</v>
      </c>
      <c r="G740" t="str">
        <f>Sheet4!F719</f>
        <v>Hàng &amp; Dịch vụ Công nghiệp</v>
      </c>
      <c r="H740" t="str">
        <f>Sheet4!G719</f>
        <v>Kho bãi, hậu cần và bảo dưỡng</v>
      </c>
      <c r="I740" s="9" t="str" cm="1">
        <f t="array" ref="I74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40" s="9" t="str" cm="1">
        <f t="array" ref="J74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40" s="10" cm="1">
        <f t="array" ref="K74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40" s="10" cm="1">
        <f t="array" ref="L74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40" s="9" t="str" cm="1">
        <f t="array" ref="M74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40" s="9" t="str" cm="1">
        <f t="array" ref="N74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40" s="10" cm="1">
        <f t="array" ref="O740">IFERROR(INDEX(Sheet4!$2:$1605,MATCH(ChiTietKQKD[[#This Row],[Mã CP]],Sheet4!$B$2:$B$1605,0),_xlfn.XMATCH("*Tăng trưởng lợi nhuận sau thuế (YoY) (Quý*",Sheet4!$1:$1,2)),"")</f>
        <v>0</v>
      </c>
      <c r="P740" s="10" cm="1">
        <f t="array" ref="P740">IFERROR(INDEX(Sheet4!$2:$1605,MATCH(ChiTietKQKD[[#This Row],[Mã CP]],Sheet4!$B$2:$B$1605,0),_xlfn.XMATCH("*Tăng trưởng lợi nhuận sau thuế (YoY) (6M)*",Sheet4!$1:$1,2)),"")</f>
        <v>0</v>
      </c>
      <c r="Q740" s="10" cm="1">
        <f t="array" ref="Q740">IFERROR(INDEX(Sheet4!$2:$1605,MATCH(ChiTietKQKD[[#This Row],[Mã CP]],Sheet4!$B$2:$B$1605,0),_xlfn.XMATCH("*Tăng trưởng doanh thu thuần (QoQ)*",Sheet4!$1:$1,2)),"")</f>
        <v>0</v>
      </c>
      <c r="R740" s="10" cm="1">
        <f t="array" ref="R740">IFERROR(INDEX(Sheet4!$2:$1605,MATCH(ChiTietKQKD[[#This Row],[Mã CP]],Sheet4!$B$2:$B$1605,0),_xlfn.XMATCH("*Tăng trưởng lợi nhuận sau thuế (QoQ)*",Sheet4!$1:$1,2)),"")</f>
        <v>0</v>
      </c>
    </row>
    <row r="741" spans="1:18" x14ac:dyDescent="0.25">
      <c r="A741" s="7">
        <f>Sheet4!A720</f>
        <v>719</v>
      </c>
      <c r="B741" t="str">
        <f>Sheet4!B720</f>
        <v>VNC</v>
      </c>
      <c r="C741" t="str">
        <f>Sheet4!C719</f>
        <v>Phát triển Hàng Hải</v>
      </c>
      <c r="D741" t="str">
        <f>Sheet4!D720</f>
        <v>HNX</v>
      </c>
      <c r="E741" s="7">
        <f>Sheet4!AH720/1000000000</f>
        <v>753.86812080000004</v>
      </c>
      <c r="F741" t="str">
        <f>Sheet4!E720</f>
        <v>Công nghiệp</v>
      </c>
      <c r="G741" t="str">
        <f>Sheet4!F720</f>
        <v>Hàng &amp; Dịch vụ Công nghiệp</v>
      </c>
      <c r="H741" t="str">
        <f>Sheet4!G720</f>
        <v>Tư vấn &amp; Hỗ trợ KD</v>
      </c>
      <c r="I741" s="9" t="str" cm="1">
        <f t="array" ref="I74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41" s="9" t="str" cm="1">
        <f t="array" ref="J74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41" s="10" cm="1">
        <f t="array" ref="K74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41" s="10" cm="1">
        <f t="array" ref="L74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41" s="9" t="str" cm="1">
        <f t="array" ref="M74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41" s="9" t="str" cm="1">
        <f t="array" ref="N74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41" s="10" cm="1">
        <f t="array" ref="O741">IFERROR(INDEX(Sheet4!$2:$1605,MATCH(ChiTietKQKD[[#This Row],[Mã CP]],Sheet4!$B$2:$B$1605,0),_xlfn.XMATCH("*Tăng trưởng lợi nhuận sau thuế (YoY) (Quý*",Sheet4!$1:$1,2)),"")</f>
        <v>0</v>
      </c>
      <c r="P741" s="10" cm="1">
        <f t="array" ref="P741">IFERROR(INDEX(Sheet4!$2:$1605,MATCH(ChiTietKQKD[[#This Row],[Mã CP]],Sheet4!$B$2:$B$1605,0),_xlfn.XMATCH("*Tăng trưởng lợi nhuận sau thuế (YoY) (6M)*",Sheet4!$1:$1,2)),"")</f>
        <v>0</v>
      </c>
      <c r="Q741" s="10" cm="1">
        <f t="array" ref="Q741">IFERROR(INDEX(Sheet4!$2:$1605,MATCH(ChiTietKQKD[[#This Row],[Mã CP]],Sheet4!$B$2:$B$1605,0),_xlfn.XMATCH("*Tăng trưởng doanh thu thuần (QoQ)*",Sheet4!$1:$1,2)),"")</f>
        <v>0</v>
      </c>
      <c r="R741" s="10" cm="1">
        <f t="array" ref="R741">IFERROR(INDEX(Sheet4!$2:$1605,MATCH(ChiTietKQKD[[#This Row],[Mã CP]],Sheet4!$B$2:$B$1605,0),_xlfn.XMATCH("*Tăng trưởng lợi nhuận sau thuế (QoQ)*",Sheet4!$1:$1,2)),"")</f>
        <v>0</v>
      </c>
    </row>
    <row r="742" spans="1:18" x14ac:dyDescent="0.25">
      <c r="A742" s="7">
        <f>Sheet4!A721</f>
        <v>720</v>
      </c>
      <c r="B742" t="str">
        <f>Sheet4!B721</f>
        <v>VNF</v>
      </c>
      <c r="C742" t="str">
        <f>Sheet4!C720</f>
        <v>VINACONTROL</v>
      </c>
      <c r="D742" t="str">
        <f>Sheet4!D721</f>
        <v>HNX</v>
      </c>
      <c r="E742" s="7">
        <f>Sheet4!AH721/1000000000</f>
        <v>408.93490200000002</v>
      </c>
      <c r="F742" t="str">
        <f>Sheet4!E721</f>
        <v>Công nghiệp</v>
      </c>
      <c r="G742" t="str">
        <f>Sheet4!F721</f>
        <v>Hàng &amp; Dịch vụ Công nghiệp</v>
      </c>
      <c r="H742" t="str">
        <f>Sheet4!G721</f>
        <v>Dịch vụ vận tải</v>
      </c>
      <c r="I742" s="9" t="str" cm="1">
        <f t="array" ref="I74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42" s="9" t="str" cm="1">
        <f t="array" ref="J74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42" s="10" cm="1">
        <f t="array" ref="K74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42" s="10" cm="1">
        <f t="array" ref="L74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42" s="9" t="str" cm="1">
        <f t="array" ref="M74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42" s="9" t="str" cm="1">
        <f t="array" ref="N74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42" s="10" cm="1">
        <f t="array" ref="O742">IFERROR(INDEX(Sheet4!$2:$1605,MATCH(ChiTietKQKD[[#This Row],[Mã CP]],Sheet4!$B$2:$B$1605,0),_xlfn.XMATCH("*Tăng trưởng lợi nhuận sau thuế (YoY) (Quý*",Sheet4!$1:$1,2)),"")</f>
        <v>0</v>
      </c>
      <c r="P742" s="10" cm="1">
        <f t="array" ref="P742">IFERROR(INDEX(Sheet4!$2:$1605,MATCH(ChiTietKQKD[[#This Row],[Mã CP]],Sheet4!$B$2:$B$1605,0),_xlfn.XMATCH("*Tăng trưởng lợi nhuận sau thuế (YoY) (6M)*",Sheet4!$1:$1,2)),"")</f>
        <v>0</v>
      </c>
      <c r="Q742" s="10" cm="1">
        <f t="array" ref="Q742">IFERROR(INDEX(Sheet4!$2:$1605,MATCH(ChiTietKQKD[[#This Row],[Mã CP]],Sheet4!$B$2:$B$1605,0),_xlfn.XMATCH("*Tăng trưởng doanh thu thuần (QoQ)*",Sheet4!$1:$1,2)),"")</f>
        <v>0</v>
      </c>
      <c r="R742" s="10" cm="1">
        <f t="array" ref="R742">IFERROR(INDEX(Sheet4!$2:$1605,MATCH(ChiTietKQKD[[#This Row],[Mã CP]],Sheet4!$B$2:$B$1605,0),_xlfn.XMATCH("*Tăng trưởng lợi nhuận sau thuế (QoQ)*",Sheet4!$1:$1,2)),"")</f>
        <v>0</v>
      </c>
    </row>
    <row r="743" spans="1:18" x14ac:dyDescent="0.25">
      <c r="A743" s="7">
        <f>Sheet4!A722</f>
        <v>721</v>
      </c>
      <c r="B743" t="str">
        <f>Sheet4!B722</f>
        <v>VNR</v>
      </c>
      <c r="C743" t="str">
        <f>Sheet4!C721</f>
        <v>VINAFREIGHT</v>
      </c>
      <c r="D743" t="str">
        <f>Sheet4!D722</f>
        <v>HNX</v>
      </c>
      <c r="E743" s="7">
        <f>Sheet4!AH722/1000000000</f>
        <v>3932.3528608000001</v>
      </c>
      <c r="F743" t="str">
        <f>Sheet4!E722</f>
        <v>Tài chính</v>
      </c>
      <c r="G743" t="str">
        <f>Sheet4!F722</f>
        <v>Bảo hiểm</v>
      </c>
      <c r="H743" t="str">
        <f>Sheet4!G722</f>
        <v>Tái bảo hiểm</v>
      </c>
      <c r="I743" s="9" t="str" cm="1">
        <f t="array" ref="I74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43" s="9" t="str" cm="1">
        <f t="array" ref="J74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43" s="10" cm="1">
        <f t="array" ref="K74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43" s="10" cm="1">
        <f t="array" ref="L74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43" s="9" t="str" cm="1">
        <f t="array" ref="M74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43" s="9" t="str" cm="1">
        <f t="array" ref="N74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43" s="10" cm="1">
        <f t="array" ref="O743">IFERROR(INDEX(Sheet4!$2:$1605,MATCH(ChiTietKQKD[[#This Row],[Mã CP]],Sheet4!$B$2:$B$1605,0),_xlfn.XMATCH("*Tăng trưởng lợi nhuận sau thuế (YoY) (Quý*",Sheet4!$1:$1,2)),"")</f>
        <v>0</v>
      </c>
      <c r="P743" s="10" cm="1">
        <f t="array" ref="P743">IFERROR(INDEX(Sheet4!$2:$1605,MATCH(ChiTietKQKD[[#This Row],[Mã CP]],Sheet4!$B$2:$B$1605,0),_xlfn.XMATCH("*Tăng trưởng lợi nhuận sau thuế (YoY) (6M)*",Sheet4!$1:$1,2)),"")</f>
        <v>0</v>
      </c>
      <c r="Q743" s="10" cm="1">
        <f t="array" ref="Q743">IFERROR(INDEX(Sheet4!$2:$1605,MATCH(ChiTietKQKD[[#This Row],[Mã CP]],Sheet4!$B$2:$B$1605,0),_xlfn.XMATCH("*Tăng trưởng doanh thu thuần (QoQ)*",Sheet4!$1:$1,2)),"")</f>
        <v>0</v>
      </c>
      <c r="R743" s="10" cm="1">
        <f t="array" ref="R743">IFERROR(INDEX(Sheet4!$2:$1605,MATCH(ChiTietKQKD[[#This Row],[Mã CP]],Sheet4!$B$2:$B$1605,0),_xlfn.XMATCH("*Tăng trưởng lợi nhuận sau thuế (QoQ)*",Sheet4!$1:$1,2)),"")</f>
        <v>0</v>
      </c>
    </row>
    <row r="744" spans="1:18" x14ac:dyDescent="0.25">
      <c r="A744" s="7">
        <f>Sheet4!A723</f>
        <v>722</v>
      </c>
      <c r="B744" t="str">
        <f>Sheet4!B723</f>
        <v>VNT</v>
      </c>
      <c r="C744" t="str">
        <f>Sheet4!C722</f>
        <v>Tái bảo hiểm Quốc gia</v>
      </c>
      <c r="D744" t="str">
        <f>Sheet4!D723</f>
        <v>HNX</v>
      </c>
      <c r="E744" s="7">
        <f>Sheet4!AH723/1000000000</f>
        <v>367.83454369999998</v>
      </c>
      <c r="F744" t="str">
        <f>Sheet4!E723</f>
        <v>Công nghiệp</v>
      </c>
      <c r="G744" t="str">
        <f>Sheet4!F723</f>
        <v>Hàng &amp; Dịch vụ Công nghiệp</v>
      </c>
      <c r="H744" t="str">
        <f>Sheet4!G723</f>
        <v>Dịch vụ vận tải</v>
      </c>
      <c r="I744" s="9" t="str" cm="1">
        <f t="array" ref="I74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44" s="9" t="str" cm="1">
        <f t="array" ref="J74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44" s="10" cm="1">
        <f t="array" ref="K74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44" s="10" cm="1">
        <f t="array" ref="L74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44" s="9" t="str" cm="1">
        <f t="array" ref="M74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44" s="9" t="str" cm="1">
        <f t="array" ref="N74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44" s="10" cm="1">
        <f t="array" ref="O744">IFERROR(INDEX(Sheet4!$2:$1605,MATCH(ChiTietKQKD[[#This Row],[Mã CP]],Sheet4!$B$2:$B$1605,0),_xlfn.XMATCH("*Tăng trưởng lợi nhuận sau thuế (YoY) (Quý*",Sheet4!$1:$1,2)),"")</f>
        <v>0</v>
      </c>
      <c r="P744" s="10" cm="1">
        <f t="array" ref="P744">IFERROR(INDEX(Sheet4!$2:$1605,MATCH(ChiTietKQKD[[#This Row],[Mã CP]],Sheet4!$B$2:$B$1605,0),_xlfn.XMATCH("*Tăng trưởng lợi nhuận sau thuế (YoY) (6M)*",Sheet4!$1:$1,2)),"")</f>
        <v>0</v>
      </c>
      <c r="Q744" s="10" cm="1">
        <f t="array" ref="Q744">IFERROR(INDEX(Sheet4!$2:$1605,MATCH(ChiTietKQKD[[#This Row],[Mã CP]],Sheet4!$B$2:$B$1605,0),_xlfn.XMATCH("*Tăng trưởng doanh thu thuần (QoQ)*",Sheet4!$1:$1,2)),"")</f>
        <v>0</v>
      </c>
      <c r="R744" s="10" cm="1">
        <f t="array" ref="R744">IFERROR(INDEX(Sheet4!$2:$1605,MATCH(ChiTietKQKD[[#This Row],[Mã CP]],Sheet4!$B$2:$B$1605,0),_xlfn.XMATCH("*Tăng trưởng lợi nhuận sau thuế (QoQ)*",Sheet4!$1:$1,2)),"")</f>
        <v>0</v>
      </c>
    </row>
    <row r="745" spans="1:18" x14ac:dyDescent="0.25">
      <c r="A745" s="7">
        <f>Sheet4!A724</f>
        <v>723</v>
      </c>
      <c r="B745" t="str">
        <f>Sheet4!B724</f>
        <v>VSA</v>
      </c>
      <c r="C745" t="str">
        <f>Sheet4!C723</f>
        <v>Vận tải ngoại thương</v>
      </c>
      <c r="D745" t="str">
        <f>Sheet4!D724</f>
        <v>HNX</v>
      </c>
      <c r="E745" s="7">
        <f>Sheet4!AH724/1000000000</f>
        <v>255.1463966</v>
      </c>
      <c r="F745" t="str">
        <f>Sheet4!E724</f>
        <v>Công nghiệp</v>
      </c>
      <c r="G745" t="str">
        <f>Sheet4!F724</f>
        <v>Hàng &amp; Dịch vụ Công nghiệp</v>
      </c>
      <c r="H745" t="str">
        <f>Sheet4!G724</f>
        <v>Dịch vụ vận tải</v>
      </c>
      <c r="I745" s="9" t="str" cm="1">
        <f t="array" ref="I74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45" s="9" t="str" cm="1">
        <f t="array" ref="J74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45" s="10" cm="1">
        <f t="array" ref="K74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45" s="10" cm="1">
        <f t="array" ref="L74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45" s="9" t="str" cm="1">
        <f t="array" ref="M74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45" s="9" t="str" cm="1">
        <f t="array" ref="N74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45" s="10" cm="1">
        <f t="array" ref="O745">IFERROR(INDEX(Sheet4!$2:$1605,MATCH(ChiTietKQKD[[#This Row],[Mã CP]],Sheet4!$B$2:$B$1605,0),_xlfn.XMATCH("*Tăng trưởng lợi nhuận sau thuế (YoY) (Quý*",Sheet4!$1:$1,2)),"")</f>
        <v>0</v>
      </c>
      <c r="P745" s="10" cm="1">
        <f t="array" ref="P745">IFERROR(INDEX(Sheet4!$2:$1605,MATCH(ChiTietKQKD[[#This Row],[Mã CP]],Sheet4!$B$2:$B$1605,0),_xlfn.XMATCH("*Tăng trưởng lợi nhuận sau thuế (YoY) (6M)*",Sheet4!$1:$1,2)),"")</f>
        <v>0</v>
      </c>
      <c r="Q745" s="10" cm="1">
        <f t="array" ref="Q745">IFERROR(INDEX(Sheet4!$2:$1605,MATCH(ChiTietKQKD[[#This Row],[Mã CP]],Sheet4!$B$2:$B$1605,0),_xlfn.XMATCH("*Tăng trưởng doanh thu thuần (QoQ)*",Sheet4!$1:$1,2)),"")</f>
        <v>0</v>
      </c>
      <c r="R745" s="10" cm="1">
        <f t="array" ref="R745">IFERROR(INDEX(Sheet4!$2:$1605,MATCH(ChiTietKQKD[[#This Row],[Mã CP]],Sheet4!$B$2:$B$1605,0),_xlfn.XMATCH("*Tăng trưởng lợi nhuận sau thuế (QoQ)*",Sheet4!$1:$1,2)),"")</f>
        <v>0</v>
      </c>
    </row>
    <row r="746" spans="1:18" x14ac:dyDescent="0.25">
      <c r="A746" s="7">
        <f>Sheet4!A725</f>
        <v>724</v>
      </c>
      <c r="B746" t="str">
        <f>Sheet4!B725</f>
        <v>VSM</v>
      </c>
      <c r="C746" t="str">
        <f>Sheet4!C724</f>
        <v>Đại lý Hàng hải VN</v>
      </c>
      <c r="D746" t="str">
        <f>Sheet4!D725</f>
        <v>HNX</v>
      </c>
      <c r="E746" s="7">
        <f>Sheet4!AH725/1000000000</f>
        <v>72.467640000000003</v>
      </c>
      <c r="F746" t="str">
        <f>Sheet4!E725</f>
        <v>Công nghiệp</v>
      </c>
      <c r="G746" t="str">
        <f>Sheet4!F725</f>
        <v>Hàng &amp; Dịch vụ Công nghiệp</v>
      </c>
      <c r="H746" t="str">
        <f>Sheet4!G725</f>
        <v>Kho bãi, hậu cần và bảo dưỡng</v>
      </c>
      <c r="I746" s="9" t="str" cm="1">
        <f t="array" ref="I74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46" s="9" t="str" cm="1">
        <f t="array" ref="J74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46" s="10" cm="1">
        <f t="array" ref="K74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46" s="10" cm="1">
        <f t="array" ref="L74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46" s="9" t="str" cm="1">
        <f t="array" ref="M74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46" s="9" t="str" cm="1">
        <f t="array" ref="N74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46" s="10" cm="1">
        <f t="array" ref="O746">IFERROR(INDEX(Sheet4!$2:$1605,MATCH(ChiTietKQKD[[#This Row],[Mã CP]],Sheet4!$B$2:$B$1605,0),_xlfn.XMATCH("*Tăng trưởng lợi nhuận sau thuế (YoY) (Quý*",Sheet4!$1:$1,2)),"")</f>
        <v>0</v>
      </c>
      <c r="P746" s="10" cm="1">
        <f t="array" ref="P746">IFERROR(INDEX(Sheet4!$2:$1605,MATCH(ChiTietKQKD[[#This Row],[Mã CP]],Sheet4!$B$2:$B$1605,0),_xlfn.XMATCH("*Tăng trưởng lợi nhuận sau thuế (YoY) (6M)*",Sheet4!$1:$1,2)),"")</f>
        <v>0</v>
      </c>
      <c r="Q746" s="10" cm="1">
        <f t="array" ref="Q746">IFERROR(INDEX(Sheet4!$2:$1605,MATCH(ChiTietKQKD[[#This Row],[Mã CP]],Sheet4!$B$2:$B$1605,0),_xlfn.XMATCH("*Tăng trưởng doanh thu thuần (QoQ)*",Sheet4!$1:$1,2)),"")</f>
        <v>0</v>
      </c>
      <c r="R746" s="10" cm="1">
        <f t="array" ref="R746">IFERROR(INDEX(Sheet4!$2:$1605,MATCH(ChiTietKQKD[[#This Row],[Mã CP]],Sheet4!$B$2:$B$1605,0),_xlfn.XMATCH("*Tăng trưởng lợi nhuận sau thuế (QoQ)*",Sheet4!$1:$1,2)),"")</f>
        <v>0</v>
      </c>
    </row>
    <row r="747" spans="1:18" x14ac:dyDescent="0.25">
      <c r="A747" s="7">
        <f>Sheet4!A726</f>
        <v>725</v>
      </c>
      <c r="B747" t="str">
        <f>Sheet4!B726</f>
        <v>VTC</v>
      </c>
      <c r="C747" t="str">
        <f>Sheet4!C725</f>
        <v>Container Miền Trung</v>
      </c>
      <c r="D747" t="str">
        <f>Sheet4!D726</f>
        <v>HNX</v>
      </c>
      <c r="E747" s="7">
        <f>Sheet4!AH726/1000000000</f>
        <v>49.820573000000003</v>
      </c>
      <c r="F747" t="str">
        <f>Sheet4!E726</f>
        <v>Công nghệ Thông tin</v>
      </c>
      <c r="G747" t="str">
        <f>Sheet4!F726</f>
        <v>Công nghệ Thông tin</v>
      </c>
      <c r="H747" t="str">
        <f>Sheet4!G726</f>
        <v>Thiết bị viễn thông</v>
      </c>
      <c r="I747" s="9" t="str" cm="1">
        <f t="array" ref="I74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47" s="9" t="str" cm="1">
        <f t="array" ref="J74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47" s="10" cm="1">
        <f t="array" ref="K74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47" s="10" cm="1">
        <f t="array" ref="L74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47" s="9" t="str" cm="1">
        <f t="array" ref="M74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47" s="9" t="str" cm="1">
        <f t="array" ref="N74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47" s="10" cm="1">
        <f t="array" ref="O747">IFERROR(INDEX(Sheet4!$2:$1605,MATCH(ChiTietKQKD[[#This Row],[Mã CP]],Sheet4!$B$2:$B$1605,0),_xlfn.XMATCH("*Tăng trưởng lợi nhuận sau thuế (YoY) (Quý*",Sheet4!$1:$1,2)),"")</f>
        <v>0</v>
      </c>
      <c r="P747" s="10" cm="1">
        <f t="array" ref="P747">IFERROR(INDEX(Sheet4!$2:$1605,MATCH(ChiTietKQKD[[#This Row],[Mã CP]],Sheet4!$B$2:$B$1605,0),_xlfn.XMATCH("*Tăng trưởng lợi nhuận sau thuế (YoY) (6M)*",Sheet4!$1:$1,2)),"")</f>
        <v>0</v>
      </c>
      <c r="Q747" s="10" cm="1">
        <f t="array" ref="Q747">IFERROR(INDEX(Sheet4!$2:$1605,MATCH(ChiTietKQKD[[#This Row],[Mã CP]],Sheet4!$B$2:$B$1605,0),_xlfn.XMATCH("*Tăng trưởng doanh thu thuần (QoQ)*",Sheet4!$1:$1,2)),"")</f>
        <v>0</v>
      </c>
      <c r="R747" s="10" cm="1">
        <f t="array" ref="R747">IFERROR(INDEX(Sheet4!$2:$1605,MATCH(ChiTietKQKD[[#This Row],[Mã CP]],Sheet4!$B$2:$B$1605,0),_xlfn.XMATCH("*Tăng trưởng lợi nhuận sau thuế (QoQ)*",Sheet4!$1:$1,2)),"")</f>
        <v>0</v>
      </c>
    </row>
    <row r="748" spans="1:18" x14ac:dyDescent="0.25">
      <c r="A748" s="7">
        <f>Sheet4!A727</f>
        <v>726</v>
      </c>
      <c r="B748" t="str">
        <f>Sheet4!B727</f>
        <v>VTH</v>
      </c>
      <c r="C748" t="str">
        <f>Sheet4!C726</f>
        <v>Viễn thông VTC</v>
      </c>
      <c r="D748" t="str">
        <f>Sheet4!D727</f>
        <v>HNX</v>
      </c>
      <c r="E748" s="7">
        <f>Sheet4!AH727/1000000000</f>
        <v>94.829904299999995</v>
      </c>
      <c r="F748" t="str">
        <f>Sheet4!E727</f>
        <v>Công nghiệp</v>
      </c>
      <c r="G748" t="str">
        <f>Sheet4!F727</f>
        <v>Hàng &amp; Dịch vụ Công nghiệp</v>
      </c>
      <c r="H748" t="str">
        <f>Sheet4!G727</f>
        <v>Hàng điện &amp; điện tử</v>
      </c>
      <c r="I748" s="9" cm="1">
        <f t="array" ref="I74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429.40788744000002</v>
      </c>
      <c r="J748" s="9" cm="1">
        <f t="array" ref="J74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661.86580955399995</v>
      </c>
      <c r="K748" s="10" cm="1">
        <f t="array" ref="K74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0.24379999999999999</v>
      </c>
      <c r="L748" s="10" cm="1">
        <f t="array" ref="L74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48" s="9" cm="1">
        <f t="array" ref="M748">_xlfn.LET(_xlpm.val,IFERROR(INDEX(Sheet4!$2:$1605,MATCH(ChiTietKQKD[[#This Row],[Mã CP]],Sheet4!$B$2:$B$1605,0),_xlfn.XMATCH("*Lợi nhuận sau thuế*Q2*2026*",Sheet4!$1:$1,2)),0),IF(OR(_xlpm.val="",_xlpm.val=0),"",_xlpm.val/1000000000))</f>
        <v>7.3431167830000001</v>
      </c>
      <c r="N748" s="9" cm="1">
        <f t="array" ref="N748">_xlfn.LET(_xlpm.val,IFERROR(INDEX(Sheet4!$2:$1605,MATCH(ChiTietKQKD[[#This Row],[Mã CP]],Sheet4!$B$2:$B$1605,0),_xlfn.XMATCH("*Lợi nhuận sau thuế*6 tháng*2026*",Sheet4!$1:$1,2)),0),IF(OR(_xlpm.val="",_xlpm.val=0),"",_xlpm.val/1000000000))</f>
        <v>12.918452507</v>
      </c>
      <c r="O748" s="10" cm="1">
        <f t="array" ref="O748">IFERROR(INDEX(Sheet4!$2:$1605,MATCH(ChiTietKQKD[[#This Row],[Mã CP]],Sheet4!$B$2:$B$1605,0),_xlfn.XMATCH("*Tăng trưởng lợi nhuận sau thuế (YoY) (Quý*",Sheet4!$1:$1,2)),"")</f>
        <v>1.1395999999999999</v>
      </c>
      <c r="P748" s="10" cm="1">
        <f t="array" ref="P748">IFERROR(INDEX(Sheet4!$2:$1605,MATCH(ChiTietKQKD[[#This Row],[Mã CP]],Sheet4!$B$2:$B$1605,0),_xlfn.XMATCH("*Tăng trưởng lợi nhuận sau thuế (YoY) (6M)*",Sheet4!$1:$1,2)),"")</f>
        <v>0</v>
      </c>
      <c r="Q748" s="10" cm="1">
        <f t="array" ref="Q748">IFERROR(INDEX(Sheet4!$2:$1605,MATCH(ChiTietKQKD[[#This Row],[Mã CP]],Sheet4!$B$2:$B$1605,0),_xlfn.XMATCH("*Tăng trưởng doanh thu thuần (QoQ)*",Sheet4!$1:$1,2)),"")</f>
        <v>0.84719999999999995</v>
      </c>
      <c r="R748" s="10" cm="1">
        <f t="array" ref="R748">IFERROR(INDEX(Sheet4!$2:$1605,MATCH(ChiTietKQKD[[#This Row],[Mã CP]],Sheet4!$B$2:$B$1605,0),_xlfn.XMATCH("*Tăng trưởng lợi nhuận sau thuế (QoQ)*",Sheet4!$1:$1,2)),"")</f>
        <v>0.6492</v>
      </c>
    </row>
    <row r="749" spans="1:18" x14ac:dyDescent="0.25">
      <c r="A749" s="7">
        <f>Sheet4!A728</f>
        <v>727</v>
      </c>
      <c r="B749" t="str">
        <f>Sheet4!B728</f>
        <v>VTJ</v>
      </c>
      <c r="C749" t="str">
        <f>Sheet4!C727</f>
        <v>Dây cáp điện Việt Thái</v>
      </c>
      <c r="D749" t="str">
        <f>Sheet4!D728</f>
        <v>HNX</v>
      </c>
      <c r="E749" s="7">
        <f>Sheet4!AH728/1000000000</f>
        <v>43.32</v>
      </c>
      <c r="F749" t="str">
        <f>Sheet4!E728</f>
        <v>Hàng Tiêu dùng</v>
      </c>
      <c r="G749" t="str">
        <f>Sheet4!F728</f>
        <v>Hàng cá nhân &amp; Gia dụng</v>
      </c>
      <c r="H749" t="str">
        <f>Sheet4!G728</f>
        <v>Thuốc lá</v>
      </c>
      <c r="I749" s="9" t="str" cm="1">
        <f t="array" ref="I74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49" s="9" t="str" cm="1">
        <f t="array" ref="J74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49" s="10" cm="1">
        <f t="array" ref="K74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49" s="10" cm="1">
        <f t="array" ref="L74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49" s="9" t="str" cm="1">
        <f t="array" ref="M74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49" s="9" t="str" cm="1">
        <f t="array" ref="N74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49" s="10" cm="1">
        <f t="array" ref="O749">IFERROR(INDEX(Sheet4!$2:$1605,MATCH(ChiTietKQKD[[#This Row],[Mã CP]],Sheet4!$B$2:$B$1605,0),_xlfn.XMATCH("*Tăng trưởng lợi nhuận sau thuế (YoY) (Quý*",Sheet4!$1:$1,2)),"")</f>
        <v>0</v>
      </c>
      <c r="P749" s="10" cm="1">
        <f t="array" ref="P749">IFERROR(INDEX(Sheet4!$2:$1605,MATCH(ChiTietKQKD[[#This Row],[Mã CP]],Sheet4!$B$2:$B$1605,0),_xlfn.XMATCH("*Tăng trưởng lợi nhuận sau thuế (YoY) (6M)*",Sheet4!$1:$1,2)),"")</f>
        <v>0</v>
      </c>
      <c r="Q749" s="10" cm="1">
        <f t="array" ref="Q749">IFERROR(INDEX(Sheet4!$2:$1605,MATCH(ChiTietKQKD[[#This Row],[Mã CP]],Sheet4!$B$2:$B$1605,0),_xlfn.XMATCH("*Tăng trưởng doanh thu thuần (QoQ)*",Sheet4!$1:$1,2)),"")</f>
        <v>0</v>
      </c>
      <c r="R749" s="10" cm="1">
        <f t="array" ref="R749">IFERROR(INDEX(Sheet4!$2:$1605,MATCH(ChiTietKQKD[[#This Row],[Mã CP]],Sheet4!$B$2:$B$1605,0),_xlfn.XMATCH("*Tăng trưởng lợi nhuận sau thuế (QoQ)*",Sheet4!$1:$1,2)),"")</f>
        <v>0</v>
      </c>
    </row>
    <row r="750" spans="1:18" x14ac:dyDescent="0.25">
      <c r="A750" s="7">
        <f>Sheet4!A729</f>
        <v>728</v>
      </c>
      <c r="B750" t="str">
        <f>Sheet4!B729</f>
        <v>VTV</v>
      </c>
      <c r="C750" t="str">
        <f>Sheet4!C728</f>
        <v>TM và Đầu tư VINATABA</v>
      </c>
      <c r="D750" t="str">
        <f>Sheet4!D729</f>
        <v>HNX</v>
      </c>
      <c r="E750" s="7">
        <f>Sheet4!AH729/1000000000</f>
        <v>421.19763749999998</v>
      </c>
      <c r="F750" t="str">
        <f>Sheet4!E729</f>
        <v>Công nghiệp</v>
      </c>
      <c r="G750" t="str">
        <f>Sheet4!F729</f>
        <v>Xây dựng và Vật liệu</v>
      </c>
      <c r="H750" t="str">
        <f>Sheet4!G729</f>
        <v>Vật liệu xây dựng &amp; Nội thất</v>
      </c>
      <c r="I750" s="9" cm="1">
        <f t="array" ref="I75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266.424811347</v>
      </c>
      <c r="J750" s="9" cm="1">
        <f t="array" ref="J75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485.733804975</v>
      </c>
      <c r="K750" s="10" cm="1">
        <f t="array" ref="K75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4.0000000000000002E-4</v>
      </c>
      <c r="L750" s="10" cm="1">
        <f t="array" ref="L75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-7.5899999999999995E-2</v>
      </c>
      <c r="M750" s="9" cm="1">
        <f t="array" ref="M750">_xlfn.LET(_xlpm.val,IFERROR(INDEX(Sheet4!$2:$1605,MATCH(ChiTietKQKD[[#This Row],[Mã CP]],Sheet4!$B$2:$B$1605,0),_xlfn.XMATCH("*Lợi nhuận sau thuế*Q2*2026*",Sheet4!$1:$1,2)),0),IF(OR(_xlpm.val="",_xlpm.val=0),"",_xlpm.val/1000000000))</f>
        <v>0.64376332700000005</v>
      </c>
      <c r="N750" s="9" cm="1">
        <f t="array" ref="N750">_xlfn.LET(_xlpm.val,IFERROR(INDEX(Sheet4!$2:$1605,MATCH(ChiTietKQKD[[#This Row],[Mã CP]],Sheet4!$B$2:$B$1605,0),_xlfn.XMATCH("*Lợi nhuận sau thuế*6 tháng*2026*",Sheet4!$1:$1,2)),0),IF(OR(_xlpm.val="",_xlpm.val=0),"",_xlpm.val/1000000000))</f>
        <v>0.75394925499999998</v>
      </c>
      <c r="O750" s="10" cm="1">
        <f t="array" ref="O750">IFERROR(INDEX(Sheet4!$2:$1605,MATCH(ChiTietKQKD[[#This Row],[Mã CP]],Sheet4!$B$2:$B$1605,0),_xlfn.XMATCH("*Tăng trưởng lợi nhuận sau thuế (YoY) (Quý*",Sheet4!$1:$1,2)),"")</f>
        <v>0.61519999999999997</v>
      </c>
      <c r="P750" s="10" cm="1">
        <f t="array" ref="P750">IFERROR(INDEX(Sheet4!$2:$1605,MATCH(ChiTietKQKD[[#This Row],[Mã CP]],Sheet4!$B$2:$B$1605,0),_xlfn.XMATCH("*Tăng trưởng lợi nhuận sau thuế (YoY) (6M)*",Sheet4!$1:$1,2)),"")</f>
        <v>0.53439999999999999</v>
      </c>
      <c r="Q750" s="10" cm="1">
        <f t="array" ref="Q750">IFERROR(INDEX(Sheet4!$2:$1605,MATCH(ChiTietKQKD[[#This Row],[Mã CP]],Sheet4!$B$2:$B$1605,0),_xlfn.XMATCH("*Tăng trưởng doanh thu thuần (QoQ)*",Sheet4!$1:$1,2)),"")</f>
        <v>0.21479999999999999</v>
      </c>
      <c r="R750" s="10" cm="1">
        <f t="array" ref="R750">IFERROR(INDEX(Sheet4!$2:$1605,MATCH(ChiTietKQKD[[#This Row],[Mã CP]],Sheet4!$B$2:$B$1605,0),_xlfn.XMATCH("*Tăng trưởng lợi nhuận sau thuế (QoQ)*",Sheet4!$1:$1,2)),"")</f>
        <v>4.8425000000000002</v>
      </c>
    </row>
    <row r="751" spans="1:18" x14ac:dyDescent="0.25">
      <c r="A751" s="7">
        <f>Sheet4!A730</f>
        <v>729</v>
      </c>
      <c r="B751" t="str">
        <f>Sheet4!B730</f>
        <v>VTZ</v>
      </c>
      <c r="C751" t="str">
        <f>Sheet4!C729</f>
        <v>Năng lượng và Môi trường VICEM</v>
      </c>
      <c r="D751" t="str">
        <f>Sheet4!D730</f>
        <v>HNX</v>
      </c>
      <c r="E751" s="7">
        <f>Sheet4!AH730/1000000000</f>
        <v>1530.8126433</v>
      </c>
      <c r="F751" t="str">
        <f>Sheet4!E730</f>
        <v>Nguyên vật liệu</v>
      </c>
      <c r="G751" t="str">
        <f>Sheet4!F730</f>
        <v>Hóa chất</v>
      </c>
      <c r="H751" t="str">
        <f>Sheet4!G730</f>
        <v>Nhựa, cao su &amp; sợi</v>
      </c>
      <c r="I751" s="9" t="str" cm="1">
        <f t="array" ref="I75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51" s="9" t="str" cm="1">
        <f t="array" ref="J75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51" s="10" cm="1">
        <f t="array" ref="K75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51" s="10" cm="1">
        <f t="array" ref="L75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51" s="9" t="str" cm="1">
        <f t="array" ref="M75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51" s="9" t="str" cm="1">
        <f t="array" ref="N75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51" s="10" cm="1">
        <f t="array" ref="O751">IFERROR(INDEX(Sheet4!$2:$1605,MATCH(ChiTietKQKD[[#This Row],[Mã CP]],Sheet4!$B$2:$B$1605,0),_xlfn.XMATCH("*Tăng trưởng lợi nhuận sau thuế (YoY) (Quý*",Sheet4!$1:$1,2)),"")</f>
        <v>0</v>
      </c>
      <c r="P751" s="10" cm="1">
        <f t="array" ref="P751">IFERROR(INDEX(Sheet4!$2:$1605,MATCH(ChiTietKQKD[[#This Row],[Mã CP]],Sheet4!$B$2:$B$1605,0),_xlfn.XMATCH("*Tăng trưởng lợi nhuận sau thuế (YoY) (6M)*",Sheet4!$1:$1,2)),"")</f>
        <v>0</v>
      </c>
      <c r="Q751" s="10" cm="1">
        <f t="array" ref="Q751">IFERROR(INDEX(Sheet4!$2:$1605,MATCH(ChiTietKQKD[[#This Row],[Mã CP]],Sheet4!$B$2:$B$1605,0),_xlfn.XMATCH("*Tăng trưởng doanh thu thuần (QoQ)*",Sheet4!$1:$1,2)),"")</f>
        <v>0</v>
      </c>
      <c r="R751" s="10" cm="1">
        <f t="array" ref="R751">IFERROR(INDEX(Sheet4!$2:$1605,MATCH(ChiTietKQKD[[#This Row],[Mã CP]],Sheet4!$B$2:$B$1605,0),_xlfn.XMATCH("*Tăng trưởng lợi nhuận sau thuế (QoQ)*",Sheet4!$1:$1,2)),"")</f>
        <v>0</v>
      </c>
    </row>
    <row r="752" spans="1:18" x14ac:dyDescent="0.25">
      <c r="A752" s="7">
        <f>Sheet4!A731</f>
        <v>730</v>
      </c>
      <c r="B752" t="str">
        <f>Sheet4!B731</f>
        <v>WCS</v>
      </c>
      <c r="C752" t="str">
        <f>Sheet4!C730</f>
        <v>Nhựa Việt Thành</v>
      </c>
      <c r="D752" t="str">
        <f>Sheet4!D731</f>
        <v>HNX</v>
      </c>
      <c r="E752" s="7">
        <f>Sheet4!AH731/1000000000</f>
        <v>899.99009999999998</v>
      </c>
      <c r="F752" t="str">
        <f>Sheet4!E731</f>
        <v>Công nghiệp</v>
      </c>
      <c r="G752" t="str">
        <f>Sheet4!F731</f>
        <v>Hàng &amp; Dịch vụ Công nghiệp</v>
      </c>
      <c r="H752" t="str">
        <f>Sheet4!G731</f>
        <v>Kho bãi, hậu cần và bảo dưỡng</v>
      </c>
      <c r="I752" s="9" cm="1">
        <f t="array" ref="I75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42.900055672999997</v>
      </c>
      <c r="J752" s="9" cm="1">
        <f t="array" ref="J75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86.796639245999998</v>
      </c>
      <c r="K752" s="10" cm="1">
        <f t="array" ref="K75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-1.2999999999999999E-2</v>
      </c>
      <c r="L752" s="10" cm="1">
        <f t="array" ref="L75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52" s="9" cm="1">
        <f t="array" ref="M752">_xlfn.LET(_xlpm.val,IFERROR(INDEX(Sheet4!$2:$1605,MATCH(ChiTietKQKD[[#This Row],[Mã CP]],Sheet4!$B$2:$B$1605,0),_xlfn.XMATCH("*Lợi nhuận sau thuế*Q2*2026*",Sheet4!$1:$1,2)),0),IF(OR(_xlpm.val="",_xlpm.val=0),"",_xlpm.val/1000000000))</f>
        <v>21.197055409000001</v>
      </c>
      <c r="N752" s="9" cm="1">
        <f t="array" ref="N752">_xlfn.LET(_xlpm.val,IFERROR(INDEX(Sheet4!$2:$1605,MATCH(ChiTietKQKD[[#This Row],[Mã CP]],Sheet4!$B$2:$B$1605,0),_xlfn.XMATCH("*Lợi nhuận sau thuế*6 tháng*2026*",Sheet4!$1:$1,2)),0),IF(OR(_xlpm.val="",_xlpm.val=0),"",_xlpm.val/1000000000))</f>
        <v>42.296804846999997</v>
      </c>
      <c r="O752" s="10" cm="1">
        <f t="array" ref="O752">IFERROR(INDEX(Sheet4!$2:$1605,MATCH(ChiTietKQKD[[#This Row],[Mã CP]],Sheet4!$B$2:$B$1605,0),_xlfn.XMATCH("*Tăng trưởng lợi nhuận sau thuế (YoY) (Quý*",Sheet4!$1:$1,2)),"")</f>
        <v>-4.9700000000000001E-2</v>
      </c>
      <c r="P752" s="10" cm="1">
        <f t="array" ref="P752">IFERROR(INDEX(Sheet4!$2:$1605,MATCH(ChiTietKQKD[[#This Row],[Mã CP]],Sheet4!$B$2:$B$1605,0),_xlfn.XMATCH("*Tăng trưởng lợi nhuận sau thuế (YoY) (6M)*",Sheet4!$1:$1,2)),"")</f>
        <v>0</v>
      </c>
      <c r="Q752" s="10" cm="1">
        <f t="array" ref="Q752">IFERROR(INDEX(Sheet4!$2:$1605,MATCH(ChiTietKQKD[[#This Row],[Mã CP]],Sheet4!$B$2:$B$1605,0),_xlfn.XMATCH("*Tăng trưởng doanh thu thuần (QoQ)*",Sheet4!$1:$1,2)),"")</f>
        <v>-2.2700000000000001E-2</v>
      </c>
      <c r="R752" s="10" cm="1">
        <f t="array" ref="R752">IFERROR(INDEX(Sheet4!$2:$1605,MATCH(ChiTietKQKD[[#This Row],[Mã CP]],Sheet4!$B$2:$B$1605,0),_xlfn.XMATCH("*Tăng trưởng lợi nhuận sau thuế (QoQ)*",Sheet4!$1:$1,2)),"")</f>
        <v>4.5999999999999999E-3</v>
      </c>
    </row>
    <row r="753" spans="1:18" x14ac:dyDescent="0.25">
      <c r="A753" s="7">
        <f>Sheet4!A732</f>
        <v>731</v>
      </c>
      <c r="B753" t="str">
        <f>Sheet4!B732</f>
        <v>WSS</v>
      </c>
      <c r="C753" t="str">
        <f>Sheet4!C731</f>
        <v>Bến xe Miền Tây</v>
      </c>
      <c r="D753" t="str">
        <f>Sheet4!D732</f>
        <v>HNX</v>
      </c>
      <c r="E753" s="7">
        <f>Sheet4!AH732/1000000000</f>
        <v>301.8</v>
      </c>
      <c r="F753" t="str">
        <f>Sheet4!E732</f>
        <v>Tài chính</v>
      </c>
      <c r="G753" t="str">
        <f>Sheet4!F732</f>
        <v>Dịch vụ tài chính</v>
      </c>
      <c r="H753" t="str">
        <f>Sheet4!G732</f>
        <v>Môi giới chứng khoán</v>
      </c>
      <c r="I753" s="9" cm="1">
        <f t="array" ref="I75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9.0689376199999998</v>
      </c>
      <c r="J753" s="9" cm="1">
        <f t="array" ref="J75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24.418560571</v>
      </c>
      <c r="K753" s="10" cm="1">
        <f t="array" ref="K75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-0.68889999999999996</v>
      </c>
      <c r="L753" s="10" cm="1">
        <f t="array" ref="L75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-0.3206</v>
      </c>
      <c r="M753" s="9" cm="1">
        <f t="array" ref="M753">_xlfn.LET(_xlpm.val,IFERROR(INDEX(Sheet4!$2:$1605,MATCH(ChiTietKQKD[[#This Row],[Mã CP]],Sheet4!$B$2:$B$1605,0),_xlfn.XMATCH("*Lợi nhuận sau thuế*Q2*2026*",Sheet4!$1:$1,2)),0),IF(OR(_xlpm.val="",_xlpm.val=0),"",_xlpm.val/1000000000))</f>
        <v>2.092381182</v>
      </c>
      <c r="N753" s="9" cm="1">
        <f t="array" ref="N753">_xlfn.LET(_xlpm.val,IFERROR(INDEX(Sheet4!$2:$1605,MATCH(ChiTietKQKD[[#This Row],[Mã CP]],Sheet4!$B$2:$B$1605,0),_xlfn.XMATCH("*Lợi nhuận sau thuế*6 tháng*2026*",Sheet4!$1:$1,2)),0),IF(OR(_xlpm.val="",_xlpm.val=0),"",_xlpm.val/1000000000))</f>
        <v>14.259586365000001</v>
      </c>
      <c r="O753" s="10" cm="1">
        <f t="array" ref="O753">IFERROR(INDEX(Sheet4!$2:$1605,MATCH(ChiTietKQKD[[#This Row],[Mã CP]],Sheet4!$B$2:$B$1605,0),_xlfn.XMATCH("*Tăng trưởng lợi nhuận sau thuế (YoY) (Quý*",Sheet4!$1:$1,2)),"")</f>
        <v>-0.91839999999999999</v>
      </c>
      <c r="P753" s="10" cm="1">
        <f t="array" ref="P753">IFERROR(INDEX(Sheet4!$2:$1605,MATCH(ChiTietKQKD[[#This Row],[Mã CP]],Sheet4!$B$2:$B$1605,0),_xlfn.XMATCH("*Tăng trưởng lợi nhuận sau thuế (YoY) (6M)*",Sheet4!$1:$1,2)),"")</f>
        <v>-0.50119999999999998</v>
      </c>
      <c r="Q753" s="10" cm="1">
        <f t="array" ref="Q753">IFERROR(INDEX(Sheet4!$2:$1605,MATCH(ChiTietKQKD[[#This Row],[Mã CP]],Sheet4!$B$2:$B$1605,0),_xlfn.XMATCH("*Tăng trưởng doanh thu thuần (QoQ)*",Sheet4!$1:$1,2)),"")</f>
        <v>-0.40920000000000001</v>
      </c>
      <c r="R753" s="10" cm="1">
        <f t="array" ref="R753">IFERROR(INDEX(Sheet4!$2:$1605,MATCH(ChiTietKQKD[[#This Row],[Mã CP]],Sheet4!$B$2:$B$1605,0),_xlfn.XMATCH("*Tăng trưởng lợi nhuận sau thuế (QoQ)*",Sheet4!$1:$1,2)),"")</f>
        <v>-0.82799999999999996</v>
      </c>
    </row>
    <row r="754" spans="1:18" x14ac:dyDescent="0.25">
      <c r="A754" s="7">
        <f>Sheet4!A733</f>
        <v>732</v>
      </c>
      <c r="B754" t="str">
        <f>Sheet4!B733</f>
        <v>X20</v>
      </c>
      <c r="C754" t="str">
        <f>Sheet4!C732</f>
        <v>Chứng khoán Phố Wall</v>
      </c>
      <c r="D754" t="str">
        <f>Sheet4!D733</f>
        <v>HNX</v>
      </c>
      <c r="E754" s="7">
        <f>Sheet4!AH733/1000000000</f>
        <v>203.55</v>
      </c>
      <c r="F754" t="str">
        <f>Sheet4!E733</f>
        <v>Hàng Tiêu dùng</v>
      </c>
      <c r="G754" t="str">
        <f>Sheet4!F733</f>
        <v>Hàng cá nhân &amp; Gia dụng</v>
      </c>
      <c r="H754" t="str">
        <f>Sheet4!G733</f>
        <v>Hàng May mặc</v>
      </c>
      <c r="I754" s="9" t="str" cm="1">
        <f t="array" ref="I75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54" s="9" t="str" cm="1">
        <f t="array" ref="J75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54" s="10" cm="1">
        <f t="array" ref="K75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54" s="10" cm="1">
        <f t="array" ref="L75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54" s="9" t="str" cm="1">
        <f t="array" ref="M75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54" s="9" t="str" cm="1">
        <f t="array" ref="N75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54" s="10" cm="1">
        <f t="array" ref="O754">IFERROR(INDEX(Sheet4!$2:$1605,MATCH(ChiTietKQKD[[#This Row],[Mã CP]],Sheet4!$B$2:$B$1605,0),_xlfn.XMATCH("*Tăng trưởng lợi nhuận sau thuế (YoY) (Quý*",Sheet4!$1:$1,2)),"")</f>
        <v>0</v>
      </c>
      <c r="P754" s="10" cm="1">
        <f t="array" ref="P754">IFERROR(INDEX(Sheet4!$2:$1605,MATCH(ChiTietKQKD[[#This Row],[Mã CP]],Sheet4!$B$2:$B$1605,0),_xlfn.XMATCH("*Tăng trưởng lợi nhuận sau thuế (YoY) (6M)*",Sheet4!$1:$1,2)),"")</f>
        <v>0</v>
      </c>
      <c r="Q754" s="10" cm="1">
        <f t="array" ref="Q754">IFERROR(INDEX(Sheet4!$2:$1605,MATCH(ChiTietKQKD[[#This Row],[Mã CP]],Sheet4!$B$2:$B$1605,0),_xlfn.XMATCH("*Tăng trưởng doanh thu thuần (QoQ)*",Sheet4!$1:$1,2)),"")</f>
        <v>0</v>
      </c>
      <c r="R754" s="10" cm="1">
        <f t="array" ref="R754">IFERROR(INDEX(Sheet4!$2:$1605,MATCH(ChiTietKQKD[[#This Row],[Mã CP]],Sheet4!$B$2:$B$1605,0),_xlfn.XMATCH("*Tăng trưởng lợi nhuận sau thuế (QoQ)*",Sheet4!$1:$1,2)),"")</f>
        <v>0</v>
      </c>
    </row>
    <row r="755" spans="1:18" x14ac:dyDescent="0.25">
      <c r="A755" s="7">
        <f>Sheet4!A734</f>
        <v>733</v>
      </c>
      <c r="B755" t="str">
        <f>Sheet4!B734</f>
        <v>A32</v>
      </c>
      <c r="C755" t="str">
        <f>Sheet4!C733</f>
        <v>May mặc X20</v>
      </c>
      <c r="D755" t="str">
        <f>Sheet4!D734</f>
        <v>UPCoM</v>
      </c>
      <c r="E755" s="7">
        <f>Sheet4!AH734/1000000000</f>
        <v>210.8</v>
      </c>
      <c r="F755" t="str">
        <f>Sheet4!E734</f>
        <v>Hàng Tiêu dùng</v>
      </c>
      <c r="G755" t="str">
        <f>Sheet4!F734</f>
        <v>Hàng cá nhân &amp; Gia dụng</v>
      </c>
      <c r="H755" t="str">
        <f>Sheet4!G734</f>
        <v>Giầy dép</v>
      </c>
      <c r="I755" s="9" t="str" cm="1">
        <f t="array" ref="I75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55" s="9" t="str" cm="1">
        <f t="array" ref="J75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55" s="10" cm="1">
        <f t="array" ref="K75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55" s="10" cm="1">
        <f t="array" ref="L75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55" s="9" t="str" cm="1">
        <f t="array" ref="M75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55" s="9" t="str" cm="1">
        <f t="array" ref="N75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55" s="10" cm="1">
        <f t="array" ref="O755">IFERROR(INDEX(Sheet4!$2:$1605,MATCH(ChiTietKQKD[[#This Row],[Mã CP]],Sheet4!$B$2:$B$1605,0),_xlfn.XMATCH("*Tăng trưởng lợi nhuận sau thuế (YoY) (Quý*",Sheet4!$1:$1,2)),"")</f>
        <v>0</v>
      </c>
      <c r="P755" s="10" cm="1">
        <f t="array" ref="P755">IFERROR(INDEX(Sheet4!$2:$1605,MATCH(ChiTietKQKD[[#This Row],[Mã CP]],Sheet4!$B$2:$B$1605,0),_xlfn.XMATCH("*Tăng trưởng lợi nhuận sau thuế (YoY) (6M)*",Sheet4!$1:$1,2)),"")</f>
        <v>0</v>
      </c>
      <c r="Q755" s="10" cm="1">
        <f t="array" ref="Q755">IFERROR(INDEX(Sheet4!$2:$1605,MATCH(ChiTietKQKD[[#This Row],[Mã CP]],Sheet4!$B$2:$B$1605,0),_xlfn.XMATCH("*Tăng trưởng doanh thu thuần (QoQ)*",Sheet4!$1:$1,2)),"")</f>
        <v>0</v>
      </c>
      <c r="R755" s="10" cm="1">
        <f t="array" ref="R755">IFERROR(INDEX(Sheet4!$2:$1605,MATCH(ChiTietKQKD[[#This Row],[Mã CP]],Sheet4!$B$2:$B$1605,0),_xlfn.XMATCH("*Tăng trưởng lợi nhuận sau thuế (QoQ)*",Sheet4!$1:$1,2)),"")</f>
        <v>0</v>
      </c>
    </row>
    <row r="756" spans="1:18" x14ac:dyDescent="0.25">
      <c r="A756" s="7">
        <f>Sheet4!A735</f>
        <v>734</v>
      </c>
      <c r="B756" t="str">
        <f>Sheet4!B735</f>
        <v>AAH</v>
      </c>
      <c r="C756" t="str">
        <f>Sheet4!C734</f>
        <v>Công ty 32</v>
      </c>
      <c r="D756" t="str">
        <f>Sheet4!D735</f>
        <v>UPCoM</v>
      </c>
      <c r="E756" s="7">
        <f>Sheet4!AH735/1000000000</f>
        <v>256.66829999999999</v>
      </c>
      <c r="F756" t="str">
        <f>Sheet4!E735</f>
        <v>Nguyên vật liệu</v>
      </c>
      <c r="G756" t="str">
        <f>Sheet4!F735</f>
        <v>Tài nguyên Cơ bản</v>
      </c>
      <c r="H756" t="str">
        <f>Sheet4!G735</f>
        <v>Khai thác Than</v>
      </c>
      <c r="I756" s="9" cm="1">
        <f t="array" ref="I75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7.5150791999999997</v>
      </c>
      <c r="J756" s="9" t="str" cm="1">
        <f t="array" ref="J75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56" s="10" cm="1">
        <f t="array" ref="K75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-0.97389999999999999</v>
      </c>
      <c r="L756" s="10" cm="1">
        <f t="array" ref="L75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-0.58330000000000004</v>
      </c>
      <c r="M756" s="9" cm="1">
        <f t="array" ref="M756">_xlfn.LET(_xlpm.val,IFERROR(INDEX(Sheet4!$2:$1605,MATCH(ChiTietKQKD[[#This Row],[Mã CP]],Sheet4!$B$2:$B$1605,0),_xlfn.XMATCH("*Lợi nhuận sau thuế*Q2*2026*",Sheet4!$1:$1,2)),0),IF(OR(_xlpm.val="",_xlpm.val=0),"",_xlpm.val/1000000000))</f>
        <v>-7.5232823010000001</v>
      </c>
      <c r="N756" s="9" t="str" cm="1">
        <f t="array" ref="N75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56" s="10" cm="1">
        <f t="array" ref="O756">IFERROR(INDEX(Sheet4!$2:$1605,MATCH(ChiTietKQKD[[#This Row],[Mã CP]],Sheet4!$B$2:$B$1605,0),_xlfn.XMATCH("*Tăng trưởng lợi nhuận sau thuế (YoY) (Quý*",Sheet4!$1:$1,2)),"")</f>
        <v>-2.8589000000000002</v>
      </c>
      <c r="P756" s="10" cm="1">
        <f t="array" ref="P756">IFERROR(INDEX(Sheet4!$2:$1605,MATCH(ChiTietKQKD[[#This Row],[Mã CP]],Sheet4!$B$2:$B$1605,0),_xlfn.XMATCH("*Tăng trưởng lợi nhuận sau thuế (YoY) (6M)*",Sheet4!$1:$1,2)),"")</f>
        <v>-1.448</v>
      </c>
      <c r="Q756" s="10" cm="1">
        <f t="array" ref="Q756">IFERROR(INDEX(Sheet4!$2:$1605,MATCH(ChiTietKQKD[[#This Row],[Mã CP]],Sheet4!$B$2:$B$1605,0),_xlfn.XMATCH("*Tăng trưởng doanh thu thuần (QoQ)*",Sheet4!$1:$1,2)),"")</f>
        <v>-0.96189999999999998</v>
      </c>
      <c r="R756" s="10" cm="1">
        <f t="array" ref="R756">IFERROR(INDEX(Sheet4!$2:$1605,MATCH(ChiTietKQKD[[#This Row],[Mã CP]],Sheet4!$B$2:$B$1605,0),_xlfn.XMATCH("*Tăng trưởng lợi nhuận sau thuế (QoQ)*",Sheet4!$1:$1,2)),"")</f>
        <v>-4.0343</v>
      </c>
    </row>
    <row r="757" spans="1:18" x14ac:dyDescent="0.25">
      <c r="A757" s="7">
        <f>Sheet4!A736</f>
        <v>735</v>
      </c>
      <c r="B757" t="str">
        <f>Sheet4!B736</f>
        <v>AAS</v>
      </c>
      <c r="C757" t="str">
        <f>Sheet4!C735</f>
        <v>Than Hợp Nhất</v>
      </c>
      <c r="D757" t="str">
        <f>Sheet4!D736</f>
        <v>UPCoM</v>
      </c>
      <c r="E757" s="7">
        <f>Sheet4!AH736/1000000000</f>
        <v>1734.8863869029999</v>
      </c>
      <c r="F757" t="str">
        <f>Sheet4!E736</f>
        <v>Tài chính</v>
      </c>
      <c r="G757" t="str">
        <f>Sheet4!F736</f>
        <v>Dịch vụ tài chính</v>
      </c>
      <c r="H757" t="str">
        <f>Sheet4!G736</f>
        <v>Môi giới chứng khoán</v>
      </c>
      <c r="I757" s="9" cm="1">
        <f t="array" ref="I75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80.271422752000007</v>
      </c>
      <c r="J757" s="9" cm="1">
        <f t="array" ref="J75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169.109123428</v>
      </c>
      <c r="K757" s="10" cm="1">
        <f t="array" ref="K75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-0.39829999999999999</v>
      </c>
      <c r="L757" s="10" cm="1">
        <f t="array" ref="L75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-0.28960000000000002</v>
      </c>
      <c r="M757" s="9" cm="1">
        <f t="array" ref="M757">_xlfn.LET(_xlpm.val,IFERROR(INDEX(Sheet4!$2:$1605,MATCH(ChiTietKQKD[[#This Row],[Mã CP]],Sheet4!$B$2:$B$1605,0),_xlfn.XMATCH("*Lợi nhuận sau thuế*Q2*2026*",Sheet4!$1:$1,2)),0),IF(OR(_xlpm.val="",_xlpm.val=0),"",_xlpm.val/1000000000))</f>
        <v>6.042386971</v>
      </c>
      <c r="N757" s="9" cm="1">
        <f t="array" ref="N757">_xlfn.LET(_xlpm.val,IFERROR(INDEX(Sheet4!$2:$1605,MATCH(ChiTietKQKD[[#This Row],[Mã CP]],Sheet4!$B$2:$B$1605,0),_xlfn.XMATCH("*Lợi nhuận sau thuế*6 tháng*2026*",Sheet4!$1:$1,2)),0),IF(OR(_xlpm.val="",_xlpm.val=0),"",_xlpm.val/1000000000))</f>
        <v>16.196594411</v>
      </c>
      <c r="O757" s="10" cm="1">
        <f t="array" ref="O757">IFERROR(INDEX(Sheet4!$2:$1605,MATCH(ChiTietKQKD[[#This Row],[Mã CP]],Sheet4!$B$2:$B$1605,0),_xlfn.XMATCH("*Tăng trưởng lợi nhuận sau thuế (YoY) (Quý*",Sheet4!$1:$1,2)),"")</f>
        <v>-0.6865</v>
      </c>
      <c r="P757" s="10" cm="1">
        <f t="array" ref="P757">IFERROR(INDEX(Sheet4!$2:$1605,MATCH(ChiTietKQKD[[#This Row],[Mã CP]],Sheet4!$B$2:$B$1605,0),_xlfn.XMATCH("*Tăng trưởng lợi nhuận sau thuế (YoY) (6M)*",Sheet4!$1:$1,2)),"")</f>
        <v>-0.66490000000000005</v>
      </c>
      <c r="Q757" s="10" cm="1">
        <f t="array" ref="Q757">IFERROR(INDEX(Sheet4!$2:$1605,MATCH(ChiTietKQKD[[#This Row],[Mã CP]],Sheet4!$B$2:$B$1605,0),_xlfn.XMATCH("*Tăng trưởng doanh thu thuần (QoQ)*",Sheet4!$1:$1,2)),"")</f>
        <v>-9.64E-2</v>
      </c>
      <c r="R757" s="10" cm="1">
        <f t="array" ref="R757">IFERROR(INDEX(Sheet4!$2:$1605,MATCH(ChiTietKQKD[[#This Row],[Mã CP]],Sheet4!$B$2:$B$1605,0),_xlfn.XMATCH("*Tăng trưởng lợi nhuận sau thuế (QoQ)*",Sheet4!$1:$1,2)),"")</f>
        <v>-0.40489999999999998</v>
      </c>
    </row>
    <row r="758" spans="1:18" x14ac:dyDescent="0.25">
      <c r="A758" s="7">
        <f>Sheet4!A737</f>
        <v>736</v>
      </c>
      <c r="B758" t="str">
        <f>Sheet4!B737</f>
        <v>AAV</v>
      </c>
      <c r="C758" t="str">
        <f>Sheet4!C736</f>
        <v>Chứng khoán SmartInvest</v>
      </c>
      <c r="D758" t="str">
        <f>Sheet4!D737</f>
        <v>UPCoM</v>
      </c>
      <c r="E758" s="7">
        <f>Sheet4!AH737/1000000000</f>
        <v>438.76152395999998</v>
      </c>
      <c r="F758" t="str">
        <f>Sheet4!E737</f>
        <v>Tài chính</v>
      </c>
      <c r="G758" t="str">
        <f>Sheet4!F737</f>
        <v>Bất động sản</v>
      </c>
      <c r="H758" t="str">
        <f>Sheet4!G737</f>
        <v>Bất động sản</v>
      </c>
      <c r="I758" s="9" t="str" cm="1">
        <f t="array" ref="I75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58" s="9" t="str" cm="1">
        <f t="array" ref="J75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58" s="10" cm="1">
        <f t="array" ref="K75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58" s="10" cm="1">
        <f t="array" ref="L75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58" s="9" t="str" cm="1">
        <f t="array" ref="M75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58" s="9" t="str" cm="1">
        <f t="array" ref="N75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58" s="10" cm="1">
        <f t="array" ref="O758">IFERROR(INDEX(Sheet4!$2:$1605,MATCH(ChiTietKQKD[[#This Row],[Mã CP]],Sheet4!$B$2:$B$1605,0),_xlfn.XMATCH("*Tăng trưởng lợi nhuận sau thuế (YoY) (Quý*",Sheet4!$1:$1,2)),"")</f>
        <v>0</v>
      </c>
      <c r="P758" s="10" cm="1">
        <f t="array" ref="P758">IFERROR(INDEX(Sheet4!$2:$1605,MATCH(ChiTietKQKD[[#This Row],[Mã CP]],Sheet4!$B$2:$B$1605,0),_xlfn.XMATCH("*Tăng trưởng lợi nhuận sau thuế (YoY) (6M)*",Sheet4!$1:$1,2)),"")</f>
        <v>0</v>
      </c>
      <c r="Q758" s="10" cm="1">
        <f t="array" ref="Q758">IFERROR(INDEX(Sheet4!$2:$1605,MATCH(ChiTietKQKD[[#This Row],[Mã CP]],Sheet4!$B$2:$B$1605,0),_xlfn.XMATCH("*Tăng trưởng doanh thu thuần (QoQ)*",Sheet4!$1:$1,2)),"")</f>
        <v>0</v>
      </c>
      <c r="R758" s="10" cm="1">
        <f t="array" ref="R758">IFERROR(INDEX(Sheet4!$2:$1605,MATCH(ChiTietKQKD[[#This Row],[Mã CP]],Sheet4!$B$2:$B$1605,0),_xlfn.XMATCH("*Tăng trưởng lợi nhuận sau thuế (QoQ)*",Sheet4!$1:$1,2)),"")</f>
        <v>0</v>
      </c>
    </row>
    <row r="759" spans="1:18" x14ac:dyDescent="0.25">
      <c r="A759" s="7">
        <f>Sheet4!A738</f>
        <v>737</v>
      </c>
      <c r="B759" t="str">
        <f>Sheet4!B738</f>
        <v>ABB</v>
      </c>
      <c r="C759" t="str">
        <f>Sheet4!C737</f>
        <v>AAV Group</v>
      </c>
      <c r="D759" t="str">
        <f>Sheet4!D738</f>
        <v>UPCoM</v>
      </c>
      <c r="E759" s="7">
        <f>Sheet4!AH738/1000000000</f>
        <v>27095.197715123999</v>
      </c>
      <c r="F759" t="str">
        <f>Sheet4!E738</f>
        <v>Ngân hàng</v>
      </c>
      <c r="G759" t="str">
        <f>Sheet4!F738</f>
        <v>Ngân hàng</v>
      </c>
      <c r="H759" t="str">
        <f>Sheet4!G738</f>
        <v>Ngân hàng</v>
      </c>
      <c r="I759" s="9" cm="1">
        <f t="array" ref="I75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953.22400000000005</v>
      </c>
      <c r="J759" s="9" cm="1">
        <f t="array" ref="J75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1931.3150000000001</v>
      </c>
      <c r="K759" s="10" cm="1">
        <f t="array" ref="K75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-0.36621629618203466</v>
      </c>
      <c r="L759" s="10" cm="1">
        <f t="array" ref="L75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-0.17326958573478402</v>
      </c>
      <c r="M759" s="9" cm="1">
        <f t="array" ref="M759">_xlfn.LET(_xlpm.val,IFERROR(INDEX(Sheet4!$2:$1605,MATCH(ChiTietKQKD[[#This Row],[Mã CP]],Sheet4!$B$2:$B$1605,0),_xlfn.XMATCH("*Lợi nhuận sau thuế*Q2*2026*",Sheet4!$1:$1,2)),0),IF(OR(_xlpm.val="",_xlpm.val=0),"",_xlpm.val/1000000000))</f>
        <v>1212.617</v>
      </c>
      <c r="N759" s="9" cm="1">
        <f t="array" ref="N759">_xlfn.LET(_xlpm.val,IFERROR(INDEX(Sheet4!$2:$1605,MATCH(ChiTietKQKD[[#This Row],[Mã CP]],Sheet4!$B$2:$B$1605,0),_xlfn.XMATCH("*Lợi nhuận sau thuế*6 tháng*2026*",Sheet4!$1:$1,2)),0),IF(OR(_xlpm.val="",_xlpm.val=0),"",_xlpm.val/1000000000))</f>
        <v>2412.1849999999999</v>
      </c>
      <c r="O759" s="10" cm="1">
        <f t="array" ref="O759">IFERROR(INDEX(Sheet4!$2:$1605,MATCH(ChiTietKQKD[[#This Row],[Mã CP]],Sheet4!$B$2:$B$1605,0),_xlfn.XMATCH("*Tăng trưởng lợi nhuận sau thuế (YoY) (Quý*",Sheet4!$1:$1,2)),"")</f>
        <v>0.48170000000000002</v>
      </c>
      <c r="P759" s="10" cm="1">
        <f t="array" ref="P759">IFERROR(INDEX(Sheet4!$2:$1605,MATCH(ChiTietKQKD[[#This Row],[Mã CP]],Sheet4!$B$2:$B$1605,0),_xlfn.XMATCH("*Tăng trưởng lợi nhuận sau thuế (YoY) (6M)*",Sheet4!$1:$1,2)),"")</f>
        <v>1.0959000000000001</v>
      </c>
      <c r="Q759" s="10" cm="1">
        <f t="array" ref="Q759">IFERROR(INDEX(Sheet4!$2:$1605,MATCH(ChiTietKQKD[[#This Row],[Mã CP]],Sheet4!$B$2:$B$1605,0),_xlfn.XMATCH("*Tăng trưởng doanh thu thuần (QoQ)*",Sheet4!$1:$1,2)),"")</f>
        <v>0.2034</v>
      </c>
      <c r="R759" s="10" cm="1">
        <f t="array" ref="R759">IFERROR(INDEX(Sheet4!$2:$1605,MATCH(ChiTietKQKD[[#This Row],[Mã CP]],Sheet4!$B$2:$B$1605,0),_xlfn.XMATCH("*Tăng trưởng lợi nhuận sau thuế (QoQ)*",Sheet4!$1:$1,2)),"")</f>
        <v>1.09E-2</v>
      </c>
    </row>
    <row r="760" spans="1:18" x14ac:dyDescent="0.25">
      <c r="A760" s="7">
        <f>Sheet4!A739</f>
        <v>738</v>
      </c>
      <c r="B760" t="str">
        <f>Sheet4!B739</f>
        <v>ABC</v>
      </c>
      <c r="C760" t="str">
        <f>Sheet4!C738</f>
        <v>Ngân hàng An Bình</v>
      </c>
      <c r="D760" t="str">
        <f>Sheet4!D739</f>
        <v>UPCoM</v>
      </c>
      <c r="E760" s="7">
        <f>Sheet4!AH739/1000000000</f>
        <v>207.33574100000001</v>
      </c>
      <c r="F760" t="str">
        <f>Sheet4!E739</f>
        <v>Viễn thông</v>
      </c>
      <c r="G760" t="str">
        <f>Sheet4!F739</f>
        <v>Viễn thông</v>
      </c>
      <c r="H760" t="str">
        <f>Sheet4!G739</f>
        <v>Viễn thông di động</v>
      </c>
      <c r="I760" s="9" t="str" cm="1">
        <f t="array" ref="I76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60" s="9" t="str" cm="1">
        <f t="array" ref="J76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60" s="10" cm="1">
        <f t="array" ref="K76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60" s="10" cm="1">
        <f t="array" ref="L76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60" s="9" t="str" cm="1">
        <f t="array" ref="M76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60" s="9" t="str" cm="1">
        <f t="array" ref="N76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60" s="10" cm="1">
        <f t="array" ref="O760">IFERROR(INDEX(Sheet4!$2:$1605,MATCH(ChiTietKQKD[[#This Row],[Mã CP]],Sheet4!$B$2:$B$1605,0),_xlfn.XMATCH("*Tăng trưởng lợi nhuận sau thuế (YoY) (Quý*",Sheet4!$1:$1,2)),"")</f>
        <v>0</v>
      </c>
      <c r="P760" s="10" cm="1">
        <f t="array" ref="P760">IFERROR(INDEX(Sheet4!$2:$1605,MATCH(ChiTietKQKD[[#This Row],[Mã CP]],Sheet4!$B$2:$B$1605,0),_xlfn.XMATCH("*Tăng trưởng lợi nhuận sau thuế (YoY) (6M)*",Sheet4!$1:$1,2)),"")</f>
        <v>0</v>
      </c>
      <c r="Q760" s="10" cm="1">
        <f t="array" ref="Q760">IFERROR(INDEX(Sheet4!$2:$1605,MATCH(ChiTietKQKD[[#This Row],[Mã CP]],Sheet4!$B$2:$B$1605,0),_xlfn.XMATCH("*Tăng trưởng doanh thu thuần (QoQ)*",Sheet4!$1:$1,2)),"")</f>
        <v>0</v>
      </c>
      <c r="R760" s="10" cm="1">
        <f t="array" ref="R760">IFERROR(INDEX(Sheet4!$2:$1605,MATCH(ChiTietKQKD[[#This Row],[Mã CP]],Sheet4!$B$2:$B$1605,0),_xlfn.XMATCH("*Tăng trưởng lợi nhuận sau thuế (QoQ)*",Sheet4!$1:$1,2)),"")</f>
        <v>0</v>
      </c>
    </row>
    <row r="761" spans="1:18" x14ac:dyDescent="0.25">
      <c r="A761" s="7">
        <f>Sheet4!A740</f>
        <v>739</v>
      </c>
      <c r="B761" t="str">
        <f>Sheet4!B740</f>
        <v>ABI</v>
      </c>
      <c r="C761" t="str">
        <f>Sheet4!C739</f>
        <v>Truyền thông VMG</v>
      </c>
      <c r="D761" t="str">
        <f>Sheet4!D740</f>
        <v>UPCoM</v>
      </c>
      <c r="E761" s="7">
        <f>Sheet4!AH740/1000000000</f>
        <v>1876.3500588479999</v>
      </c>
      <c r="F761" t="str">
        <f>Sheet4!E740</f>
        <v>Tài chính</v>
      </c>
      <c r="G761" t="str">
        <f>Sheet4!F740</f>
        <v>Bảo hiểm</v>
      </c>
      <c r="H761" t="str">
        <f>Sheet4!G740</f>
        <v>Bảo hiểm phi nhân thọ</v>
      </c>
      <c r="I761" s="9" t="str" cm="1">
        <f t="array" ref="I76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61" s="9" t="str" cm="1">
        <f t="array" ref="J76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61" s="10" cm="1">
        <f t="array" ref="K76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61" s="10" cm="1">
        <f t="array" ref="L76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61" s="9" t="str" cm="1">
        <f t="array" ref="M76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61" s="9" t="str" cm="1">
        <f t="array" ref="N76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61" s="10" cm="1">
        <f t="array" ref="O761">IFERROR(INDEX(Sheet4!$2:$1605,MATCH(ChiTietKQKD[[#This Row],[Mã CP]],Sheet4!$B$2:$B$1605,0),_xlfn.XMATCH("*Tăng trưởng lợi nhuận sau thuế (YoY) (Quý*",Sheet4!$1:$1,2)),"")</f>
        <v>0</v>
      </c>
      <c r="P761" s="10" cm="1">
        <f t="array" ref="P761">IFERROR(INDEX(Sheet4!$2:$1605,MATCH(ChiTietKQKD[[#This Row],[Mã CP]],Sheet4!$B$2:$B$1605,0),_xlfn.XMATCH("*Tăng trưởng lợi nhuận sau thuế (YoY) (6M)*",Sheet4!$1:$1,2)),"")</f>
        <v>0</v>
      </c>
      <c r="Q761" s="10" cm="1">
        <f t="array" ref="Q761">IFERROR(INDEX(Sheet4!$2:$1605,MATCH(ChiTietKQKD[[#This Row],[Mã CP]],Sheet4!$B$2:$B$1605,0),_xlfn.XMATCH("*Tăng trưởng doanh thu thuần (QoQ)*",Sheet4!$1:$1,2)),"")</f>
        <v>0</v>
      </c>
      <c r="R761" s="10" cm="1">
        <f t="array" ref="R761">IFERROR(INDEX(Sheet4!$2:$1605,MATCH(ChiTietKQKD[[#This Row],[Mã CP]],Sheet4!$B$2:$B$1605,0),_xlfn.XMATCH("*Tăng trưởng lợi nhuận sau thuế (QoQ)*",Sheet4!$1:$1,2)),"")</f>
        <v>0</v>
      </c>
    </row>
    <row r="762" spans="1:18" x14ac:dyDescent="0.25">
      <c r="A762" s="7">
        <f>Sheet4!A741</f>
        <v>740</v>
      </c>
      <c r="B762" t="str">
        <f>Sheet4!B741</f>
        <v>ABW</v>
      </c>
      <c r="C762" t="str">
        <f>Sheet4!C740</f>
        <v>BH NH Nông Nghiệp</v>
      </c>
      <c r="D762" t="str">
        <f>Sheet4!D741</f>
        <v>UPCoM</v>
      </c>
      <c r="E762" s="7">
        <f>Sheet4!AH741/1000000000</f>
        <v>4015.2329500000001</v>
      </c>
      <c r="F762" t="str">
        <f>Sheet4!E741</f>
        <v>Tài chính</v>
      </c>
      <c r="G762" t="str">
        <f>Sheet4!F741</f>
        <v>Dịch vụ tài chính</v>
      </c>
      <c r="H762" t="str">
        <f>Sheet4!G741</f>
        <v>Môi giới chứng khoán</v>
      </c>
      <c r="I762" s="9" cm="1">
        <f t="array" ref="I76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296.012701811</v>
      </c>
      <c r="J762" s="9" cm="1">
        <f t="array" ref="J76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443.24261222199999</v>
      </c>
      <c r="K762" s="10" cm="1">
        <f t="array" ref="K76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1.7072000000000001</v>
      </c>
      <c r="L762" s="10" cm="1">
        <f t="array" ref="L76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1.2141</v>
      </c>
      <c r="M762" s="9" cm="1">
        <f t="array" ref="M762">_xlfn.LET(_xlpm.val,IFERROR(INDEX(Sheet4!$2:$1605,MATCH(ChiTietKQKD[[#This Row],[Mã CP]],Sheet4!$B$2:$B$1605,0),_xlfn.XMATCH("*Lợi nhuận sau thuế*Q2*2026*",Sheet4!$1:$1,2)),0),IF(OR(_xlpm.val="",_xlpm.val=0),"",_xlpm.val/1000000000))</f>
        <v>158.746463648</v>
      </c>
      <c r="N762" s="9" cm="1">
        <f t="array" ref="N762">_xlfn.LET(_xlpm.val,IFERROR(INDEX(Sheet4!$2:$1605,MATCH(ChiTietKQKD[[#This Row],[Mã CP]],Sheet4!$B$2:$B$1605,0),_xlfn.XMATCH("*Lợi nhuận sau thuế*6 tháng*2026*",Sheet4!$1:$1,2)),0),IF(OR(_xlpm.val="",_xlpm.val=0),"",_xlpm.val/1000000000))</f>
        <v>180.16128499199999</v>
      </c>
      <c r="O762" s="10" cm="1">
        <f t="array" ref="O762">IFERROR(INDEX(Sheet4!$2:$1605,MATCH(ChiTietKQKD[[#This Row],[Mã CP]],Sheet4!$B$2:$B$1605,0),_xlfn.XMATCH("*Tăng trưởng lợi nhuận sau thuế (YoY) (Quý*",Sheet4!$1:$1,2)),"")</f>
        <v>3.8073999999999999</v>
      </c>
      <c r="P762" s="10" cm="1">
        <f t="array" ref="P762">IFERROR(INDEX(Sheet4!$2:$1605,MATCH(ChiTietKQKD[[#This Row],[Mã CP]],Sheet4!$B$2:$B$1605,0),_xlfn.XMATCH("*Tăng trưởng lợi nhuận sau thuế (YoY) (6M)*",Sheet4!$1:$1,2)),"")</f>
        <v>2.0565000000000002</v>
      </c>
      <c r="Q762" s="10" cm="1">
        <f t="array" ref="Q762">IFERROR(INDEX(Sheet4!$2:$1605,MATCH(ChiTietKQKD[[#This Row],[Mã CP]],Sheet4!$B$2:$B$1605,0),_xlfn.XMATCH("*Tăng trưởng doanh thu thuần (QoQ)*",Sheet4!$1:$1,2)),"")</f>
        <v>1.0105</v>
      </c>
      <c r="R762" s="10" cm="1">
        <f t="array" ref="R762">IFERROR(INDEX(Sheet4!$2:$1605,MATCH(ChiTietKQKD[[#This Row],[Mã CP]],Sheet4!$B$2:$B$1605,0),_xlfn.XMATCH("*Tăng trưởng lợi nhuận sau thuế (QoQ)*",Sheet4!$1:$1,2)),"")</f>
        <v>6.4128999999999996</v>
      </c>
    </row>
    <row r="763" spans="1:18" x14ac:dyDescent="0.25">
      <c r="A763" s="7">
        <f>Sheet4!A742</f>
        <v>741</v>
      </c>
      <c r="B763" t="str">
        <f>Sheet4!B742</f>
        <v>ACE</v>
      </c>
      <c r="C763" t="str">
        <f>Sheet4!C741</f>
        <v>Chứng khoán An Bình</v>
      </c>
      <c r="D763" t="str">
        <f>Sheet4!D742</f>
        <v>UPCoM</v>
      </c>
      <c r="E763" s="7">
        <f>Sheet4!AH742/1000000000</f>
        <v>101.209659675</v>
      </c>
      <c r="F763" t="str">
        <f>Sheet4!E742</f>
        <v>Công nghiệp</v>
      </c>
      <c r="G763" t="str">
        <f>Sheet4!F742</f>
        <v>Xây dựng và Vật liệu</v>
      </c>
      <c r="H763" t="str">
        <f>Sheet4!G742</f>
        <v>Vật liệu xây dựng &amp; Nội thất</v>
      </c>
      <c r="I763" s="9" t="str" cm="1">
        <f t="array" ref="I76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63" s="9" t="str" cm="1">
        <f t="array" ref="J76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63" s="10" cm="1">
        <f t="array" ref="K76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63" s="10" cm="1">
        <f t="array" ref="L76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63" s="9" t="str" cm="1">
        <f t="array" ref="M76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63" s="9" t="str" cm="1">
        <f t="array" ref="N76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63" s="10" cm="1">
        <f t="array" ref="O763">IFERROR(INDEX(Sheet4!$2:$1605,MATCH(ChiTietKQKD[[#This Row],[Mã CP]],Sheet4!$B$2:$B$1605,0),_xlfn.XMATCH("*Tăng trưởng lợi nhuận sau thuế (YoY) (Quý*",Sheet4!$1:$1,2)),"")</f>
        <v>0</v>
      </c>
      <c r="P763" s="10" cm="1">
        <f t="array" ref="P763">IFERROR(INDEX(Sheet4!$2:$1605,MATCH(ChiTietKQKD[[#This Row],[Mã CP]],Sheet4!$B$2:$B$1605,0),_xlfn.XMATCH("*Tăng trưởng lợi nhuận sau thuế (YoY) (6M)*",Sheet4!$1:$1,2)),"")</f>
        <v>0</v>
      </c>
      <c r="Q763" s="10" cm="1">
        <f t="array" ref="Q763">IFERROR(INDEX(Sheet4!$2:$1605,MATCH(ChiTietKQKD[[#This Row],[Mã CP]],Sheet4!$B$2:$B$1605,0),_xlfn.XMATCH("*Tăng trưởng doanh thu thuần (QoQ)*",Sheet4!$1:$1,2)),"")</f>
        <v>0</v>
      </c>
      <c r="R763" s="10" cm="1">
        <f t="array" ref="R763">IFERROR(INDEX(Sheet4!$2:$1605,MATCH(ChiTietKQKD[[#This Row],[Mã CP]],Sheet4!$B$2:$B$1605,0),_xlfn.XMATCH("*Tăng trưởng lợi nhuận sau thuế (QoQ)*",Sheet4!$1:$1,2)),"")</f>
        <v>0</v>
      </c>
    </row>
    <row r="764" spans="1:18" x14ac:dyDescent="0.25">
      <c r="A764" s="7">
        <f>Sheet4!A743</f>
        <v>742</v>
      </c>
      <c r="B764" t="str">
        <f>Sheet4!B743</f>
        <v>ACM</v>
      </c>
      <c r="C764" t="str">
        <f>Sheet4!C742</f>
        <v>Bê tông An Giang</v>
      </c>
      <c r="D764" t="str">
        <f>Sheet4!D743</f>
        <v>UPCoM</v>
      </c>
      <c r="E764" s="7">
        <f>Sheet4!AH743/1000000000</f>
        <v>25.5</v>
      </c>
      <c r="F764" t="str">
        <f>Sheet4!E743</f>
        <v>Nguyên vật liệu</v>
      </c>
      <c r="G764" t="str">
        <f>Sheet4!F743</f>
        <v>Tài nguyên Cơ bản</v>
      </c>
      <c r="H764" t="str">
        <f>Sheet4!G743</f>
        <v>Khai khoáng</v>
      </c>
      <c r="I764" s="9" t="str" cm="1">
        <f t="array" ref="I76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64" s="9" t="str" cm="1">
        <f t="array" ref="J76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64" s="10" cm="1">
        <f t="array" ref="K76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64" s="10" cm="1">
        <f t="array" ref="L76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64" s="9" t="str" cm="1">
        <f t="array" ref="M76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64" s="9" t="str" cm="1">
        <f t="array" ref="N76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64" s="10" cm="1">
        <f t="array" ref="O764">IFERROR(INDEX(Sheet4!$2:$1605,MATCH(ChiTietKQKD[[#This Row],[Mã CP]],Sheet4!$B$2:$B$1605,0),_xlfn.XMATCH("*Tăng trưởng lợi nhuận sau thuế (YoY) (Quý*",Sheet4!$1:$1,2)),"")</f>
        <v>0</v>
      </c>
      <c r="P764" s="10" cm="1">
        <f t="array" ref="P764">IFERROR(INDEX(Sheet4!$2:$1605,MATCH(ChiTietKQKD[[#This Row],[Mã CP]],Sheet4!$B$2:$B$1605,0),_xlfn.XMATCH("*Tăng trưởng lợi nhuận sau thuế (YoY) (6M)*",Sheet4!$1:$1,2)),"")</f>
        <v>0</v>
      </c>
      <c r="Q764" s="10" cm="1">
        <f t="array" ref="Q764">IFERROR(INDEX(Sheet4!$2:$1605,MATCH(ChiTietKQKD[[#This Row],[Mã CP]],Sheet4!$B$2:$B$1605,0),_xlfn.XMATCH("*Tăng trưởng doanh thu thuần (QoQ)*",Sheet4!$1:$1,2)),"")</f>
        <v>0</v>
      </c>
      <c r="R764" s="10" cm="1">
        <f t="array" ref="R764">IFERROR(INDEX(Sheet4!$2:$1605,MATCH(ChiTietKQKD[[#This Row],[Mã CP]],Sheet4!$B$2:$B$1605,0),_xlfn.XMATCH("*Tăng trưởng lợi nhuận sau thuế (QoQ)*",Sheet4!$1:$1,2)),"")</f>
        <v>0</v>
      </c>
    </row>
    <row r="765" spans="1:18" x14ac:dyDescent="0.25">
      <c r="A765" s="7">
        <f>Sheet4!A744</f>
        <v>743</v>
      </c>
      <c r="B765" t="str">
        <f>Sheet4!B744</f>
        <v>ACS</v>
      </c>
      <c r="C765" t="str">
        <f>Sheet4!C743</f>
        <v>Tập đoàn Khoáng sản Á Cường</v>
      </c>
      <c r="D765" t="str">
        <f>Sheet4!D744</f>
        <v>UPCoM</v>
      </c>
      <c r="E765" s="7">
        <f>Sheet4!AH744/1000000000</f>
        <v>36.72</v>
      </c>
      <c r="F765" t="str">
        <f>Sheet4!E744</f>
        <v>Công nghiệp</v>
      </c>
      <c r="G765" t="str">
        <f>Sheet4!F744</f>
        <v>Xây dựng và Vật liệu</v>
      </c>
      <c r="H765" t="str">
        <f>Sheet4!G744</f>
        <v>Xây dựng</v>
      </c>
      <c r="I765" s="9" t="str" cm="1">
        <f t="array" ref="I76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65" s="9" t="str" cm="1">
        <f t="array" ref="J76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65" s="10" cm="1">
        <f t="array" ref="K76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65" s="10" cm="1">
        <f t="array" ref="L76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65" s="9" t="str" cm="1">
        <f t="array" ref="M76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65" s="9" t="str" cm="1">
        <f t="array" ref="N76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65" s="10" cm="1">
        <f t="array" ref="O765">IFERROR(INDEX(Sheet4!$2:$1605,MATCH(ChiTietKQKD[[#This Row],[Mã CP]],Sheet4!$B$2:$B$1605,0),_xlfn.XMATCH("*Tăng trưởng lợi nhuận sau thuế (YoY) (Quý*",Sheet4!$1:$1,2)),"")</f>
        <v>0</v>
      </c>
      <c r="P765" s="10" cm="1">
        <f t="array" ref="P765">IFERROR(INDEX(Sheet4!$2:$1605,MATCH(ChiTietKQKD[[#This Row],[Mã CP]],Sheet4!$B$2:$B$1605,0),_xlfn.XMATCH("*Tăng trưởng lợi nhuận sau thuế (YoY) (6M)*",Sheet4!$1:$1,2)),"")</f>
        <v>0</v>
      </c>
      <c r="Q765" s="10" cm="1">
        <f t="array" ref="Q765">IFERROR(INDEX(Sheet4!$2:$1605,MATCH(ChiTietKQKD[[#This Row],[Mã CP]],Sheet4!$B$2:$B$1605,0),_xlfn.XMATCH("*Tăng trưởng doanh thu thuần (QoQ)*",Sheet4!$1:$1,2)),"")</f>
        <v>0</v>
      </c>
      <c r="R765" s="10" cm="1">
        <f t="array" ref="R765">IFERROR(INDEX(Sheet4!$2:$1605,MATCH(ChiTietKQKD[[#This Row],[Mã CP]],Sheet4!$B$2:$B$1605,0),_xlfn.XMATCH("*Tăng trưởng lợi nhuận sau thuế (QoQ)*",Sheet4!$1:$1,2)),"")</f>
        <v>0</v>
      </c>
    </row>
    <row r="766" spans="1:18" x14ac:dyDescent="0.25">
      <c r="A766" s="7">
        <f>Sheet4!A745</f>
        <v>744</v>
      </c>
      <c r="B766" t="str">
        <f>Sheet4!B745</f>
        <v>ACV</v>
      </c>
      <c r="C766" t="str">
        <f>Sheet4!C744</f>
        <v>Xây lắp Thương mại 2</v>
      </c>
      <c r="D766" t="str">
        <f>Sheet4!D745</f>
        <v>UPCoM</v>
      </c>
      <c r="E766" s="7">
        <f>Sheet4!AH745/1000000000</f>
        <v>140215.74458424299</v>
      </c>
      <c r="F766" t="str">
        <f>Sheet4!E745</f>
        <v>Công nghiệp</v>
      </c>
      <c r="G766" t="str">
        <f>Sheet4!F745</f>
        <v>Hàng &amp; Dịch vụ Công nghiệp</v>
      </c>
      <c r="H766" t="str">
        <f>Sheet4!G745</f>
        <v>Kho bãi, hậu cần và bảo dưỡng</v>
      </c>
      <c r="I766" s="9" t="str" cm="1">
        <f t="array" ref="I76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66" s="9" t="str" cm="1">
        <f t="array" ref="J76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66" s="10" cm="1">
        <f t="array" ref="K76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66" s="10" cm="1">
        <f t="array" ref="L76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66" s="9" t="str" cm="1">
        <f t="array" ref="M76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66" s="9" t="str" cm="1">
        <f t="array" ref="N76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66" s="10" cm="1">
        <f t="array" ref="O766">IFERROR(INDEX(Sheet4!$2:$1605,MATCH(ChiTietKQKD[[#This Row],[Mã CP]],Sheet4!$B$2:$B$1605,0),_xlfn.XMATCH("*Tăng trưởng lợi nhuận sau thuế (YoY) (Quý*",Sheet4!$1:$1,2)),"")</f>
        <v>0</v>
      </c>
      <c r="P766" s="10" cm="1">
        <f t="array" ref="P766">IFERROR(INDEX(Sheet4!$2:$1605,MATCH(ChiTietKQKD[[#This Row],[Mã CP]],Sheet4!$B$2:$B$1605,0),_xlfn.XMATCH("*Tăng trưởng lợi nhuận sau thuế (YoY) (6M)*",Sheet4!$1:$1,2)),"")</f>
        <v>0</v>
      </c>
      <c r="Q766" s="10" cm="1">
        <f t="array" ref="Q766">IFERROR(INDEX(Sheet4!$2:$1605,MATCH(ChiTietKQKD[[#This Row],[Mã CP]],Sheet4!$B$2:$B$1605,0),_xlfn.XMATCH("*Tăng trưởng doanh thu thuần (QoQ)*",Sheet4!$1:$1,2)),"")</f>
        <v>0</v>
      </c>
      <c r="R766" s="10" cm="1">
        <f t="array" ref="R766">IFERROR(INDEX(Sheet4!$2:$1605,MATCH(ChiTietKQKD[[#This Row],[Mã CP]],Sheet4!$B$2:$B$1605,0),_xlfn.XMATCH("*Tăng trưởng lợi nhuận sau thuế (QoQ)*",Sheet4!$1:$1,2)),"")</f>
        <v>0</v>
      </c>
    </row>
    <row r="767" spans="1:18" x14ac:dyDescent="0.25">
      <c r="A767" s="7">
        <f>Sheet4!A746</f>
        <v>745</v>
      </c>
      <c r="B767" t="str">
        <f>Sheet4!B746</f>
        <v>AG1</v>
      </c>
      <c r="C767" t="str">
        <f>Sheet4!C745</f>
        <v>Cảng Hàng không VN</v>
      </c>
      <c r="D767" t="str">
        <f>Sheet4!D746</f>
        <v>UPCoM</v>
      </c>
      <c r="E767" s="7">
        <f>Sheet4!AH746/1000000000</f>
        <v>52.937956610000001</v>
      </c>
      <c r="F767" t="str">
        <f>Sheet4!E746</f>
        <v>Hàng Tiêu dùng</v>
      </c>
      <c r="G767" t="str">
        <f>Sheet4!F746</f>
        <v>Hàng cá nhân &amp; Gia dụng</v>
      </c>
      <c r="H767" t="str">
        <f>Sheet4!G746</f>
        <v>Hàng May mặc</v>
      </c>
      <c r="I767" s="9" t="str" cm="1">
        <f t="array" ref="I76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67" s="9" t="str" cm="1">
        <f t="array" ref="J76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67" s="10" cm="1">
        <f t="array" ref="K76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67" s="10" cm="1">
        <f t="array" ref="L76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67" s="9" t="str" cm="1">
        <f t="array" ref="M76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67" s="9" t="str" cm="1">
        <f t="array" ref="N76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67" s="10" cm="1">
        <f t="array" ref="O767">IFERROR(INDEX(Sheet4!$2:$1605,MATCH(ChiTietKQKD[[#This Row],[Mã CP]],Sheet4!$B$2:$B$1605,0),_xlfn.XMATCH("*Tăng trưởng lợi nhuận sau thuế (YoY) (Quý*",Sheet4!$1:$1,2)),"")</f>
        <v>0</v>
      </c>
      <c r="P767" s="10" cm="1">
        <f t="array" ref="P767">IFERROR(INDEX(Sheet4!$2:$1605,MATCH(ChiTietKQKD[[#This Row],[Mã CP]],Sheet4!$B$2:$B$1605,0),_xlfn.XMATCH("*Tăng trưởng lợi nhuận sau thuế (YoY) (6M)*",Sheet4!$1:$1,2)),"")</f>
        <v>0</v>
      </c>
      <c r="Q767" s="10" cm="1">
        <f t="array" ref="Q767">IFERROR(INDEX(Sheet4!$2:$1605,MATCH(ChiTietKQKD[[#This Row],[Mã CP]],Sheet4!$B$2:$B$1605,0),_xlfn.XMATCH("*Tăng trưởng doanh thu thuần (QoQ)*",Sheet4!$1:$1,2)),"")</f>
        <v>0</v>
      </c>
      <c r="R767" s="10" cm="1">
        <f t="array" ref="R767">IFERROR(INDEX(Sheet4!$2:$1605,MATCH(ChiTietKQKD[[#This Row],[Mã CP]],Sheet4!$B$2:$B$1605,0),_xlfn.XMATCH("*Tăng trưởng lợi nhuận sau thuế (QoQ)*",Sheet4!$1:$1,2)),"")</f>
        <v>0</v>
      </c>
    </row>
    <row r="768" spans="1:18" x14ac:dyDescent="0.25">
      <c r="A768" s="7">
        <f>Sheet4!A747</f>
        <v>746</v>
      </c>
      <c r="B768" t="str">
        <f>Sheet4!B747</f>
        <v>AGF</v>
      </c>
      <c r="C768" t="str">
        <f>Sheet4!C746</f>
        <v>28.1 JSC</v>
      </c>
      <c r="D768" t="str">
        <f>Sheet4!D747</f>
        <v>UPCoM</v>
      </c>
      <c r="E768" s="7">
        <f>Sheet4!AH747/1000000000</f>
        <v>56.219486000000003</v>
      </c>
      <c r="F768" t="str">
        <f>Sheet4!E747</f>
        <v>Hàng Tiêu dùng</v>
      </c>
      <c r="G768" t="str">
        <f>Sheet4!F747</f>
        <v>Thực phẩm và đồ uống</v>
      </c>
      <c r="H768" t="str">
        <f>Sheet4!G747</f>
        <v>Nuôi trồng nông &amp; hải sản</v>
      </c>
      <c r="I768" s="9" cm="1">
        <f t="array" ref="I76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114.561107874</v>
      </c>
      <c r="J768" s="9" cm="1">
        <f t="array" ref="J76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210.29208275799999</v>
      </c>
      <c r="K768" s="10" cm="1">
        <f t="array" ref="K76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-3.2099999999999997E-2</v>
      </c>
      <c r="L768" s="10" cm="1">
        <f t="array" ref="L76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68" s="9" cm="1">
        <f t="array" ref="M768">_xlfn.LET(_xlpm.val,IFERROR(INDEX(Sheet4!$2:$1605,MATCH(ChiTietKQKD[[#This Row],[Mã CP]],Sheet4!$B$2:$B$1605,0),_xlfn.XMATCH("*Lợi nhuận sau thuế*Q2*2026*",Sheet4!$1:$1,2)),0),IF(OR(_xlpm.val="",_xlpm.val=0),"",_xlpm.val/1000000000))</f>
        <v>-7.3426304849999999</v>
      </c>
      <c r="N768" s="9" cm="1">
        <f t="array" ref="N768">_xlfn.LET(_xlpm.val,IFERROR(INDEX(Sheet4!$2:$1605,MATCH(ChiTietKQKD[[#This Row],[Mã CP]],Sheet4!$B$2:$B$1605,0),_xlfn.XMATCH("*Lợi nhuận sau thuế*6 tháng*2026*",Sheet4!$1:$1,2)),0),IF(OR(_xlpm.val="",_xlpm.val=0),"",_xlpm.val/1000000000))</f>
        <v>-18.901470238000002</v>
      </c>
      <c r="O768" s="10" cm="1">
        <f t="array" ref="O768">IFERROR(INDEX(Sheet4!$2:$1605,MATCH(ChiTietKQKD[[#This Row],[Mã CP]],Sheet4!$B$2:$B$1605,0),_xlfn.XMATCH("*Tăng trưởng lợi nhuận sau thuế (YoY) (Quý*",Sheet4!$1:$1,2)),"")</f>
        <v>-8.1876999999999995</v>
      </c>
      <c r="P768" s="10" cm="1">
        <f t="array" ref="P768">IFERROR(INDEX(Sheet4!$2:$1605,MATCH(ChiTietKQKD[[#This Row],[Mã CP]],Sheet4!$B$2:$B$1605,0),_xlfn.XMATCH("*Tăng trưởng lợi nhuận sau thuế (YoY) (6M)*",Sheet4!$1:$1,2)),"")</f>
        <v>0</v>
      </c>
      <c r="Q768" s="10" cm="1">
        <f t="array" ref="Q768">IFERROR(INDEX(Sheet4!$2:$1605,MATCH(ChiTietKQKD[[#This Row],[Mã CP]],Sheet4!$B$2:$B$1605,0),_xlfn.XMATCH("*Tăng trưởng doanh thu thuần (QoQ)*",Sheet4!$1:$1,2)),"")</f>
        <v>0.19670000000000001</v>
      </c>
      <c r="R768" s="10" cm="1">
        <f t="array" ref="R768">IFERROR(INDEX(Sheet4!$2:$1605,MATCH(ChiTietKQKD[[#This Row],[Mã CP]],Sheet4!$B$2:$B$1605,0),_xlfn.XMATCH("*Tăng trưởng lợi nhuận sau thuế (QoQ)*",Sheet4!$1:$1,2)),"")</f>
        <v>0.36480000000000001</v>
      </c>
    </row>
    <row r="769" spans="1:18" x14ac:dyDescent="0.25">
      <c r="A769" s="7">
        <f>Sheet4!A748</f>
        <v>747</v>
      </c>
      <c r="B769" t="str">
        <f>Sheet4!B748</f>
        <v>AGM</v>
      </c>
      <c r="C769" t="str">
        <f>Sheet4!C747</f>
        <v>Thủy sản An Giang</v>
      </c>
      <c r="D769" t="str">
        <f>Sheet4!D748</f>
        <v>UPCoM</v>
      </c>
      <c r="E769" s="7">
        <f>Sheet4!AH748/1000000000</f>
        <v>40.04</v>
      </c>
      <c r="F769" t="str">
        <f>Sheet4!E748</f>
        <v>Hàng Tiêu dùng</v>
      </c>
      <c r="G769" t="str">
        <f>Sheet4!F748</f>
        <v>Thực phẩm và đồ uống</v>
      </c>
      <c r="H769" t="str">
        <f>Sheet4!G748</f>
        <v>Thực phẩm</v>
      </c>
      <c r="I769" s="9" t="str" cm="1">
        <f t="array" ref="I76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69" s="9" t="str" cm="1">
        <f t="array" ref="J76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69" s="10" cm="1">
        <f t="array" ref="K76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69" s="10" cm="1">
        <f t="array" ref="L76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69" s="9" t="str" cm="1">
        <f t="array" ref="M76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69" s="9" t="str" cm="1">
        <f t="array" ref="N76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69" s="10" cm="1">
        <f t="array" ref="O769">IFERROR(INDEX(Sheet4!$2:$1605,MATCH(ChiTietKQKD[[#This Row],[Mã CP]],Sheet4!$B$2:$B$1605,0),_xlfn.XMATCH("*Tăng trưởng lợi nhuận sau thuế (YoY) (Quý*",Sheet4!$1:$1,2)),"")</f>
        <v>0</v>
      </c>
      <c r="P769" s="10" cm="1">
        <f t="array" ref="P769">IFERROR(INDEX(Sheet4!$2:$1605,MATCH(ChiTietKQKD[[#This Row],[Mã CP]],Sheet4!$B$2:$B$1605,0),_xlfn.XMATCH("*Tăng trưởng lợi nhuận sau thuế (YoY) (6M)*",Sheet4!$1:$1,2)),"")</f>
        <v>0</v>
      </c>
      <c r="Q769" s="10" cm="1">
        <f t="array" ref="Q769">IFERROR(INDEX(Sheet4!$2:$1605,MATCH(ChiTietKQKD[[#This Row],[Mã CP]],Sheet4!$B$2:$B$1605,0),_xlfn.XMATCH("*Tăng trưởng doanh thu thuần (QoQ)*",Sheet4!$1:$1,2)),"")</f>
        <v>0</v>
      </c>
      <c r="R769" s="10" cm="1">
        <f t="array" ref="R769">IFERROR(INDEX(Sheet4!$2:$1605,MATCH(ChiTietKQKD[[#This Row],[Mã CP]],Sheet4!$B$2:$B$1605,0),_xlfn.XMATCH("*Tăng trưởng lợi nhuận sau thuế (QoQ)*",Sheet4!$1:$1,2)),"")</f>
        <v>0</v>
      </c>
    </row>
    <row r="770" spans="1:18" x14ac:dyDescent="0.25">
      <c r="A770" s="7">
        <f>Sheet4!A749</f>
        <v>748</v>
      </c>
      <c r="B770" t="str">
        <f>Sheet4!B749</f>
        <v>AGP</v>
      </c>
      <c r="C770" t="str">
        <f>Sheet4!C748</f>
        <v>XNK An Giang</v>
      </c>
      <c r="D770" t="str">
        <f>Sheet4!D749</f>
        <v>UPCoM</v>
      </c>
      <c r="E770" s="7">
        <f>Sheet4!AH749/1000000000</f>
        <v>1163.9461137630001</v>
      </c>
      <c r="F770" t="str">
        <f>Sheet4!E749</f>
        <v>Dược phẩm và Y tế</v>
      </c>
      <c r="G770" t="str">
        <f>Sheet4!F749</f>
        <v>Y tế</v>
      </c>
      <c r="H770" t="str">
        <f>Sheet4!G749</f>
        <v>Dược phẩm</v>
      </c>
      <c r="I770" s="9" cm="1">
        <f t="array" ref="I77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243.687966561</v>
      </c>
      <c r="J770" s="9" cm="1">
        <f t="array" ref="J77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451.61370950100002</v>
      </c>
      <c r="K770" s="10" cm="1">
        <f t="array" ref="K77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0.1794</v>
      </c>
      <c r="L770" s="10" cm="1">
        <f t="array" ref="L77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0.1071</v>
      </c>
      <c r="M770" s="9" cm="1">
        <f t="array" ref="M770">_xlfn.LET(_xlpm.val,IFERROR(INDEX(Sheet4!$2:$1605,MATCH(ChiTietKQKD[[#This Row],[Mã CP]],Sheet4!$B$2:$B$1605,0),_xlfn.XMATCH("*Lợi nhuận sau thuế*Q2*2026*",Sheet4!$1:$1,2)),0),IF(OR(_xlpm.val="",_xlpm.val=0),"",_xlpm.val/1000000000))</f>
        <v>13.074804966</v>
      </c>
      <c r="N770" s="9" cm="1">
        <f t="array" ref="N770">_xlfn.LET(_xlpm.val,IFERROR(INDEX(Sheet4!$2:$1605,MATCH(ChiTietKQKD[[#This Row],[Mã CP]],Sheet4!$B$2:$B$1605,0),_xlfn.XMATCH("*Lợi nhuận sau thuế*6 tháng*2026*",Sheet4!$1:$1,2)),0),IF(OR(_xlpm.val="",_xlpm.val=0),"",_xlpm.val/1000000000))</f>
        <v>26.575564625999998</v>
      </c>
      <c r="O770" s="10" cm="1">
        <f t="array" ref="O770">IFERROR(INDEX(Sheet4!$2:$1605,MATCH(ChiTietKQKD[[#This Row],[Mã CP]],Sheet4!$B$2:$B$1605,0),_xlfn.XMATCH("*Tăng trưởng lợi nhuận sau thuế (YoY) (Quý*",Sheet4!$1:$1,2)),"")</f>
        <v>0.15110000000000001</v>
      </c>
      <c r="P770" s="10" cm="1">
        <f t="array" ref="P770">IFERROR(INDEX(Sheet4!$2:$1605,MATCH(ChiTietKQKD[[#This Row],[Mã CP]],Sheet4!$B$2:$B$1605,0),_xlfn.XMATCH("*Tăng trưởng lợi nhuận sau thuế (YoY) (6M)*",Sheet4!$1:$1,2)),"")</f>
        <v>8.6900000000000005E-2</v>
      </c>
      <c r="Q770" s="10" cm="1">
        <f t="array" ref="Q770">IFERROR(INDEX(Sheet4!$2:$1605,MATCH(ChiTietKQKD[[#This Row],[Mã CP]],Sheet4!$B$2:$B$1605,0),_xlfn.XMATCH("*Tăng trưởng doanh thu thuần (QoQ)*",Sheet4!$1:$1,2)),"")</f>
        <v>0.17199999999999999</v>
      </c>
      <c r="R770" s="10" cm="1">
        <f t="array" ref="R770">IFERROR(INDEX(Sheet4!$2:$1605,MATCH(ChiTietKQKD[[#This Row],[Mã CP]],Sheet4!$B$2:$B$1605,0),_xlfn.XMATCH("*Tăng trưởng lợi nhuận sau thuế (QoQ)*",Sheet4!$1:$1,2)),"")</f>
        <v>-3.1600000000000003E-2</v>
      </c>
    </row>
    <row r="771" spans="1:18" x14ac:dyDescent="0.25">
      <c r="A771" s="7">
        <f>Sheet4!A750</f>
        <v>749</v>
      </c>
      <c r="B771" t="str">
        <f>Sheet4!B750</f>
        <v>AGX</v>
      </c>
      <c r="C771" t="str">
        <f>Sheet4!C749</f>
        <v>Dược phẩm AGIMEXPHARM</v>
      </c>
      <c r="D771" t="str">
        <f>Sheet4!D750</f>
        <v>UPCoM</v>
      </c>
      <c r="E771" s="7">
        <f>Sheet4!AH750/1000000000</f>
        <v>1496.5668000000001</v>
      </c>
      <c r="F771" t="str">
        <f>Sheet4!E750</f>
        <v>Dịch vụ Tiêu dùng</v>
      </c>
      <c r="G771" t="str">
        <f>Sheet4!F750</f>
        <v>Bán lẻ</v>
      </c>
      <c r="H771" t="str">
        <f>Sheet4!G750</f>
        <v>Phân phối thực phẩm</v>
      </c>
      <c r="I771" s="9" t="str" cm="1">
        <f t="array" ref="I77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71" s="9" t="str" cm="1">
        <f t="array" ref="J77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71" s="10" cm="1">
        <f t="array" ref="K77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71" s="10" cm="1">
        <f t="array" ref="L77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71" s="9" t="str" cm="1">
        <f t="array" ref="M77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71" s="9" t="str" cm="1">
        <f t="array" ref="N77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71" s="10" cm="1">
        <f t="array" ref="O771">IFERROR(INDEX(Sheet4!$2:$1605,MATCH(ChiTietKQKD[[#This Row],[Mã CP]],Sheet4!$B$2:$B$1605,0),_xlfn.XMATCH("*Tăng trưởng lợi nhuận sau thuế (YoY) (Quý*",Sheet4!$1:$1,2)),"")</f>
        <v>0</v>
      </c>
      <c r="P771" s="10" cm="1">
        <f t="array" ref="P771">IFERROR(INDEX(Sheet4!$2:$1605,MATCH(ChiTietKQKD[[#This Row],[Mã CP]],Sheet4!$B$2:$B$1605,0),_xlfn.XMATCH("*Tăng trưởng lợi nhuận sau thuế (YoY) (6M)*",Sheet4!$1:$1,2)),"")</f>
        <v>0</v>
      </c>
      <c r="Q771" s="10" cm="1">
        <f t="array" ref="Q771">IFERROR(INDEX(Sheet4!$2:$1605,MATCH(ChiTietKQKD[[#This Row],[Mã CP]],Sheet4!$B$2:$B$1605,0),_xlfn.XMATCH("*Tăng trưởng doanh thu thuần (QoQ)*",Sheet4!$1:$1,2)),"")</f>
        <v>0</v>
      </c>
      <c r="R771" s="10" cm="1">
        <f t="array" ref="R771">IFERROR(INDEX(Sheet4!$2:$1605,MATCH(ChiTietKQKD[[#This Row],[Mã CP]],Sheet4!$B$2:$B$1605,0),_xlfn.XMATCH("*Tăng trưởng lợi nhuận sau thuế (QoQ)*",Sheet4!$1:$1,2)),"")</f>
        <v>0</v>
      </c>
    </row>
    <row r="772" spans="1:18" x14ac:dyDescent="0.25">
      <c r="A772" s="7">
        <f>Sheet4!A751</f>
        <v>750</v>
      </c>
      <c r="B772" t="str">
        <f>Sheet4!B751</f>
        <v>AIC</v>
      </c>
      <c r="C772" t="str">
        <f>Sheet4!C750</f>
        <v>Nông sản Xuất khẩu Sài Gòn</v>
      </c>
      <c r="D772" t="str">
        <f>Sheet4!D751</f>
        <v>UPCoM</v>
      </c>
      <c r="E772" s="7">
        <f>Sheet4!AH751/1000000000</f>
        <v>860</v>
      </c>
      <c r="F772" t="str">
        <f>Sheet4!E751</f>
        <v>Tài chính</v>
      </c>
      <c r="G772" t="str">
        <f>Sheet4!F751</f>
        <v>Bảo hiểm</v>
      </c>
      <c r="H772" t="str">
        <f>Sheet4!G751</f>
        <v>Bảo hiểm phi nhân thọ</v>
      </c>
      <c r="I772" s="9" cm="1">
        <f t="array" ref="I77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945.930940975</v>
      </c>
      <c r="J772" s="9" t="str" cm="1">
        <f t="array" ref="J77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72" s="10" cm="1">
        <f t="array" ref="K77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0.50919999999999999</v>
      </c>
      <c r="L772" s="10" cm="1">
        <f t="array" ref="L77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0.4778</v>
      </c>
      <c r="M772" s="9" cm="1">
        <f t="array" ref="M772">_xlfn.LET(_xlpm.val,IFERROR(INDEX(Sheet4!$2:$1605,MATCH(ChiTietKQKD[[#This Row],[Mã CP]],Sheet4!$B$2:$B$1605,0),_xlfn.XMATCH("*Lợi nhuận sau thuế*Q2*2026*",Sheet4!$1:$1,2)),0),IF(OR(_xlpm.val="",_xlpm.val=0),"",_xlpm.val/1000000000))</f>
        <v>0.86409652199999998</v>
      </c>
      <c r="N772" s="9" t="str" cm="1">
        <f t="array" ref="N77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72" s="10" cm="1">
        <f t="array" ref="O772">IFERROR(INDEX(Sheet4!$2:$1605,MATCH(ChiTietKQKD[[#This Row],[Mã CP]],Sheet4!$B$2:$B$1605,0),_xlfn.XMATCH("*Tăng trưởng lợi nhuận sau thuế (YoY) (Quý*",Sheet4!$1:$1,2)),"")</f>
        <v>-0.94750000000000001</v>
      </c>
      <c r="P772" s="10" cm="1">
        <f t="array" ref="P772">IFERROR(INDEX(Sheet4!$2:$1605,MATCH(ChiTietKQKD[[#This Row],[Mã CP]],Sheet4!$B$2:$B$1605,0),_xlfn.XMATCH("*Tăng trưởng lợi nhuận sau thuế (YoY) (6M)*",Sheet4!$1:$1,2)),"")</f>
        <v>-0.62270000000000003</v>
      </c>
      <c r="Q772" s="10" cm="1">
        <f t="array" ref="Q772">IFERROR(INDEX(Sheet4!$2:$1605,MATCH(ChiTietKQKD[[#This Row],[Mã CP]],Sheet4!$B$2:$B$1605,0),_xlfn.XMATCH("*Tăng trưởng doanh thu thuần (QoQ)*",Sheet4!$1:$1,2)),"")</f>
        <v>6.54E-2</v>
      </c>
      <c r="R772" s="10" cm="1">
        <f t="array" ref="R772">IFERROR(INDEX(Sheet4!$2:$1605,MATCH(ChiTietKQKD[[#This Row],[Mã CP]],Sheet4!$B$2:$B$1605,0),_xlfn.XMATCH("*Tăng trưởng lợi nhuận sau thuế (QoQ)*",Sheet4!$1:$1,2)),"")</f>
        <v>-0.90039999999999998</v>
      </c>
    </row>
    <row r="773" spans="1:18" x14ac:dyDescent="0.25">
      <c r="A773" s="7">
        <f>Sheet4!A752</f>
        <v>751</v>
      </c>
      <c r="B773" t="str">
        <f>Sheet4!B752</f>
        <v>AIG</v>
      </c>
      <c r="C773" t="str">
        <f>Sheet4!C751</f>
        <v>Bảo hiểm DBV</v>
      </c>
      <c r="D773" t="str">
        <f>Sheet4!D752</f>
        <v>UPCoM</v>
      </c>
      <c r="E773" s="7">
        <f>Sheet4!AH752/1000000000</f>
        <v>8373.2823071380008</v>
      </c>
      <c r="F773" t="str">
        <f>Sheet4!E752</f>
        <v>Hàng Tiêu dùng</v>
      </c>
      <c r="G773" t="str">
        <f>Sheet4!F752</f>
        <v>Thực phẩm và đồ uống</v>
      </c>
      <c r="H773" t="str">
        <f>Sheet4!G752</f>
        <v>Thực phẩm</v>
      </c>
      <c r="I773" s="9" t="str" cm="1">
        <f t="array" ref="I77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73" s="9" t="str" cm="1">
        <f t="array" ref="J77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73" s="10" cm="1">
        <f t="array" ref="K77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73" s="10" cm="1">
        <f t="array" ref="L77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73" s="9" t="str" cm="1">
        <f t="array" ref="M77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73" s="9" t="str" cm="1">
        <f t="array" ref="N77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73" s="10" cm="1">
        <f t="array" ref="O773">IFERROR(INDEX(Sheet4!$2:$1605,MATCH(ChiTietKQKD[[#This Row],[Mã CP]],Sheet4!$B$2:$B$1605,0),_xlfn.XMATCH("*Tăng trưởng lợi nhuận sau thuế (YoY) (Quý*",Sheet4!$1:$1,2)),"")</f>
        <v>0</v>
      </c>
      <c r="P773" s="10" cm="1">
        <f t="array" ref="P773">IFERROR(INDEX(Sheet4!$2:$1605,MATCH(ChiTietKQKD[[#This Row],[Mã CP]],Sheet4!$B$2:$B$1605,0),_xlfn.XMATCH("*Tăng trưởng lợi nhuận sau thuế (YoY) (6M)*",Sheet4!$1:$1,2)),"")</f>
        <v>0</v>
      </c>
      <c r="Q773" s="10" cm="1">
        <f t="array" ref="Q773">IFERROR(INDEX(Sheet4!$2:$1605,MATCH(ChiTietKQKD[[#This Row],[Mã CP]],Sheet4!$B$2:$B$1605,0),_xlfn.XMATCH("*Tăng trưởng doanh thu thuần (QoQ)*",Sheet4!$1:$1,2)),"")</f>
        <v>0</v>
      </c>
      <c r="R773" s="10" cm="1">
        <f t="array" ref="R773">IFERROR(INDEX(Sheet4!$2:$1605,MATCH(ChiTietKQKD[[#This Row],[Mã CP]],Sheet4!$B$2:$B$1605,0),_xlfn.XMATCH("*Tăng trưởng lợi nhuận sau thuế (QoQ)*",Sheet4!$1:$1,2)),"")</f>
        <v>0</v>
      </c>
    </row>
    <row r="774" spans="1:18" x14ac:dyDescent="0.25">
      <c r="A774" s="7">
        <f>Sheet4!A753</f>
        <v>752</v>
      </c>
      <c r="B774" t="str">
        <f>Sheet4!B753</f>
        <v>ALC</v>
      </c>
      <c r="C774" t="str">
        <f>Sheet4!C752</f>
        <v>Nguyên liệu Á Châu AIG</v>
      </c>
      <c r="D774" t="str">
        <f>Sheet4!D753</f>
        <v>UPCoM</v>
      </c>
      <c r="E774" s="7">
        <f>Sheet4!AH753/1000000000</f>
        <v>1052.8429537080001</v>
      </c>
      <c r="F774" t="str">
        <f>Sheet4!E753</f>
        <v>Công nghiệp</v>
      </c>
      <c r="G774" t="str">
        <f>Sheet4!F753</f>
        <v>Hàng &amp; Dịch vụ Công nghiệp</v>
      </c>
      <c r="H774" t="str">
        <f>Sheet4!G753</f>
        <v>Vận tải Thủy</v>
      </c>
      <c r="I774" s="9" cm="1">
        <f t="array" ref="I77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337.45266281800002</v>
      </c>
      <c r="J774" s="9" cm="1">
        <f t="array" ref="J77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653.72229966400005</v>
      </c>
      <c r="K774" s="10" cm="1">
        <f t="array" ref="K77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4.8300000000000003E-2</v>
      </c>
      <c r="L774" s="10" cm="1">
        <f t="array" ref="L77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6.3799999999999996E-2</v>
      </c>
      <c r="M774" s="9" cm="1">
        <f t="array" ref="M774">_xlfn.LET(_xlpm.val,IFERROR(INDEX(Sheet4!$2:$1605,MATCH(ChiTietKQKD[[#This Row],[Mã CP]],Sheet4!$B$2:$B$1605,0),_xlfn.XMATCH("*Lợi nhuận sau thuế*Q2*2026*",Sheet4!$1:$1,2)),0),IF(OR(_xlpm.val="",_xlpm.val=0),"",_xlpm.val/1000000000))</f>
        <v>55.018048622000002</v>
      </c>
      <c r="N774" s="9" cm="1">
        <f t="array" ref="N774">_xlfn.LET(_xlpm.val,IFERROR(INDEX(Sheet4!$2:$1605,MATCH(ChiTietKQKD[[#This Row],[Mã CP]],Sheet4!$B$2:$B$1605,0),_xlfn.XMATCH("*Lợi nhuận sau thuế*6 tháng*2026*",Sheet4!$1:$1,2)),0),IF(OR(_xlpm.val="",_xlpm.val=0),"",_xlpm.val/1000000000))</f>
        <v>114.023117568</v>
      </c>
      <c r="O774" s="10" cm="1">
        <f t="array" ref="O774">IFERROR(INDEX(Sheet4!$2:$1605,MATCH(ChiTietKQKD[[#This Row],[Mã CP]],Sheet4!$B$2:$B$1605,0),_xlfn.XMATCH("*Tăng trưởng lợi nhuận sau thuế (YoY) (Quý*",Sheet4!$1:$1,2)),"")</f>
        <v>-0.2467</v>
      </c>
      <c r="P774" s="10" cm="1">
        <f t="array" ref="P774">IFERROR(INDEX(Sheet4!$2:$1605,MATCH(ChiTietKQKD[[#This Row],[Mã CP]],Sheet4!$B$2:$B$1605,0),_xlfn.XMATCH("*Tăng trưởng lợi nhuận sau thuế (YoY) (6M)*",Sheet4!$1:$1,2)),"")</f>
        <v>-5.2999999999999999E-2</v>
      </c>
      <c r="Q774" s="10" cm="1">
        <f t="array" ref="Q774">IFERROR(INDEX(Sheet4!$2:$1605,MATCH(ChiTietKQKD[[#This Row],[Mã CP]],Sheet4!$B$2:$B$1605,0),_xlfn.XMATCH("*Tăng trưởng doanh thu thuần (QoQ)*",Sheet4!$1:$1,2)),"")</f>
        <v>6.7000000000000004E-2</v>
      </c>
      <c r="R774" s="10" cm="1">
        <f t="array" ref="R774">IFERROR(INDEX(Sheet4!$2:$1605,MATCH(ChiTietKQKD[[#This Row],[Mã CP]],Sheet4!$B$2:$B$1605,0),_xlfn.XMATCH("*Tăng trưởng lợi nhuận sau thuế (QoQ)*",Sheet4!$1:$1,2)),"")</f>
        <v>-6.7599999999999993E-2</v>
      </c>
    </row>
    <row r="775" spans="1:18" x14ac:dyDescent="0.25">
      <c r="A775" s="7">
        <f>Sheet4!A754</f>
        <v>753</v>
      </c>
      <c r="B775" t="str">
        <f>Sheet4!B754</f>
        <v>ALV</v>
      </c>
      <c r="C775" t="str">
        <f>Sheet4!C753</f>
        <v>Công ty Âu Lạc</v>
      </c>
      <c r="D775" t="str">
        <f>Sheet4!D754</f>
        <v>UPCoM</v>
      </c>
      <c r="E775" s="7">
        <f>Sheet4!AH754/1000000000</f>
        <v>63.875515477999997</v>
      </c>
      <c r="F775" t="str">
        <f>Sheet4!E754</f>
        <v>Công nghiệp</v>
      </c>
      <c r="G775" t="str">
        <f>Sheet4!F754</f>
        <v>Xây dựng và Vật liệu</v>
      </c>
      <c r="H775" t="str">
        <f>Sheet4!G754</f>
        <v>Xây dựng</v>
      </c>
      <c r="I775" s="9" t="str" cm="1">
        <f t="array" ref="I77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75" s="9" t="str" cm="1">
        <f t="array" ref="J77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75" s="10" cm="1">
        <f t="array" ref="K77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75" s="10" cm="1">
        <f t="array" ref="L77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75" s="9" t="str" cm="1">
        <f t="array" ref="M77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75" s="9" t="str" cm="1">
        <f t="array" ref="N77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75" s="10" cm="1">
        <f t="array" ref="O775">IFERROR(INDEX(Sheet4!$2:$1605,MATCH(ChiTietKQKD[[#This Row],[Mã CP]],Sheet4!$B$2:$B$1605,0),_xlfn.XMATCH("*Tăng trưởng lợi nhuận sau thuế (YoY) (Quý*",Sheet4!$1:$1,2)),"")</f>
        <v>0</v>
      </c>
      <c r="P775" s="10" cm="1">
        <f t="array" ref="P775">IFERROR(INDEX(Sheet4!$2:$1605,MATCH(ChiTietKQKD[[#This Row],[Mã CP]],Sheet4!$B$2:$B$1605,0),_xlfn.XMATCH("*Tăng trưởng lợi nhuận sau thuế (YoY) (6M)*",Sheet4!$1:$1,2)),"")</f>
        <v>0</v>
      </c>
      <c r="Q775" s="10" cm="1">
        <f t="array" ref="Q775">IFERROR(INDEX(Sheet4!$2:$1605,MATCH(ChiTietKQKD[[#This Row],[Mã CP]],Sheet4!$B$2:$B$1605,0),_xlfn.XMATCH("*Tăng trưởng doanh thu thuần (QoQ)*",Sheet4!$1:$1,2)),"")</f>
        <v>0</v>
      </c>
      <c r="R775" s="10" cm="1">
        <f t="array" ref="R775">IFERROR(INDEX(Sheet4!$2:$1605,MATCH(ChiTietKQKD[[#This Row],[Mã CP]],Sheet4!$B$2:$B$1605,0),_xlfn.XMATCH("*Tăng trưởng lợi nhuận sau thuế (QoQ)*",Sheet4!$1:$1,2)),"")</f>
        <v>0</v>
      </c>
    </row>
    <row r="776" spans="1:18" x14ac:dyDescent="0.25">
      <c r="A776" s="7">
        <f>Sheet4!A755</f>
        <v>754</v>
      </c>
      <c r="B776" t="str">
        <f>Sheet4!B755</f>
        <v>AMP</v>
      </c>
      <c r="C776" t="str">
        <f>Sheet4!C754</f>
        <v>Tập đoàn MCST</v>
      </c>
      <c r="D776" t="str">
        <f>Sheet4!D755</f>
        <v>UPCoM</v>
      </c>
      <c r="E776" s="7">
        <f>Sheet4!AH755/1000000000</f>
        <v>189.8</v>
      </c>
      <c r="F776" t="str">
        <f>Sheet4!E755</f>
        <v>Dược phẩm và Y tế</v>
      </c>
      <c r="G776" t="str">
        <f>Sheet4!F755</f>
        <v>Y tế</v>
      </c>
      <c r="H776" t="str">
        <f>Sheet4!G755</f>
        <v>Dược phẩm</v>
      </c>
      <c r="I776" s="9" t="str" cm="1">
        <f t="array" ref="I77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76" s="9" t="str" cm="1">
        <f t="array" ref="J77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76" s="10" cm="1">
        <f t="array" ref="K77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76" s="10" cm="1">
        <f t="array" ref="L77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76" s="9" t="str" cm="1">
        <f t="array" ref="M77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76" s="9" t="str" cm="1">
        <f t="array" ref="N77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76" s="10" cm="1">
        <f t="array" ref="O776">IFERROR(INDEX(Sheet4!$2:$1605,MATCH(ChiTietKQKD[[#This Row],[Mã CP]],Sheet4!$B$2:$B$1605,0),_xlfn.XMATCH("*Tăng trưởng lợi nhuận sau thuế (YoY) (Quý*",Sheet4!$1:$1,2)),"")</f>
        <v>0</v>
      </c>
      <c r="P776" s="10" cm="1">
        <f t="array" ref="P776">IFERROR(INDEX(Sheet4!$2:$1605,MATCH(ChiTietKQKD[[#This Row],[Mã CP]],Sheet4!$B$2:$B$1605,0),_xlfn.XMATCH("*Tăng trưởng lợi nhuận sau thuế (YoY) (6M)*",Sheet4!$1:$1,2)),"")</f>
        <v>0</v>
      </c>
      <c r="Q776" s="10" cm="1">
        <f t="array" ref="Q776">IFERROR(INDEX(Sheet4!$2:$1605,MATCH(ChiTietKQKD[[#This Row],[Mã CP]],Sheet4!$B$2:$B$1605,0),_xlfn.XMATCH("*Tăng trưởng doanh thu thuần (QoQ)*",Sheet4!$1:$1,2)),"")</f>
        <v>0</v>
      </c>
      <c r="R776" s="10" cm="1">
        <f t="array" ref="R776">IFERROR(INDEX(Sheet4!$2:$1605,MATCH(ChiTietKQKD[[#This Row],[Mã CP]],Sheet4!$B$2:$B$1605,0),_xlfn.XMATCH("*Tăng trưởng lợi nhuận sau thuế (QoQ)*",Sheet4!$1:$1,2)),"")</f>
        <v>0</v>
      </c>
    </row>
    <row r="777" spans="1:18" x14ac:dyDescent="0.25">
      <c r="A777" s="7">
        <f>Sheet4!A756</f>
        <v>755</v>
      </c>
      <c r="B777" t="str">
        <f>Sheet4!B756</f>
        <v>AMS</v>
      </c>
      <c r="C777" t="str">
        <f>Sheet4!C755</f>
        <v>Armephaco</v>
      </c>
      <c r="D777" t="str">
        <f>Sheet4!D756</f>
        <v>UPCoM</v>
      </c>
      <c r="E777" s="7">
        <f>Sheet4!AH756/1000000000</f>
        <v>394.2</v>
      </c>
      <c r="F777" t="str">
        <f>Sheet4!E756</f>
        <v>Công nghiệp</v>
      </c>
      <c r="G777" t="str">
        <f>Sheet4!F756</f>
        <v>Hàng &amp; Dịch vụ Công nghiệp</v>
      </c>
      <c r="H777" t="str">
        <f>Sheet4!G756</f>
        <v>Nhà cung cấp thiết bị</v>
      </c>
      <c r="I777" s="9" t="str" cm="1">
        <f t="array" ref="I77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77" s="9" t="str" cm="1">
        <f t="array" ref="J77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77" s="10" cm="1">
        <f t="array" ref="K77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77" s="10" cm="1">
        <f t="array" ref="L77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77" s="9" t="str" cm="1">
        <f t="array" ref="M77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77" s="9" t="str" cm="1">
        <f t="array" ref="N77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77" s="10" cm="1">
        <f t="array" ref="O777">IFERROR(INDEX(Sheet4!$2:$1605,MATCH(ChiTietKQKD[[#This Row],[Mã CP]],Sheet4!$B$2:$B$1605,0),_xlfn.XMATCH("*Tăng trưởng lợi nhuận sau thuế (YoY) (Quý*",Sheet4!$1:$1,2)),"")</f>
        <v>0</v>
      </c>
      <c r="P777" s="10" cm="1">
        <f t="array" ref="P777">IFERROR(INDEX(Sheet4!$2:$1605,MATCH(ChiTietKQKD[[#This Row],[Mã CP]],Sheet4!$B$2:$B$1605,0),_xlfn.XMATCH("*Tăng trưởng lợi nhuận sau thuế (YoY) (6M)*",Sheet4!$1:$1,2)),"")</f>
        <v>0</v>
      </c>
      <c r="Q777" s="10" cm="1">
        <f t="array" ref="Q777">IFERROR(INDEX(Sheet4!$2:$1605,MATCH(ChiTietKQKD[[#This Row],[Mã CP]],Sheet4!$B$2:$B$1605,0),_xlfn.XMATCH("*Tăng trưởng doanh thu thuần (QoQ)*",Sheet4!$1:$1,2)),"")</f>
        <v>0</v>
      </c>
      <c r="R777" s="10" cm="1">
        <f t="array" ref="R777">IFERROR(INDEX(Sheet4!$2:$1605,MATCH(ChiTietKQKD[[#This Row],[Mã CP]],Sheet4!$B$2:$B$1605,0),_xlfn.XMATCH("*Tăng trưởng lợi nhuận sau thuế (QoQ)*",Sheet4!$1:$1,2)),"")</f>
        <v>0</v>
      </c>
    </row>
    <row r="778" spans="1:18" x14ac:dyDescent="0.25">
      <c r="A778" s="7">
        <f>Sheet4!A757</f>
        <v>756</v>
      </c>
      <c r="B778" t="str">
        <f>Sheet4!B757</f>
        <v>ANI</v>
      </c>
      <c r="C778" t="str">
        <f>Sheet4!C756</f>
        <v>Xây dựng AMECC</v>
      </c>
      <c r="D778" t="str">
        <f>Sheet4!D757</f>
        <v>UPCoM</v>
      </c>
      <c r="E778" s="7">
        <f>Sheet4!AH757/1000000000</f>
        <v>1348.7586368</v>
      </c>
      <c r="F778" t="str">
        <f>Sheet4!E757</f>
        <v>Tiện ích Cộng đồng</v>
      </c>
      <c r="G778" t="str">
        <f>Sheet4!F757</f>
        <v>Điện, nước &amp; xăng dầu khí đốt</v>
      </c>
      <c r="H778" t="str">
        <f>Sheet4!G757</f>
        <v>Sản xuất &amp; Phân phối Điện</v>
      </c>
      <c r="I778" s="9" t="str" cm="1">
        <f t="array" ref="I77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78" s="9" t="str" cm="1">
        <f t="array" ref="J77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78" s="10" cm="1">
        <f t="array" ref="K77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78" s="10" cm="1">
        <f t="array" ref="L77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78" s="9" t="str" cm="1">
        <f t="array" ref="M77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78" s="9" t="str" cm="1">
        <f t="array" ref="N77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78" s="10" cm="1">
        <f t="array" ref="O778">IFERROR(INDEX(Sheet4!$2:$1605,MATCH(ChiTietKQKD[[#This Row],[Mã CP]],Sheet4!$B$2:$B$1605,0),_xlfn.XMATCH("*Tăng trưởng lợi nhuận sau thuế (YoY) (Quý*",Sheet4!$1:$1,2)),"")</f>
        <v>0</v>
      </c>
      <c r="P778" s="10" cm="1">
        <f t="array" ref="P778">IFERROR(INDEX(Sheet4!$2:$1605,MATCH(ChiTietKQKD[[#This Row],[Mã CP]],Sheet4!$B$2:$B$1605,0),_xlfn.XMATCH("*Tăng trưởng lợi nhuận sau thuế (YoY) (6M)*",Sheet4!$1:$1,2)),"")</f>
        <v>0</v>
      </c>
      <c r="Q778" s="10" cm="1">
        <f t="array" ref="Q778">IFERROR(INDEX(Sheet4!$2:$1605,MATCH(ChiTietKQKD[[#This Row],[Mã CP]],Sheet4!$B$2:$B$1605,0),_xlfn.XMATCH("*Tăng trưởng doanh thu thuần (QoQ)*",Sheet4!$1:$1,2)),"")</f>
        <v>0</v>
      </c>
      <c r="R778" s="10" cm="1">
        <f t="array" ref="R778">IFERROR(INDEX(Sheet4!$2:$1605,MATCH(ChiTietKQKD[[#This Row],[Mã CP]],Sheet4!$B$2:$B$1605,0),_xlfn.XMATCH("*Tăng trưởng lợi nhuận sau thuế (QoQ)*",Sheet4!$1:$1,2)),"")</f>
        <v>0</v>
      </c>
    </row>
    <row r="779" spans="1:18" x14ac:dyDescent="0.25">
      <c r="A779" s="7">
        <f>Sheet4!A758</f>
        <v>757</v>
      </c>
      <c r="B779" t="str">
        <f>Sheet4!B758</f>
        <v>APC</v>
      </c>
      <c r="C779" t="str">
        <f>Sheet4!C757</f>
        <v>Công ty Cổ phần ANI</v>
      </c>
      <c r="D779" t="str">
        <f>Sheet4!D758</f>
        <v>UPCoM</v>
      </c>
      <c r="E779" s="7">
        <f>Sheet4!AH758/1000000000</f>
        <v>117.43964750000001</v>
      </c>
      <c r="F779" t="str">
        <f>Sheet4!E758</f>
        <v>Dược phẩm và Y tế</v>
      </c>
      <c r="G779" t="str">
        <f>Sheet4!F758</f>
        <v>Y tế</v>
      </c>
      <c r="H779" t="str">
        <f>Sheet4!G758</f>
        <v>Công nghệ sinh học</v>
      </c>
      <c r="I779" s="9" cm="1">
        <f t="array" ref="I77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32.206371916999998</v>
      </c>
      <c r="J779" s="9" cm="1">
        <f t="array" ref="J77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60.153652817000001</v>
      </c>
      <c r="K779" s="10" cm="1">
        <f t="array" ref="K77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0.11550000000000001</v>
      </c>
      <c r="L779" s="10" cm="1">
        <f t="array" ref="L77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9.8900000000000002E-2</v>
      </c>
      <c r="M779" s="9" cm="1">
        <f t="array" ref="M779">_xlfn.LET(_xlpm.val,IFERROR(INDEX(Sheet4!$2:$1605,MATCH(ChiTietKQKD[[#This Row],[Mã CP]],Sheet4!$B$2:$B$1605,0),_xlfn.XMATCH("*Lợi nhuận sau thuế*Q2*2026*",Sheet4!$1:$1,2)),0),IF(OR(_xlpm.val="",_xlpm.val=0),"",_xlpm.val/1000000000))</f>
        <v>-2.3951177330000002</v>
      </c>
      <c r="N779" s="9" cm="1">
        <f t="array" ref="N779">_xlfn.LET(_xlpm.val,IFERROR(INDEX(Sheet4!$2:$1605,MATCH(ChiTietKQKD[[#This Row],[Mã CP]],Sheet4!$B$2:$B$1605,0),_xlfn.XMATCH("*Lợi nhuận sau thuế*6 tháng*2026*",Sheet4!$1:$1,2)),0),IF(OR(_xlpm.val="",_xlpm.val=0),"",_xlpm.val/1000000000))</f>
        <v>-8.6852789739999992</v>
      </c>
      <c r="O779" s="10" cm="1">
        <f t="array" ref="O779">IFERROR(INDEX(Sheet4!$2:$1605,MATCH(ChiTietKQKD[[#This Row],[Mã CP]],Sheet4!$B$2:$B$1605,0),_xlfn.XMATCH("*Tăng trưởng lợi nhuận sau thuế (YoY) (Quý*",Sheet4!$1:$1,2)),"")</f>
        <v>0.63780000000000003</v>
      </c>
      <c r="P779" s="10" cm="1">
        <f t="array" ref="P779">IFERROR(INDEX(Sheet4!$2:$1605,MATCH(ChiTietKQKD[[#This Row],[Mã CP]],Sheet4!$B$2:$B$1605,0),_xlfn.XMATCH("*Tăng trưởng lợi nhuận sau thuế (YoY) (6M)*",Sheet4!$1:$1,2)),"")</f>
        <v>0.40260000000000001</v>
      </c>
      <c r="Q779" s="10" cm="1">
        <f t="array" ref="Q779">IFERROR(INDEX(Sheet4!$2:$1605,MATCH(ChiTietKQKD[[#This Row],[Mã CP]],Sheet4!$B$2:$B$1605,0),_xlfn.XMATCH("*Tăng trưởng doanh thu thuần (QoQ)*",Sheet4!$1:$1,2)),"")</f>
        <v>0.15240000000000001</v>
      </c>
      <c r="R779" s="10" cm="1">
        <f t="array" ref="R779">IFERROR(INDEX(Sheet4!$2:$1605,MATCH(ChiTietKQKD[[#This Row],[Mã CP]],Sheet4!$B$2:$B$1605,0),_xlfn.XMATCH("*Tăng trưởng lợi nhuận sau thuế (QoQ)*",Sheet4!$1:$1,2)),"")</f>
        <v>0.61919999999999997</v>
      </c>
    </row>
    <row r="780" spans="1:18" x14ac:dyDescent="0.25">
      <c r="A780" s="7">
        <f>Sheet4!A759</f>
        <v>758</v>
      </c>
      <c r="B780" t="str">
        <f>Sheet4!B759</f>
        <v>APF</v>
      </c>
      <c r="C780" t="str">
        <f>Sheet4!C758</f>
        <v>Chiếu xạ An Phú</v>
      </c>
      <c r="D780" t="str">
        <f>Sheet4!D759</f>
        <v>UPCoM</v>
      </c>
      <c r="E780" s="7">
        <f>Sheet4!AH759/1000000000</f>
        <v>1699.938709152</v>
      </c>
      <c r="F780" t="str">
        <f>Sheet4!E759</f>
        <v>Hàng Tiêu dùng</v>
      </c>
      <c r="G780" t="str">
        <f>Sheet4!F759</f>
        <v>Thực phẩm và đồ uống</v>
      </c>
      <c r="H780" t="str">
        <f>Sheet4!G759</f>
        <v>Thực phẩm</v>
      </c>
      <c r="I780" s="9" t="str" cm="1">
        <f t="array" ref="I78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80" s="9" t="str" cm="1">
        <f t="array" ref="J78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80" s="10" cm="1">
        <f t="array" ref="K78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80" s="10" cm="1">
        <f t="array" ref="L78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80" s="9" t="str" cm="1">
        <f t="array" ref="M78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80" s="9" t="str" cm="1">
        <f t="array" ref="N78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80" s="10" cm="1">
        <f t="array" ref="O780">IFERROR(INDEX(Sheet4!$2:$1605,MATCH(ChiTietKQKD[[#This Row],[Mã CP]],Sheet4!$B$2:$B$1605,0),_xlfn.XMATCH("*Tăng trưởng lợi nhuận sau thuế (YoY) (Quý*",Sheet4!$1:$1,2)),"")</f>
        <v>0</v>
      </c>
      <c r="P780" s="10" cm="1">
        <f t="array" ref="P780">IFERROR(INDEX(Sheet4!$2:$1605,MATCH(ChiTietKQKD[[#This Row],[Mã CP]],Sheet4!$B$2:$B$1605,0),_xlfn.XMATCH("*Tăng trưởng lợi nhuận sau thuế (YoY) (6M)*",Sheet4!$1:$1,2)),"")</f>
        <v>0</v>
      </c>
      <c r="Q780" s="10" cm="1">
        <f t="array" ref="Q780">IFERROR(INDEX(Sheet4!$2:$1605,MATCH(ChiTietKQKD[[#This Row],[Mã CP]],Sheet4!$B$2:$B$1605,0),_xlfn.XMATCH("*Tăng trưởng doanh thu thuần (QoQ)*",Sheet4!$1:$1,2)),"")</f>
        <v>0</v>
      </c>
      <c r="R780" s="10" cm="1">
        <f t="array" ref="R780">IFERROR(INDEX(Sheet4!$2:$1605,MATCH(ChiTietKQKD[[#This Row],[Mã CP]],Sheet4!$B$2:$B$1605,0),_xlfn.XMATCH("*Tăng trưởng lợi nhuận sau thuế (QoQ)*",Sheet4!$1:$1,2)),"")</f>
        <v>0</v>
      </c>
    </row>
    <row r="781" spans="1:18" x14ac:dyDescent="0.25">
      <c r="A781" s="7">
        <f>Sheet4!A760</f>
        <v>759</v>
      </c>
      <c r="B781" t="str">
        <f>Sheet4!B760</f>
        <v>APL</v>
      </c>
      <c r="C781" t="str">
        <f>Sheet4!C759</f>
        <v>Nông sản Quảng Ngãi</v>
      </c>
      <c r="D781" t="str">
        <f>Sheet4!D760</f>
        <v>UPCoM</v>
      </c>
      <c r="E781" s="7">
        <f>Sheet4!AH760/1000000000</f>
        <v>13.8</v>
      </c>
      <c r="F781" t="str">
        <f>Sheet4!E760</f>
        <v>Công nghiệp</v>
      </c>
      <c r="G781" t="str">
        <f>Sheet4!F760</f>
        <v>Hàng &amp; Dịch vụ Công nghiệp</v>
      </c>
      <c r="H781" t="str">
        <f>Sheet4!G760</f>
        <v>Máy công nghiệp</v>
      </c>
      <c r="I781" s="9" t="str" cm="1">
        <f t="array" ref="I78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81" s="9" t="str" cm="1">
        <f t="array" ref="J78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81" s="10" cm="1">
        <f t="array" ref="K78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81" s="10" cm="1">
        <f t="array" ref="L78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81" s="9" t="str" cm="1">
        <f t="array" ref="M78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81" s="9" t="str" cm="1">
        <f t="array" ref="N78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81" s="10" cm="1">
        <f t="array" ref="O781">IFERROR(INDEX(Sheet4!$2:$1605,MATCH(ChiTietKQKD[[#This Row],[Mã CP]],Sheet4!$B$2:$B$1605,0),_xlfn.XMATCH("*Tăng trưởng lợi nhuận sau thuế (YoY) (Quý*",Sheet4!$1:$1,2)),"")</f>
        <v>0</v>
      </c>
      <c r="P781" s="10" cm="1">
        <f t="array" ref="P781">IFERROR(INDEX(Sheet4!$2:$1605,MATCH(ChiTietKQKD[[#This Row],[Mã CP]],Sheet4!$B$2:$B$1605,0),_xlfn.XMATCH("*Tăng trưởng lợi nhuận sau thuế (YoY) (6M)*",Sheet4!$1:$1,2)),"")</f>
        <v>0</v>
      </c>
      <c r="Q781" s="10" cm="1">
        <f t="array" ref="Q781">IFERROR(INDEX(Sheet4!$2:$1605,MATCH(ChiTietKQKD[[#This Row],[Mã CP]],Sheet4!$B$2:$B$1605,0),_xlfn.XMATCH("*Tăng trưởng doanh thu thuần (QoQ)*",Sheet4!$1:$1,2)),"")</f>
        <v>0</v>
      </c>
      <c r="R781" s="10" cm="1">
        <f t="array" ref="R781">IFERROR(INDEX(Sheet4!$2:$1605,MATCH(ChiTietKQKD[[#This Row],[Mã CP]],Sheet4!$B$2:$B$1605,0),_xlfn.XMATCH("*Tăng trưởng lợi nhuận sau thuế (QoQ)*",Sheet4!$1:$1,2)),"")</f>
        <v>0</v>
      </c>
    </row>
    <row r="782" spans="1:18" x14ac:dyDescent="0.25">
      <c r="A782" s="7">
        <f>Sheet4!A761</f>
        <v>760</v>
      </c>
      <c r="B782" t="str">
        <f>Sheet4!B761</f>
        <v>APP</v>
      </c>
      <c r="C782" t="str">
        <f>Sheet4!C760</f>
        <v>Cơ khí và Thiết bị áp lực - VVMI</v>
      </c>
      <c r="D782" t="str">
        <f>Sheet4!D761</f>
        <v>UPCoM</v>
      </c>
      <c r="E782" s="7">
        <f>Sheet4!AH761/1000000000</f>
        <v>17.055921519999998</v>
      </c>
      <c r="F782" t="str">
        <f>Sheet4!E761</f>
        <v>Nguyên vật liệu</v>
      </c>
      <c r="G782" t="str">
        <f>Sheet4!F761</f>
        <v>Hóa chất</v>
      </c>
      <c r="H782" t="str">
        <f>Sheet4!G761</f>
        <v>Sản phẩm hóa dầu, Nông dược &amp; Hóa chất khác</v>
      </c>
      <c r="I782" s="9" t="str" cm="1">
        <f t="array" ref="I78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82" s="9" t="str" cm="1">
        <f t="array" ref="J78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82" s="10" cm="1">
        <f t="array" ref="K78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82" s="10" cm="1">
        <f t="array" ref="L78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82" s="9" t="str" cm="1">
        <f t="array" ref="M78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82" s="9" t="str" cm="1">
        <f t="array" ref="N78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82" s="10" cm="1">
        <f t="array" ref="O782">IFERROR(INDEX(Sheet4!$2:$1605,MATCH(ChiTietKQKD[[#This Row],[Mã CP]],Sheet4!$B$2:$B$1605,0),_xlfn.XMATCH("*Tăng trưởng lợi nhuận sau thuế (YoY) (Quý*",Sheet4!$1:$1,2)),"")</f>
        <v>0</v>
      </c>
      <c r="P782" s="10" cm="1">
        <f t="array" ref="P782">IFERROR(INDEX(Sheet4!$2:$1605,MATCH(ChiTietKQKD[[#This Row],[Mã CP]],Sheet4!$B$2:$B$1605,0),_xlfn.XMATCH("*Tăng trưởng lợi nhuận sau thuế (YoY) (6M)*",Sheet4!$1:$1,2)),"")</f>
        <v>0</v>
      </c>
      <c r="Q782" s="10" cm="1">
        <f t="array" ref="Q782">IFERROR(INDEX(Sheet4!$2:$1605,MATCH(ChiTietKQKD[[#This Row],[Mã CP]],Sheet4!$B$2:$B$1605,0),_xlfn.XMATCH("*Tăng trưởng doanh thu thuần (QoQ)*",Sheet4!$1:$1,2)),"")</f>
        <v>0</v>
      </c>
      <c r="R782" s="10" cm="1">
        <f t="array" ref="R782">IFERROR(INDEX(Sheet4!$2:$1605,MATCH(ChiTietKQKD[[#This Row],[Mã CP]],Sheet4!$B$2:$B$1605,0),_xlfn.XMATCH("*Tăng trưởng lợi nhuận sau thuế (QoQ)*",Sheet4!$1:$1,2)),"")</f>
        <v>0</v>
      </c>
    </row>
    <row r="783" spans="1:18" x14ac:dyDescent="0.25">
      <c r="A783" s="7">
        <f>Sheet4!A762</f>
        <v>761</v>
      </c>
      <c r="B783" t="str">
        <f>Sheet4!B762</f>
        <v>APT</v>
      </c>
      <c r="C783" t="str">
        <f>Sheet4!C761</f>
        <v>Phụ gia và SP Dầu mỏ</v>
      </c>
      <c r="D783" t="str">
        <f>Sheet4!D762</f>
        <v>UPCoM</v>
      </c>
      <c r="E783" s="7">
        <f>Sheet4!AH762/1000000000</f>
        <v>14.96</v>
      </c>
      <c r="F783" t="str">
        <f>Sheet4!E762</f>
        <v>Hàng Tiêu dùng</v>
      </c>
      <c r="G783" t="str">
        <f>Sheet4!F762</f>
        <v>Thực phẩm và đồ uống</v>
      </c>
      <c r="H783" t="str">
        <f>Sheet4!G762</f>
        <v>Nuôi trồng nông &amp; hải sản</v>
      </c>
      <c r="I783" s="9" t="str" cm="1">
        <f t="array" ref="I78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83" s="9" t="str" cm="1">
        <f t="array" ref="J78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83" s="10" cm="1">
        <f t="array" ref="K78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83" s="10" cm="1">
        <f t="array" ref="L78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83" s="9" t="str" cm="1">
        <f t="array" ref="M78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83" s="9" t="str" cm="1">
        <f t="array" ref="N78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83" s="10" cm="1">
        <f t="array" ref="O783">IFERROR(INDEX(Sheet4!$2:$1605,MATCH(ChiTietKQKD[[#This Row],[Mã CP]],Sheet4!$B$2:$B$1605,0),_xlfn.XMATCH("*Tăng trưởng lợi nhuận sau thuế (YoY) (Quý*",Sheet4!$1:$1,2)),"")</f>
        <v>0</v>
      </c>
      <c r="P783" s="10" cm="1">
        <f t="array" ref="P783">IFERROR(INDEX(Sheet4!$2:$1605,MATCH(ChiTietKQKD[[#This Row],[Mã CP]],Sheet4!$B$2:$B$1605,0),_xlfn.XMATCH("*Tăng trưởng lợi nhuận sau thuế (YoY) (6M)*",Sheet4!$1:$1,2)),"")</f>
        <v>0</v>
      </c>
      <c r="Q783" s="10" cm="1">
        <f t="array" ref="Q783">IFERROR(INDEX(Sheet4!$2:$1605,MATCH(ChiTietKQKD[[#This Row],[Mã CP]],Sheet4!$B$2:$B$1605,0),_xlfn.XMATCH("*Tăng trưởng doanh thu thuần (QoQ)*",Sheet4!$1:$1,2)),"")</f>
        <v>0</v>
      </c>
      <c r="R783" s="10" cm="1">
        <f t="array" ref="R783">IFERROR(INDEX(Sheet4!$2:$1605,MATCH(ChiTietKQKD[[#This Row],[Mã CP]],Sheet4!$B$2:$B$1605,0),_xlfn.XMATCH("*Tăng trưởng lợi nhuận sau thuế (QoQ)*",Sheet4!$1:$1,2)),"")</f>
        <v>0</v>
      </c>
    </row>
    <row r="784" spans="1:18" x14ac:dyDescent="0.25">
      <c r="A784" s="7">
        <f>Sheet4!A763</f>
        <v>762</v>
      </c>
      <c r="B784" t="str">
        <f>Sheet4!B763</f>
        <v>ART</v>
      </c>
      <c r="C784" t="str">
        <f>Sheet4!C762</f>
        <v>Thủy hải sản Sài Gòn</v>
      </c>
      <c r="D784" t="str">
        <f>Sheet4!D763</f>
        <v>UPCoM</v>
      </c>
      <c r="E784" s="7">
        <f>Sheet4!AH763/1000000000</f>
        <v>125.99926170000001</v>
      </c>
      <c r="F784" t="str">
        <f>Sheet4!E763</f>
        <v>Tài chính</v>
      </c>
      <c r="G784" t="str">
        <f>Sheet4!F763</f>
        <v>Dịch vụ tài chính</v>
      </c>
      <c r="H784" t="str">
        <f>Sheet4!G763</f>
        <v>Môi giới chứng khoán</v>
      </c>
      <c r="I784" s="9" cm="1">
        <f t="array" ref="I78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0.58907900400000002</v>
      </c>
      <c r="J784" s="9" cm="1">
        <f t="array" ref="J78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0.889577179</v>
      </c>
      <c r="K784" s="10" cm="1">
        <f t="array" ref="K78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9.6881000000000004</v>
      </c>
      <c r="L784" s="10" cm="1">
        <f t="array" ref="L78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7.7956000000000003</v>
      </c>
      <c r="M784" s="9" cm="1">
        <f t="array" ref="M784">_xlfn.LET(_xlpm.val,IFERROR(INDEX(Sheet4!$2:$1605,MATCH(ChiTietKQKD[[#This Row],[Mã CP]],Sheet4!$B$2:$B$1605,0),_xlfn.XMATCH("*Lợi nhuận sau thuế*Q2*2026*",Sheet4!$1:$1,2)),0),IF(OR(_xlpm.val="",_xlpm.val=0),"",_xlpm.val/1000000000))</f>
        <v>-2.2403381979999999</v>
      </c>
      <c r="N784" s="9" cm="1">
        <f t="array" ref="N784">_xlfn.LET(_xlpm.val,IFERROR(INDEX(Sheet4!$2:$1605,MATCH(ChiTietKQKD[[#This Row],[Mã CP]],Sheet4!$B$2:$B$1605,0),_xlfn.XMATCH("*Lợi nhuận sau thuế*6 tháng*2026*",Sheet4!$1:$1,2)),0),IF(OR(_xlpm.val="",_xlpm.val=0),"",_xlpm.val/1000000000))</f>
        <v>-20.081145219</v>
      </c>
      <c r="O784" s="10" cm="1">
        <f t="array" ref="O784">IFERROR(INDEX(Sheet4!$2:$1605,MATCH(ChiTietKQKD[[#This Row],[Mã CP]],Sheet4!$B$2:$B$1605,0),_xlfn.XMATCH("*Tăng trưởng lợi nhuận sau thuế (YoY) (Quý*",Sheet4!$1:$1,2)),"")</f>
        <v>0.94230000000000003</v>
      </c>
      <c r="P784" s="10" cm="1">
        <f t="array" ref="P784">IFERROR(INDEX(Sheet4!$2:$1605,MATCH(ChiTietKQKD[[#This Row],[Mã CP]],Sheet4!$B$2:$B$1605,0),_xlfn.XMATCH("*Tăng trưởng lợi nhuận sau thuế (YoY) (6M)*",Sheet4!$1:$1,2)),"")</f>
        <v>0.53380000000000005</v>
      </c>
      <c r="Q784" s="10" cm="1">
        <f t="array" ref="Q784">IFERROR(INDEX(Sheet4!$2:$1605,MATCH(ChiTietKQKD[[#This Row],[Mã CP]],Sheet4!$B$2:$B$1605,0),_xlfn.XMATCH("*Tăng trưởng doanh thu thuần (QoQ)*",Sheet4!$1:$1,2)),"")</f>
        <v>0.96030000000000004</v>
      </c>
      <c r="R784" s="10" cm="1">
        <f t="array" ref="R784">IFERROR(INDEX(Sheet4!$2:$1605,MATCH(ChiTietKQKD[[#This Row],[Mã CP]],Sheet4!$B$2:$B$1605,0),_xlfn.XMATCH("*Tăng trưởng lợi nhuận sau thuế (QoQ)*",Sheet4!$1:$1,2)),"")</f>
        <v>0.87439999999999996</v>
      </c>
    </row>
    <row r="785" spans="1:18" x14ac:dyDescent="0.25">
      <c r="A785" s="7">
        <f>Sheet4!A764</f>
        <v>763</v>
      </c>
      <c r="B785" t="str">
        <f>Sheet4!B764</f>
        <v>ATA</v>
      </c>
      <c r="C785" t="str">
        <f>Sheet4!C763</f>
        <v>Chứng khoán ARTEX</v>
      </c>
      <c r="D785" t="str">
        <f>Sheet4!D764</f>
        <v>UPCoM</v>
      </c>
      <c r="E785" s="7">
        <f>Sheet4!AH764/1000000000</f>
        <v>4.7999992000000002</v>
      </c>
      <c r="F785" t="str">
        <f>Sheet4!E764</f>
        <v>Hàng Tiêu dùng</v>
      </c>
      <c r="G785" t="str">
        <f>Sheet4!F764</f>
        <v>Thực phẩm và đồ uống</v>
      </c>
      <c r="H785" t="str">
        <f>Sheet4!G764</f>
        <v>Nuôi trồng nông &amp; hải sản</v>
      </c>
      <c r="I785" s="9" t="str" cm="1">
        <f t="array" ref="I78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85" s="9" t="str" cm="1">
        <f t="array" ref="J78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85" s="10" cm="1">
        <f t="array" ref="K78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85" s="10" cm="1">
        <f t="array" ref="L78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85" s="9" t="str" cm="1">
        <f t="array" ref="M78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85" s="9" t="str" cm="1">
        <f t="array" ref="N78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85" s="10" cm="1">
        <f t="array" ref="O785">IFERROR(INDEX(Sheet4!$2:$1605,MATCH(ChiTietKQKD[[#This Row],[Mã CP]],Sheet4!$B$2:$B$1605,0),_xlfn.XMATCH("*Tăng trưởng lợi nhuận sau thuế (YoY) (Quý*",Sheet4!$1:$1,2)),"")</f>
        <v>0</v>
      </c>
      <c r="P785" s="10" cm="1">
        <f t="array" ref="P785">IFERROR(INDEX(Sheet4!$2:$1605,MATCH(ChiTietKQKD[[#This Row],[Mã CP]],Sheet4!$B$2:$B$1605,0),_xlfn.XMATCH("*Tăng trưởng lợi nhuận sau thuế (YoY) (6M)*",Sheet4!$1:$1,2)),"")</f>
        <v>0</v>
      </c>
      <c r="Q785" s="10" cm="1">
        <f t="array" ref="Q785">IFERROR(INDEX(Sheet4!$2:$1605,MATCH(ChiTietKQKD[[#This Row],[Mã CP]],Sheet4!$B$2:$B$1605,0),_xlfn.XMATCH("*Tăng trưởng doanh thu thuần (QoQ)*",Sheet4!$1:$1,2)),"")</f>
        <v>0</v>
      </c>
      <c r="R785" s="10" cm="1">
        <f t="array" ref="R785">IFERROR(INDEX(Sheet4!$2:$1605,MATCH(ChiTietKQKD[[#This Row],[Mã CP]],Sheet4!$B$2:$B$1605,0),_xlfn.XMATCH("*Tăng trưởng lợi nhuận sau thuế (QoQ)*",Sheet4!$1:$1,2)),"")</f>
        <v>0</v>
      </c>
    </row>
    <row r="786" spans="1:18" x14ac:dyDescent="0.25">
      <c r="A786" s="7">
        <f>Sheet4!A765</f>
        <v>764</v>
      </c>
      <c r="B786" t="str">
        <f>Sheet4!B765</f>
        <v>ATG</v>
      </c>
      <c r="C786" t="str">
        <f>Sheet4!C764</f>
        <v>NTACO</v>
      </c>
      <c r="D786" t="str">
        <f>Sheet4!D765</f>
        <v>UPCoM</v>
      </c>
      <c r="E786" s="7">
        <f>Sheet4!AH765/1000000000</f>
        <v>130.892</v>
      </c>
      <c r="F786" t="str">
        <f>Sheet4!E765</f>
        <v>Nguyên vật liệu</v>
      </c>
      <c r="G786" t="str">
        <f>Sheet4!F765</f>
        <v>Tài nguyên Cơ bản</v>
      </c>
      <c r="H786" t="str">
        <f>Sheet4!G765</f>
        <v>Khai khoáng</v>
      </c>
      <c r="I786" s="9" t="str" cm="1">
        <f t="array" ref="I78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86" s="9" t="str" cm="1">
        <f t="array" ref="J78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86" s="10" cm="1">
        <f t="array" ref="K78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86" s="10" cm="1">
        <f t="array" ref="L78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86" s="9" t="str" cm="1">
        <f t="array" ref="M78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86" s="9" t="str" cm="1">
        <f t="array" ref="N78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86" s="10" cm="1">
        <f t="array" ref="O786">IFERROR(INDEX(Sheet4!$2:$1605,MATCH(ChiTietKQKD[[#This Row],[Mã CP]],Sheet4!$B$2:$B$1605,0),_xlfn.XMATCH("*Tăng trưởng lợi nhuận sau thuế (YoY) (Quý*",Sheet4!$1:$1,2)),"")</f>
        <v>0</v>
      </c>
      <c r="P786" s="10" cm="1">
        <f t="array" ref="P786">IFERROR(INDEX(Sheet4!$2:$1605,MATCH(ChiTietKQKD[[#This Row],[Mã CP]],Sheet4!$B$2:$B$1605,0),_xlfn.XMATCH("*Tăng trưởng lợi nhuận sau thuế (YoY) (6M)*",Sheet4!$1:$1,2)),"")</f>
        <v>0</v>
      </c>
      <c r="Q786" s="10" cm="1">
        <f t="array" ref="Q786">IFERROR(INDEX(Sheet4!$2:$1605,MATCH(ChiTietKQKD[[#This Row],[Mã CP]],Sheet4!$B$2:$B$1605,0),_xlfn.XMATCH("*Tăng trưởng doanh thu thuần (QoQ)*",Sheet4!$1:$1,2)),"")</f>
        <v>0</v>
      </c>
      <c r="R786" s="10" cm="1">
        <f t="array" ref="R786">IFERROR(INDEX(Sheet4!$2:$1605,MATCH(ChiTietKQKD[[#This Row],[Mã CP]],Sheet4!$B$2:$B$1605,0),_xlfn.XMATCH("*Tăng trưởng lợi nhuận sau thuế (QoQ)*",Sheet4!$1:$1,2)),"")</f>
        <v>0</v>
      </c>
    </row>
    <row r="787" spans="1:18" x14ac:dyDescent="0.25">
      <c r="A787" s="7">
        <f>Sheet4!A766</f>
        <v>765</v>
      </c>
      <c r="B787" t="str">
        <f>Sheet4!B766</f>
        <v>AVC</v>
      </c>
      <c r="C787" t="str">
        <f>Sheet4!C765</f>
        <v>ATG Planet</v>
      </c>
      <c r="D787" t="str">
        <f>Sheet4!D766</f>
        <v>UPCoM</v>
      </c>
      <c r="E787" s="7">
        <f>Sheet4!AH766/1000000000</f>
        <v>3039.6081060000001</v>
      </c>
      <c r="F787" t="str">
        <f>Sheet4!E766</f>
        <v>Tiện ích Cộng đồng</v>
      </c>
      <c r="G787" t="str">
        <f>Sheet4!F766</f>
        <v>Điện, nước &amp; xăng dầu khí đốt</v>
      </c>
      <c r="H787" t="str">
        <f>Sheet4!G766</f>
        <v>Sản xuất &amp; Phân phối Điện</v>
      </c>
      <c r="I787" s="9" cm="1">
        <f t="array" ref="I78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134.557932545</v>
      </c>
      <c r="J787" s="9" cm="1">
        <f t="array" ref="J78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263.430965442</v>
      </c>
      <c r="K787" s="10" cm="1">
        <f t="array" ref="K78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-7.85E-2</v>
      </c>
      <c r="L787" s="10" cm="1">
        <f t="array" ref="L78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87" s="9" cm="1">
        <f t="array" ref="M787">_xlfn.LET(_xlpm.val,IFERROR(INDEX(Sheet4!$2:$1605,MATCH(ChiTietKQKD[[#This Row],[Mã CP]],Sheet4!$B$2:$B$1605,0),_xlfn.XMATCH("*Lợi nhuận sau thuế*Q2*2026*",Sheet4!$1:$1,2)),0),IF(OR(_xlpm.val="",_xlpm.val=0),"",_xlpm.val/1000000000))</f>
        <v>47.176316245000002</v>
      </c>
      <c r="N787" s="9" cm="1">
        <f t="array" ref="N787">_xlfn.LET(_xlpm.val,IFERROR(INDEX(Sheet4!$2:$1605,MATCH(ChiTietKQKD[[#This Row],[Mã CP]],Sheet4!$B$2:$B$1605,0),_xlfn.XMATCH("*Lợi nhuận sau thuế*6 tháng*2026*",Sheet4!$1:$1,2)),0),IF(OR(_xlpm.val="",_xlpm.val=0),"",_xlpm.val/1000000000))</f>
        <v>96.952079522000005</v>
      </c>
      <c r="O787" s="10" cm="1">
        <f t="array" ref="O787">IFERROR(INDEX(Sheet4!$2:$1605,MATCH(ChiTietKQKD[[#This Row],[Mã CP]],Sheet4!$B$2:$B$1605,0),_xlfn.XMATCH("*Tăng trưởng lợi nhuận sau thuế (YoY) (Quý*",Sheet4!$1:$1,2)),"")</f>
        <v>4.1300000000000003E-2</v>
      </c>
      <c r="P787" s="10" cm="1">
        <f t="array" ref="P787">IFERROR(INDEX(Sheet4!$2:$1605,MATCH(ChiTietKQKD[[#This Row],[Mã CP]],Sheet4!$B$2:$B$1605,0),_xlfn.XMATCH("*Tăng trưởng lợi nhuận sau thuế (YoY) (6M)*",Sheet4!$1:$1,2)),"")</f>
        <v>0</v>
      </c>
      <c r="Q787" s="10" cm="1">
        <f t="array" ref="Q787">IFERROR(INDEX(Sheet4!$2:$1605,MATCH(ChiTietKQKD[[#This Row],[Mã CP]],Sheet4!$B$2:$B$1605,0),_xlfn.XMATCH("*Tăng trưởng doanh thu thuần (QoQ)*",Sheet4!$1:$1,2)),"")</f>
        <v>4.41E-2</v>
      </c>
      <c r="R787" s="10" cm="1">
        <f t="array" ref="R787">IFERROR(INDEX(Sheet4!$2:$1605,MATCH(ChiTietKQKD[[#This Row],[Mã CP]],Sheet4!$B$2:$B$1605,0),_xlfn.XMATCH("*Tăng trưởng lợi nhuận sau thuế (QoQ)*",Sheet4!$1:$1,2)),"")</f>
        <v>-5.2200000000000003E-2</v>
      </c>
    </row>
    <row r="788" spans="1:18" x14ac:dyDescent="0.25">
      <c r="A788" s="7">
        <f>Sheet4!A767</f>
        <v>766</v>
      </c>
      <c r="B788" t="str">
        <f>Sheet4!B767</f>
        <v>AVG</v>
      </c>
      <c r="C788" t="str">
        <f>Sheet4!C766</f>
        <v>Thủy điện A Vương</v>
      </c>
      <c r="D788" t="str">
        <f>Sheet4!D767</f>
        <v>UPCoM</v>
      </c>
      <c r="E788" s="7">
        <f>Sheet4!AH767/1000000000</f>
        <v>141.333776108</v>
      </c>
      <c r="F788" t="str">
        <f>Sheet4!E767</f>
        <v>Nguyên vật liệu</v>
      </c>
      <c r="G788" t="str">
        <f>Sheet4!F767</f>
        <v>Hóa chất</v>
      </c>
      <c r="H788" t="str">
        <f>Sheet4!G767</f>
        <v>Sản phẩm hóa dầu, Nông dược &amp; Hóa chất khác</v>
      </c>
      <c r="I788" s="9" t="str" cm="1">
        <f t="array" ref="I78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88" s="9" t="str" cm="1">
        <f t="array" ref="J78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88" s="10" cm="1">
        <f t="array" ref="K78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88" s="10" cm="1">
        <f t="array" ref="L78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88" s="9" t="str" cm="1">
        <f t="array" ref="M78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88" s="9" t="str" cm="1">
        <f t="array" ref="N78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88" s="10" cm="1">
        <f t="array" ref="O788">IFERROR(INDEX(Sheet4!$2:$1605,MATCH(ChiTietKQKD[[#This Row],[Mã CP]],Sheet4!$B$2:$B$1605,0),_xlfn.XMATCH("*Tăng trưởng lợi nhuận sau thuế (YoY) (Quý*",Sheet4!$1:$1,2)),"")</f>
        <v>0</v>
      </c>
      <c r="P788" s="10" cm="1">
        <f t="array" ref="P788">IFERROR(INDEX(Sheet4!$2:$1605,MATCH(ChiTietKQKD[[#This Row],[Mã CP]],Sheet4!$B$2:$B$1605,0),_xlfn.XMATCH("*Tăng trưởng lợi nhuận sau thuế (YoY) (6M)*",Sheet4!$1:$1,2)),"")</f>
        <v>0</v>
      </c>
      <c r="Q788" s="10" cm="1">
        <f t="array" ref="Q788">IFERROR(INDEX(Sheet4!$2:$1605,MATCH(ChiTietKQKD[[#This Row],[Mã CP]],Sheet4!$B$2:$B$1605,0),_xlfn.XMATCH("*Tăng trưởng doanh thu thuần (QoQ)*",Sheet4!$1:$1,2)),"")</f>
        <v>0</v>
      </c>
      <c r="R788" s="10" cm="1">
        <f t="array" ref="R788">IFERROR(INDEX(Sheet4!$2:$1605,MATCH(ChiTietKQKD[[#This Row],[Mã CP]],Sheet4!$B$2:$B$1605,0),_xlfn.XMATCH("*Tăng trưởng lợi nhuận sau thuế (QoQ)*",Sheet4!$1:$1,2)),"")</f>
        <v>0</v>
      </c>
    </row>
    <row r="789" spans="1:18" x14ac:dyDescent="0.25">
      <c r="A789" s="7">
        <f>Sheet4!A768</f>
        <v>767</v>
      </c>
      <c r="B789" t="str">
        <f>Sheet4!B768</f>
        <v>BAL</v>
      </c>
      <c r="C789" t="str">
        <f>Sheet4!C767</f>
        <v>Phân Bón Quốc Tế Âu Việt</v>
      </c>
      <c r="D789" t="str">
        <f>Sheet4!D768</f>
        <v>UPCoM</v>
      </c>
      <c r="E789" s="7">
        <f>Sheet4!AH768/1000000000</f>
        <v>14.2</v>
      </c>
      <c r="F789" t="str">
        <f>Sheet4!E768</f>
        <v>Công nghiệp</v>
      </c>
      <c r="G789" t="str">
        <f>Sheet4!F768</f>
        <v>Hàng &amp; Dịch vụ Công nghiệp</v>
      </c>
      <c r="H789" t="str">
        <f>Sheet4!G768</f>
        <v>Containers &amp; Đóng gói</v>
      </c>
      <c r="I789" s="9" t="str" cm="1">
        <f t="array" ref="I78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89" s="9" t="str" cm="1">
        <f t="array" ref="J78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89" s="10" cm="1">
        <f t="array" ref="K78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89" s="10" cm="1">
        <f t="array" ref="L78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89" s="9" t="str" cm="1">
        <f t="array" ref="M78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89" s="9" t="str" cm="1">
        <f t="array" ref="N78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89" s="10" cm="1">
        <f t="array" ref="O789">IFERROR(INDEX(Sheet4!$2:$1605,MATCH(ChiTietKQKD[[#This Row],[Mã CP]],Sheet4!$B$2:$B$1605,0),_xlfn.XMATCH("*Tăng trưởng lợi nhuận sau thuế (YoY) (Quý*",Sheet4!$1:$1,2)),"")</f>
        <v>0</v>
      </c>
      <c r="P789" s="10" cm="1">
        <f t="array" ref="P789">IFERROR(INDEX(Sheet4!$2:$1605,MATCH(ChiTietKQKD[[#This Row],[Mã CP]],Sheet4!$B$2:$B$1605,0),_xlfn.XMATCH("*Tăng trưởng lợi nhuận sau thuế (YoY) (6M)*",Sheet4!$1:$1,2)),"")</f>
        <v>0</v>
      </c>
      <c r="Q789" s="10" cm="1">
        <f t="array" ref="Q789">IFERROR(INDEX(Sheet4!$2:$1605,MATCH(ChiTietKQKD[[#This Row],[Mã CP]],Sheet4!$B$2:$B$1605,0),_xlfn.XMATCH("*Tăng trưởng doanh thu thuần (QoQ)*",Sheet4!$1:$1,2)),"")</f>
        <v>0</v>
      </c>
      <c r="R789" s="10" cm="1">
        <f t="array" ref="R789">IFERROR(INDEX(Sheet4!$2:$1605,MATCH(ChiTietKQKD[[#This Row],[Mã CP]],Sheet4!$B$2:$B$1605,0),_xlfn.XMATCH("*Tăng trưởng lợi nhuận sau thuế (QoQ)*",Sheet4!$1:$1,2)),"")</f>
        <v>0</v>
      </c>
    </row>
    <row r="790" spans="1:18" x14ac:dyDescent="0.25">
      <c r="A790" s="7">
        <f>Sheet4!A769</f>
        <v>768</v>
      </c>
      <c r="B790" t="str">
        <f>Sheet4!B769</f>
        <v>BBH</v>
      </c>
      <c r="C790" t="str">
        <f>Sheet4!C768</f>
        <v>Bao bì Balpac</v>
      </c>
      <c r="D790" t="str">
        <f>Sheet4!D769</f>
        <v>UPCoM</v>
      </c>
      <c r="E790" s="7">
        <f>Sheet4!AH769/1000000000</f>
        <v>20.479320000000001</v>
      </c>
      <c r="F790" t="str">
        <f>Sheet4!E769</f>
        <v>Công nghiệp</v>
      </c>
      <c r="G790" t="str">
        <f>Sheet4!F769</f>
        <v>Hàng &amp; Dịch vụ Công nghiệp</v>
      </c>
      <c r="H790" t="str">
        <f>Sheet4!G769</f>
        <v>Containers &amp; Đóng gói</v>
      </c>
      <c r="I790" s="9" t="str" cm="1">
        <f t="array" ref="I79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90" s="9" t="str" cm="1">
        <f t="array" ref="J79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90" s="10" cm="1">
        <f t="array" ref="K79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90" s="10" cm="1">
        <f t="array" ref="L79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90" s="9" t="str" cm="1">
        <f t="array" ref="M79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90" s="9" t="str" cm="1">
        <f t="array" ref="N79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90" s="10" cm="1">
        <f t="array" ref="O790">IFERROR(INDEX(Sheet4!$2:$1605,MATCH(ChiTietKQKD[[#This Row],[Mã CP]],Sheet4!$B$2:$B$1605,0),_xlfn.XMATCH("*Tăng trưởng lợi nhuận sau thuế (YoY) (Quý*",Sheet4!$1:$1,2)),"")</f>
        <v>0</v>
      </c>
      <c r="P790" s="10" cm="1">
        <f t="array" ref="P790">IFERROR(INDEX(Sheet4!$2:$1605,MATCH(ChiTietKQKD[[#This Row],[Mã CP]],Sheet4!$B$2:$B$1605,0),_xlfn.XMATCH("*Tăng trưởng lợi nhuận sau thuế (YoY) (6M)*",Sheet4!$1:$1,2)),"")</f>
        <v>0</v>
      </c>
      <c r="Q790" s="10" cm="1">
        <f t="array" ref="Q790">IFERROR(INDEX(Sheet4!$2:$1605,MATCH(ChiTietKQKD[[#This Row],[Mã CP]],Sheet4!$B$2:$B$1605,0),_xlfn.XMATCH("*Tăng trưởng doanh thu thuần (QoQ)*",Sheet4!$1:$1,2)),"")</f>
        <v>0</v>
      </c>
      <c r="R790" s="10" cm="1">
        <f t="array" ref="R790">IFERROR(INDEX(Sheet4!$2:$1605,MATCH(ChiTietKQKD[[#This Row],[Mã CP]],Sheet4!$B$2:$B$1605,0),_xlfn.XMATCH("*Tăng trưởng lợi nhuận sau thuế (QoQ)*",Sheet4!$1:$1,2)),"")</f>
        <v>0</v>
      </c>
    </row>
    <row r="791" spans="1:18" x14ac:dyDescent="0.25">
      <c r="A791" s="7">
        <f>Sheet4!A770</f>
        <v>769</v>
      </c>
      <c r="B791" t="str">
        <f>Sheet4!B770</f>
        <v>BBM</v>
      </c>
      <c r="C791" t="str">
        <f>Sheet4!C769</f>
        <v>Bao bì Hoàng Thạch</v>
      </c>
      <c r="D791" t="str">
        <f>Sheet4!D770</f>
        <v>UPCoM</v>
      </c>
      <c r="E791" s="7">
        <f>Sheet4!AH770/1000000000</f>
        <v>17.2</v>
      </c>
      <c r="F791" t="str">
        <f>Sheet4!E770</f>
        <v>Hàng Tiêu dùng</v>
      </c>
      <c r="G791" t="str">
        <f>Sheet4!F770</f>
        <v>Thực phẩm và đồ uống</v>
      </c>
      <c r="H791" t="str">
        <f>Sheet4!G770</f>
        <v>Sản xuất bia</v>
      </c>
      <c r="I791" s="9" t="str" cm="1">
        <f t="array" ref="I79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91" s="9" t="str" cm="1">
        <f t="array" ref="J79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91" s="10" cm="1">
        <f t="array" ref="K79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91" s="10" cm="1">
        <f t="array" ref="L79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91" s="9" t="str" cm="1">
        <f t="array" ref="M79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91" s="9" t="str" cm="1">
        <f t="array" ref="N79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91" s="10" cm="1">
        <f t="array" ref="O791">IFERROR(INDEX(Sheet4!$2:$1605,MATCH(ChiTietKQKD[[#This Row],[Mã CP]],Sheet4!$B$2:$B$1605,0),_xlfn.XMATCH("*Tăng trưởng lợi nhuận sau thuế (YoY) (Quý*",Sheet4!$1:$1,2)),"")</f>
        <v>0</v>
      </c>
      <c r="P791" s="10" cm="1">
        <f t="array" ref="P791">IFERROR(INDEX(Sheet4!$2:$1605,MATCH(ChiTietKQKD[[#This Row],[Mã CP]],Sheet4!$B$2:$B$1605,0),_xlfn.XMATCH("*Tăng trưởng lợi nhuận sau thuế (YoY) (6M)*",Sheet4!$1:$1,2)),"")</f>
        <v>0</v>
      </c>
      <c r="Q791" s="10" cm="1">
        <f t="array" ref="Q791">IFERROR(INDEX(Sheet4!$2:$1605,MATCH(ChiTietKQKD[[#This Row],[Mã CP]],Sheet4!$B$2:$B$1605,0),_xlfn.XMATCH("*Tăng trưởng doanh thu thuần (QoQ)*",Sheet4!$1:$1,2)),"")</f>
        <v>0</v>
      </c>
      <c r="R791" s="10" cm="1">
        <f t="array" ref="R791">IFERROR(INDEX(Sheet4!$2:$1605,MATCH(ChiTietKQKD[[#This Row],[Mã CP]],Sheet4!$B$2:$B$1605,0),_xlfn.XMATCH("*Tăng trưởng lợi nhuận sau thuế (QoQ)*",Sheet4!$1:$1,2)),"")</f>
        <v>0</v>
      </c>
    </row>
    <row r="792" spans="1:18" x14ac:dyDescent="0.25">
      <c r="A792" s="7">
        <f>Sheet4!A771</f>
        <v>770</v>
      </c>
      <c r="B792" t="str">
        <f>Sheet4!B771</f>
        <v>BBT</v>
      </c>
      <c r="C792" t="str">
        <f>Sheet4!C770</f>
        <v>Bia Hà Nội - Nam Định</v>
      </c>
      <c r="D792" t="str">
        <f>Sheet4!D771</f>
        <v>UPCoM</v>
      </c>
      <c r="E792" s="7">
        <f>Sheet4!AH771/1000000000</f>
        <v>229.88839999999999</v>
      </c>
      <c r="F792" t="str">
        <f>Sheet4!E771</f>
        <v>Hàng Tiêu dùng</v>
      </c>
      <c r="G792" t="str">
        <f>Sheet4!F771</f>
        <v>Hàng cá nhân &amp; Gia dụng</v>
      </c>
      <c r="H792" t="str">
        <f>Sheet4!G771</f>
        <v>Hàng cá nhân</v>
      </c>
      <c r="I792" s="9" t="str" cm="1">
        <f t="array" ref="I79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92" s="9" t="str" cm="1">
        <f t="array" ref="J79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92" s="10" cm="1">
        <f t="array" ref="K79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92" s="10" cm="1">
        <f t="array" ref="L79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92" s="9" t="str" cm="1">
        <f t="array" ref="M79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92" s="9" t="str" cm="1">
        <f t="array" ref="N79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92" s="10" cm="1">
        <f t="array" ref="O792">IFERROR(INDEX(Sheet4!$2:$1605,MATCH(ChiTietKQKD[[#This Row],[Mã CP]],Sheet4!$B$2:$B$1605,0),_xlfn.XMATCH("*Tăng trưởng lợi nhuận sau thuế (YoY) (Quý*",Sheet4!$1:$1,2)),"")</f>
        <v>0</v>
      </c>
      <c r="P792" s="10" cm="1">
        <f t="array" ref="P792">IFERROR(INDEX(Sheet4!$2:$1605,MATCH(ChiTietKQKD[[#This Row],[Mã CP]],Sheet4!$B$2:$B$1605,0),_xlfn.XMATCH("*Tăng trưởng lợi nhuận sau thuế (YoY) (6M)*",Sheet4!$1:$1,2)),"")</f>
        <v>0</v>
      </c>
      <c r="Q792" s="10" cm="1">
        <f t="array" ref="Q792">IFERROR(INDEX(Sheet4!$2:$1605,MATCH(ChiTietKQKD[[#This Row],[Mã CP]],Sheet4!$B$2:$B$1605,0),_xlfn.XMATCH("*Tăng trưởng doanh thu thuần (QoQ)*",Sheet4!$1:$1,2)),"")</f>
        <v>0</v>
      </c>
      <c r="R792" s="10" cm="1">
        <f t="array" ref="R792">IFERROR(INDEX(Sheet4!$2:$1605,MATCH(ChiTietKQKD[[#This Row],[Mã CP]],Sheet4!$B$2:$B$1605,0),_xlfn.XMATCH("*Tăng trưởng lợi nhuận sau thuế (QoQ)*",Sheet4!$1:$1,2)),"")</f>
        <v>0</v>
      </c>
    </row>
    <row r="793" spans="1:18" x14ac:dyDescent="0.25">
      <c r="A793" s="7">
        <f>Sheet4!A772</f>
        <v>771</v>
      </c>
      <c r="B793" t="str">
        <f>Sheet4!B772</f>
        <v>BCA</v>
      </c>
      <c r="C793" t="str">
        <f>Sheet4!C771</f>
        <v>Bông Bạch Tuyết</v>
      </c>
      <c r="D793" t="str">
        <f>Sheet4!D772</f>
        <v>UPCoM</v>
      </c>
      <c r="E793" s="7">
        <f>Sheet4!AH772/1000000000</f>
        <v>1040</v>
      </c>
      <c r="F793" t="str">
        <f>Sheet4!E772</f>
        <v>Nguyên vật liệu</v>
      </c>
      <c r="G793" t="str">
        <f>Sheet4!F772</f>
        <v>Tài nguyên Cơ bản</v>
      </c>
      <c r="H793" t="str">
        <f>Sheet4!G772</f>
        <v>Thép và sản phẩm thép</v>
      </c>
      <c r="I793" s="9" t="str" cm="1">
        <f t="array" ref="I79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93" s="9" t="str" cm="1">
        <f t="array" ref="J79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93" s="10" cm="1">
        <f t="array" ref="K79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93" s="10" cm="1">
        <f t="array" ref="L79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93" s="9" t="str" cm="1">
        <f t="array" ref="M79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93" s="9" t="str" cm="1">
        <f t="array" ref="N79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93" s="10" cm="1">
        <f t="array" ref="O793">IFERROR(INDEX(Sheet4!$2:$1605,MATCH(ChiTietKQKD[[#This Row],[Mã CP]],Sheet4!$B$2:$B$1605,0),_xlfn.XMATCH("*Tăng trưởng lợi nhuận sau thuế (YoY) (Quý*",Sheet4!$1:$1,2)),"")</f>
        <v>0</v>
      </c>
      <c r="P793" s="10" cm="1">
        <f t="array" ref="P793">IFERROR(INDEX(Sheet4!$2:$1605,MATCH(ChiTietKQKD[[#This Row],[Mã CP]],Sheet4!$B$2:$B$1605,0),_xlfn.XMATCH("*Tăng trưởng lợi nhuận sau thuế (YoY) (6M)*",Sheet4!$1:$1,2)),"")</f>
        <v>0</v>
      </c>
      <c r="Q793" s="10" cm="1">
        <f t="array" ref="Q793">IFERROR(INDEX(Sheet4!$2:$1605,MATCH(ChiTietKQKD[[#This Row],[Mã CP]],Sheet4!$B$2:$B$1605,0),_xlfn.XMATCH("*Tăng trưởng doanh thu thuần (QoQ)*",Sheet4!$1:$1,2)),"")</f>
        <v>0</v>
      </c>
      <c r="R793" s="10" cm="1">
        <f t="array" ref="R793">IFERROR(INDEX(Sheet4!$2:$1605,MATCH(ChiTietKQKD[[#This Row],[Mã CP]],Sheet4!$B$2:$B$1605,0),_xlfn.XMATCH("*Tăng trưởng lợi nhuận sau thuế (QoQ)*",Sheet4!$1:$1,2)),"")</f>
        <v>0</v>
      </c>
    </row>
    <row r="794" spans="1:18" x14ac:dyDescent="0.25">
      <c r="A794" s="7">
        <f>Sheet4!A773</f>
        <v>772</v>
      </c>
      <c r="B794" t="str">
        <f>Sheet4!B773</f>
        <v>BCB</v>
      </c>
      <c r="C794" t="str">
        <f>Sheet4!C772</f>
        <v>Công ty B.C.H</v>
      </c>
      <c r="D794" t="str">
        <f>Sheet4!D773</f>
        <v>UPCoM</v>
      </c>
      <c r="E794" s="7">
        <f>Sheet4!AH773/1000000000</f>
        <v>12.54</v>
      </c>
      <c r="F794" t="str">
        <f>Sheet4!E773</f>
        <v>Nguyên vật liệu</v>
      </c>
      <c r="G794" t="str">
        <f>Sheet4!F773</f>
        <v>Tài nguyên Cơ bản</v>
      </c>
      <c r="H794" t="str">
        <f>Sheet4!G773</f>
        <v>Khai thác Than</v>
      </c>
      <c r="I794" s="9" t="str" cm="1">
        <f t="array" ref="I79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94" s="9" t="str" cm="1">
        <f t="array" ref="J79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94" s="10" cm="1">
        <f t="array" ref="K79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94" s="10" cm="1">
        <f t="array" ref="L79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94" s="9" t="str" cm="1">
        <f t="array" ref="M79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94" s="9" t="str" cm="1">
        <f t="array" ref="N79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94" s="10" cm="1">
        <f t="array" ref="O794">IFERROR(INDEX(Sheet4!$2:$1605,MATCH(ChiTietKQKD[[#This Row],[Mã CP]],Sheet4!$B$2:$B$1605,0),_xlfn.XMATCH("*Tăng trưởng lợi nhuận sau thuế (YoY) (Quý*",Sheet4!$1:$1,2)),"")</f>
        <v>0</v>
      </c>
      <c r="P794" s="10" cm="1">
        <f t="array" ref="P794">IFERROR(INDEX(Sheet4!$2:$1605,MATCH(ChiTietKQKD[[#This Row],[Mã CP]],Sheet4!$B$2:$B$1605,0),_xlfn.XMATCH("*Tăng trưởng lợi nhuận sau thuế (YoY) (6M)*",Sheet4!$1:$1,2)),"")</f>
        <v>0</v>
      </c>
      <c r="Q794" s="10" cm="1">
        <f t="array" ref="Q794">IFERROR(INDEX(Sheet4!$2:$1605,MATCH(ChiTietKQKD[[#This Row],[Mã CP]],Sheet4!$B$2:$B$1605,0),_xlfn.XMATCH("*Tăng trưởng doanh thu thuần (QoQ)*",Sheet4!$1:$1,2)),"")</f>
        <v>0</v>
      </c>
      <c r="R794" s="10" cm="1">
        <f t="array" ref="R794">IFERROR(INDEX(Sheet4!$2:$1605,MATCH(ChiTietKQKD[[#This Row],[Mã CP]],Sheet4!$B$2:$B$1605,0),_xlfn.XMATCH("*Tăng trưởng lợi nhuận sau thuế (QoQ)*",Sheet4!$1:$1,2)),"")</f>
        <v>0</v>
      </c>
    </row>
    <row r="795" spans="1:18" x14ac:dyDescent="0.25">
      <c r="A795" s="7">
        <f>Sheet4!A774</f>
        <v>773</v>
      </c>
      <c r="B795" t="str">
        <f>Sheet4!B774</f>
        <v>BCG</v>
      </c>
      <c r="C795" t="str">
        <f>Sheet4!C773</f>
        <v>Công ty 397</v>
      </c>
      <c r="D795" t="str">
        <f>Sheet4!D774</f>
        <v>UPCoM</v>
      </c>
      <c r="E795" s="7">
        <f>Sheet4!AH774/1000000000</f>
        <v>0</v>
      </c>
      <c r="F795" t="str">
        <f>Sheet4!E774</f>
        <v>Tài chính</v>
      </c>
      <c r="G795" t="str">
        <f>Sheet4!F774</f>
        <v>Dịch vụ tài chính</v>
      </c>
      <c r="H795" t="str">
        <f>Sheet4!G774</f>
        <v>Tài chính đặc biệt</v>
      </c>
      <c r="I795" s="9" t="str" cm="1">
        <f t="array" ref="I79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95" s="9" t="str" cm="1">
        <f t="array" ref="J79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95" s="10" cm="1">
        <f t="array" ref="K79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95" s="10" cm="1">
        <f t="array" ref="L79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95" s="9" t="str" cm="1">
        <f t="array" ref="M79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95" s="9" t="str" cm="1">
        <f t="array" ref="N79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95" s="10" cm="1">
        <f t="array" ref="O795">IFERROR(INDEX(Sheet4!$2:$1605,MATCH(ChiTietKQKD[[#This Row],[Mã CP]],Sheet4!$B$2:$B$1605,0),_xlfn.XMATCH("*Tăng trưởng lợi nhuận sau thuế (YoY) (Quý*",Sheet4!$1:$1,2)),"")</f>
        <v>0</v>
      </c>
      <c r="P795" s="10" cm="1">
        <f t="array" ref="P795">IFERROR(INDEX(Sheet4!$2:$1605,MATCH(ChiTietKQKD[[#This Row],[Mã CP]],Sheet4!$B$2:$B$1605,0),_xlfn.XMATCH("*Tăng trưởng lợi nhuận sau thuế (YoY) (6M)*",Sheet4!$1:$1,2)),"")</f>
        <v>0</v>
      </c>
      <c r="Q795" s="10" cm="1">
        <f t="array" ref="Q795">IFERROR(INDEX(Sheet4!$2:$1605,MATCH(ChiTietKQKD[[#This Row],[Mã CP]],Sheet4!$B$2:$B$1605,0),_xlfn.XMATCH("*Tăng trưởng doanh thu thuần (QoQ)*",Sheet4!$1:$1,2)),"")</f>
        <v>0</v>
      </c>
      <c r="R795" s="10" cm="1">
        <f t="array" ref="R795">IFERROR(INDEX(Sheet4!$2:$1605,MATCH(ChiTietKQKD[[#This Row],[Mã CP]],Sheet4!$B$2:$B$1605,0),_xlfn.XMATCH("*Tăng trưởng lợi nhuận sau thuế (QoQ)*",Sheet4!$1:$1,2)),"")</f>
        <v>0</v>
      </c>
    </row>
    <row r="796" spans="1:18" x14ac:dyDescent="0.25">
      <c r="A796" s="7">
        <f>Sheet4!A775</f>
        <v>774</v>
      </c>
      <c r="B796" t="str">
        <f>Sheet4!B775</f>
        <v>BCP</v>
      </c>
      <c r="C796" t="str">
        <f>Sheet4!C774</f>
        <v>Bamboo Capital</v>
      </c>
      <c r="D796" t="str">
        <f>Sheet4!D775</f>
        <v>UPCoM</v>
      </c>
      <c r="E796" s="7">
        <f>Sheet4!AH775/1000000000</f>
        <v>61.2</v>
      </c>
      <c r="F796" t="str">
        <f>Sheet4!E775</f>
        <v>Dược phẩm và Y tế</v>
      </c>
      <c r="G796" t="str">
        <f>Sheet4!F775</f>
        <v>Y tế</v>
      </c>
      <c r="H796" t="str">
        <f>Sheet4!G775</f>
        <v>Dược phẩm</v>
      </c>
      <c r="I796" s="9" t="str" cm="1">
        <f t="array" ref="I79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96" s="9" t="str" cm="1">
        <f t="array" ref="J79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96" s="10" cm="1">
        <f t="array" ref="K79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96" s="10" cm="1">
        <f t="array" ref="L79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96" s="9" t="str" cm="1">
        <f t="array" ref="M79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96" s="9" t="str" cm="1">
        <f t="array" ref="N79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96" s="10" cm="1">
        <f t="array" ref="O796">IFERROR(INDEX(Sheet4!$2:$1605,MATCH(ChiTietKQKD[[#This Row],[Mã CP]],Sheet4!$B$2:$B$1605,0),_xlfn.XMATCH("*Tăng trưởng lợi nhuận sau thuế (YoY) (Quý*",Sheet4!$1:$1,2)),"")</f>
        <v>0</v>
      </c>
      <c r="P796" s="10" cm="1">
        <f t="array" ref="P796">IFERROR(INDEX(Sheet4!$2:$1605,MATCH(ChiTietKQKD[[#This Row],[Mã CP]],Sheet4!$B$2:$B$1605,0),_xlfn.XMATCH("*Tăng trưởng lợi nhuận sau thuế (YoY) (6M)*",Sheet4!$1:$1,2)),"")</f>
        <v>0</v>
      </c>
      <c r="Q796" s="10" cm="1">
        <f t="array" ref="Q796">IFERROR(INDEX(Sheet4!$2:$1605,MATCH(ChiTietKQKD[[#This Row],[Mã CP]],Sheet4!$B$2:$B$1605,0),_xlfn.XMATCH("*Tăng trưởng doanh thu thuần (QoQ)*",Sheet4!$1:$1,2)),"")</f>
        <v>0</v>
      </c>
      <c r="R796" s="10" cm="1">
        <f t="array" ref="R796">IFERROR(INDEX(Sheet4!$2:$1605,MATCH(ChiTietKQKD[[#This Row],[Mã CP]],Sheet4!$B$2:$B$1605,0),_xlfn.XMATCH("*Tăng trưởng lợi nhuận sau thuế (QoQ)*",Sheet4!$1:$1,2)),"")</f>
        <v>0</v>
      </c>
    </row>
    <row r="797" spans="1:18" x14ac:dyDescent="0.25">
      <c r="A797" s="7">
        <f>Sheet4!A776</f>
        <v>775</v>
      </c>
      <c r="B797" t="str">
        <f>Sheet4!B776</f>
        <v>BCR</v>
      </c>
      <c r="C797" t="str">
        <f>Sheet4!C775</f>
        <v>Dược Enlie</v>
      </c>
      <c r="D797" t="str">
        <f>Sheet4!D776</f>
        <v>UPCoM</v>
      </c>
      <c r="E797" s="7">
        <f>Sheet4!AH776/1000000000</f>
        <v>473.799913</v>
      </c>
      <c r="F797" t="str">
        <f>Sheet4!E776</f>
        <v>Công nghiệp</v>
      </c>
      <c r="G797" t="str">
        <f>Sheet4!F776</f>
        <v>Xây dựng và Vật liệu</v>
      </c>
      <c r="H797" t="str">
        <f>Sheet4!G776</f>
        <v>Xây dựng</v>
      </c>
      <c r="I797" s="9" t="str" cm="1">
        <f t="array" ref="I79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97" s="9" t="str" cm="1">
        <f t="array" ref="J79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97" s="10" cm="1">
        <f t="array" ref="K79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97" s="10" cm="1">
        <f t="array" ref="L79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97" s="9" t="str" cm="1">
        <f t="array" ref="M79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97" s="9" t="str" cm="1">
        <f t="array" ref="N79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97" s="10" cm="1">
        <f t="array" ref="O797">IFERROR(INDEX(Sheet4!$2:$1605,MATCH(ChiTietKQKD[[#This Row],[Mã CP]],Sheet4!$B$2:$B$1605,0),_xlfn.XMATCH("*Tăng trưởng lợi nhuận sau thuế (YoY) (Quý*",Sheet4!$1:$1,2)),"")</f>
        <v>0</v>
      </c>
      <c r="P797" s="10" cm="1">
        <f t="array" ref="P797">IFERROR(INDEX(Sheet4!$2:$1605,MATCH(ChiTietKQKD[[#This Row],[Mã CP]],Sheet4!$B$2:$B$1605,0),_xlfn.XMATCH("*Tăng trưởng lợi nhuận sau thuế (YoY) (6M)*",Sheet4!$1:$1,2)),"")</f>
        <v>0</v>
      </c>
      <c r="Q797" s="10" cm="1">
        <f t="array" ref="Q797">IFERROR(INDEX(Sheet4!$2:$1605,MATCH(ChiTietKQKD[[#This Row],[Mã CP]],Sheet4!$B$2:$B$1605,0),_xlfn.XMATCH("*Tăng trưởng doanh thu thuần (QoQ)*",Sheet4!$1:$1,2)),"")</f>
        <v>0</v>
      </c>
      <c r="R797" s="10" cm="1">
        <f t="array" ref="R797">IFERROR(INDEX(Sheet4!$2:$1605,MATCH(ChiTietKQKD[[#This Row],[Mã CP]],Sheet4!$B$2:$B$1605,0),_xlfn.XMATCH("*Tăng trưởng lợi nhuận sau thuế (QoQ)*",Sheet4!$1:$1,2)),"")</f>
        <v>0</v>
      </c>
    </row>
    <row r="798" spans="1:18" x14ac:dyDescent="0.25">
      <c r="A798" s="7">
        <f>Sheet4!A777</f>
        <v>776</v>
      </c>
      <c r="B798" t="str">
        <f>Sheet4!B777</f>
        <v>BCV</v>
      </c>
      <c r="C798" t="str">
        <f>Sheet4!C776</f>
        <v>BCG Land</v>
      </c>
      <c r="D798" t="str">
        <f>Sheet4!D777</f>
        <v>UPCoM</v>
      </c>
      <c r="E798" s="7">
        <f>Sheet4!AH777/1000000000</f>
        <v>38.700000000000003</v>
      </c>
      <c r="F798" t="str">
        <f>Sheet4!E777</f>
        <v>Dịch vụ Tiêu dùng</v>
      </c>
      <c r="G798" t="str">
        <f>Sheet4!F777</f>
        <v>Du lịch và Giải trí</v>
      </c>
      <c r="H798" t="str">
        <f>Sheet4!G777</f>
        <v>Khách sạn</v>
      </c>
      <c r="I798" s="9" t="str" cm="1">
        <f t="array" ref="I79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98" s="9" t="str" cm="1">
        <f t="array" ref="J79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98" s="10" cm="1">
        <f t="array" ref="K79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98" s="10" cm="1">
        <f t="array" ref="L79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98" s="9" t="str" cm="1">
        <f t="array" ref="M79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98" s="9" t="str" cm="1">
        <f t="array" ref="N79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98" s="10" cm="1">
        <f t="array" ref="O798">IFERROR(INDEX(Sheet4!$2:$1605,MATCH(ChiTietKQKD[[#This Row],[Mã CP]],Sheet4!$B$2:$B$1605,0),_xlfn.XMATCH("*Tăng trưởng lợi nhuận sau thuế (YoY) (Quý*",Sheet4!$1:$1,2)),"")</f>
        <v>0</v>
      </c>
      <c r="P798" s="10" cm="1">
        <f t="array" ref="P798">IFERROR(INDEX(Sheet4!$2:$1605,MATCH(ChiTietKQKD[[#This Row],[Mã CP]],Sheet4!$B$2:$B$1605,0),_xlfn.XMATCH("*Tăng trưởng lợi nhuận sau thuế (YoY) (6M)*",Sheet4!$1:$1,2)),"")</f>
        <v>0</v>
      </c>
      <c r="Q798" s="10" cm="1">
        <f t="array" ref="Q798">IFERROR(INDEX(Sheet4!$2:$1605,MATCH(ChiTietKQKD[[#This Row],[Mã CP]],Sheet4!$B$2:$B$1605,0),_xlfn.XMATCH("*Tăng trưởng doanh thu thuần (QoQ)*",Sheet4!$1:$1,2)),"")</f>
        <v>0</v>
      </c>
      <c r="R798" s="10" cm="1">
        <f t="array" ref="R798">IFERROR(INDEX(Sheet4!$2:$1605,MATCH(ChiTietKQKD[[#This Row],[Mã CP]],Sheet4!$B$2:$B$1605,0),_xlfn.XMATCH("*Tăng trưởng lợi nhuận sau thuế (QoQ)*",Sheet4!$1:$1,2)),"")</f>
        <v>0</v>
      </c>
    </row>
    <row r="799" spans="1:18" x14ac:dyDescent="0.25">
      <c r="A799" s="7">
        <f>Sheet4!A778</f>
        <v>777</v>
      </c>
      <c r="B799" t="str">
        <f>Sheet4!B778</f>
        <v>BDG</v>
      </c>
      <c r="C799" t="str">
        <f>Sheet4!C777</f>
        <v>DL và TM Bằng Giang - Vimico</v>
      </c>
      <c r="D799" t="str">
        <f>Sheet4!D778</f>
        <v>UPCoM</v>
      </c>
      <c r="E799" s="7">
        <f>Sheet4!AH778/1000000000</f>
        <v>696.53055312000004</v>
      </c>
      <c r="F799" t="str">
        <f>Sheet4!E778</f>
        <v>Hàng Tiêu dùng</v>
      </c>
      <c r="G799" t="str">
        <f>Sheet4!F778</f>
        <v>Hàng cá nhân &amp; Gia dụng</v>
      </c>
      <c r="H799" t="str">
        <f>Sheet4!G778</f>
        <v>Hàng May mặc</v>
      </c>
      <c r="I799" s="9" t="str" cm="1">
        <f t="array" ref="I79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799" s="9" t="str" cm="1">
        <f t="array" ref="J79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799" s="10" cm="1">
        <f t="array" ref="K79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799" s="10" cm="1">
        <f t="array" ref="L79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799" s="9" t="str" cm="1">
        <f t="array" ref="M79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799" s="9" t="str" cm="1">
        <f t="array" ref="N79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799" s="10" cm="1">
        <f t="array" ref="O799">IFERROR(INDEX(Sheet4!$2:$1605,MATCH(ChiTietKQKD[[#This Row],[Mã CP]],Sheet4!$B$2:$B$1605,0),_xlfn.XMATCH("*Tăng trưởng lợi nhuận sau thuế (YoY) (Quý*",Sheet4!$1:$1,2)),"")</f>
        <v>0</v>
      </c>
      <c r="P799" s="10" cm="1">
        <f t="array" ref="P799">IFERROR(INDEX(Sheet4!$2:$1605,MATCH(ChiTietKQKD[[#This Row],[Mã CP]],Sheet4!$B$2:$B$1605,0),_xlfn.XMATCH("*Tăng trưởng lợi nhuận sau thuế (YoY) (6M)*",Sheet4!$1:$1,2)),"")</f>
        <v>0</v>
      </c>
      <c r="Q799" s="10" cm="1">
        <f t="array" ref="Q799">IFERROR(INDEX(Sheet4!$2:$1605,MATCH(ChiTietKQKD[[#This Row],[Mã CP]],Sheet4!$B$2:$B$1605,0),_xlfn.XMATCH("*Tăng trưởng doanh thu thuần (QoQ)*",Sheet4!$1:$1,2)),"")</f>
        <v>0</v>
      </c>
      <c r="R799" s="10" cm="1">
        <f t="array" ref="R799">IFERROR(INDEX(Sheet4!$2:$1605,MATCH(ChiTietKQKD[[#This Row],[Mã CP]],Sheet4!$B$2:$B$1605,0),_xlfn.XMATCH("*Tăng trưởng lợi nhuận sau thuế (QoQ)*",Sheet4!$1:$1,2)),"")</f>
        <v>0</v>
      </c>
    </row>
    <row r="800" spans="1:18" x14ac:dyDescent="0.25">
      <c r="A800" s="7">
        <f>Sheet4!A779</f>
        <v>778</v>
      </c>
      <c r="B800" t="str">
        <f>Sheet4!B779</f>
        <v>BDT</v>
      </c>
      <c r="C800" t="str">
        <f>Sheet4!C778</f>
        <v>May mặc Bình Dương</v>
      </c>
      <c r="D800" t="str">
        <f>Sheet4!D779</f>
        <v>UPCoM</v>
      </c>
      <c r="E800" s="7">
        <f>Sheet4!AH779/1000000000</f>
        <v>346.39371499999999</v>
      </c>
      <c r="F800" t="str">
        <f>Sheet4!E779</f>
        <v>Công nghiệp</v>
      </c>
      <c r="G800" t="str">
        <f>Sheet4!F779</f>
        <v>Xây dựng và Vật liệu</v>
      </c>
      <c r="H800" t="str">
        <f>Sheet4!G779</f>
        <v>Vật liệu xây dựng &amp; Nội thất</v>
      </c>
      <c r="I800" s="9" t="str" cm="1">
        <f t="array" ref="I80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00" s="9" t="str" cm="1">
        <f t="array" ref="J80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00" s="10" cm="1">
        <f t="array" ref="K80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00" s="10" cm="1">
        <f t="array" ref="L80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00" s="9" t="str" cm="1">
        <f t="array" ref="M80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00" s="9" t="str" cm="1">
        <f t="array" ref="N80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00" s="10" cm="1">
        <f t="array" ref="O800">IFERROR(INDEX(Sheet4!$2:$1605,MATCH(ChiTietKQKD[[#This Row],[Mã CP]],Sheet4!$B$2:$B$1605,0),_xlfn.XMATCH("*Tăng trưởng lợi nhuận sau thuế (YoY) (Quý*",Sheet4!$1:$1,2)),"")</f>
        <v>0</v>
      </c>
      <c r="P800" s="10" cm="1">
        <f t="array" ref="P800">IFERROR(INDEX(Sheet4!$2:$1605,MATCH(ChiTietKQKD[[#This Row],[Mã CP]],Sheet4!$B$2:$B$1605,0),_xlfn.XMATCH("*Tăng trưởng lợi nhuận sau thuế (YoY) (6M)*",Sheet4!$1:$1,2)),"")</f>
        <v>0</v>
      </c>
      <c r="Q800" s="10" cm="1">
        <f t="array" ref="Q800">IFERROR(INDEX(Sheet4!$2:$1605,MATCH(ChiTietKQKD[[#This Row],[Mã CP]],Sheet4!$B$2:$B$1605,0),_xlfn.XMATCH("*Tăng trưởng doanh thu thuần (QoQ)*",Sheet4!$1:$1,2)),"")</f>
        <v>0</v>
      </c>
      <c r="R800" s="10" cm="1">
        <f t="array" ref="R800">IFERROR(INDEX(Sheet4!$2:$1605,MATCH(ChiTietKQKD[[#This Row],[Mã CP]],Sheet4!$B$2:$B$1605,0),_xlfn.XMATCH("*Tăng trưởng lợi nhuận sau thuế (QoQ)*",Sheet4!$1:$1,2)),"")</f>
        <v>0</v>
      </c>
    </row>
    <row r="801" spans="1:18" x14ac:dyDescent="0.25">
      <c r="A801" s="7">
        <f>Sheet4!A780</f>
        <v>779</v>
      </c>
      <c r="B801" t="str">
        <f>Sheet4!B780</f>
        <v>BDW</v>
      </c>
      <c r="C801" t="str">
        <f>Sheet4!C779</f>
        <v>VLXD Đồng Tháp</v>
      </c>
      <c r="D801" t="str">
        <f>Sheet4!D780</f>
        <v>UPCoM</v>
      </c>
      <c r="E801" s="7">
        <f>Sheet4!AH780/1000000000</f>
        <v>331.36836</v>
      </c>
      <c r="F801" t="str">
        <f>Sheet4!E780</f>
        <v>Tiện ích Cộng đồng</v>
      </c>
      <c r="G801" t="str">
        <f>Sheet4!F780</f>
        <v>Điện, nước &amp; xăng dầu khí đốt</v>
      </c>
      <c r="H801" t="str">
        <f>Sheet4!G780</f>
        <v>Nước</v>
      </c>
      <c r="I801" s="9" cm="1">
        <f t="array" ref="I80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90.511361417000003</v>
      </c>
      <c r="J801" s="9" cm="1">
        <f t="array" ref="J80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172.65693657899999</v>
      </c>
      <c r="K801" s="10" cm="1">
        <f t="array" ref="K80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0.104</v>
      </c>
      <c r="L801" s="10" cm="1">
        <f t="array" ref="L80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01" s="9" cm="1">
        <f t="array" ref="M801">_xlfn.LET(_xlpm.val,IFERROR(INDEX(Sheet4!$2:$1605,MATCH(ChiTietKQKD[[#This Row],[Mã CP]],Sheet4!$B$2:$B$1605,0),_xlfn.XMATCH("*Lợi nhuận sau thuế*Q2*2026*",Sheet4!$1:$1,2)),0),IF(OR(_xlpm.val="",_xlpm.val=0),"",_xlpm.val/1000000000))</f>
        <v>10.953145225</v>
      </c>
      <c r="N801" s="9" cm="1">
        <f t="array" ref="N801">_xlfn.LET(_xlpm.val,IFERROR(INDEX(Sheet4!$2:$1605,MATCH(ChiTietKQKD[[#This Row],[Mã CP]],Sheet4!$B$2:$B$1605,0),_xlfn.XMATCH("*Lợi nhuận sau thuế*6 tháng*2026*",Sheet4!$1:$1,2)),0),IF(OR(_xlpm.val="",_xlpm.val=0),"",_xlpm.val/1000000000))</f>
        <v>21.085964003000001</v>
      </c>
      <c r="O801" s="10" cm="1">
        <f t="array" ref="O801">IFERROR(INDEX(Sheet4!$2:$1605,MATCH(ChiTietKQKD[[#This Row],[Mã CP]],Sheet4!$B$2:$B$1605,0),_xlfn.XMATCH("*Tăng trưởng lợi nhuận sau thuế (YoY) (Quý*",Sheet4!$1:$1,2)),"")</f>
        <v>4.4999999999999998E-2</v>
      </c>
      <c r="P801" s="10" cm="1">
        <f t="array" ref="P801">IFERROR(INDEX(Sheet4!$2:$1605,MATCH(ChiTietKQKD[[#This Row],[Mã CP]],Sheet4!$B$2:$B$1605,0),_xlfn.XMATCH("*Tăng trưởng lợi nhuận sau thuế (YoY) (6M)*",Sheet4!$1:$1,2)),"")</f>
        <v>0</v>
      </c>
      <c r="Q801" s="10" cm="1">
        <f t="array" ref="Q801">IFERROR(INDEX(Sheet4!$2:$1605,MATCH(ChiTietKQKD[[#This Row],[Mã CP]],Sheet4!$B$2:$B$1605,0),_xlfn.XMATCH("*Tăng trưởng doanh thu thuần (QoQ)*",Sheet4!$1:$1,2)),"")</f>
        <v>0.1018</v>
      </c>
      <c r="R801" s="10" cm="1">
        <f t="array" ref="R801">IFERROR(INDEX(Sheet4!$2:$1605,MATCH(ChiTietKQKD[[#This Row],[Mã CP]],Sheet4!$B$2:$B$1605,0),_xlfn.XMATCH("*Tăng trưởng lợi nhuận sau thuế (QoQ)*",Sheet4!$1:$1,2)),"")</f>
        <v>8.1000000000000003E-2</v>
      </c>
    </row>
    <row r="802" spans="1:18" x14ac:dyDescent="0.25">
      <c r="A802" s="7">
        <f>Sheet4!A781</f>
        <v>780</v>
      </c>
      <c r="B802" t="str">
        <f>Sheet4!B781</f>
        <v>BEL</v>
      </c>
      <c r="C802" t="str">
        <f>Sheet4!C780</f>
        <v>Cấp thoát nước Bình Định</v>
      </c>
      <c r="D802" t="str">
        <f>Sheet4!D781</f>
        <v>UPCoM</v>
      </c>
      <c r="E802" s="7">
        <f>Sheet4!AH781/1000000000</f>
        <v>142.80000000000001</v>
      </c>
      <c r="F802" t="str">
        <f>Sheet4!E781</f>
        <v>Hàng Tiêu dùng</v>
      </c>
      <c r="G802" t="str">
        <f>Sheet4!F781</f>
        <v>Hàng cá nhân &amp; Gia dụng</v>
      </c>
      <c r="H802" t="str">
        <f>Sheet4!G781</f>
        <v>Điện tử tiêu dùng</v>
      </c>
      <c r="I802" s="9" t="str" cm="1">
        <f t="array" ref="I80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02" s="9" t="str" cm="1">
        <f t="array" ref="J80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02" s="10" cm="1">
        <f t="array" ref="K80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02" s="10" cm="1">
        <f t="array" ref="L80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02" s="9" t="str" cm="1">
        <f t="array" ref="M80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02" s="9" t="str" cm="1">
        <f t="array" ref="N80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02" s="10" cm="1">
        <f t="array" ref="O802">IFERROR(INDEX(Sheet4!$2:$1605,MATCH(ChiTietKQKD[[#This Row],[Mã CP]],Sheet4!$B$2:$B$1605,0),_xlfn.XMATCH("*Tăng trưởng lợi nhuận sau thuế (YoY) (Quý*",Sheet4!$1:$1,2)),"")</f>
        <v>0</v>
      </c>
      <c r="P802" s="10" cm="1">
        <f t="array" ref="P802">IFERROR(INDEX(Sheet4!$2:$1605,MATCH(ChiTietKQKD[[#This Row],[Mã CP]],Sheet4!$B$2:$B$1605,0),_xlfn.XMATCH("*Tăng trưởng lợi nhuận sau thuế (YoY) (6M)*",Sheet4!$1:$1,2)),"")</f>
        <v>0</v>
      </c>
      <c r="Q802" s="10" cm="1">
        <f t="array" ref="Q802">IFERROR(INDEX(Sheet4!$2:$1605,MATCH(ChiTietKQKD[[#This Row],[Mã CP]],Sheet4!$B$2:$B$1605,0),_xlfn.XMATCH("*Tăng trưởng doanh thu thuần (QoQ)*",Sheet4!$1:$1,2)),"")</f>
        <v>0</v>
      </c>
      <c r="R802" s="10" cm="1">
        <f t="array" ref="R802">IFERROR(INDEX(Sheet4!$2:$1605,MATCH(ChiTietKQKD[[#This Row],[Mã CP]],Sheet4!$B$2:$B$1605,0),_xlfn.XMATCH("*Tăng trưởng lợi nhuận sau thuế (QoQ)*",Sheet4!$1:$1,2)),"")</f>
        <v>0</v>
      </c>
    </row>
    <row r="803" spans="1:18" x14ac:dyDescent="0.25">
      <c r="A803" s="7">
        <f>Sheet4!A782</f>
        <v>781</v>
      </c>
      <c r="B803" t="str">
        <f>Sheet4!B782</f>
        <v>BGE</v>
      </c>
      <c r="C803" t="str">
        <f>Sheet4!C781</f>
        <v>Điện tử Biên Hoà</v>
      </c>
      <c r="D803" t="str">
        <f>Sheet4!D782</f>
        <v>UPCoM</v>
      </c>
      <c r="E803" s="7">
        <f>Sheet4!AH782/1000000000</f>
        <v>2190</v>
      </c>
      <c r="F803" t="str">
        <f>Sheet4!E782</f>
        <v>Tiện ích Cộng đồng</v>
      </c>
      <c r="G803" t="str">
        <f>Sheet4!F782</f>
        <v>Điện, nước &amp; xăng dầu khí đốt</v>
      </c>
      <c r="H803" t="str">
        <f>Sheet4!G782</f>
        <v>Sản xuất &amp; Phân phối Điện</v>
      </c>
      <c r="I803" s="9" t="str" cm="1">
        <f t="array" ref="I80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03" s="9" t="str" cm="1">
        <f t="array" ref="J80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03" s="10" cm="1">
        <f t="array" ref="K80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03" s="10" cm="1">
        <f t="array" ref="L80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03" s="9" t="str" cm="1">
        <f t="array" ref="M80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03" s="9" t="str" cm="1">
        <f t="array" ref="N80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03" s="10" cm="1">
        <f t="array" ref="O803">IFERROR(INDEX(Sheet4!$2:$1605,MATCH(ChiTietKQKD[[#This Row],[Mã CP]],Sheet4!$B$2:$B$1605,0),_xlfn.XMATCH("*Tăng trưởng lợi nhuận sau thuế (YoY) (Quý*",Sheet4!$1:$1,2)),"")</f>
        <v>0</v>
      </c>
      <c r="P803" s="10" cm="1">
        <f t="array" ref="P803">IFERROR(INDEX(Sheet4!$2:$1605,MATCH(ChiTietKQKD[[#This Row],[Mã CP]],Sheet4!$B$2:$B$1605,0),_xlfn.XMATCH("*Tăng trưởng lợi nhuận sau thuế (YoY) (6M)*",Sheet4!$1:$1,2)),"")</f>
        <v>0</v>
      </c>
      <c r="Q803" s="10" cm="1">
        <f t="array" ref="Q803">IFERROR(INDEX(Sheet4!$2:$1605,MATCH(ChiTietKQKD[[#This Row],[Mã CP]],Sheet4!$B$2:$B$1605,0),_xlfn.XMATCH("*Tăng trưởng doanh thu thuần (QoQ)*",Sheet4!$1:$1,2)),"")</f>
        <v>0</v>
      </c>
      <c r="R803" s="10" cm="1">
        <f t="array" ref="R803">IFERROR(INDEX(Sheet4!$2:$1605,MATCH(ChiTietKQKD[[#This Row],[Mã CP]],Sheet4!$B$2:$B$1605,0),_xlfn.XMATCH("*Tăng trưởng lợi nhuận sau thuế (QoQ)*",Sheet4!$1:$1,2)),"")</f>
        <v>0</v>
      </c>
    </row>
    <row r="804" spans="1:18" x14ac:dyDescent="0.25">
      <c r="A804" s="7">
        <f>Sheet4!A783</f>
        <v>782</v>
      </c>
      <c r="B804" t="str">
        <f>Sheet4!B783</f>
        <v>BGW</v>
      </c>
      <c r="C804" t="str">
        <f>Sheet4!C782</f>
        <v>BCG Energy</v>
      </c>
      <c r="D804" t="str">
        <f>Sheet4!D783</f>
        <v>UPCoM</v>
      </c>
      <c r="E804" s="7">
        <f>Sheet4!AH783/1000000000</f>
        <v>290.39113600000002</v>
      </c>
      <c r="F804" t="str">
        <f>Sheet4!E783</f>
        <v>Tiện ích Cộng đồng</v>
      </c>
      <c r="G804" t="str">
        <f>Sheet4!F783</f>
        <v>Điện, nước &amp; xăng dầu khí đốt</v>
      </c>
      <c r="H804" t="str">
        <f>Sheet4!G783</f>
        <v>Nước</v>
      </c>
      <c r="I804" s="9" cm="1">
        <f t="array" ref="I80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53.647770616999999</v>
      </c>
      <c r="J804" s="9" cm="1">
        <f t="array" ref="J80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100.137508512</v>
      </c>
      <c r="K804" s="10" cm="1">
        <f t="array" ref="K80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6.9400000000000003E-2</v>
      </c>
      <c r="L804" s="10" cm="1">
        <f t="array" ref="L80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04" s="9" cm="1">
        <f t="array" ref="M804">_xlfn.LET(_xlpm.val,IFERROR(INDEX(Sheet4!$2:$1605,MATCH(ChiTietKQKD[[#This Row],[Mã CP]],Sheet4!$B$2:$B$1605,0),_xlfn.XMATCH("*Lợi nhuận sau thuế*Q2*2026*",Sheet4!$1:$1,2)),0),IF(OR(_xlpm.val="",_xlpm.val=0),"",_xlpm.val/1000000000))</f>
        <v>5.8132366199999996</v>
      </c>
      <c r="N804" s="9" cm="1">
        <f t="array" ref="N804">_xlfn.LET(_xlpm.val,IFERROR(INDEX(Sheet4!$2:$1605,MATCH(ChiTietKQKD[[#This Row],[Mã CP]],Sheet4!$B$2:$B$1605,0),_xlfn.XMATCH("*Lợi nhuận sau thuế*6 tháng*2026*",Sheet4!$1:$1,2)),0),IF(OR(_xlpm.val="",_xlpm.val=0),"",_xlpm.val/1000000000))</f>
        <v>9.6702500520000001</v>
      </c>
      <c r="O804" s="10" cm="1">
        <f t="array" ref="O804">IFERROR(INDEX(Sheet4!$2:$1605,MATCH(ChiTietKQKD[[#This Row],[Mã CP]],Sheet4!$B$2:$B$1605,0),_xlfn.XMATCH("*Tăng trưởng lợi nhuận sau thuế (YoY) (Quý*",Sheet4!$1:$1,2)),"")</f>
        <v>0.16750000000000001</v>
      </c>
      <c r="P804" s="10" cm="1">
        <f t="array" ref="P804">IFERROR(INDEX(Sheet4!$2:$1605,MATCH(ChiTietKQKD[[#This Row],[Mã CP]],Sheet4!$B$2:$B$1605,0),_xlfn.XMATCH("*Tăng trưởng lợi nhuận sau thuế (YoY) (6M)*",Sheet4!$1:$1,2)),"")</f>
        <v>0</v>
      </c>
      <c r="Q804" s="10" cm="1">
        <f t="array" ref="Q804">IFERROR(INDEX(Sheet4!$2:$1605,MATCH(ChiTietKQKD[[#This Row],[Mã CP]],Sheet4!$B$2:$B$1605,0),_xlfn.XMATCH("*Tăng trưởng doanh thu thuần (QoQ)*",Sheet4!$1:$1,2)),"")</f>
        <v>0.154</v>
      </c>
      <c r="R804" s="10" cm="1">
        <f t="array" ref="R804">IFERROR(INDEX(Sheet4!$2:$1605,MATCH(ChiTietKQKD[[#This Row],[Mã CP]],Sheet4!$B$2:$B$1605,0),_xlfn.XMATCH("*Tăng trưởng lợi nhuận sau thuế (QoQ)*",Sheet4!$1:$1,2)),"")</f>
        <v>0.50719999999999998</v>
      </c>
    </row>
    <row r="805" spans="1:18" x14ac:dyDescent="0.25">
      <c r="A805" s="7">
        <f>Sheet4!A784</f>
        <v>783</v>
      </c>
      <c r="B805" t="str">
        <f>Sheet4!B784</f>
        <v>BHA</v>
      </c>
      <c r="C805" t="str">
        <f>Sheet4!C783</f>
        <v>Nước sạch Bắc Giang</v>
      </c>
      <c r="D805" t="str">
        <f>Sheet4!D784</f>
        <v>UPCoM</v>
      </c>
      <c r="E805" s="7">
        <f>Sheet4!AH784/1000000000</f>
        <v>1419.5940000000001</v>
      </c>
      <c r="F805" t="str">
        <f>Sheet4!E784</f>
        <v>Tiện ích Cộng đồng</v>
      </c>
      <c r="G805" t="str">
        <f>Sheet4!F784</f>
        <v>Điện, nước &amp; xăng dầu khí đốt</v>
      </c>
      <c r="H805" t="str">
        <f>Sheet4!G784</f>
        <v>Sản xuất &amp; Phân phối Điện</v>
      </c>
      <c r="I805" s="9" cm="1">
        <f t="array" ref="I80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39.920920606000003</v>
      </c>
      <c r="J805" s="9" cm="1">
        <f t="array" ref="J80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77.426817555</v>
      </c>
      <c r="K805" s="10" cm="1">
        <f t="array" ref="K80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-0.1812</v>
      </c>
      <c r="L805" s="10" cm="1">
        <f t="array" ref="L80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05" s="9" cm="1">
        <f t="array" ref="M805">_xlfn.LET(_xlpm.val,IFERROR(INDEX(Sheet4!$2:$1605,MATCH(ChiTietKQKD[[#This Row],[Mã CP]],Sheet4!$B$2:$B$1605,0),_xlfn.XMATCH("*Lợi nhuận sau thuế*Q2*2026*",Sheet4!$1:$1,2)),0),IF(OR(_xlpm.val="",_xlpm.val=0),"",_xlpm.val/1000000000))</f>
        <v>-0.435931923</v>
      </c>
      <c r="N805" s="9" cm="1">
        <f t="array" ref="N805">_xlfn.LET(_xlpm.val,IFERROR(INDEX(Sheet4!$2:$1605,MATCH(ChiTietKQKD[[#This Row],[Mã CP]],Sheet4!$B$2:$B$1605,0),_xlfn.XMATCH("*Lợi nhuận sau thuế*6 tháng*2026*",Sheet4!$1:$1,2)),0),IF(OR(_xlpm.val="",_xlpm.val=0),"",_xlpm.val/1000000000))</f>
        <v>-5.1940561010000001</v>
      </c>
      <c r="O805" s="10" cm="1">
        <f t="array" ref="O805">IFERROR(INDEX(Sheet4!$2:$1605,MATCH(ChiTietKQKD[[#This Row],[Mã CP]],Sheet4!$B$2:$B$1605,0),_xlfn.XMATCH("*Tăng trưởng lợi nhuận sau thuế (YoY) (Quý*",Sheet4!$1:$1,2)),"")</f>
        <v>-1.0432999999999999</v>
      </c>
      <c r="P805" s="10" cm="1">
        <f t="array" ref="P805">IFERROR(INDEX(Sheet4!$2:$1605,MATCH(ChiTietKQKD[[#This Row],[Mã CP]],Sheet4!$B$2:$B$1605,0),_xlfn.XMATCH("*Tăng trưởng lợi nhuận sau thuế (YoY) (6M)*",Sheet4!$1:$1,2)),"")</f>
        <v>0</v>
      </c>
      <c r="Q805" s="10" cm="1">
        <f t="array" ref="Q805">IFERROR(INDEX(Sheet4!$2:$1605,MATCH(ChiTietKQKD[[#This Row],[Mã CP]],Sheet4!$B$2:$B$1605,0),_xlfn.XMATCH("*Tăng trưởng doanh thu thuần (QoQ)*",Sheet4!$1:$1,2)),"")</f>
        <v>6.4399999999999999E-2</v>
      </c>
      <c r="R805" s="10" cm="1">
        <f t="array" ref="R805">IFERROR(INDEX(Sheet4!$2:$1605,MATCH(ChiTietKQKD[[#This Row],[Mã CP]],Sheet4!$B$2:$B$1605,0),_xlfn.XMATCH("*Tăng trưởng lợi nhuận sau thuế (QoQ)*",Sheet4!$1:$1,2)),"")</f>
        <v>0.90839999999999999</v>
      </c>
    </row>
    <row r="806" spans="1:18" x14ac:dyDescent="0.25">
      <c r="A806" s="7">
        <f>Sheet4!A785</f>
        <v>784</v>
      </c>
      <c r="B806" t="str">
        <f>Sheet4!B785</f>
        <v>BHC</v>
      </c>
      <c r="C806" t="str">
        <f>Sheet4!C784</f>
        <v>Thủy điện Bắc Hà</v>
      </c>
      <c r="D806" t="str">
        <f>Sheet4!D785</f>
        <v>UPCoM</v>
      </c>
      <c r="E806" s="7">
        <f>Sheet4!AH785/1000000000</f>
        <v>4.05</v>
      </c>
      <c r="F806" t="str">
        <f>Sheet4!E785</f>
        <v>Công nghiệp</v>
      </c>
      <c r="G806" t="str">
        <f>Sheet4!F785</f>
        <v>Xây dựng và Vật liệu</v>
      </c>
      <c r="H806" t="str">
        <f>Sheet4!G785</f>
        <v>Vật liệu xây dựng &amp; Nội thất</v>
      </c>
      <c r="I806" s="9" t="str" cm="1">
        <f t="array" ref="I80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06" s="9" t="str" cm="1">
        <f t="array" ref="J80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06" s="10" cm="1">
        <f t="array" ref="K80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06" s="10" cm="1">
        <f t="array" ref="L80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06" s="9" t="str" cm="1">
        <f t="array" ref="M80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06" s="9" t="str" cm="1">
        <f t="array" ref="N80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06" s="10" cm="1">
        <f t="array" ref="O806">IFERROR(INDEX(Sheet4!$2:$1605,MATCH(ChiTietKQKD[[#This Row],[Mã CP]],Sheet4!$B$2:$B$1605,0),_xlfn.XMATCH("*Tăng trưởng lợi nhuận sau thuế (YoY) (Quý*",Sheet4!$1:$1,2)),"")</f>
        <v>0</v>
      </c>
      <c r="P806" s="10" cm="1">
        <f t="array" ref="P806">IFERROR(INDEX(Sheet4!$2:$1605,MATCH(ChiTietKQKD[[#This Row],[Mã CP]],Sheet4!$B$2:$B$1605,0),_xlfn.XMATCH("*Tăng trưởng lợi nhuận sau thuế (YoY) (6M)*",Sheet4!$1:$1,2)),"")</f>
        <v>0</v>
      </c>
      <c r="Q806" s="10" cm="1">
        <f t="array" ref="Q806">IFERROR(INDEX(Sheet4!$2:$1605,MATCH(ChiTietKQKD[[#This Row],[Mã CP]],Sheet4!$B$2:$B$1605,0),_xlfn.XMATCH("*Tăng trưởng doanh thu thuần (QoQ)*",Sheet4!$1:$1,2)),"")</f>
        <v>0</v>
      </c>
      <c r="R806" s="10" cm="1">
        <f t="array" ref="R806">IFERROR(INDEX(Sheet4!$2:$1605,MATCH(ChiTietKQKD[[#This Row],[Mã CP]],Sheet4!$B$2:$B$1605,0),_xlfn.XMATCH("*Tăng trưởng lợi nhuận sau thuế (QoQ)*",Sheet4!$1:$1,2)),"")</f>
        <v>0</v>
      </c>
    </row>
    <row r="807" spans="1:18" x14ac:dyDescent="0.25">
      <c r="A807" s="7">
        <f>Sheet4!A786</f>
        <v>785</v>
      </c>
      <c r="B807" t="str">
        <f>Sheet4!B786</f>
        <v>BHG</v>
      </c>
      <c r="C807" t="str">
        <f>Sheet4!C785</f>
        <v>Bê tông Biên Hòa</v>
      </c>
      <c r="D807" t="str">
        <f>Sheet4!D786</f>
        <v>UPCoM</v>
      </c>
      <c r="E807" s="7">
        <f>Sheet4!AH786/1000000000</f>
        <v>98.292073000000002</v>
      </c>
      <c r="F807" t="str">
        <f>Sheet4!E786</f>
        <v>Hàng Tiêu dùng</v>
      </c>
      <c r="G807" t="str">
        <f>Sheet4!F786</f>
        <v>Thực phẩm và đồ uống</v>
      </c>
      <c r="H807" t="str">
        <f>Sheet4!G786</f>
        <v>Đồ uống &amp; giải khát</v>
      </c>
      <c r="I807" s="9" t="str" cm="1">
        <f t="array" ref="I80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07" s="9" t="str" cm="1">
        <f t="array" ref="J80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07" s="10" cm="1">
        <f t="array" ref="K80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07" s="10" cm="1">
        <f t="array" ref="L80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07" s="9" t="str" cm="1">
        <f t="array" ref="M80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07" s="9" t="str" cm="1">
        <f t="array" ref="N80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07" s="10" cm="1">
        <f t="array" ref="O807">IFERROR(INDEX(Sheet4!$2:$1605,MATCH(ChiTietKQKD[[#This Row],[Mã CP]],Sheet4!$B$2:$B$1605,0),_xlfn.XMATCH("*Tăng trưởng lợi nhuận sau thuế (YoY) (Quý*",Sheet4!$1:$1,2)),"")</f>
        <v>0</v>
      </c>
      <c r="P807" s="10" cm="1">
        <f t="array" ref="P807">IFERROR(INDEX(Sheet4!$2:$1605,MATCH(ChiTietKQKD[[#This Row],[Mã CP]],Sheet4!$B$2:$B$1605,0),_xlfn.XMATCH("*Tăng trưởng lợi nhuận sau thuế (YoY) (6M)*",Sheet4!$1:$1,2)),"")</f>
        <v>0</v>
      </c>
      <c r="Q807" s="10" cm="1">
        <f t="array" ref="Q807">IFERROR(INDEX(Sheet4!$2:$1605,MATCH(ChiTietKQKD[[#This Row],[Mã CP]],Sheet4!$B$2:$B$1605,0),_xlfn.XMATCH("*Tăng trưởng doanh thu thuần (QoQ)*",Sheet4!$1:$1,2)),"")</f>
        <v>0</v>
      </c>
      <c r="R807" s="10" cm="1">
        <f t="array" ref="R807">IFERROR(INDEX(Sheet4!$2:$1605,MATCH(ChiTietKQKD[[#This Row],[Mã CP]],Sheet4!$B$2:$B$1605,0),_xlfn.XMATCH("*Tăng trưởng lợi nhuận sau thuế (QoQ)*",Sheet4!$1:$1,2)),"")</f>
        <v>0</v>
      </c>
    </row>
    <row r="808" spans="1:18" x14ac:dyDescent="0.25">
      <c r="A808" s="7">
        <f>Sheet4!A787</f>
        <v>786</v>
      </c>
      <c r="B808" t="str">
        <f>Sheet4!B787</f>
        <v>BHH</v>
      </c>
      <c r="C808" t="str">
        <f>Sheet4!C786</f>
        <v>Chè Biển Hồ</v>
      </c>
      <c r="D808" t="str">
        <f>Sheet4!D787</f>
        <v>UPCoM</v>
      </c>
      <c r="E808" s="7">
        <f>Sheet4!AH787/1000000000</f>
        <v>125.4</v>
      </c>
      <c r="F808" t="str">
        <f>Sheet4!E787</f>
        <v>Hàng Tiêu dùng</v>
      </c>
      <c r="G808" t="str">
        <f>Sheet4!F787</f>
        <v>Thực phẩm và đồ uống</v>
      </c>
      <c r="H808" t="str">
        <f>Sheet4!G787</f>
        <v>Sản xuất bia</v>
      </c>
      <c r="I808" s="9" t="str" cm="1">
        <f t="array" ref="I80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08" s="9" t="str" cm="1">
        <f t="array" ref="J80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08" s="10" cm="1">
        <f t="array" ref="K80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08" s="10" cm="1">
        <f t="array" ref="L80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08" s="9" t="str" cm="1">
        <f t="array" ref="M80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08" s="9" t="str" cm="1">
        <f t="array" ref="N80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08" s="10" cm="1">
        <f t="array" ref="O808">IFERROR(INDEX(Sheet4!$2:$1605,MATCH(ChiTietKQKD[[#This Row],[Mã CP]],Sheet4!$B$2:$B$1605,0),_xlfn.XMATCH("*Tăng trưởng lợi nhuận sau thuế (YoY) (Quý*",Sheet4!$1:$1,2)),"")</f>
        <v>0</v>
      </c>
      <c r="P808" s="10" cm="1">
        <f t="array" ref="P808">IFERROR(INDEX(Sheet4!$2:$1605,MATCH(ChiTietKQKD[[#This Row],[Mã CP]],Sheet4!$B$2:$B$1605,0),_xlfn.XMATCH("*Tăng trưởng lợi nhuận sau thuế (YoY) (6M)*",Sheet4!$1:$1,2)),"")</f>
        <v>0</v>
      </c>
      <c r="Q808" s="10" cm="1">
        <f t="array" ref="Q808">IFERROR(INDEX(Sheet4!$2:$1605,MATCH(ChiTietKQKD[[#This Row],[Mã CP]],Sheet4!$B$2:$B$1605,0),_xlfn.XMATCH("*Tăng trưởng doanh thu thuần (QoQ)*",Sheet4!$1:$1,2)),"")</f>
        <v>0</v>
      </c>
      <c r="R808" s="10" cm="1">
        <f t="array" ref="R808">IFERROR(INDEX(Sheet4!$2:$1605,MATCH(ChiTietKQKD[[#This Row],[Mã CP]],Sheet4!$B$2:$B$1605,0),_xlfn.XMATCH("*Tăng trưởng lợi nhuận sau thuế (QoQ)*",Sheet4!$1:$1,2)),"")</f>
        <v>0</v>
      </c>
    </row>
    <row r="809" spans="1:18" x14ac:dyDescent="0.25">
      <c r="A809" s="7">
        <f>Sheet4!A788</f>
        <v>787</v>
      </c>
      <c r="B809" t="str">
        <f>Sheet4!B788</f>
        <v>BHI</v>
      </c>
      <c r="C809" t="str">
        <f>Sheet4!C787</f>
        <v>Habeco Trading 89</v>
      </c>
      <c r="D809" t="str">
        <f>Sheet4!D788</f>
        <v>UPCoM</v>
      </c>
      <c r="E809" s="7">
        <f>Sheet4!AH788/1000000000</f>
        <v>850</v>
      </c>
      <c r="F809" t="str">
        <f>Sheet4!E788</f>
        <v>Tài chính</v>
      </c>
      <c r="G809" t="str">
        <f>Sheet4!F788</f>
        <v>Bảo hiểm</v>
      </c>
      <c r="H809" t="str">
        <f>Sheet4!G788</f>
        <v>Bảo hiểm phi nhân thọ</v>
      </c>
      <c r="I809" s="9" t="str" cm="1">
        <f t="array" ref="I80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09" s="9" t="str" cm="1">
        <f t="array" ref="J80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09" s="10" cm="1">
        <f t="array" ref="K80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09" s="10" cm="1">
        <f t="array" ref="L80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09" s="9" t="str" cm="1">
        <f t="array" ref="M80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09" s="9" t="str" cm="1">
        <f t="array" ref="N80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09" s="10" cm="1">
        <f t="array" ref="O809">IFERROR(INDEX(Sheet4!$2:$1605,MATCH(ChiTietKQKD[[#This Row],[Mã CP]],Sheet4!$B$2:$B$1605,0),_xlfn.XMATCH("*Tăng trưởng lợi nhuận sau thuế (YoY) (Quý*",Sheet4!$1:$1,2)),"")</f>
        <v>0</v>
      </c>
      <c r="P809" s="10" cm="1">
        <f t="array" ref="P809">IFERROR(INDEX(Sheet4!$2:$1605,MATCH(ChiTietKQKD[[#This Row],[Mã CP]],Sheet4!$B$2:$B$1605,0),_xlfn.XMATCH("*Tăng trưởng lợi nhuận sau thuế (YoY) (6M)*",Sheet4!$1:$1,2)),"")</f>
        <v>0</v>
      </c>
      <c r="Q809" s="10" cm="1">
        <f t="array" ref="Q809">IFERROR(INDEX(Sheet4!$2:$1605,MATCH(ChiTietKQKD[[#This Row],[Mã CP]],Sheet4!$B$2:$B$1605,0),_xlfn.XMATCH("*Tăng trưởng doanh thu thuần (QoQ)*",Sheet4!$1:$1,2)),"")</f>
        <v>0</v>
      </c>
      <c r="R809" s="10" cm="1">
        <f t="array" ref="R809">IFERROR(INDEX(Sheet4!$2:$1605,MATCH(ChiTietKQKD[[#This Row],[Mã CP]],Sheet4!$B$2:$B$1605,0),_xlfn.XMATCH("*Tăng trưởng lợi nhuận sau thuế (QoQ)*",Sheet4!$1:$1,2)),"")</f>
        <v>0</v>
      </c>
    </row>
    <row r="810" spans="1:18" x14ac:dyDescent="0.25">
      <c r="A810" s="7">
        <f>Sheet4!A789</f>
        <v>788</v>
      </c>
      <c r="B810" t="str">
        <f>Sheet4!B789</f>
        <v>BHK</v>
      </c>
      <c r="C810" t="str">
        <f>Sheet4!C788</f>
        <v>Bảo hiểm Sài Gòn - Hà Nội</v>
      </c>
      <c r="D810" t="str">
        <f>Sheet4!D789</f>
        <v>UPCoM</v>
      </c>
      <c r="E810" s="7">
        <f>Sheet4!AH789/1000000000</f>
        <v>52.2166</v>
      </c>
      <c r="F810" t="str">
        <f>Sheet4!E789</f>
        <v>Hàng Tiêu dùng</v>
      </c>
      <c r="G810" t="str">
        <f>Sheet4!F789</f>
        <v>Thực phẩm và đồ uống</v>
      </c>
      <c r="H810" t="str">
        <f>Sheet4!G789</f>
        <v>Sản xuất bia</v>
      </c>
      <c r="I810" s="9" t="str" cm="1">
        <f t="array" ref="I81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10" s="9" t="str" cm="1">
        <f t="array" ref="J81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10" s="10" cm="1">
        <f t="array" ref="K81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10" s="10" cm="1">
        <f t="array" ref="L81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10" s="9" t="str" cm="1">
        <f t="array" ref="M81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10" s="9" t="str" cm="1">
        <f t="array" ref="N81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10" s="10" cm="1">
        <f t="array" ref="O810">IFERROR(INDEX(Sheet4!$2:$1605,MATCH(ChiTietKQKD[[#This Row],[Mã CP]],Sheet4!$B$2:$B$1605,0),_xlfn.XMATCH("*Tăng trưởng lợi nhuận sau thuế (YoY) (Quý*",Sheet4!$1:$1,2)),"")</f>
        <v>0</v>
      </c>
      <c r="P810" s="10" cm="1">
        <f t="array" ref="P810">IFERROR(INDEX(Sheet4!$2:$1605,MATCH(ChiTietKQKD[[#This Row],[Mã CP]],Sheet4!$B$2:$B$1605,0),_xlfn.XMATCH("*Tăng trưởng lợi nhuận sau thuế (YoY) (6M)*",Sheet4!$1:$1,2)),"")</f>
        <v>0</v>
      </c>
      <c r="Q810" s="10" cm="1">
        <f t="array" ref="Q810">IFERROR(INDEX(Sheet4!$2:$1605,MATCH(ChiTietKQKD[[#This Row],[Mã CP]],Sheet4!$B$2:$B$1605,0),_xlfn.XMATCH("*Tăng trưởng doanh thu thuần (QoQ)*",Sheet4!$1:$1,2)),"")</f>
        <v>0</v>
      </c>
      <c r="R810" s="10" cm="1">
        <f t="array" ref="R810">IFERROR(INDEX(Sheet4!$2:$1605,MATCH(ChiTietKQKD[[#This Row],[Mã CP]],Sheet4!$B$2:$B$1605,0),_xlfn.XMATCH("*Tăng trưởng lợi nhuận sau thuế (QoQ)*",Sheet4!$1:$1,2)),"")</f>
        <v>0</v>
      </c>
    </row>
    <row r="811" spans="1:18" x14ac:dyDescent="0.25">
      <c r="A811" s="7">
        <f>Sheet4!A790</f>
        <v>789</v>
      </c>
      <c r="B811" t="str">
        <f>Sheet4!B790</f>
        <v>BHP</v>
      </c>
      <c r="C811" t="str">
        <f>Sheet4!C789</f>
        <v>Bia Hà Nội - Kim Bài</v>
      </c>
      <c r="D811" t="str">
        <f>Sheet4!D790</f>
        <v>UPCoM</v>
      </c>
      <c r="E811" s="7">
        <f>Sheet4!AH790/1000000000</f>
        <v>63.337100999999997</v>
      </c>
      <c r="F811" t="str">
        <f>Sheet4!E790</f>
        <v>Hàng Tiêu dùng</v>
      </c>
      <c r="G811" t="str">
        <f>Sheet4!F790</f>
        <v>Thực phẩm và đồ uống</v>
      </c>
      <c r="H811" t="str">
        <f>Sheet4!G790</f>
        <v>Sản xuất bia</v>
      </c>
      <c r="I811" s="9" t="str" cm="1">
        <f t="array" ref="I81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11" s="9" t="str" cm="1">
        <f t="array" ref="J81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11" s="10" cm="1">
        <f t="array" ref="K81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11" s="10" cm="1">
        <f t="array" ref="L81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11" s="9" t="str" cm="1">
        <f t="array" ref="M81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11" s="9" t="str" cm="1">
        <f t="array" ref="N81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11" s="10" cm="1">
        <f t="array" ref="O811">IFERROR(INDEX(Sheet4!$2:$1605,MATCH(ChiTietKQKD[[#This Row],[Mã CP]],Sheet4!$B$2:$B$1605,0),_xlfn.XMATCH("*Tăng trưởng lợi nhuận sau thuế (YoY) (Quý*",Sheet4!$1:$1,2)),"")</f>
        <v>0</v>
      </c>
      <c r="P811" s="10" cm="1">
        <f t="array" ref="P811">IFERROR(INDEX(Sheet4!$2:$1605,MATCH(ChiTietKQKD[[#This Row],[Mã CP]],Sheet4!$B$2:$B$1605,0),_xlfn.XMATCH("*Tăng trưởng lợi nhuận sau thuế (YoY) (6M)*",Sheet4!$1:$1,2)),"")</f>
        <v>0</v>
      </c>
      <c r="Q811" s="10" cm="1">
        <f t="array" ref="Q811">IFERROR(INDEX(Sheet4!$2:$1605,MATCH(ChiTietKQKD[[#This Row],[Mã CP]],Sheet4!$B$2:$B$1605,0),_xlfn.XMATCH("*Tăng trưởng doanh thu thuần (QoQ)*",Sheet4!$1:$1,2)),"")</f>
        <v>0</v>
      </c>
      <c r="R811" s="10" cm="1">
        <f t="array" ref="R811">IFERROR(INDEX(Sheet4!$2:$1605,MATCH(ChiTietKQKD[[#This Row],[Mã CP]],Sheet4!$B$2:$B$1605,0),_xlfn.XMATCH("*Tăng trưởng lợi nhuận sau thuế (QoQ)*",Sheet4!$1:$1,2)),"")</f>
        <v>0</v>
      </c>
    </row>
    <row r="812" spans="1:18" x14ac:dyDescent="0.25">
      <c r="A812" s="7">
        <f>Sheet4!A791</f>
        <v>790</v>
      </c>
      <c r="B812" t="str">
        <f>Sheet4!B791</f>
        <v>BIG</v>
      </c>
      <c r="C812" t="str">
        <f>Sheet4!C790</f>
        <v>Bia Hà Nội - Hải Phòng</v>
      </c>
      <c r="D812" t="str">
        <f>Sheet4!D791</f>
        <v>UPCoM</v>
      </c>
      <c r="E812" s="7">
        <f>Sheet4!AH791/1000000000</f>
        <v>160.34519133200001</v>
      </c>
      <c r="F812" t="str">
        <f>Sheet4!E791</f>
        <v>Hàng Tiêu dùng</v>
      </c>
      <c r="G812" t="str">
        <f>Sheet4!F791</f>
        <v>Thực phẩm và đồ uống</v>
      </c>
      <c r="H812" t="str">
        <f>Sheet4!G791</f>
        <v>Nuôi trồng nông &amp; hải sản</v>
      </c>
      <c r="I812" s="9" t="str" cm="1">
        <f t="array" ref="I81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12" s="9" t="str" cm="1">
        <f t="array" ref="J81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12" s="10" cm="1">
        <f t="array" ref="K81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12" s="10" cm="1">
        <f t="array" ref="L81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12" s="9" t="str" cm="1">
        <f t="array" ref="M81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12" s="9" t="str" cm="1">
        <f t="array" ref="N81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12" s="10" cm="1">
        <f t="array" ref="O812">IFERROR(INDEX(Sheet4!$2:$1605,MATCH(ChiTietKQKD[[#This Row],[Mã CP]],Sheet4!$B$2:$B$1605,0),_xlfn.XMATCH("*Tăng trưởng lợi nhuận sau thuế (YoY) (Quý*",Sheet4!$1:$1,2)),"")</f>
        <v>0</v>
      </c>
      <c r="P812" s="10" cm="1">
        <f t="array" ref="P812">IFERROR(INDEX(Sheet4!$2:$1605,MATCH(ChiTietKQKD[[#This Row],[Mã CP]],Sheet4!$B$2:$B$1605,0),_xlfn.XMATCH("*Tăng trưởng lợi nhuận sau thuế (YoY) (6M)*",Sheet4!$1:$1,2)),"")</f>
        <v>0</v>
      </c>
      <c r="Q812" s="10" cm="1">
        <f t="array" ref="Q812">IFERROR(INDEX(Sheet4!$2:$1605,MATCH(ChiTietKQKD[[#This Row],[Mã CP]],Sheet4!$B$2:$B$1605,0),_xlfn.XMATCH("*Tăng trưởng doanh thu thuần (QoQ)*",Sheet4!$1:$1,2)),"")</f>
        <v>0</v>
      </c>
      <c r="R812" s="10" cm="1">
        <f t="array" ref="R812">IFERROR(INDEX(Sheet4!$2:$1605,MATCH(ChiTietKQKD[[#This Row],[Mã CP]],Sheet4!$B$2:$B$1605,0),_xlfn.XMATCH("*Tăng trưởng lợi nhuận sau thuế (QoQ)*",Sheet4!$1:$1,2)),"")</f>
        <v>0</v>
      </c>
    </row>
    <row r="813" spans="1:18" x14ac:dyDescent="0.25">
      <c r="A813" s="7">
        <f>Sheet4!A792</f>
        <v>791</v>
      </c>
      <c r="B813" t="str">
        <f>Sheet4!B792</f>
        <v>BIO</v>
      </c>
      <c r="C813" t="str">
        <f>Sheet4!C791</f>
        <v>Tập đoàn Đầu tư BIG</v>
      </c>
      <c r="D813" t="str">
        <f>Sheet4!D792</f>
        <v>UPCoM</v>
      </c>
      <c r="E813" s="7">
        <f>Sheet4!AH792/1000000000</f>
        <v>109.4592</v>
      </c>
      <c r="F813" t="str">
        <f>Sheet4!E792</f>
        <v>Dược phẩm và Y tế</v>
      </c>
      <c r="G813" t="str">
        <f>Sheet4!F792</f>
        <v>Y tế</v>
      </c>
      <c r="H813" t="str">
        <f>Sheet4!G792</f>
        <v>Dược phẩm</v>
      </c>
      <c r="I813" s="9" t="str" cm="1">
        <f t="array" ref="I81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13" s="9" t="str" cm="1">
        <f t="array" ref="J81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13" s="10" cm="1">
        <f t="array" ref="K81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13" s="10" cm="1">
        <f t="array" ref="L81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13" s="9" t="str" cm="1">
        <f t="array" ref="M81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13" s="9" t="str" cm="1">
        <f t="array" ref="N81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13" s="10" cm="1">
        <f t="array" ref="O813">IFERROR(INDEX(Sheet4!$2:$1605,MATCH(ChiTietKQKD[[#This Row],[Mã CP]],Sheet4!$B$2:$B$1605,0),_xlfn.XMATCH("*Tăng trưởng lợi nhuận sau thuế (YoY) (Quý*",Sheet4!$1:$1,2)),"")</f>
        <v>0</v>
      </c>
      <c r="P813" s="10" cm="1">
        <f t="array" ref="P813">IFERROR(INDEX(Sheet4!$2:$1605,MATCH(ChiTietKQKD[[#This Row],[Mã CP]],Sheet4!$B$2:$B$1605,0),_xlfn.XMATCH("*Tăng trưởng lợi nhuận sau thuế (YoY) (6M)*",Sheet4!$1:$1,2)),"")</f>
        <v>0</v>
      </c>
      <c r="Q813" s="10" cm="1">
        <f t="array" ref="Q813">IFERROR(INDEX(Sheet4!$2:$1605,MATCH(ChiTietKQKD[[#This Row],[Mã CP]],Sheet4!$B$2:$B$1605,0),_xlfn.XMATCH("*Tăng trưởng doanh thu thuần (QoQ)*",Sheet4!$1:$1,2)),"")</f>
        <v>0</v>
      </c>
      <c r="R813" s="10" cm="1">
        <f t="array" ref="R813">IFERROR(INDEX(Sheet4!$2:$1605,MATCH(ChiTietKQKD[[#This Row],[Mã CP]],Sheet4!$B$2:$B$1605,0),_xlfn.XMATCH("*Tăng trưởng lợi nhuận sau thuế (QoQ)*",Sheet4!$1:$1,2)),"")</f>
        <v>0</v>
      </c>
    </row>
    <row r="814" spans="1:18" x14ac:dyDescent="0.25">
      <c r="A814" s="7">
        <f>Sheet4!A793</f>
        <v>792</v>
      </c>
      <c r="B814" t="str">
        <f>Sheet4!B793</f>
        <v>BLF</v>
      </c>
      <c r="C814" t="str">
        <f>Sheet4!C792</f>
        <v>Vắc xin và Sinh phẩm Nha Trang</v>
      </c>
      <c r="D814" t="str">
        <f>Sheet4!D793</f>
        <v>UPCoM</v>
      </c>
      <c r="E814" s="7">
        <f>Sheet4!AH793/1000000000</f>
        <v>31.62499725</v>
      </c>
      <c r="F814" t="str">
        <f>Sheet4!E793</f>
        <v>Hàng Tiêu dùng</v>
      </c>
      <c r="G814" t="str">
        <f>Sheet4!F793</f>
        <v>Thực phẩm và đồ uống</v>
      </c>
      <c r="H814" t="str">
        <f>Sheet4!G793</f>
        <v>Nuôi trồng nông &amp; hải sản</v>
      </c>
      <c r="I814" s="9" t="str" cm="1">
        <f t="array" ref="I81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14" s="9" t="str" cm="1">
        <f t="array" ref="J81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14" s="10" cm="1">
        <f t="array" ref="K81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14" s="10" cm="1">
        <f t="array" ref="L81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14" s="9" t="str" cm="1">
        <f t="array" ref="M81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14" s="9" t="str" cm="1">
        <f t="array" ref="N81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14" s="10" cm="1">
        <f t="array" ref="O814">IFERROR(INDEX(Sheet4!$2:$1605,MATCH(ChiTietKQKD[[#This Row],[Mã CP]],Sheet4!$B$2:$B$1605,0),_xlfn.XMATCH("*Tăng trưởng lợi nhuận sau thuế (YoY) (Quý*",Sheet4!$1:$1,2)),"")</f>
        <v>0</v>
      </c>
      <c r="P814" s="10" cm="1">
        <f t="array" ref="P814">IFERROR(INDEX(Sheet4!$2:$1605,MATCH(ChiTietKQKD[[#This Row],[Mã CP]],Sheet4!$B$2:$B$1605,0),_xlfn.XMATCH("*Tăng trưởng lợi nhuận sau thuế (YoY) (6M)*",Sheet4!$1:$1,2)),"")</f>
        <v>0</v>
      </c>
      <c r="Q814" s="10" cm="1">
        <f t="array" ref="Q814">IFERROR(INDEX(Sheet4!$2:$1605,MATCH(ChiTietKQKD[[#This Row],[Mã CP]],Sheet4!$B$2:$B$1605,0),_xlfn.XMATCH("*Tăng trưởng doanh thu thuần (QoQ)*",Sheet4!$1:$1,2)),"")</f>
        <v>0</v>
      </c>
      <c r="R814" s="10" cm="1">
        <f t="array" ref="R814">IFERROR(INDEX(Sheet4!$2:$1605,MATCH(ChiTietKQKD[[#This Row],[Mã CP]],Sheet4!$B$2:$B$1605,0),_xlfn.XMATCH("*Tăng trưởng lợi nhuận sau thuế (QoQ)*",Sheet4!$1:$1,2)),"")</f>
        <v>0</v>
      </c>
    </row>
    <row r="815" spans="1:18" x14ac:dyDescent="0.25">
      <c r="A815" s="7">
        <f>Sheet4!A794</f>
        <v>793</v>
      </c>
      <c r="B815" t="str">
        <f>Sheet4!B794</f>
        <v>BLI</v>
      </c>
      <c r="C815" t="str">
        <f>Sheet4!C793</f>
        <v>Thủy sản Bạc Liêu</v>
      </c>
      <c r="D815" t="str">
        <f>Sheet4!D794</f>
        <v>UPCoM</v>
      </c>
      <c r="E815" s="7">
        <f>Sheet4!AH794/1000000000</f>
        <v>472.07586143200001</v>
      </c>
      <c r="F815" t="str">
        <f>Sheet4!E794</f>
        <v>Tài chính</v>
      </c>
      <c r="G815" t="str">
        <f>Sheet4!F794</f>
        <v>Bảo hiểm</v>
      </c>
      <c r="H815" t="str">
        <f>Sheet4!G794</f>
        <v>Bảo hiểm phi nhân thọ</v>
      </c>
      <c r="I815" s="9" cm="1">
        <f t="array" ref="I81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340.36223979300001</v>
      </c>
      <c r="J815" s="9" cm="1">
        <f t="array" ref="J81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654.41177806999997</v>
      </c>
      <c r="K815" s="10" cm="1">
        <f t="array" ref="K81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7.4999999999999997E-2</v>
      </c>
      <c r="L815" s="10" cm="1">
        <f t="array" ref="L81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15" s="9" cm="1">
        <f t="array" ref="M815">_xlfn.LET(_xlpm.val,IFERROR(INDEX(Sheet4!$2:$1605,MATCH(ChiTietKQKD[[#This Row],[Mã CP]],Sheet4!$B$2:$B$1605,0),_xlfn.XMATCH("*Lợi nhuận sau thuế*Q2*2026*",Sheet4!$1:$1,2)),0),IF(OR(_xlpm.val="",_xlpm.val=0),"",_xlpm.val/1000000000))</f>
        <v>22.074743251000001</v>
      </c>
      <c r="N815" s="9" cm="1">
        <f t="array" ref="N815">_xlfn.LET(_xlpm.val,IFERROR(INDEX(Sheet4!$2:$1605,MATCH(ChiTietKQKD[[#This Row],[Mã CP]],Sheet4!$B$2:$B$1605,0),_xlfn.XMATCH("*Lợi nhuận sau thuế*6 tháng*2026*",Sheet4!$1:$1,2)),0),IF(OR(_xlpm.val="",_xlpm.val=0),"",_xlpm.val/1000000000))</f>
        <v>27.883445524999999</v>
      </c>
      <c r="O815" s="10" cm="1">
        <f t="array" ref="O815">IFERROR(INDEX(Sheet4!$2:$1605,MATCH(ChiTietKQKD[[#This Row],[Mã CP]],Sheet4!$B$2:$B$1605,0),_xlfn.XMATCH("*Tăng trưởng lợi nhuận sau thuế (YoY) (Quý*",Sheet4!$1:$1,2)),"")</f>
        <v>19.352599999999999</v>
      </c>
      <c r="P815" s="10" cm="1">
        <f t="array" ref="P815">IFERROR(INDEX(Sheet4!$2:$1605,MATCH(ChiTietKQKD[[#This Row],[Mã CP]],Sheet4!$B$2:$B$1605,0),_xlfn.XMATCH("*Tăng trưởng lợi nhuận sau thuế (YoY) (6M)*",Sheet4!$1:$1,2)),"")</f>
        <v>0</v>
      </c>
      <c r="Q815" s="10" cm="1">
        <f t="array" ref="Q815">IFERROR(INDEX(Sheet4!$2:$1605,MATCH(ChiTietKQKD[[#This Row],[Mã CP]],Sheet4!$B$2:$B$1605,0),_xlfn.XMATCH("*Tăng trưởng doanh thu thuần (QoQ)*",Sheet4!$1:$1,2)),"")</f>
        <v>8.3799999999999999E-2</v>
      </c>
      <c r="R815" s="10" cm="1">
        <f t="array" ref="R815">IFERROR(INDEX(Sheet4!$2:$1605,MATCH(ChiTietKQKD[[#This Row],[Mã CP]],Sheet4!$B$2:$B$1605,0),_xlfn.XMATCH("*Tăng trưởng lợi nhuận sau thuế (QoQ)*",Sheet4!$1:$1,2)),"")</f>
        <v>2.8003</v>
      </c>
    </row>
    <row r="816" spans="1:18" x14ac:dyDescent="0.25">
      <c r="A816" s="7">
        <f>Sheet4!A795</f>
        <v>794</v>
      </c>
      <c r="B816" t="str">
        <f>Sheet4!B795</f>
        <v>BLN</v>
      </c>
      <c r="C816" t="str">
        <f>Sheet4!C794</f>
        <v>Bảo hiểm Bảo Long</v>
      </c>
      <c r="D816" t="str">
        <f>Sheet4!D795</f>
        <v>UPCoM</v>
      </c>
      <c r="E816" s="7">
        <f>Sheet4!AH795/1000000000</f>
        <v>39.5</v>
      </c>
      <c r="F816" t="str">
        <f>Sheet4!E795</f>
        <v>Dịch vụ Tiêu dùng</v>
      </c>
      <c r="G816" t="str">
        <f>Sheet4!F795</f>
        <v>Du lịch và Giải trí</v>
      </c>
      <c r="H816" t="str">
        <f>Sheet4!G795</f>
        <v>Vận tải hành khách &amp; Du lịch</v>
      </c>
      <c r="I816" s="9" t="str" cm="1">
        <f t="array" ref="I81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16" s="9" t="str" cm="1">
        <f t="array" ref="J81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16" s="10" cm="1">
        <f t="array" ref="K81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16" s="10" cm="1">
        <f t="array" ref="L81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16" s="9" t="str" cm="1">
        <f t="array" ref="M81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16" s="9" t="str" cm="1">
        <f t="array" ref="N81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16" s="10" cm="1">
        <f t="array" ref="O816">IFERROR(INDEX(Sheet4!$2:$1605,MATCH(ChiTietKQKD[[#This Row],[Mã CP]],Sheet4!$B$2:$B$1605,0),_xlfn.XMATCH("*Tăng trưởng lợi nhuận sau thuế (YoY) (Quý*",Sheet4!$1:$1,2)),"")</f>
        <v>0</v>
      </c>
      <c r="P816" s="10" cm="1">
        <f t="array" ref="P816">IFERROR(INDEX(Sheet4!$2:$1605,MATCH(ChiTietKQKD[[#This Row],[Mã CP]],Sheet4!$B$2:$B$1605,0),_xlfn.XMATCH("*Tăng trưởng lợi nhuận sau thuế (YoY) (6M)*",Sheet4!$1:$1,2)),"")</f>
        <v>0</v>
      </c>
      <c r="Q816" s="10" cm="1">
        <f t="array" ref="Q816">IFERROR(INDEX(Sheet4!$2:$1605,MATCH(ChiTietKQKD[[#This Row],[Mã CP]],Sheet4!$B$2:$B$1605,0),_xlfn.XMATCH("*Tăng trưởng doanh thu thuần (QoQ)*",Sheet4!$1:$1,2)),"")</f>
        <v>0</v>
      </c>
      <c r="R816" s="10" cm="1">
        <f t="array" ref="R816">IFERROR(INDEX(Sheet4!$2:$1605,MATCH(ChiTietKQKD[[#This Row],[Mã CP]],Sheet4!$B$2:$B$1605,0),_xlfn.XMATCH("*Tăng trưởng lợi nhuận sau thuế (QoQ)*",Sheet4!$1:$1,2)),"")</f>
        <v>0</v>
      </c>
    </row>
    <row r="817" spans="1:18" x14ac:dyDescent="0.25">
      <c r="A817" s="7">
        <f>Sheet4!A796</f>
        <v>795</v>
      </c>
      <c r="B817" t="str">
        <f>Sheet4!B796</f>
        <v>BLT</v>
      </c>
      <c r="C817" t="str">
        <f>Sheet4!C795</f>
        <v>Xe buýt Liên Ninh</v>
      </c>
      <c r="D817" t="str">
        <f>Sheet4!D796</f>
        <v>UPCoM</v>
      </c>
      <c r="E817" s="7">
        <f>Sheet4!AH796/1000000000</f>
        <v>84</v>
      </c>
      <c r="F817" t="str">
        <f>Sheet4!E796</f>
        <v>Hàng Tiêu dùng</v>
      </c>
      <c r="G817" t="str">
        <f>Sheet4!F796</f>
        <v>Thực phẩm và đồ uống</v>
      </c>
      <c r="H817" t="str">
        <f>Sheet4!G796</f>
        <v>Thực phẩm</v>
      </c>
      <c r="I817" s="9" t="str" cm="1">
        <f t="array" ref="I81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17" s="9" t="str" cm="1">
        <f t="array" ref="J81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17" s="10" cm="1">
        <f t="array" ref="K81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17" s="10" cm="1">
        <f t="array" ref="L81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17" s="9" t="str" cm="1">
        <f t="array" ref="M81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17" s="9" t="str" cm="1">
        <f t="array" ref="N81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17" s="10" cm="1">
        <f t="array" ref="O817">IFERROR(INDEX(Sheet4!$2:$1605,MATCH(ChiTietKQKD[[#This Row],[Mã CP]],Sheet4!$B$2:$B$1605,0),_xlfn.XMATCH("*Tăng trưởng lợi nhuận sau thuế (YoY) (Quý*",Sheet4!$1:$1,2)),"")</f>
        <v>0</v>
      </c>
      <c r="P817" s="10" cm="1">
        <f t="array" ref="P817">IFERROR(INDEX(Sheet4!$2:$1605,MATCH(ChiTietKQKD[[#This Row],[Mã CP]],Sheet4!$B$2:$B$1605,0),_xlfn.XMATCH("*Tăng trưởng lợi nhuận sau thuế (YoY) (6M)*",Sheet4!$1:$1,2)),"")</f>
        <v>0</v>
      </c>
      <c r="Q817" s="10" cm="1">
        <f t="array" ref="Q817">IFERROR(INDEX(Sheet4!$2:$1605,MATCH(ChiTietKQKD[[#This Row],[Mã CP]],Sheet4!$B$2:$B$1605,0),_xlfn.XMATCH("*Tăng trưởng doanh thu thuần (QoQ)*",Sheet4!$1:$1,2)),"")</f>
        <v>0</v>
      </c>
      <c r="R817" s="10" cm="1">
        <f t="array" ref="R817">IFERROR(INDEX(Sheet4!$2:$1605,MATCH(ChiTietKQKD[[#This Row],[Mã CP]],Sheet4!$B$2:$B$1605,0),_xlfn.XMATCH("*Tăng trưởng lợi nhuận sau thuế (QoQ)*",Sheet4!$1:$1,2)),"")</f>
        <v>0</v>
      </c>
    </row>
    <row r="818" spans="1:18" x14ac:dyDescent="0.25">
      <c r="A818" s="7">
        <f>Sheet4!A797</f>
        <v>796</v>
      </c>
      <c r="B818" t="str">
        <f>Sheet4!B797</f>
        <v>BMD</v>
      </c>
      <c r="C818" t="str">
        <f>Sheet4!C796</f>
        <v>Lương Thực Bình Định</v>
      </c>
      <c r="D818" t="str">
        <f>Sheet4!D797</f>
        <v>UPCoM</v>
      </c>
      <c r="E818" s="7">
        <f>Sheet4!AH797/1000000000</f>
        <v>29.460096</v>
      </c>
      <c r="F818" t="str">
        <f>Sheet4!E797</f>
        <v>Công nghiệp</v>
      </c>
      <c r="G818" t="str">
        <f>Sheet4!F797</f>
        <v>Hàng &amp; Dịch vụ Công nghiệp</v>
      </c>
      <c r="H818" t="str">
        <f>Sheet4!G797</f>
        <v>Chất thải &amp; Môi trường</v>
      </c>
      <c r="I818" s="9" t="str" cm="1">
        <f t="array" ref="I81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18" s="9" t="str" cm="1">
        <f t="array" ref="J81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18" s="10" cm="1">
        <f t="array" ref="K81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18" s="10" cm="1">
        <f t="array" ref="L81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18" s="9" t="str" cm="1">
        <f t="array" ref="M81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18" s="9" t="str" cm="1">
        <f t="array" ref="N81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18" s="10" cm="1">
        <f t="array" ref="O818">IFERROR(INDEX(Sheet4!$2:$1605,MATCH(ChiTietKQKD[[#This Row],[Mã CP]],Sheet4!$B$2:$B$1605,0),_xlfn.XMATCH("*Tăng trưởng lợi nhuận sau thuế (YoY) (Quý*",Sheet4!$1:$1,2)),"")</f>
        <v>0</v>
      </c>
      <c r="P818" s="10" cm="1">
        <f t="array" ref="P818">IFERROR(INDEX(Sheet4!$2:$1605,MATCH(ChiTietKQKD[[#This Row],[Mã CP]],Sheet4!$B$2:$B$1605,0),_xlfn.XMATCH("*Tăng trưởng lợi nhuận sau thuế (YoY) (6M)*",Sheet4!$1:$1,2)),"")</f>
        <v>0</v>
      </c>
      <c r="Q818" s="10" cm="1">
        <f t="array" ref="Q818">IFERROR(INDEX(Sheet4!$2:$1605,MATCH(ChiTietKQKD[[#This Row],[Mã CP]],Sheet4!$B$2:$B$1605,0),_xlfn.XMATCH("*Tăng trưởng doanh thu thuần (QoQ)*",Sheet4!$1:$1,2)),"")</f>
        <v>0</v>
      </c>
      <c r="R818" s="10" cm="1">
        <f t="array" ref="R818">IFERROR(INDEX(Sheet4!$2:$1605,MATCH(ChiTietKQKD[[#This Row],[Mã CP]],Sheet4!$B$2:$B$1605,0),_xlfn.XMATCH("*Tăng trưởng lợi nhuận sau thuế (QoQ)*",Sheet4!$1:$1,2)),"")</f>
        <v>0</v>
      </c>
    </row>
    <row r="819" spans="1:18" x14ac:dyDescent="0.25">
      <c r="A819" s="7">
        <f>Sheet4!A798</f>
        <v>797</v>
      </c>
      <c r="B819" t="str">
        <f>Sheet4!B798</f>
        <v>BMF</v>
      </c>
      <c r="C819" t="str">
        <f>Sheet4!C797</f>
        <v>Môi trường và DV Đô thị Bình Thuận</v>
      </c>
      <c r="D819" t="str">
        <f>Sheet4!D798</f>
        <v>UPCoM</v>
      </c>
      <c r="E819" s="7">
        <f>Sheet4!AH798/1000000000</f>
        <v>120.4452788</v>
      </c>
      <c r="F819" t="str">
        <f>Sheet4!E798</f>
        <v>Tiện ích Cộng đồng</v>
      </c>
      <c r="G819" t="str">
        <f>Sheet4!F798</f>
        <v>Điện, nước &amp; xăng dầu khí đốt</v>
      </c>
      <c r="H819" t="str">
        <f>Sheet4!G798</f>
        <v>Phân phối xăng dầu &amp; khí đốt</v>
      </c>
      <c r="I819" s="9" t="str" cm="1">
        <f t="array" ref="I81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19" s="9" t="str" cm="1">
        <f t="array" ref="J81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19" s="10" cm="1">
        <f t="array" ref="K81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19" s="10" cm="1">
        <f t="array" ref="L81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19" s="9" t="str" cm="1">
        <f t="array" ref="M81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19" s="9" t="str" cm="1">
        <f t="array" ref="N81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19" s="10" cm="1">
        <f t="array" ref="O819">IFERROR(INDEX(Sheet4!$2:$1605,MATCH(ChiTietKQKD[[#This Row],[Mã CP]],Sheet4!$B$2:$B$1605,0),_xlfn.XMATCH("*Tăng trưởng lợi nhuận sau thuế (YoY) (Quý*",Sheet4!$1:$1,2)),"")</f>
        <v>0</v>
      </c>
      <c r="P819" s="10" cm="1">
        <f t="array" ref="P819">IFERROR(INDEX(Sheet4!$2:$1605,MATCH(ChiTietKQKD[[#This Row],[Mã CP]],Sheet4!$B$2:$B$1605,0),_xlfn.XMATCH("*Tăng trưởng lợi nhuận sau thuế (YoY) (6M)*",Sheet4!$1:$1,2)),"")</f>
        <v>0</v>
      </c>
      <c r="Q819" s="10" cm="1">
        <f t="array" ref="Q819">IFERROR(INDEX(Sheet4!$2:$1605,MATCH(ChiTietKQKD[[#This Row],[Mã CP]],Sheet4!$B$2:$B$1605,0),_xlfn.XMATCH("*Tăng trưởng doanh thu thuần (QoQ)*",Sheet4!$1:$1,2)),"")</f>
        <v>0</v>
      </c>
      <c r="R819" s="10" cm="1">
        <f t="array" ref="R819">IFERROR(INDEX(Sheet4!$2:$1605,MATCH(ChiTietKQKD[[#This Row],[Mã CP]],Sheet4!$B$2:$B$1605,0),_xlfn.XMATCH("*Tăng trưởng lợi nhuận sau thuế (QoQ)*",Sheet4!$1:$1,2)),"")</f>
        <v>0</v>
      </c>
    </row>
    <row r="820" spans="1:18" x14ac:dyDescent="0.25">
      <c r="A820" s="7">
        <f>Sheet4!A799</f>
        <v>798</v>
      </c>
      <c r="B820" t="str">
        <f>Sheet4!B799</f>
        <v>BMG</v>
      </c>
      <c r="C820" t="str">
        <f>Sheet4!C798</f>
        <v>VLXD và Chất đốt Đồng Nai</v>
      </c>
      <c r="D820" t="str">
        <f>Sheet4!D799</f>
        <v>UPCoM</v>
      </c>
      <c r="E820" s="7">
        <f>Sheet4!AH799/1000000000</f>
        <v>58.741199999999999</v>
      </c>
      <c r="F820" t="str">
        <f>Sheet4!E799</f>
        <v>Hàng Tiêu dùng</v>
      </c>
      <c r="G820" t="str">
        <f>Sheet4!F799</f>
        <v>Hàng cá nhân &amp; Gia dụng</v>
      </c>
      <c r="H820" t="str">
        <f>Sheet4!G799</f>
        <v>Hàng May mặc</v>
      </c>
      <c r="I820" s="9" t="str" cm="1">
        <f t="array" ref="I82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20" s="9" t="str" cm="1">
        <f t="array" ref="J82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20" s="10" cm="1">
        <f t="array" ref="K82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20" s="10" cm="1">
        <f t="array" ref="L82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20" s="9" t="str" cm="1">
        <f t="array" ref="M82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20" s="9" t="str" cm="1">
        <f t="array" ref="N82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20" s="10" cm="1">
        <f t="array" ref="O820">IFERROR(INDEX(Sheet4!$2:$1605,MATCH(ChiTietKQKD[[#This Row],[Mã CP]],Sheet4!$B$2:$B$1605,0),_xlfn.XMATCH("*Tăng trưởng lợi nhuận sau thuế (YoY) (Quý*",Sheet4!$1:$1,2)),"")</f>
        <v>0</v>
      </c>
      <c r="P820" s="10" cm="1">
        <f t="array" ref="P820">IFERROR(INDEX(Sheet4!$2:$1605,MATCH(ChiTietKQKD[[#This Row],[Mã CP]],Sheet4!$B$2:$B$1605,0),_xlfn.XMATCH("*Tăng trưởng lợi nhuận sau thuế (YoY) (6M)*",Sheet4!$1:$1,2)),"")</f>
        <v>0</v>
      </c>
      <c r="Q820" s="10" cm="1">
        <f t="array" ref="Q820">IFERROR(INDEX(Sheet4!$2:$1605,MATCH(ChiTietKQKD[[#This Row],[Mã CP]],Sheet4!$B$2:$B$1605,0),_xlfn.XMATCH("*Tăng trưởng doanh thu thuần (QoQ)*",Sheet4!$1:$1,2)),"")</f>
        <v>0</v>
      </c>
      <c r="R820" s="10" cm="1">
        <f t="array" ref="R820">IFERROR(INDEX(Sheet4!$2:$1605,MATCH(ChiTietKQKD[[#This Row],[Mã CP]],Sheet4!$B$2:$B$1605,0),_xlfn.XMATCH("*Tăng trưởng lợi nhuận sau thuế (QoQ)*",Sheet4!$1:$1,2)),"")</f>
        <v>0</v>
      </c>
    </row>
    <row r="821" spans="1:18" x14ac:dyDescent="0.25">
      <c r="A821" s="7">
        <f>Sheet4!A800</f>
        <v>799</v>
      </c>
      <c r="B821" t="str">
        <f>Sheet4!B800</f>
        <v>BMJ</v>
      </c>
      <c r="C821" t="str">
        <f>Sheet4!C799</f>
        <v>May Bình Minh</v>
      </c>
      <c r="D821" t="str">
        <f>Sheet4!D800</f>
        <v>UPCoM</v>
      </c>
      <c r="E821" s="7">
        <f>Sheet4!AH800/1000000000</f>
        <v>1051.469779692</v>
      </c>
      <c r="F821" t="str">
        <f>Sheet4!E800</f>
        <v>Nguyên vật liệu</v>
      </c>
      <c r="G821" t="str">
        <f>Sheet4!F800</f>
        <v>Tài nguyên Cơ bản</v>
      </c>
      <c r="H821" t="str">
        <f>Sheet4!G800</f>
        <v>Khai khoáng</v>
      </c>
      <c r="I821" s="9" t="str" cm="1">
        <f t="array" ref="I82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21" s="9" t="str" cm="1">
        <f t="array" ref="J82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21" s="10" cm="1">
        <f t="array" ref="K82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21" s="10" cm="1">
        <f t="array" ref="L82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21" s="9" t="str" cm="1">
        <f t="array" ref="M82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21" s="9" t="str" cm="1">
        <f t="array" ref="N82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21" s="10" cm="1">
        <f t="array" ref="O821">IFERROR(INDEX(Sheet4!$2:$1605,MATCH(ChiTietKQKD[[#This Row],[Mã CP]],Sheet4!$B$2:$B$1605,0),_xlfn.XMATCH("*Tăng trưởng lợi nhuận sau thuế (YoY) (Quý*",Sheet4!$1:$1,2)),"")</f>
        <v>0</v>
      </c>
      <c r="P821" s="10" cm="1">
        <f t="array" ref="P821">IFERROR(INDEX(Sheet4!$2:$1605,MATCH(ChiTietKQKD[[#This Row],[Mã CP]],Sheet4!$B$2:$B$1605,0),_xlfn.XMATCH("*Tăng trưởng lợi nhuận sau thuế (YoY) (6M)*",Sheet4!$1:$1,2)),"")</f>
        <v>0</v>
      </c>
      <c r="Q821" s="10" cm="1">
        <f t="array" ref="Q821">IFERROR(INDEX(Sheet4!$2:$1605,MATCH(ChiTietKQKD[[#This Row],[Mã CP]],Sheet4!$B$2:$B$1605,0),_xlfn.XMATCH("*Tăng trưởng doanh thu thuần (QoQ)*",Sheet4!$1:$1,2)),"")</f>
        <v>0</v>
      </c>
      <c r="R821" s="10" cm="1">
        <f t="array" ref="R821">IFERROR(INDEX(Sheet4!$2:$1605,MATCH(ChiTietKQKD[[#This Row],[Mã CP]],Sheet4!$B$2:$B$1605,0),_xlfn.XMATCH("*Tăng trưởng lợi nhuận sau thuế (QoQ)*",Sheet4!$1:$1,2)),"")</f>
        <v>0</v>
      </c>
    </row>
    <row r="822" spans="1:18" x14ac:dyDescent="0.25">
      <c r="A822" s="7">
        <f>Sheet4!A801</f>
        <v>800</v>
      </c>
      <c r="B822" t="str">
        <f>Sheet4!B801</f>
        <v>BMK</v>
      </c>
      <c r="C822" t="str">
        <f>Sheet4!C800</f>
        <v>Khoáng sản Miền Đông AHP</v>
      </c>
      <c r="D822" t="str">
        <f>Sheet4!D801</f>
        <v>UPCoM</v>
      </c>
      <c r="E822" s="7">
        <f>Sheet4!AH801/1000000000</f>
        <v>107.5206888</v>
      </c>
      <c r="F822" t="str">
        <f>Sheet4!E801</f>
        <v>Công nghiệp</v>
      </c>
      <c r="G822" t="str">
        <f>Sheet4!F801</f>
        <v>Xây dựng và Vật liệu</v>
      </c>
      <c r="H822" t="str">
        <f>Sheet4!G801</f>
        <v>Vật liệu xây dựng &amp; Nội thất</v>
      </c>
      <c r="I822" s="9" t="str" cm="1">
        <f t="array" ref="I82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22" s="9" t="str" cm="1">
        <f t="array" ref="J82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22" s="10" cm="1">
        <f t="array" ref="K82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22" s="10" cm="1">
        <f t="array" ref="L82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22" s="9" t="str" cm="1">
        <f t="array" ref="M82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22" s="9" t="str" cm="1">
        <f t="array" ref="N82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22" s="10" cm="1">
        <f t="array" ref="O822">IFERROR(INDEX(Sheet4!$2:$1605,MATCH(ChiTietKQKD[[#This Row],[Mã CP]],Sheet4!$B$2:$B$1605,0),_xlfn.XMATCH("*Tăng trưởng lợi nhuận sau thuế (YoY) (Quý*",Sheet4!$1:$1,2)),"")</f>
        <v>0</v>
      </c>
      <c r="P822" s="10" cm="1">
        <f t="array" ref="P822">IFERROR(INDEX(Sheet4!$2:$1605,MATCH(ChiTietKQKD[[#This Row],[Mã CP]],Sheet4!$B$2:$B$1605,0),_xlfn.XMATCH("*Tăng trưởng lợi nhuận sau thuế (YoY) (6M)*",Sheet4!$1:$1,2)),"")</f>
        <v>0</v>
      </c>
      <c r="Q822" s="10" cm="1">
        <f t="array" ref="Q822">IFERROR(INDEX(Sheet4!$2:$1605,MATCH(ChiTietKQKD[[#This Row],[Mã CP]],Sheet4!$B$2:$B$1605,0),_xlfn.XMATCH("*Tăng trưởng doanh thu thuần (QoQ)*",Sheet4!$1:$1,2)),"")</f>
        <v>0</v>
      </c>
      <c r="R822" s="10" cm="1">
        <f t="array" ref="R822">IFERROR(INDEX(Sheet4!$2:$1605,MATCH(ChiTietKQKD[[#This Row],[Mã CP]],Sheet4!$B$2:$B$1605,0),_xlfn.XMATCH("*Tăng trưởng lợi nhuận sau thuế (QoQ)*",Sheet4!$1:$1,2)),"")</f>
        <v>0</v>
      </c>
    </row>
    <row r="823" spans="1:18" x14ac:dyDescent="0.25">
      <c r="A823" s="7">
        <f>Sheet4!A802</f>
        <v>801</v>
      </c>
      <c r="B823" t="str">
        <f>Sheet4!B802</f>
        <v>BMS</v>
      </c>
      <c r="C823" t="str">
        <f>Sheet4!C801</f>
        <v>Black Cat</v>
      </c>
      <c r="D823" t="str">
        <f>Sheet4!D802</f>
        <v>UPCoM</v>
      </c>
      <c r="E823" s="7">
        <f>Sheet4!AH802/1000000000</f>
        <v>2876.3140932840001</v>
      </c>
      <c r="F823" t="str">
        <f>Sheet4!E802</f>
        <v>Tài chính</v>
      </c>
      <c r="G823" t="str">
        <f>Sheet4!F802</f>
        <v>Dịch vụ tài chính</v>
      </c>
      <c r="H823" t="str">
        <f>Sheet4!G802</f>
        <v>Môi giới chứng khoán</v>
      </c>
      <c r="I823" s="9" cm="1">
        <f t="array" ref="I82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167.06312806899999</v>
      </c>
      <c r="J823" s="9" cm="1">
        <f t="array" ref="J82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236.80380889</v>
      </c>
      <c r="K823" s="10" cm="1">
        <f t="array" ref="K82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0.1719</v>
      </c>
      <c r="L823" s="10" cm="1">
        <f t="array" ref="L82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3.4099999999999998E-2</v>
      </c>
      <c r="M823" s="9" cm="1">
        <f t="array" ref="M823">_xlfn.LET(_xlpm.val,IFERROR(INDEX(Sheet4!$2:$1605,MATCH(ChiTietKQKD[[#This Row],[Mã CP]],Sheet4!$B$2:$B$1605,0),_xlfn.XMATCH("*Lợi nhuận sau thuế*Q2*2026*",Sheet4!$1:$1,2)),0),IF(OR(_xlpm.val="",_xlpm.val=0),"",_xlpm.val/1000000000))</f>
        <v>74.711887149999995</v>
      </c>
      <c r="N823" s="9" cm="1">
        <f t="array" ref="N823">_xlfn.LET(_xlpm.val,IFERROR(INDEX(Sheet4!$2:$1605,MATCH(ChiTietKQKD[[#This Row],[Mã CP]],Sheet4!$B$2:$B$1605,0),_xlfn.XMATCH("*Lợi nhuận sau thuế*6 tháng*2026*",Sheet4!$1:$1,2)),0),IF(OR(_xlpm.val="",_xlpm.val=0),"",_xlpm.val/1000000000))</f>
        <v>110.585510935</v>
      </c>
      <c r="O823" s="10" cm="1">
        <f t="array" ref="O823">IFERROR(INDEX(Sheet4!$2:$1605,MATCH(ChiTietKQKD[[#This Row],[Mã CP]],Sheet4!$B$2:$B$1605,0),_xlfn.XMATCH("*Tăng trưởng lợi nhuận sau thuế (YoY) (Quý*",Sheet4!$1:$1,2)),"")</f>
        <v>0.20019999999999999</v>
      </c>
      <c r="P823" s="10" cm="1">
        <f t="array" ref="P823">IFERROR(INDEX(Sheet4!$2:$1605,MATCH(ChiTietKQKD[[#This Row],[Mã CP]],Sheet4!$B$2:$B$1605,0),_xlfn.XMATCH("*Tăng trưởng lợi nhuận sau thuế (YoY) (6M)*",Sheet4!$1:$1,2)),"")</f>
        <v>1.1685000000000001</v>
      </c>
      <c r="Q823" s="10" cm="1">
        <f t="array" ref="Q823">IFERROR(INDEX(Sheet4!$2:$1605,MATCH(ChiTietKQKD[[#This Row],[Mã CP]],Sheet4!$B$2:$B$1605,0),_xlfn.XMATCH("*Tăng trưởng doanh thu thuần (QoQ)*",Sheet4!$1:$1,2)),"")</f>
        <v>1.3955</v>
      </c>
      <c r="R823" s="10" cm="1">
        <f t="array" ref="R823">IFERROR(INDEX(Sheet4!$2:$1605,MATCH(ChiTietKQKD[[#This Row],[Mã CP]],Sheet4!$B$2:$B$1605,0),_xlfn.XMATCH("*Tăng trưởng lợi nhuận sau thuế (QoQ)*",Sheet4!$1:$1,2)),"")</f>
        <v>1.0826</v>
      </c>
    </row>
    <row r="824" spans="1:18" x14ac:dyDescent="0.25">
      <c r="A824" s="7">
        <f>Sheet4!A803</f>
        <v>802</v>
      </c>
      <c r="B824" t="str">
        <f>Sheet4!B803</f>
        <v>BMV</v>
      </c>
      <c r="C824" t="str">
        <f>Sheet4!C802</f>
        <v>Chứng khoán Bảo Minh</v>
      </c>
      <c r="D824" t="str">
        <f>Sheet4!D803</f>
        <v>UPCoM</v>
      </c>
      <c r="E824" s="7">
        <f>Sheet4!AH803/1000000000</f>
        <v>65.34</v>
      </c>
      <c r="F824" t="str">
        <f>Sheet4!E803</f>
        <v>Hàng Tiêu dùng</v>
      </c>
      <c r="G824" t="str">
        <f>Sheet4!F803</f>
        <v>Thực phẩm và đồ uống</v>
      </c>
      <c r="H824" t="str">
        <f>Sheet4!G803</f>
        <v>Thực phẩm</v>
      </c>
      <c r="I824" s="9" cm="1">
        <f t="array" ref="I82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150.62314791200001</v>
      </c>
      <c r="J824" s="9" t="str" cm="1">
        <f t="array" ref="J82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24" s="10" cm="1">
        <f t="array" ref="K82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-1.5800000000000002E-2</v>
      </c>
      <c r="L824" s="10" cm="1">
        <f t="array" ref="L82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3.3599999999999998E-2</v>
      </c>
      <c r="M824" s="9" cm="1">
        <f t="array" ref="M824">_xlfn.LET(_xlpm.val,IFERROR(INDEX(Sheet4!$2:$1605,MATCH(ChiTietKQKD[[#This Row],[Mã CP]],Sheet4!$B$2:$B$1605,0),_xlfn.XMATCH("*Lợi nhuận sau thuế*Q2*2026*",Sheet4!$1:$1,2)),0),IF(OR(_xlpm.val="",_xlpm.val=0),"",_xlpm.val/1000000000))</f>
        <v>3.7342088480000002</v>
      </c>
      <c r="N824" s="9" t="str" cm="1">
        <f t="array" ref="N82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24" s="10" cm="1">
        <f t="array" ref="O824">IFERROR(INDEX(Sheet4!$2:$1605,MATCH(ChiTietKQKD[[#This Row],[Mã CP]],Sheet4!$B$2:$B$1605,0),_xlfn.XMATCH("*Tăng trưởng lợi nhuận sau thuế (YoY) (Quý*",Sheet4!$1:$1,2)),"")</f>
        <v>2.5729000000000002</v>
      </c>
      <c r="P824" s="10" cm="1">
        <f t="array" ref="P824">IFERROR(INDEX(Sheet4!$2:$1605,MATCH(ChiTietKQKD[[#This Row],[Mã CP]],Sheet4!$B$2:$B$1605,0),_xlfn.XMATCH("*Tăng trưởng lợi nhuận sau thuế (YoY) (6M)*",Sheet4!$1:$1,2)),"")</f>
        <v>1.4202999999999999</v>
      </c>
      <c r="Q824" s="10" cm="1">
        <f t="array" ref="Q824">IFERROR(INDEX(Sheet4!$2:$1605,MATCH(ChiTietKQKD[[#This Row],[Mã CP]],Sheet4!$B$2:$B$1605,0),_xlfn.XMATCH("*Tăng trưởng doanh thu thuần (QoQ)*",Sheet4!$1:$1,2)),"")</f>
        <v>-5.8700000000000002E-2</v>
      </c>
      <c r="R824" s="10" cm="1">
        <f t="array" ref="R824">IFERROR(INDEX(Sheet4!$2:$1605,MATCH(ChiTietKQKD[[#This Row],[Mã CP]],Sheet4!$B$2:$B$1605,0),_xlfn.XMATCH("*Tăng trưởng lợi nhuận sau thuế (QoQ)*",Sheet4!$1:$1,2)),"")</f>
        <v>1.994</v>
      </c>
    </row>
    <row r="825" spans="1:18" x14ac:dyDescent="0.25">
      <c r="A825" s="7">
        <f>Sheet4!A804</f>
        <v>803</v>
      </c>
      <c r="B825" t="str">
        <f>Sheet4!B804</f>
        <v>BNW</v>
      </c>
      <c r="C825" t="str">
        <f>Sheet4!C803</f>
        <v>Bột mỳ Vinafood 1</v>
      </c>
      <c r="D825" t="str">
        <f>Sheet4!D804</f>
        <v>UPCoM</v>
      </c>
      <c r="E825" s="7">
        <f>Sheet4!AH804/1000000000</f>
        <v>766.00757639999995</v>
      </c>
      <c r="F825" t="str">
        <f>Sheet4!E804</f>
        <v>Tiện ích Cộng đồng</v>
      </c>
      <c r="G825" t="str">
        <f>Sheet4!F804</f>
        <v>Điện, nước &amp; xăng dầu khí đốt</v>
      </c>
      <c r="H825" t="str">
        <f>Sheet4!G804</f>
        <v>Nước</v>
      </c>
      <c r="I825" s="9" cm="1">
        <f t="array" ref="I82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90.231755950999997</v>
      </c>
      <c r="J825" s="9" cm="1">
        <f t="array" ref="J82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164.755006624</v>
      </c>
      <c r="K825" s="10" cm="1">
        <f t="array" ref="K82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0.20660000000000001</v>
      </c>
      <c r="L825" s="10" cm="1">
        <f t="array" ref="L82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0.19800000000000001</v>
      </c>
      <c r="M825" s="9" cm="1">
        <f t="array" ref="M825">_xlfn.LET(_xlpm.val,IFERROR(INDEX(Sheet4!$2:$1605,MATCH(ChiTietKQKD[[#This Row],[Mã CP]],Sheet4!$B$2:$B$1605,0),_xlfn.XMATCH("*Lợi nhuận sau thuế*Q2*2026*",Sheet4!$1:$1,2)),0),IF(OR(_xlpm.val="",_xlpm.val=0),"",_xlpm.val/1000000000))</f>
        <v>20.691025466999999</v>
      </c>
      <c r="N825" s="9" cm="1">
        <f t="array" ref="N825">_xlfn.LET(_xlpm.val,IFERROR(INDEX(Sheet4!$2:$1605,MATCH(ChiTietKQKD[[#This Row],[Mã CP]],Sheet4!$B$2:$B$1605,0),_xlfn.XMATCH("*Lợi nhuận sau thuế*6 tháng*2026*",Sheet4!$1:$1,2)),0),IF(OR(_xlpm.val="",_xlpm.val=0),"",_xlpm.val/1000000000))</f>
        <v>30.591570713999999</v>
      </c>
      <c r="O825" s="10" cm="1">
        <f t="array" ref="O825">IFERROR(INDEX(Sheet4!$2:$1605,MATCH(ChiTietKQKD[[#This Row],[Mã CP]],Sheet4!$B$2:$B$1605,0),_xlfn.XMATCH("*Tăng trưởng lợi nhuận sau thuế (YoY) (Quý*",Sheet4!$1:$1,2)),"")</f>
        <v>0.82369999999999999</v>
      </c>
      <c r="P825" s="10" cm="1">
        <f t="array" ref="P825">IFERROR(INDEX(Sheet4!$2:$1605,MATCH(ChiTietKQKD[[#This Row],[Mã CP]],Sheet4!$B$2:$B$1605,0),_xlfn.XMATCH("*Tăng trưởng lợi nhuận sau thuế (YoY) (6M)*",Sheet4!$1:$1,2)),"")</f>
        <v>0.53449999999999998</v>
      </c>
      <c r="Q825" s="10" cm="1">
        <f t="array" ref="Q825">IFERROR(INDEX(Sheet4!$2:$1605,MATCH(ChiTietKQKD[[#This Row],[Mã CP]],Sheet4!$B$2:$B$1605,0),_xlfn.XMATCH("*Tăng trưởng doanh thu thuần (QoQ)*",Sheet4!$1:$1,2)),"")</f>
        <v>0.21079999999999999</v>
      </c>
      <c r="R825" s="10" cm="1">
        <f t="array" ref="R825">IFERROR(INDEX(Sheet4!$2:$1605,MATCH(ChiTietKQKD[[#This Row],[Mã CP]],Sheet4!$B$2:$B$1605,0),_xlfn.XMATCH("*Tăng trưởng lợi nhuận sau thuế (QoQ)*",Sheet4!$1:$1,2)),"")</f>
        <v>1.0899000000000001</v>
      </c>
    </row>
    <row r="826" spans="1:18" x14ac:dyDescent="0.25">
      <c r="A826" s="7">
        <f>Sheet4!A805</f>
        <v>804</v>
      </c>
      <c r="B826" t="str">
        <f>Sheet4!B805</f>
        <v>BOT</v>
      </c>
      <c r="C826" t="str">
        <f>Sheet4!C804</f>
        <v>Nước sạch Bắc Ninh</v>
      </c>
      <c r="D826" t="str">
        <f>Sheet4!D805</f>
        <v>UPCoM</v>
      </c>
      <c r="E826" s="7">
        <f>Sheet4!AH805/1000000000</f>
        <v>94.794880000000006</v>
      </c>
      <c r="F826" t="str">
        <f>Sheet4!E805</f>
        <v>Công nghiệp</v>
      </c>
      <c r="G826" t="str">
        <f>Sheet4!F805</f>
        <v>Xây dựng và Vật liệu</v>
      </c>
      <c r="H826" t="str">
        <f>Sheet4!G805</f>
        <v>Xây dựng</v>
      </c>
      <c r="I826" s="9" cm="1">
        <f t="array" ref="I82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18.216460942000001</v>
      </c>
      <c r="J826" s="9" cm="1">
        <f t="array" ref="J82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39.071530873</v>
      </c>
      <c r="K826" s="10" cm="1">
        <f t="array" ref="K82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26" s="10" cm="1">
        <f t="array" ref="L82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2.4199999999999999E-2</v>
      </c>
      <c r="M826" s="9" cm="1">
        <f t="array" ref="M826">_xlfn.LET(_xlpm.val,IFERROR(INDEX(Sheet4!$2:$1605,MATCH(ChiTietKQKD[[#This Row],[Mã CP]],Sheet4!$B$2:$B$1605,0),_xlfn.XMATCH("*Lợi nhuận sau thuế*Q2*2026*",Sheet4!$1:$1,2)),0),IF(OR(_xlpm.val="",_xlpm.val=0),"",_xlpm.val/1000000000))</f>
        <v>-14.450896609000001</v>
      </c>
      <c r="N826" s="9" cm="1">
        <f t="array" ref="N826">_xlfn.LET(_xlpm.val,IFERROR(INDEX(Sheet4!$2:$1605,MATCH(ChiTietKQKD[[#This Row],[Mã CP]],Sheet4!$B$2:$B$1605,0),_xlfn.XMATCH("*Lợi nhuận sau thuế*6 tháng*2026*",Sheet4!$1:$1,2)),0),IF(OR(_xlpm.val="",_xlpm.val=0),"",_xlpm.val/1000000000))</f>
        <v>-26.744943241000001</v>
      </c>
      <c r="O826" s="10" cm="1">
        <f t="array" ref="O826">IFERROR(INDEX(Sheet4!$2:$1605,MATCH(ChiTietKQKD[[#This Row],[Mã CP]],Sheet4!$B$2:$B$1605,0),_xlfn.XMATCH("*Tăng trưởng lợi nhuận sau thuế (YoY) (Quý*",Sheet4!$1:$1,2)),"")</f>
        <v>0</v>
      </c>
      <c r="P826" s="10" cm="1">
        <f t="array" ref="P826">IFERROR(INDEX(Sheet4!$2:$1605,MATCH(ChiTietKQKD[[#This Row],[Mã CP]],Sheet4!$B$2:$B$1605,0),_xlfn.XMATCH("*Tăng trưởng lợi nhuận sau thuế (YoY) (6M)*",Sheet4!$1:$1,2)),"")</f>
        <v>6.9000000000000006E-2</v>
      </c>
      <c r="Q826" s="10" cm="1">
        <f t="array" ref="Q826">IFERROR(INDEX(Sheet4!$2:$1605,MATCH(ChiTietKQKD[[#This Row],[Mã CP]],Sheet4!$B$2:$B$1605,0),_xlfn.XMATCH("*Tăng trưởng doanh thu thuần (QoQ)*",Sheet4!$1:$1,2)),"")</f>
        <v>0</v>
      </c>
      <c r="R826" s="10" cm="1">
        <f t="array" ref="R826">IFERROR(INDEX(Sheet4!$2:$1605,MATCH(ChiTietKQKD[[#This Row],[Mã CP]],Sheet4!$B$2:$B$1605,0),_xlfn.XMATCH("*Tăng trưởng lợi nhuận sau thuế (QoQ)*",Sheet4!$1:$1,2)),"")</f>
        <v>0</v>
      </c>
    </row>
    <row r="827" spans="1:18" x14ac:dyDescent="0.25">
      <c r="A827" s="7">
        <f>Sheet4!A806</f>
        <v>805</v>
      </c>
      <c r="B827" t="str">
        <f>Sheet4!B806</f>
        <v>BQB</v>
      </c>
      <c r="C827" t="str">
        <f>Sheet4!C805</f>
        <v>BOT Cầu Thái Hà</v>
      </c>
      <c r="D827" t="str">
        <f>Sheet4!D806</f>
        <v>UPCoM</v>
      </c>
      <c r="E827" s="7">
        <f>Sheet4!AH806/1000000000</f>
        <v>21.75</v>
      </c>
      <c r="F827" t="str">
        <f>Sheet4!E806</f>
        <v>Hàng Tiêu dùng</v>
      </c>
      <c r="G827" t="str">
        <f>Sheet4!F806</f>
        <v>Thực phẩm và đồ uống</v>
      </c>
      <c r="H827" t="str">
        <f>Sheet4!G806</f>
        <v>Sản xuất bia</v>
      </c>
      <c r="I827" s="9" t="str" cm="1">
        <f t="array" ref="I82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27" s="9" t="str" cm="1">
        <f t="array" ref="J82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27" s="10" cm="1">
        <f t="array" ref="K82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27" s="10" cm="1">
        <f t="array" ref="L82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27" s="9" t="str" cm="1">
        <f t="array" ref="M82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27" s="9" t="str" cm="1">
        <f t="array" ref="N82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27" s="10" cm="1">
        <f t="array" ref="O827">IFERROR(INDEX(Sheet4!$2:$1605,MATCH(ChiTietKQKD[[#This Row],[Mã CP]],Sheet4!$B$2:$B$1605,0),_xlfn.XMATCH("*Tăng trưởng lợi nhuận sau thuế (YoY) (Quý*",Sheet4!$1:$1,2)),"")</f>
        <v>0</v>
      </c>
      <c r="P827" s="10" cm="1">
        <f t="array" ref="P827">IFERROR(INDEX(Sheet4!$2:$1605,MATCH(ChiTietKQKD[[#This Row],[Mã CP]],Sheet4!$B$2:$B$1605,0),_xlfn.XMATCH("*Tăng trưởng lợi nhuận sau thuế (YoY) (6M)*",Sheet4!$1:$1,2)),"")</f>
        <v>0</v>
      </c>
      <c r="Q827" s="10" cm="1">
        <f t="array" ref="Q827">IFERROR(INDEX(Sheet4!$2:$1605,MATCH(ChiTietKQKD[[#This Row],[Mã CP]],Sheet4!$B$2:$B$1605,0),_xlfn.XMATCH("*Tăng trưởng doanh thu thuần (QoQ)*",Sheet4!$1:$1,2)),"")</f>
        <v>0</v>
      </c>
      <c r="R827" s="10" cm="1">
        <f t="array" ref="R827">IFERROR(INDEX(Sheet4!$2:$1605,MATCH(ChiTietKQKD[[#This Row],[Mã CP]],Sheet4!$B$2:$B$1605,0),_xlfn.XMATCH("*Tăng trưởng lợi nhuận sau thuế (QoQ)*",Sheet4!$1:$1,2)),"")</f>
        <v>0</v>
      </c>
    </row>
    <row r="828" spans="1:18" x14ac:dyDescent="0.25">
      <c r="A828" s="7">
        <f>Sheet4!A807</f>
        <v>806</v>
      </c>
      <c r="B828" t="str">
        <f>Sheet4!B807</f>
        <v>BQP</v>
      </c>
      <c r="C828" t="str">
        <f>Sheet4!C806</f>
        <v>Bia Hà Nội - Quảng Bình</v>
      </c>
      <c r="D828" t="str">
        <f>Sheet4!D807</f>
        <v>UPCoM</v>
      </c>
      <c r="E828" s="7">
        <f>Sheet4!AH807/1000000000</f>
        <v>277.5</v>
      </c>
      <c r="F828" t="str">
        <f>Sheet4!E807</f>
        <v>Nguyên vật liệu</v>
      </c>
      <c r="G828" t="str">
        <f>Sheet4!F807</f>
        <v>Hóa chất</v>
      </c>
      <c r="H828" t="str">
        <f>Sheet4!G807</f>
        <v>Nhựa, cao su &amp; sợi</v>
      </c>
      <c r="I828" s="9" t="str" cm="1">
        <f t="array" ref="I82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28" s="9" t="str" cm="1">
        <f t="array" ref="J82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28" s="10" cm="1">
        <f t="array" ref="K82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28" s="10" cm="1">
        <f t="array" ref="L82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28" s="9" t="str" cm="1">
        <f t="array" ref="M82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28" s="9" t="str" cm="1">
        <f t="array" ref="N82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28" s="10" cm="1">
        <f t="array" ref="O828">IFERROR(INDEX(Sheet4!$2:$1605,MATCH(ChiTietKQKD[[#This Row],[Mã CP]],Sheet4!$B$2:$B$1605,0),_xlfn.XMATCH("*Tăng trưởng lợi nhuận sau thuế (YoY) (Quý*",Sheet4!$1:$1,2)),"")</f>
        <v>0</v>
      </c>
      <c r="P828" s="10" cm="1">
        <f t="array" ref="P828">IFERROR(INDEX(Sheet4!$2:$1605,MATCH(ChiTietKQKD[[#This Row],[Mã CP]],Sheet4!$B$2:$B$1605,0),_xlfn.XMATCH("*Tăng trưởng lợi nhuận sau thuế (YoY) (6M)*",Sheet4!$1:$1,2)),"")</f>
        <v>0</v>
      </c>
      <c r="Q828" s="10" cm="1">
        <f t="array" ref="Q828">IFERROR(INDEX(Sheet4!$2:$1605,MATCH(ChiTietKQKD[[#This Row],[Mã CP]],Sheet4!$B$2:$B$1605,0),_xlfn.XMATCH("*Tăng trưởng doanh thu thuần (QoQ)*",Sheet4!$1:$1,2)),"")</f>
        <v>0</v>
      </c>
      <c r="R828" s="10" cm="1">
        <f t="array" ref="R828">IFERROR(INDEX(Sheet4!$2:$1605,MATCH(ChiTietKQKD[[#This Row],[Mã CP]],Sheet4!$B$2:$B$1605,0),_xlfn.XMATCH("*Tăng trưởng lợi nhuận sau thuế (QoQ)*",Sheet4!$1:$1,2)),"")</f>
        <v>0</v>
      </c>
    </row>
    <row r="829" spans="1:18" x14ac:dyDescent="0.25">
      <c r="A829" s="7">
        <f>Sheet4!A808</f>
        <v>807</v>
      </c>
      <c r="B829" t="str">
        <f>Sheet4!B808</f>
        <v>BRR</v>
      </c>
      <c r="C829" t="str">
        <f>Sheet4!C807</f>
        <v>Nhựa Chất Lượng Cao Bình Thuận</v>
      </c>
      <c r="D829" t="str">
        <f>Sheet4!D808</f>
        <v>UPCoM</v>
      </c>
      <c r="E829" s="7">
        <f>Sheet4!AH808/1000000000</f>
        <v>1980</v>
      </c>
      <c r="F829" t="str">
        <f>Sheet4!E808</f>
        <v>Nguyên vật liệu</v>
      </c>
      <c r="G829" t="str">
        <f>Sheet4!F808</f>
        <v>Hóa chất</v>
      </c>
      <c r="H829" t="str">
        <f>Sheet4!G808</f>
        <v>Nhựa, cao su &amp; sợi</v>
      </c>
      <c r="I829" s="9" t="str" cm="1">
        <f t="array" ref="I82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29" s="9" t="str" cm="1">
        <f t="array" ref="J82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29" s="10" cm="1">
        <f t="array" ref="K82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29" s="10" cm="1">
        <f t="array" ref="L82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29" s="9" t="str" cm="1">
        <f t="array" ref="M82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29" s="9" t="str" cm="1">
        <f t="array" ref="N82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29" s="10" cm="1">
        <f t="array" ref="O829">IFERROR(INDEX(Sheet4!$2:$1605,MATCH(ChiTietKQKD[[#This Row],[Mã CP]],Sheet4!$B$2:$B$1605,0),_xlfn.XMATCH("*Tăng trưởng lợi nhuận sau thuế (YoY) (Quý*",Sheet4!$1:$1,2)),"")</f>
        <v>0</v>
      </c>
      <c r="P829" s="10" cm="1">
        <f t="array" ref="P829">IFERROR(INDEX(Sheet4!$2:$1605,MATCH(ChiTietKQKD[[#This Row],[Mã CP]],Sheet4!$B$2:$B$1605,0),_xlfn.XMATCH("*Tăng trưởng lợi nhuận sau thuế (YoY) (6M)*",Sheet4!$1:$1,2)),"")</f>
        <v>0</v>
      </c>
      <c r="Q829" s="10" cm="1">
        <f t="array" ref="Q829">IFERROR(INDEX(Sheet4!$2:$1605,MATCH(ChiTietKQKD[[#This Row],[Mã CP]],Sheet4!$B$2:$B$1605,0),_xlfn.XMATCH("*Tăng trưởng doanh thu thuần (QoQ)*",Sheet4!$1:$1,2)),"")</f>
        <v>0</v>
      </c>
      <c r="R829" s="10" cm="1">
        <f t="array" ref="R829">IFERROR(INDEX(Sheet4!$2:$1605,MATCH(ChiTietKQKD[[#This Row],[Mã CP]],Sheet4!$B$2:$B$1605,0),_xlfn.XMATCH("*Tăng trưởng lợi nhuận sau thuế (QoQ)*",Sheet4!$1:$1,2)),"")</f>
        <v>0</v>
      </c>
    </row>
    <row r="830" spans="1:18" x14ac:dyDescent="0.25">
      <c r="A830" s="7">
        <f>Sheet4!A809</f>
        <v>808</v>
      </c>
      <c r="B830" t="str">
        <f>Sheet4!B809</f>
        <v>BRS</v>
      </c>
      <c r="C830" t="str">
        <f>Sheet4!C808</f>
        <v>Cao su Bà Rịa</v>
      </c>
      <c r="D830" t="str">
        <f>Sheet4!D809</f>
        <v>UPCoM</v>
      </c>
      <c r="E830" s="7">
        <f>Sheet4!AH809/1000000000</f>
        <v>104.46485</v>
      </c>
      <c r="F830" t="str">
        <f>Sheet4!E809</f>
        <v>Công nghiệp</v>
      </c>
      <c r="G830" t="str">
        <f>Sheet4!F809</f>
        <v>Hàng &amp; Dịch vụ Công nghiệp</v>
      </c>
      <c r="H830" t="str">
        <f>Sheet4!G809</f>
        <v>Chất thải &amp; Môi trường</v>
      </c>
      <c r="I830" s="9" t="str" cm="1">
        <f t="array" ref="I83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30" s="9" t="str" cm="1">
        <f t="array" ref="J83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30" s="10" cm="1">
        <f t="array" ref="K83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30" s="10" cm="1">
        <f t="array" ref="L83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30" s="9" t="str" cm="1">
        <f t="array" ref="M83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30" s="9" t="str" cm="1">
        <f t="array" ref="N83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30" s="10" cm="1">
        <f t="array" ref="O830">IFERROR(INDEX(Sheet4!$2:$1605,MATCH(ChiTietKQKD[[#This Row],[Mã CP]],Sheet4!$B$2:$B$1605,0),_xlfn.XMATCH("*Tăng trưởng lợi nhuận sau thuế (YoY) (Quý*",Sheet4!$1:$1,2)),"")</f>
        <v>0</v>
      </c>
      <c r="P830" s="10" cm="1">
        <f t="array" ref="P830">IFERROR(INDEX(Sheet4!$2:$1605,MATCH(ChiTietKQKD[[#This Row],[Mã CP]],Sheet4!$B$2:$B$1605,0),_xlfn.XMATCH("*Tăng trưởng lợi nhuận sau thuế (YoY) (6M)*",Sheet4!$1:$1,2)),"")</f>
        <v>0</v>
      </c>
      <c r="Q830" s="10" cm="1">
        <f t="array" ref="Q830">IFERROR(INDEX(Sheet4!$2:$1605,MATCH(ChiTietKQKD[[#This Row],[Mã CP]],Sheet4!$B$2:$B$1605,0),_xlfn.XMATCH("*Tăng trưởng doanh thu thuần (QoQ)*",Sheet4!$1:$1,2)),"")</f>
        <v>0</v>
      </c>
      <c r="R830" s="10" cm="1">
        <f t="array" ref="R830">IFERROR(INDEX(Sheet4!$2:$1605,MATCH(ChiTietKQKD[[#This Row],[Mã CP]],Sheet4!$B$2:$B$1605,0),_xlfn.XMATCH("*Tăng trưởng lợi nhuận sau thuế (QoQ)*",Sheet4!$1:$1,2)),"")</f>
        <v>0</v>
      </c>
    </row>
    <row r="831" spans="1:18" x14ac:dyDescent="0.25">
      <c r="A831" s="7">
        <f>Sheet4!A810</f>
        <v>809</v>
      </c>
      <c r="B831" t="str">
        <f>Sheet4!B810</f>
        <v>BSA</v>
      </c>
      <c r="C831" t="str">
        <f>Sheet4!C809</f>
        <v>Dịch vụ Đô thị Bà Rịa</v>
      </c>
      <c r="D831" t="str">
        <f>Sheet4!D810</f>
        <v>UPCoM</v>
      </c>
      <c r="E831" s="7">
        <f>Sheet4!AH810/1000000000</f>
        <v>1352.9300320499999</v>
      </c>
      <c r="F831" t="str">
        <f>Sheet4!E810</f>
        <v>Tiện ích Cộng đồng</v>
      </c>
      <c r="G831" t="str">
        <f>Sheet4!F810</f>
        <v>Điện, nước &amp; xăng dầu khí đốt</v>
      </c>
      <c r="H831" t="str">
        <f>Sheet4!G810</f>
        <v>Sản xuất &amp; Phân phối Điện</v>
      </c>
      <c r="I831" s="9" cm="1">
        <f t="array" ref="I83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36.083009881999999</v>
      </c>
      <c r="J831" s="9" cm="1">
        <f t="array" ref="J83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83.824941836999997</v>
      </c>
      <c r="K831" s="10" cm="1">
        <f t="array" ref="K83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-0.43640000000000001</v>
      </c>
      <c r="L831" s="10" cm="1">
        <f t="array" ref="L83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31" s="9" cm="1">
        <f t="array" ref="M831">_xlfn.LET(_xlpm.val,IFERROR(INDEX(Sheet4!$2:$1605,MATCH(ChiTietKQKD[[#This Row],[Mã CP]],Sheet4!$B$2:$B$1605,0),_xlfn.XMATCH("*Lợi nhuận sau thuế*Q2*2026*",Sheet4!$1:$1,2)),0),IF(OR(_xlpm.val="",_xlpm.val=0),"",_xlpm.val/1000000000))</f>
        <v>4.9509429469999997</v>
      </c>
      <c r="N831" s="9" cm="1">
        <f t="array" ref="N831">_xlfn.LET(_xlpm.val,IFERROR(INDEX(Sheet4!$2:$1605,MATCH(ChiTietKQKD[[#This Row],[Mã CP]],Sheet4!$B$2:$B$1605,0),_xlfn.XMATCH("*Lợi nhuận sau thuế*6 tháng*2026*",Sheet4!$1:$1,2)),0),IF(OR(_xlpm.val="",_xlpm.val=0),"",_xlpm.val/1000000000))</f>
        <v>20.700120841</v>
      </c>
      <c r="O831" s="10" cm="1">
        <f t="array" ref="O831">IFERROR(INDEX(Sheet4!$2:$1605,MATCH(ChiTietKQKD[[#This Row],[Mã CP]],Sheet4!$B$2:$B$1605,0),_xlfn.XMATCH("*Tăng trưởng lợi nhuận sau thuế (YoY) (Quý*",Sheet4!$1:$1,2)),"")</f>
        <v>-0.88400000000000001</v>
      </c>
      <c r="P831" s="10" cm="1">
        <f t="array" ref="P831">IFERROR(INDEX(Sheet4!$2:$1605,MATCH(ChiTietKQKD[[#This Row],[Mã CP]],Sheet4!$B$2:$B$1605,0),_xlfn.XMATCH("*Tăng trưởng lợi nhuận sau thuế (YoY) (6M)*",Sheet4!$1:$1,2)),"")</f>
        <v>0</v>
      </c>
      <c r="Q831" s="10" cm="1">
        <f t="array" ref="Q831">IFERROR(INDEX(Sheet4!$2:$1605,MATCH(ChiTietKQKD[[#This Row],[Mã CP]],Sheet4!$B$2:$B$1605,0),_xlfn.XMATCH("*Tăng trưởng doanh thu thuần (QoQ)*",Sheet4!$1:$1,2)),"")</f>
        <v>-0.2442</v>
      </c>
      <c r="R831" s="10" cm="1">
        <f t="array" ref="R831">IFERROR(INDEX(Sheet4!$2:$1605,MATCH(ChiTietKQKD[[#This Row],[Mã CP]],Sheet4!$B$2:$B$1605,0),_xlfn.XMATCH("*Tăng trưởng lợi nhuận sau thuế (QoQ)*",Sheet4!$1:$1,2)),"")</f>
        <v>-0.68559999999999999</v>
      </c>
    </row>
    <row r="832" spans="1:18" x14ac:dyDescent="0.25">
      <c r="A832" s="7">
        <f>Sheet4!A811</f>
        <v>810</v>
      </c>
      <c r="B832" t="str">
        <f>Sheet4!B811</f>
        <v>BSD</v>
      </c>
      <c r="C832" t="str">
        <f>Sheet4!C810</f>
        <v>Thủy điện Buôn Đôn</v>
      </c>
      <c r="D832" t="str">
        <f>Sheet4!D811</f>
        <v>UPCoM</v>
      </c>
      <c r="E832" s="7">
        <f>Sheet4!AH811/1000000000</f>
        <v>45.3</v>
      </c>
      <c r="F832" t="str">
        <f>Sheet4!E811</f>
        <v>Hàng Tiêu dùng</v>
      </c>
      <c r="G832" t="str">
        <f>Sheet4!F811</f>
        <v>Thực phẩm và đồ uống</v>
      </c>
      <c r="H832" t="str">
        <f>Sheet4!G811</f>
        <v>Sản xuất bia</v>
      </c>
      <c r="I832" s="9" t="str" cm="1">
        <f t="array" ref="I83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32" s="9" t="str" cm="1">
        <f t="array" ref="J83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32" s="10" cm="1">
        <f t="array" ref="K83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32" s="10" cm="1">
        <f t="array" ref="L83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32" s="9" t="str" cm="1">
        <f t="array" ref="M83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32" s="9" t="str" cm="1">
        <f t="array" ref="N83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32" s="10" cm="1">
        <f t="array" ref="O832">IFERROR(INDEX(Sheet4!$2:$1605,MATCH(ChiTietKQKD[[#This Row],[Mã CP]],Sheet4!$B$2:$B$1605,0),_xlfn.XMATCH("*Tăng trưởng lợi nhuận sau thuế (YoY) (Quý*",Sheet4!$1:$1,2)),"")</f>
        <v>0</v>
      </c>
      <c r="P832" s="10" cm="1">
        <f t="array" ref="P832">IFERROR(INDEX(Sheet4!$2:$1605,MATCH(ChiTietKQKD[[#This Row],[Mã CP]],Sheet4!$B$2:$B$1605,0),_xlfn.XMATCH("*Tăng trưởng lợi nhuận sau thuế (YoY) (6M)*",Sheet4!$1:$1,2)),"")</f>
        <v>0</v>
      </c>
      <c r="Q832" s="10" cm="1">
        <f t="array" ref="Q832">IFERROR(INDEX(Sheet4!$2:$1605,MATCH(ChiTietKQKD[[#This Row],[Mã CP]],Sheet4!$B$2:$B$1605,0),_xlfn.XMATCH("*Tăng trưởng doanh thu thuần (QoQ)*",Sheet4!$1:$1,2)),"")</f>
        <v>0</v>
      </c>
      <c r="R832" s="10" cm="1">
        <f t="array" ref="R832">IFERROR(INDEX(Sheet4!$2:$1605,MATCH(ChiTietKQKD[[#This Row],[Mã CP]],Sheet4!$B$2:$B$1605,0),_xlfn.XMATCH("*Tăng trưởng lợi nhuận sau thuế (QoQ)*",Sheet4!$1:$1,2)),"")</f>
        <v>0</v>
      </c>
    </row>
    <row r="833" spans="1:18" x14ac:dyDescent="0.25">
      <c r="A833" s="7">
        <f>Sheet4!A812</f>
        <v>811</v>
      </c>
      <c r="B833" t="str">
        <f>Sheet4!B812</f>
        <v>BSG</v>
      </c>
      <c r="C833" t="str">
        <f>Sheet4!C811</f>
        <v>Bia, rượu Sài Gòn - Đồng Xuân</v>
      </c>
      <c r="D833" t="str">
        <f>Sheet4!D812</f>
        <v>UPCoM</v>
      </c>
      <c r="E833" s="7">
        <f>Sheet4!AH812/1000000000</f>
        <v>564</v>
      </c>
      <c r="F833" t="str">
        <f>Sheet4!E812</f>
        <v>Dịch vụ Tiêu dùng</v>
      </c>
      <c r="G833" t="str">
        <f>Sheet4!F812</f>
        <v>Du lịch và Giải trí</v>
      </c>
      <c r="H833" t="str">
        <f>Sheet4!G812</f>
        <v>Vận tải hành khách &amp; Du lịch</v>
      </c>
      <c r="I833" s="9" cm="1">
        <f t="array" ref="I83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81.225404527999999</v>
      </c>
      <c r="J833" s="9" cm="1">
        <f t="array" ref="J83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170.616528499</v>
      </c>
      <c r="K833" s="10" cm="1">
        <f t="array" ref="K83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33" s="10" cm="1">
        <f t="array" ref="L83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33" s="9" cm="1">
        <f t="array" ref="M833">_xlfn.LET(_xlpm.val,IFERROR(INDEX(Sheet4!$2:$1605,MATCH(ChiTietKQKD[[#This Row],[Mã CP]],Sheet4!$B$2:$B$1605,0),_xlfn.XMATCH("*Lợi nhuận sau thuế*Q2*2026*",Sheet4!$1:$1,2)),0),IF(OR(_xlpm.val="",_xlpm.val=0),"",_xlpm.val/1000000000))</f>
        <v>-19.981929006000001</v>
      </c>
      <c r="N833" s="9" cm="1">
        <f t="array" ref="N833">_xlfn.LET(_xlpm.val,IFERROR(INDEX(Sheet4!$2:$1605,MATCH(ChiTietKQKD[[#This Row],[Mã CP]],Sheet4!$B$2:$B$1605,0),_xlfn.XMATCH("*Lợi nhuận sau thuế*6 tháng*2026*",Sheet4!$1:$1,2)),0),IF(OR(_xlpm.val="",_xlpm.val=0),"",_xlpm.val/1000000000))</f>
        <v>-31.422546082</v>
      </c>
      <c r="O833" s="10" cm="1">
        <f t="array" ref="O833">IFERROR(INDEX(Sheet4!$2:$1605,MATCH(ChiTietKQKD[[#This Row],[Mã CP]],Sheet4!$B$2:$B$1605,0),_xlfn.XMATCH("*Tăng trưởng lợi nhuận sau thuế (YoY) (Quý*",Sheet4!$1:$1,2)),"")</f>
        <v>0</v>
      </c>
      <c r="P833" s="10" cm="1">
        <f t="array" ref="P833">IFERROR(INDEX(Sheet4!$2:$1605,MATCH(ChiTietKQKD[[#This Row],[Mã CP]],Sheet4!$B$2:$B$1605,0),_xlfn.XMATCH("*Tăng trưởng lợi nhuận sau thuế (YoY) (6M)*",Sheet4!$1:$1,2)),"")</f>
        <v>0</v>
      </c>
      <c r="Q833" s="10" cm="1">
        <f t="array" ref="Q833">IFERROR(INDEX(Sheet4!$2:$1605,MATCH(ChiTietKQKD[[#This Row],[Mã CP]],Sheet4!$B$2:$B$1605,0),_xlfn.XMATCH("*Tăng trưởng doanh thu thuần (QoQ)*",Sheet4!$1:$1,2)),"")</f>
        <v>0</v>
      </c>
      <c r="R833" s="10" cm="1">
        <f t="array" ref="R833">IFERROR(INDEX(Sheet4!$2:$1605,MATCH(ChiTietKQKD[[#This Row],[Mã CP]],Sheet4!$B$2:$B$1605,0),_xlfn.XMATCH("*Tăng trưởng lợi nhuận sau thuế (QoQ)*",Sheet4!$1:$1,2)),"")</f>
        <v>0</v>
      </c>
    </row>
    <row r="834" spans="1:18" x14ac:dyDescent="0.25">
      <c r="A834" s="7">
        <f>Sheet4!A813</f>
        <v>812</v>
      </c>
      <c r="B834" t="str">
        <f>Sheet4!B813</f>
        <v>BSH</v>
      </c>
      <c r="C834" t="str">
        <f>Sheet4!C812</f>
        <v>Xe khách Sài Gòn</v>
      </c>
      <c r="D834" t="str">
        <f>Sheet4!D813</f>
        <v>UPCoM</v>
      </c>
      <c r="E834" s="7">
        <f>Sheet4!AH813/1000000000</f>
        <v>293.39999999999998</v>
      </c>
      <c r="F834" t="str">
        <f>Sheet4!E813</f>
        <v>Hàng Tiêu dùng</v>
      </c>
      <c r="G834" t="str">
        <f>Sheet4!F813</f>
        <v>Thực phẩm và đồ uống</v>
      </c>
      <c r="H834" t="str">
        <f>Sheet4!G813</f>
        <v>Sản xuất bia</v>
      </c>
      <c r="I834" s="9" cm="1">
        <f t="array" ref="I83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157.92560205300001</v>
      </c>
      <c r="J834" s="9" cm="1">
        <f t="array" ref="J83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288.922156395</v>
      </c>
      <c r="K834" s="10" cm="1">
        <f t="array" ref="K83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0.15010000000000001</v>
      </c>
      <c r="L834" s="10" cm="1">
        <f t="array" ref="L83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0.1749</v>
      </c>
      <c r="M834" s="9" cm="1">
        <f t="array" ref="M834">_xlfn.LET(_xlpm.val,IFERROR(INDEX(Sheet4!$2:$1605,MATCH(ChiTietKQKD[[#This Row],[Mã CP]],Sheet4!$B$2:$B$1605,0),_xlfn.XMATCH("*Lợi nhuận sau thuế*Q2*2026*",Sheet4!$1:$1,2)),0),IF(OR(_xlpm.val="",_xlpm.val=0),"",_xlpm.val/1000000000))</f>
        <v>13.255759862</v>
      </c>
      <c r="N834" s="9" cm="1">
        <f t="array" ref="N834">_xlfn.LET(_xlpm.val,IFERROR(INDEX(Sheet4!$2:$1605,MATCH(ChiTietKQKD[[#This Row],[Mã CP]],Sheet4!$B$2:$B$1605,0),_xlfn.XMATCH("*Lợi nhuận sau thuế*6 tháng*2026*",Sheet4!$1:$1,2)),0),IF(OR(_xlpm.val="",_xlpm.val=0),"",_xlpm.val/1000000000))</f>
        <v>20.707816900000001</v>
      </c>
      <c r="O834" s="10" cm="1">
        <f t="array" ref="O834">IFERROR(INDEX(Sheet4!$2:$1605,MATCH(ChiTietKQKD[[#This Row],[Mã CP]],Sheet4!$B$2:$B$1605,0),_xlfn.XMATCH("*Tăng trưởng lợi nhuận sau thuế (YoY) (Quý*",Sheet4!$1:$1,2)),"")</f>
        <v>0.96199999999999997</v>
      </c>
      <c r="P834" s="10" cm="1">
        <f t="array" ref="P834">IFERROR(INDEX(Sheet4!$2:$1605,MATCH(ChiTietKQKD[[#This Row],[Mã CP]],Sheet4!$B$2:$B$1605,0),_xlfn.XMATCH("*Tăng trưởng lợi nhuận sau thuế (YoY) (6M)*",Sheet4!$1:$1,2)),"")</f>
        <v>2.8388</v>
      </c>
      <c r="Q834" s="10" cm="1">
        <f t="array" ref="Q834">IFERROR(INDEX(Sheet4!$2:$1605,MATCH(ChiTietKQKD[[#This Row],[Mã CP]],Sheet4!$B$2:$B$1605,0),_xlfn.XMATCH("*Tăng trưởng doanh thu thuần (QoQ)*",Sheet4!$1:$1,2)),"")</f>
        <v>0.2056</v>
      </c>
      <c r="R834" s="10" cm="1">
        <f t="array" ref="R834">IFERROR(INDEX(Sheet4!$2:$1605,MATCH(ChiTietKQKD[[#This Row],[Mã CP]],Sheet4!$B$2:$B$1605,0),_xlfn.XMATCH("*Tăng trưởng lợi nhuận sau thuế (QoQ)*",Sheet4!$1:$1,2)),"")</f>
        <v>0.77880000000000005</v>
      </c>
    </row>
    <row r="835" spans="1:18" x14ac:dyDescent="0.25">
      <c r="A835" s="7">
        <f>Sheet4!A814</f>
        <v>813</v>
      </c>
      <c r="B835" t="str">
        <f>Sheet4!B814</f>
        <v>BSL</v>
      </c>
      <c r="C835" t="str">
        <f>Sheet4!C813</f>
        <v>Bia Sài Gòn - Hà Nội</v>
      </c>
      <c r="D835" t="str">
        <f>Sheet4!D814</f>
        <v>UPCoM</v>
      </c>
      <c r="E835" s="7">
        <f>Sheet4!AH814/1000000000</f>
        <v>621</v>
      </c>
      <c r="F835" t="str">
        <f>Sheet4!E814</f>
        <v>Hàng Tiêu dùng</v>
      </c>
      <c r="G835" t="str">
        <f>Sheet4!F814</f>
        <v>Thực phẩm và đồ uống</v>
      </c>
      <c r="H835" t="str">
        <f>Sheet4!G814</f>
        <v>Sản xuất bia</v>
      </c>
      <c r="I835" s="9" cm="1">
        <f t="array" ref="I83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259.13548352599997</v>
      </c>
      <c r="J835" s="9" cm="1">
        <f t="array" ref="J83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469.223427335</v>
      </c>
      <c r="K835" s="10" cm="1">
        <f t="array" ref="K83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9.9099999999999994E-2</v>
      </c>
      <c r="L835" s="10" cm="1">
        <f t="array" ref="L83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0.1515</v>
      </c>
      <c r="M835" s="9" cm="1">
        <f t="array" ref="M835">_xlfn.LET(_xlpm.val,IFERROR(INDEX(Sheet4!$2:$1605,MATCH(ChiTietKQKD[[#This Row],[Mã CP]],Sheet4!$B$2:$B$1605,0),_xlfn.XMATCH("*Lợi nhuận sau thuế*Q2*2026*",Sheet4!$1:$1,2)),0),IF(OR(_xlpm.val="",_xlpm.val=0),"",_xlpm.val/1000000000))</f>
        <v>30.797467746999999</v>
      </c>
      <c r="N835" s="9" cm="1">
        <f t="array" ref="N835">_xlfn.LET(_xlpm.val,IFERROR(INDEX(Sheet4!$2:$1605,MATCH(ChiTietKQKD[[#This Row],[Mã CP]],Sheet4!$B$2:$B$1605,0),_xlfn.XMATCH("*Lợi nhuận sau thuế*6 tháng*2026*",Sheet4!$1:$1,2)),0),IF(OR(_xlpm.val="",_xlpm.val=0),"",_xlpm.val/1000000000))</f>
        <v>52.790872004999997</v>
      </c>
      <c r="O835" s="10" cm="1">
        <f t="array" ref="O835">IFERROR(INDEX(Sheet4!$2:$1605,MATCH(ChiTietKQKD[[#This Row],[Mã CP]],Sheet4!$B$2:$B$1605,0),_xlfn.XMATCH("*Tăng trưởng lợi nhuận sau thuế (YoY) (Quý*",Sheet4!$1:$1,2)),"")</f>
        <v>2.2521</v>
      </c>
      <c r="P835" s="10" cm="1">
        <f t="array" ref="P835">IFERROR(INDEX(Sheet4!$2:$1605,MATCH(ChiTietKQKD[[#This Row],[Mã CP]],Sheet4!$B$2:$B$1605,0),_xlfn.XMATCH("*Tăng trưởng lợi nhuận sau thuế (YoY) (6M)*",Sheet4!$1:$1,2)),"")</f>
        <v>8.0602999999999998</v>
      </c>
      <c r="Q835" s="10" cm="1">
        <f t="array" ref="Q835">IFERROR(INDEX(Sheet4!$2:$1605,MATCH(ChiTietKQKD[[#This Row],[Mã CP]],Sheet4!$B$2:$B$1605,0),_xlfn.XMATCH("*Tăng trưởng doanh thu thuần (QoQ)*",Sheet4!$1:$1,2)),"")</f>
        <v>0.23350000000000001</v>
      </c>
      <c r="R835" s="10" cm="1">
        <f t="array" ref="R835">IFERROR(INDEX(Sheet4!$2:$1605,MATCH(ChiTietKQKD[[#This Row],[Mã CP]],Sheet4!$B$2:$B$1605,0),_xlfn.XMATCH("*Tăng trưởng lợi nhuận sau thuế (QoQ)*",Sheet4!$1:$1,2)),"")</f>
        <v>0.40029999999999999</v>
      </c>
    </row>
    <row r="836" spans="1:18" x14ac:dyDescent="0.25">
      <c r="A836" s="7">
        <f>Sheet4!A815</f>
        <v>814</v>
      </c>
      <c r="B836" t="str">
        <f>Sheet4!B815</f>
        <v>BSP</v>
      </c>
      <c r="C836" t="str">
        <f>Sheet4!C814</f>
        <v>Bia Sài Gòn - Sông Lam</v>
      </c>
      <c r="D836" t="str">
        <f>Sheet4!D815</f>
        <v>UPCoM</v>
      </c>
      <c r="E836" s="7">
        <f>Sheet4!AH815/1000000000</f>
        <v>150</v>
      </c>
      <c r="F836" t="str">
        <f>Sheet4!E815</f>
        <v>Hàng Tiêu dùng</v>
      </c>
      <c r="G836" t="str">
        <f>Sheet4!F815</f>
        <v>Thực phẩm và đồ uống</v>
      </c>
      <c r="H836" t="str">
        <f>Sheet4!G815</f>
        <v>Sản xuất bia</v>
      </c>
      <c r="I836" s="9" cm="1">
        <f t="array" ref="I83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121.863157328</v>
      </c>
      <c r="J836" s="9" cm="1">
        <f t="array" ref="J83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186.68902304400001</v>
      </c>
      <c r="K836" s="10" cm="1">
        <f t="array" ref="K83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0.1484</v>
      </c>
      <c r="L836" s="10" cm="1">
        <f t="array" ref="L83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0.15390000000000001</v>
      </c>
      <c r="M836" s="9" cm="1">
        <f t="array" ref="M836">_xlfn.LET(_xlpm.val,IFERROR(INDEX(Sheet4!$2:$1605,MATCH(ChiTietKQKD[[#This Row],[Mã CP]],Sheet4!$B$2:$B$1605,0),_xlfn.XMATCH("*Lợi nhuận sau thuế*Q2*2026*",Sheet4!$1:$1,2)),0),IF(OR(_xlpm.val="",_xlpm.val=0),"",_xlpm.val/1000000000))</f>
        <v>12.102262248000001</v>
      </c>
      <c r="N836" s="9" cm="1">
        <f t="array" ref="N836">_xlfn.LET(_xlpm.val,IFERROR(INDEX(Sheet4!$2:$1605,MATCH(ChiTietKQKD[[#This Row],[Mã CP]],Sheet4!$B$2:$B$1605,0),_xlfn.XMATCH("*Lợi nhuận sau thuế*6 tháng*2026*",Sheet4!$1:$1,2)),0),IF(OR(_xlpm.val="",_xlpm.val=0),"",_xlpm.val/1000000000))</f>
        <v>10.433286638</v>
      </c>
      <c r="O836" s="10" cm="1">
        <f t="array" ref="O836">IFERROR(INDEX(Sheet4!$2:$1605,MATCH(ChiTietKQKD[[#This Row],[Mã CP]],Sheet4!$B$2:$B$1605,0),_xlfn.XMATCH("*Tăng trưởng lợi nhuận sau thuế (YoY) (Quý*",Sheet4!$1:$1,2)),"")</f>
        <v>1.3041</v>
      </c>
      <c r="P836" s="10" cm="1">
        <f t="array" ref="P836">IFERROR(INDEX(Sheet4!$2:$1605,MATCH(ChiTietKQKD[[#This Row],[Mã CP]],Sheet4!$B$2:$B$1605,0),_xlfn.XMATCH("*Tăng trưởng lợi nhuận sau thuế (YoY) (6M)*",Sheet4!$1:$1,2)),"")</f>
        <v>22.875</v>
      </c>
      <c r="Q836" s="10" cm="1">
        <f t="array" ref="Q836">IFERROR(INDEX(Sheet4!$2:$1605,MATCH(ChiTietKQKD[[#This Row],[Mã CP]],Sheet4!$B$2:$B$1605,0),_xlfn.XMATCH("*Tăng trưởng doanh thu thuần (QoQ)*",Sheet4!$1:$1,2)),"")</f>
        <v>0.87990000000000002</v>
      </c>
      <c r="R836" s="10" cm="1">
        <f t="array" ref="R836">IFERROR(INDEX(Sheet4!$2:$1605,MATCH(ChiTietKQKD[[#This Row],[Mã CP]],Sheet4!$B$2:$B$1605,0),_xlfn.XMATCH("*Tăng trưởng lợi nhuận sau thuế (QoQ)*",Sheet4!$1:$1,2)),"")</f>
        <v>8.2513000000000005</v>
      </c>
    </row>
    <row r="837" spans="1:18" x14ac:dyDescent="0.25">
      <c r="A837" s="7">
        <f>Sheet4!A816</f>
        <v>815</v>
      </c>
      <c r="B837" t="str">
        <f>Sheet4!B816</f>
        <v>BSQ</v>
      </c>
      <c r="C837" t="str">
        <f>Sheet4!C815</f>
        <v>Bia Sài Gòn - Phú Thọ</v>
      </c>
      <c r="D837" t="str">
        <f>Sheet4!D816</f>
        <v>UPCoM</v>
      </c>
      <c r="E837" s="7">
        <f>Sheet4!AH816/1000000000</f>
        <v>832.5</v>
      </c>
      <c r="F837" t="str">
        <f>Sheet4!E816</f>
        <v>Hàng Tiêu dùng</v>
      </c>
      <c r="G837" t="str">
        <f>Sheet4!F816</f>
        <v>Thực phẩm và đồ uống</v>
      </c>
      <c r="H837" t="str">
        <f>Sheet4!G816</f>
        <v>Sản xuất bia</v>
      </c>
      <c r="I837" s="9" cm="1">
        <f t="array" ref="I83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444.66188622200002</v>
      </c>
      <c r="J837" s="9" cm="1">
        <f t="array" ref="J83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858.62134753500004</v>
      </c>
      <c r="K837" s="10" cm="1">
        <f t="array" ref="K83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0.1004</v>
      </c>
      <c r="L837" s="10" cm="1">
        <f t="array" ref="L83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4.07E-2</v>
      </c>
      <c r="M837" s="9" cm="1">
        <f t="array" ref="M837">_xlfn.LET(_xlpm.val,IFERROR(INDEX(Sheet4!$2:$1605,MATCH(ChiTietKQKD[[#This Row],[Mã CP]],Sheet4!$B$2:$B$1605,0),_xlfn.XMATCH("*Lợi nhuận sau thuế*Q2*2026*",Sheet4!$1:$1,2)),0),IF(OR(_xlpm.val="",_xlpm.val=0),"",_xlpm.val/1000000000))</f>
        <v>30.804703488000001</v>
      </c>
      <c r="N837" s="9" cm="1">
        <f t="array" ref="N837">_xlfn.LET(_xlpm.val,IFERROR(INDEX(Sheet4!$2:$1605,MATCH(ChiTietKQKD[[#This Row],[Mã CP]],Sheet4!$B$2:$B$1605,0),_xlfn.XMATCH("*Lợi nhuận sau thuế*6 tháng*2026*",Sheet4!$1:$1,2)),0),IF(OR(_xlpm.val="",_xlpm.val=0),"",_xlpm.val/1000000000))</f>
        <v>62.787529337999999</v>
      </c>
      <c r="O837" s="10" cm="1">
        <f t="array" ref="O837">IFERROR(INDEX(Sheet4!$2:$1605,MATCH(ChiTietKQKD[[#This Row],[Mã CP]],Sheet4!$B$2:$B$1605,0),_xlfn.XMATCH("*Tăng trưởng lợi nhuận sau thuế (YoY) (Quý*",Sheet4!$1:$1,2)),"")</f>
        <v>1.4590000000000001</v>
      </c>
      <c r="P837" s="10" cm="1">
        <f t="array" ref="P837">IFERROR(INDEX(Sheet4!$2:$1605,MATCH(ChiTietKQKD[[#This Row],[Mã CP]],Sheet4!$B$2:$B$1605,0),_xlfn.XMATCH("*Tăng trưởng lợi nhuận sau thuế (YoY) (6M)*",Sheet4!$1:$1,2)),"")</f>
        <v>1.9258999999999999</v>
      </c>
      <c r="Q837" s="10" cm="1">
        <f t="array" ref="Q837">IFERROR(INDEX(Sheet4!$2:$1605,MATCH(ChiTietKQKD[[#This Row],[Mã CP]],Sheet4!$B$2:$B$1605,0),_xlfn.XMATCH("*Tăng trưởng doanh thu thuần (QoQ)*",Sheet4!$1:$1,2)),"")</f>
        <v>7.4200000000000002E-2</v>
      </c>
      <c r="R837" s="10" cm="1">
        <f t="array" ref="R837">IFERROR(INDEX(Sheet4!$2:$1605,MATCH(ChiTietKQKD[[#This Row],[Mã CP]],Sheet4!$B$2:$B$1605,0),_xlfn.XMATCH("*Tăng trưởng lợi nhuận sau thuế (QoQ)*",Sheet4!$1:$1,2)),"")</f>
        <v>-3.6799999999999999E-2</v>
      </c>
    </row>
    <row r="838" spans="1:18" x14ac:dyDescent="0.25">
      <c r="A838" s="7">
        <f>Sheet4!A817</f>
        <v>816</v>
      </c>
      <c r="B838" t="str">
        <f>Sheet4!B817</f>
        <v>BT1</v>
      </c>
      <c r="C838" t="str">
        <f>Sheet4!C816</f>
        <v>Bia Sài Gòn - Quảng Ngãi</v>
      </c>
      <c r="D838" t="str">
        <f>Sheet4!D817</f>
        <v>UPCoM</v>
      </c>
      <c r="E838" s="7">
        <f>Sheet4!AH817/1000000000</f>
        <v>115.00121900000001</v>
      </c>
      <c r="F838" t="str">
        <f>Sheet4!E817</f>
        <v>Nguyên vật liệu</v>
      </c>
      <c r="G838" t="str">
        <f>Sheet4!F817</f>
        <v>Hóa chất</v>
      </c>
      <c r="H838" t="str">
        <f>Sheet4!G817</f>
        <v>Sản phẩm hóa dầu, Nông dược &amp; Hóa chất khác</v>
      </c>
      <c r="I838" s="9" t="str" cm="1">
        <f t="array" ref="I83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38" s="9" t="str" cm="1">
        <f t="array" ref="J83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38" s="10" cm="1">
        <f t="array" ref="K83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38" s="10" cm="1">
        <f t="array" ref="L83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38" s="9" t="str" cm="1">
        <f t="array" ref="M83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38" s="9" t="str" cm="1">
        <f t="array" ref="N83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38" s="10" cm="1">
        <f t="array" ref="O838">IFERROR(INDEX(Sheet4!$2:$1605,MATCH(ChiTietKQKD[[#This Row],[Mã CP]],Sheet4!$B$2:$B$1605,0),_xlfn.XMATCH("*Tăng trưởng lợi nhuận sau thuế (YoY) (Quý*",Sheet4!$1:$1,2)),"")</f>
        <v>0</v>
      </c>
      <c r="P838" s="10" cm="1">
        <f t="array" ref="P838">IFERROR(INDEX(Sheet4!$2:$1605,MATCH(ChiTietKQKD[[#This Row],[Mã CP]],Sheet4!$B$2:$B$1605,0),_xlfn.XMATCH("*Tăng trưởng lợi nhuận sau thuế (YoY) (6M)*",Sheet4!$1:$1,2)),"")</f>
        <v>0</v>
      </c>
      <c r="Q838" s="10" cm="1">
        <f t="array" ref="Q838">IFERROR(INDEX(Sheet4!$2:$1605,MATCH(ChiTietKQKD[[#This Row],[Mã CP]],Sheet4!$B$2:$B$1605,0),_xlfn.XMATCH("*Tăng trưởng doanh thu thuần (QoQ)*",Sheet4!$1:$1,2)),"")</f>
        <v>0</v>
      </c>
      <c r="R838" s="10" cm="1">
        <f t="array" ref="R838">IFERROR(INDEX(Sheet4!$2:$1605,MATCH(ChiTietKQKD[[#This Row],[Mã CP]],Sheet4!$B$2:$B$1605,0),_xlfn.XMATCH("*Tăng trưởng lợi nhuận sau thuế (QoQ)*",Sheet4!$1:$1,2)),"")</f>
        <v>0</v>
      </c>
    </row>
    <row r="839" spans="1:18" x14ac:dyDescent="0.25">
      <c r="A839" s="7">
        <f>Sheet4!A818</f>
        <v>817</v>
      </c>
      <c r="B839" t="str">
        <f>Sheet4!B818</f>
        <v>BT6</v>
      </c>
      <c r="C839" t="str">
        <f>Sheet4!C817</f>
        <v>Bảo vệ thực vật 1 TW</v>
      </c>
      <c r="D839" t="str">
        <f>Sheet4!D818</f>
        <v>UPCoM</v>
      </c>
      <c r="E839" s="7">
        <f>Sheet4!AH818/1000000000</f>
        <v>111.87873399999999</v>
      </c>
      <c r="F839" t="str">
        <f>Sheet4!E818</f>
        <v>Công nghiệp</v>
      </c>
      <c r="G839" t="str">
        <f>Sheet4!F818</f>
        <v>Xây dựng và Vật liệu</v>
      </c>
      <c r="H839" t="str">
        <f>Sheet4!G818</f>
        <v>Vật liệu xây dựng &amp; Nội thất</v>
      </c>
      <c r="I839" s="9" cm="1">
        <f t="array" ref="I83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24.932796427</v>
      </c>
      <c r="J839" s="9" t="str" cm="1">
        <f t="array" ref="J83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39" s="10" cm="1">
        <f t="array" ref="K83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-0.19600000000000001</v>
      </c>
      <c r="L839" s="10" cm="1">
        <f t="array" ref="L83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-0.39100000000000001</v>
      </c>
      <c r="M839" s="9" cm="1">
        <f t="array" ref="M839">_xlfn.LET(_xlpm.val,IFERROR(INDEX(Sheet4!$2:$1605,MATCH(ChiTietKQKD[[#This Row],[Mã CP]],Sheet4!$B$2:$B$1605,0),_xlfn.XMATCH("*Lợi nhuận sau thuế*Q2*2026*",Sheet4!$1:$1,2)),0),IF(OR(_xlpm.val="",_xlpm.val=0),"",_xlpm.val/1000000000))</f>
        <v>-15.290069768</v>
      </c>
      <c r="N839" s="9" t="str" cm="1">
        <f t="array" ref="N83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39" s="10" cm="1">
        <f t="array" ref="O839">IFERROR(INDEX(Sheet4!$2:$1605,MATCH(ChiTietKQKD[[#This Row],[Mã CP]],Sheet4!$B$2:$B$1605,0),_xlfn.XMATCH("*Tăng trưởng lợi nhuận sau thuế (YoY) (Quý*",Sheet4!$1:$1,2)),"")</f>
        <v>-6.8906000000000001</v>
      </c>
      <c r="P839" s="10" cm="1">
        <f t="array" ref="P839">IFERROR(INDEX(Sheet4!$2:$1605,MATCH(ChiTietKQKD[[#This Row],[Mã CP]],Sheet4!$B$2:$B$1605,0),_xlfn.XMATCH("*Tăng trưởng lợi nhuận sau thuế (YoY) (6M)*",Sheet4!$1:$1,2)),"")</f>
        <v>-13.4473</v>
      </c>
      <c r="Q839" s="10" cm="1">
        <f t="array" ref="Q839">IFERROR(INDEX(Sheet4!$2:$1605,MATCH(ChiTietKQKD[[#This Row],[Mã CP]],Sheet4!$B$2:$B$1605,0),_xlfn.XMATCH("*Tăng trưởng doanh thu thuần (QoQ)*",Sheet4!$1:$1,2)),"")</f>
        <v>1.1541999999999999</v>
      </c>
      <c r="R839" s="10" cm="1">
        <f t="array" ref="R839">IFERROR(INDEX(Sheet4!$2:$1605,MATCH(ChiTietKQKD[[#This Row],[Mã CP]],Sheet4!$B$2:$B$1605,0),_xlfn.XMATCH("*Tăng trưởng lợi nhuận sau thuế (QoQ)*",Sheet4!$1:$1,2)),"")</f>
        <v>0.10440000000000001</v>
      </c>
    </row>
    <row r="840" spans="1:18" x14ac:dyDescent="0.25">
      <c r="A840" s="7">
        <f>Sheet4!A819</f>
        <v>818</v>
      </c>
      <c r="B840" t="str">
        <f>Sheet4!B819</f>
        <v>BTB</v>
      </c>
      <c r="C840" t="str">
        <f>Sheet4!C818</f>
        <v>Bê tông 6</v>
      </c>
      <c r="D840" t="str">
        <f>Sheet4!D819</f>
        <v>UPCoM</v>
      </c>
      <c r="E840" s="7">
        <f>Sheet4!AH819/1000000000</f>
        <v>30.764904000000001</v>
      </c>
      <c r="F840" t="str">
        <f>Sheet4!E819</f>
        <v>Hàng Tiêu dùng</v>
      </c>
      <c r="G840" t="str">
        <f>Sheet4!F819</f>
        <v>Thực phẩm và đồ uống</v>
      </c>
      <c r="H840" t="str">
        <f>Sheet4!G819</f>
        <v>Sản xuất bia</v>
      </c>
      <c r="I840" s="9" t="str" cm="1">
        <f t="array" ref="I84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40" s="9" t="str" cm="1">
        <f t="array" ref="J84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40" s="10" cm="1">
        <f t="array" ref="K84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40" s="10" cm="1">
        <f t="array" ref="L84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40" s="9" t="str" cm="1">
        <f t="array" ref="M84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40" s="9" t="str" cm="1">
        <f t="array" ref="N84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40" s="10" cm="1">
        <f t="array" ref="O840">IFERROR(INDEX(Sheet4!$2:$1605,MATCH(ChiTietKQKD[[#This Row],[Mã CP]],Sheet4!$B$2:$B$1605,0),_xlfn.XMATCH("*Tăng trưởng lợi nhuận sau thuế (YoY) (Quý*",Sheet4!$1:$1,2)),"")</f>
        <v>0</v>
      </c>
      <c r="P840" s="10" cm="1">
        <f t="array" ref="P840">IFERROR(INDEX(Sheet4!$2:$1605,MATCH(ChiTietKQKD[[#This Row],[Mã CP]],Sheet4!$B$2:$B$1605,0),_xlfn.XMATCH("*Tăng trưởng lợi nhuận sau thuế (YoY) (6M)*",Sheet4!$1:$1,2)),"")</f>
        <v>0</v>
      </c>
      <c r="Q840" s="10" cm="1">
        <f t="array" ref="Q840">IFERROR(INDEX(Sheet4!$2:$1605,MATCH(ChiTietKQKD[[#This Row],[Mã CP]],Sheet4!$B$2:$B$1605,0),_xlfn.XMATCH("*Tăng trưởng doanh thu thuần (QoQ)*",Sheet4!$1:$1,2)),"")</f>
        <v>0</v>
      </c>
      <c r="R840" s="10" cm="1">
        <f t="array" ref="R840">IFERROR(INDEX(Sheet4!$2:$1605,MATCH(ChiTietKQKD[[#This Row],[Mã CP]],Sheet4!$B$2:$B$1605,0),_xlfn.XMATCH("*Tăng trưởng lợi nhuận sau thuế (QoQ)*",Sheet4!$1:$1,2)),"")</f>
        <v>0</v>
      </c>
    </row>
    <row r="841" spans="1:18" x14ac:dyDescent="0.25">
      <c r="A841" s="7">
        <f>Sheet4!A820</f>
        <v>819</v>
      </c>
      <c r="B841" t="str">
        <f>Sheet4!B820</f>
        <v>BTD</v>
      </c>
      <c r="C841" t="str">
        <f>Sheet4!C819</f>
        <v>Bia Hà Nội - Thái Bình</v>
      </c>
      <c r="D841" t="str">
        <f>Sheet4!D820</f>
        <v>UPCoM</v>
      </c>
      <c r="E841" s="7">
        <f>Sheet4!AH820/1000000000</f>
        <v>115.421238</v>
      </c>
      <c r="F841" t="str">
        <f>Sheet4!E820</f>
        <v>Công nghiệp</v>
      </c>
      <c r="G841" t="str">
        <f>Sheet4!F820</f>
        <v>Xây dựng và Vật liệu</v>
      </c>
      <c r="H841" t="str">
        <f>Sheet4!G820</f>
        <v>Vật liệu xây dựng &amp; Nội thất</v>
      </c>
      <c r="I841" s="9" t="str" cm="1">
        <f t="array" ref="I84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41" s="9" t="str" cm="1">
        <f t="array" ref="J84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41" s="10" cm="1">
        <f t="array" ref="K84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41" s="10" cm="1">
        <f t="array" ref="L84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41" s="9" t="str" cm="1">
        <f t="array" ref="M84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41" s="9" t="str" cm="1">
        <f t="array" ref="N84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41" s="10" cm="1">
        <f t="array" ref="O841">IFERROR(INDEX(Sheet4!$2:$1605,MATCH(ChiTietKQKD[[#This Row],[Mã CP]],Sheet4!$B$2:$B$1605,0),_xlfn.XMATCH("*Tăng trưởng lợi nhuận sau thuế (YoY) (Quý*",Sheet4!$1:$1,2)),"")</f>
        <v>0</v>
      </c>
      <c r="P841" s="10" cm="1">
        <f t="array" ref="P841">IFERROR(INDEX(Sheet4!$2:$1605,MATCH(ChiTietKQKD[[#This Row],[Mã CP]],Sheet4!$B$2:$B$1605,0),_xlfn.XMATCH("*Tăng trưởng lợi nhuận sau thuế (YoY) (6M)*",Sheet4!$1:$1,2)),"")</f>
        <v>0</v>
      </c>
      <c r="Q841" s="10" cm="1">
        <f t="array" ref="Q841">IFERROR(INDEX(Sheet4!$2:$1605,MATCH(ChiTietKQKD[[#This Row],[Mã CP]],Sheet4!$B$2:$B$1605,0),_xlfn.XMATCH("*Tăng trưởng doanh thu thuần (QoQ)*",Sheet4!$1:$1,2)),"")</f>
        <v>0</v>
      </c>
      <c r="R841" s="10" cm="1">
        <f t="array" ref="R841">IFERROR(INDEX(Sheet4!$2:$1605,MATCH(ChiTietKQKD[[#This Row],[Mã CP]],Sheet4!$B$2:$B$1605,0),_xlfn.XMATCH("*Tăng trưởng lợi nhuận sau thuế (QoQ)*",Sheet4!$1:$1,2)),"")</f>
        <v>0</v>
      </c>
    </row>
    <row r="842" spans="1:18" x14ac:dyDescent="0.25">
      <c r="A842" s="7">
        <f>Sheet4!A821</f>
        <v>820</v>
      </c>
      <c r="B842" t="str">
        <f>Sheet4!B821</f>
        <v>BTG</v>
      </c>
      <c r="C842" t="str">
        <f>Sheet4!C820</f>
        <v>Bê tông ly tâm Thủ Đức</v>
      </c>
      <c r="D842" t="str">
        <f>Sheet4!D821</f>
        <v>UPCoM</v>
      </c>
      <c r="E842" s="7">
        <f>Sheet4!AH821/1000000000</f>
        <v>9.6389999999999993</v>
      </c>
      <c r="F842" t="str">
        <f>Sheet4!E821</f>
        <v>Công nghiệp</v>
      </c>
      <c r="G842" t="str">
        <f>Sheet4!F821</f>
        <v>Hàng &amp; Dịch vụ Công nghiệp</v>
      </c>
      <c r="H842" t="str">
        <f>Sheet4!G821</f>
        <v>Containers &amp; Đóng gói</v>
      </c>
      <c r="I842" s="9" t="str" cm="1">
        <f t="array" ref="I84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42" s="9" t="str" cm="1">
        <f t="array" ref="J84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42" s="10" cm="1">
        <f t="array" ref="K84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42" s="10" cm="1">
        <f t="array" ref="L84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42" s="9" t="str" cm="1">
        <f t="array" ref="M84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42" s="9" t="str" cm="1">
        <f t="array" ref="N84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42" s="10" cm="1">
        <f t="array" ref="O842">IFERROR(INDEX(Sheet4!$2:$1605,MATCH(ChiTietKQKD[[#This Row],[Mã CP]],Sheet4!$B$2:$B$1605,0),_xlfn.XMATCH("*Tăng trưởng lợi nhuận sau thuế (YoY) (Quý*",Sheet4!$1:$1,2)),"")</f>
        <v>0</v>
      </c>
      <c r="P842" s="10" cm="1">
        <f t="array" ref="P842">IFERROR(INDEX(Sheet4!$2:$1605,MATCH(ChiTietKQKD[[#This Row],[Mã CP]],Sheet4!$B$2:$B$1605,0),_xlfn.XMATCH("*Tăng trưởng lợi nhuận sau thuế (YoY) (6M)*",Sheet4!$1:$1,2)),"")</f>
        <v>0</v>
      </c>
      <c r="Q842" s="10" cm="1">
        <f t="array" ref="Q842">IFERROR(INDEX(Sheet4!$2:$1605,MATCH(ChiTietKQKD[[#This Row],[Mã CP]],Sheet4!$B$2:$B$1605,0),_xlfn.XMATCH("*Tăng trưởng doanh thu thuần (QoQ)*",Sheet4!$1:$1,2)),"")</f>
        <v>0</v>
      </c>
      <c r="R842" s="10" cm="1">
        <f t="array" ref="R842">IFERROR(INDEX(Sheet4!$2:$1605,MATCH(ChiTietKQKD[[#This Row],[Mã CP]],Sheet4!$B$2:$B$1605,0),_xlfn.XMATCH("*Tăng trưởng lợi nhuận sau thuế (QoQ)*",Sheet4!$1:$1,2)),"")</f>
        <v>0</v>
      </c>
    </row>
    <row r="843" spans="1:18" x14ac:dyDescent="0.25">
      <c r="A843" s="7">
        <f>Sheet4!A822</f>
        <v>821</v>
      </c>
      <c r="B843" t="str">
        <f>Sheet4!B822</f>
        <v>BTH</v>
      </c>
      <c r="C843" t="str">
        <f>Sheet4!C821</f>
        <v>Bao bì Tiền Giang</v>
      </c>
      <c r="D843" t="str">
        <f>Sheet4!D822</f>
        <v>UPCoM</v>
      </c>
      <c r="E843" s="7">
        <f>Sheet4!AH822/1000000000</f>
        <v>574.20000000000005</v>
      </c>
      <c r="F843" t="str">
        <f>Sheet4!E822</f>
        <v>Công nghiệp</v>
      </c>
      <c r="G843" t="str">
        <f>Sheet4!F822</f>
        <v>Hàng &amp; Dịch vụ Công nghiệp</v>
      </c>
      <c r="H843" t="str">
        <f>Sheet4!G822</f>
        <v>Thiết bị điện</v>
      </c>
      <c r="I843" s="9" cm="1">
        <f t="array" ref="I84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45.8880883</v>
      </c>
      <c r="J843" s="9" cm="1">
        <f t="array" ref="J84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85.566427826999998</v>
      </c>
      <c r="K843" s="10" cm="1">
        <f t="array" ref="K84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7.3513000000000002</v>
      </c>
      <c r="L843" s="10" cm="1">
        <f t="array" ref="L84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3.8813</v>
      </c>
      <c r="M843" s="9" cm="1">
        <f t="array" ref="M843">_xlfn.LET(_xlpm.val,IFERROR(INDEX(Sheet4!$2:$1605,MATCH(ChiTietKQKD[[#This Row],[Mã CP]],Sheet4!$B$2:$B$1605,0),_xlfn.XMATCH("*Lợi nhuận sau thuế*Q2*2026*",Sheet4!$1:$1,2)),0),IF(OR(_xlpm.val="",_xlpm.val=0),"",_xlpm.val/1000000000))</f>
        <v>50.688036478000001</v>
      </c>
      <c r="N843" s="9" cm="1">
        <f t="array" ref="N843">_xlfn.LET(_xlpm.val,IFERROR(INDEX(Sheet4!$2:$1605,MATCH(ChiTietKQKD[[#This Row],[Mã CP]],Sheet4!$B$2:$B$1605,0),_xlfn.XMATCH("*Lợi nhuận sau thuế*6 tháng*2026*",Sheet4!$1:$1,2)),0),IF(OR(_xlpm.val="",_xlpm.val=0),"",_xlpm.val/1000000000))</f>
        <v>79.982867979000005</v>
      </c>
      <c r="O843" s="10" cm="1">
        <f t="array" ref="O843">IFERROR(INDEX(Sheet4!$2:$1605,MATCH(ChiTietKQKD[[#This Row],[Mã CP]],Sheet4!$B$2:$B$1605,0),_xlfn.XMATCH("*Tăng trưởng lợi nhuận sau thuế (YoY) (Quý*",Sheet4!$1:$1,2)),"")</f>
        <v>3.9357000000000002</v>
      </c>
      <c r="P843" s="10" cm="1">
        <f t="array" ref="P843">IFERROR(INDEX(Sheet4!$2:$1605,MATCH(ChiTietKQKD[[#This Row],[Mã CP]],Sheet4!$B$2:$B$1605,0),_xlfn.XMATCH("*Tăng trưởng lợi nhuận sau thuế (YoY) (6M)*",Sheet4!$1:$1,2)),"")</f>
        <v>2.8188</v>
      </c>
      <c r="Q843" s="10" cm="1">
        <f t="array" ref="Q843">IFERROR(INDEX(Sheet4!$2:$1605,MATCH(ChiTietKQKD[[#This Row],[Mã CP]],Sheet4!$B$2:$B$1605,0),_xlfn.XMATCH("*Tăng trưởng doanh thu thuần (QoQ)*",Sheet4!$1:$1,2)),"")</f>
        <v>0.1565</v>
      </c>
      <c r="R843" s="10" cm="1">
        <f t="array" ref="R843">IFERROR(INDEX(Sheet4!$2:$1605,MATCH(ChiTietKQKD[[#This Row],[Mã CP]],Sheet4!$B$2:$B$1605,0),_xlfn.XMATCH("*Tăng trưởng lợi nhuận sau thuế (QoQ)*",Sheet4!$1:$1,2)),"")</f>
        <v>0.73029999999999995</v>
      </c>
    </row>
    <row r="844" spans="1:18" x14ac:dyDescent="0.25">
      <c r="A844" s="7">
        <f>Sheet4!A823</f>
        <v>822</v>
      </c>
      <c r="B844" t="str">
        <f>Sheet4!B823</f>
        <v>BTN</v>
      </c>
      <c r="C844" t="str">
        <f>Sheet4!C822</f>
        <v>Biến thế và Vật liệu Điện Hà Nội</v>
      </c>
      <c r="D844" t="str">
        <f>Sheet4!D823</f>
        <v>UPCoM</v>
      </c>
      <c r="E844" s="7">
        <f>Sheet4!AH823/1000000000</f>
        <v>12.750609799999999</v>
      </c>
      <c r="F844" t="str">
        <f>Sheet4!E823</f>
        <v>Công nghiệp</v>
      </c>
      <c r="G844" t="str">
        <f>Sheet4!F823</f>
        <v>Xây dựng và Vật liệu</v>
      </c>
      <c r="H844" t="str">
        <f>Sheet4!G823</f>
        <v>Vật liệu xây dựng &amp; Nội thất</v>
      </c>
      <c r="I844" s="9" t="str" cm="1">
        <f t="array" ref="I84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44" s="9" t="str" cm="1">
        <f t="array" ref="J84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44" s="10" cm="1">
        <f t="array" ref="K84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44" s="10" cm="1">
        <f t="array" ref="L84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44" s="9" t="str" cm="1">
        <f t="array" ref="M84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44" s="9" t="str" cm="1">
        <f t="array" ref="N84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44" s="10" cm="1">
        <f t="array" ref="O844">IFERROR(INDEX(Sheet4!$2:$1605,MATCH(ChiTietKQKD[[#This Row],[Mã CP]],Sheet4!$B$2:$B$1605,0),_xlfn.XMATCH("*Tăng trưởng lợi nhuận sau thuế (YoY) (Quý*",Sheet4!$1:$1,2)),"")</f>
        <v>0</v>
      </c>
      <c r="P844" s="10" cm="1">
        <f t="array" ref="P844">IFERROR(INDEX(Sheet4!$2:$1605,MATCH(ChiTietKQKD[[#This Row],[Mã CP]],Sheet4!$B$2:$B$1605,0),_xlfn.XMATCH("*Tăng trưởng lợi nhuận sau thuế (YoY) (6M)*",Sheet4!$1:$1,2)),"")</f>
        <v>0</v>
      </c>
      <c r="Q844" s="10" cm="1">
        <f t="array" ref="Q844">IFERROR(INDEX(Sheet4!$2:$1605,MATCH(ChiTietKQKD[[#This Row],[Mã CP]],Sheet4!$B$2:$B$1605,0),_xlfn.XMATCH("*Tăng trưởng doanh thu thuần (QoQ)*",Sheet4!$1:$1,2)),"")</f>
        <v>0</v>
      </c>
      <c r="R844" s="10" cm="1">
        <f t="array" ref="R844">IFERROR(INDEX(Sheet4!$2:$1605,MATCH(ChiTietKQKD[[#This Row],[Mã CP]],Sheet4!$B$2:$B$1605,0),_xlfn.XMATCH("*Tăng trưởng lợi nhuận sau thuế (QoQ)*",Sheet4!$1:$1,2)),"")</f>
        <v>0</v>
      </c>
    </row>
    <row r="845" spans="1:18" x14ac:dyDescent="0.25">
      <c r="A845" s="7">
        <f>Sheet4!A824</f>
        <v>823</v>
      </c>
      <c r="B845" t="str">
        <f>Sheet4!B824</f>
        <v>BTU</v>
      </c>
      <c r="C845" t="str">
        <f>Sheet4!C823</f>
        <v>Gạch Tuy Nen Bình Định</v>
      </c>
      <c r="D845" t="str">
        <f>Sheet4!D824</f>
        <v>UPCoM</v>
      </c>
      <c r="E845" s="7">
        <f>Sheet4!AH824/1000000000</f>
        <v>55.08</v>
      </c>
      <c r="F845" t="str">
        <f>Sheet4!E824</f>
        <v>Công nghiệp</v>
      </c>
      <c r="G845" t="str">
        <f>Sheet4!F824</f>
        <v>Hàng &amp; Dịch vụ Công nghiệp</v>
      </c>
      <c r="H845" t="str">
        <f>Sheet4!G824</f>
        <v>Chất thải &amp; Môi trường</v>
      </c>
      <c r="I845" s="9" t="str" cm="1">
        <f t="array" ref="I84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45" s="9" t="str" cm="1">
        <f t="array" ref="J84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45" s="10" cm="1">
        <f t="array" ref="K84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45" s="10" cm="1">
        <f t="array" ref="L84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45" s="9" t="str" cm="1">
        <f t="array" ref="M84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45" s="9" t="str" cm="1">
        <f t="array" ref="N84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45" s="10" cm="1">
        <f t="array" ref="O845">IFERROR(INDEX(Sheet4!$2:$1605,MATCH(ChiTietKQKD[[#This Row],[Mã CP]],Sheet4!$B$2:$B$1605,0),_xlfn.XMATCH("*Tăng trưởng lợi nhuận sau thuế (YoY) (Quý*",Sheet4!$1:$1,2)),"")</f>
        <v>0</v>
      </c>
      <c r="P845" s="10" cm="1">
        <f t="array" ref="P845">IFERROR(INDEX(Sheet4!$2:$1605,MATCH(ChiTietKQKD[[#This Row],[Mã CP]],Sheet4!$B$2:$B$1605,0),_xlfn.XMATCH("*Tăng trưởng lợi nhuận sau thuế (YoY) (6M)*",Sheet4!$1:$1,2)),"")</f>
        <v>0</v>
      </c>
      <c r="Q845" s="10" cm="1">
        <f t="array" ref="Q845">IFERROR(INDEX(Sheet4!$2:$1605,MATCH(ChiTietKQKD[[#This Row],[Mã CP]],Sheet4!$B$2:$B$1605,0),_xlfn.XMATCH("*Tăng trưởng doanh thu thuần (QoQ)*",Sheet4!$1:$1,2)),"")</f>
        <v>0</v>
      </c>
      <c r="R845" s="10" cm="1">
        <f t="array" ref="R845">IFERROR(INDEX(Sheet4!$2:$1605,MATCH(ChiTietKQKD[[#This Row],[Mã CP]],Sheet4!$B$2:$B$1605,0),_xlfn.XMATCH("*Tăng trưởng lợi nhuận sau thuế (QoQ)*",Sheet4!$1:$1,2)),"")</f>
        <v>0</v>
      </c>
    </row>
    <row r="846" spans="1:18" x14ac:dyDescent="0.25">
      <c r="A846" s="7">
        <f>Sheet4!A825</f>
        <v>824</v>
      </c>
      <c r="B846" t="str">
        <f>Sheet4!B825</f>
        <v>BTV</v>
      </c>
      <c r="C846" t="str">
        <f>Sheet4!C824</f>
        <v>Công trình Đô thị Bến Tre</v>
      </c>
      <c r="D846" t="str">
        <f>Sheet4!D825</f>
        <v>UPCoM</v>
      </c>
      <c r="E846" s="7">
        <f>Sheet4!AH825/1000000000</f>
        <v>461.69709999999998</v>
      </c>
      <c r="F846" t="str">
        <f>Sheet4!E825</f>
        <v>Dịch vụ Tiêu dùng</v>
      </c>
      <c r="G846" t="str">
        <f>Sheet4!F825</f>
        <v>Du lịch và Giải trí</v>
      </c>
      <c r="H846" t="str">
        <f>Sheet4!G825</f>
        <v>Vận tải hành khách &amp; Du lịch</v>
      </c>
      <c r="I846" s="9" t="str" cm="1">
        <f t="array" ref="I84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46" s="9" t="str" cm="1">
        <f t="array" ref="J84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46" s="10" cm="1">
        <f t="array" ref="K84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46" s="10" cm="1">
        <f t="array" ref="L84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46" s="9" t="str" cm="1">
        <f t="array" ref="M84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46" s="9" t="str" cm="1">
        <f t="array" ref="N84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46" s="10" cm="1">
        <f t="array" ref="O846">IFERROR(INDEX(Sheet4!$2:$1605,MATCH(ChiTietKQKD[[#This Row],[Mã CP]],Sheet4!$B$2:$B$1605,0),_xlfn.XMATCH("*Tăng trưởng lợi nhuận sau thuế (YoY) (Quý*",Sheet4!$1:$1,2)),"")</f>
        <v>0</v>
      </c>
      <c r="P846" s="10" cm="1">
        <f t="array" ref="P846">IFERROR(INDEX(Sheet4!$2:$1605,MATCH(ChiTietKQKD[[#This Row],[Mã CP]],Sheet4!$B$2:$B$1605,0),_xlfn.XMATCH("*Tăng trưởng lợi nhuận sau thuế (YoY) (6M)*",Sheet4!$1:$1,2)),"")</f>
        <v>0</v>
      </c>
      <c r="Q846" s="10" cm="1">
        <f t="array" ref="Q846">IFERROR(INDEX(Sheet4!$2:$1605,MATCH(ChiTietKQKD[[#This Row],[Mã CP]],Sheet4!$B$2:$B$1605,0),_xlfn.XMATCH("*Tăng trưởng doanh thu thuần (QoQ)*",Sheet4!$1:$1,2)),"")</f>
        <v>0</v>
      </c>
      <c r="R846" s="10" cm="1">
        <f t="array" ref="R846">IFERROR(INDEX(Sheet4!$2:$1605,MATCH(ChiTietKQKD[[#This Row],[Mã CP]],Sheet4!$B$2:$B$1605,0),_xlfn.XMATCH("*Tăng trưởng lợi nhuận sau thuế (QoQ)*",Sheet4!$1:$1,2)),"")</f>
        <v>0</v>
      </c>
    </row>
    <row r="847" spans="1:18" x14ac:dyDescent="0.25">
      <c r="A847" s="7">
        <f>Sheet4!A826</f>
        <v>825</v>
      </c>
      <c r="B847" t="str">
        <f>Sheet4!B826</f>
        <v>BVG</v>
      </c>
      <c r="C847" t="str">
        <f>Sheet4!C825</f>
        <v>DV Du lịch Bến Thành</v>
      </c>
      <c r="D847" t="str">
        <f>Sheet4!D826</f>
        <v>UPCoM</v>
      </c>
      <c r="E847" s="7">
        <f>Sheet4!AH826/1000000000</f>
        <v>27.302654400000002</v>
      </c>
      <c r="F847" t="str">
        <f>Sheet4!E826</f>
        <v>Nguyên vật liệu</v>
      </c>
      <c r="G847" t="str">
        <f>Sheet4!F826</f>
        <v>Tài nguyên Cơ bản</v>
      </c>
      <c r="H847" t="str">
        <f>Sheet4!G826</f>
        <v>Thép và sản phẩm thép</v>
      </c>
      <c r="I847" s="9" t="str" cm="1">
        <f t="array" ref="I84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47" s="9" t="str" cm="1">
        <f t="array" ref="J84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47" s="10" cm="1">
        <f t="array" ref="K84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47" s="10" cm="1">
        <f t="array" ref="L84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47" s="9" t="str" cm="1">
        <f t="array" ref="M84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47" s="9" t="str" cm="1">
        <f t="array" ref="N84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47" s="10" cm="1">
        <f t="array" ref="O847">IFERROR(INDEX(Sheet4!$2:$1605,MATCH(ChiTietKQKD[[#This Row],[Mã CP]],Sheet4!$B$2:$B$1605,0),_xlfn.XMATCH("*Tăng trưởng lợi nhuận sau thuế (YoY) (Quý*",Sheet4!$1:$1,2)),"")</f>
        <v>0</v>
      </c>
      <c r="P847" s="10" cm="1">
        <f t="array" ref="P847">IFERROR(INDEX(Sheet4!$2:$1605,MATCH(ChiTietKQKD[[#This Row],[Mã CP]],Sheet4!$B$2:$B$1605,0),_xlfn.XMATCH("*Tăng trưởng lợi nhuận sau thuế (YoY) (6M)*",Sheet4!$1:$1,2)),"")</f>
        <v>0</v>
      </c>
      <c r="Q847" s="10" cm="1">
        <f t="array" ref="Q847">IFERROR(INDEX(Sheet4!$2:$1605,MATCH(ChiTietKQKD[[#This Row],[Mã CP]],Sheet4!$B$2:$B$1605,0),_xlfn.XMATCH("*Tăng trưởng doanh thu thuần (QoQ)*",Sheet4!$1:$1,2)),"")</f>
        <v>0</v>
      </c>
      <c r="R847" s="10" cm="1">
        <f t="array" ref="R847">IFERROR(INDEX(Sheet4!$2:$1605,MATCH(ChiTietKQKD[[#This Row],[Mã CP]],Sheet4!$B$2:$B$1605,0),_xlfn.XMATCH("*Tăng trưởng lợi nhuận sau thuế (QoQ)*",Sheet4!$1:$1,2)),"")</f>
        <v>0</v>
      </c>
    </row>
    <row r="848" spans="1:18" x14ac:dyDescent="0.25">
      <c r="A848" s="7">
        <f>Sheet4!A827</f>
        <v>826</v>
      </c>
      <c r="B848" t="str">
        <f>Sheet4!B827</f>
        <v>BVL</v>
      </c>
      <c r="C848" t="str">
        <f>Sheet4!C826</f>
        <v>Group Bắc Việt</v>
      </c>
      <c r="D848" t="str">
        <f>Sheet4!D827</f>
        <v>UPCoM</v>
      </c>
      <c r="E848" s="7">
        <f>Sheet4!AH827/1000000000</f>
        <v>1469.9208541</v>
      </c>
      <c r="F848" t="str">
        <f>Sheet4!E827</f>
        <v>Tài chính</v>
      </c>
      <c r="G848" t="str">
        <f>Sheet4!F827</f>
        <v>Bất động sản</v>
      </c>
      <c r="H848" t="str">
        <f>Sheet4!G827</f>
        <v>Tư Vấn, Định giá, Môi giới Bất động sản</v>
      </c>
      <c r="I848" s="9" t="str" cm="1">
        <f t="array" ref="I84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48" s="9" t="str" cm="1">
        <f t="array" ref="J84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48" s="10" cm="1">
        <f t="array" ref="K84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48" s="10" cm="1">
        <f t="array" ref="L84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48" s="9" t="str" cm="1">
        <f t="array" ref="M84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48" s="9" t="str" cm="1">
        <f t="array" ref="N84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48" s="10" cm="1">
        <f t="array" ref="O848">IFERROR(INDEX(Sheet4!$2:$1605,MATCH(ChiTietKQKD[[#This Row],[Mã CP]],Sheet4!$B$2:$B$1605,0),_xlfn.XMATCH("*Tăng trưởng lợi nhuận sau thuế (YoY) (Quý*",Sheet4!$1:$1,2)),"")</f>
        <v>0</v>
      </c>
      <c r="P848" s="10" cm="1">
        <f t="array" ref="P848">IFERROR(INDEX(Sheet4!$2:$1605,MATCH(ChiTietKQKD[[#This Row],[Mã CP]],Sheet4!$B$2:$B$1605,0),_xlfn.XMATCH("*Tăng trưởng lợi nhuận sau thuế (YoY) (6M)*",Sheet4!$1:$1,2)),"")</f>
        <v>0</v>
      </c>
      <c r="Q848" s="10" cm="1">
        <f t="array" ref="Q848">IFERROR(INDEX(Sheet4!$2:$1605,MATCH(ChiTietKQKD[[#This Row],[Mã CP]],Sheet4!$B$2:$B$1605,0),_xlfn.XMATCH("*Tăng trưởng doanh thu thuần (QoQ)*",Sheet4!$1:$1,2)),"")</f>
        <v>0</v>
      </c>
      <c r="R848" s="10" cm="1">
        <f t="array" ref="R848">IFERROR(INDEX(Sheet4!$2:$1605,MATCH(ChiTietKQKD[[#This Row],[Mã CP]],Sheet4!$B$2:$B$1605,0),_xlfn.XMATCH("*Tăng trưởng lợi nhuận sau thuế (QoQ)*",Sheet4!$1:$1,2)),"")</f>
        <v>0</v>
      </c>
    </row>
    <row r="849" spans="1:18" x14ac:dyDescent="0.25">
      <c r="A849" s="7">
        <f>Sheet4!A828</f>
        <v>827</v>
      </c>
      <c r="B849" t="str">
        <f>Sheet4!B828</f>
        <v>BVN</v>
      </c>
      <c r="C849" t="str">
        <f>Sheet4!C827</f>
        <v>BV Land</v>
      </c>
      <c r="D849" t="str">
        <f>Sheet4!D828</f>
        <v>UPCoM</v>
      </c>
      <c r="E849" s="7">
        <f>Sheet4!AH828/1000000000</f>
        <v>84.5</v>
      </c>
      <c r="F849" t="str">
        <f>Sheet4!E828</f>
        <v>Hàng Tiêu dùng</v>
      </c>
      <c r="G849" t="str">
        <f>Sheet4!F828</f>
        <v>Hàng cá nhân &amp; Gia dụng</v>
      </c>
      <c r="H849" t="str">
        <f>Sheet4!G828</f>
        <v>Hàng cá nhân</v>
      </c>
      <c r="I849" s="9" t="str" cm="1">
        <f t="array" ref="I84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49" s="9" t="str" cm="1">
        <f t="array" ref="J84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49" s="10" cm="1">
        <f t="array" ref="K84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49" s="10" cm="1">
        <f t="array" ref="L84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49" s="9" t="str" cm="1">
        <f t="array" ref="M84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49" s="9" t="str" cm="1">
        <f t="array" ref="N84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49" s="10" cm="1">
        <f t="array" ref="O849">IFERROR(INDEX(Sheet4!$2:$1605,MATCH(ChiTietKQKD[[#This Row],[Mã CP]],Sheet4!$B$2:$B$1605,0),_xlfn.XMATCH("*Tăng trưởng lợi nhuận sau thuế (YoY) (Quý*",Sheet4!$1:$1,2)),"")</f>
        <v>0</v>
      </c>
      <c r="P849" s="10" cm="1">
        <f t="array" ref="P849">IFERROR(INDEX(Sheet4!$2:$1605,MATCH(ChiTietKQKD[[#This Row],[Mã CP]],Sheet4!$B$2:$B$1605,0),_xlfn.XMATCH("*Tăng trưởng lợi nhuận sau thuế (YoY) (6M)*",Sheet4!$1:$1,2)),"")</f>
        <v>0</v>
      </c>
      <c r="Q849" s="10" cm="1">
        <f t="array" ref="Q849">IFERROR(INDEX(Sheet4!$2:$1605,MATCH(ChiTietKQKD[[#This Row],[Mã CP]],Sheet4!$B$2:$B$1605,0),_xlfn.XMATCH("*Tăng trưởng doanh thu thuần (QoQ)*",Sheet4!$1:$1,2)),"")</f>
        <v>0</v>
      </c>
      <c r="R849" s="10" cm="1">
        <f t="array" ref="R849">IFERROR(INDEX(Sheet4!$2:$1605,MATCH(ChiTietKQKD[[#This Row],[Mã CP]],Sheet4!$B$2:$B$1605,0),_xlfn.XMATCH("*Tăng trưởng lợi nhuận sau thuế (QoQ)*",Sheet4!$1:$1,2)),"")</f>
        <v>0</v>
      </c>
    </row>
    <row r="850" spans="1:18" x14ac:dyDescent="0.25">
      <c r="A850" s="7">
        <f>Sheet4!A829</f>
        <v>828</v>
      </c>
      <c r="B850" t="str">
        <f>Sheet4!B829</f>
        <v>BWA</v>
      </c>
      <c r="C850" t="str">
        <f>Sheet4!C828</f>
        <v>Bông Việt Nam</v>
      </c>
      <c r="D850" t="str">
        <f>Sheet4!D829</f>
        <v>UPCoM</v>
      </c>
      <c r="E850" s="7">
        <f>Sheet4!AH829/1000000000</f>
        <v>29.7</v>
      </c>
      <c r="F850" t="str">
        <f>Sheet4!E829</f>
        <v>Tiện ích Cộng đồng</v>
      </c>
      <c r="G850" t="str">
        <f>Sheet4!F829</f>
        <v>Điện, nước &amp; xăng dầu khí đốt</v>
      </c>
      <c r="H850" t="str">
        <f>Sheet4!G829</f>
        <v>Nước</v>
      </c>
      <c r="I850" s="9" t="str" cm="1">
        <f t="array" ref="I85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50" s="9" t="str" cm="1">
        <f t="array" ref="J85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50" s="10" cm="1">
        <f t="array" ref="K85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50" s="10" cm="1">
        <f t="array" ref="L85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50" s="9" t="str" cm="1">
        <f t="array" ref="M85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50" s="9" t="str" cm="1">
        <f t="array" ref="N85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50" s="10" cm="1">
        <f t="array" ref="O850">IFERROR(INDEX(Sheet4!$2:$1605,MATCH(ChiTietKQKD[[#This Row],[Mã CP]],Sheet4!$B$2:$B$1605,0),_xlfn.XMATCH("*Tăng trưởng lợi nhuận sau thuế (YoY) (Quý*",Sheet4!$1:$1,2)),"")</f>
        <v>0</v>
      </c>
      <c r="P850" s="10" cm="1">
        <f t="array" ref="P850">IFERROR(INDEX(Sheet4!$2:$1605,MATCH(ChiTietKQKD[[#This Row],[Mã CP]],Sheet4!$B$2:$B$1605,0),_xlfn.XMATCH("*Tăng trưởng lợi nhuận sau thuế (YoY) (6M)*",Sheet4!$1:$1,2)),"")</f>
        <v>0</v>
      </c>
      <c r="Q850" s="10" cm="1">
        <f t="array" ref="Q850">IFERROR(INDEX(Sheet4!$2:$1605,MATCH(ChiTietKQKD[[#This Row],[Mã CP]],Sheet4!$B$2:$B$1605,0),_xlfn.XMATCH("*Tăng trưởng doanh thu thuần (QoQ)*",Sheet4!$1:$1,2)),"")</f>
        <v>0</v>
      </c>
      <c r="R850" s="10" cm="1">
        <f t="array" ref="R850">IFERROR(INDEX(Sheet4!$2:$1605,MATCH(ChiTietKQKD[[#This Row],[Mã CP]],Sheet4!$B$2:$B$1605,0),_xlfn.XMATCH("*Tăng trưởng lợi nhuận sau thuế (QoQ)*",Sheet4!$1:$1,2)),"")</f>
        <v>0</v>
      </c>
    </row>
    <row r="851" spans="1:18" x14ac:dyDescent="0.25">
      <c r="A851" s="7">
        <f>Sheet4!A830</f>
        <v>829</v>
      </c>
      <c r="B851" t="str">
        <f>Sheet4!B830</f>
        <v>BWS</v>
      </c>
      <c r="C851" t="str">
        <f>Sheet4!C829</f>
        <v>Cấp thoát nước và Xây dựng Bảo Lộc</v>
      </c>
      <c r="D851" t="str">
        <f>Sheet4!D830</f>
        <v>UPCoM</v>
      </c>
      <c r="E851" s="7">
        <f>Sheet4!AH830/1000000000</f>
        <v>3301.5498753970001</v>
      </c>
      <c r="F851" t="str">
        <f>Sheet4!E830</f>
        <v>Tiện ích Cộng đồng</v>
      </c>
      <c r="G851" t="str">
        <f>Sheet4!F830</f>
        <v>Điện, nước &amp; xăng dầu khí đốt</v>
      </c>
      <c r="H851" t="str">
        <f>Sheet4!G830</f>
        <v>Nước</v>
      </c>
      <c r="I851" s="9" t="str" cm="1">
        <f t="array" ref="I85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51" s="9" t="str" cm="1">
        <f t="array" ref="J85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51" s="10" cm="1">
        <f t="array" ref="K85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51" s="10" cm="1">
        <f t="array" ref="L85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51" s="9" t="str" cm="1">
        <f t="array" ref="M85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51" s="9" t="str" cm="1">
        <f t="array" ref="N85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51" s="10" cm="1">
        <f t="array" ref="O851">IFERROR(INDEX(Sheet4!$2:$1605,MATCH(ChiTietKQKD[[#This Row],[Mã CP]],Sheet4!$B$2:$B$1605,0),_xlfn.XMATCH("*Tăng trưởng lợi nhuận sau thuế (YoY) (Quý*",Sheet4!$1:$1,2)),"")</f>
        <v>0</v>
      </c>
      <c r="P851" s="10" cm="1">
        <f t="array" ref="P851">IFERROR(INDEX(Sheet4!$2:$1605,MATCH(ChiTietKQKD[[#This Row],[Mã CP]],Sheet4!$B$2:$B$1605,0),_xlfn.XMATCH("*Tăng trưởng lợi nhuận sau thuế (YoY) (6M)*",Sheet4!$1:$1,2)),"")</f>
        <v>0</v>
      </c>
      <c r="Q851" s="10" cm="1">
        <f t="array" ref="Q851">IFERROR(INDEX(Sheet4!$2:$1605,MATCH(ChiTietKQKD[[#This Row],[Mã CP]],Sheet4!$B$2:$B$1605,0),_xlfn.XMATCH("*Tăng trưởng doanh thu thuần (QoQ)*",Sheet4!$1:$1,2)),"")</f>
        <v>0</v>
      </c>
      <c r="R851" s="10" cm="1">
        <f t="array" ref="R851">IFERROR(INDEX(Sheet4!$2:$1605,MATCH(ChiTietKQKD[[#This Row],[Mã CP]],Sheet4!$B$2:$B$1605,0),_xlfn.XMATCH("*Tăng trưởng lợi nhuận sau thuế (QoQ)*",Sheet4!$1:$1,2)),"")</f>
        <v>0</v>
      </c>
    </row>
    <row r="852" spans="1:18" x14ac:dyDescent="0.25">
      <c r="A852" s="7">
        <f>Sheet4!A831</f>
        <v>830</v>
      </c>
      <c r="B852" t="str">
        <f>Sheet4!B831</f>
        <v>C21</v>
      </c>
      <c r="C852" t="str">
        <f>Sheet4!C830</f>
        <v>Cấp Nước Bà Rịa Vũng Tàu</v>
      </c>
      <c r="D852" t="str">
        <f>Sheet4!D831</f>
        <v>UPCoM</v>
      </c>
      <c r="E852" s="7">
        <f>Sheet4!AH831/1000000000</f>
        <v>351.8897518</v>
      </c>
      <c r="F852" t="str">
        <f>Sheet4!E831</f>
        <v>Tài chính</v>
      </c>
      <c r="G852" t="str">
        <f>Sheet4!F831</f>
        <v>Bất động sản</v>
      </c>
      <c r="H852" t="str">
        <f>Sheet4!G831</f>
        <v>Bất động sản</v>
      </c>
      <c r="I852" s="9" t="str" cm="1">
        <f t="array" ref="I85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52" s="9" t="str" cm="1">
        <f t="array" ref="J85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52" s="10" cm="1">
        <f t="array" ref="K85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52" s="10" cm="1">
        <f t="array" ref="L85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52" s="9" t="str" cm="1">
        <f t="array" ref="M85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52" s="9" t="str" cm="1">
        <f t="array" ref="N85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52" s="10" cm="1">
        <f t="array" ref="O852">IFERROR(INDEX(Sheet4!$2:$1605,MATCH(ChiTietKQKD[[#This Row],[Mã CP]],Sheet4!$B$2:$B$1605,0),_xlfn.XMATCH("*Tăng trưởng lợi nhuận sau thuế (YoY) (Quý*",Sheet4!$1:$1,2)),"")</f>
        <v>0</v>
      </c>
      <c r="P852" s="10" cm="1">
        <f t="array" ref="P852">IFERROR(INDEX(Sheet4!$2:$1605,MATCH(ChiTietKQKD[[#This Row],[Mã CP]],Sheet4!$B$2:$B$1605,0),_xlfn.XMATCH("*Tăng trưởng lợi nhuận sau thuế (YoY) (6M)*",Sheet4!$1:$1,2)),"")</f>
        <v>0</v>
      </c>
      <c r="Q852" s="10" cm="1">
        <f t="array" ref="Q852">IFERROR(INDEX(Sheet4!$2:$1605,MATCH(ChiTietKQKD[[#This Row],[Mã CP]],Sheet4!$B$2:$B$1605,0),_xlfn.XMATCH("*Tăng trưởng doanh thu thuần (QoQ)*",Sheet4!$1:$1,2)),"")</f>
        <v>0</v>
      </c>
      <c r="R852" s="10" cm="1">
        <f t="array" ref="R852">IFERROR(INDEX(Sheet4!$2:$1605,MATCH(ChiTietKQKD[[#This Row],[Mã CP]],Sheet4!$B$2:$B$1605,0),_xlfn.XMATCH("*Tăng trưởng lợi nhuận sau thuế (QoQ)*",Sheet4!$1:$1,2)),"")</f>
        <v>0</v>
      </c>
    </row>
    <row r="853" spans="1:18" x14ac:dyDescent="0.25">
      <c r="A853" s="7">
        <f>Sheet4!A832</f>
        <v>831</v>
      </c>
      <c r="B853" t="str">
        <f>Sheet4!B832</f>
        <v>C22</v>
      </c>
      <c r="C853" t="str">
        <f>Sheet4!C831</f>
        <v>Thế kỷ 21</v>
      </c>
      <c r="D853" t="str">
        <f>Sheet4!D832</f>
        <v>UPCoM</v>
      </c>
      <c r="E853" s="7">
        <f>Sheet4!AH832/1000000000</f>
        <v>60.35</v>
      </c>
      <c r="F853" t="str">
        <f>Sheet4!E832</f>
        <v>Hàng Tiêu dùng</v>
      </c>
      <c r="G853" t="str">
        <f>Sheet4!F832</f>
        <v>Thực phẩm và đồ uống</v>
      </c>
      <c r="H853" t="str">
        <f>Sheet4!G832</f>
        <v>Thực phẩm</v>
      </c>
      <c r="I853" s="9" t="str" cm="1">
        <f t="array" ref="I85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53" s="9" t="str" cm="1">
        <f t="array" ref="J85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53" s="10" cm="1">
        <f t="array" ref="K85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53" s="10" cm="1">
        <f t="array" ref="L85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53" s="9" t="str" cm="1">
        <f t="array" ref="M85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53" s="9" t="str" cm="1">
        <f t="array" ref="N85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53" s="10" cm="1">
        <f t="array" ref="O853">IFERROR(INDEX(Sheet4!$2:$1605,MATCH(ChiTietKQKD[[#This Row],[Mã CP]],Sheet4!$B$2:$B$1605,0),_xlfn.XMATCH("*Tăng trưởng lợi nhuận sau thuế (YoY) (Quý*",Sheet4!$1:$1,2)),"")</f>
        <v>0</v>
      </c>
      <c r="P853" s="10" cm="1">
        <f t="array" ref="P853">IFERROR(INDEX(Sheet4!$2:$1605,MATCH(ChiTietKQKD[[#This Row],[Mã CP]],Sheet4!$B$2:$B$1605,0),_xlfn.XMATCH("*Tăng trưởng lợi nhuận sau thuế (YoY) (6M)*",Sheet4!$1:$1,2)),"")</f>
        <v>0</v>
      </c>
      <c r="Q853" s="10" cm="1">
        <f t="array" ref="Q853">IFERROR(INDEX(Sheet4!$2:$1605,MATCH(ChiTietKQKD[[#This Row],[Mã CP]],Sheet4!$B$2:$B$1605,0),_xlfn.XMATCH("*Tăng trưởng doanh thu thuần (QoQ)*",Sheet4!$1:$1,2)),"")</f>
        <v>0</v>
      </c>
      <c r="R853" s="10" cm="1">
        <f t="array" ref="R853">IFERROR(INDEX(Sheet4!$2:$1605,MATCH(ChiTietKQKD[[#This Row],[Mã CP]],Sheet4!$B$2:$B$1605,0),_xlfn.XMATCH("*Tăng trưởng lợi nhuận sau thuế (QoQ)*",Sheet4!$1:$1,2)),"")</f>
        <v>0</v>
      </c>
    </row>
    <row r="854" spans="1:18" x14ac:dyDescent="0.25">
      <c r="A854" s="7">
        <f>Sheet4!A833</f>
        <v>832</v>
      </c>
      <c r="B854" t="str">
        <f>Sheet4!B833</f>
        <v>C4G</v>
      </c>
      <c r="C854" t="str">
        <f>Sheet4!C832</f>
        <v>Công ty 22</v>
      </c>
      <c r="D854" t="str">
        <f>Sheet4!D833</f>
        <v>UPCoM</v>
      </c>
      <c r="E854" s="7">
        <f>Sheet4!AH833/1000000000</f>
        <v>2108.7890501080001</v>
      </c>
      <c r="F854" t="str">
        <f>Sheet4!E833</f>
        <v>Công nghiệp</v>
      </c>
      <c r="G854" t="str">
        <f>Sheet4!F833</f>
        <v>Xây dựng và Vật liệu</v>
      </c>
      <c r="H854" t="str">
        <f>Sheet4!G833</f>
        <v>Xây dựng</v>
      </c>
      <c r="I854" s="9" t="str" cm="1">
        <f t="array" ref="I85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54" s="9" t="str" cm="1">
        <f t="array" ref="J85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54" s="10" cm="1">
        <f t="array" ref="K85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54" s="10" cm="1">
        <f t="array" ref="L85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54" s="9" t="str" cm="1">
        <f t="array" ref="M85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54" s="9" t="str" cm="1">
        <f t="array" ref="N85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54" s="10" cm="1">
        <f t="array" ref="O854">IFERROR(INDEX(Sheet4!$2:$1605,MATCH(ChiTietKQKD[[#This Row],[Mã CP]],Sheet4!$B$2:$B$1605,0),_xlfn.XMATCH("*Tăng trưởng lợi nhuận sau thuế (YoY) (Quý*",Sheet4!$1:$1,2)),"")</f>
        <v>0</v>
      </c>
      <c r="P854" s="10" cm="1">
        <f t="array" ref="P854">IFERROR(INDEX(Sheet4!$2:$1605,MATCH(ChiTietKQKD[[#This Row],[Mã CP]],Sheet4!$B$2:$B$1605,0),_xlfn.XMATCH("*Tăng trưởng lợi nhuận sau thuế (YoY) (6M)*",Sheet4!$1:$1,2)),"")</f>
        <v>0</v>
      </c>
      <c r="Q854" s="10" cm="1">
        <f t="array" ref="Q854">IFERROR(INDEX(Sheet4!$2:$1605,MATCH(ChiTietKQKD[[#This Row],[Mã CP]],Sheet4!$B$2:$B$1605,0),_xlfn.XMATCH("*Tăng trưởng doanh thu thuần (QoQ)*",Sheet4!$1:$1,2)),"")</f>
        <v>0</v>
      </c>
      <c r="R854" s="10" cm="1">
        <f t="array" ref="R854">IFERROR(INDEX(Sheet4!$2:$1605,MATCH(ChiTietKQKD[[#This Row],[Mã CP]],Sheet4!$B$2:$B$1605,0),_xlfn.XMATCH("*Tăng trưởng lợi nhuận sau thuế (QoQ)*",Sheet4!$1:$1,2)),"")</f>
        <v>0</v>
      </c>
    </row>
    <row r="855" spans="1:18" x14ac:dyDescent="0.25">
      <c r="A855" s="7">
        <f>Sheet4!A834</f>
        <v>833</v>
      </c>
      <c r="B855" t="str">
        <f>Sheet4!B834</f>
        <v>C92</v>
      </c>
      <c r="C855" t="str">
        <f>Sheet4!C833</f>
        <v>Tập Đoàn Cienco4</v>
      </c>
      <c r="D855" t="str">
        <f>Sheet4!D834</f>
        <v>UPCoM</v>
      </c>
      <c r="E855" s="7">
        <f>Sheet4!AH834/1000000000</f>
        <v>18.797110960000001</v>
      </c>
      <c r="F855" t="str">
        <f>Sheet4!E834</f>
        <v>Công nghiệp</v>
      </c>
      <c r="G855" t="str">
        <f>Sheet4!F834</f>
        <v>Xây dựng và Vật liệu</v>
      </c>
      <c r="H855" t="str">
        <f>Sheet4!G834</f>
        <v>Xây dựng</v>
      </c>
      <c r="I855" s="9" t="str" cm="1">
        <f t="array" ref="I85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55" s="9" t="str" cm="1">
        <f t="array" ref="J85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55" s="10" cm="1">
        <f t="array" ref="K85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55" s="10" cm="1">
        <f t="array" ref="L85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55" s="9" t="str" cm="1">
        <f t="array" ref="M85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55" s="9" t="str" cm="1">
        <f t="array" ref="N85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55" s="10" cm="1">
        <f t="array" ref="O855">IFERROR(INDEX(Sheet4!$2:$1605,MATCH(ChiTietKQKD[[#This Row],[Mã CP]],Sheet4!$B$2:$B$1605,0),_xlfn.XMATCH("*Tăng trưởng lợi nhuận sau thuế (YoY) (Quý*",Sheet4!$1:$1,2)),"")</f>
        <v>0</v>
      </c>
      <c r="P855" s="10" cm="1">
        <f t="array" ref="P855">IFERROR(INDEX(Sheet4!$2:$1605,MATCH(ChiTietKQKD[[#This Row],[Mã CP]],Sheet4!$B$2:$B$1605,0),_xlfn.XMATCH("*Tăng trưởng lợi nhuận sau thuế (YoY) (6M)*",Sheet4!$1:$1,2)),"")</f>
        <v>0</v>
      </c>
      <c r="Q855" s="10" cm="1">
        <f t="array" ref="Q855">IFERROR(INDEX(Sheet4!$2:$1605,MATCH(ChiTietKQKD[[#This Row],[Mã CP]],Sheet4!$B$2:$B$1605,0),_xlfn.XMATCH("*Tăng trưởng doanh thu thuần (QoQ)*",Sheet4!$1:$1,2)),"")</f>
        <v>0</v>
      </c>
      <c r="R855" s="10" cm="1">
        <f t="array" ref="R855">IFERROR(INDEX(Sheet4!$2:$1605,MATCH(ChiTietKQKD[[#This Row],[Mã CP]],Sheet4!$B$2:$B$1605,0),_xlfn.XMATCH("*Tăng trưởng lợi nhuận sau thuế (QoQ)*",Sheet4!$1:$1,2)),"")</f>
        <v>0</v>
      </c>
    </row>
    <row r="856" spans="1:18" x14ac:dyDescent="0.25">
      <c r="A856" s="7">
        <f>Sheet4!A835</f>
        <v>834</v>
      </c>
      <c r="B856" t="str">
        <f>Sheet4!B835</f>
        <v>CAD</v>
      </c>
      <c r="C856" t="str">
        <f>Sheet4!C834</f>
        <v>Xây dựng và Đầu tư 492</v>
      </c>
      <c r="D856" t="str">
        <f>Sheet4!D835</f>
        <v>UPCoM</v>
      </c>
      <c r="E856" s="7">
        <f>Sheet4!AH835/1000000000</f>
        <v>3.5199707999999998</v>
      </c>
      <c r="F856" t="str">
        <f>Sheet4!E835</f>
        <v>Hàng Tiêu dùng</v>
      </c>
      <c r="G856" t="str">
        <f>Sheet4!F835</f>
        <v>Thực phẩm và đồ uống</v>
      </c>
      <c r="H856" t="str">
        <f>Sheet4!G835</f>
        <v>Nuôi trồng nông &amp; hải sản</v>
      </c>
      <c r="I856" s="9" t="str" cm="1">
        <f t="array" ref="I85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56" s="9" t="str" cm="1">
        <f t="array" ref="J85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56" s="10" cm="1">
        <f t="array" ref="K85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56" s="10" cm="1">
        <f t="array" ref="L85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56" s="9" t="str" cm="1">
        <f t="array" ref="M85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56" s="9" t="str" cm="1">
        <f t="array" ref="N85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56" s="10" cm="1">
        <f t="array" ref="O856">IFERROR(INDEX(Sheet4!$2:$1605,MATCH(ChiTietKQKD[[#This Row],[Mã CP]],Sheet4!$B$2:$B$1605,0),_xlfn.XMATCH("*Tăng trưởng lợi nhuận sau thuế (YoY) (Quý*",Sheet4!$1:$1,2)),"")</f>
        <v>0</v>
      </c>
      <c r="P856" s="10" cm="1">
        <f t="array" ref="P856">IFERROR(INDEX(Sheet4!$2:$1605,MATCH(ChiTietKQKD[[#This Row],[Mã CP]],Sheet4!$B$2:$B$1605,0),_xlfn.XMATCH("*Tăng trưởng lợi nhuận sau thuế (YoY) (6M)*",Sheet4!$1:$1,2)),"")</f>
        <v>0</v>
      </c>
      <c r="Q856" s="10" cm="1">
        <f t="array" ref="Q856">IFERROR(INDEX(Sheet4!$2:$1605,MATCH(ChiTietKQKD[[#This Row],[Mã CP]],Sheet4!$B$2:$B$1605,0),_xlfn.XMATCH("*Tăng trưởng doanh thu thuần (QoQ)*",Sheet4!$1:$1,2)),"")</f>
        <v>0</v>
      </c>
      <c r="R856" s="10" cm="1">
        <f t="array" ref="R856">IFERROR(INDEX(Sheet4!$2:$1605,MATCH(ChiTietKQKD[[#This Row],[Mã CP]],Sheet4!$B$2:$B$1605,0),_xlfn.XMATCH("*Tăng trưởng lợi nhuận sau thuế (QoQ)*",Sheet4!$1:$1,2)),"")</f>
        <v>0</v>
      </c>
    </row>
    <row r="857" spans="1:18" x14ac:dyDescent="0.25">
      <c r="A857" s="7">
        <f>Sheet4!A836</f>
        <v>835</v>
      </c>
      <c r="B857" t="str">
        <f>Sheet4!B836</f>
        <v>CAF</v>
      </c>
      <c r="C857" t="str">
        <f>Sheet4!C835</f>
        <v>Thủy sản Cadovimex</v>
      </c>
      <c r="D857" t="str">
        <f>Sheet4!D836</f>
        <v>UPCoM</v>
      </c>
      <c r="E857" s="7">
        <f>Sheet4!AH836/1000000000</f>
        <v>0</v>
      </c>
      <c r="F857" t="str">
        <f>Sheet4!E836</f>
        <v>Hàng Tiêu dùng</v>
      </c>
      <c r="G857" t="str">
        <f>Sheet4!F836</f>
        <v>Thực phẩm và đồ uống</v>
      </c>
      <c r="H857" t="str">
        <f>Sheet4!G836</f>
        <v>Nuôi trồng nông &amp; hải sản</v>
      </c>
      <c r="I857" s="9" t="str" cm="1">
        <f t="array" ref="I85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57" s="9" t="str" cm="1">
        <f t="array" ref="J85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57" s="10" cm="1">
        <f t="array" ref="K85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57" s="10" cm="1">
        <f t="array" ref="L85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57" s="9" t="str" cm="1">
        <f t="array" ref="M85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57" s="9" t="str" cm="1">
        <f t="array" ref="N85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57" s="10" cm="1">
        <f t="array" ref="O857">IFERROR(INDEX(Sheet4!$2:$1605,MATCH(ChiTietKQKD[[#This Row],[Mã CP]],Sheet4!$B$2:$B$1605,0),_xlfn.XMATCH("*Tăng trưởng lợi nhuận sau thuế (YoY) (Quý*",Sheet4!$1:$1,2)),"")</f>
        <v>0</v>
      </c>
      <c r="P857" s="10" cm="1">
        <f t="array" ref="P857">IFERROR(INDEX(Sheet4!$2:$1605,MATCH(ChiTietKQKD[[#This Row],[Mã CP]],Sheet4!$B$2:$B$1605,0),_xlfn.XMATCH("*Tăng trưởng lợi nhuận sau thuế (YoY) (6M)*",Sheet4!$1:$1,2)),"")</f>
        <v>0</v>
      </c>
      <c r="Q857" s="10" cm="1">
        <f t="array" ref="Q857">IFERROR(INDEX(Sheet4!$2:$1605,MATCH(ChiTietKQKD[[#This Row],[Mã CP]],Sheet4!$B$2:$B$1605,0),_xlfn.XMATCH("*Tăng trưởng doanh thu thuần (QoQ)*",Sheet4!$1:$1,2)),"")</f>
        <v>0</v>
      </c>
      <c r="R857" s="10" cm="1">
        <f t="array" ref="R857">IFERROR(INDEX(Sheet4!$2:$1605,MATCH(ChiTietKQKD[[#This Row],[Mã CP]],Sheet4!$B$2:$B$1605,0),_xlfn.XMATCH("*Tăng trưởng lợi nhuận sau thuế (QoQ)*",Sheet4!$1:$1,2)),"")</f>
        <v>0</v>
      </c>
    </row>
    <row r="858" spans="1:18" x14ac:dyDescent="0.25">
      <c r="A858" s="7">
        <f>Sheet4!A837</f>
        <v>836</v>
      </c>
      <c r="B858" t="str">
        <f>Sheet4!B837</f>
        <v>CAT</v>
      </c>
      <c r="C858" t="str">
        <f>Sheet4!C836</f>
        <v>Xuất nhập khẩu Nông Sản Thực Phẩm Cà Mau</v>
      </c>
      <c r="D858" t="str">
        <f>Sheet4!D837</f>
        <v>UPCoM</v>
      </c>
      <c r="E858" s="7">
        <f>Sheet4!AH837/1000000000</f>
        <v>202.14068320000001</v>
      </c>
      <c r="F858" t="str">
        <f>Sheet4!E837</f>
        <v>Hàng Tiêu dùng</v>
      </c>
      <c r="G858" t="str">
        <f>Sheet4!F837</f>
        <v>Thực phẩm và đồ uống</v>
      </c>
      <c r="H858" t="str">
        <f>Sheet4!G837</f>
        <v>Nuôi trồng nông &amp; hải sản</v>
      </c>
      <c r="I858" s="9" t="str" cm="1">
        <f t="array" ref="I85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58" s="9" t="str" cm="1">
        <f t="array" ref="J85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58" s="10" cm="1">
        <f t="array" ref="K85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58" s="10" cm="1">
        <f t="array" ref="L85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58" s="9" t="str" cm="1">
        <f t="array" ref="M85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58" s="9" t="str" cm="1">
        <f t="array" ref="N85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58" s="10" cm="1">
        <f t="array" ref="O858">IFERROR(INDEX(Sheet4!$2:$1605,MATCH(ChiTietKQKD[[#This Row],[Mã CP]],Sheet4!$B$2:$B$1605,0),_xlfn.XMATCH("*Tăng trưởng lợi nhuận sau thuế (YoY) (Quý*",Sheet4!$1:$1,2)),"")</f>
        <v>0</v>
      </c>
      <c r="P858" s="10" cm="1">
        <f t="array" ref="P858">IFERROR(INDEX(Sheet4!$2:$1605,MATCH(ChiTietKQKD[[#This Row],[Mã CP]],Sheet4!$B$2:$B$1605,0),_xlfn.XMATCH("*Tăng trưởng lợi nhuận sau thuế (YoY) (6M)*",Sheet4!$1:$1,2)),"")</f>
        <v>0</v>
      </c>
      <c r="Q858" s="10" cm="1">
        <f t="array" ref="Q858">IFERROR(INDEX(Sheet4!$2:$1605,MATCH(ChiTietKQKD[[#This Row],[Mã CP]],Sheet4!$B$2:$B$1605,0),_xlfn.XMATCH("*Tăng trưởng doanh thu thuần (QoQ)*",Sheet4!$1:$1,2)),"")</f>
        <v>0</v>
      </c>
      <c r="R858" s="10" cm="1">
        <f t="array" ref="R858">IFERROR(INDEX(Sheet4!$2:$1605,MATCH(ChiTietKQKD[[#This Row],[Mã CP]],Sheet4!$B$2:$B$1605,0),_xlfn.XMATCH("*Tăng trưởng lợi nhuận sau thuế (QoQ)*",Sheet4!$1:$1,2)),"")</f>
        <v>0</v>
      </c>
    </row>
    <row r="859" spans="1:18" x14ac:dyDescent="0.25">
      <c r="A859" s="7">
        <f>Sheet4!A838</f>
        <v>837</v>
      </c>
      <c r="B859" t="str">
        <f>Sheet4!B838</f>
        <v>CBI</v>
      </c>
      <c r="C859" t="str">
        <f>Sheet4!C837</f>
        <v>Thủy sản Cà Mau</v>
      </c>
      <c r="D859" t="str">
        <f>Sheet4!D838</f>
        <v>UPCoM</v>
      </c>
      <c r="E859" s="7">
        <f>Sheet4!AH838/1000000000</f>
        <v>580.58594100000005</v>
      </c>
      <c r="F859" t="str">
        <f>Sheet4!E838</f>
        <v>Nguyên vật liệu</v>
      </c>
      <c r="G859" t="str">
        <f>Sheet4!F838</f>
        <v>Tài nguyên Cơ bản</v>
      </c>
      <c r="H859" t="str">
        <f>Sheet4!G838</f>
        <v>Thép và sản phẩm thép</v>
      </c>
      <c r="I859" s="9" t="str" cm="1">
        <f t="array" ref="I85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59" s="9" t="str" cm="1">
        <f t="array" ref="J85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59" s="10" cm="1">
        <f t="array" ref="K85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59" s="10" cm="1">
        <f t="array" ref="L85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59" s="9" t="str" cm="1">
        <f t="array" ref="M85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59" s="9" t="str" cm="1">
        <f t="array" ref="N85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59" s="10" cm="1">
        <f t="array" ref="O859">IFERROR(INDEX(Sheet4!$2:$1605,MATCH(ChiTietKQKD[[#This Row],[Mã CP]],Sheet4!$B$2:$B$1605,0),_xlfn.XMATCH("*Tăng trưởng lợi nhuận sau thuế (YoY) (Quý*",Sheet4!$1:$1,2)),"")</f>
        <v>0</v>
      </c>
      <c r="P859" s="10" cm="1">
        <f t="array" ref="P859">IFERROR(INDEX(Sheet4!$2:$1605,MATCH(ChiTietKQKD[[#This Row],[Mã CP]],Sheet4!$B$2:$B$1605,0),_xlfn.XMATCH("*Tăng trưởng lợi nhuận sau thuế (YoY) (6M)*",Sheet4!$1:$1,2)),"")</f>
        <v>0</v>
      </c>
      <c r="Q859" s="10" cm="1">
        <f t="array" ref="Q859">IFERROR(INDEX(Sheet4!$2:$1605,MATCH(ChiTietKQKD[[#This Row],[Mã CP]],Sheet4!$B$2:$B$1605,0),_xlfn.XMATCH("*Tăng trưởng doanh thu thuần (QoQ)*",Sheet4!$1:$1,2)),"")</f>
        <v>0</v>
      </c>
      <c r="R859" s="10" cm="1">
        <f t="array" ref="R859">IFERROR(INDEX(Sheet4!$2:$1605,MATCH(ChiTietKQKD[[#This Row],[Mã CP]],Sheet4!$B$2:$B$1605,0),_xlfn.XMATCH("*Tăng trưởng lợi nhuận sau thuế (QoQ)*",Sheet4!$1:$1,2)),"")</f>
        <v>0</v>
      </c>
    </row>
    <row r="860" spans="1:18" x14ac:dyDescent="0.25">
      <c r="A860" s="7">
        <f>Sheet4!A839</f>
        <v>838</v>
      </c>
      <c r="B860" t="str">
        <f>Sheet4!B839</f>
        <v>CBS</v>
      </c>
      <c r="C860" t="str">
        <f>Sheet4!C838</f>
        <v>Gang thép Cao Bằng</v>
      </c>
      <c r="D860" t="str">
        <f>Sheet4!D839</f>
        <v>UPCoM</v>
      </c>
      <c r="E860" s="7">
        <f>Sheet4!AH839/1000000000</f>
        <v>119.59621679999999</v>
      </c>
      <c r="F860" t="str">
        <f>Sheet4!E839</f>
        <v>Hàng Tiêu dùng</v>
      </c>
      <c r="G860" t="str">
        <f>Sheet4!F839</f>
        <v>Thực phẩm và đồ uống</v>
      </c>
      <c r="H860" t="str">
        <f>Sheet4!G839</f>
        <v>Thực phẩm</v>
      </c>
      <c r="I860" s="9" t="str" cm="1">
        <f t="array" ref="I86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60" s="9" t="str" cm="1">
        <f t="array" ref="J86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60" s="10" cm="1">
        <f t="array" ref="K86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60" s="10" cm="1">
        <f t="array" ref="L86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60" s="9" t="str" cm="1">
        <f t="array" ref="M86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60" s="9" t="str" cm="1">
        <f t="array" ref="N86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60" s="10" cm="1">
        <f t="array" ref="O860">IFERROR(INDEX(Sheet4!$2:$1605,MATCH(ChiTietKQKD[[#This Row],[Mã CP]],Sheet4!$B$2:$B$1605,0),_xlfn.XMATCH("*Tăng trưởng lợi nhuận sau thuế (YoY) (Quý*",Sheet4!$1:$1,2)),"")</f>
        <v>0</v>
      </c>
      <c r="P860" s="10" cm="1">
        <f t="array" ref="P860">IFERROR(INDEX(Sheet4!$2:$1605,MATCH(ChiTietKQKD[[#This Row],[Mã CP]],Sheet4!$B$2:$B$1605,0),_xlfn.XMATCH("*Tăng trưởng lợi nhuận sau thuế (YoY) (6M)*",Sheet4!$1:$1,2)),"")</f>
        <v>0</v>
      </c>
      <c r="Q860" s="10" cm="1">
        <f t="array" ref="Q860">IFERROR(INDEX(Sheet4!$2:$1605,MATCH(ChiTietKQKD[[#This Row],[Mã CP]],Sheet4!$B$2:$B$1605,0),_xlfn.XMATCH("*Tăng trưởng doanh thu thuần (QoQ)*",Sheet4!$1:$1,2)),"")</f>
        <v>0</v>
      </c>
      <c r="R860" s="10" cm="1">
        <f t="array" ref="R860">IFERROR(INDEX(Sheet4!$2:$1605,MATCH(ChiTietKQKD[[#This Row],[Mã CP]],Sheet4!$B$2:$B$1605,0),_xlfn.XMATCH("*Tăng trưởng lợi nhuận sau thuế (QoQ)*",Sheet4!$1:$1,2)),"")</f>
        <v>0</v>
      </c>
    </row>
    <row r="861" spans="1:18" x14ac:dyDescent="0.25">
      <c r="A861" s="7">
        <f>Sheet4!A840</f>
        <v>839</v>
      </c>
      <c r="B861" t="str">
        <f>Sheet4!B840</f>
        <v>CBV</v>
      </c>
      <c r="C861" t="str">
        <f>Sheet4!C839</f>
        <v>Mía đường Cao Bằng</v>
      </c>
      <c r="D861" t="str">
        <f>Sheet4!D840</f>
        <v>UPCoM</v>
      </c>
      <c r="E861" s="7">
        <f>Sheet4!AH840/1000000000</f>
        <v>0</v>
      </c>
      <c r="F861" t="str">
        <f>Sheet4!E840</f>
        <v>Dược phẩm và Y tế</v>
      </c>
      <c r="G861" t="str">
        <f>Sheet4!F840</f>
        <v>Y tế</v>
      </c>
      <c r="H861" t="str">
        <f>Sheet4!G840</f>
        <v>Chăm sóc y tế</v>
      </c>
      <c r="I861" s="9" t="str" cm="1">
        <f t="array" ref="I86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61" s="9" t="str" cm="1">
        <f t="array" ref="J86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61" s="10" cm="1">
        <f t="array" ref="K86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61" s="10" cm="1">
        <f t="array" ref="L86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61" s="9" t="str" cm="1">
        <f t="array" ref="M86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61" s="9" t="str" cm="1">
        <f t="array" ref="N86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61" s="10" cm="1">
        <f t="array" ref="O861">IFERROR(INDEX(Sheet4!$2:$1605,MATCH(ChiTietKQKD[[#This Row],[Mã CP]],Sheet4!$B$2:$B$1605,0),_xlfn.XMATCH("*Tăng trưởng lợi nhuận sau thuế (YoY) (Quý*",Sheet4!$1:$1,2)),"")</f>
        <v>0</v>
      </c>
      <c r="P861" s="10" cm="1">
        <f t="array" ref="P861">IFERROR(INDEX(Sheet4!$2:$1605,MATCH(ChiTietKQKD[[#This Row],[Mã CP]],Sheet4!$B$2:$B$1605,0),_xlfn.XMATCH("*Tăng trưởng lợi nhuận sau thuế (YoY) (6M)*",Sheet4!$1:$1,2)),"")</f>
        <v>0</v>
      </c>
      <c r="Q861" s="10" cm="1">
        <f t="array" ref="Q861">IFERROR(INDEX(Sheet4!$2:$1605,MATCH(ChiTietKQKD[[#This Row],[Mã CP]],Sheet4!$B$2:$B$1605,0),_xlfn.XMATCH("*Tăng trưởng doanh thu thuần (QoQ)*",Sheet4!$1:$1,2)),"")</f>
        <v>0</v>
      </c>
      <c r="R861" s="10" cm="1">
        <f t="array" ref="R861">IFERROR(INDEX(Sheet4!$2:$1605,MATCH(ChiTietKQKD[[#This Row],[Mã CP]],Sheet4!$B$2:$B$1605,0),_xlfn.XMATCH("*Tăng trưởng lợi nhuận sau thuế (QoQ)*",Sheet4!$1:$1,2)),"")</f>
        <v>0</v>
      </c>
    </row>
    <row r="862" spans="1:18" x14ac:dyDescent="0.25">
      <c r="A862" s="7">
        <f>Sheet4!A841</f>
        <v>840</v>
      </c>
      <c r="B862" t="str">
        <f>Sheet4!B841</f>
        <v>CC1</v>
      </c>
      <c r="C862" t="str">
        <f>Sheet4!C840</f>
        <v>CTCBIO Việt Nam</v>
      </c>
      <c r="D862" t="str">
        <f>Sheet4!D841</f>
        <v>UPCoM</v>
      </c>
      <c r="E862" s="7">
        <f>Sheet4!AH841/1000000000</f>
        <v>14981.5704843</v>
      </c>
      <c r="F862" t="str">
        <f>Sheet4!E841</f>
        <v>Công nghiệp</v>
      </c>
      <c r="G862" t="str">
        <f>Sheet4!F841</f>
        <v>Xây dựng và Vật liệu</v>
      </c>
      <c r="H862" t="str">
        <f>Sheet4!G841</f>
        <v>Xây dựng</v>
      </c>
      <c r="I862" s="9" t="str" cm="1">
        <f t="array" ref="I86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62" s="9" t="str" cm="1">
        <f t="array" ref="J86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62" s="10" cm="1">
        <f t="array" ref="K86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62" s="10" cm="1">
        <f t="array" ref="L86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62" s="9" t="str" cm="1">
        <f t="array" ref="M86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62" s="9" t="str" cm="1">
        <f t="array" ref="N86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62" s="10" cm="1">
        <f t="array" ref="O862">IFERROR(INDEX(Sheet4!$2:$1605,MATCH(ChiTietKQKD[[#This Row],[Mã CP]],Sheet4!$B$2:$B$1605,0),_xlfn.XMATCH("*Tăng trưởng lợi nhuận sau thuế (YoY) (Quý*",Sheet4!$1:$1,2)),"")</f>
        <v>0</v>
      </c>
      <c r="P862" s="10" cm="1">
        <f t="array" ref="P862">IFERROR(INDEX(Sheet4!$2:$1605,MATCH(ChiTietKQKD[[#This Row],[Mã CP]],Sheet4!$B$2:$B$1605,0),_xlfn.XMATCH("*Tăng trưởng lợi nhuận sau thuế (YoY) (6M)*",Sheet4!$1:$1,2)),"")</f>
        <v>0</v>
      </c>
      <c r="Q862" s="10" cm="1">
        <f t="array" ref="Q862">IFERROR(INDEX(Sheet4!$2:$1605,MATCH(ChiTietKQKD[[#This Row],[Mã CP]],Sheet4!$B$2:$B$1605,0),_xlfn.XMATCH("*Tăng trưởng doanh thu thuần (QoQ)*",Sheet4!$1:$1,2)),"")</f>
        <v>0</v>
      </c>
      <c r="R862" s="10" cm="1">
        <f t="array" ref="R862">IFERROR(INDEX(Sheet4!$2:$1605,MATCH(ChiTietKQKD[[#This Row],[Mã CP]],Sheet4!$B$2:$B$1605,0),_xlfn.XMATCH("*Tăng trưởng lợi nhuận sau thuế (QoQ)*",Sheet4!$1:$1,2)),"")</f>
        <v>0</v>
      </c>
    </row>
    <row r="863" spans="1:18" x14ac:dyDescent="0.25">
      <c r="A863" s="7">
        <f>Sheet4!A842</f>
        <v>841</v>
      </c>
      <c r="B863" t="str">
        <f>Sheet4!B842</f>
        <v>CCA</v>
      </c>
      <c r="C863" t="str">
        <f>Sheet4!C841</f>
        <v>TCT Xây dựng số 1</v>
      </c>
      <c r="D863" t="str">
        <f>Sheet4!D842</f>
        <v>UPCoM</v>
      </c>
      <c r="E863" s="7">
        <f>Sheet4!AH842/1000000000</f>
        <v>300.99588</v>
      </c>
      <c r="F863" t="str">
        <f>Sheet4!E842</f>
        <v>Hàng Tiêu dùng</v>
      </c>
      <c r="G863" t="str">
        <f>Sheet4!F842</f>
        <v>Thực phẩm và đồ uống</v>
      </c>
      <c r="H863" t="str">
        <f>Sheet4!G842</f>
        <v>Nuôi trồng nông &amp; hải sản</v>
      </c>
      <c r="I863" s="9" cm="1">
        <f t="array" ref="I86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450.75629959600002</v>
      </c>
      <c r="J863" s="9" cm="1">
        <f t="array" ref="J86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746.25670802599996</v>
      </c>
      <c r="K863" s="10" cm="1">
        <f t="array" ref="K86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-5.9499999999999997E-2</v>
      </c>
      <c r="L863" s="10" cm="1">
        <f t="array" ref="L86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63" s="9" cm="1">
        <f t="array" ref="M863">_xlfn.LET(_xlpm.val,IFERROR(INDEX(Sheet4!$2:$1605,MATCH(ChiTietKQKD[[#This Row],[Mã CP]],Sheet4!$B$2:$B$1605,0),_xlfn.XMATCH("*Lợi nhuận sau thuế*Q2*2026*",Sheet4!$1:$1,2)),0),IF(OR(_xlpm.val="",_xlpm.val=0),"",_xlpm.val/1000000000))</f>
        <v>24.006762779999999</v>
      </c>
      <c r="N863" s="9" cm="1">
        <f t="array" ref="N863">_xlfn.LET(_xlpm.val,IFERROR(INDEX(Sheet4!$2:$1605,MATCH(ChiTietKQKD[[#This Row],[Mã CP]],Sheet4!$B$2:$B$1605,0),_xlfn.XMATCH("*Lợi nhuận sau thuế*6 tháng*2026*",Sheet4!$1:$1,2)),0),IF(OR(_xlpm.val="",_xlpm.val=0),"",_xlpm.val/1000000000))</f>
        <v>34.368426225999997</v>
      </c>
      <c r="O863" s="10" cm="1">
        <f t="array" ref="O863">IFERROR(INDEX(Sheet4!$2:$1605,MATCH(ChiTietKQKD[[#This Row],[Mã CP]],Sheet4!$B$2:$B$1605,0),_xlfn.XMATCH("*Tăng trưởng lợi nhuận sau thuế (YoY) (Quý*",Sheet4!$1:$1,2)),"")</f>
        <v>0.34920000000000001</v>
      </c>
      <c r="P863" s="10" cm="1">
        <f t="array" ref="P863">IFERROR(INDEX(Sheet4!$2:$1605,MATCH(ChiTietKQKD[[#This Row],[Mã CP]],Sheet4!$B$2:$B$1605,0),_xlfn.XMATCH("*Tăng trưởng lợi nhuận sau thuế (YoY) (6M)*",Sheet4!$1:$1,2)),"")</f>
        <v>0</v>
      </c>
      <c r="Q863" s="10" cm="1">
        <f t="array" ref="Q863">IFERROR(INDEX(Sheet4!$2:$1605,MATCH(ChiTietKQKD[[#This Row],[Mã CP]],Sheet4!$B$2:$B$1605,0),_xlfn.XMATCH("*Tăng trưởng doanh thu thuần (QoQ)*",Sheet4!$1:$1,2)),"")</f>
        <v>0.52539999999999998</v>
      </c>
      <c r="R863" s="10" cm="1">
        <f t="array" ref="R863">IFERROR(INDEX(Sheet4!$2:$1605,MATCH(ChiTietKQKD[[#This Row],[Mã CP]],Sheet4!$B$2:$B$1605,0),_xlfn.XMATCH("*Tăng trưởng lợi nhuận sau thuế (QoQ)*",Sheet4!$1:$1,2)),"")</f>
        <v>1.3169</v>
      </c>
    </row>
    <row r="864" spans="1:18" x14ac:dyDescent="0.25">
      <c r="A864" s="7">
        <f>Sheet4!A843</f>
        <v>842</v>
      </c>
      <c r="B864" t="str">
        <f>Sheet4!B843</f>
        <v>CCD</v>
      </c>
      <c r="C864" t="str">
        <f>Sheet4!C842</f>
        <v>XNK Thuỷ sản Cần Thơ</v>
      </c>
      <c r="D864" t="str">
        <f>Sheet4!D843</f>
        <v>UPCoM</v>
      </c>
      <c r="E864" s="7">
        <f>Sheet4!AH843/1000000000</f>
        <v>0</v>
      </c>
      <c r="F864" t="str">
        <f>Sheet4!E843</f>
        <v>Công nghiệp</v>
      </c>
      <c r="G864" t="str">
        <f>Sheet4!F843</f>
        <v>Xây dựng và Vật liệu</v>
      </c>
      <c r="H864" t="str">
        <f>Sheet4!G843</f>
        <v>Xây dựng</v>
      </c>
      <c r="I864" s="9" t="str" cm="1">
        <f t="array" ref="I86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64" s="9" t="str" cm="1">
        <f t="array" ref="J86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64" s="10" cm="1">
        <f t="array" ref="K86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64" s="10" cm="1">
        <f t="array" ref="L86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64" s="9" t="str" cm="1">
        <f t="array" ref="M86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64" s="9" t="str" cm="1">
        <f t="array" ref="N86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64" s="10" cm="1">
        <f t="array" ref="O864">IFERROR(INDEX(Sheet4!$2:$1605,MATCH(ChiTietKQKD[[#This Row],[Mã CP]],Sheet4!$B$2:$B$1605,0),_xlfn.XMATCH("*Tăng trưởng lợi nhuận sau thuế (YoY) (Quý*",Sheet4!$1:$1,2)),"")</f>
        <v>0</v>
      </c>
      <c r="P864" s="10" cm="1">
        <f t="array" ref="P864">IFERROR(INDEX(Sheet4!$2:$1605,MATCH(ChiTietKQKD[[#This Row],[Mã CP]],Sheet4!$B$2:$B$1605,0),_xlfn.XMATCH("*Tăng trưởng lợi nhuận sau thuế (YoY) (6M)*",Sheet4!$1:$1,2)),"")</f>
        <v>0</v>
      </c>
      <c r="Q864" s="10" cm="1">
        <f t="array" ref="Q864">IFERROR(INDEX(Sheet4!$2:$1605,MATCH(ChiTietKQKD[[#This Row],[Mã CP]],Sheet4!$B$2:$B$1605,0),_xlfn.XMATCH("*Tăng trưởng doanh thu thuần (QoQ)*",Sheet4!$1:$1,2)),"")</f>
        <v>0</v>
      </c>
      <c r="R864" s="10" cm="1">
        <f t="array" ref="R864">IFERROR(INDEX(Sheet4!$2:$1605,MATCH(ChiTietKQKD[[#This Row],[Mã CP]],Sheet4!$B$2:$B$1605,0),_xlfn.XMATCH("*Tăng trưởng lợi nhuận sau thuế (QoQ)*",Sheet4!$1:$1,2)),"")</f>
        <v>0</v>
      </c>
    </row>
    <row r="865" spans="1:18" x14ac:dyDescent="0.25">
      <c r="A865" s="7">
        <f>Sheet4!A844</f>
        <v>843</v>
      </c>
      <c r="B865" t="str">
        <f>Sheet4!B844</f>
        <v>CCM</v>
      </c>
      <c r="C865" t="str">
        <f>Sheet4!C843</f>
        <v>XD và Bảo trì cầu đường</v>
      </c>
      <c r="D865" t="str">
        <f>Sheet4!D844</f>
        <v>UPCoM</v>
      </c>
      <c r="E865" s="7">
        <f>Sheet4!AH844/1000000000</f>
        <v>184.13691119999999</v>
      </c>
      <c r="F865" t="str">
        <f>Sheet4!E844</f>
        <v>Công nghiệp</v>
      </c>
      <c r="G865" t="str">
        <f>Sheet4!F844</f>
        <v>Xây dựng và Vật liệu</v>
      </c>
      <c r="H865" t="str">
        <f>Sheet4!G844</f>
        <v>Vật liệu xây dựng &amp; Nội thất</v>
      </c>
      <c r="I865" s="9" t="str" cm="1">
        <f t="array" ref="I86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65" s="9" t="str" cm="1">
        <f t="array" ref="J86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65" s="10" cm="1">
        <f t="array" ref="K86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65" s="10" cm="1">
        <f t="array" ref="L86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65" s="9" t="str" cm="1">
        <f t="array" ref="M86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65" s="9" t="str" cm="1">
        <f t="array" ref="N86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65" s="10" cm="1">
        <f t="array" ref="O865">IFERROR(INDEX(Sheet4!$2:$1605,MATCH(ChiTietKQKD[[#This Row],[Mã CP]],Sheet4!$B$2:$B$1605,0),_xlfn.XMATCH("*Tăng trưởng lợi nhuận sau thuế (YoY) (Quý*",Sheet4!$1:$1,2)),"")</f>
        <v>0</v>
      </c>
      <c r="P865" s="10" cm="1">
        <f t="array" ref="P865">IFERROR(INDEX(Sheet4!$2:$1605,MATCH(ChiTietKQKD[[#This Row],[Mã CP]],Sheet4!$B$2:$B$1605,0),_xlfn.XMATCH("*Tăng trưởng lợi nhuận sau thuế (YoY) (6M)*",Sheet4!$1:$1,2)),"")</f>
        <v>0</v>
      </c>
      <c r="Q865" s="10" cm="1">
        <f t="array" ref="Q865">IFERROR(INDEX(Sheet4!$2:$1605,MATCH(ChiTietKQKD[[#This Row],[Mã CP]],Sheet4!$B$2:$B$1605,0),_xlfn.XMATCH("*Tăng trưởng doanh thu thuần (QoQ)*",Sheet4!$1:$1,2)),"")</f>
        <v>0</v>
      </c>
      <c r="R865" s="10" cm="1">
        <f t="array" ref="R865">IFERROR(INDEX(Sheet4!$2:$1605,MATCH(ChiTietKQKD[[#This Row],[Mã CP]],Sheet4!$B$2:$B$1605,0),_xlfn.XMATCH("*Tăng trưởng lợi nhuận sau thuế (QoQ)*",Sheet4!$1:$1,2)),"")</f>
        <v>0</v>
      </c>
    </row>
    <row r="866" spans="1:18" x14ac:dyDescent="0.25">
      <c r="A866" s="7">
        <f>Sheet4!A845</f>
        <v>844</v>
      </c>
      <c r="B866" t="str">
        <f>Sheet4!B845</f>
        <v>CCP</v>
      </c>
      <c r="C866" t="str">
        <f>Sheet4!C844</f>
        <v>Xi măng Cần Thơ</v>
      </c>
      <c r="D866" t="str">
        <f>Sheet4!D845</f>
        <v>UPCoM</v>
      </c>
      <c r="E866" s="7">
        <f>Sheet4!AH845/1000000000</f>
        <v>49.2</v>
      </c>
      <c r="F866" t="str">
        <f>Sheet4!E845</f>
        <v>Công nghiệp</v>
      </c>
      <c r="G866" t="str">
        <f>Sheet4!F845</f>
        <v>Hàng &amp; Dịch vụ Công nghiệp</v>
      </c>
      <c r="H866" t="str">
        <f>Sheet4!G845</f>
        <v>Kho bãi, hậu cần và bảo dưỡng</v>
      </c>
      <c r="I866" s="9" t="str" cm="1">
        <f t="array" ref="I86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66" s="9" t="str" cm="1">
        <f t="array" ref="J86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66" s="10" cm="1">
        <f t="array" ref="K86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66" s="10" cm="1">
        <f t="array" ref="L86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66" s="9" t="str" cm="1">
        <f t="array" ref="M86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66" s="9" t="str" cm="1">
        <f t="array" ref="N86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66" s="10" cm="1">
        <f t="array" ref="O866">IFERROR(INDEX(Sheet4!$2:$1605,MATCH(ChiTietKQKD[[#This Row],[Mã CP]],Sheet4!$B$2:$B$1605,0),_xlfn.XMATCH("*Tăng trưởng lợi nhuận sau thuế (YoY) (Quý*",Sheet4!$1:$1,2)),"")</f>
        <v>0</v>
      </c>
      <c r="P866" s="10" cm="1">
        <f t="array" ref="P866">IFERROR(INDEX(Sheet4!$2:$1605,MATCH(ChiTietKQKD[[#This Row],[Mã CP]],Sheet4!$B$2:$B$1605,0),_xlfn.XMATCH("*Tăng trưởng lợi nhuận sau thuế (YoY) (6M)*",Sheet4!$1:$1,2)),"")</f>
        <v>0</v>
      </c>
      <c r="Q866" s="10" cm="1">
        <f t="array" ref="Q866">IFERROR(INDEX(Sheet4!$2:$1605,MATCH(ChiTietKQKD[[#This Row],[Mã CP]],Sheet4!$B$2:$B$1605,0),_xlfn.XMATCH("*Tăng trưởng doanh thu thuần (QoQ)*",Sheet4!$1:$1,2)),"")</f>
        <v>0</v>
      </c>
      <c r="R866" s="10" cm="1">
        <f t="array" ref="R866">IFERROR(INDEX(Sheet4!$2:$1605,MATCH(ChiTietKQKD[[#This Row],[Mã CP]],Sheet4!$B$2:$B$1605,0),_xlfn.XMATCH("*Tăng trưởng lợi nhuận sau thuế (QoQ)*",Sheet4!$1:$1,2)),"")</f>
        <v>0</v>
      </c>
    </row>
    <row r="867" spans="1:18" x14ac:dyDescent="0.25">
      <c r="A867" s="7">
        <f>Sheet4!A846</f>
        <v>845</v>
      </c>
      <c r="B867" t="str">
        <f>Sheet4!B846</f>
        <v>CCS</v>
      </c>
      <c r="C867" t="str">
        <f>Sheet4!C845</f>
        <v>Cảng Cửa Cấm</v>
      </c>
      <c r="D867" t="str">
        <f>Sheet4!D846</f>
        <v>UPCoM</v>
      </c>
      <c r="E867" s="7">
        <f>Sheet4!AH846/1000000000</f>
        <v>46.787018553999999</v>
      </c>
      <c r="F867" t="str">
        <f>Sheet4!E846</f>
        <v>Tài chính</v>
      </c>
      <c r="G867" t="str">
        <f>Sheet4!F846</f>
        <v>Bất động sản</v>
      </c>
      <c r="H867" t="str">
        <f>Sheet4!G846</f>
        <v>Bất động sản</v>
      </c>
      <c r="I867" s="9" t="str" cm="1">
        <f t="array" ref="I86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67" s="9" t="str" cm="1">
        <f t="array" ref="J86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67" s="10" cm="1">
        <f t="array" ref="K86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67" s="10" cm="1">
        <f t="array" ref="L86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67" s="9" t="str" cm="1">
        <f t="array" ref="M86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67" s="9" t="str" cm="1">
        <f t="array" ref="N86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67" s="10" cm="1">
        <f t="array" ref="O867">IFERROR(INDEX(Sheet4!$2:$1605,MATCH(ChiTietKQKD[[#This Row],[Mã CP]],Sheet4!$B$2:$B$1605,0),_xlfn.XMATCH("*Tăng trưởng lợi nhuận sau thuế (YoY) (Quý*",Sheet4!$1:$1,2)),"")</f>
        <v>0</v>
      </c>
      <c r="P867" s="10" cm="1">
        <f t="array" ref="P867">IFERROR(INDEX(Sheet4!$2:$1605,MATCH(ChiTietKQKD[[#This Row],[Mã CP]],Sheet4!$B$2:$B$1605,0),_xlfn.XMATCH("*Tăng trưởng lợi nhuận sau thuế (YoY) (6M)*",Sheet4!$1:$1,2)),"")</f>
        <v>0</v>
      </c>
      <c r="Q867" s="10" cm="1">
        <f t="array" ref="Q867">IFERROR(INDEX(Sheet4!$2:$1605,MATCH(ChiTietKQKD[[#This Row],[Mã CP]],Sheet4!$B$2:$B$1605,0),_xlfn.XMATCH("*Tăng trưởng doanh thu thuần (QoQ)*",Sheet4!$1:$1,2)),"")</f>
        <v>0</v>
      </c>
      <c r="R867" s="10" cm="1">
        <f t="array" ref="R867">IFERROR(INDEX(Sheet4!$2:$1605,MATCH(ChiTietKQKD[[#This Row],[Mã CP]],Sheet4!$B$2:$B$1605,0),_xlfn.XMATCH("*Tăng trưởng lợi nhuận sau thuế (QoQ)*",Sheet4!$1:$1,2)),"")</f>
        <v>0</v>
      </c>
    </row>
    <row r="868" spans="1:18" x14ac:dyDescent="0.25">
      <c r="A868" s="7">
        <f>Sheet4!A847</f>
        <v>846</v>
      </c>
      <c r="B868" t="str">
        <f>Sheet4!B847</f>
        <v>CCT</v>
      </c>
      <c r="C868" t="str">
        <f>Sheet4!C846</f>
        <v>Chíp Sáng</v>
      </c>
      <c r="D868" t="str">
        <f>Sheet4!D847</f>
        <v>UPCoM</v>
      </c>
      <c r="E868" s="7">
        <f>Sheet4!AH847/1000000000</f>
        <v>253.47200000000001</v>
      </c>
      <c r="F868" t="str">
        <f>Sheet4!E847</f>
        <v>Công nghiệp</v>
      </c>
      <c r="G868" t="str">
        <f>Sheet4!F847</f>
        <v>Hàng &amp; Dịch vụ Công nghiệp</v>
      </c>
      <c r="H868" t="str">
        <f>Sheet4!G847</f>
        <v>Kho bãi, hậu cần và bảo dưỡng</v>
      </c>
      <c r="I868" s="9" cm="1">
        <f t="array" ref="I86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46.589697458000003</v>
      </c>
      <c r="J868" s="9" cm="1">
        <f t="array" ref="J86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83.998910705</v>
      </c>
      <c r="K868" s="10" cm="1">
        <f t="array" ref="K86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-0.1137</v>
      </c>
      <c r="L868" s="10" cm="1">
        <f t="array" ref="L86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68" s="9" cm="1">
        <f t="array" ref="M868">_xlfn.LET(_xlpm.val,IFERROR(INDEX(Sheet4!$2:$1605,MATCH(ChiTietKQKD[[#This Row],[Mã CP]],Sheet4!$B$2:$B$1605,0),_xlfn.XMATCH("*Lợi nhuận sau thuế*Q2*2026*",Sheet4!$1:$1,2)),0),IF(OR(_xlpm.val="",_xlpm.val=0),"",_xlpm.val/1000000000))</f>
        <v>3.9311569240000002</v>
      </c>
      <c r="N868" s="9" cm="1">
        <f t="array" ref="N868">_xlfn.LET(_xlpm.val,IFERROR(INDEX(Sheet4!$2:$1605,MATCH(ChiTietKQKD[[#This Row],[Mã CP]],Sheet4!$B$2:$B$1605,0),_xlfn.XMATCH("*Lợi nhuận sau thuế*6 tháng*2026*",Sheet4!$1:$1,2)),0),IF(OR(_xlpm.val="",_xlpm.val=0),"",_xlpm.val/1000000000))</f>
        <v>6.4071407320000002</v>
      </c>
      <c r="O868" s="10" cm="1">
        <f t="array" ref="O868">IFERROR(INDEX(Sheet4!$2:$1605,MATCH(ChiTietKQKD[[#This Row],[Mã CP]],Sheet4!$B$2:$B$1605,0),_xlfn.XMATCH("*Tăng trưởng lợi nhuận sau thuế (YoY) (Quý*",Sheet4!$1:$1,2)),"")</f>
        <v>4.1871999999999998</v>
      </c>
      <c r="P868" s="10" cm="1">
        <f t="array" ref="P868">IFERROR(INDEX(Sheet4!$2:$1605,MATCH(ChiTietKQKD[[#This Row],[Mã CP]],Sheet4!$B$2:$B$1605,0),_xlfn.XMATCH("*Tăng trưởng lợi nhuận sau thuế (YoY) (6M)*",Sheet4!$1:$1,2)),"")</f>
        <v>0</v>
      </c>
      <c r="Q868" s="10" cm="1">
        <f t="array" ref="Q868">IFERROR(INDEX(Sheet4!$2:$1605,MATCH(ChiTietKQKD[[#This Row],[Mã CP]],Sheet4!$B$2:$B$1605,0),_xlfn.XMATCH("*Tăng trưởng doanh thu thuần (QoQ)*",Sheet4!$1:$1,2)),"")</f>
        <v>0.24540000000000001</v>
      </c>
      <c r="R868" s="10" cm="1">
        <f t="array" ref="R868">IFERROR(INDEX(Sheet4!$2:$1605,MATCH(ChiTietKQKD[[#This Row],[Mã CP]],Sheet4!$B$2:$B$1605,0),_xlfn.XMATCH("*Tăng trưởng lợi nhuận sau thuế (QoQ)*",Sheet4!$1:$1,2)),"")</f>
        <v>0.5877</v>
      </c>
    </row>
    <row r="869" spans="1:18" x14ac:dyDescent="0.25">
      <c r="A869" s="7">
        <f>Sheet4!A848</f>
        <v>847</v>
      </c>
      <c r="B869" t="str">
        <f>Sheet4!B848</f>
        <v>CCV</v>
      </c>
      <c r="C869" t="str">
        <f>Sheet4!C847</f>
        <v>Cảng Cần Thơ</v>
      </c>
      <c r="D869" t="str">
        <f>Sheet4!D848</f>
        <v>UPCoM</v>
      </c>
      <c r="E869" s="7">
        <f>Sheet4!AH848/1000000000</f>
        <v>134.1</v>
      </c>
      <c r="F869" t="str">
        <f>Sheet4!E848</f>
        <v>Công nghiệp</v>
      </c>
      <c r="G869" t="str">
        <f>Sheet4!F848</f>
        <v>Xây dựng và Vật liệu</v>
      </c>
      <c r="H869" t="str">
        <f>Sheet4!G848</f>
        <v>Xây dựng</v>
      </c>
      <c r="I869" s="9" t="str" cm="1">
        <f t="array" ref="I86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69" s="9" t="str" cm="1">
        <f t="array" ref="J86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69" s="10" cm="1">
        <f t="array" ref="K86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69" s="10" cm="1">
        <f t="array" ref="L86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69" s="9" t="str" cm="1">
        <f t="array" ref="M86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69" s="9" t="str" cm="1">
        <f t="array" ref="N86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69" s="10" cm="1">
        <f t="array" ref="O869">IFERROR(INDEX(Sheet4!$2:$1605,MATCH(ChiTietKQKD[[#This Row],[Mã CP]],Sheet4!$B$2:$B$1605,0),_xlfn.XMATCH("*Tăng trưởng lợi nhuận sau thuế (YoY) (Quý*",Sheet4!$1:$1,2)),"")</f>
        <v>0</v>
      </c>
      <c r="P869" s="10" cm="1">
        <f t="array" ref="P869">IFERROR(INDEX(Sheet4!$2:$1605,MATCH(ChiTietKQKD[[#This Row],[Mã CP]],Sheet4!$B$2:$B$1605,0),_xlfn.XMATCH("*Tăng trưởng lợi nhuận sau thuế (YoY) (6M)*",Sheet4!$1:$1,2)),"")</f>
        <v>0</v>
      </c>
      <c r="Q869" s="10" cm="1">
        <f t="array" ref="Q869">IFERROR(INDEX(Sheet4!$2:$1605,MATCH(ChiTietKQKD[[#This Row],[Mã CP]],Sheet4!$B$2:$B$1605,0),_xlfn.XMATCH("*Tăng trưởng doanh thu thuần (QoQ)*",Sheet4!$1:$1,2)),"")</f>
        <v>0</v>
      </c>
      <c r="R869" s="10" cm="1">
        <f t="array" ref="R869">IFERROR(INDEX(Sheet4!$2:$1605,MATCH(ChiTietKQKD[[#This Row],[Mã CP]],Sheet4!$B$2:$B$1605,0),_xlfn.XMATCH("*Tăng trưởng lợi nhuận sau thuế (QoQ)*",Sheet4!$1:$1,2)),"")</f>
        <v>0</v>
      </c>
    </row>
    <row r="870" spans="1:18" x14ac:dyDescent="0.25">
      <c r="A870" s="7">
        <f>Sheet4!A849</f>
        <v>848</v>
      </c>
      <c r="B870" t="str">
        <f>Sheet4!B849</f>
        <v>CDG</v>
      </c>
      <c r="C870" t="str">
        <f>Sheet4!C848</f>
        <v>XD CN và đô thị Việt Nam</v>
      </c>
      <c r="D870" t="str">
        <f>Sheet4!D849</f>
        <v>UPCoM</v>
      </c>
      <c r="E870" s="7">
        <f>Sheet4!AH849/1000000000</f>
        <v>8.3157864000000004</v>
      </c>
      <c r="F870" t="str">
        <f>Sheet4!E849</f>
        <v>Công nghiệp</v>
      </c>
      <c r="G870" t="str">
        <f>Sheet4!F849</f>
        <v>Xây dựng và Vật liệu</v>
      </c>
      <c r="H870" t="str">
        <f>Sheet4!G849</f>
        <v>Vật liệu xây dựng &amp; Nội thất</v>
      </c>
      <c r="I870" s="9" t="str" cm="1">
        <f t="array" ref="I87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70" s="9" t="str" cm="1">
        <f t="array" ref="J87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70" s="10" cm="1">
        <f t="array" ref="K87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70" s="10" cm="1">
        <f t="array" ref="L87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70" s="9" t="str" cm="1">
        <f t="array" ref="M87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70" s="9" t="str" cm="1">
        <f t="array" ref="N87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70" s="10" cm="1">
        <f t="array" ref="O870">IFERROR(INDEX(Sheet4!$2:$1605,MATCH(ChiTietKQKD[[#This Row],[Mã CP]],Sheet4!$B$2:$B$1605,0),_xlfn.XMATCH("*Tăng trưởng lợi nhuận sau thuế (YoY) (Quý*",Sheet4!$1:$1,2)),"")</f>
        <v>0</v>
      </c>
      <c r="P870" s="10" cm="1">
        <f t="array" ref="P870">IFERROR(INDEX(Sheet4!$2:$1605,MATCH(ChiTietKQKD[[#This Row],[Mã CP]],Sheet4!$B$2:$B$1605,0),_xlfn.XMATCH("*Tăng trưởng lợi nhuận sau thuế (YoY) (6M)*",Sheet4!$1:$1,2)),"")</f>
        <v>0</v>
      </c>
      <c r="Q870" s="10" cm="1">
        <f t="array" ref="Q870">IFERROR(INDEX(Sheet4!$2:$1605,MATCH(ChiTietKQKD[[#This Row],[Mã CP]],Sheet4!$B$2:$B$1605,0),_xlfn.XMATCH("*Tăng trưởng doanh thu thuần (QoQ)*",Sheet4!$1:$1,2)),"")</f>
        <v>0</v>
      </c>
      <c r="R870" s="10" cm="1">
        <f t="array" ref="R870">IFERROR(INDEX(Sheet4!$2:$1605,MATCH(ChiTietKQKD[[#This Row],[Mã CP]],Sheet4!$B$2:$B$1605,0),_xlfn.XMATCH("*Tăng trưởng lợi nhuận sau thuế (QoQ)*",Sheet4!$1:$1,2)),"")</f>
        <v>0</v>
      </c>
    </row>
    <row r="871" spans="1:18" x14ac:dyDescent="0.25">
      <c r="A871" s="7">
        <f>Sheet4!A850</f>
        <v>849</v>
      </c>
      <c r="B871" t="str">
        <f>Sheet4!B850</f>
        <v>CDO</v>
      </c>
      <c r="C871" t="str">
        <f>Sheet4!C849</f>
        <v>VLXD Cầu Đuống</v>
      </c>
      <c r="D871" t="str">
        <f>Sheet4!D850</f>
        <v>UPCoM</v>
      </c>
      <c r="E871" s="7">
        <f>Sheet4!AH850/1000000000</f>
        <v>40.956467500000002</v>
      </c>
      <c r="F871" t="str">
        <f>Sheet4!E850</f>
        <v>Công nghiệp</v>
      </c>
      <c r="G871" t="str">
        <f>Sheet4!F850</f>
        <v>Xây dựng và Vật liệu</v>
      </c>
      <c r="H871" t="str">
        <f>Sheet4!G850</f>
        <v>Xây dựng</v>
      </c>
      <c r="I871" s="9" t="str" cm="1">
        <f t="array" ref="I87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71" s="9" t="str" cm="1">
        <f t="array" ref="J87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71" s="10" cm="1">
        <f t="array" ref="K87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71" s="10" cm="1">
        <f t="array" ref="L87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71" s="9" t="str" cm="1">
        <f t="array" ref="M87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71" s="9" t="str" cm="1">
        <f t="array" ref="N87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71" s="10" cm="1">
        <f t="array" ref="O871">IFERROR(INDEX(Sheet4!$2:$1605,MATCH(ChiTietKQKD[[#This Row],[Mã CP]],Sheet4!$B$2:$B$1605,0),_xlfn.XMATCH("*Tăng trưởng lợi nhuận sau thuế (YoY) (Quý*",Sheet4!$1:$1,2)),"")</f>
        <v>0</v>
      </c>
      <c r="P871" s="10" cm="1">
        <f t="array" ref="P871">IFERROR(INDEX(Sheet4!$2:$1605,MATCH(ChiTietKQKD[[#This Row],[Mã CP]],Sheet4!$B$2:$B$1605,0),_xlfn.XMATCH("*Tăng trưởng lợi nhuận sau thuế (YoY) (6M)*",Sheet4!$1:$1,2)),"")</f>
        <v>0</v>
      </c>
      <c r="Q871" s="10" cm="1">
        <f t="array" ref="Q871">IFERROR(INDEX(Sheet4!$2:$1605,MATCH(ChiTietKQKD[[#This Row],[Mã CP]],Sheet4!$B$2:$B$1605,0),_xlfn.XMATCH("*Tăng trưởng doanh thu thuần (QoQ)*",Sheet4!$1:$1,2)),"")</f>
        <v>0</v>
      </c>
      <c r="R871" s="10" cm="1">
        <f t="array" ref="R871">IFERROR(INDEX(Sheet4!$2:$1605,MATCH(ChiTietKQKD[[#This Row],[Mã CP]],Sheet4!$B$2:$B$1605,0),_xlfn.XMATCH("*Tăng trưởng lợi nhuận sau thuế (QoQ)*",Sheet4!$1:$1,2)),"")</f>
        <v>0</v>
      </c>
    </row>
    <row r="872" spans="1:18" x14ac:dyDescent="0.25">
      <c r="A872" s="7">
        <f>Sheet4!A851</f>
        <v>850</v>
      </c>
      <c r="B872" t="str">
        <f>Sheet4!B851</f>
        <v>CDP</v>
      </c>
      <c r="C872" t="str">
        <f>Sheet4!C850</f>
        <v>Tư vấn Thiết kế và PT Đô thị</v>
      </c>
      <c r="D872" t="str">
        <f>Sheet4!D851</f>
        <v>UPCoM</v>
      </c>
      <c r="E872" s="7">
        <f>Sheet4!AH851/1000000000</f>
        <v>207.58032</v>
      </c>
      <c r="F872" t="str">
        <f>Sheet4!E851</f>
        <v>Dược phẩm và Y tế</v>
      </c>
      <c r="G872" t="str">
        <f>Sheet4!F851</f>
        <v>Y tế</v>
      </c>
      <c r="H872" t="str">
        <f>Sheet4!G851</f>
        <v>Dược phẩm</v>
      </c>
      <c r="I872" s="9" t="str" cm="1">
        <f t="array" ref="I87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72" s="9" t="str" cm="1">
        <f t="array" ref="J87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72" s="10" cm="1">
        <f t="array" ref="K87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72" s="10" cm="1">
        <f t="array" ref="L87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72" s="9" t="str" cm="1">
        <f t="array" ref="M87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72" s="9" t="str" cm="1">
        <f t="array" ref="N87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72" s="10" cm="1">
        <f t="array" ref="O872">IFERROR(INDEX(Sheet4!$2:$1605,MATCH(ChiTietKQKD[[#This Row],[Mã CP]],Sheet4!$B$2:$B$1605,0),_xlfn.XMATCH("*Tăng trưởng lợi nhuận sau thuế (YoY) (Quý*",Sheet4!$1:$1,2)),"")</f>
        <v>0</v>
      </c>
      <c r="P872" s="10" cm="1">
        <f t="array" ref="P872">IFERROR(INDEX(Sheet4!$2:$1605,MATCH(ChiTietKQKD[[#This Row],[Mã CP]],Sheet4!$B$2:$B$1605,0),_xlfn.XMATCH("*Tăng trưởng lợi nhuận sau thuế (YoY) (6M)*",Sheet4!$1:$1,2)),"")</f>
        <v>0</v>
      </c>
      <c r="Q872" s="10" cm="1">
        <f t="array" ref="Q872">IFERROR(INDEX(Sheet4!$2:$1605,MATCH(ChiTietKQKD[[#This Row],[Mã CP]],Sheet4!$B$2:$B$1605,0),_xlfn.XMATCH("*Tăng trưởng doanh thu thuần (QoQ)*",Sheet4!$1:$1,2)),"")</f>
        <v>0</v>
      </c>
      <c r="R872" s="10" cm="1">
        <f t="array" ref="R872">IFERROR(INDEX(Sheet4!$2:$1605,MATCH(ChiTietKQKD[[#This Row],[Mã CP]],Sheet4!$B$2:$B$1605,0),_xlfn.XMATCH("*Tăng trưởng lợi nhuận sau thuế (QoQ)*",Sheet4!$1:$1,2)),"")</f>
        <v>0</v>
      </c>
    </row>
    <row r="873" spans="1:18" x14ac:dyDescent="0.25">
      <c r="A873" s="7">
        <f>Sheet4!A852</f>
        <v>851</v>
      </c>
      <c r="B873" t="str">
        <f>Sheet4!B852</f>
        <v>CDR</v>
      </c>
      <c r="C873" t="str">
        <f>Sheet4!C851</f>
        <v>Dược phẩm TW Codupha</v>
      </c>
      <c r="D873" t="str">
        <f>Sheet4!D852</f>
        <v>UPCoM</v>
      </c>
      <c r="E873" s="7">
        <f>Sheet4!AH852/1000000000</f>
        <v>9.2263970749999995</v>
      </c>
      <c r="F873" t="str">
        <f>Sheet4!E852</f>
        <v>Công nghiệp</v>
      </c>
      <c r="G873" t="str">
        <f>Sheet4!F852</f>
        <v>Xây dựng và Vật liệu</v>
      </c>
      <c r="H873" t="str">
        <f>Sheet4!G852</f>
        <v>Xây dựng</v>
      </c>
      <c r="I873" s="9" t="str" cm="1">
        <f t="array" ref="I87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73" s="9" t="str" cm="1">
        <f t="array" ref="J87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73" s="10" cm="1">
        <f t="array" ref="K87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73" s="10" cm="1">
        <f t="array" ref="L87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73" s="9" t="str" cm="1">
        <f t="array" ref="M87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73" s="9" t="str" cm="1">
        <f t="array" ref="N87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73" s="10" cm="1">
        <f t="array" ref="O873">IFERROR(INDEX(Sheet4!$2:$1605,MATCH(ChiTietKQKD[[#This Row],[Mã CP]],Sheet4!$B$2:$B$1605,0),_xlfn.XMATCH("*Tăng trưởng lợi nhuận sau thuế (YoY) (Quý*",Sheet4!$1:$1,2)),"")</f>
        <v>0</v>
      </c>
      <c r="P873" s="10" cm="1">
        <f t="array" ref="P873">IFERROR(INDEX(Sheet4!$2:$1605,MATCH(ChiTietKQKD[[#This Row],[Mã CP]],Sheet4!$B$2:$B$1605,0),_xlfn.XMATCH("*Tăng trưởng lợi nhuận sau thuế (YoY) (6M)*",Sheet4!$1:$1,2)),"")</f>
        <v>0</v>
      </c>
      <c r="Q873" s="10" cm="1">
        <f t="array" ref="Q873">IFERROR(INDEX(Sheet4!$2:$1605,MATCH(ChiTietKQKD[[#This Row],[Mã CP]],Sheet4!$B$2:$B$1605,0),_xlfn.XMATCH("*Tăng trưởng doanh thu thuần (QoQ)*",Sheet4!$1:$1,2)),"")</f>
        <v>0</v>
      </c>
      <c r="R873" s="10" cm="1">
        <f t="array" ref="R873">IFERROR(INDEX(Sheet4!$2:$1605,MATCH(ChiTietKQKD[[#This Row],[Mã CP]],Sheet4!$B$2:$B$1605,0),_xlfn.XMATCH("*Tăng trưởng lợi nhuận sau thuế (QoQ)*",Sheet4!$1:$1,2)),"")</f>
        <v>0</v>
      </c>
    </row>
    <row r="874" spans="1:18" x14ac:dyDescent="0.25">
      <c r="A874" s="7">
        <f>Sheet4!A853</f>
        <v>852</v>
      </c>
      <c r="B874" t="str">
        <f>Sheet4!B853</f>
        <v>CEN</v>
      </c>
      <c r="C874" t="str">
        <f>Sheet4!C852</f>
        <v>Xây dựng Cao su Đồng Nai</v>
      </c>
      <c r="D874" t="str">
        <f>Sheet4!D853</f>
        <v>UPCoM</v>
      </c>
      <c r="E874" s="7">
        <f>Sheet4!AH853/1000000000</f>
        <v>34.739904000000003</v>
      </c>
      <c r="F874" t="str">
        <f>Sheet4!E853</f>
        <v>Dịch vụ Tiêu dùng</v>
      </c>
      <c r="G874" t="str">
        <f>Sheet4!F853</f>
        <v>Bán lẻ</v>
      </c>
      <c r="H874" t="str">
        <f>Sheet4!G853</f>
        <v>Bán lẻ phức hợp</v>
      </c>
      <c r="I874" s="9" t="str" cm="1">
        <f t="array" ref="I87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74" s="9" t="str" cm="1">
        <f t="array" ref="J87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74" s="10" cm="1">
        <f t="array" ref="K87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74" s="10" cm="1">
        <f t="array" ref="L87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74" s="9" t="str" cm="1">
        <f t="array" ref="M87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74" s="9" t="str" cm="1">
        <f t="array" ref="N87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74" s="10" cm="1">
        <f t="array" ref="O874">IFERROR(INDEX(Sheet4!$2:$1605,MATCH(ChiTietKQKD[[#This Row],[Mã CP]],Sheet4!$B$2:$B$1605,0),_xlfn.XMATCH("*Tăng trưởng lợi nhuận sau thuế (YoY) (Quý*",Sheet4!$1:$1,2)),"")</f>
        <v>0</v>
      </c>
      <c r="P874" s="10" cm="1">
        <f t="array" ref="P874">IFERROR(INDEX(Sheet4!$2:$1605,MATCH(ChiTietKQKD[[#This Row],[Mã CP]],Sheet4!$B$2:$B$1605,0),_xlfn.XMATCH("*Tăng trưởng lợi nhuận sau thuế (YoY) (6M)*",Sheet4!$1:$1,2)),"")</f>
        <v>0</v>
      </c>
      <c r="Q874" s="10" cm="1">
        <f t="array" ref="Q874">IFERROR(INDEX(Sheet4!$2:$1605,MATCH(ChiTietKQKD[[#This Row],[Mã CP]],Sheet4!$B$2:$B$1605,0),_xlfn.XMATCH("*Tăng trưởng doanh thu thuần (QoQ)*",Sheet4!$1:$1,2)),"")</f>
        <v>0</v>
      </c>
      <c r="R874" s="10" cm="1">
        <f t="array" ref="R874">IFERROR(INDEX(Sheet4!$2:$1605,MATCH(ChiTietKQKD[[#This Row],[Mã CP]],Sheet4!$B$2:$B$1605,0),_xlfn.XMATCH("*Tăng trưởng lợi nhuận sau thuế (QoQ)*",Sheet4!$1:$1,2)),"")</f>
        <v>0</v>
      </c>
    </row>
    <row r="875" spans="1:18" x14ac:dyDescent="0.25">
      <c r="A875" s="7">
        <f>Sheet4!A854</f>
        <v>853</v>
      </c>
      <c r="B875" t="str">
        <f>Sheet4!B854</f>
        <v>CFM</v>
      </c>
      <c r="C875" t="str">
        <f>Sheet4!C853</f>
        <v>CENCON Việt Nam</v>
      </c>
      <c r="D875" t="str">
        <f>Sheet4!D854</f>
        <v>UPCoM</v>
      </c>
      <c r="E875" s="7">
        <f>Sheet4!AH854/1000000000</f>
        <v>29.4</v>
      </c>
      <c r="F875" t="str">
        <f>Sheet4!E854</f>
        <v>Công nghiệp</v>
      </c>
      <c r="G875" t="str">
        <f>Sheet4!F854</f>
        <v>Hàng &amp; Dịch vụ Công nghiệp</v>
      </c>
      <c r="H875" t="str">
        <f>Sheet4!G854</f>
        <v>Đào tạo &amp; Việc làm</v>
      </c>
      <c r="I875" s="9" t="str" cm="1">
        <f t="array" ref="I87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75" s="9" t="str" cm="1">
        <f t="array" ref="J87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75" s="10" cm="1">
        <f t="array" ref="K87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75" s="10" cm="1">
        <f t="array" ref="L87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75" s="9" t="str" cm="1">
        <f t="array" ref="M87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75" s="9" t="str" cm="1">
        <f t="array" ref="N87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75" s="10" cm="1">
        <f t="array" ref="O875">IFERROR(INDEX(Sheet4!$2:$1605,MATCH(ChiTietKQKD[[#This Row],[Mã CP]],Sheet4!$B$2:$B$1605,0),_xlfn.XMATCH("*Tăng trưởng lợi nhuận sau thuế (YoY) (Quý*",Sheet4!$1:$1,2)),"")</f>
        <v>0</v>
      </c>
      <c r="P875" s="10" cm="1">
        <f t="array" ref="P875">IFERROR(INDEX(Sheet4!$2:$1605,MATCH(ChiTietKQKD[[#This Row],[Mã CP]],Sheet4!$B$2:$B$1605,0),_xlfn.XMATCH("*Tăng trưởng lợi nhuận sau thuế (YoY) (6M)*",Sheet4!$1:$1,2)),"")</f>
        <v>0</v>
      </c>
      <c r="Q875" s="10" cm="1">
        <f t="array" ref="Q875">IFERROR(INDEX(Sheet4!$2:$1605,MATCH(ChiTietKQKD[[#This Row],[Mã CP]],Sheet4!$B$2:$B$1605,0),_xlfn.XMATCH("*Tăng trưởng doanh thu thuần (QoQ)*",Sheet4!$1:$1,2)),"")</f>
        <v>0</v>
      </c>
      <c r="R875" s="10" cm="1">
        <f t="array" ref="R875">IFERROR(INDEX(Sheet4!$2:$1605,MATCH(ChiTietKQKD[[#This Row],[Mã CP]],Sheet4!$B$2:$B$1605,0),_xlfn.XMATCH("*Tăng trưởng lợi nhuận sau thuế (QoQ)*",Sheet4!$1:$1,2)),"")</f>
        <v>0</v>
      </c>
    </row>
    <row r="876" spans="1:18" x14ac:dyDescent="0.25">
      <c r="A876" s="7">
        <f>Sheet4!A855</f>
        <v>854</v>
      </c>
      <c r="B876" t="str">
        <f>Sheet4!B855</f>
        <v>CFV</v>
      </c>
      <c r="C876" t="str">
        <f>Sheet4!C854</f>
        <v>CFM Private Equity</v>
      </c>
      <c r="D876" t="str">
        <f>Sheet4!D855</f>
        <v>UPCoM</v>
      </c>
      <c r="E876" s="7">
        <f>Sheet4!AH855/1000000000</f>
        <v>215.05</v>
      </c>
      <c r="F876" t="str">
        <f>Sheet4!E855</f>
        <v>Hàng Tiêu dùng</v>
      </c>
      <c r="G876" t="str">
        <f>Sheet4!F855</f>
        <v>Thực phẩm và đồ uống</v>
      </c>
      <c r="H876" t="str">
        <f>Sheet4!G855</f>
        <v>Đồ uống &amp; giải khát</v>
      </c>
      <c r="I876" s="9" cm="1">
        <f t="array" ref="I87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139.89250155900001</v>
      </c>
      <c r="J876" s="9" t="str" cm="1">
        <f t="array" ref="J87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76" s="10" cm="1">
        <f t="array" ref="K87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76" s="10" cm="1">
        <f t="array" ref="L87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-8.8200000000000001E-2</v>
      </c>
      <c r="M876" s="9" cm="1">
        <f t="array" ref="M876">_xlfn.LET(_xlpm.val,IFERROR(INDEX(Sheet4!$2:$1605,MATCH(ChiTietKQKD[[#This Row],[Mã CP]],Sheet4!$B$2:$B$1605,0),_xlfn.XMATCH("*Lợi nhuận sau thuế*Q2*2026*",Sheet4!$1:$1,2)),0),IF(OR(_xlpm.val="",_xlpm.val=0),"",_xlpm.val/1000000000))</f>
        <v>1.213355516</v>
      </c>
      <c r="N876" s="9" t="str" cm="1">
        <f t="array" ref="N87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76" s="10" cm="1">
        <f t="array" ref="O876">IFERROR(INDEX(Sheet4!$2:$1605,MATCH(ChiTietKQKD[[#This Row],[Mã CP]],Sheet4!$B$2:$B$1605,0),_xlfn.XMATCH("*Tăng trưởng lợi nhuận sau thuế (YoY) (Quý*",Sheet4!$1:$1,2)),"")</f>
        <v>0</v>
      </c>
      <c r="P876" s="10" cm="1">
        <f t="array" ref="P876">IFERROR(INDEX(Sheet4!$2:$1605,MATCH(ChiTietKQKD[[#This Row],[Mã CP]],Sheet4!$B$2:$B$1605,0),_xlfn.XMATCH("*Tăng trưởng lợi nhuận sau thuế (YoY) (6M)*",Sheet4!$1:$1,2)),"")</f>
        <v>1.2243999999999999</v>
      </c>
      <c r="Q876" s="10" cm="1">
        <f t="array" ref="Q876">IFERROR(INDEX(Sheet4!$2:$1605,MATCH(ChiTietKQKD[[#This Row],[Mã CP]],Sheet4!$B$2:$B$1605,0),_xlfn.XMATCH("*Tăng trưởng doanh thu thuần (QoQ)*",Sheet4!$1:$1,2)),"")</f>
        <v>0</v>
      </c>
      <c r="R876" s="10" cm="1">
        <f t="array" ref="R876">IFERROR(INDEX(Sheet4!$2:$1605,MATCH(ChiTietKQKD[[#This Row],[Mã CP]],Sheet4!$B$2:$B$1605,0),_xlfn.XMATCH("*Tăng trưởng lợi nhuận sau thuế (QoQ)*",Sheet4!$1:$1,2)),"")</f>
        <v>0</v>
      </c>
    </row>
    <row r="877" spans="1:18" x14ac:dyDescent="0.25">
      <c r="A877" s="7">
        <f>Sheet4!A856</f>
        <v>855</v>
      </c>
      <c r="B877" t="str">
        <f>Sheet4!B856</f>
        <v>CGV</v>
      </c>
      <c r="C877" t="str">
        <f>Sheet4!C855</f>
        <v>Cà phê Thắng Lợi</v>
      </c>
      <c r="D877" t="str">
        <f>Sheet4!D856</f>
        <v>UPCoM</v>
      </c>
      <c r="E877" s="7">
        <f>Sheet4!AH856/1000000000</f>
        <v>29.30736426</v>
      </c>
      <c r="F877" t="str">
        <f>Sheet4!E856</f>
        <v>Công nghiệp</v>
      </c>
      <c r="G877" t="str">
        <f>Sheet4!F856</f>
        <v>Xây dựng và Vật liệu</v>
      </c>
      <c r="H877" t="str">
        <f>Sheet4!G856</f>
        <v>Vật liệu xây dựng &amp; Nội thất</v>
      </c>
      <c r="I877" s="9" t="str" cm="1">
        <f t="array" ref="I87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77" s="9" t="str" cm="1">
        <f t="array" ref="J87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77" s="10" cm="1">
        <f t="array" ref="K87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77" s="10" cm="1">
        <f t="array" ref="L87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77" s="9" t="str" cm="1">
        <f t="array" ref="M87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77" s="9" t="str" cm="1">
        <f t="array" ref="N87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77" s="10" cm="1">
        <f t="array" ref="O877">IFERROR(INDEX(Sheet4!$2:$1605,MATCH(ChiTietKQKD[[#This Row],[Mã CP]],Sheet4!$B$2:$B$1605,0),_xlfn.XMATCH("*Tăng trưởng lợi nhuận sau thuế (YoY) (Quý*",Sheet4!$1:$1,2)),"")</f>
        <v>0</v>
      </c>
      <c r="P877" s="10" cm="1">
        <f t="array" ref="P877">IFERROR(INDEX(Sheet4!$2:$1605,MATCH(ChiTietKQKD[[#This Row],[Mã CP]],Sheet4!$B$2:$B$1605,0),_xlfn.XMATCH("*Tăng trưởng lợi nhuận sau thuế (YoY) (6M)*",Sheet4!$1:$1,2)),"")</f>
        <v>0</v>
      </c>
      <c r="Q877" s="10" cm="1">
        <f t="array" ref="Q877">IFERROR(INDEX(Sheet4!$2:$1605,MATCH(ChiTietKQKD[[#This Row],[Mã CP]],Sheet4!$B$2:$B$1605,0),_xlfn.XMATCH("*Tăng trưởng doanh thu thuần (QoQ)*",Sheet4!$1:$1,2)),"")</f>
        <v>0</v>
      </c>
      <c r="R877" s="10" cm="1">
        <f t="array" ref="R877">IFERROR(INDEX(Sheet4!$2:$1605,MATCH(ChiTietKQKD[[#This Row],[Mã CP]],Sheet4!$B$2:$B$1605,0),_xlfn.XMATCH("*Tăng trưởng lợi nhuận sau thuế (QoQ)*",Sheet4!$1:$1,2)),"")</f>
        <v>0</v>
      </c>
    </row>
    <row r="878" spans="1:18" x14ac:dyDescent="0.25">
      <c r="A878" s="7">
        <f>Sheet4!A857</f>
        <v>856</v>
      </c>
      <c r="B878" t="str">
        <f>Sheet4!B857</f>
        <v>CH5</v>
      </c>
      <c r="C878" t="str">
        <f>Sheet4!C856</f>
        <v>Vinaceglass JSC</v>
      </c>
      <c r="D878" t="str">
        <f>Sheet4!D857</f>
        <v>UPCoM</v>
      </c>
      <c r="E878" s="7">
        <f>Sheet4!AH857/1000000000</f>
        <v>57.479730000000004</v>
      </c>
      <c r="F878" t="str">
        <f>Sheet4!E857</f>
        <v>Công nghiệp</v>
      </c>
      <c r="G878" t="str">
        <f>Sheet4!F857</f>
        <v>Xây dựng và Vật liệu</v>
      </c>
      <c r="H878" t="str">
        <f>Sheet4!G857</f>
        <v>Xây dựng</v>
      </c>
      <c r="I878" s="9" t="str" cm="1">
        <f t="array" ref="I87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78" s="9" t="str" cm="1">
        <f t="array" ref="J87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78" s="10" cm="1">
        <f t="array" ref="K87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78" s="10" cm="1">
        <f t="array" ref="L87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78" s="9" t="str" cm="1">
        <f t="array" ref="M87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78" s="9" t="str" cm="1">
        <f t="array" ref="N87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78" s="10" cm="1">
        <f t="array" ref="O878">IFERROR(INDEX(Sheet4!$2:$1605,MATCH(ChiTietKQKD[[#This Row],[Mã CP]],Sheet4!$B$2:$B$1605,0),_xlfn.XMATCH("*Tăng trưởng lợi nhuận sau thuế (YoY) (Quý*",Sheet4!$1:$1,2)),"")</f>
        <v>0</v>
      </c>
      <c r="P878" s="10" cm="1">
        <f t="array" ref="P878">IFERROR(INDEX(Sheet4!$2:$1605,MATCH(ChiTietKQKD[[#This Row],[Mã CP]],Sheet4!$B$2:$B$1605,0),_xlfn.XMATCH("*Tăng trưởng lợi nhuận sau thuế (YoY) (6M)*",Sheet4!$1:$1,2)),"")</f>
        <v>0</v>
      </c>
      <c r="Q878" s="10" cm="1">
        <f t="array" ref="Q878">IFERROR(INDEX(Sheet4!$2:$1605,MATCH(ChiTietKQKD[[#This Row],[Mã CP]],Sheet4!$B$2:$B$1605,0),_xlfn.XMATCH("*Tăng trưởng doanh thu thuần (QoQ)*",Sheet4!$1:$1,2)),"")</f>
        <v>0</v>
      </c>
      <c r="R878" s="10" cm="1">
        <f t="array" ref="R878">IFERROR(INDEX(Sheet4!$2:$1605,MATCH(ChiTietKQKD[[#This Row],[Mã CP]],Sheet4!$B$2:$B$1605,0),_xlfn.XMATCH("*Tăng trưởng lợi nhuận sau thuế (QoQ)*",Sheet4!$1:$1,2)),"")</f>
        <v>0</v>
      </c>
    </row>
    <row r="879" spans="1:18" x14ac:dyDescent="0.25">
      <c r="A879" s="7">
        <f>Sheet4!A858</f>
        <v>857</v>
      </c>
      <c r="B879" t="str">
        <f>Sheet4!B858</f>
        <v>CHC</v>
      </c>
      <c r="C879" t="str">
        <f>Sheet4!C857</f>
        <v>Xây dựng số 5 Hà Nội</v>
      </c>
      <c r="D879" t="str">
        <f>Sheet4!D858</f>
        <v>UPCoM</v>
      </c>
      <c r="E879" s="7">
        <f>Sheet4!AH858/1000000000</f>
        <v>43.082214399999998</v>
      </c>
      <c r="F879" t="str">
        <f>Sheet4!E858</f>
        <v>Công nghiệp</v>
      </c>
      <c r="G879" t="str">
        <f>Sheet4!F858</f>
        <v>Xây dựng và Vật liệu</v>
      </c>
      <c r="H879" t="str">
        <f>Sheet4!G858</f>
        <v>Vật liệu xây dựng &amp; Nội thất</v>
      </c>
      <c r="I879" s="9" t="str" cm="1">
        <f t="array" ref="I87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79" s="9" t="str" cm="1">
        <f t="array" ref="J87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79" s="10" cm="1">
        <f t="array" ref="K87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79" s="10" cm="1">
        <f t="array" ref="L87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79" s="9" t="str" cm="1">
        <f t="array" ref="M87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79" s="9" t="str" cm="1">
        <f t="array" ref="N87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79" s="10" cm="1">
        <f t="array" ref="O879">IFERROR(INDEX(Sheet4!$2:$1605,MATCH(ChiTietKQKD[[#This Row],[Mã CP]],Sheet4!$B$2:$B$1605,0),_xlfn.XMATCH("*Tăng trưởng lợi nhuận sau thuế (YoY) (Quý*",Sheet4!$1:$1,2)),"")</f>
        <v>0</v>
      </c>
      <c r="P879" s="10" cm="1">
        <f t="array" ref="P879">IFERROR(INDEX(Sheet4!$2:$1605,MATCH(ChiTietKQKD[[#This Row],[Mã CP]],Sheet4!$B$2:$B$1605,0),_xlfn.XMATCH("*Tăng trưởng lợi nhuận sau thuế (YoY) (6M)*",Sheet4!$1:$1,2)),"")</f>
        <v>0</v>
      </c>
      <c r="Q879" s="10" cm="1">
        <f t="array" ref="Q879">IFERROR(INDEX(Sheet4!$2:$1605,MATCH(ChiTietKQKD[[#This Row],[Mã CP]],Sheet4!$B$2:$B$1605,0),_xlfn.XMATCH("*Tăng trưởng doanh thu thuần (QoQ)*",Sheet4!$1:$1,2)),"")</f>
        <v>0</v>
      </c>
      <c r="R879" s="10" cm="1">
        <f t="array" ref="R879">IFERROR(INDEX(Sheet4!$2:$1605,MATCH(ChiTietKQKD[[#This Row],[Mã CP]],Sheet4!$B$2:$B$1605,0),_xlfn.XMATCH("*Tăng trưởng lợi nhuận sau thuế (QoQ)*",Sheet4!$1:$1,2)),"")</f>
        <v>0</v>
      </c>
    </row>
    <row r="880" spans="1:18" x14ac:dyDescent="0.25">
      <c r="A880" s="7">
        <f>Sheet4!A859</f>
        <v>858</v>
      </c>
      <c r="B880" t="str">
        <f>Sheet4!B859</f>
        <v>CHS</v>
      </c>
      <c r="C880" t="str">
        <f>Sheet4!C858</f>
        <v>Nội thất Cẩm Hà</v>
      </c>
      <c r="D880" t="str">
        <f>Sheet4!D859</f>
        <v>UPCoM</v>
      </c>
      <c r="E880" s="7">
        <f>Sheet4!AH859/1000000000</f>
        <v>278.32</v>
      </c>
      <c r="F880" t="str">
        <f>Sheet4!E859</f>
        <v>Tiện ích Cộng đồng</v>
      </c>
      <c r="G880" t="str">
        <f>Sheet4!F859</f>
        <v>Điện, nước &amp; xăng dầu khí đốt</v>
      </c>
      <c r="H880" t="str">
        <f>Sheet4!G859</f>
        <v>Tiện ích khác</v>
      </c>
      <c r="I880" s="9" t="str" cm="1">
        <f t="array" ref="I88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80" s="9" t="str" cm="1">
        <f t="array" ref="J88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80" s="10" cm="1">
        <f t="array" ref="K88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80" s="10" cm="1">
        <f t="array" ref="L88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80" s="9" t="str" cm="1">
        <f t="array" ref="M88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80" s="9" t="str" cm="1">
        <f t="array" ref="N88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80" s="10" cm="1">
        <f t="array" ref="O880">IFERROR(INDEX(Sheet4!$2:$1605,MATCH(ChiTietKQKD[[#This Row],[Mã CP]],Sheet4!$B$2:$B$1605,0),_xlfn.XMATCH("*Tăng trưởng lợi nhuận sau thuế (YoY) (Quý*",Sheet4!$1:$1,2)),"")</f>
        <v>0</v>
      </c>
      <c r="P880" s="10" cm="1">
        <f t="array" ref="P880">IFERROR(INDEX(Sheet4!$2:$1605,MATCH(ChiTietKQKD[[#This Row],[Mã CP]],Sheet4!$B$2:$B$1605,0),_xlfn.XMATCH("*Tăng trưởng lợi nhuận sau thuế (YoY) (6M)*",Sheet4!$1:$1,2)),"")</f>
        <v>0</v>
      </c>
      <c r="Q880" s="10" cm="1">
        <f t="array" ref="Q880">IFERROR(INDEX(Sheet4!$2:$1605,MATCH(ChiTietKQKD[[#This Row],[Mã CP]],Sheet4!$B$2:$B$1605,0),_xlfn.XMATCH("*Tăng trưởng doanh thu thuần (QoQ)*",Sheet4!$1:$1,2)),"")</f>
        <v>0</v>
      </c>
      <c r="R880" s="10" cm="1">
        <f t="array" ref="R880">IFERROR(INDEX(Sheet4!$2:$1605,MATCH(ChiTietKQKD[[#This Row],[Mã CP]],Sheet4!$B$2:$B$1605,0),_xlfn.XMATCH("*Tăng trưởng lợi nhuận sau thuế (QoQ)*",Sheet4!$1:$1,2)),"")</f>
        <v>0</v>
      </c>
    </row>
    <row r="881" spans="1:18" x14ac:dyDescent="0.25">
      <c r="A881" s="7">
        <f>Sheet4!A860</f>
        <v>859</v>
      </c>
      <c r="B881" t="str">
        <f>Sheet4!B860</f>
        <v>CI5</v>
      </c>
      <c r="C881" t="str">
        <f>Sheet4!C859</f>
        <v>Chiếu sáng TPHCM</v>
      </c>
      <c r="D881" t="str">
        <f>Sheet4!D860</f>
        <v>UPCoM</v>
      </c>
      <c r="E881" s="7">
        <f>Sheet4!AH860/1000000000</f>
        <v>9.4497269999999993</v>
      </c>
      <c r="F881" t="str">
        <f>Sheet4!E860</f>
        <v>Công nghiệp</v>
      </c>
      <c r="G881" t="str">
        <f>Sheet4!F860</f>
        <v>Xây dựng và Vật liệu</v>
      </c>
      <c r="H881" t="str">
        <f>Sheet4!G860</f>
        <v>Xây dựng</v>
      </c>
      <c r="I881" s="9" t="str" cm="1">
        <f t="array" ref="I88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81" s="9" t="str" cm="1">
        <f t="array" ref="J88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81" s="10" cm="1">
        <f t="array" ref="K88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81" s="10" cm="1">
        <f t="array" ref="L88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81" s="9" t="str" cm="1">
        <f t="array" ref="M88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81" s="9" t="str" cm="1">
        <f t="array" ref="N88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81" s="10" cm="1">
        <f t="array" ref="O881">IFERROR(INDEX(Sheet4!$2:$1605,MATCH(ChiTietKQKD[[#This Row],[Mã CP]],Sheet4!$B$2:$B$1605,0),_xlfn.XMATCH("*Tăng trưởng lợi nhuận sau thuế (YoY) (Quý*",Sheet4!$1:$1,2)),"")</f>
        <v>0</v>
      </c>
      <c r="P881" s="10" cm="1">
        <f t="array" ref="P881">IFERROR(INDEX(Sheet4!$2:$1605,MATCH(ChiTietKQKD[[#This Row],[Mã CP]],Sheet4!$B$2:$B$1605,0),_xlfn.XMATCH("*Tăng trưởng lợi nhuận sau thuế (YoY) (6M)*",Sheet4!$1:$1,2)),"")</f>
        <v>0</v>
      </c>
      <c r="Q881" s="10" cm="1">
        <f t="array" ref="Q881">IFERROR(INDEX(Sheet4!$2:$1605,MATCH(ChiTietKQKD[[#This Row],[Mã CP]],Sheet4!$B$2:$B$1605,0),_xlfn.XMATCH("*Tăng trưởng doanh thu thuần (QoQ)*",Sheet4!$1:$1,2)),"")</f>
        <v>0</v>
      </c>
      <c r="R881" s="10" cm="1">
        <f t="array" ref="R881">IFERROR(INDEX(Sheet4!$2:$1605,MATCH(ChiTietKQKD[[#This Row],[Mã CP]],Sheet4!$B$2:$B$1605,0),_xlfn.XMATCH("*Tăng trưởng lợi nhuận sau thuế (QoQ)*",Sheet4!$1:$1,2)),"")</f>
        <v>0</v>
      </c>
    </row>
    <row r="882" spans="1:18" x14ac:dyDescent="0.25">
      <c r="A882" s="7">
        <f>Sheet4!A861</f>
        <v>860</v>
      </c>
      <c r="B882" t="str">
        <f>Sheet4!B861</f>
        <v>CID</v>
      </c>
      <c r="C882" t="str">
        <f>Sheet4!C860</f>
        <v>Đầu tư Xây dựng số 5</v>
      </c>
      <c r="D882" t="str">
        <f>Sheet4!D861</f>
        <v>UPCoM</v>
      </c>
      <c r="E882" s="7">
        <f>Sheet4!AH861/1000000000</f>
        <v>7.0566000000000004</v>
      </c>
      <c r="F882" t="str">
        <f>Sheet4!E861</f>
        <v>Công nghiệp</v>
      </c>
      <c r="G882" t="str">
        <f>Sheet4!F861</f>
        <v>Xây dựng và Vật liệu</v>
      </c>
      <c r="H882" t="str">
        <f>Sheet4!G861</f>
        <v>Xây dựng</v>
      </c>
      <c r="I882" s="9" t="str" cm="1">
        <f t="array" ref="I88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82" s="9" t="str" cm="1">
        <f t="array" ref="J88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82" s="10" cm="1">
        <f t="array" ref="K88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82" s="10" cm="1">
        <f t="array" ref="L88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82" s="9" t="str" cm="1">
        <f t="array" ref="M88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82" s="9" t="str" cm="1">
        <f t="array" ref="N88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82" s="10" cm="1">
        <f t="array" ref="O882">IFERROR(INDEX(Sheet4!$2:$1605,MATCH(ChiTietKQKD[[#This Row],[Mã CP]],Sheet4!$B$2:$B$1605,0),_xlfn.XMATCH("*Tăng trưởng lợi nhuận sau thuế (YoY) (Quý*",Sheet4!$1:$1,2)),"")</f>
        <v>0</v>
      </c>
      <c r="P882" s="10" cm="1">
        <f t="array" ref="P882">IFERROR(INDEX(Sheet4!$2:$1605,MATCH(ChiTietKQKD[[#This Row],[Mã CP]],Sheet4!$B$2:$B$1605,0),_xlfn.XMATCH("*Tăng trưởng lợi nhuận sau thuế (YoY) (6M)*",Sheet4!$1:$1,2)),"")</f>
        <v>0</v>
      </c>
      <c r="Q882" s="10" cm="1">
        <f t="array" ref="Q882">IFERROR(INDEX(Sheet4!$2:$1605,MATCH(ChiTietKQKD[[#This Row],[Mã CP]],Sheet4!$B$2:$B$1605,0),_xlfn.XMATCH("*Tăng trưởng doanh thu thuần (QoQ)*",Sheet4!$1:$1,2)),"")</f>
        <v>0</v>
      </c>
      <c r="R882" s="10" cm="1">
        <f t="array" ref="R882">IFERROR(INDEX(Sheet4!$2:$1605,MATCH(ChiTietKQKD[[#This Row],[Mã CP]],Sheet4!$B$2:$B$1605,0),_xlfn.XMATCH("*Tăng trưởng lợi nhuận sau thuế (QoQ)*",Sheet4!$1:$1,2)),"")</f>
        <v>0</v>
      </c>
    </row>
    <row r="883" spans="1:18" x14ac:dyDescent="0.25">
      <c r="A883" s="7">
        <f>Sheet4!A862</f>
        <v>861</v>
      </c>
      <c r="B883" t="str">
        <f>Sheet4!B862</f>
        <v>CIP</v>
      </c>
      <c r="C883" t="str">
        <f>Sheet4!C861</f>
        <v>Xây dựng và Phát triển Cơ sở Hạ tầng</v>
      </c>
      <c r="D883" t="str">
        <f>Sheet4!D862</f>
        <v>UPCoM</v>
      </c>
      <c r="E883" s="7">
        <f>Sheet4!AH862/1000000000</f>
        <v>7.7264999999999997</v>
      </c>
      <c r="F883" t="str">
        <f>Sheet4!E862</f>
        <v>Công nghiệp</v>
      </c>
      <c r="G883" t="str">
        <f>Sheet4!F862</f>
        <v>Xây dựng và Vật liệu</v>
      </c>
      <c r="H883" t="str">
        <f>Sheet4!G862</f>
        <v>Xây dựng</v>
      </c>
      <c r="I883" s="9" t="str" cm="1">
        <f t="array" ref="I88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83" s="9" t="str" cm="1">
        <f t="array" ref="J88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83" s="10" cm="1">
        <f t="array" ref="K88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83" s="10" cm="1">
        <f t="array" ref="L88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83" s="9" t="str" cm="1">
        <f t="array" ref="M88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83" s="9" t="str" cm="1">
        <f t="array" ref="N88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83" s="10" cm="1">
        <f t="array" ref="O883">IFERROR(INDEX(Sheet4!$2:$1605,MATCH(ChiTietKQKD[[#This Row],[Mã CP]],Sheet4!$B$2:$B$1605,0),_xlfn.XMATCH("*Tăng trưởng lợi nhuận sau thuế (YoY) (Quý*",Sheet4!$1:$1,2)),"")</f>
        <v>0</v>
      </c>
      <c r="P883" s="10" cm="1">
        <f t="array" ref="P883">IFERROR(INDEX(Sheet4!$2:$1605,MATCH(ChiTietKQKD[[#This Row],[Mã CP]],Sheet4!$B$2:$B$1605,0),_xlfn.XMATCH("*Tăng trưởng lợi nhuận sau thuế (YoY) (6M)*",Sheet4!$1:$1,2)),"")</f>
        <v>0</v>
      </c>
      <c r="Q883" s="10" cm="1">
        <f t="array" ref="Q883">IFERROR(INDEX(Sheet4!$2:$1605,MATCH(ChiTietKQKD[[#This Row],[Mã CP]],Sheet4!$B$2:$B$1605,0),_xlfn.XMATCH("*Tăng trưởng doanh thu thuần (QoQ)*",Sheet4!$1:$1,2)),"")</f>
        <v>0</v>
      </c>
      <c r="R883" s="10" cm="1">
        <f t="array" ref="R883">IFERROR(INDEX(Sheet4!$2:$1605,MATCH(ChiTietKQKD[[#This Row],[Mã CP]],Sheet4!$B$2:$B$1605,0),_xlfn.XMATCH("*Tăng trưởng lợi nhuận sau thuế (QoQ)*",Sheet4!$1:$1,2)),"")</f>
        <v>0</v>
      </c>
    </row>
    <row r="884" spans="1:18" x14ac:dyDescent="0.25">
      <c r="A884" s="7">
        <f>Sheet4!A863</f>
        <v>862</v>
      </c>
      <c r="B884" t="str">
        <f>Sheet4!B863</f>
        <v>CK8</v>
      </c>
      <c r="C884" t="str">
        <f>Sheet4!C862</f>
        <v>XL và SX công nghiệp</v>
      </c>
      <c r="D884" t="str">
        <f>Sheet4!D863</f>
        <v>UPCoM</v>
      </c>
      <c r="E884" s="7">
        <f>Sheet4!AH863/1000000000</f>
        <v>16.8</v>
      </c>
      <c r="F884" t="str">
        <f>Sheet4!E863</f>
        <v>Tài chính</v>
      </c>
      <c r="G884" t="str">
        <f>Sheet4!F863</f>
        <v>Bất động sản</v>
      </c>
      <c r="H884" t="str">
        <f>Sheet4!G863</f>
        <v>Bất động sản</v>
      </c>
      <c r="I884" s="9" t="str" cm="1">
        <f t="array" ref="I88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84" s="9" t="str" cm="1">
        <f t="array" ref="J88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84" s="10" cm="1">
        <f t="array" ref="K88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84" s="10" cm="1">
        <f t="array" ref="L88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84" s="9" t="str" cm="1">
        <f t="array" ref="M88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84" s="9" t="str" cm="1">
        <f t="array" ref="N88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84" s="10" cm="1">
        <f t="array" ref="O884">IFERROR(INDEX(Sheet4!$2:$1605,MATCH(ChiTietKQKD[[#This Row],[Mã CP]],Sheet4!$B$2:$B$1605,0),_xlfn.XMATCH("*Tăng trưởng lợi nhuận sau thuế (YoY) (Quý*",Sheet4!$1:$1,2)),"")</f>
        <v>0</v>
      </c>
      <c r="P884" s="10" cm="1">
        <f t="array" ref="P884">IFERROR(INDEX(Sheet4!$2:$1605,MATCH(ChiTietKQKD[[#This Row],[Mã CP]],Sheet4!$B$2:$B$1605,0),_xlfn.XMATCH("*Tăng trưởng lợi nhuận sau thuế (YoY) (6M)*",Sheet4!$1:$1,2)),"")</f>
        <v>0</v>
      </c>
      <c r="Q884" s="10" cm="1">
        <f t="array" ref="Q884">IFERROR(INDEX(Sheet4!$2:$1605,MATCH(ChiTietKQKD[[#This Row],[Mã CP]],Sheet4!$B$2:$B$1605,0),_xlfn.XMATCH("*Tăng trưởng doanh thu thuần (QoQ)*",Sheet4!$1:$1,2)),"")</f>
        <v>0</v>
      </c>
      <c r="R884" s="10" cm="1">
        <f t="array" ref="R884">IFERROR(INDEX(Sheet4!$2:$1605,MATCH(ChiTietKQKD[[#This Row],[Mã CP]],Sheet4!$B$2:$B$1605,0),_xlfn.XMATCH("*Tăng trưởng lợi nhuận sau thuế (QoQ)*",Sheet4!$1:$1,2)),"")</f>
        <v>0</v>
      </c>
    </row>
    <row r="885" spans="1:18" x14ac:dyDescent="0.25">
      <c r="A885" s="7">
        <f>Sheet4!A864</f>
        <v>863</v>
      </c>
      <c r="B885" t="str">
        <f>Sheet4!B864</f>
        <v>CKA</v>
      </c>
      <c r="C885" t="str">
        <f>Sheet4!C863</f>
        <v>Cơ khí 120</v>
      </c>
      <c r="D885" t="str">
        <f>Sheet4!D864</f>
        <v>UPCoM</v>
      </c>
      <c r="E885" s="7">
        <f>Sheet4!AH864/1000000000</f>
        <v>215.22659795999999</v>
      </c>
      <c r="F885" t="str">
        <f>Sheet4!E864</f>
        <v>Công nghiệp</v>
      </c>
      <c r="G885" t="str">
        <f>Sheet4!F864</f>
        <v>Hàng &amp; Dịch vụ Công nghiệp</v>
      </c>
      <c r="H885" t="str">
        <f>Sheet4!G864</f>
        <v>Máy công nghiệp</v>
      </c>
      <c r="I885" s="9" t="str" cm="1">
        <f t="array" ref="I88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85" s="9" t="str" cm="1">
        <f t="array" ref="J88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85" s="10" cm="1">
        <f t="array" ref="K88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85" s="10" cm="1">
        <f t="array" ref="L88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85" s="9" t="str" cm="1">
        <f t="array" ref="M88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85" s="9" t="str" cm="1">
        <f t="array" ref="N88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85" s="10" cm="1">
        <f t="array" ref="O885">IFERROR(INDEX(Sheet4!$2:$1605,MATCH(ChiTietKQKD[[#This Row],[Mã CP]],Sheet4!$B$2:$B$1605,0),_xlfn.XMATCH("*Tăng trưởng lợi nhuận sau thuế (YoY) (Quý*",Sheet4!$1:$1,2)),"")</f>
        <v>0</v>
      </c>
      <c r="P885" s="10" cm="1">
        <f t="array" ref="P885">IFERROR(INDEX(Sheet4!$2:$1605,MATCH(ChiTietKQKD[[#This Row],[Mã CP]],Sheet4!$B$2:$B$1605,0),_xlfn.XMATCH("*Tăng trưởng lợi nhuận sau thuế (YoY) (6M)*",Sheet4!$1:$1,2)),"")</f>
        <v>0</v>
      </c>
      <c r="Q885" s="10" cm="1">
        <f t="array" ref="Q885">IFERROR(INDEX(Sheet4!$2:$1605,MATCH(ChiTietKQKD[[#This Row],[Mã CP]],Sheet4!$B$2:$B$1605,0),_xlfn.XMATCH("*Tăng trưởng doanh thu thuần (QoQ)*",Sheet4!$1:$1,2)),"")</f>
        <v>0</v>
      </c>
      <c r="R885" s="10" cm="1">
        <f t="array" ref="R885">IFERROR(INDEX(Sheet4!$2:$1605,MATCH(ChiTietKQKD[[#This Row],[Mã CP]],Sheet4!$B$2:$B$1605,0),_xlfn.XMATCH("*Tăng trưởng lợi nhuận sau thuế (QoQ)*",Sheet4!$1:$1,2)),"")</f>
        <v>0</v>
      </c>
    </row>
    <row r="886" spans="1:18" x14ac:dyDescent="0.25">
      <c r="A886" s="7">
        <f>Sheet4!A865</f>
        <v>864</v>
      </c>
      <c r="B886" t="str">
        <f>Sheet4!B865</f>
        <v>CKD</v>
      </c>
      <c r="C886" t="str">
        <f>Sheet4!C864</f>
        <v>Cơ khí An Giang</v>
      </c>
      <c r="D886" t="str">
        <f>Sheet4!D865</f>
        <v>UPCoM</v>
      </c>
      <c r="E886" s="7">
        <f>Sheet4!AH865/1000000000</f>
        <v>666.5</v>
      </c>
      <c r="F886" t="str">
        <f>Sheet4!E865</f>
        <v>Công nghiệp</v>
      </c>
      <c r="G886" t="str">
        <f>Sheet4!F865</f>
        <v>Hàng &amp; Dịch vụ Công nghiệp</v>
      </c>
      <c r="H886" t="str">
        <f>Sheet4!G865</f>
        <v>Máy công nghiệp</v>
      </c>
      <c r="I886" s="9" t="str" cm="1">
        <f t="array" ref="I88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86" s="9" t="str" cm="1">
        <f t="array" ref="J88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86" s="10" cm="1">
        <f t="array" ref="K88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86" s="10" cm="1">
        <f t="array" ref="L88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86" s="9" t="str" cm="1">
        <f t="array" ref="M88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86" s="9" t="str" cm="1">
        <f t="array" ref="N88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86" s="10" cm="1">
        <f t="array" ref="O886">IFERROR(INDEX(Sheet4!$2:$1605,MATCH(ChiTietKQKD[[#This Row],[Mã CP]],Sheet4!$B$2:$B$1605,0),_xlfn.XMATCH("*Tăng trưởng lợi nhuận sau thuế (YoY) (Quý*",Sheet4!$1:$1,2)),"")</f>
        <v>0</v>
      </c>
      <c r="P886" s="10" cm="1">
        <f t="array" ref="P886">IFERROR(INDEX(Sheet4!$2:$1605,MATCH(ChiTietKQKD[[#This Row],[Mã CP]],Sheet4!$B$2:$B$1605,0),_xlfn.XMATCH("*Tăng trưởng lợi nhuận sau thuế (YoY) (6M)*",Sheet4!$1:$1,2)),"")</f>
        <v>0</v>
      </c>
      <c r="Q886" s="10" cm="1">
        <f t="array" ref="Q886">IFERROR(INDEX(Sheet4!$2:$1605,MATCH(ChiTietKQKD[[#This Row],[Mã CP]],Sheet4!$B$2:$B$1605,0),_xlfn.XMATCH("*Tăng trưởng doanh thu thuần (QoQ)*",Sheet4!$1:$1,2)),"")</f>
        <v>0</v>
      </c>
      <c r="R886" s="10" cm="1">
        <f t="array" ref="R886">IFERROR(INDEX(Sheet4!$2:$1605,MATCH(ChiTietKQKD[[#This Row],[Mã CP]],Sheet4!$B$2:$B$1605,0),_xlfn.XMATCH("*Tăng trưởng lợi nhuận sau thuế (QoQ)*",Sheet4!$1:$1,2)),"")</f>
        <v>0</v>
      </c>
    </row>
    <row r="887" spans="1:18" x14ac:dyDescent="0.25">
      <c r="A887" s="7">
        <f>Sheet4!A866</f>
        <v>865</v>
      </c>
      <c r="B887" t="str">
        <f>Sheet4!B866</f>
        <v>CLI</v>
      </c>
      <c r="C887" t="str">
        <f>Sheet4!C865</f>
        <v>Đông Anh Licogi</v>
      </c>
      <c r="D887" t="str">
        <f>Sheet4!D866</f>
        <v>UPCoM</v>
      </c>
      <c r="E887" s="7">
        <f>Sheet4!AH866/1000000000</f>
        <v>2490.7872000000002</v>
      </c>
      <c r="F887" t="str">
        <f>Sheet4!E866</f>
        <v>Nguyên vật liệu</v>
      </c>
      <c r="G887" t="str">
        <f>Sheet4!F866</f>
        <v>Tài nguyên Cơ bản</v>
      </c>
      <c r="H887" t="str">
        <f>Sheet4!G866</f>
        <v>Kim Loại màu</v>
      </c>
      <c r="I887" s="9" t="str" cm="1">
        <f t="array" ref="I88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87" s="9" t="str" cm="1">
        <f t="array" ref="J88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87" s="10" cm="1">
        <f t="array" ref="K88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87" s="10" cm="1">
        <f t="array" ref="L88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87" s="9" t="str" cm="1">
        <f t="array" ref="M88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87" s="9" t="str" cm="1">
        <f t="array" ref="N88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87" s="10" cm="1">
        <f t="array" ref="O887">IFERROR(INDEX(Sheet4!$2:$1605,MATCH(ChiTietKQKD[[#This Row],[Mã CP]],Sheet4!$B$2:$B$1605,0),_xlfn.XMATCH("*Tăng trưởng lợi nhuận sau thuế (YoY) (Quý*",Sheet4!$1:$1,2)),"")</f>
        <v>0</v>
      </c>
      <c r="P887" s="10" cm="1">
        <f t="array" ref="P887">IFERROR(INDEX(Sheet4!$2:$1605,MATCH(ChiTietKQKD[[#This Row],[Mã CP]],Sheet4!$B$2:$B$1605,0),_xlfn.XMATCH("*Tăng trưởng lợi nhuận sau thuế (YoY) (6M)*",Sheet4!$1:$1,2)),"")</f>
        <v>0</v>
      </c>
      <c r="Q887" s="10" cm="1">
        <f t="array" ref="Q887">IFERROR(INDEX(Sheet4!$2:$1605,MATCH(ChiTietKQKD[[#This Row],[Mã CP]],Sheet4!$B$2:$B$1605,0),_xlfn.XMATCH("*Tăng trưởng doanh thu thuần (QoQ)*",Sheet4!$1:$1,2)),"")</f>
        <v>0</v>
      </c>
      <c r="R887" s="10" cm="1">
        <f t="array" ref="R887">IFERROR(INDEX(Sheet4!$2:$1605,MATCH(ChiTietKQKD[[#This Row],[Mã CP]],Sheet4!$B$2:$B$1605,0),_xlfn.XMATCH("*Tăng trưởng lợi nhuận sau thuế (QoQ)*",Sheet4!$1:$1,2)),"")</f>
        <v>0</v>
      </c>
    </row>
    <row r="888" spans="1:18" x14ac:dyDescent="0.25">
      <c r="A888" s="7">
        <f>Sheet4!A867</f>
        <v>866</v>
      </c>
      <c r="B888" t="str">
        <f>Sheet4!B867</f>
        <v>CLX</v>
      </c>
      <c r="C888" t="str">
        <f>Sheet4!C866</f>
        <v>Tập đoàn CNCTech</v>
      </c>
      <c r="D888" t="str">
        <f>Sheet4!D867</f>
        <v>UPCoM</v>
      </c>
      <c r="E888" s="7">
        <f>Sheet4!AH867/1000000000</f>
        <v>1133.1610000000001</v>
      </c>
      <c r="F888" t="str">
        <f>Sheet4!E867</f>
        <v>Hàng Tiêu dùng</v>
      </c>
      <c r="G888" t="str">
        <f>Sheet4!F867</f>
        <v>Thực phẩm và đồ uống</v>
      </c>
      <c r="H888" t="str">
        <f>Sheet4!G867</f>
        <v>Thực phẩm</v>
      </c>
      <c r="I888" s="9" t="str" cm="1">
        <f t="array" ref="I88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88" s="9" t="str" cm="1">
        <f t="array" ref="J88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88" s="10" cm="1">
        <f t="array" ref="K88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88" s="10" cm="1">
        <f t="array" ref="L88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88" s="9" t="str" cm="1">
        <f t="array" ref="M88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88" s="9" t="str" cm="1">
        <f t="array" ref="N88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88" s="10" cm="1">
        <f t="array" ref="O888">IFERROR(INDEX(Sheet4!$2:$1605,MATCH(ChiTietKQKD[[#This Row],[Mã CP]],Sheet4!$B$2:$B$1605,0),_xlfn.XMATCH("*Tăng trưởng lợi nhuận sau thuế (YoY) (Quý*",Sheet4!$1:$1,2)),"")</f>
        <v>0</v>
      </c>
      <c r="P888" s="10" cm="1">
        <f t="array" ref="P888">IFERROR(INDEX(Sheet4!$2:$1605,MATCH(ChiTietKQKD[[#This Row],[Mã CP]],Sheet4!$B$2:$B$1605,0),_xlfn.XMATCH("*Tăng trưởng lợi nhuận sau thuế (YoY) (6M)*",Sheet4!$1:$1,2)),"")</f>
        <v>0</v>
      </c>
      <c r="Q888" s="10" cm="1">
        <f t="array" ref="Q888">IFERROR(INDEX(Sheet4!$2:$1605,MATCH(ChiTietKQKD[[#This Row],[Mã CP]],Sheet4!$B$2:$B$1605,0),_xlfn.XMATCH("*Tăng trưởng doanh thu thuần (QoQ)*",Sheet4!$1:$1,2)),"")</f>
        <v>0</v>
      </c>
      <c r="R888" s="10" cm="1">
        <f t="array" ref="R888">IFERROR(INDEX(Sheet4!$2:$1605,MATCH(ChiTietKQKD[[#This Row],[Mã CP]],Sheet4!$B$2:$B$1605,0),_xlfn.XMATCH("*Tăng trưởng lợi nhuận sau thuế (QoQ)*",Sheet4!$1:$1,2)),"")</f>
        <v>0</v>
      </c>
    </row>
    <row r="889" spans="1:18" x14ac:dyDescent="0.25">
      <c r="A889" s="7">
        <f>Sheet4!A868</f>
        <v>867</v>
      </c>
      <c r="B889" t="str">
        <f>Sheet4!B868</f>
        <v>CMD</v>
      </c>
      <c r="C889" t="str">
        <f>Sheet4!C867</f>
        <v>XNK và ĐT Chợ Lớn (CHOLIMEX)</v>
      </c>
      <c r="D889" t="str">
        <f>Sheet4!D868</f>
        <v>UPCoM</v>
      </c>
      <c r="E889" s="7">
        <f>Sheet4!AH868/1000000000</f>
        <v>209.81399999999999</v>
      </c>
      <c r="F889" t="str">
        <f>Sheet4!E868</f>
        <v>Công nghiệp</v>
      </c>
      <c r="G889" t="str">
        <f>Sheet4!F868</f>
        <v>Xây dựng và Vật liệu</v>
      </c>
      <c r="H889" t="str">
        <f>Sheet4!G868</f>
        <v>Vật liệu xây dựng &amp; Nội thất</v>
      </c>
      <c r="I889" s="9" cm="1">
        <f t="array" ref="I88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277.17842449300002</v>
      </c>
      <c r="J889" s="9" cm="1">
        <f t="array" ref="J88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504.63007930999999</v>
      </c>
      <c r="K889" s="10" cm="1">
        <f t="array" ref="K88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0.28199999999999997</v>
      </c>
      <c r="L889" s="10" cm="1">
        <f t="array" ref="L88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0.35799999999999998</v>
      </c>
      <c r="M889" s="9" cm="1">
        <f t="array" ref="M889">_xlfn.LET(_xlpm.val,IFERROR(INDEX(Sheet4!$2:$1605,MATCH(ChiTietKQKD[[#This Row],[Mã CP]],Sheet4!$B$2:$B$1605,0),_xlfn.XMATCH("*Lợi nhuận sau thuế*Q2*2026*",Sheet4!$1:$1,2)),0),IF(OR(_xlpm.val="",_xlpm.val=0),"",_xlpm.val/1000000000))</f>
        <v>6.5952615369999998</v>
      </c>
      <c r="N889" s="9" cm="1">
        <f t="array" ref="N889">_xlfn.LET(_xlpm.val,IFERROR(INDEX(Sheet4!$2:$1605,MATCH(ChiTietKQKD[[#This Row],[Mã CP]],Sheet4!$B$2:$B$1605,0),_xlfn.XMATCH("*Lợi nhuận sau thuế*6 tháng*2026*",Sheet4!$1:$1,2)),0),IF(OR(_xlpm.val="",_xlpm.val=0),"",_xlpm.val/1000000000))</f>
        <v>15.448121538000001</v>
      </c>
      <c r="O889" s="10" cm="1">
        <f t="array" ref="O889">IFERROR(INDEX(Sheet4!$2:$1605,MATCH(ChiTietKQKD[[#This Row],[Mã CP]],Sheet4!$B$2:$B$1605,0),_xlfn.XMATCH("*Tăng trưởng lợi nhuận sau thuế (YoY) (Quý*",Sheet4!$1:$1,2)),"")</f>
        <v>0.1782</v>
      </c>
      <c r="P889" s="10" cm="1">
        <f t="array" ref="P889">IFERROR(INDEX(Sheet4!$2:$1605,MATCH(ChiTietKQKD[[#This Row],[Mã CP]],Sheet4!$B$2:$B$1605,0),_xlfn.XMATCH("*Tăng trưởng lợi nhuận sau thuế (YoY) (6M)*",Sheet4!$1:$1,2)),"")</f>
        <v>9.8000000000000004E-2</v>
      </c>
      <c r="Q889" s="10" cm="1">
        <f t="array" ref="Q889">IFERROR(INDEX(Sheet4!$2:$1605,MATCH(ChiTietKQKD[[#This Row],[Mã CP]],Sheet4!$B$2:$B$1605,0),_xlfn.XMATCH("*Tăng trưởng doanh thu thuần (QoQ)*",Sheet4!$1:$1,2)),"")</f>
        <v>0.21859999999999999</v>
      </c>
      <c r="R889" s="10" cm="1">
        <f t="array" ref="R889">IFERROR(INDEX(Sheet4!$2:$1605,MATCH(ChiTietKQKD[[#This Row],[Mã CP]],Sheet4!$B$2:$B$1605,0),_xlfn.XMATCH("*Tăng trưởng lợi nhuận sau thuế (QoQ)*",Sheet4!$1:$1,2)),"")</f>
        <v>-0.255</v>
      </c>
    </row>
    <row r="890" spans="1:18" x14ac:dyDescent="0.25">
      <c r="A890" s="7">
        <f>Sheet4!A869</f>
        <v>868</v>
      </c>
      <c r="B890" t="str">
        <f>Sheet4!B869</f>
        <v>CMF</v>
      </c>
      <c r="C890" t="str">
        <f>Sheet4!C868</f>
        <v>VLXD và Nội thất TP.HCM</v>
      </c>
      <c r="D890" t="str">
        <f>Sheet4!D869</f>
        <v>UPCoM</v>
      </c>
      <c r="E890" s="7">
        <f>Sheet4!AH869/1000000000</f>
        <v>3078</v>
      </c>
      <c r="F890" t="str">
        <f>Sheet4!E869</f>
        <v>Hàng Tiêu dùng</v>
      </c>
      <c r="G890" t="str">
        <f>Sheet4!F869</f>
        <v>Thực phẩm và đồ uống</v>
      </c>
      <c r="H890" t="str">
        <f>Sheet4!G869</f>
        <v>Thực phẩm</v>
      </c>
      <c r="I890" s="9" cm="1">
        <f t="array" ref="I89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1129.2242746879999</v>
      </c>
      <c r="J890" s="9" cm="1">
        <f t="array" ref="J89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2161.2458602800002</v>
      </c>
      <c r="K890" s="10" cm="1">
        <f t="array" ref="K89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0.15840000000000001</v>
      </c>
      <c r="L890" s="10" cm="1">
        <f t="array" ref="L89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0.1603</v>
      </c>
      <c r="M890" s="9" cm="1">
        <f t="array" ref="M890">_xlfn.LET(_xlpm.val,IFERROR(INDEX(Sheet4!$2:$1605,MATCH(ChiTietKQKD[[#This Row],[Mã CP]],Sheet4!$B$2:$B$1605,0),_xlfn.XMATCH("*Lợi nhuận sau thuế*Q2*2026*",Sheet4!$1:$1,2)),0),IF(OR(_xlpm.val="",_xlpm.val=0),"",_xlpm.val/1000000000))</f>
        <v>87.140894318999997</v>
      </c>
      <c r="N890" s="9" cm="1">
        <f t="array" ref="N890">_xlfn.LET(_xlpm.val,IFERROR(INDEX(Sheet4!$2:$1605,MATCH(ChiTietKQKD[[#This Row],[Mã CP]],Sheet4!$B$2:$B$1605,0),_xlfn.XMATCH("*Lợi nhuận sau thuế*6 tháng*2026*",Sheet4!$1:$1,2)),0),IF(OR(_xlpm.val="",_xlpm.val=0),"",_xlpm.val/1000000000))</f>
        <v>160.27568803299999</v>
      </c>
      <c r="O890" s="10" cm="1">
        <f t="array" ref="O890">IFERROR(INDEX(Sheet4!$2:$1605,MATCH(ChiTietKQKD[[#This Row],[Mã CP]],Sheet4!$B$2:$B$1605,0),_xlfn.XMATCH("*Tăng trưởng lợi nhuận sau thuế (YoY) (Quý*",Sheet4!$1:$1,2)),"")</f>
        <v>0.20669999999999999</v>
      </c>
      <c r="P890" s="10" cm="1">
        <f t="array" ref="P890">IFERROR(INDEX(Sheet4!$2:$1605,MATCH(ChiTietKQKD[[#This Row],[Mã CP]],Sheet4!$B$2:$B$1605,0),_xlfn.XMATCH("*Tăng trưởng lợi nhuận sau thuế (YoY) (6M)*",Sheet4!$1:$1,2)),"")</f>
        <v>0.17630000000000001</v>
      </c>
      <c r="Q890" s="10" cm="1">
        <f t="array" ref="Q890">IFERROR(INDEX(Sheet4!$2:$1605,MATCH(ChiTietKQKD[[#This Row],[Mã CP]],Sheet4!$B$2:$B$1605,0),_xlfn.XMATCH("*Tăng trưởng doanh thu thuần (QoQ)*",Sheet4!$1:$1,2)),"")</f>
        <v>9.4200000000000006E-2</v>
      </c>
      <c r="R890" s="10" cm="1">
        <f t="array" ref="R890">IFERROR(INDEX(Sheet4!$2:$1605,MATCH(ChiTietKQKD[[#This Row],[Mã CP]],Sheet4!$B$2:$B$1605,0),_xlfn.XMATCH("*Tăng trưởng lợi nhuận sau thuế (QoQ)*",Sheet4!$1:$1,2)),"")</f>
        <v>0.1915</v>
      </c>
    </row>
    <row r="891" spans="1:18" x14ac:dyDescent="0.25">
      <c r="A891" s="7">
        <f>Sheet4!A870</f>
        <v>869</v>
      </c>
      <c r="B891" t="str">
        <f>Sheet4!B870</f>
        <v>CMI</v>
      </c>
      <c r="C891" t="str">
        <f>Sheet4!C869</f>
        <v>Thực phẩm Cholimex</v>
      </c>
      <c r="D891" t="str">
        <f>Sheet4!D870</f>
        <v>UPCoM</v>
      </c>
      <c r="E891" s="7">
        <f>Sheet4!AH870/1000000000</f>
        <v>17.600000000000001</v>
      </c>
      <c r="F891" t="str">
        <f>Sheet4!E870</f>
        <v>Công nghiệp</v>
      </c>
      <c r="G891" t="str">
        <f>Sheet4!F870</f>
        <v>Xây dựng và Vật liệu</v>
      </c>
      <c r="H891" t="str">
        <f>Sheet4!G870</f>
        <v>Vật liệu xây dựng &amp; Nội thất</v>
      </c>
      <c r="I891" s="9" t="str" cm="1">
        <f t="array" ref="I89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91" s="9" t="str" cm="1">
        <f t="array" ref="J89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91" s="10" cm="1">
        <f t="array" ref="K89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91" s="10" cm="1">
        <f t="array" ref="L89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91" s="9" t="str" cm="1">
        <f t="array" ref="M89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91" s="9" t="str" cm="1">
        <f t="array" ref="N89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91" s="10" cm="1">
        <f t="array" ref="O891">IFERROR(INDEX(Sheet4!$2:$1605,MATCH(ChiTietKQKD[[#This Row],[Mã CP]],Sheet4!$B$2:$B$1605,0),_xlfn.XMATCH("*Tăng trưởng lợi nhuận sau thuế (YoY) (Quý*",Sheet4!$1:$1,2)),"")</f>
        <v>0</v>
      </c>
      <c r="P891" s="10" cm="1">
        <f t="array" ref="P891">IFERROR(INDEX(Sheet4!$2:$1605,MATCH(ChiTietKQKD[[#This Row],[Mã CP]],Sheet4!$B$2:$B$1605,0),_xlfn.XMATCH("*Tăng trưởng lợi nhuận sau thuế (YoY) (6M)*",Sheet4!$1:$1,2)),"")</f>
        <v>0</v>
      </c>
      <c r="Q891" s="10" cm="1">
        <f t="array" ref="Q891">IFERROR(INDEX(Sheet4!$2:$1605,MATCH(ChiTietKQKD[[#This Row],[Mã CP]],Sheet4!$B$2:$B$1605,0),_xlfn.XMATCH("*Tăng trưởng doanh thu thuần (QoQ)*",Sheet4!$1:$1,2)),"")</f>
        <v>0</v>
      </c>
      <c r="R891" s="10" cm="1">
        <f t="array" ref="R891">IFERROR(INDEX(Sheet4!$2:$1605,MATCH(ChiTietKQKD[[#This Row],[Mã CP]],Sheet4!$B$2:$B$1605,0),_xlfn.XMATCH("*Tăng trưởng lợi nhuận sau thuế (QoQ)*",Sheet4!$1:$1,2)),"")</f>
        <v>0</v>
      </c>
    </row>
    <row r="892" spans="1:18" x14ac:dyDescent="0.25">
      <c r="A892" s="7">
        <f>Sheet4!A871</f>
        <v>870</v>
      </c>
      <c r="B892" t="str">
        <f>Sheet4!B871</f>
        <v>CMK</v>
      </c>
      <c r="C892" t="str">
        <f>Sheet4!C870</f>
        <v>CMISTONE Việt Nam</v>
      </c>
      <c r="D892" t="str">
        <f>Sheet4!D871</f>
        <v>UPCoM</v>
      </c>
      <c r="E892" s="7">
        <f>Sheet4!AH871/1000000000</f>
        <v>11.1741084</v>
      </c>
      <c r="F892" t="str">
        <f>Sheet4!E871</f>
        <v>Công nghiệp</v>
      </c>
      <c r="G892" t="str">
        <f>Sheet4!F871</f>
        <v>Hàng &amp; Dịch vụ Công nghiệp</v>
      </c>
      <c r="H892" t="str">
        <f>Sheet4!G871</f>
        <v>Máy công nghiệp</v>
      </c>
      <c r="I892" s="9" t="str" cm="1">
        <f t="array" ref="I89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92" s="9" t="str" cm="1">
        <f t="array" ref="J89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92" s="10" cm="1">
        <f t="array" ref="K89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92" s="10" cm="1">
        <f t="array" ref="L89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92" s="9" t="str" cm="1">
        <f t="array" ref="M89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92" s="9" t="str" cm="1">
        <f t="array" ref="N89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92" s="10" cm="1">
        <f t="array" ref="O892">IFERROR(INDEX(Sheet4!$2:$1605,MATCH(ChiTietKQKD[[#This Row],[Mã CP]],Sheet4!$B$2:$B$1605,0),_xlfn.XMATCH("*Tăng trưởng lợi nhuận sau thuế (YoY) (Quý*",Sheet4!$1:$1,2)),"")</f>
        <v>0</v>
      </c>
      <c r="P892" s="10" cm="1">
        <f t="array" ref="P892">IFERROR(INDEX(Sheet4!$2:$1605,MATCH(ChiTietKQKD[[#This Row],[Mã CP]],Sheet4!$B$2:$B$1605,0),_xlfn.XMATCH("*Tăng trưởng lợi nhuận sau thuế (YoY) (6M)*",Sheet4!$1:$1,2)),"")</f>
        <v>0</v>
      </c>
      <c r="Q892" s="10" cm="1">
        <f t="array" ref="Q892">IFERROR(INDEX(Sheet4!$2:$1605,MATCH(ChiTietKQKD[[#This Row],[Mã CP]],Sheet4!$B$2:$B$1605,0),_xlfn.XMATCH("*Tăng trưởng doanh thu thuần (QoQ)*",Sheet4!$1:$1,2)),"")</f>
        <v>0</v>
      </c>
      <c r="R892" s="10" cm="1">
        <f t="array" ref="R892">IFERROR(INDEX(Sheet4!$2:$1605,MATCH(ChiTietKQKD[[#This Row],[Mã CP]],Sheet4!$B$2:$B$1605,0),_xlfn.XMATCH("*Tăng trưởng lợi nhuận sau thuế (QoQ)*",Sheet4!$1:$1,2)),"")</f>
        <v>0</v>
      </c>
    </row>
    <row r="893" spans="1:18" x14ac:dyDescent="0.25">
      <c r="A893" s="7">
        <f>Sheet4!A872</f>
        <v>871</v>
      </c>
      <c r="B893" t="str">
        <f>Sheet4!B872</f>
        <v>CMM</v>
      </c>
      <c r="C893" t="str">
        <f>Sheet4!C871</f>
        <v>Cơ khí Mạo Khê - Vinacomin</v>
      </c>
      <c r="D893" t="str">
        <f>Sheet4!D872</f>
        <v>UPCoM</v>
      </c>
      <c r="E893" s="7">
        <f>Sheet4!AH872/1000000000</f>
        <v>1791.5699634</v>
      </c>
      <c r="F893" t="str">
        <f>Sheet4!E872</f>
        <v>Hàng Tiêu dùng</v>
      </c>
      <c r="G893" t="str">
        <f>Sheet4!F872</f>
        <v>Thực phẩm và đồ uống</v>
      </c>
      <c r="H893" t="str">
        <f>Sheet4!G872</f>
        <v>Thực phẩm</v>
      </c>
      <c r="I893" s="9" t="str" cm="1">
        <f t="array" ref="I89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93" s="9" t="str" cm="1">
        <f t="array" ref="J89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93" s="10" cm="1">
        <f t="array" ref="K89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93" s="10" cm="1">
        <f t="array" ref="L89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93" s="9" t="str" cm="1">
        <f t="array" ref="M89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93" s="9" t="str" cm="1">
        <f t="array" ref="N89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93" s="10" cm="1">
        <f t="array" ref="O893">IFERROR(INDEX(Sheet4!$2:$1605,MATCH(ChiTietKQKD[[#This Row],[Mã CP]],Sheet4!$B$2:$B$1605,0),_xlfn.XMATCH("*Tăng trưởng lợi nhuận sau thuế (YoY) (Quý*",Sheet4!$1:$1,2)),"")</f>
        <v>0</v>
      </c>
      <c r="P893" s="10" cm="1">
        <f t="array" ref="P893">IFERROR(INDEX(Sheet4!$2:$1605,MATCH(ChiTietKQKD[[#This Row],[Mã CP]],Sheet4!$B$2:$B$1605,0),_xlfn.XMATCH("*Tăng trưởng lợi nhuận sau thuế (YoY) (6M)*",Sheet4!$1:$1,2)),"")</f>
        <v>0</v>
      </c>
      <c r="Q893" s="10" cm="1">
        <f t="array" ref="Q893">IFERROR(INDEX(Sheet4!$2:$1605,MATCH(ChiTietKQKD[[#This Row],[Mã CP]],Sheet4!$B$2:$B$1605,0),_xlfn.XMATCH("*Tăng trưởng doanh thu thuần (QoQ)*",Sheet4!$1:$1,2)),"")</f>
        <v>0</v>
      </c>
      <c r="R893" s="10" cm="1">
        <f t="array" ref="R893">IFERROR(INDEX(Sheet4!$2:$1605,MATCH(ChiTietKQKD[[#This Row],[Mã CP]],Sheet4!$B$2:$B$1605,0),_xlfn.XMATCH("*Tăng trưởng lợi nhuận sau thuế (QoQ)*",Sheet4!$1:$1,2)),"")</f>
        <v>0</v>
      </c>
    </row>
    <row r="894" spans="1:18" x14ac:dyDescent="0.25">
      <c r="A894" s="7">
        <f>Sheet4!A873</f>
        <v>872</v>
      </c>
      <c r="B894" t="str">
        <f>Sheet4!B873</f>
        <v>CMN</v>
      </c>
      <c r="C894" t="str">
        <f>Sheet4!C872</f>
        <v>Camimex</v>
      </c>
      <c r="D894" t="str">
        <f>Sheet4!D873</f>
        <v>UPCoM</v>
      </c>
      <c r="E894" s="7">
        <f>Sheet4!AH873/1000000000</f>
        <v>319.9248</v>
      </c>
      <c r="F894" t="str">
        <f>Sheet4!E873</f>
        <v>Hàng Tiêu dùng</v>
      </c>
      <c r="G894" t="str">
        <f>Sheet4!F873</f>
        <v>Thực phẩm và đồ uống</v>
      </c>
      <c r="H894" t="str">
        <f>Sheet4!G873</f>
        <v>Thực phẩm</v>
      </c>
      <c r="I894" s="9" t="str" cm="1">
        <f t="array" ref="I89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94" s="9" t="str" cm="1">
        <f t="array" ref="J89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94" s="10" cm="1">
        <f t="array" ref="K89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94" s="10" cm="1">
        <f t="array" ref="L89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94" s="9" t="str" cm="1">
        <f t="array" ref="M89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94" s="9" t="str" cm="1">
        <f t="array" ref="N89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94" s="10" cm="1">
        <f t="array" ref="O894">IFERROR(INDEX(Sheet4!$2:$1605,MATCH(ChiTietKQKD[[#This Row],[Mã CP]],Sheet4!$B$2:$B$1605,0),_xlfn.XMATCH("*Tăng trưởng lợi nhuận sau thuế (YoY) (Quý*",Sheet4!$1:$1,2)),"")</f>
        <v>0</v>
      </c>
      <c r="P894" s="10" cm="1">
        <f t="array" ref="P894">IFERROR(INDEX(Sheet4!$2:$1605,MATCH(ChiTietKQKD[[#This Row],[Mã CP]],Sheet4!$B$2:$B$1605,0),_xlfn.XMATCH("*Tăng trưởng lợi nhuận sau thuế (YoY) (6M)*",Sheet4!$1:$1,2)),"")</f>
        <v>0</v>
      </c>
      <c r="Q894" s="10" cm="1">
        <f t="array" ref="Q894">IFERROR(INDEX(Sheet4!$2:$1605,MATCH(ChiTietKQKD[[#This Row],[Mã CP]],Sheet4!$B$2:$B$1605,0),_xlfn.XMATCH("*Tăng trưởng doanh thu thuần (QoQ)*",Sheet4!$1:$1,2)),"")</f>
        <v>0</v>
      </c>
      <c r="R894" s="10" cm="1">
        <f t="array" ref="R894">IFERROR(INDEX(Sheet4!$2:$1605,MATCH(ChiTietKQKD[[#This Row],[Mã CP]],Sheet4!$B$2:$B$1605,0),_xlfn.XMATCH("*Tăng trưởng lợi nhuận sau thuế (QoQ)*",Sheet4!$1:$1,2)),"")</f>
        <v>0</v>
      </c>
    </row>
    <row r="895" spans="1:18" x14ac:dyDescent="0.25">
      <c r="A895" s="7">
        <f>Sheet4!A874</f>
        <v>873</v>
      </c>
      <c r="B895" t="str">
        <f>Sheet4!B874</f>
        <v>CMP</v>
      </c>
      <c r="C895" t="str">
        <f>Sheet4!C873</f>
        <v>Colusa -  Miliket</v>
      </c>
      <c r="D895" t="str">
        <f>Sheet4!D874</f>
        <v>UPCoM</v>
      </c>
      <c r="E895" s="7">
        <f>Sheet4!AH874/1000000000</f>
        <v>259.24331999999998</v>
      </c>
      <c r="F895" t="str">
        <f>Sheet4!E874</f>
        <v>Công nghiệp</v>
      </c>
      <c r="G895" t="str">
        <f>Sheet4!F874</f>
        <v>Hàng &amp; Dịch vụ Công nghiệp</v>
      </c>
      <c r="H895" t="str">
        <f>Sheet4!G874</f>
        <v>Kho bãi, hậu cần và bảo dưỡng</v>
      </c>
      <c r="I895" s="9" t="str" cm="1">
        <f t="array" ref="I89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95" s="9" t="str" cm="1">
        <f t="array" ref="J89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95" s="10" cm="1">
        <f t="array" ref="K89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95" s="10" cm="1">
        <f t="array" ref="L89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95" s="9" t="str" cm="1">
        <f t="array" ref="M89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95" s="9" t="str" cm="1">
        <f t="array" ref="N89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95" s="10" cm="1">
        <f t="array" ref="O895">IFERROR(INDEX(Sheet4!$2:$1605,MATCH(ChiTietKQKD[[#This Row],[Mã CP]],Sheet4!$B$2:$B$1605,0),_xlfn.XMATCH("*Tăng trưởng lợi nhuận sau thuế (YoY) (Quý*",Sheet4!$1:$1,2)),"")</f>
        <v>0</v>
      </c>
      <c r="P895" s="10" cm="1">
        <f t="array" ref="P895">IFERROR(INDEX(Sheet4!$2:$1605,MATCH(ChiTietKQKD[[#This Row],[Mã CP]],Sheet4!$B$2:$B$1605,0),_xlfn.XMATCH("*Tăng trưởng lợi nhuận sau thuế (YoY) (6M)*",Sheet4!$1:$1,2)),"")</f>
        <v>0</v>
      </c>
      <c r="Q895" s="10" cm="1">
        <f t="array" ref="Q895">IFERROR(INDEX(Sheet4!$2:$1605,MATCH(ChiTietKQKD[[#This Row],[Mã CP]],Sheet4!$B$2:$B$1605,0),_xlfn.XMATCH("*Tăng trưởng doanh thu thuần (QoQ)*",Sheet4!$1:$1,2)),"")</f>
        <v>0</v>
      </c>
      <c r="R895" s="10" cm="1">
        <f t="array" ref="R895">IFERROR(INDEX(Sheet4!$2:$1605,MATCH(ChiTietKQKD[[#This Row],[Mã CP]],Sheet4!$B$2:$B$1605,0),_xlfn.XMATCH("*Tăng trưởng lợi nhuận sau thuế (QoQ)*",Sheet4!$1:$1,2)),"")</f>
        <v>0</v>
      </c>
    </row>
    <row r="896" spans="1:18" x14ac:dyDescent="0.25">
      <c r="A896" s="7">
        <f>Sheet4!A875</f>
        <v>874</v>
      </c>
      <c r="B896" t="str">
        <f>Sheet4!B875</f>
        <v>CMT</v>
      </c>
      <c r="C896" t="str">
        <f>Sheet4!C874</f>
        <v>Cảng Chân Mây</v>
      </c>
      <c r="D896" t="str">
        <f>Sheet4!D875</f>
        <v>UPCoM</v>
      </c>
      <c r="E896" s="7">
        <f>Sheet4!AH875/1000000000</f>
        <v>80.783358000000007</v>
      </c>
      <c r="F896" t="str">
        <f>Sheet4!E875</f>
        <v>Công nghệ Thông tin</v>
      </c>
      <c r="G896" t="str">
        <f>Sheet4!F875</f>
        <v>Công nghệ Thông tin</v>
      </c>
      <c r="H896" t="str">
        <f>Sheet4!G875</f>
        <v>Phần mềm</v>
      </c>
      <c r="I896" s="9" t="str" cm="1">
        <f t="array" ref="I89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96" s="9" t="str" cm="1">
        <f t="array" ref="J89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96" s="10" cm="1">
        <f t="array" ref="K89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96" s="10" cm="1">
        <f t="array" ref="L89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96" s="9" t="str" cm="1">
        <f t="array" ref="M89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96" s="9" t="str" cm="1">
        <f t="array" ref="N89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96" s="10" cm="1">
        <f t="array" ref="O896">IFERROR(INDEX(Sheet4!$2:$1605,MATCH(ChiTietKQKD[[#This Row],[Mã CP]],Sheet4!$B$2:$B$1605,0),_xlfn.XMATCH("*Tăng trưởng lợi nhuận sau thuế (YoY) (Quý*",Sheet4!$1:$1,2)),"")</f>
        <v>0</v>
      </c>
      <c r="P896" s="10" cm="1">
        <f t="array" ref="P896">IFERROR(INDEX(Sheet4!$2:$1605,MATCH(ChiTietKQKD[[#This Row],[Mã CP]],Sheet4!$B$2:$B$1605,0),_xlfn.XMATCH("*Tăng trưởng lợi nhuận sau thuế (YoY) (6M)*",Sheet4!$1:$1,2)),"")</f>
        <v>0</v>
      </c>
      <c r="Q896" s="10" cm="1">
        <f t="array" ref="Q896">IFERROR(INDEX(Sheet4!$2:$1605,MATCH(ChiTietKQKD[[#This Row],[Mã CP]],Sheet4!$B$2:$B$1605,0),_xlfn.XMATCH("*Tăng trưởng doanh thu thuần (QoQ)*",Sheet4!$1:$1,2)),"")</f>
        <v>0</v>
      </c>
      <c r="R896" s="10" cm="1">
        <f t="array" ref="R896">IFERROR(INDEX(Sheet4!$2:$1605,MATCH(ChiTietKQKD[[#This Row],[Mã CP]],Sheet4!$B$2:$B$1605,0),_xlfn.XMATCH("*Tăng trưởng lợi nhuận sau thuế (QoQ)*",Sheet4!$1:$1,2)),"")</f>
        <v>0</v>
      </c>
    </row>
    <row r="897" spans="1:18" x14ac:dyDescent="0.25">
      <c r="A897" s="7">
        <f>Sheet4!A876</f>
        <v>875</v>
      </c>
      <c r="B897" t="str">
        <f>Sheet4!B876</f>
        <v>CMW</v>
      </c>
      <c r="C897" t="str">
        <f>Sheet4!C875</f>
        <v>CN mạng và Truyền thông</v>
      </c>
      <c r="D897" t="str">
        <f>Sheet4!D876</f>
        <v>UPCoM</v>
      </c>
      <c r="E897" s="7">
        <f>Sheet4!AH876/1000000000</f>
        <v>201.9537</v>
      </c>
      <c r="F897" t="str">
        <f>Sheet4!E876</f>
        <v>Tiện ích Cộng đồng</v>
      </c>
      <c r="G897" t="str">
        <f>Sheet4!F876</f>
        <v>Điện, nước &amp; xăng dầu khí đốt</v>
      </c>
      <c r="H897" t="str">
        <f>Sheet4!G876</f>
        <v>Nước</v>
      </c>
      <c r="I897" s="9" cm="1">
        <f t="array" ref="I89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42.492423291000001</v>
      </c>
      <c r="J897" s="9" cm="1">
        <f t="array" ref="J89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83.154684502999999</v>
      </c>
      <c r="K897" s="10" cm="1">
        <f t="array" ref="K89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6.0100000000000001E-2</v>
      </c>
      <c r="L897" s="10" cm="1">
        <f t="array" ref="L89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6.9500000000000006E-2</v>
      </c>
      <c r="M897" s="9" cm="1">
        <f t="array" ref="M897">_xlfn.LET(_xlpm.val,IFERROR(INDEX(Sheet4!$2:$1605,MATCH(ChiTietKQKD[[#This Row],[Mã CP]],Sheet4!$B$2:$B$1605,0),_xlfn.XMATCH("*Lợi nhuận sau thuế*Q2*2026*",Sheet4!$1:$1,2)),0),IF(OR(_xlpm.val="",_xlpm.val=0),"",_xlpm.val/1000000000))</f>
        <v>4.6741819490000003</v>
      </c>
      <c r="N897" s="9" cm="1">
        <f t="array" ref="N897">_xlfn.LET(_xlpm.val,IFERROR(INDEX(Sheet4!$2:$1605,MATCH(ChiTietKQKD[[#This Row],[Mã CP]],Sheet4!$B$2:$B$1605,0),_xlfn.XMATCH("*Lợi nhuận sau thuế*6 tháng*2026*",Sheet4!$1:$1,2)),0),IF(OR(_xlpm.val="",_xlpm.val=0),"",_xlpm.val/1000000000))</f>
        <v>10.702016517000001</v>
      </c>
      <c r="O897" s="10" cm="1">
        <f t="array" ref="O897">IFERROR(INDEX(Sheet4!$2:$1605,MATCH(ChiTietKQKD[[#This Row],[Mã CP]],Sheet4!$B$2:$B$1605,0),_xlfn.XMATCH("*Tăng trưởng lợi nhuận sau thuế (YoY) (Quý*",Sheet4!$1:$1,2)),"")</f>
        <v>-0.2157</v>
      </c>
      <c r="P897" s="10" cm="1">
        <f t="array" ref="P897">IFERROR(INDEX(Sheet4!$2:$1605,MATCH(ChiTietKQKD[[#This Row],[Mã CP]],Sheet4!$B$2:$B$1605,0),_xlfn.XMATCH("*Tăng trưởng lợi nhuận sau thuế (YoY) (6M)*",Sheet4!$1:$1,2)),"")</f>
        <v>-6.7100000000000007E-2</v>
      </c>
      <c r="Q897" s="10" cm="1">
        <f t="array" ref="Q897">IFERROR(INDEX(Sheet4!$2:$1605,MATCH(ChiTietKQKD[[#This Row],[Mã CP]],Sheet4!$B$2:$B$1605,0),_xlfn.XMATCH("*Tăng trưởng doanh thu thuần (QoQ)*",Sheet4!$1:$1,2)),"")</f>
        <v>4.4999999999999998E-2</v>
      </c>
      <c r="R897" s="10" cm="1">
        <f t="array" ref="R897">IFERROR(INDEX(Sheet4!$2:$1605,MATCH(ChiTietKQKD[[#This Row],[Mã CP]],Sheet4!$B$2:$B$1605,0),_xlfn.XMATCH("*Tăng trưởng lợi nhuận sau thuế (QoQ)*",Sheet4!$1:$1,2)),"")</f>
        <v>-0.22459999999999999</v>
      </c>
    </row>
    <row r="898" spans="1:18" x14ac:dyDescent="0.25">
      <c r="A898" s="7">
        <f>Sheet4!A877</f>
        <v>876</v>
      </c>
      <c r="B898" t="str">
        <f>Sheet4!B877</f>
        <v>CNA</v>
      </c>
      <c r="C898" t="str">
        <f>Sheet4!C876</f>
        <v>Cấp nước Cà Mau</v>
      </c>
      <c r="D898" t="str">
        <f>Sheet4!D877</f>
        <v>UPCoM</v>
      </c>
      <c r="E898" s="7">
        <f>Sheet4!AH877/1000000000</f>
        <v>149.94286450000001</v>
      </c>
      <c r="F898" t="str">
        <f>Sheet4!E877</f>
        <v>Hàng Tiêu dùng</v>
      </c>
      <c r="G898" t="str">
        <f>Sheet4!F877</f>
        <v>Thực phẩm và đồ uống</v>
      </c>
      <c r="H898" t="str">
        <f>Sheet4!G877</f>
        <v>Nuôi trồng nông &amp; hải sản</v>
      </c>
      <c r="I898" s="9" t="str" cm="1">
        <f t="array" ref="I89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98" s="9" t="str" cm="1">
        <f t="array" ref="J89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98" s="10" cm="1">
        <f t="array" ref="K89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98" s="10" cm="1">
        <f t="array" ref="L89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98" s="9" t="str" cm="1">
        <f t="array" ref="M89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98" s="9" t="str" cm="1">
        <f t="array" ref="N89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98" s="10" cm="1">
        <f t="array" ref="O898">IFERROR(INDEX(Sheet4!$2:$1605,MATCH(ChiTietKQKD[[#This Row],[Mã CP]],Sheet4!$B$2:$B$1605,0),_xlfn.XMATCH("*Tăng trưởng lợi nhuận sau thuế (YoY) (Quý*",Sheet4!$1:$1,2)),"")</f>
        <v>0</v>
      </c>
      <c r="P898" s="10" cm="1">
        <f t="array" ref="P898">IFERROR(INDEX(Sheet4!$2:$1605,MATCH(ChiTietKQKD[[#This Row],[Mã CP]],Sheet4!$B$2:$B$1605,0),_xlfn.XMATCH("*Tăng trưởng lợi nhuận sau thuế (YoY) (6M)*",Sheet4!$1:$1,2)),"")</f>
        <v>0</v>
      </c>
      <c r="Q898" s="10" cm="1">
        <f t="array" ref="Q898">IFERROR(INDEX(Sheet4!$2:$1605,MATCH(ChiTietKQKD[[#This Row],[Mã CP]],Sheet4!$B$2:$B$1605,0),_xlfn.XMATCH("*Tăng trưởng doanh thu thuần (QoQ)*",Sheet4!$1:$1,2)),"")</f>
        <v>0</v>
      </c>
      <c r="R898" s="10" cm="1">
        <f t="array" ref="R898">IFERROR(INDEX(Sheet4!$2:$1605,MATCH(ChiTietKQKD[[#This Row],[Mã CP]],Sheet4!$B$2:$B$1605,0),_xlfn.XMATCH("*Tăng trưởng lợi nhuận sau thuế (QoQ)*",Sheet4!$1:$1,2)),"")</f>
        <v>0</v>
      </c>
    </row>
    <row r="899" spans="1:18" x14ac:dyDescent="0.25">
      <c r="A899" s="7">
        <f>Sheet4!A878</f>
        <v>877</v>
      </c>
      <c r="B899" t="str">
        <f>Sheet4!B878</f>
        <v>CNC</v>
      </c>
      <c r="C899" t="str">
        <f>Sheet4!C877</f>
        <v>Tổng công ty Chè Nghệ An - CTCP</v>
      </c>
      <c r="D899" t="str">
        <f>Sheet4!D878</f>
        <v>UPCoM</v>
      </c>
      <c r="E899" s="7">
        <f>Sheet4!AH878/1000000000</f>
        <v>336.80450002499998</v>
      </c>
      <c r="F899" t="str">
        <f>Sheet4!E878</f>
        <v>Dược phẩm và Y tế</v>
      </c>
      <c r="G899" t="str">
        <f>Sheet4!F878</f>
        <v>Y tế</v>
      </c>
      <c r="H899" t="str">
        <f>Sheet4!G878</f>
        <v>Dược phẩm</v>
      </c>
      <c r="I899" s="9" t="str" cm="1">
        <f t="array" ref="I89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899" s="9" t="str" cm="1">
        <f t="array" ref="J89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899" s="10" cm="1">
        <f t="array" ref="K89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899" s="10" cm="1">
        <f t="array" ref="L89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899" s="9" t="str" cm="1">
        <f t="array" ref="M89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899" s="9" t="str" cm="1">
        <f t="array" ref="N89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899" s="10" cm="1">
        <f t="array" ref="O899">IFERROR(INDEX(Sheet4!$2:$1605,MATCH(ChiTietKQKD[[#This Row],[Mã CP]],Sheet4!$B$2:$B$1605,0),_xlfn.XMATCH("*Tăng trưởng lợi nhuận sau thuế (YoY) (Quý*",Sheet4!$1:$1,2)),"")</f>
        <v>0</v>
      </c>
      <c r="P899" s="10" cm="1">
        <f t="array" ref="P899">IFERROR(INDEX(Sheet4!$2:$1605,MATCH(ChiTietKQKD[[#This Row],[Mã CP]],Sheet4!$B$2:$B$1605,0),_xlfn.XMATCH("*Tăng trưởng lợi nhuận sau thuế (YoY) (6M)*",Sheet4!$1:$1,2)),"")</f>
        <v>0</v>
      </c>
      <c r="Q899" s="10" cm="1">
        <f t="array" ref="Q899">IFERROR(INDEX(Sheet4!$2:$1605,MATCH(ChiTietKQKD[[#This Row],[Mã CP]],Sheet4!$B$2:$B$1605,0),_xlfn.XMATCH("*Tăng trưởng doanh thu thuần (QoQ)*",Sheet4!$1:$1,2)),"")</f>
        <v>0</v>
      </c>
      <c r="R899" s="10" cm="1">
        <f t="array" ref="R899">IFERROR(INDEX(Sheet4!$2:$1605,MATCH(ChiTietKQKD[[#This Row],[Mã CP]],Sheet4!$B$2:$B$1605,0),_xlfn.XMATCH("*Tăng trưởng lợi nhuận sau thuế (QoQ)*",Sheet4!$1:$1,2)),"")</f>
        <v>0</v>
      </c>
    </row>
    <row r="900" spans="1:18" x14ac:dyDescent="0.25">
      <c r="A900" s="7">
        <f>Sheet4!A879</f>
        <v>878</v>
      </c>
      <c r="B900" t="str">
        <f>Sheet4!B879</f>
        <v>CNN</v>
      </c>
      <c r="C900" t="str">
        <f>Sheet4!C878</f>
        <v>Công nghệ cao Traphaco</v>
      </c>
      <c r="D900" t="str">
        <f>Sheet4!D879</f>
        <v>UPCoM</v>
      </c>
      <c r="E900" s="7">
        <f>Sheet4!AH879/1000000000</f>
        <v>440</v>
      </c>
      <c r="F900" t="str">
        <f>Sheet4!E879</f>
        <v>Công nghiệp</v>
      </c>
      <c r="G900" t="str">
        <f>Sheet4!F879</f>
        <v>Xây dựng và Vật liệu</v>
      </c>
      <c r="H900" t="str">
        <f>Sheet4!G879</f>
        <v>Xây dựng</v>
      </c>
      <c r="I900" s="9" t="str" cm="1">
        <f t="array" ref="I90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00" s="9" t="str" cm="1">
        <f t="array" ref="J90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00" s="10" cm="1">
        <f t="array" ref="K90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00" s="10" cm="1">
        <f t="array" ref="L90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00" s="9" t="str" cm="1">
        <f t="array" ref="M90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00" s="9" t="str" cm="1">
        <f t="array" ref="N90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00" s="10" cm="1">
        <f t="array" ref="O900">IFERROR(INDEX(Sheet4!$2:$1605,MATCH(ChiTietKQKD[[#This Row],[Mã CP]],Sheet4!$B$2:$B$1605,0),_xlfn.XMATCH("*Tăng trưởng lợi nhuận sau thuế (YoY) (Quý*",Sheet4!$1:$1,2)),"")</f>
        <v>0</v>
      </c>
      <c r="P900" s="10" cm="1">
        <f t="array" ref="P900">IFERROR(INDEX(Sheet4!$2:$1605,MATCH(ChiTietKQKD[[#This Row],[Mã CP]],Sheet4!$B$2:$B$1605,0),_xlfn.XMATCH("*Tăng trưởng lợi nhuận sau thuế (YoY) (6M)*",Sheet4!$1:$1,2)),"")</f>
        <v>0</v>
      </c>
      <c r="Q900" s="10" cm="1">
        <f t="array" ref="Q900">IFERROR(INDEX(Sheet4!$2:$1605,MATCH(ChiTietKQKD[[#This Row],[Mã CP]],Sheet4!$B$2:$B$1605,0),_xlfn.XMATCH("*Tăng trưởng doanh thu thuần (QoQ)*",Sheet4!$1:$1,2)),"")</f>
        <v>0</v>
      </c>
      <c r="R900" s="10" cm="1">
        <f t="array" ref="R900">IFERROR(INDEX(Sheet4!$2:$1605,MATCH(ChiTietKQKD[[#This Row],[Mã CP]],Sheet4!$B$2:$B$1605,0),_xlfn.XMATCH("*Tăng trưởng lợi nhuận sau thuế (QoQ)*",Sheet4!$1:$1,2)),"")</f>
        <v>0</v>
      </c>
    </row>
    <row r="901" spans="1:18" x14ac:dyDescent="0.25">
      <c r="A901" s="7">
        <f>Sheet4!A880</f>
        <v>879</v>
      </c>
      <c r="B901" t="str">
        <f>Sheet4!B880</f>
        <v>CNT</v>
      </c>
      <c r="C901" t="str">
        <f>Sheet4!C879</f>
        <v>Xây dựng Coninco</v>
      </c>
      <c r="D901" t="str">
        <f>Sheet4!D880</f>
        <v>UPCoM</v>
      </c>
      <c r="E901" s="7">
        <f>Sheet4!AH880/1000000000</f>
        <v>366.12958479999998</v>
      </c>
      <c r="F901" t="str">
        <f>Sheet4!E880</f>
        <v>Tài chính</v>
      </c>
      <c r="G901" t="str">
        <f>Sheet4!F880</f>
        <v>Bất động sản</v>
      </c>
      <c r="H901" t="str">
        <f>Sheet4!G880</f>
        <v>Bất động sản</v>
      </c>
      <c r="I901" s="9" t="str" cm="1">
        <f t="array" ref="I90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01" s="9" t="str" cm="1">
        <f t="array" ref="J90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01" s="10" cm="1">
        <f t="array" ref="K90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01" s="10" cm="1">
        <f t="array" ref="L90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01" s="9" t="str" cm="1">
        <f t="array" ref="M90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01" s="9" t="str" cm="1">
        <f t="array" ref="N90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01" s="10" cm="1">
        <f t="array" ref="O901">IFERROR(INDEX(Sheet4!$2:$1605,MATCH(ChiTietKQKD[[#This Row],[Mã CP]],Sheet4!$B$2:$B$1605,0),_xlfn.XMATCH("*Tăng trưởng lợi nhuận sau thuế (YoY) (Quý*",Sheet4!$1:$1,2)),"")</f>
        <v>0</v>
      </c>
      <c r="P901" s="10" cm="1">
        <f t="array" ref="P901">IFERROR(INDEX(Sheet4!$2:$1605,MATCH(ChiTietKQKD[[#This Row],[Mã CP]],Sheet4!$B$2:$B$1605,0),_xlfn.XMATCH("*Tăng trưởng lợi nhuận sau thuế (YoY) (6M)*",Sheet4!$1:$1,2)),"")</f>
        <v>0</v>
      </c>
      <c r="Q901" s="10" cm="1">
        <f t="array" ref="Q901">IFERROR(INDEX(Sheet4!$2:$1605,MATCH(ChiTietKQKD[[#This Row],[Mã CP]],Sheet4!$B$2:$B$1605,0),_xlfn.XMATCH("*Tăng trưởng doanh thu thuần (QoQ)*",Sheet4!$1:$1,2)),"")</f>
        <v>0</v>
      </c>
      <c r="R901" s="10" cm="1">
        <f t="array" ref="R901">IFERROR(INDEX(Sheet4!$2:$1605,MATCH(ChiTietKQKD[[#This Row],[Mã CP]],Sheet4!$B$2:$B$1605,0),_xlfn.XMATCH("*Tăng trưởng lợi nhuận sau thuế (QoQ)*",Sheet4!$1:$1,2)),"")</f>
        <v>0</v>
      </c>
    </row>
    <row r="902" spans="1:18" x14ac:dyDescent="0.25">
      <c r="A902" s="7">
        <f>Sheet4!A881</f>
        <v>880</v>
      </c>
      <c r="B902" t="str">
        <f>Sheet4!B881</f>
        <v>CPA</v>
      </c>
      <c r="C902" t="str">
        <f>Sheet4!C880</f>
        <v>Tập đoàn CNT</v>
      </c>
      <c r="D902" t="str">
        <f>Sheet4!D881</f>
        <v>UPCoM</v>
      </c>
      <c r="E902" s="7">
        <f>Sheet4!AH881/1000000000</f>
        <v>207.926312</v>
      </c>
      <c r="F902" t="str">
        <f>Sheet4!E881</f>
        <v>Hàng Tiêu dùng</v>
      </c>
      <c r="G902" t="str">
        <f>Sheet4!F881</f>
        <v>Thực phẩm và đồ uống</v>
      </c>
      <c r="H902" t="str">
        <f>Sheet4!G881</f>
        <v>Đồ uống &amp; giải khát</v>
      </c>
      <c r="I902" s="9" t="str" cm="1">
        <f t="array" ref="I90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02" s="9" t="str" cm="1">
        <f t="array" ref="J90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02" s="10" cm="1">
        <f t="array" ref="K90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02" s="10" cm="1">
        <f t="array" ref="L90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02" s="9" t="str" cm="1">
        <f t="array" ref="M90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02" s="9" t="str" cm="1">
        <f t="array" ref="N90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02" s="10" cm="1">
        <f t="array" ref="O902">IFERROR(INDEX(Sheet4!$2:$1605,MATCH(ChiTietKQKD[[#This Row],[Mã CP]],Sheet4!$B$2:$B$1605,0),_xlfn.XMATCH("*Tăng trưởng lợi nhuận sau thuế (YoY) (Quý*",Sheet4!$1:$1,2)),"")</f>
        <v>0</v>
      </c>
      <c r="P902" s="10" cm="1">
        <f t="array" ref="P902">IFERROR(INDEX(Sheet4!$2:$1605,MATCH(ChiTietKQKD[[#This Row],[Mã CP]],Sheet4!$B$2:$B$1605,0),_xlfn.XMATCH("*Tăng trưởng lợi nhuận sau thuế (YoY) (6M)*",Sheet4!$1:$1,2)),"")</f>
        <v>0</v>
      </c>
      <c r="Q902" s="10" cm="1">
        <f t="array" ref="Q902">IFERROR(INDEX(Sheet4!$2:$1605,MATCH(ChiTietKQKD[[#This Row],[Mã CP]],Sheet4!$B$2:$B$1605,0),_xlfn.XMATCH("*Tăng trưởng doanh thu thuần (QoQ)*",Sheet4!$1:$1,2)),"")</f>
        <v>0</v>
      </c>
      <c r="R902" s="10" cm="1">
        <f t="array" ref="R902">IFERROR(INDEX(Sheet4!$2:$1605,MATCH(ChiTietKQKD[[#This Row],[Mã CP]],Sheet4!$B$2:$B$1605,0),_xlfn.XMATCH("*Tăng trưởng lợi nhuận sau thuế (QoQ)*",Sheet4!$1:$1,2)),"")</f>
        <v>0</v>
      </c>
    </row>
    <row r="903" spans="1:18" x14ac:dyDescent="0.25">
      <c r="A903" s="7">
        <f>Sheet4!A882</f>
        <v>881</v>
      </c>
      <c r="B903" t="str">
        <f>Sheet4!B882</f>
        <v>CPH</v>
      </c>
      <c r="C903" t="str">
        <f>Sheet4!C881</f>
        <v>Cà phê Phước An</v>
      </c>
      <c r="D903" t="str">
        <f>Sheet4!D882</f>
        <v>UPCoM</v>
      </c>
      <c r="E903" s="7">
        <f>Sheet4!AH882/1000000000</f>
        <v>1.32</v>
      </c>
      <c r="F903" t="str">
        <f>Sheet4!E882</f>
        <v>Dịch vụ Tiêu dùng</v>
      </c>
      <c r="G903" t="str">
        <f>Sheet4!F882</f>
        <v>Bán lẻ</v>
      </c>
      <c r="H903" t="str">
        <f>Sheet4!G882</f>
        <v>Dịch vụ tiêu dùng chuyên ngành</v>
      </c>
      <c r="I903" s="9" t="str" cm="1">
        <f t="array" ref="I90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03" s="9" t="str" cm="1">
        <f t="array" ref="J90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03" s="10" cm="1">
        <f t="array" ref="K90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03" s="10" cm="1">
        <f t="array" ref="L90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03" s="9" t="str" cm="1">
        <f t="array" ref="M90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03" s="9" t="str" cm="1">
        <f t="array" ref="N90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03" s="10" cm="1">
        <f t="array" ref="O903">IFERROR(INDEX(Sheet4!$2:$1605,MATCH(ChiTietKQKD[[#This Row],[Mã CP]],Sheet4!$B$2:$B$1605,0),_xlfn.XMATCH("*Tăng trưởng lợi nhuận sau thuế (YoY) (Quý*",Sheet4!$1:$1,2)),"")</f>
        <v>0</v>
      </c>
      <c r="P903" s="10" cm="1">
        <f t="array" ref="P903">IFERROR(INDEX(Sheet4!$2:$1605,MATCH(ChiTietKQKD[[#This Row],[Mã CP]],Sheet4!$B$2:$B$1605,0),_xlfn.XMATCH("*Tăng trưởng lợi nhuận sau thuế (YoY) (6M)*",Sheet4!$1:$1,2)),"")</f>
        <v>0</v>
      </c>
      <c r="Q903" s="10" cm="1">
        <f t="array" ref="Q903">IFERROR(INDEX(Sheet4!$2:$1605,MATCH(ChiTietKQKD[[#This Row],[Mã CP]],Sheet4!$B$2:$B$1605,0),_xlfn.XMATCH("*Tăng trưởng doanh thu thuần (QoQ)*",Sheet4!$1:$1,2)),"")</f>
        <v>0</v>
      </c>
      <c r="R903" s="10" cm="1">
        <f t="array" ref="R903">IFERROR(INDEX(Sheet4!$2:$1605,MATCH(ChiTietKQKD[[#This Row],[Mã CP]],Sheet4!$B$2:$B$1605,0),_xlfn.XMATCH("*Tăng trưởng lợi nhuận sau thuế (QoQ)*",Sheet4!$1:$1,2)),"")</f>
        <v>0</v>
      </c>
    </row>
    <row r="904" spans="1:18" x14ac:dyDescent="0.25">
      <c r="A904" s="7">
        <f>Sheet4!A883</f>
        <v>882</v>
      </c>
      <c r="B904" t="str">
        <f>Sheet4!B883</f>
        <v>CPI</v>
      </c>
      <c r="C904" t="str">
        <f>Sheet4!C882</f>
        <v>PV mai táng Hải Phòng</v>
      </c>
      <c r="D904" t="str">
        <f>Sheet4!D883</f>
        <v>UPCoM</v>
      </c>
      <c r="E904" s="7">
        <f>Sheet4!AH883/1000000000</f>
        <v>215.37950000000001</v>
      </c>
      <c r="F904" t="str">
        <f>Sheet4!E883</f>
        <v>Công nghiệp</v>
      </c>
      <c r="G904" t="str">
        <f>Sheet4!F883</f>
        <v>Hàng &amp; Dịch vụ Công nghiệp</v>
      </c>
      <c r="H904" t="str">
        <f>Sheet4!G883</f>
        <v>Kho bãi, hậu cần và bảo dưỡng</v>
      </c>
      <c r="I904" s="9" t="str" cm="1">
        <f t="array" ref="I90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04" s="9" t="str" cm="1">
        <f t="array" ref="J90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04" s="10" cm="1">
        <f t="array" ref="K90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04" s="10" cm="1">
        <f t="array" ref="L90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04" s="9" t="str" cm="1">
        <f t="array" ref="M90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04" s="9" t="str" cm="1">
        <f t="array" ref="N90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04" s="10" cm="1">
        <f t="array" ref="O904">IFERROR(INDEX(Sheet4!$2:$1605,MATCH(ChiTietKQKD[[#This Row],[Mã CP]],Sheet4!$B$2:$B$1605,0),_xlfn.XMATCH("*Tăng trưởng lợi nhuận sau thuế (YoY) (Quý*",Sheet4!$1:$1,2)),"")</f>
        <v>0</v>
      </c>
      <c r="P904" s="10" cm="1">
        <f t="array" ref="P904">IFERROR(INDEX(Sheet4!$2:$1605,MATCH(ChiTietKQKD[[#This Row],[Mã CP]],Sheet4!$B$2:$B$1605,0),_xlfn.XMATCH("*Tăng trưởng lợi nhuận sau thuế (YoY) (6M)*",Sheet4!$1:$1,2)),"")</f>
        <v>0</v>
      </c>
      <c r="Q904" s="10" cm="1">
        <f t="array" ref="Q904">IFERROR(INDEX(Sheet4!$2:$1605,MATCH(ChiTietKQKD[[#This Row],[Mã CP]],Sheet4!$B$2:$B$1605,0),_xlfn.XMATCH("*Tăng trưởng doanh thu thuần (QoQ)*",Sheet4!$1:$1,2)),"")</f>
        <v>0</v>
      </c>
      <c r="R904" s="10" cm="1">
        <f t="array" ref="R904">IFERROR(INDEX(Sheet4!$2:$1605,MATCH(ChiTietKQKD[[#This Row],[Mã CP]],Sheet4!$B$2:$B$1605,0),_xlfn.XMATCH("*Tăng trưởng lợi nhuận sau thuế (QoQ)*",Sheet4!$1:$1,2)),"")</f>
        <v>0</v>
      </c>
    </row>
    <row r="905" spans="1:18" x14ac:dyDescent="0.25">
      <c r="A905" s="7">
        <f>Sheet4!A884</f>
        <v>883</v>
      </c>
      <c r="B905" t="str">
        <f>Sheet4!B884</f>
        <v>CQN</v>
      </c>
      <c r="C905" t="str">
        <f>Sheet4!C883</f>
        <v>Đầu tư Cảng Cái Lân</v>
      </c>
      <c r="D905" t="str">
        <f>Sheet4!D884</f>
        <v>UPCoM</v>
      </c>
      <c r="E905" s="7">
        <f>Sheet4!AH884/1000000000</f>
        <v>2241.5914884479998</v>
      </c>
      <c r="F905" t="str">
        <f>Sheet4!E884</f>
        <v>Công nghiệp</v>
      </c>
      <c r="G905" t="str">
        <f>Sheet4!F884</f>
        <v>Hàng &amp; Dịch vụ Công nghiệp</v>
      </c>
      <c r="H905" t="str">
        <f>Sheet4!G884</f>
        <v>Kho bãi, hậu cần và bảo dưỡng</v>
      </c>
      <c r="I905" s="9" t="str" cm="1">
        <f t="array" ref="I90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05" s="9" t="str" cm="1">
        <f t="array" ref="J90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05" s="10" cm="1">
        <f t="array" ref="K90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05" s="10" cm="1">
        <f t="array" ref="L90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05" s="9" t="str" cm="1">
        <f t="array" ref="M90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05" s="9" t="str" cm="1">
        <f t="array" ref="N90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05" s="10" cm="1">
        <f t="array" ref="O905">IFERROR(INDEX(Sheet4!$2:$1605,MATCH(ChiTietKQKD[[#This Row],[Mã CP]],Sheet4!$B$2:$B$1605,0),_xlfn.XMATCH("*Tăng trưởng lợi nhuận sau thuế (YoY) (Quý*",Sheet4!$1:$1,2)),"")</f>
        <v>0</v>
      </c>
      <c r="P905" s="10" cm="1">
        <f t="array" ref="P905">IFERROR(INDEX(Sheet4!$2:$1605,MATCH(ChiTietKQKD[[#This Row],[Mã CP]],Sheet4!$B$2:$B$1605,0),_xlfn.XMATCH("*Tăng trưởng lợi nhuận sau thuế (YoY) (6M)*",Sheet4!$1:$1,2)),"")</f>
        <v>0</v>
      </c>
      <c r="Q905" s="10" cm="1">
        <f t="array" ref="Q905">IFERROR(INDEX(Sheet4!$2:$1605,MATCH(ChiTietKQKD[[#This Row],[Mã CP]],Sheet4!$B$2:$B$1605,0),_xlfn.XMATCH("*Tăng trưởng doanh thu thuần (QoQ)*",Sheet4!$1:$1,2)),"")</f>
        <v>0</v>
      </c>
      <c r="R905" s="10" cm="1">
        <f t="array" ref="R905">IFERROR(INDEX(Sheet4!$2:$1605,MATCH(ChiTietKQKD[[#This Row],[Mã CP]],Sheet4!$B$2:$B$1605,0),_xlfn.XMATCH("*Tăng trưởng lợi nhuận sau thuế (QoQ)*",Sheet4!$1:$1,2)),"")</f>
        <v>0</v>
      </c>
    </row>
    <row r="906" spans="1:18" x14ac:dyDescent="0.25">
      <c r="A906" s="7">
        <f>Sheet4!A885</f>
        <v>884</v>
      </c>
      <c r="B906" t="str">
        <f>Sheet4!B885</f>
        <v>CQT</v>
      </c>
      <c r="C906" t="str">
        <f>Sheet4!C884</f>
        <v>Cảng Quảng Ninh</v>
      </c>
      <c r="D906" t="str">
        <f>Sheet4!D885</f>
        <v>UPCoM</v>
      </c>
      <c r="E906" s="7">
        <f>Sheet4!AH885/1000000000</f>
        <v>162.5</v>
      </c>
      <c r="F906" t="str">
        <f>Sheet4!E885</f>
        <v>Công nghiệp</v>
      </c>
      <c r="G906" t="str">
        <f>Sheet4!F885</f>
        <v>Xây dựng và Vật liệu</v>
      </c>
      <c r="H906" t="str">
        <f>Sheet4!G885</f>
        <v>Vật liệu xây dựng &amp; Nội thất</v>
      </c>
      <c r="I906" s="9" t="str" cm="1">
        <f t="array" ref="I90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06" s="9" t="str" cm="1">
        <f t="array" ref="J90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06" s="10" cm="1">
        <f t="array" ref="K90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06" s="10" cm="1">
        <f t="array" ref="L90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06" s="9" t="str" cm="1">
        <f t="array" ref="M90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06" s="9" t="str" cm="1">
        <f t="array" ref="N90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06" s="10" cm="1">
        <f t="array" ref="O906">IFERROR(INDEX(Sheet4!$2:$1605,MATCH(ChiTietKQKD[[#This Row],[Mã CP]],Sheet4!$B$2:$B$1605,0),_xlfn.XMATCH("*Tăng trưởng lợi nhuận sau thuế (YoY) (Quý*",Sheet4!$1:$1,2)),"")</f>
        <v>0</v>
      </c>
      <c r="P906" s="10" cm="1">
        <f t="array" ref="P906">IFERROR(INDEX(Sheet4!$2:$1605,MATCH(ChiTietKQKD[[#This Row],[Mã CP]],Sheet4!$B$2:$B$1605,0),_xlfn.XMATCH("*Tăng trưởng lợi nhuận sau thuế (YoY) (6M)*",Sheet4!$1:$1,2)),"")</f>
        <v>0</v>
      </c>
      <c r="Q906" s="10" cm="1">
        <f t="array" ref="Q906">IFERROR(INDEX(Sheet4!$2:$1605,MATCH(ChiTietKQKD[[#This Row],[Mã CP]],Sheet4!$B$2:$B$1605,0),_xlfn.XMATCH("*Tăng trưởng doanh thu thuần (QoQ)*",Sheet4!$1:$1,2)),"")</f>
        <v>0</v>
      </c>
      <c r="R906" s="10" cm="1">
        <f t="array" ref="R906">IFERROR(INDEX(Sheet4!$2:$1605,MATCH(ChiTietKQKD[[#This Row],[Mã CP]],Sheet4!$B$2:$B$1605,0),_xlfn.XMATCH("*Tăng trưởng lợi nhuận sau thuế (QoQ)*",Sheet4!$1:$1,2)),"")</f>
        <v>0</v>
      </c>
    </row>
    <row r="907" spans="1:18" x14ac:dyDescent="0.25">
      <c r="A907" s="7">
        <f>Sheet4!A886</f>
        <v>885</v>
      </c>
      <c r="B907" t="str">
        <f>Sheet4!B886</f>
        <v>CSI</v>
      </c>
      <c r="C907" t="str">
        <f>Sheet4!C885</f>
        <v>Xi măng Quán Triều VVMI</v>
      </c>
      <c r="D907" t="str">
        <f>Sheet4!D886</f>
        <v>UPCoM</v>
      </c>
      <c r="E907" s="7">
        <f>Sheet4!AH886/1000000000</f>
        <v>263.76</v>
      </c>
      <c r="F907" t="str">
        <f>Sheet4!E886</f>
        <v>Tài chính</v>
      </c>
      <c r="G907" t="str">
        <f>Sheet4!F886</f>
        <v>Dịch vụ tài chính</v>
      </c>
      <c r="H907" t="str">
        <f>Sheet4!G886</f>
        <v>Môi giới chứng khoán</v>
      </c>
      <c r="I907" s="9" cm="1">
        <f t="array" ref="I90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17.410545719000002</v>
      </c>
      <c r="J907" s="9" cm="1">
        <f t="array" ref="J90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32.944620184999998</v>
      </c>
      <c r="K907" s="10" cm="1">
        <f t="array" ref="K90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-0.42359999999999998</v>
      </c>
      <c r="L907" s="10" cm="1">
        <f t="array" ref="L90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-9.3600000000000003E-2</v>
      </c>
      <c r="M907" s="9" cm="1">
        <f t="array" ref="M907">_xlfn.LET(_xlpm.val,IFERROR(INDEX(Sheet4!$2:$1605,MATCH(ChiTietKQKD[[#This Row],[Mã CP]],Sheet4!$B$2:$B$1605,0),_xlfn.XMATCH("*Lợi nhuận sau thuế*Q2*2026*",Sheet4!$1:$1,2)),0),IF(OR(_xlpm.val="",_xlpm.val=0),"",_xlpm.val/1000000000))</f>
        <v>-2.987688602</v>
      </c>
      <c r="N907" s="9" cm="1">
        <f t="array" ref="N907">_xlfn.LET(_xlpm.val,IFERROR(INDEX(Sheet4!$2:$1605,MATCH(ChiTietKQKD[[#This Row],[Mã CP]],Sheet4!$B$2:$B$1605,0),_xlfn.XMATCH("*Lợi nhuận sau thuế*6 tháng*2026*",Sheet4!$1:$1,2)),0),IF(OR(_xlpm.val="",_xlpm.val=0),"",_xlpm.val/1000000000))</f>
        <v>-11.758162567999999</v>
      </c>
      <c r="O907" s="10" cm="1">
        <f t="array" ref="O907">IFERROR(INDEX(Sheet4!$2:$1605,MATCH(ChiTietKQKD[[#This Row],[Mã CP]],Sheet4!$B$2:$B$1605,0),_xlfn.XMATCH("*Tăng trưởng lợi nhuận sau thuế (YoY) (Quý*",Sheet4!$1:$1,2)),"")</f>
        <v>-1.3239000000000001</v>
      </c>
      <c r="P907" s="10" cm="1">
        <f t="array" ref="P907">IFERROR(INDEX(Sheet4!$2:$1605,MATCH(ChiTietKQKD[[#This Row],[Mã CP]],Sheet4!$B$2:$B$1605,0),_xlfn.XMATCH("*Tăng trưởng lợi nhuận sau thuế (YoY) (6M)*",Sheet4!$1:$1,2)),"")</f>
        <v>-4.0789</v>
      </c>
      <c r="Q907" s="10" cm="1">
        <f t="array" ref="Q907">IFERROR(INDEX(Sheet4!$2:$1605,MATCH(ChiTietKQKD[[#This Row],[Mã CP]],Sheet4!$B$2:$B$1605,0),_xlfn.XMATCH("*Tăng trưởng doanh thu thuần (QoQ)*",Sheet4!$1:$1,2)),"")</f>
        <v>0.1208</v>
      </c>
      <c r="R907" s="10" cm="1">
        <f t="array" ref="R907">IFERROR(INDEX(Sheet4!$2:$1605,MATCH(ChiTietKQKD[[#This Row],[Mã CP]],Sheet4!$B$2:$B$1605,0),_xlfn.XMATCH("*Tăng trưởng lợi nhuận sau thuế (QoQ)*",Sheet4!$1:$1,2)),"")</f>
        <v>0.6593</v>
      </c>
    </row>
    <row r="908" spans="1:18" x14ac:dyDescent="0.25">
      <c r="A908" s="7">
        <f>Sheet4!A887</f>
        <v>886</v>
      </c>
      <c r="B908" t="str">
        <f>Sheet4!B887</f>
        <v>CT3</v>
      </c>
      <c r="C908" t="str">
        <f>Sheet4!C886</f>
        <v>Chứng khoán Kirin</v>
      </c>
      <c r="D908" t="str">
        <f>Sheet4!D887</f>
        <v>UPCoM</v>
      </c>
      <c r="E908" s="7">
        <f>Sheet4!AH887/1000000000</f>
        <v>71.278023599999997</v>
      </c>
      <c r="F908" t="str">
        <f>Sheet4!E887</f>
        <v>Công nghiệp</v>
      </c>
      <c r="G908" t="str">
        <f>Sheet4!F887</f>
        <v>Xây dựng và Vật liệu</v>
      </c>
      <c r="H908" t="str">
        <f>Sheet4!G887</f>
        <v>Xây dựng</v>
      </c>
      <c r="I908" s="9" t="str" cm="1">
        <f t="array" ref="I90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08" s="9" t="str" cm="1">
        <f t="array" ref="J90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08" s="10" cm="1">
        <f t="array" ref="K90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08" s="10" cm="1">
        <f t="array" ref="L90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08" s="9" t="str" cm="1">
        <f t="array" ref="M90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08" s="9" t="str" cm="1">
        <f t="array" ref="N90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08" s="10" cm="1">
        <f t="array" ref="O908">IFERROR(INDEX(Sheet4!$2:$1605,MATCH(ChiTietKQKD[[#This Row],[Mã CP]],Sheet4!$B$2:$B$1605,0),_xlfn.XMATCH("*Tăng trưởng lợi nhuận sau thuế (YoY) (Quý*",Sheet4!$1:$1,2)),"")</f>
        <v>0</v>
      </c>
      <c r="P908" s="10" cm="1">
        <f t="array" ref="P908">IFERROR(INDEX(Sheet4!$2:$1605,MATCH(ChiTietKQKD[[#This Row],[Mã CP]],Sheet4!$B$2:$B$1605,0),_xlfn.XMATCH("*Tăng trưởng lợi nhuận sau thuế (YoY) (6M)*",Sheet4!$1:$1,2)),"")</f>
        <v>0</v>
      </c>
      <c r="Q908" s="10" cm="1">
        <f t="array" ref="Q908">IFERROR(INDEX(Sheet4!$2:$1605,MATCH(ChiTietKQKD[[#This Row],[Mã CP]],Sheet4!$B$2:$B$1605,0),_xlfn.XMATCH("*Tăng trưởng doanh thu thuần (QoQ)*",Sheet4!$1:$1,2)),"")</f>
        <v>0</v>
      </c>
      <c r="R908" s="10" cm="1">
        <f t="array" ref="R908">IFERROR(INDEX(Sheet4!$2:$1605,MATCH(ChiTietKQKD[[#This Row],[Mã CP]],Sheet4!$B$2:$B$1605,0),_xlfn.XMATCH("*Tăng trưởng lợi nhuận sau thuế (QoQ)*",Sheet4!$1:$1,2)),"")</f>
        <v>0</v>
      </c>
    </row>
    <row r="909" spans="1:18" x14ac:dyDescent="0.25">
      <c r="A909" s="7">
        <f>Sheet4!A888</f>
        <v>887</v>
      </c>
      <c r="B909" t="str">
        <f>Sheet4!B888</f>
        <v>CT6</v>
      </c>
      <c r="C909" t="str">
        <f>Sheet4!C887</f>
        <v>Xây dựng công trình 3</v>
      </c>
      <c r="D909" t="str">
        <f>Sheet4!D888</f>
        <v>UPCoM</v>
      </c>
      <c r="E909" s="7">
        <f>Sheet4!AH888/1000000000</f>
        <v>59.225862300000003</v>
      </c>
      <c r="F909" t="str">
        <f>Sheet4!E888</f>
        <v>Công nghiệp</v>
      </c>
      <c r="G909" t="str">
        <f>Sheet4!F888</f>
        <v>Xây dựng và Vật liệu</v>
      </c>
      <c r="H909" t="str">
        <f>Sheet4!G888</f>
        <v>Xây dựng</v>
      </c>
      <c r="I909" s="9" t="str" cm="1">
        <f t="array" ref="I90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09" s="9" t="str" cm="1">
        <f t="array" ref="J90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09" s="10" cm="1">
        <f t="array" ref="K90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09" s="10" cm="1">
        <f t="array" ref="L90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09" s="9" t="str" cm="1">
        <f t="array" ref="M90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09" s="9" t="str" cm="1">
        <f t="array" ref="N90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09" s="10" cm="1">
        <f t="array" ref="O909">IFERROR(INDEX(Sheet4!$2:$1605,MATCH(ChiTietKQKD[[#This Row],[Mã CP]],Sheet4!$B$2:$B$1605,0),_xlfn.XMATCH("*Tăng trưởng lợi nhuận sau thuế (YoY) (Quý*",Sheet4!$1:$1,2)),"")</f>
        <v>0</v>
      </c>
      <c r="P909" s="10" cm="1">
        <f t="array" ref="P909">IFERROR(INDEX(Sheet4!$2:$1605,MATCH(ChiTietKQKD[[#This Row],[Mã CP]],Sheet4!$B$2:$B$1605,0),_xlfn.XMATCH("*Tăng trưởng lợi nhuận sau thuế (YoY) (6M)*",Sheet4!$1:$1,2)),"")</f>
        <v>0</v>
      </c>
      <c r="Q909" s="10" cm="1">
        <f t="array" ref="Q909">IFERROR(INDEX(Sheet4!$2:$1605,MATCH(ChiTietKQKD[[#This Row],[Mã CP]],Sheet4!$B$2:$B$1605,0),_xlfn.XMATCH("*Tăng trưởng doanh thu thuần (QoQ)*",Sheet4!$1:$1,2)),"")</f>
        <v>0</v>
      </c>
      <c r="R909" s="10" cm="1">
        <f t="array" ref="R909">IFERROR(INDEX(Sheet4!$2:$1605,MATCH(ChiTietKQKD[[#This Row],[Mã CP]],Sheet4!$B$2:$B$1605,0),_xlfn.XMATCH("*Tăng trưởng lợi nhuận sau thuế (QoQ)*",Sheet4!$1:$1,2)),"")</f>
        <v>0</v>
      </c>
    </row>
    <row r="910" spans="1:18" x14ac:dyDescent="0.25">
      <c r="A910" s="7">
        <f>Sheet4!A889</f>
        <v>888</v>
      </c>
      <c r="B910" t="str">
        <f>Sheet4!B889</f>
        <v>CTC</v>
      </c>
      <c r="C910" t="str">
        <f>Sheet4!C888</f>
        <v>Công trình 6</v>
      </c>
      <c r="D910" t="str">
        <f>Sheet4!D889</f>
        <v>UPCoM</v>
      </c>
      <c r="E910" s="7">
        <f>Sheet4!AH889/1000000000</f>
        <v>0</v>
      </c>
      <c r="F910" t="str">
        <f>Sheet4!E889</f>
        <v>Dịch vụ Tiêu dùng</v>
      </c>
      <c r="G910" t="str">
        <f>Sheet4!F889</f>
        <v>Du lịch và Giải trí</v>
      </c>
      <c r="H910" t="str">
        <f>Sheet4!G889</f>
        <v>Vận tải hành khách &amp; Du lịch</v>
      </c>
      <c r="I910" s="9" t="str" cm="1">
        <f t="array" ref="I91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10" s="9" t="str" cm="1">
        <f t="array" ref="J91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10" s="10" cm="1">
        <f t="array" ref="K91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10" s="10" cm="1">
        <f t="array" ref="L91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10" s="9" t="str" cm="1">
        <f t="array" ref="M91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10" s="9" t="str" cm="1">
        <f t="array" ref="N91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10" s="10" cm="1">
        <f t="array" ref="O910">IFERROR(INDEX(Sheet4!$2:$1605,MATCH(ChiTietKQKD[[#This Row],[Mã CP]],Sheet4!$B$2:$B$1605,0),_xlfn.XMATCH("*Tăng trưởng lợi nhuận sau thuế (YoY) (Quý*",Sheet4!$1:$1,2)),"")</f>
        <v>0</v>
      </c>
      <c r="P910" s="10" cm="1">
        <f t="array" ref="P910">IFERROR(INDEX(Sheet4!$2:$1605,MATCH(ChiTietKQKD[[#This Row],[Mã CP]],Sheet4!$B$2:$B$1605,0),_xlfn.XMATCH("*Tăng trưởng lợi nhuận sau thuế (YoY) (6M)*",Sheet4!$1:$1,2)),"")</f>
        <v>0</v>
      </c>
      <c r="Q910" s="10" cm="1">
        <f t="array" ref="Q910">IFERROR(INDEX(Sheet4!$2:$1605,MATCH(ChiTietKQKD[[#This Row],[Mã CP]],Sheet4!$B$2:$B$1605,0),_xlfn.XMATCH("*Tăng trưởng doanh thu thuần (QoQ)*",Sheet4!$1:$1,2)),"")</f>
        <v>0</v>
      </c>
      <c r="R910" s="10" cm="1">
        <f t="array" ref="R910">IFERROR(INDEX(Sheet4!$2:$1605,MATCH(ChiTietKQKD[[#This Row],[Mã CP]],Sheet4!$B$2:$B$1605,0),_xlfn.XMATCH("*Tăng trưởng lợi nhuận sau thuế (QoQ)*",Sheet4!$1:$1,2)),"")</f>
        <v>0</v>
      </c>
    </row>
    <row r="911" spans="1:18" x14ac:dyDescent="0.25">
      <c r="A911" s="7">
        <f>Sheet4!A890</f>
        <v>889</v>
      </c>
      <c r="B911" t="str">
        <f>Sheet4!B890</f>
        <v>CTW</v>
      </c>
      <c r="C911" t="str">
        <f>Sheet4!C889</f>
        <v>Tập đoàn Hoàng Kim Tây Nguyên</v>
      </c>
      <c r="D911" t="str">
        <f>Sheet4!D890</f>
        <v>UPCoM</v>
      </c>
      <c r="E911" s="7">
        <f>Sheet4!AH890/1000000000</f>
        <v>700</v>
      </c>
      <c r="F911" t="str">
        <f>Sheet4!E890</f>
        <v>Tiện ích Cộng đồng</v>
      </c>
      <c r="G911" t="str">
        <f>Sheet4!F890</f>
        <v>Điện, nước &amp; xăng dầu khí đốt</v>
      </c>
      <c r="H911" t="str">
        <f>Sheet4!G890</f>
        <v>Nước</v>
      </c>
      <c r="I911" s="9" t="str" cm="1">
        <f t="array" ref="I91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11" s="9" t="str" cm="1">
        <f t="array" ref="J91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11" s="10" cm="1">
        <f t="array" ref="K91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11" s="10" cm="1">
        <f t="array" ref="L91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11" s="9" t="str" cm="1">
        <f t="array" ref="M91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11" s="9" t="str" cm="1">
        <f t="array" ref="N91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11" s="10" cm="1">
        <f t="array" ref="O911">IFERROR(INDEX(Sheet4!$2:$1605,MATCH(ChiTietKQKD[[#This Row],[Mã CP]],Sheet4!$B$2:$B$1605,0),_xlfn.XMATCH("*Tăng trưởng lợi nhuận sau thuế (YoY) (Quý*",Sheet4!$1:$1,2)),"")</f>
        <v>0</v>
      </c>
      <c r="P911" s="10" cm="1">
        <f t="array" ref="P911">IFERROR(INDEX(Sheet4!$2:$1605,MATCH(ChiTietKQKD[[#This Row],[Mã CP]],Sheet4!$B$2:$B$1605,0),_xlfn.XMATCH("*Tăng trưởng lợi nhuận sau thuế (YoY) (6M)*",Sheet4!$1:$1,2)),"")</f>
        <v>0</v>
      </c>
      <c r="Q911" s="10" cm="1">
        <f t="array" ref="Q911">IFERROR(INDEX(Sheet4!$2:$1605,MATCH(ChiTietKQKD[[#This Row],[Mã CP]],Sheet4!$B$2:$B$1605,0),_xlfn.XMATCH("*Tăng trưởng doanh thu thuần (QoQ)*",Sheet4!$1:$1,2)),"")</f>
        <v>0</v>
      </c>
      <c r="R911" s="10" cm="1">
        <f t="array" ref="R911">IFERROR(INDEX(Sheet4!$2:$1605,MATCH(ChiTietKQKD[[#This Row],[Mã CP]],Sheet4!$B$2:$B$1605,0),_xlfn.XMATCH("*Tăng trưởng lợi nhuận sau thuế (QoQ)*",Sheet4!$1:$1,2)),"")</f>
        <v>0</v>
      </c>
    </row>
    <row r="912" spans="1:18" x14ac:dyDescent="0.25">
      <c r="A912" s="7">
        <f>Sheet4!A891</f>
        <v>890</v>
      </c>
      <c r="B912" t="str">
        <f>Sheet4!B891</f>
        <v>CTX</v>
      </c>
      <c r="C912" t="str">
        <f>Sheet4!C890</f>
        <v>Cấp thoát nước Cần Thơ</v>
      </c>
      <c r="D912" t="str">
        <f>Sheet4!D891</f>
        <v>UPCoM</v>
      </c>
      <c r="E912" s="7">
        <f>Sheet4!AH891/1000000000</f>
        <v>480.34584416000001</v>
      </c>
      <c r="F912" t="str">
        <f>Sheet4!E891</f>
        <v>Công nghiệp</v>
      </c>
      <c r="G912" t="str">
        <f>Sheet4!F891</f>
        <v>Xây dựng và Vật liệu</v>
      </c>
      <c r="H912" t="str">
        <f>Sheet4!G891</f>
        <v>Xây dựng</v>
      </c>
      <c r="I912" s="9" t="str" cm="1">
        <f t="array" ref="I91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12" s="9" t="str" cm="1">
        <f t="array" ref="J91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12" s="10" cm="1">
        <f t="array" ref="K91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12" s="10" cm="1">
        <f t="array" ref="L91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12" s="9" t="str" cm="1">
        <f t="array" ref="M91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12" s="9" t="str" cm="1">
        <f t="array" ref="N91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12" s="10" cm="1">
        <f t="array" ref="O912">IFERROR(INDEX(Sheet4!$2:$1605,MATCH(ChiTietKQKD[[#This Row],[Mã CP]],Sheet4!$B$2:$B$1605,0),_xlfn.XMATCH("*Tăng trưởng lợi nhuận sau thuế (YoY) (Quý*",Sheet4!$1:$1,2)),"")</f>
        <v>0</v>
      </c>
      <c r="P912" s="10" cm="1">
        <f t="array" ref="P912">IFERROR(INDEX(Sheet4!$2:$1605,MATCH(ChiTietKQKD[[#This Row],[Mã CP]],Sheet4!$B$2:$B$1605,0),_xlfn.XMATCH("*Tăng trưởng lợi nhuận sau thuế (YoY) (6M)*",Sheet4!$1:$1,2)),"")</f>
        <v>0</v>
      </c>
      <c r="Q912" s="10" cm="1">
        <f t="array" ref="Q912">IFERROR(INDEX(Sheet4!$2:$1605,MATCH(ChiTietKQKD[[#This Row],[Mã CP]],Sheet4!$B$2:$B$1605,0),_xlfn.XMATCH("*Tăng trưởng doanh thu thuần (QoQ)*",Sheet4!$1:$1,2)),"")</f>
        <v>0</v>
      </c>
      <c r="R912" s="10" cm="1">
        <f t="array" ref="R912">IFERROR(INDEX(Sheet4!$2:$1605,MATCH(ChiTietKQKD[[#This Row],[Mã CP]],Sheet4!$B$2:$B$1605,0),_xlfn.XMATCH("*Tăng trưởng lợi nhuận sau thuế (QoQ)*",Sheet4!$1:$1,2)),"")</f>
        <v>0</v>
      </c>
    </row>
    <row r="913" spans="1:18" x14ac:dyDescent="0.25">
      <c r="A913" s="7">
        <f>Sheet4!A892</f>
        <v>891</v>
      </c>
      <c r="B913" t="str">
        <f>Sheet4!B892</f>
        <v>CVN</v>
      </c>
      <c r="C913" t="str">
        <f>Sheet4!C891</f>
        <v>CONSTREXIM</v>
      </c>
      <c r="D913" t="str">
        <f>Sheet4!D892</f>
        <v>UPCoM</v>
      </c>
      <c r="E913" s="7">
        <f>Sheet4!AH892/1000000000</f>
        <v>37.748688561000002</v>
      </c>
      <c r="F913" t="str">
        <f>Sheet4!E892</f>
        <v>Dược phẩm và Y tế</v>
      </c>
      <c r="G913" t="str">
        <f>Sheet4!F892</f>
        <v>Y tế</v>
      </c>
      <c r="H913" t="str">
        <f>Sheet4!G892</f>
        <v>Thiết bị y tế</v>
      </c>
      <c r="I913" s="9" t="str" cm="1">
        <f t="array" ref="I91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13" s="9" t="str" cm="1">
        <f t="array" ref="J91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13" s="10" cm="1">
        <f t="array" ref="K91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13" s="10" cm="1">
        <f t="array" ref="L91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13" s="9" t="str" cm="1">
        <f t="array" ref="M91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13" s="9" t="str" cm="1">
        <f t="array" ref="N91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13" s="10" cm="1">
        <f t="array" ref="O913">IFERROR(INDEX(Sheet4!$2:$1605,MATCH(ChiTietKQKD[[#This Row],[Mã CP]],Sheet4!$B$2:$B$1605,0),_xlfn.XMATCH("*Tăng trưởng lợi nhuận sau thuế (YoY) (Quý*",Sheet4!$1:$1,2)),"")</f>
        <v>0</v>
      </c>
      <c r="P913" s="10" cm="1">
        <f t="array" ref="P913">IFERROR(INDEX(Sheet4!$2:$1605,MATCH(ChiTietKQKD[[#This Row],[Mã CP]],Sheet4!$B$2:$B$1605,0),_xlfn.XMATCH("*Tăng trưởng lợi nhuận sau thuế (YoY) (6M)*",Sheet4!$1:$1,2)),"")</f>
        <v>0</v>
      </c>
      <c r="Q913" s="10" cm="1">
        <f t="array" ref="Q913">IFERROR(INDEX(Sheet4!$2:$1605,MATCH(ChiTietKQKD[[#This Row],[Mã CP]],Sheet4!$B$2:$B$1605,0),_xlfn.XMATCH("*Tăng trưởng doanh thu thuần (QoQ)*",Sheet4!$1:$1,2)),"")</f>
        <v>0</v>
      </c>
      <c r="R913" s="10" cm="1">
        <f t="array" ref="R913">IFERROR(INDEX(Sheet4!$2:$1605,MATCH(ChiTietKQKD[[#This Row],[Mã CP]],Sheet4!$B$2:$B$1605,0),_xlfn.XMATCH("*Tăng trưởng lợi nhuận sau thuế (QoQ)*",Sheet4!$1:$1,2)),"")</f>
        <v>0</v>
      </c>
    </row>
    <row r="914" spans="1:18" x14ac:dyDescent="0.25">
      <c r="A914" s="7">
        <f>Sheet4!A893</f>
        <v>892</v>
      </c>
      <c r="B914" t="str">
        <f>Sheet4!B893</f>
        <v>CYC</v>
      </c>
      <c r="C914" t="str">
        <f>Sheet4!C892</f>
        <v>Vinam Group</v>
      </c>
      <c r="D914" t="str">
        <f>Sheet4!D893</f>
        <v>UPCoM</v>
      </c>
      <c r="E914" s="7">
        <f>Sheet4!AH893/1000000000</f>
        <v>10.85571</v>
      </c>
      <c r="F914" t="str">
        <f>Sheet4!E893</f>
        <v>Công nghiệp</v>
      </c>
      <c r="G914" t="str">
        <f>Sheet4!F893</f>
        <v>Xây dựng và Vật liệu</v>
      </c>
      <c r="H914" t="str">
        <f>Sheet4!G893</f>
        <v>Vật liệu xây dựng &amp; Nội thất</v>
      </c>
      <c r="I914" s="9" t="str" cm="1">
        <f t="array" ref="I91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14" s="9" t="str" cm="1">
        <f t="array" ref="J91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14" s="10" cm="1">
        <f t="array" ref="K91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14" s="10" cm="1">
        <f t="array" ref="L91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14" s="9" t="str" cm="1">
        <f t="array" ref="M91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14" s="9" t="str" cm="1">
        <f t="array" ref="N91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14" s="10" cm="1">
        <f t="array" ref="O914">IFERROR(INDEX(Sheet4!$2:$1605,MATCH(ChiTietKQKD[[#This Row],[Mã CP]],Sheet4!$B$2:$B$1605,0),_xlfn.XMATCH("*Tăng trưởng lợi nhuận sau thuế (YoY) (Quý*",Sheet4!$1:$1,2)),"")</f>
        <v>0</v>
      </c>
      <c r="P914" s="10" cm="1">
        <f t="array" ref="P914">IFERROR(INDEX(Sheet4!$2:$1605,MATCH(ChiTietKQKD[[#This Row],[Mã CP]],Sheet4!$B$2:$B$1605,0),_xlfn.XMATCH("*Tăng trưởng lợi nhuận sau thuế (YoY) (6M)*",Sheet4!$1:$1,2)),"")</f>
        <v>0</v>
      </c>
      <c r="Q914" s="10" cm="1">
        <f t="array" ref="Q914">IFERROR(INDEX(Sheet4!$2:$1605,MATCH(ChiTietKQKD[[#This Row],[Mã CP]],Sheet4!$B$2:$B$1605,0),_xlfn.XMATCH("*Tăng trưởng doanh thu thuần (QoQ)*",Sheet4!$1:$1,2)),"")</f>
        <v>0</v>
      </c>
      <c r="R914" s="10" cm="1">
        <f t="array" ref="R914">IFERROR(INDEX(Sheet4!$2:$1605,MATCH(ChiTietKQKD[[#This Row],[Mã CP]],Sheet4!$B$2:$B$1605,0),_xlfn.XMATCH("*Tăng trưởng lợi nhuận sau thuế (QoQ)*",Sheet4!$1:$1,2)),"")</f>
        <v>0</v>
      </c>
    </row>
    <row r="915" spans="1:18" x14ac:dyDescent="0.25">
      <c r="A915" s="7">
        <f>Sheet4!A894</f>
        <v>893</v>
      </c>
      <c r="B915" t="str">
        <f>Sheet4!B894</f>
        <v>DAC</v>
      </c>
      <c r="C915" t="str">
        <f>Sheet4!C893</f>
        <v>Gạch men Chang YIH</v>
      </c>
      <c r="D915" t="str">
        <f>Sheet4!D894</f>
        <v>UPCoM</v>
      </c>
      <c r="E915" s="7">
        <f>Sheet4!AH894/1000000000</f>
        <v>6.3313362</v>
      </c>
      <c r="F915" t="str">
        <f>Sheet4!E894</f>
        <v>Công nghiệp</v>
      </c>
      <c r="G915" t="str">
        <f>Sheet4!F894</f>
        <v>Xây dựng và Vật liệu</v>
      </c>
      <c r="H915" t="str">
        <f>Sheet4!G894</f>
        <v>Vật liệu xây dựng &amp; Nội thất</v>
      </c>
      <c r="I915" s="9" t="str" cm="1">
        <f t="array" ref="I91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15" s="9" t="str" cm="1">
        <f t="array" ref="J91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15" s="10" cm="1">
        <f t="array" ref="K91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15" s="10" cm="1">
        <f t="array" ref="L91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15" s="9" t="str" cm="1">
        <f t="array" ref="M91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15" s="9" t="str" cm="1">
        <f t="array" ref="N91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15" s="10" cm="1">
        <f t="array" ref="O915">IFERROR(INDEX(Sheet4!$2:$1605,MATCH(ChiTietKQKD[[#This Row],[Mã CP]],Sheet4!$B$2:$B$1605,0),_xlfn.XMATCH("*Tăng trưởng lợi nhuận sau thuế (YoY) (Quý*",Sheet4!$1:$1,2)),"")</f>
        <v>0</v>
      </c>
      <c r="P915" s="10" cm="1">
        <f t="array" ref="P915">IFERROR(INDEX(Sheet4!$2:$1605,MATCH(ChiTietKQKD[[#This Row],[Mã CP]],Sheet4!$B$2:$B$1605,0),_xlfn.XMATCH("*Tăng trưởng lợi nhuận sau thuế (YoY) (6M)*",Sheet4!$1:$1,2)),"")</f>
        <v>0</v>
      </c>
      <c r="Q915" s="10" cm="1">
        <f t="array" ref="Q915">IFERROR(INDEX(Sheet4!$2:$1605,MATCH(ChiTietKQKD[[#This Row],[Mã CP]],Sheet4!$B$2:$B$1605,0),_xlfn.XMATCH("*Tăng trưởng doanh thu thuần (QoQ)*",Sheet4!$1:$1,2)),"")</f>
        <v>0</v>
      </c>
      <c r="R915" s="10" cm="1">
        <f t="array" ref="R915">IFERROR(INDEX(Sheet4!$2:$1605,MATCH(ChiTietKQKD[[#This Row],[Mã CP]],Sheet4!$B$2:$B$1605,0),_xlfn.XMATCH("*Tăng trưởng lợi nhuận sau thuế (QoQ)*",Sheet4!$1:$1,2)),"")</f>
        <v>0</v>
      </c>
    </row>
    <row r="916" spans="1:18" x14ac:dyDescent="0.25">
      <c r="A916" s="7">
        <f>Sheet4!A895</f>
        <v>894</v>
      </c>
      <c r="B916" t="str">
        <f>Sheet4!B895</f>
        <v>DAG</v>
      </c>
      <c r="C916" t="str">
        <f>Sheet4!C894</f>
        <v>CTCP 382 Đông Anh</v>
      </c>
      <c r="D916" t="str">
        <f>Sheet4!D895</f>
        <v>UPCoM</v>
      </c>
      <c r="E916" s="7">
        <f>Sheet4!AH895/1000000000</f>
        <v>84.436979199999996</v>
      </c>
      <c r="F916" t="str">
        <f>Sheet4!E895</f>
        <v>Nguyên vật liệu</v>
      </c>
      <c r="G916" t="str">
        <f>Sheet4!F895</f>
        <v>Hóa chất</v>
      </c>
      <c r="H916" t="str">
        <f>Sheet4!G895</f>
        <v>Nhựa, cao su &amp; sợi</v>
      </c>
      <c r="I916" s="9" t="str" cm="1">
        <f t="array" ref="I91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16" s="9" t="str" cm="1">
        <f t="array" ref="J91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16" s="10" cm="1">
        <f t="array" ref="K91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16" s="10" cm="1">
        <f t="array" ref="L91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16" s="9" t="str" cm="1">
        <f t="array" ref="M91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16" s="9" t="str" cm="1">
        <f t="array" ref="N91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16" s="10" cm="1">
        <f t="array" ref="O916">IFERROR(INDEX(Sheet4!$2:$1605,MATCH(ChiTietKQKD[[#This Row],[Mã CP]],Sheet4!$B$2:$B$1605,0),_xlfn.XMATCH("*Tăng trưởng lợi nhuận sau thuế (YoY) (Quý*",Sheet4!$1:$1,2)),"")</f>
        <v>0</v>
      </c>
      <c r="P916" s="10" cm="1">
        <f t="array" ref="P916">IFERROR(INDEX(Sheet4!$2:$1605,MATCH(ChiTietKQKD[[#This Row],[Mã CP]],Sheet4!$B$2:$B$1605,0),_xlfn.XMATCH("*Tăng trưởng lợi nhuận sau thuế (YoY) (6M)*",Sheet4!$1:$1,2)),"")</f>
        <v>0</v>
      </c>
      <c r="Q916" s="10" cm="1">
        <f t="array" ref="Q916">IFERROR(INDEX(Sheet4!$2:$1605,MATCH(ChiTietKQKD[[#This Row],[Mã CP]],Sheet4!$B$2:$B$1605,0),_xlfn.XMATCH("*Tăng trưởng doanh thu thuần (QoQ)*",Sheet4!$1:$1,2)),"")</f>
        <v>0</v>
      </c>
      <c r="R916" s="10" cm="1">
        <f t="array" ref="R916">IFERROR(INDEX(Sheet4!$2:$1605,MATCH(ChiTietKQKD[[#This Row],[Mã CP]],Sheet4!$B$2:$B$1605,0),_xlfn.XMATCH("*Tăng trưởng lợi nhuận sau thuế (QoQ)*",Sheet4!$1:$1,2)),"")</f>
        <v>0</v>
      </c>
    </row>
    <row r="917" spans="1:18" x14ac:dyDescent="0.25">
      <c r="A917" s="7">
        <f>Sheet4!A896</f>
        <v>895</v>
      </c>
      <c r="B917" t="str">
        <f>Sheet4!B896</f>
        <v>DAN</v>
      </c>
      <c r="C917" t="str">
        <f>Sheet4!C895</f>
        <v>TĐ Nhựa Đông Á</v>
      </c>
      <c r="D917" t="str">
        <f>Sheet4!D896</f>
        <v>UPCoM</v>
      </c>
      <c r="E917" s="7">
        <f>Sheet4!AH896/1000000000</f>
        <v>686.76639999999998</v>
      </c>
      <c r="F917" t="str">
        <f>Sheet4!E896</f>
        <v>Dược phẩm và Y tế</v>
      </c>
      <c r="G917" t="str">
        <f>Sheet4!F896</f>
        <v>Y tế</v>
      </c>
      <c r="H917" t="str">
        <f>Sheet4!G896</f>
        <v>Dược phẩm</v>
      </c>
      <c r="I917" s="9" t="str" cm="1">
        <f t="array" ref="I91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17" s="9" t="str" cm="1">
        <f t="array" ref="J91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17" s="10" cm="1">
        <f t="array" ref="K91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17" s="10" cm="1">
        <f t="array" ref="L91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17" s="9" t="str" cm="1">
        <f t="array" ref="M91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17" s="9" t="str" cm="1">
        <f t="array" ref="N91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17" s="10" cm="1">
        <f t="array" ref="O917">IFERROR(INDEX(Sheet4!$2:$1605,MATCH(ChiTietKQKD[[#This Row],[Mã CP]],Sheet4!$B$2:$B$1605,0),_xlfn.XMATCH("*Tăng trưởng lợi nhuận sau thuế (YoY) (Quý*",Sheet4!$1:$1,2)),"")</f>
        <v>0</v>
      </c>
      <c r="P917" s="10" cm="1">
        <f t="array" ref="P917">IFERROR(INDEX(Sheet4!$2:$1605,MATCH(ChiTietKQKD[[#This Row],[Mã CP]],Sheet4!$B$2:$B$1605,0),_xlfn.XMATCH("*Tăng trưởng lợi nhuận sau thuế (YoY) (6M)*",Sheet4!$1:$1,2)),"")</f>
        <v>0</v>
      </c>
      <c r="Q917" s="10" cm="1">
        <f t="array" ref="Q917">IFERROR(INDEX(Sheet4!$2:$1605,MATCH(ChiTietKQKD[[#This Row],[Mã CP]],Sheet4!$B$2:$B$1605,0),_xlfn.XMATCH("*Tăng trưởng doanh thu thuần (QoQ)*",Sheet4!$1:$1,2)),"")</f>
        <v>0</v>
      </c>
      <c r="R917" s="10" cm="1">
        <f t="array" ref="R917">IFERROR(INDEX(Sheet4!$2:$1605,MATCH(ChiTietKQKD[[#This Row],[Mã CP]],Sheet4!$B$2:$B$1605,0),_xlfn.XMATCH("*Tăng trưởng lợi nhuận sau thuế (QoQ)*",Sheet4!$1:$1,2)),"")</f>
        <v>0</v>
      </c>
    </row>
    <row r="918" spans="1:18" x14ac:dyDescent="0.25">
      <c r="A918" s="7">
        <f>Sheet4!A897</f>
        <v>896</v>
      </c>
      <c r="B918" t="str">
        <f>Sheet4!B897</f>
        <v>DAS</v>
      </c>
      <c r="C918" t="str">
        <f>Sheet4!C896</f>
        <v>Dược Danapha</v>
      </c>
      <c r="D918" t="str">
        <f>Sheet4!D897</f>
        <v>UPCoM</v>
      </c>
      <c r="E918" s="7">
        <f>Sheet4!AH897/1000000000</f>
        <v>46.2</v>
      </c>
      <c r="F918" t="str">
        <f>Sheet4!E897</f>
        <v>Hàng Tiêu dùng</v>
      </c>
      <c r="G918" t="str">
        <f>Sheet4!F897</f>
        <v>Ô tô và phụ tùng</v>
      </c>
      <c r="H918" t="str">
        <f>Sheet4!G897</f>
        <v>Sản xuất ô tô</v>
      </c>
      <c r="I918" s="9" t="str" cm="1">
        <f t="array" ref="I91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18" s="9" t="str" cm="1">
        <f t="array" ref="J91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18" s="10" cm="1">
        <f t="array" ref="K91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18" s="10" cm="1">
        <f t="array" ref="L91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18" s="9" t="str" cm="1">
        <f t="array" ref="M91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18" s="9" t="str" cm="1">
        <f t="array" ref="N91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18" s="10" cm="1">
        <f t="array" ref="O918">IFERROR(INDEX(Sheet4!$2:$1605,MATCH(ChiTietKQKD[[#This Row],[Mã CP]],Sheet4!$B$2:$B$1605,0),_xlfn.XMATCH("*Tăng trưởng lợi nhuận sau thuế (YoY) (Quý*",Sheet4!$1:$1,2)),"")</f>
        <v>0</v>
      </c>
      <c r="P918" s="10" cm="1">
        <f t="array" ref="P918">IFERROR(INDEX(Sheet4!$2:$1605,MATCH(ChiTietKQKD[[#This Row],[Mã CP]],Sheet4!$B$2:$B$1605,0),_xlfn.XMATCH("*Tăng trưởng lợi nhuận sau thuế (YoY) (6M)*",Sheet4!$1:$1,2)),"")</f>
        <v>0</v>
      </c>
      <c r="Q918" s="10" cm="1">
        <f t="array" ref="Q918">IFERROR(INDEX(Sheet4!$2:$1605,MATCH(ChiTietKQKD[[#This Row],[Mã CP]],Sheet4!$B$2:$B$1605,0),_xlfn.XMATCH("*Tăng trưởng doanh thu thuần (QoQ)*",Sheet4!$1:$1,2)),"")</f>
        <v>0</v>
      </c>
      <c r="R918" s="10" cm="1">
        <f t="array" ref="R918">IFERROR(INDEX(Sheet4!$2:$1605,MATCH(ChiTietKQKD[[#This Row],[Mã CP]],Sheet4!$B$2:$B$1605,0),_xlfn.XMATCH("*Tăng trưởng lợi nhuận sau thuế (QoQ)*",Sheet4!$1:$1,2)),"")</f>
        <v>0</v>
      </c>
    </row>
    <row r="919" spans="1:18" x14ac:dyDescent="0.25">
      <c r="A919" s="7">
        <f>Sheet4!A898</f>
        <v>897</v>
      </c>
      <c r="B919" t="str">
        <f>Sheet4!B898</f>
        <v>DBM</v>
      </c>
      <c r="C919" t="str">
        <f>Sheet4!C897</f>
        <v>Thiết bị Dầu khí Đà Nẵng</v>
      </c>
      <c r="D919" t="str">
        <f>Sheet4!D898</f>
        <v>UPCoM</v>
      </c>
      <c r="E919" s="7">
        <f>Sheet4!AH898/1000000000</f>
        <v>56.500094400000002</v>
      </c>
      <c r="F919" t="str">
        <f>Sheet4!E898</f>
        <v>Dược phẩm và Y tế</v>
      </c>
      <c r="G919" t="str">
        <f>Sheet4!F898</f>
        <v>Y tế</v>
      </c>
      <c r="H919" t="str">
        <f>Sheet4!G898</f>
        <v>Dược phẩm</v>
      </c>
      <c r="I919" s="9" t="str" cm="1">
        <f t="array" ref="I91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19" s="9" t="str" cm="1">
        <f t="array" ref="J91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19" s="10" cm="1">
        <f t="array" ref="K91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19" s="10" cm="1">
        <f t="array" ref="L91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19" s="9" t="str" cm="1">
        <f t="array" ref="M91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19" s="9" t="str" cm="1">
        <f t="array" ref="N91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19" s="10" cm="1">
        <f t="array" ref="O919">IFERROR(INDEX(Sheet4!$2:$1605,MATCH(ChiTietKQKD[[#This Row],[Mã CP]],Sheet4!$B$2:$B$1605,0),_xlfn.XMATCH("*Tăng trưởng lợi nhuận sau thuế (YoY) (Quý*",Sheet4!$1:$1,2)),"")</f>
        <v>0</v>
      </c>
      <c r="P919" s="10" cm="1">
        <f t="array" ref="P919">IFERROR(INDEX(Sheet4!$2:$1605,MATCH(ChiTietKQKD[[#This Row],[Mã CP]],Sheet4!$B$2:$B$1605,0),_xlfn.XMATCH("*Tăng trưởng lợi nhuận sau thuế (YoY) (6M)*",Sheet4!$1:$1,2)),"")</f>
        <v>0</v>
      </c>
      <c r="Q919" s="10" cm="1">
        <f t="array" ref="Q919">IFERROR(INDEX(Sheet4!$2:$1605,MATCH(ChiTietKQKD[[#This Row],[Mã CP]],Sheet4!$B$2:$B$1605,0),_xlfn.XMATCH("*Tăng trưởng doanh thu thuần (QoQ)*",Sheet4!$1:$1,2)),"")</f>
        <v>0</v>
      </c>
      <c r="R919" s="10" cm="1">
        <f t="array" ref="R919">IFERROR(INDEX(Sheet4!$2:$1605,MATCH(ChiTietKQKD[[#This Row],[Mã CP]],Sheet4!$B$2:$B$1605,0),_xlfn.XMATCH("*Tăng trưởng lợi nhuận sau thuế (QoQ)*",Sheet4!$1:$1,2)),"")</f>
        <v>0</v>
      </c>
    </row>
    <row r="920" spans="1:18" x14ac:dyDescent="0.25">
      <c r="A920" s="7">
        <f>Sheet4!A899</f>
        <v>898</v>
      </c>
      <c r="B920" t="str">
        <f>Sheet4!B899</f>
        <v>DC1</v>
      </c>
      <c r="C920" t="str">
        <f>Sheet4!C898</f>
        <v>BAMEPHARM</v>
      </c>
      <c r="D920" t="str">
        <f>Sheet4!D899</f>
        <v>UPCoM</v>
      </c>
      <c r="E920" s="7">
        <f>Sheet4!AH899/1000000000</f>
        <v>32.629454748000001</v>
      </c>
      <c r="F920" t="str">
        <f>Sheet4!E899</f>
        <v>Công nghiệp</v>
      </c>
      <c r="G920" t="str">
        <f>Sheet4!F899</f>
        <v>Xây dựng và Vật liệu</v>
      </c>
      <c r="H920" t="str">
        <f>Sheet4!G899</f>
        <v>Xây dựng</v>
      </c>
      <c r="I920" s="9" t="str" cm="1">
        <f t="array" ref="I92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20" s="9" t="str" cm="1">
        <f t="array" ref="J92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20" s="10" cm="1">
        <f t="array" ref="K92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20" s="10" cm="1">
        <f t="array" ref="L92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20" s="9" t="str" cm="1">
        <f t="array" ref="M92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20" s="9" t="str" cm="1">
        <f t="array" ref="N92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20" s="10" cm="1">
        <f t="array" ref="O920">IFERROR(INDEX(Sheet4!$2:$1605,MATCH(ChiTietKQKD[[#This Row],[Mã CP]],Sheet4!$B$2:$B$1605,0),_xlfn.XMATCH("*Tăng trưởng lợi nhuận sau thuế (YoY) (Quý*",Sheet4!$1:$1,2)),"")</f>
        <v>0</v>
      </c>
      <c r="P920" s="10" cm="1">
        <f t="array" ref="P920">IFERROR(INDEX(Sheet4!$2:$1605,MATCH(ChiTietKQKD[[#This Row],[Mã CP]],Sheet4!$B$2:$B$1605,0),_xlfn.XMATCH("*Tăng trưởng lợi nhuận sau thuế (YoY) (6M)*",Sheet4!$1:$1,2)),"")</f>
        <v>0</v>
      </c>
      <c r="Q920" s="10" cm="1">
        <f t="array" ref="Q920">IFERROR(INDEX(Sheet4!$2:$1605,MATCH(ChiTietKQKD[[#This Row],[Mã CP]],Sheet4!$B$2:$B$1605,0),_xlfn.XMATCH("*Tăng trưởng doanh thu thuần (QoQ)*",Sheet4!$1:$1,2)),"")</f>
        <v>0</v>
      </c>
      <c r="R920" s="10" cm="1">
        <f t="array" ref="R920">IFERROR(INDEX(Sheet4!$2:$1605,MATCH(ChiTietKQKD[[#This Row],[Mã CP]],Sheet4!$B$2:$B$1605,0),_xlfn.XMATCH("*Tăng trưởng lợi nhuận sau thuế (QoQ)*",Sheet4!$1:$1,2)),"")</f>
        <v>0</v>
      </c>
    </row>
    <row r="921" spans="1:18" x14ac:dyDescent="0.25">
      <c r="A921" s="7">
        <f>Sheet4!A900</f>
        <v>899</v>
      </c>
      <c r="B921" t="str">
        <f>Sheet4!B900</f>
        <v>DCF</v>
      </c>
      <c r="C921" t="str">
        <f>Sheet4!C899</f>
        <v>Phát triển Xây dựng số 1 (DIC1)</v>
      </c>
      <c r="D921" t="str">
        <f>Sheet4!D900</f>
        <v>UPCoM</v>
      </c>
      <c r="E921" s="7">
        <f>Sheet4!AH900/1000000000</f>
        <v>1780.7603999999999</v>
      </c>
      <c r="F921" t="str">
        <f>Sheet4!E900</f>
        <v>Công nghiệp</v>
      </c>
      <c r="G921" t="str">
        <f>Sheet4!F900</f>
        <v>Xây dựng và Vật liệu</v>
      </c>
      <c r="H921" t="str">
        <f>Sheet4!G900</f>
        <v>Xây dựng</v>
      </c>
      <c r="I921" s="9" t="str" cm="1">
        <f t="array" ref="I92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21" s="9" t="str" cm="1">
        <f t="array" ref="J92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21" s="10" cm="1">
        <f t="array" ref="K92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21" s="10" cm="1">
        <f t="array" ref="L92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21" s="9" t="str" cm="1">
        <f t="array" ref="M92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21" s="9" t="str" cm="1">
        <f t="array" ref="N92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21" s="10" cm="1">
        <f t="array" ref="O921">IFERROR(INDEX(Sheet4!$2:$1605,MATCH(ChiTietKQKD[[#This Row],[Mã CP]],Sheet4!$B$2:$B$1605,0),_xlfn.XMATCH("*Tăng trưởng lợi nhuận sau thuế (YoY) (Quý*",Sheet4!$1:$1,2)),"")</f>
        <v>0</v>
      </c>
      <c r="P921" s="10" cm="1">
        <f t="array" ref="P921">IFERROR(INDEX(Sheet4!$2:$1605,MATCH(ChiTietKQKD[[#This Row],[Mã CP]],Sheet4!$B$2:$B$1605,0),_xlfn.XMATCH("*Tăng trưởng lợi nhuận sau thuế (YoY) (6M)*",Sheet4!$1:$1,2)),"")</f>
        <v>0</v>
      </c>
      <c r="Q921" s="10" cm="1">
        <f t="array" ref="Q921">IFERROR(INDEX(Sheet4!$2:$1605,MATCH(ChiTietKQKD[[#This Row],[Mã CP]],Sheet4!$B$2:$B$1605,0),_xlfn.XMATCH("*Tăng trưởng doanh thu thuần (QoQ)*",Sheet4!$1:$1,2)),"")</f>
        <v>0</v>
      </c>
      <c r="R921" s="10" cm="1">
        <f t="array" ref="R921">IFERROR(INDEX(Sheet4!$2:$1605,MATCH(ChiTietKQKD[[#This Row],[Mã CP]],Sheet4!$B$2:$B$1605,0),_xlfn.XMATCH("*Tăng trưởng lợi nhuận sau thuế (QoQ)*",Sheet4!$1:$1,2)),"")</f>
        <v>0</v>
      </c>
    </row>
    <row r="922" spans="1:18" x14ac:dyDescent="0.25">
      <c r="A922" s="7">
        <f>Sheet4!A901</f>
        <v>900</v>
      </c>
      <c r="B922" t="str">
        <f>Sheet4!B901</f>
        <v>DCG</v>
      </c>
      <c r="C922" t="str">
        <f>Sheet4!C900</f>
        <v>XD và Thiết kế số 1</v>
      </c>
      <c r="D922" t="str">
        <f>Sheet4!D901</f>
        <v>UPCoM</v>
      </c>
      <c r="E922" s="7">
        <f>Sheet4!AH901/1000000000</f>
        <v>137.1824196</v>
      </c>
      <c r="F922" t="str">
        <f>Sheet4!E901</f>
        <v>Hàng Tiêu dùng</v>
      </c>
      <c r="G922" t="str">
        <f>Sheet4!F901</f>
        <v>Hàng cá nhân &amp; Gia dụng</v>
      </c>
      <c r="H922" t="str">
        <f>Sheet4!G901</f>
        <v>Hàng May mặc</v>
      </c>
      <c r="I922" s="9" t="str" cm="1">
        <f t="array" ref="I92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22" s="9" t="str" cm="1">
        <f t="array" ref="J92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22" s="10" cm="1">
        <f t="array" ref="K92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22" s="10" cm="1">
        <f t="array" ref="L92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22" s="9" t="str" cm="1">
        <f t="array" ref="M92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22" s="9" t="str" cm="1">
        <f t="array" ref="N92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22" s="10" cm="1">
        <f t="array" ref="O922">IFERROR(INDEX(Sheet4!$2:$1605,MATCH(ChiTietKQKD[[#This Row],[Mã CP]],Sheet4!$B$2:$B$1605,0),_xlfn.XMATCH("*Tăng trưởng lợi nhuận sau thuế (YoY) (Quý*",Sheet4!$1:$1,2)),"")</f>
        <v>0</v>
      </c>
      <c r="P922" s="10" cm="1">
        <f t="array" ref="P922">IFERROR(INDEX(Sheet4!$2:$1605,MATCH(ChiTietKQKD[[#This Row],[Mã CP]],Sheet4!$B$2:$B$1605,0),_xlfn.XMATCH("*Tăng trưởng lợi nhuận sau thuế (YoY) (6M)*",Sheet4!$1:$1,2)),"")</f>
        <v>0</v>
      </c>
      <c r="Q922" s="10" cm="1">
        <f t="array" ref="Q922">IFERROR(INDEX(Sheet4!$2:$1605,MATCH(ChiTietKQKD[[#This Row],[Mã CP]],Sheet4!$B$2:$B$1605,0),_xlfn.XMATCH("*Tăng trưởng doanh thu thuần (QoQ)*",Sheet4!$1:$1,2)),"")</f>
        <v>0</v>
      </c>
      <c r="R922" s="10" cm="1">
        <f t="array" ref="R922">IFERROR(INDEX(Sheet4!$2:$1605,MATCH(ChiTietKQKD[[#This Row],[Mã CP]],Sheet4!$B$2:$B$1605,0),_xlfn.XMATCH("*Tăng trưởng lợi nhuận sau thuế (QoQ)*",Sheet4!$1:$1,2)),"")</f>
        <v>0</v>
      </c>
    </row>
    <row r="923" spans="1:18" x14ac:dyDescent="0.25">
      <c r="A923" s="7">
        <f>Sheet4!A902</f>
        <v>901</v>
      </c>
      <c r="B923" t="str">
        <f>Sheet4!B902</f>
        <v>DCH</v>
      </c>
      <c r="C923" t="str">
        <f>Sheet4!C901</f>
        <v>May Đáp Cầu</v>
      </c>
      <c r="D923" t="str">
        <f>Sheet4!D902</f>
        <v>UPCoM</v>
      </c>
      <c r="E923" s="7">
        <f>Sheet4!AH902/1000000000</f>
        <v>28.8</v>
      </c>
      <c r="F923" t="str">
        <f>Sheet4!E902</f>
        <v>Tài chính</v>
      </c>
      <c r="G923" t="str">
        <f>Sheet4!F902</f>
        <v>Bất động sản</v>
      </c>
      <c r="H923" t="str">
        <f>Sheet4!G902</f>
        <v>Tư Vấn, Định giá, Môi giới Bất động sản</v>
      </c>
      <c r="I923" s="9" t="str" cm="1">
        <f t="array" ref="I92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23" s="9" t="str" cm="1">
        <f t="array" ref="J92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23" s="10" cm="1">
        <f t="array" ref="K92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23" s="10" cm="1">
        <f t="array" ref="L92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23" s="9" t="str" cm="1">
        <f t="array" ref="M92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23" s="9" t="str" cm="1">
        <f t="array" ref="N92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23" s="10" cm="1">
        <f t="array" ref="O923">IFERROR(INDEX(Sheet4!$2:$1605,MATCH(ChiTietKQKD[[#This Row],[Mã CP]],Sheet4!$B$2:$B$1605,0),_xlfn.XMATCH("*Tăng trưởng lợi nhuận sau thuế (YoY) (Quý*",Sheet4!$1:$1,2)),"")</f>
        <v>0</v>
      </c>
      <c r="P923" s="10" cm="1">
        <f t="array" ref="P923">IFERROR(INDEX(Sheet4!$2:$1605,MATCH(ChiTietKQKD[[#This Row],[Mã CP]],Sheet4!$B$2:$B$1605,0),_xlfn.XMATCH("*Tăng trưởng lợi nhuận sau thuế (YoY) (6M)*",Sheet4!$1:$1,2)),"")</f>
        <v>0</v>
      </c>
      <c r="Q923" s="10" cm="1">
        <f t="array" ref="Q923">IFERROR(INDEX(Sheet4!$2:$1605,MATCH(ChiTietKQKD[[#This Row],[Mã CP]],Sheet4!$B$2:$B$1605,0),_xlfn.XMATCH("*Tăng trưởng doanh thu thuần (QoQ)*",Sheet4!$1:$1,2)),"")</f>
        <v>0</v>
      </c>
      <c r="R923" s="10" cm="1">
        <f t="array" ref="R923">IFERROR(INDEX(Sheet4!$2:$1605,MATCH(ChiTietKQKD[[#This Row],[Mã CP]],Sheet4!$B$2:$B$1605,0),_xlfn.XMATCH("*Tăng trưởng lợi nhuận sau thuế (QoQ)*",Sheet4!$1:$1,2)),"")</f>
        <v>0</v>
      </c>
    </row>
    <row r="924" spans="1:18" x14ac:dyDescent="0.25">
      <c r="A924" s="7">
        <f>Sheet4!A903</f>
        <v>902</v>
      </c>
      <c r="B924" t="str">
        <f>Sheet4!B903</f>
        <v>DCR</v>
      </c>
      <c r="C924" t="str">
        <f>Sheet4!C902</f>
        <v>Địa chính Hà Nội</v>
      </c>
      <c r="D924" t="str">
        <f>Sheet4!D903</f>
        <v>UPCoM</v>
      </c>
      <c r="E924" s="7">
        <f>Sheet4!AH903/1000000000</f>
        <v>37.700000000000003</v>
      </c>
      <c r="F924" t="str">
        <f>Sheet4!E903</f>
        <v>Công nghiệp</v>
      </c>
      <c r="G924" t="str">
        <f>Sheet4!F903</f>
        <v>Xây dựng và Vật liệu</v>
      </c>
      <c r="H924" t="str">
        <f>Sheet4!G903</f>
        <v>Vật liệu xây dựng &amp; Nội thất</v>
      </c>
      <c r="I924" s="9" t="str" cm="1">
        <f t="array" ref="I92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24" s="9" t="str" cm="1">
        <f t="array" ref="J92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24" s="10" cm="1">
        <f t="array" ref="K92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24" s="10" cm="1">
        <f t="array" ref="L92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24" s="9" t="str" cm="1">
        <f t="array" ref="M92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24" s="9" t="str" cm="1">
        <f t="array" ref="N92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24" s="10" cm="1">
        <f t="array" ref="O924">IFERROR(INDEX(Sheet4!$2:$1605,MATCH(ChiTietKQKD[[#This Row],[Mã CP]],Sheet4!$B$2:$B$1605,0),_xlfn.XMATCH("*Tăng trưởng lợi nhuận sau thuế (YoY) (Quý*",Sheet4!$1:$1,2)),"")</f>
        <v>0</v>
      </c>
      <c r="P924" s="10" cm="1">
        <f t="array" ref="P924">IFERROR(INDEX(Sheet4!$2:$1605,MATCH(ChiTietKQKD[[#This Row],[Mã CP]],Sheet4!$B$2:$B$1605,0),_xlfn.XMATCH("*Tăng trưởng lợi nhuận sau thuế (YoY) (6M)*",Sheet4!$1:$1,2)),"")</f>
        <v>0</v>
      </c>
      <c r="Q924" s="10" cm="1">
        <f t="array" ref="Q924">IFERROR(INDEX(Sheet4!$2:$1605,MATCH(ChiTietKQKD[[#This Row],[Mã CP]],Sheet4!$B$2:$B$1605,0),_xlfn.XMATCH("*Tăng trưởng doanh thu thuần (QoQ)*",Sheet4!$1:$1,2)),"")</f>
        <v>0</v>
      </c>
      <c r="R924" s="10" cm="1">
        <f t="array" ref="R924">IFERROR(INDEX(Sheet4!$2:$1605,MATCH(ChiTietKQKD[[#This Row],[Mã CP]],Sheet4!$B$2:$B$1605,0),_xlfn.XMATCH("*Tăng trưởng lợi nhuận sau thuế (QoQ)*",Sheet4!$1:$1,2)),"")</f>
        <v>0</v>
      </c>
    </row>
    <row r="925" spans="1:18" x14ac:dyDescent="0.25">
      <c r="A925" s="7">
        <f>Sheet4!A904</f>
        <v>903</v>
      </c>
      <c r="B925" t="str">
        <f>Sheet4!B904</f>
        <v>DCS</v>
      </c>
      <c r="C925" t="str">
        <f>Sheet4!C903</f>
        <v>Gạch men COSEVCO</v>
      </c>
      <c r="D925" t="str">
        <f>Sheet4!D904</f>
        <v>UPCoM</v>
      </c>
      <c r="E925" s="7">
        <f>Sheet4!AH904/1000000000</f>
        <v>42.216673100000001</v>
      </c>
      <c r="F925" t="str">
        <f>Sheet4!E904</f>
        <v>Hàng Tiêu dùng</v>
      </c>
      <c r="G925" t="str">
        <f>Sheet4!F904</f>
        <v>Hàng cá nhân &amp; Gia dụng</v>
      </c>
      <c r="H925" t="str">
        <f>Sheet4!G904</f>
        <v>Thiết bị gia dụng</v>
      </c>
      <c r="I925" s="9" t="str" cm="1">
        <f t="array" ref="I92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25" s="9" t="str" cm="1">
        <f t="array" ref="J92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25" s="10" cm="1">
        <f t="array" ref="K92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25" s="10" cm="1">
        <f t="array" ref="L92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25" s="9" t="str" cm="1">
        <f t="array" ref="M92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25" s="9" t="str" cm="1">
        <f t="array" ref="N92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25" s="10" cm="1">
        <f t="array" ref="O925">IFERROR(INDEX(Sheet4!$2:$1605,MATCH(ChiTietKQKD[[#This Row],[Mã CP]],Sheet4!$B$2:$B$1605,0),_xlfn.XMATCH("*Tăng trưởng lợi nhuận sau thuế (YoY) (Quý*",Sheet4!$1:$1,2)),"")</f>
        <v>0</v>
      </c>
      <c r="P925" s="10" cm="1">
        <f t="array" ref="P925">IFERROR(INDEX(Sheet4!$2:$1605,MATCH(ChiTietKQKD[[#This Row],[Mã CP]],Sheet4!$B$2:$B$1605,0),_xlfn.XMATCH("*Tăng trưởng lợi nhuận sau thuế (YoY) (6M)*",Sheet4!$1:$1,2)),"")</f>
        <v>0</v>
      </c>
      <c r="Q925" s="10" cm="1">
        <f t="array" ref="Q925">IFERROR(INDEX(Sheet4!$2:$1605,MATCH(ChiTietKQKD[[#This Row],[Mã CP]],Sheet4!$B$2:$B$1605,0),_xlfn.XMATCH("*Tăng trưởng doanh thu thuần (QoQ)*",Sheet4!$1:$1,2)),"")</f>
        <v>0</v>
      </c>
      <c r="R925" s="10" cm="1">
        <f t="array" ref="R925">IFERROR(INDEX(Sheet4!$2:$1605,MATCH(ChiTietKQKD[[#This Row],[Mã CP]],Sheet4!$B$2:$B$1605,0),_xlfn.XMATCH("*Tăng trưởng lợi nhuận sau thuế (QoQ)*",Sheet4!$1:$1,2)),"")</f>
        <v>0</v>
      </c>
    </row>
    <row r="926" spans="1:18" x14ac:dyDescent="0.25">
      <c r="A926" s="7">
        <f>Sheet4!A905</f>
        <v>904</v>
      </c>
      <c r="B926" t="str">
        <f>Sheet4!B905</f>
        <v>DCT</v>
      </c>
      <c r="C926" t="str">
        <f>Sheet4!C904</f>
        <v>Tập đoàn EDX</v>
      </c>
      <c r="D926" t="str">
        <f>Sheet4!D905</f>
        <v>UPCoM</v>
      </c>
      <c r="E926" s="7">
        <f>Sheet4!AH905/1000000000</f>
        <v>13.6118235</v>
      </c>
      <c r="F926" t="str">
        <f>Sheet4!E905</f>
        <v>Công nghiệp</v>
      </c>
      <c r="G926" t="str">
        <f>Sheet4!F905</f>
        <v>Xây dựng và Vật liệu</v>
      </c>
      <c r="H926" t="str">
        <f>Sheet4!G905</f>
        <v>Vật liệu xây dựng &amp; Nội thất</v>
      </c>
      <c r="I926" s="9" cm="1">
        <f t="array" ref="I92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167.61090170099999</v>
      </c>
      <c r="J926" s="9" cm="1">
        <f t="array" ref="J92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298.29384495800002</v>
      </c>
      <c r="K926" s="10" cm="1">
        <f t="array" ref="K92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0.99629999999999996</v>
      </c>
      <c r="L926" s="10" cm="1">
        <f t="array" ref="L92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26" s="9" cm="1">
        <f t="array" ref="M926">_xlfn.LET(_xlpm.val,IFERROR(INDEX(Sheet4!$2:$1605,MATCH(ChiTietKQKD[[#This Row],[Mã CP]],Sheet4!$B$2:$B$1605,0),_xlfn.XMATCH("*Lợi nhuận sau thuế*Q2*2026*",Sheet4!$1:$1,2)),0),IF(OR(_xlpm.val="",_xlpm.val=0),"",_xlpm.val/1000000000))</f>
        <v>-12.690734232000001</v>
      </c>
      <c r="N926" s="9" cm="1">
        <f t="array" ref="N926">_xlfn.LET(_xlpm.val,IFERROR(INDEX(Sheet4!$2:$1605,MATCH(ChiTietKQKD[[#This Row],[Mã CP]],Sheet4!$B$2:$B$1605,0),_xlfn.XMATCH("*Lợi nhuận sau thuế*6 tháng*2026*",Sheet4!$1:$1,2)),0),IF(OR(_xlpm.val="",_xlpm.val=0),"",_xlpm.val/1000000000))</f>
        <v>-30.738646391</v>
      </c>
      <c r="O926" s="10" cm="1">
        <f t="array" ref="O926">IFERROR(INDEX(Sheet4!$2:$1605,MATCH(ChiTietKQKD[[#This Row],[Mã CP]],Sheet4!$B$2:$B$1605,0),_xlfn.XMATCH("*Tăng trưởng lợi nhuận sau thuế (YoY) (Quý*",Sheet4!$1:$1,2)),"")</f>
        <v>0.123</v>
      </c>
      <c r="P926" s="10" cm="1">
        <f t="array" ref="P926">IFERROR(INDEX(Sheet4!$2:$1605,MATCH(ChiTietKQKD[[#This Row],[Mã CP]],Sheet4!$B$2:$B$1605,0),_xlfn.XMATCH("*Tăng trưởng lợi nhuận sau thuế (YoY) (6M)*",Sheet4!$1:$1,2)),"")</f>
        <v>0</v>
      </c>
      <c r="Q926" s="10" cm="1">
        <f t="array" ref="Q926">IFERROR(INDEX(Sheet4!$2:$1605,MATCH(ChiTietKQKD[[#This Row],[Mã CP]],Sheet4!$B$2:$B$1605,0),_xlfn.XMATCH("*Tăng trưởng doanh thu thuần (QoQ)*",Sheet4!$1:$1,2)),"")</f>
        <v>0.28260000000000002</v>
      </c>
      <c r="R926" s="10" cm="1">
        <f t="array" ref="R926">IFERROR(INDEX(Sheet4!$2:$1605,MATCH(ChiTietKQKD[[#This Row],[Mã CP]],Sheet4!$B$2:$B$1605,0),_xlfn.XMATCH("*Tăng trưởng lợi nhuận sau thuế (QoQ)*",Sheet4!$1:$1,2)),"")</f>
        <v>0.29680000000000001</v>
      </c>
    </row>
    <row r="927" spans="1:18" x14ac:dyDescent="0.25">
      <c r="A927" s="7">
        <f>Sheet4!A906</f>
        <v>905</v>
      </c>
      <c r="B927" t="str">
        <f>Sheet4!B906</f>
        <v>DCV</v>
      </c>
      <c r="C927" t="str">
        <f>Sheet4!C905</f>
        <v>Tấm lợp VLXD Đồng Nai</v>
      </c>
      <c r="D927" t="str">
        <f>Sheet4!D906</f>
        <v>UPCoM</v>
      </c>
      <c r="E927" s="7">
        <f>Sheet4!AH906/1000000000</f>
        <v>4056.1485899999998</v>
      </c>
      <c r="F927" t="str">
        <f>Sheet4!E906</f>
        <v>Tài chính</v>
      </c>
      <c r="G927" t="str">
        <f>Sheet4!F906</f>
        <v>Dịch vụ tài chính</v>
      </c>
      <c r="H927" t="str">
        <f>Sheet4!G906</f>
        <v>Quản lý tài sản</v>
      </c>
      <c r="I927" s="9" t="str" cm="1">
        <f t="array" ref="I92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27" s="9" t="str" cm="1">
        <f t="array" ref="J92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27" s="10" cm="1">
        <f t="array" ref="K92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27" s="10" cm="1">
        <f t="array" ref="L92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27" s="9" t="str" cm="1">
        <f t="array" ref="M92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27" s="9" t="str" cm="1">
        <f t="array" ref="N92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27" s="10" cm="1">
        <f t="array" ref="O927">IFERROR(INDEX(Sheet4!$2:$1605,MATCH(ChiTietKQKD[[#This Row],[Mã CP]],Sheet4!$B$2:$B$1605,0),_xlfn.XMATCH("*Tăng trưởng lợi nhuận sau thuế (YoY) (Quý*",Sheet4!$1:$1,2)),"")</f>
        <v>0</v>
      </c>
      <c r="P927" s="10" cm="1">
        <f t="array" ref="P927">IFERROR(INDEX(Sheet4!$2:$1605,MATCH(ChiTietKQKD[[#This Row],[Mã CP]],Sheet4!$B$2:$B$1605,0),_xlfn.XMATCH("*Tăng trưởng lợi nhuận sau thuế (YoY) (6M)*",Sheet4!$1:$1,2)),"")</f>
        <v>0</v>
      </c>
      <c r="Q927" s="10" cm="1">
        <f t="array" ref="Q927">IFERROR(INDEX(Sheet4!$2:$1605,MATCH(ChiTietKQKD[[#This Row],[Mã CP]],Sheet4!$B$2:$B$1605,0),_xlfn.XMATCH("*Tăng trưởng doanh thu thuần (QoQ)*",Sheet4!$1:$1,2)),"")</f>
        <v>0</v>
      </c>
      <c r="R927" s="10" cm="1">
        <f t="array" ref="R927">IFERROR(INDEX(Sheet4!$2:$1605,MATCH(ChiTietKQKD[[#This Row],[Mã CP]],Sheet4!$B$2:$B$1605,0),_xlfn.XMATCH("*Tăng trưởng lợi nhuận sau thuế (QoQ)*",Sheet4!$1:$1,2)),"")</f>
        <v>0</v>
      </c>
    </row>
    <row r="928" spans="1:18" x14ac:dyDescent="0.25">
      <c r="A928" s="7">
        <f>Sheet4!A907</f>
        <v>906</v>
      </c>
      <c r="B928" t="str">
        <f>Sheet4!B907</f>
        <v>DDB</v>
      </c>
      <c r="C928" t="str">
        <f>Sheet4!C906</f>
        <v>Quản Lý Quỹ Dragon Capital Việt Nam</v>
      </c>
      <c r="D928" t="str">
        <f>Sheet4!D907</f>
        <v>UPCoM</v>
      </c>
      <c r="E928" s="7">
        <f>Sheet4!AH907/1000000000</f>
        <v>122.44799999999999</v>
      </c>
      <c r="F928" t="str">
        <f>Sheet4!E907</f>
        <v>Công nghiệp</v>
      </c>
      <c r="G928" t="str">
        <f>Sheet4!F907</f>
        <v>Xây dựng và Vật liệu</v>
      </c>
      <c r="H928" t="str">
        <f>Sheet4!G907</f>
        <v>Vật liệu xây dựng &amp; Nội thất</v>
      </c>
      <c r="I928" s="9" t="str" cm="1">
        <f t="array" ref="I92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28" s="9" t="str" cm="1">
        <f t="array" ref="J92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28" s="10" cm="1">
        <f t="array" ref="K92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28" s="10" cm="1">
        <f t="array" ref="L92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28" s="9" t="str" cm="1">
        <f t="array" ref="M92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28" s="9" t="str" cm="1">
        <f t="array" ref="N92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28" s="10" cm="1">
        <f t="array" ref="O928">IFERROR(INDEX(Sheet4!$2:$1605,MATCH(ChiTietKQKD[[#This Row],[Mã CP]],Sheet4!$B$2:$B$1605,0),_xlfn.XMATCH("*Tăng trưởng lợi nhuận sau thuế (YoY) (Quý*",Sheet4!$1:$1,2)),"")</f>
        <v>0</v>
      </c>
      <c r="P928" s="10" cm="1">
        <f t="array" ref="P928">IFERROR(INDEX(Sheet4!$2:$1605,MATCH(ChiTietKQKD[[#This Row],[Mã CP]],Sheet4!$B$2:$B$1605,0),_xlfn.XMATCH("*Tăng trưởng lợi nhuận sau thuế (YoY) (6M)*",Sheet4!$1:$1,2)),"")</f>
        <v>0</v>
      </c>
      <c r="Q928" s="10" cm="1">
        <f t="array" ref="Q928">IFERROR(INDEX(Sheet4!$2:$1605,MATCH(ChiTietKQKD[[#This Row],[Mã CP]],Sheet4!$B$2:$B$1605,0),_xlfn.XMATCH("*Tăng trưởng doanh thu thuần (QoQ)*",Sheet4!$1:$1,2)),"")</f>
        <v>0</v>
      </c>
      <c r="R928" s="10" cm="1">
        <f t="array" ref="R928">IFERROR(INDEX(Sheet4!$2:$1605,MATCH(ChiTietKQKD[[#This Row],[Mã CP]],Sheet4!$B$2:$B$1605,0),_xlfn.XMATCH("*Tăng trưởng lợi nhuận sau thuế (QoQ)*",Sheet4!$1:$1,2)),"")</f>
        <v>0</v>
      </c>
    </row>
    <row r="929" spans="1:18" x14ac:dyDescent="0.25">
      <c r="A929" s="7">
        <f>Sheet4!A908</f>
        <v>907</v>
      </c>
      <c r="B929" t="str">
        <f>Sheet4!B908</f>
        <v>DDG</v>
      </c>
      <c r="C929" t="str">
        <f>Sheet4!C907</f>
        <v>TM &amp; XD Đông Dương</v>
      </c>
      <c r="D929" t="str">
        <f>Sheet4!D908</f>
        <v>UPCoM</v>
      </c>
      <c r="E929" s="7">
        <f>Sheet4!AH908/1000000000</f>
        <v>72.015577171999993</v>
      </c>
      <c r="F929" t="str">
        <f>Sheet4!E908</f>
        <v>Tiện ích Cộng đồng</v>
      </c>
      <c r="G929" t="str">
        <f>Sheet4!F908</f>
        <v>Điện, nước &amp; xăng dầu khí đốt</v>
      </c>
      <c r="H929" t="str">
        <f>Sheet4!G908</f>
        <v>Phân phối xăng dầu &amp; khí đốt</v>
      </c>
      <c r="I929" s="9" t="str" cm="1">
        <f t="array" ref="I92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29" s="9" t="str" cm="1">
        <f t="array" ref="J92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29" s="10" cm="1">
        <f t="array" ref="K92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29" s="10" cm="1">
        <f t="array" ref="L92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29" s="9" t="str" cm="1">
        <f t="array" ref="M92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29" s="9" t="str" cm="1">
        <f t="array" ref="N92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29" s="10" cm="1">
        <f t="array" ref="O929">IFERROR(INDEX(Sheet4!$2:$1605,MATCH(ChiTietKQKD[[#This Row],[Mã CP]],Sheet4!$B$2:$B$1605,0),_xlfn.XMATCH("*Tăng trưởng lợi nhuận sau thuế (YoY) (Quý*",Sheet4!$1:$1,2)),"")</f>
        <v>0</v>
      </c>
      <c r="P929" s="10" cm="1">
        <f t="array" ref="P929">IFERROR(INDEX(Sheet4!$2:$1605,MATCH(ChiTietKQKD[[#This Row],[Mã CP]],Sheet4!$B$2:$B$1605,0),_xlfn.XMATCH("*Tăng trưởng lợi nhuận sau thuế (YoY) (6M)*",Sheet4!$1:$1,2)),"")</f>
        <v>0</v>
      </c>
      <c r="Q929" s="10" cm="1">
        <f t="array" ref="Q929">IFERROR(INDEX(Sheet4!$2:$1605,MATCH(ChiTietKQKD[[#This Row],[Mã CP]],Sheet4!$B$2:$B$1605,0),_xlfn.XMATCH("*Tăng trưởng doanh thu thuần (QoQ)*",Sheet4!$1:$1,2)),"")</f>
        <v>0</v>
      </c>
      <c r="R929" s="10" cm="1">
        <f t="array" ref="R929">IFERROR(INDEX(Sheet4!$2:$1605,MATCH(ChiTietKQKD[[#This Row],[Mã CP]],Sheet4!$B$2:$B$1605,0),_xlfn.XMATCH("*Tăng trưởng lợi nhuận sau thuế (QoQ)*",Sheet4!$1:$1,2)),"")</f>
        <v>0</v>
      </c>
    </row>
    <row r="930" spans="1:18" x14ac:dyDescent="0.25">
      <c r="A930" s="7">
        <f>Sheet4!A909</f>
        <v>908</v>
      </c>
      <c r="B930" t="str">
        <f>Sheet4!B909</f>
        <v>DDH</v>
      </c>
      <c r="C930" t="str">
        <f>Sheet4!C908</f>
        <v>Đầu tư CN XNK Đông Dương</v>
      </c>
      <c r="D930" t="str">
        <f>Sheet4!D909</f>
        <v>UPCoM</v>
      </c>
      <c r="E930" s="7">
        <f>Sheet4!AH909/1000000000</f>
        <v>17.64</v>
      </c>
      <c r="F930" t="str">
        <f>Sheet4!E909</f>
        <v>Công nghiệp</v>
      </c>
      <c r="G930" t="str">
        <f>Sheet4!F909</f>
        <v>Hàng &amp; Dịch vụ Công nghiệp</v>
      </c>
      <c r="H930" t="str">
        <f>Sheet4!G909</f>
        <v>Kho bãi, hậu cần và bảo dưỡng</v>
      </c>
      <c r="I930" s="9" t="str" cm="1">
        <f t="array" ref="I93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30" s="9" t="str" cm="1">
        <f t="array" ref="J93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30" s="10" cm="1">
        <f t="array" ref="K93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30" s="10" cm="1">
        <f t="array" ref="L93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30" s="9" t="str" cm="1">
        <f t="array" ref="M93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30" s="9" t="str" cm="1">
        <f t="array" ref="N93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30" s="10" cm="1">
        <f t="array" ref="O930">IFERROR(INDEX(Sheet4!$2:$1605,MATCH(ChiTietKQKD[[#This Row],[Mã CP]],Sheet4!$B$2:$B$1605,0),_xlfn.XMATCH("*Tăng trưởng lợi nhuận sau thuế (YoY) (Quý*",Sheet4!$1:$1,2)),"")</f>
        <v>0</v>
      </c>
      <c r="P930" s="10" cm="1">
        <f t="array" ref="P930">IFERROR(INDEX(Sheet4!$2:$1605,MATCH(ChiTietKQKD[[#This Row],[Mã CP]],Sheet4!$B$2:$B$1605,0),_xlfn.XMATCH("*Tăng trưởng lợi nhuận sau thuế (YoY) (6M)*",Sheet4!$1:$1,2)),"")</f>
        <v>0</v>
      </c>
      <c r="Q930" s="10" cm="1">
        <f t="array" ref="Q930">IFERROR(INDEX(Sheet4!$2:$1605,MATCH(ChiTietKQKD[[#This Row],[Mã CP]],Sheet4!$B$2:$B$1605,0),_xlfn.XMATCH("*Tăng trưởng doanh thu thuần (QoQ)*",Sheet4!$1:$1,2)),"")</f>
        <v>0</v>
      </c>
      <c r="R930" s="10" cm="1">
        <f t="array" ref="R930">IFERROR(INDEX(Sheet4!$2:$1605,MATCH(ChiTietKQKD[[#This Row],[Mã CP]],Sheet4!$B$2:$B$1605,0),_xlfn.XMATCH("*Tăng trưởng lợi nhuận sau thuế (QoQ)*",Sheet4!$1:$1,2)),"")</f>
        <v>0</v>
      </c>
    </row>
    <row r="931" spans="1:18" x14ac:dyDescent="0.25">
      <c r="A931" s="7">
        <f>Sheet4!A910</f>
        <v>909</v>
      </c>
      <c r="B931" t="str">
        <f>Sheet4!B910</f>
        <v>DDM</v>
      </c>
      <c r="C931" t="str">
        <f>Sheet4!C909</f>
        <v>Đảm bảo GTĐT Hải Phòng</v>
      </c>
      <c r="D931" t="str">
        <f>Sheet4!D910</f>
        <v>UPCoM</v>
      </c>
      <c r="E931" s="7">
        <f>Sheet4!AH910/1000000000</f>
        <v>20.815636399999999</v>
      </c>
      <c r="F931" t="str">
        <f>Sheet4!E910</f>
        <v>Công nghiệp</v>
      </c>
      <c r="G931" t="str">
        <f>Sheet4!F910</f>
        <v>Hàng &amp; Dịch vụ Công nghiệp</v>
      </c>
      <c r="H931" t="str">
        <f>Sheet4!G910</f>
        <v>Vận tải Thủy</v>
      </c>
      <c r="I931" s="9" t="str" cm="1">
        <f t="array" ref="I93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31" s="9" t="str" cm="1">
        <f t="array" ref="J93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31" s="10" cm="1">
        <f t="array" ref="K93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31" s="10" cm="1">
        <f t="array" ref="L93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31" s="9" t="str" cm="1">
        <f t="array" ref="M93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31" s="9" t="str" cm="1">
        <f t="array" ref="N93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31" s="10" cm="1">
        <f t="array" ref="O931">IFERROR(INDEX(Sheet4!$2:$1605,MATCH(ChiTietKQKD[[#This Row],[Mã CP]],Sheet4!$B$2:$B$1605,0),_xlfn.XMATCH("*Tăng trưởng lợi nhuận sau thuế (YoY) (Quý*",Sheet4!$1:$1,2)),"")</f>
        <v>0</v>
      </c>
      <c r="P931" s="10" cm="1">
        <f t="array" ref="P931">IFERROR(INDEX(Sheet4!$2:$1605,MATCH(ChiTietKQKD[[#This Row],[Mã CP]],Sheet4!$B$2:$B$1605,0),_xlfn.XMATCH("*Tăng trưởng lợi nhuận sau thuế (YoY) (6M)*",Sheet4!$1:$1,2)),"")</f>
        <v>0</v>
      </c>
      <c r="Q931" s="10" cm="1">
        <f t="array" ref="Q931">IFERROR(INDEX(Sheet4!$2:$1605,MATCH(ChiTietKQKD[[#This Row],[Mã CP]],Sheet4!$B$2:$B$1605,0),_xlfn.XMATCH("*Tăng trưởng doanh thu thuần (QoQ)*",Sheet4!$1:$1,2)),"")</f>
        <v>0</v>
      </c>
      <c r="R931" s="10" cm="1">
        <f t="array" ref="R931">IFERROR(INDEX(Sheet4!$2:$1605,MATCH(ChiTietKQKD[[#This Row],[Mã CP]],Sheet4!$B$2:$B$1605,0),_xlfn.XMATCH("*Tăng trưởng lợi nhuận sau thuế (QoQ)*",Sheet4!$1:$1,2)),"")</f>
        <v>0</v>
      </c>
    </row>
    <row r="932" spans="1:18" x14ac:dyDescent="0.25">
      <c r="A932" s="7">
        <f>Sheet4!A911</f>
        <v>910</v>
      </c>
      <c r="B932" t="str">
        <f>Sheet4!B911</f>
        <v>DDN</v>
      </c>
      <c r="C932" t="str">
        <f>Sheet4!C910</f>
        <v>Hàng hải Đông Đô</v>
      </c>
      <c r="D932" t="str">
        <f>Sheet4!D911</f>
        <v>UPCoM</v>
      </c>
      <c r="E932" s="7">
        <f>Sheet4!AH911/1000000000</f>
        <v>173.073837037</v>
      </c>
      <c r="F932" t="str">
        <f>Sheet4!E911</f>
        <v>Dược phẩm và Y tế</v>
      </c>
      <c r="G932" t="str">
        <f>Sheet4!F911</f>
        <v>Y tế</v>
      </c>
      <c r="H932" t="str">
        <f>Sheet4!G911</f>
        <v>Dược phẩm</v>
      </c>
      <c r="I932" s="9" cm="1">
        <f t="array" ref="I93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313.957390772</v>
      </c>
      <c r="J932" s="9" cm="1">
        <f t="array" ref="J93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612.71129834700002</v>
      </c>
      <c r="K932" s="10" cm="1">
        <f t="array" ref="K93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0.55920000000000003</v>
      </c>
      <c r="L932" s="10" cm="1">
        <f t="array" ref="L93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32" s="9" cm="1">
        <f t="array" ref="M932">_xlfn.LET(_xlpm.val,IFERROR(INDEX(Sheet4!$2:$1605,MATCH(ChiTietKQKD[[#This Row],[Mã CP]],Sheet4!$B$2:$B$1605,0),_xlfn.XMATCH("*Lợi nhuận sau thuế*Q2*2026*",Sheet4!$1:$1,2)),0),IF(OR(_xlpm.val="",_xlpm.val=0),"",_xlpm.val/1000000000))</f>
        <v>2.1638512680000002</v>
      </c>
      <c r="N932" s="9" cm="1">
        <f t="array" ref="N932">_xlfn.LET(_xlpm.val,IFERROR(INDEX(Sheet4!$2:$1605,MATCH(ChiTietKQKD[[#This Row],[Mã CP]],Sheet4!$B$2:$B$1605,0),_xlfn.XMATCH("*Lợi nhuận sau thuế*6 tháng*2026*",Sheet4!$1:$1,2)),0),IF(OR(_xlpm.val="",_xlpm.val=0),"",_xlpm.val/1000000000))</f>
        <v>4.57984291</v>
      </c>
      <c r="O932" s="10" cm="1">
        <f t="array" ref="O932">IFERROR(INDEX(Sheet4!$2:$1605,MATCH(ChiTietKQKD[[#This Row],[Mã CP]],Sheet4!$B$2:$B$1605,0),_xlfn.XMATCH("*Tăng trưởng lợi nhuận sau thuế (YoY) (Quý*",Sheet4!$1:$1,2)),"")</f>
        <v>8.4390000000000001</v>
      </c>
      <c r="P932" s="10" cm="1">
        <f t="array" ref="P932">IFERROR(INDEX(Sheet4!$2:$1605,MATCH(ChiTietKQKD[[#This Row],[Mã CP]],Sheet4!$B$2:$B$1605,0),_xlfn.XMATCH("*Tăng trưởng lợi nhuận sau thuế (YoY) (6M)*",Sheet4!$1:$1,2)),"")</f>
        <v>0</v>
      </c>
      <c r="Q932" s="10" cm="1">
        <f t="array" ref="Q932">IFERROR(INDEX(Sheet4!$2:$1605,MATCH(ChiTietKQKD[[#This Row],[Mã CP]],Sheet4!$B$2:$B$1605,0),_xlfn.XMATCH("*Tăng trưởng doanh thu thuần (QoQ)*",Sheet4!$1:$1,2)),"")</f>
        <v>5.0900000000000001E-2</v>
      </c>
      <c r="R932" s="10" cm="1">
        <f t="array" ref="R932">IFERROR(INDEX(Sheet4!$2:$1605,MATCH(ChiTietKQKD[[#This Row],[Mã CP]],Sheet4!$B$2:$B$1605,0),_xlfn.XMATCH("*Tăng trưởng lợi nhuận sau thuế (QoQ)*",Sheet4!$1:$1,2)),"")</f>
        <v>-0.10440000000000001</v>
      </c>
    </row>
    <row r="933" spans="1:18" x14ac:dyDescent="0.25">
      <c r="A933" s="7">
        <f>Sheet4!A912</f>
        <v>911</v>
      </c>
      <c r="B933" t="str">
        <f>Sheet4!B912</f>
        <v>DDV</v>
      </c>
      <c r="C933" t="str">
        <f>Sheet4!C911</f>
        <v>Dược - TB Y tế Đà Nẵng</v>
      </c>
      <c r="D933" t="str">
        <f>Sheet4!D912</f>
        <v>UPCoM</v>
      </c>
      <c r="E933" s="7">
        <f>Sheet4!AH912/1000000000</f>
        <v>2815.3916631000002</v>
      </c>
      <c r="F933" t="str">
        <f>Sheet4!E912</f>
        <v>Nguyên vật liệu</v>
      </c>
      <c r="G933" t="str">
        <f>Sheet4!F912</f>
        <v>Hóa chất</v>
      </c>
      <c r="H933" t="str">
        <f>Sheet4!G912</f>
        <v>Sản phẩm hóa dầu, Nông dược &amp; Hóa chất khác</v>
      </c>
      <c r="I933" s="9" t="str" cm="1">
        <f t="array" ref="I93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33" s="9" t="str" cm="1">
        <f t="array" ref="J93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33" s="10" cm="1">
        <f t="array" ref="K93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33" s="10" cm="1">
        <f t="array" ref="L93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33" s="9" t="str" cm="1">
        <f t="array" ref="M93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33" s="9" t="str" cm="1">
        <f t="array" ref="N93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33" s="10" cm="1">
        <f t="array" ref="O933">IFERROR(INDEX(Sheet4!$2:$1605,MATCH(ChiTietKQKD[[#This Row],[Mã CP]],Sheet4!$B$2:$B$1605,0),_xlfn.XMATCH("*Tăng trưởng lợi nhuận sau thuế (YoY) (Quý*",Sheet4!$1:$1,2)),"")</f>
        <v>0</v>
      </c>
      <c r="P933" s="10" cm="1">
        <f t="array" ref="P933">IFERROR(INDEX(Sheet4!$2:$1605,MATCH(ChiTietKQKD[[#This Row],[Mã CP]],Sheet4!$B$2:$B$1605,0),_xlfn.XMATCH("*Tăng trưởng lợi nhuận sau thuế (YoY) (6M)*",Sheet4!$1:$1,2)),"")</f>
        <v>0</v>
      </c>
      <c r="Q933" s="10" cm="1">
        <f t="array" ref="Q933">IFERROR(INDEX(Sheet4!$2:$1605,MATCH(ChiTietKQKD[[#This Row],[Mã CP]],Sheet4!$B$2:$B$1605,0),_xlfn.XMATCH("*Tăng trưởng doanh thu thuần (QoQ)*",Sheet4!$1:$1,2)),"")</f>
        <v>0</v>
      </c>
      <c r="R933" s="10" cm="1">
        <f t="array" ref="R933">IFERROR(INDEX(Sheet4!$2:$1605,MATCH(ChiTietKQKD[[#This Row],[Mã CP]],Sheet4!$B$2:$B$1605,0),_xlfn.XMATCH("*Tăng trưởng lợi nhuận sau thuế (QoQ)*",Sheet4!$1:$1,2)),"")</f>
        <v>0</v>
      </c>
    </row>
    <row r="934" spans="1:18" x14ac:dyDescent="0.25">
      <c r="A934" s="7">
        <f>Sheet4!A913</f>
        <v>912</v>
      </c>
      <c r="B934" t="str">
        <f>Sheet4!B913</f>
        <v>DFC</v>
      </c>
      <c r="C934" t="str">
        <f>Sheet4!C912</f>
        <v>DAP - Vinachem</v>
      </c>
      <c r="D934" t="str">
        <f>Sheet4!D913</f>
        <v>UPCoM</v>
      </c>
      <c r="E934" s="7">
        <f>Sheet4!AH913/1000000000</f>
        <v>326.30220000000003</v>
      </c>
      <c r="F934" t="str">
        <f>Sheet4!E913</f>
        <v>Nguyên vật liệu</v>
      </c>
      <c r="G934" t="str">
        <f>Sheet4!F913</f>
        <v>Tài nguyên Cơ bản</v>
      </c>
      <c r="H934" t="str">
        <f>Sheet4!G913</f>
        <v>Thép và sản phẩm thép</v>
      </c>
      <c r="I934" s="9" t="str" cm="1">
        <f t="array" ref="I93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34" s="9" t="str" cm="1">
        <f t="array" ref="J93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34" s="10" cm="1">
        <f t="array" ref="K93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34" s="10" cm="1">
        <f t="array" ref="L93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34" s="9" t="str" cm="1">
        <f t="array" ref="M93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34" s="9" t="str" cm="1">
        <f t="array" ref="N93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34" s="10" cm="1">
        <f t="array" ref="O934">IFERROR(INDEX(Sheet4!$2:$1605,MATCH(ChiTietKQKD[[#This Row],[Mã CP]],Sheet4!$B$2:$B$1605,0),_xlfn.XMATCH("*Tăng trưởng lợi nhuận sau thuế (YoY) (Quý*",Sheet4!$1:$1,2)),"")</f>
        <v>0</v>
      </c>
      <c r="P934" s="10" cm="1">
        <f t="array" ref="P934">IFERROR(INDEX(Sheet4!$2:$1605,MATCH(ChiTietKQKD[[#This Row],[Mã CP]],Sheet4!$B$2:$B$1605,0),_xlfn.XMATCH("*Tăng trưởng lợi nhuận sau thuế (YoY) (6M)*",Sheet4!$1:$1,2)),"")</f>
        <v>0</v>
      </c>
      <c r="Q934" s="10" cm="1">
        <f t="array" ref="Q934">IFERROR(INDEX(Sheet4!$2:$1605,MATCH(ChiTietKQKD[[#This Row],[Mã CP]],Sheet4!$B$2:$B$1605,0),_xlfn.XMATCH("*Tăng trưởng doanh thu thuần (QoQ)*",Sheet4!$1:$1,2)),"")</f>
        <v>0</v>
      </c>
      <c r="R934" s="10" cm="1">
        <f t="array" ref="R934">IFERROR(INDEX(Sheet4!$2:$1605,MATCH(ChiTietKQKD[[#This Row],[Mã CP]],Sheet4!$B$2:$B$1605,0),_xlfn.XMATCH("*Tăng trưởng lợi nhuận sau thuế (QoQ)*",Sheet4!$1:$1,2)),"")</f>
        <v>0</v>
      </c>
    </row>
    <row r="935" spans="1:18" x14ac:dyDescent="0.25">
      <c r="A935" s="7">
        <f>Sheet4!A914</f>
        <v>913</v>
      </c>
      <c r="B935" t="str">
        <f>Sheet4!B914</f>
        <v>DFF</v>
      </c>
      <c r="C935" t="str">
        <f>Sheet4!C913</f>
        <v>Xích líp Đông Anh</v>
      </c>
      <c r="D935" t="str">
        <f>Sheet4!D914</f>
        <v>UPCoM</v>
      </c>
      <c r="E935" s="7">
        <f>Sheet4!AH914/1000000000</f>
        <v>40</v>
      </c>
      <c r="F935" t="str">
        <f>Sheet4!E914</f>
        <v>Công nghiệp</v>
      </c>
      <c r="G935" t="str">
        <f>Sheet4!F914</f>
        <v>Xây dựng và Vật liệu</v>
      </c>
      <c r="H935" t="str">
        <f>Sheet4!G914</f>
        <v>Xây dựng</v>
      </c>
      <c r="I935" s="9" t="str" cm="1">
        <f t="array" ref="I93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35" s="9" t="str" cm="1">
        <f t="array" ref="J93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35" s="10" cm="1">
        <f t="array" ref="K93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35" s="10" cm="1">
        <f t="array" ref="L93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35" s="9" t="str" cm="1">
        <f t="array" ref="M93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35" s="9" t="str" cm="1">
        <f t="array" ref="N93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35" s="10" cm="1">
        <f t="array" ref="O935">IFERROR(INDEX(Sheet4!$2:$1605,MATCH(ChiTietKQKD[[#This Row],[Mã CP]],Sheet4!$B$2:$B$1605,0),_xlfn.XMATCH("*Tăng trưởng lợi nhuận sau thuế (YoY) (Quý*",Sheet4!$1:$1,2)),"")</f>
        <v>0</v>
      </c>
      <c r="P935" s="10" cm="1">
        <f t="array" ref="P935">IFERROR(INDEX(Sheet4!$2:$1605,MATCH(ChiTietKQKD[[#This Row],[Mã CP]],Sheet4!$B$2:$B$1605,0),_xlfn.XMATCH("*Tăng trưởng lợi nhuận sau thuế (YoY) (6M)*",Sheet4!$1:$1,2)),"")</f>
        <v>0</v>
      </c>
      <c r="Q935" s="10" cm="1">
        <f t="array" ref="Q935">IFERROR(INDEX(Sheet4!$2:$1605,MATCH(ChiTietKQKD[[#This Row],[Mã CP]],Sheet4!$B$2:$B$1605,0),_xlfn.XMATCH("*Tăng trưởng doanh thu thuần (QoQ)*",Sheet4!$1:$1,2)),"")</f>
        <v>0</v>
      </c>
      <c r="R935" s="10" cm="1">
        <f t="array" ref="R935">IFERROR(INDEX(Sheet4!$2:$1605,MATCH(ChiTietKQKD[[#This Row],[Mã CP]],Sheet4!$B$2:$B$1605,0),_xlfn.XMATCH("*Tăng trưởng lợi nhuận sau thuế (QoQ)*",Sheet4!$1:$1,2)),"")</f>
        <v>0</v>
      </c>
    </row>
    <row r="936" spans="1:18" x14ac:dyDescent="0.25">
      <c r="A936" s="7">
        <f>Sheet4!A915</f>
        <v>914</v>
      </c>
      <c r="B936" t="str">
        <f>Sheet4!B915</f>
        <v>DGT</v>
      </c>
      <c r="C936" t="str">
        <f>Sheet4!C914</f>
        <v>Tập đoàn Đua Fat</v>
      </c>
      <c r="D936" t="str">
        <f>Sheet4!D915</f>
        <v>UPCoM</v>
      </c>
      <c r="E936" s="7">
        <f>Sheet4!AH915/1000000000</f>
        <v>294.43299999999999</v>
      </c>
      <c r="F936" t="str">
        <f>Sheet4!E915</f>
        <v>Công nghiệp</v>
      </c>
      <c r="G936" t="str">
        <f>Sheet4!F915</f>
        <v>Xây dựng và Vật liệu</v>
      </c>
      <c r="H936" t="str">
        <f>Sheet4!G915</f>
        <v>Vật liệu xây dựng &amp; Nội thất</v>
      </c>
      <c r="I936" s="9" t="str" cm="1">
        <f t="array" ref="I93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36" s="9" t="str" cm="1">
        <f t="array" ref="J93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36" s="10" cm="1">
        <f t="array" ref="K93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36" s="10" cm="1">
        <f t="array" ref="L93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36" s="9" t="str" cm="1">
        <f t="array" ref="M93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36" s="9" t="str" cm="1">
        <f t="array" ref="N93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36" s="10" cm="1">
        <f t="array" ref="O936">IFERROR(INDEX(Sheet4!$2:$1605,MATCH(ChiTietKQKD[[#This Row],[Mã CP]],Sheet4!$B$2:$B$1605,0),_xlfn.XMATCH("*Tăng trưởng lợi nhuận sau thuế (YoY) (Quý*",Sheet4!$1:$1,2)),"")</f>
        <v>0</v>
      </c>
      <c r="P936" s="10" cm="1">
        <f t="array" ref="P936">IFERROR(INDEX(Sheet4!$2:$1605,MATCH(ChiTietKQKD[[#This Row],[Mã CP]],Sheet4!$B$2:$B$1605,0),_xlfn.XMATCH("*Tăng trưởng lợi nhuận sau thuế (YoY) (6M)*",Sheet4!$1:$1,2)),"")</f>
        <v>0</v>
      </c>
      <c r="Q936" s="10" cm="1">
        <f t="array" ref="Q936">IFERROR(INDEX(Sheet4!$2:$1605,MATCH(ChiTietKQKD[[#This Row],[Mã CP]],Sheet4!$B$2:$B$1605,0),_xlfn.XMATCH("*Tăng trưởng doanh thu thuần (QoQ)*",Sheet4!$1:$1,2)),"")</f>
        <v>0</v>
      </c>
      <c r="R936" s="10" cm="1">
        <f t="array" ref="R936">IFERROR(INDEX(Sheet4!$2:$1605,MATCH(ChiTietKQKD[[#This Row],[Mã CP]],Sheet4!$B$2:$B$1605,0),_xlfn.XMATCH("*Tăng trưởng lợi nhuận sau thuế (QoQ)*",Sheet4!$1:$1,2)),"")</f>
        <v>0</v>
      </c>
    </row>
    <row r="937" spans="1:18" x14ac:dyDescent="0.25">
      <c r="A937" s="7">
        <f>Sheet4!A916</f>
        <v>915</v>
      </c>
      <c r="B937" t="str">
        <f>Sheet4!B916</f>
        <v>DHB</v>
      </c>
      <c r="C937" t="str">
        <f>Sheet4!C915</f>
        <v>Công trình GT Đồng Nai</v>
      </c>
      <c r="D937" t="str">
        <f>Sheet4!D916</f>
        <v>UPCoM</v>
      </c>
      <c r="E937" s="7">
        <f>Sheet4!AH916/1000000000</f>
        <v>3458.8454000000002</v>
      </c>
      <c r="F937" t="str">
        <f>Sheet4!E916</f>
        <v>Nguyên vật liệu</v>
      </c>
      <c r="G937" t="str">
        <f>Sheet4!F916</f>
        <v>Hóa chất</v>
      </c>
      <c r="H937" t="str">
        <f>Sheet4!G916</f>
        <v>Sản phẩm hóa dầu, Nông dược &amp; Hóa chất khác</v>
      </c>
      <c r="I937" s="9" t="str" cm="1">
        <f t="array" ref="I93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37" s="9" t="str" cm="1">
        <f t="array" ref="J93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37" s="10" cm="1">
        <f t="array" ref="K93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37" s="10" cm="1">
        <f t="array" ref="L93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37" s="9" t="str" cm="1">
        <f t="array" ref="M93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37" s="9" t="str" cm="1">
        <f t="array" ref="N93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37" s="10" cm="1">
        <f t="array" ref="O937">IFERROR(INDEX(Sheet4!$2:$1605,MATCH(ChiTietKQKD[[#This Row],[Mã CP]],Sheet4!$B$2:$B$1605,0),_xlfn.XMATCH("*Tăng trưởng lợi nhuận sau thuế (YoY) (Quý*",Sheet4!$1:$1,2)),"")</f>
        <v>0</v>
      </c>
      <c r="P937" s="10" cm="1">
        <f t="array" ref="P937">IFERROR(INDEX(Sheet4!$2:$1605,MATCH(ChiTietKQKD[[#This Row],[Mã CP]],Sheet4!$B$2:$B$1605,0),_xlfn.XMATCH("*Tăng trưởng lợi nhuận sau thuế (YoY) (6M)*",Sheet4!$1:$1,2)),"")</f>
        <v>0</v>
      </c>
      <c r="Q937" s="10" cm="1">
        <f t="array" ref="Q937">IFERROR(INDEX(Sheet4!$2:$1605,MATCH(ChiTietKQKD[[#This Row],[Mã CP]],Sheet4!$B$2:$B$1605,0),_xlfn.XMATCH("*Tăng trưởng doanh thu thuần (QoQ)*",Sheet4!$1:$1,2)),"")</f>
        <v>0</v>
      </c>
      <c r="R937" s="10" cm="1">
        <f t="array" ref="R937">IFERROR(INDEX(Sheet4!$2:$1605,MATCH(ChiTietKQKD[[#This Row],[Mã CP]],Sheet4!$B$2:$B$1605,0),_xlfn.XMATCH("*Tăng trưởng lợi nhuận sau thuế (QoQ)*",Sheet4!$1:$1,2)),"")</f>
        <v>0</v>
      </c>
    </row>
    <row r="938" spans="1:18" x14ac:dyDescent="0.25">
      <c r="A938" s="7">
        <f>Sheet4!A917</f>
        <v>916</v>
      </c>
      <c r="B938" t="str">
        <f>Sheet4!B917</f>
        <v>DHD</v>
      </c>
      <c r="C938" t="str">
        <f>Sheet4!C916</f>
        <v>Đạm Hà Bắc</v>
      </c>
      <c r="D938" t="str">
        <f>Sheet4!D917</f>
        <v>UPCoM</v>
      </c>
      <c r="E938" s="7">
        <f>Sheet4!AH917/1000000000</f>
        <v>1334.0594277119999</v>
      </c>
      <c r="F938" t="str">
        <f>Sheet4!E917</f>
        <v>Dược phẩm và Y tế</v>
      </c>
      <c r="G938" t="str">
        <f>Sheet4!F917</f>
        <v>Y tế</v>
      </c>
      <c r="H938" t="str">
        <f>Sheet4!G917</f>
        <v>Dược phẩm</v>
      </c>
      <c r="I938" s="9" t="str" cm="1">
        <f t="array" ref="I93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38" s="9" t="str" cm="1">
        <f t="array" ref="J93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38" s="10" cm="1">
        <f t="array" ref="K93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38" s="10" cm="1">
        <f t="array" ref="L93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38" s="9" t="str" cm="1">
        <f t="array" ref="M93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38" s="9" t="str" cm="1">
        <f t="array" ref="N93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38" s="10" cm="1">
        <f t="array" ref="O938">IFERROR(INDEX(Sheet4!$2:$1605,MATCH(ChiTietKQKD[[#This Row],[Mã CP]],Sheet4!$B$2:$B$1605,0),_xlfn.XMATCH("*Tăng trưởng lợi nhuận sau thuế (YoY) (Quý*",Sheet4!$1:$1,2)),"")</f>
        <v>0</v>
      </c>
      <c r="P938" s="10" cm="1">
        <f t="array" ref="P938">IFERROR(INDEX(Sheet4!$2:$1605,MATCH(ChiTietKQKD[[#This Row],[Mã CP]],Sheet4!$B$2:$B$1605,0),_xlfn.XMATCH("*Tăng trưởng lợi nhuận sau thuế (YoY) (6M)*",Sheet4!$1:$1,2)),"")</f>
        <v>0</v>
      </c>
      <c r="Q938" s="10" cm="1">
        <f t="array" ref="Q938">IFERROR(INDEX(Sheet4!$2:$1605,MATCH(ChiTietKQKD[[#This Row],[Mã CP]],Sheet4!$B$2:$B$1605,0),_xlfn.XMATCH("*Tăng trưởng doanh thu thuần (QoQ)*",Sheet4!$1:$1,2)),"")</f>
        <v>0</v>
      </c>
      <c r="R938" s="10" cm="1">
        <f t="array" ref="R938">IFERROR(INDEX(Sheet4!$2:$1605,MATCH(ChiTietKQKD[[#This Row],[Mã CP]],Sheet4!$B$2:$B$1605,0),_xlfn.XMATCH("*Tăng trưởng lợi nhuận sau thuế (QoQ)*",Sheet4!$1:$1,2)),"")</f>
        <v>0</v>
      </c>
    </row>
    <row r="939" spans="1:18" x14ac:dyDescent="0.25">
      <c r="A939" s="7">
        <f>Sheet4!A918</f>
        <v>917</v>
      </c>
      <c r="B939" t="str">
        <f>Sheet4!B918</f>
        <v>DHN</v>
      </c>
      <c r="C939" t="str">
        <f>Sheet4!C917</f>
        <v>Dược Vật Tư Y Tế Hải Dương</v>
      </c>
      <c r="D939" t="str">
        <f>Sheet4!D918</f>
        <v>UPCoM</v>
      </c>
      <c r="E939" s="7">
        <f>Sheet4!AH918/1000000000</f>
        <v>120.15619</v>
      </c>
      <c r="F939" t="str">
        <f>Sheet4!E918</f>
        <v>Dược phẩm và Y tế</v>
      </c>
      <c r="G939" t="str">
        <f>Sheet4!F918</f>
        <v>Y tế</v>
      </c>
      <c r="H939" t="str">
        <f>Sheet4!G918</f>
        <v>Dược phẩm</v>
      </c>
      <c r="I939" s="9" t="str" cm="1">
        <f t="array" ref="I93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39" s="9" t="str" cm="1">
        <f t="array" ref="J93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39" s="10" cm="1">
        <f t="array" ref="K93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39" s="10" cm="1">
        <f t="array" ref="L93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39" s="9" t="str" cm="1">
        <f t="array" ref="M93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39" s="9" t="str" cm="1">
        <f t="array" ref="N93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39" s="10" cm="1">
        <f t="array" ref="O939">IFERROR(INDEX(Sheet4!$2:$1605,MATCH(ChiTietKQKD[[#This Row],[Mã CP]],Sheet4!$B$2:$B$1605,0),_xlfn.XMATCH("*Tăng trưởng lợi nhuận sau thuế (YoY) (Quý*",Sheet4!$1:$1,2)),"")</f>
        <v>0</v>
      </c>
      <c r="P939" s="10" cm="1">
        <f t="array" ref="P939">IFERROR(INDEX(Sheet4!$2:$1605,MATCH(ChiTietKQKD[[#This Row],[Mã CP]],Sheet4!$B$2:$B$1605,0),_xlfn.XMATCH("*Tăng trưởng lợi nhuận sau thuế (YoY) (6M)*",Sheet4!$1:$1,2)),"")</f>
        <v>0</v>
      </c>
      <c r="Q939" s="10" cm="1">
        <f t="array" ref="Q939">IFERROR(INDEX(Sheet4!$2:$1605,MATCH(ChiTietKQKD[[#This Row],[Mã CP]],Sheet4!$B$2:$B$1605,0),_xlfn.XMATCH("*Tăng trưởng doanh thu thuần (QoQ)*",Sheet4!$1:$1,2)),"")</f>
        <v>0</v>
      </c>
      <c r="R939" s="10" cm="1">
        <f t="array" ref="R939">IFERROR(INDEX(Sheet4!$2:$1605,MATCH(ChiTietKQKD[[#This Row],[Mã CP]],Sheet4!$B$2:$B$1605,0),_xlfn.XMATCH("*Tăng trưởng lợi nhuận sau thuế (QoQ)*",Sheet4!$1:$1,2)),"")</f>
        <v>0</v>
      </c>
    </row>
    <row r="940" spans="1:18" x14ac:dyDescent="0.25">
      <c r="A940" s="7">
        <f>Sheet4!A919</f>
        <v>918</v>
      </c>
      <c r="B940" t="str">
        <f>Sheet4!B919</f>
        <v>DHQ</v>
      </c>
      <c r="C940" t="str">
        <f>Sheet4!C918</f>
        <v>Dược Hà Nội</v>
      </c>
      <c r="D940" t="str">
        <f>Sheet4!D919</f>
        <v>UPCoM</v>
      </c>
      <c r="E940" s="7">
        <f>Sheet4!AH919/1000000000</f>
        <v>0</v>
      </c>
      <c r="F940" t="str">
        <f>Sheet4!E919</f>
        <v>Dịch vụ Tiêu dùng</v>
      </c>
      <c r="G940" t="str">
        <f>Sheet4!F919</f>
        <v>Du lịch và Giải trí</v>
      </c>
      <c r="H940" t="str">
        <f>Sheet4!G919</f>
        <v>Khách sạn</v>
      </c>
      <c r="I940" s="9" t="str" cm="1">
        <f t="array" ref="I94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40" s="9" t="str" cm="1">
        <f t="array" ref="J94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40" s="10" cm="1">
        <f t="array" ref="K94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40" s="10" cm="1">
        <f t="array" ref="L94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40" s="9" t="str" cm="1">
        <f t="array" ref="M94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40" s="9" t="str" cm="1">
        <f t="array" ref="N94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40" s="10" cm="1">
        <f t="array" ref="O940">IFERROR(INDEX(Sheet4!$2:$1605,MATCH(ChiTietKQKD[[#This Row],[Mã CP]],Sheet4!$B$2:$B$1605,0),_xlfn.XMATCH("*Tăng trưởng lợi nhuận sau thuế (YoY) (Quý*",Sheet4!$1:$1,2)),"")</f>
        <v>0</v>
      </c>
      <c r="P940" s="10" cm="1">
        <f t="array" ref="P940">IFERROR(INDEX(Sheet4!$2:$1605,MATCH(ChiTietKQKD[[#This Row],[Mã CP]],Sheet4!$B$2:$B$1605,0),_xlfn.XMATCH("*Tăng trưởng lợi nhuận sau thuế (YoY) (6M)*",Sheet4!$1:$1,2)),"")</f>
        <v>0</v>
      </c>
      <c r="Q940" s="10" cm="1">
        <f t="array" ref="Q940">IFERROR(INDEX(Sheet4!$2:$1605,MATCH(ChiTietKQKD[[#This Row],[Mã CP]],Sheet4!$B$2:$B$1605,0),_xlfn.XMATCH("*Tăng trưởng doanh thu thuần (QoQ)*",Sheet4!$1:$1,2)),"")</f>
        <v>0</v>
      </c>
      <c r="R940" s="10" cm="1">
        <f t="array" ref="R940">IFERROR(INDEX(Sheet4!$2:$1605,MATCH(ChiTietKQKD[[#This Row],[Mã CP]],Sheet4!$B$2:$B$1605,0),_xlfn.XMATCH("*Tăng trưởng lợi nhuận sau thuế (QoQ)*",Sheet4!$1:$1,2)),"")</f>
        <v>0</v>
      </c>
    </row>
    <row r="941" spans="1:18" x14ac:dyDescent="0.25">
      <c r="A941" s="7">
        <f>Sheet4!A920</f>
        <v>919</v>
      </c>
      <c r="B941" t="str">
        <f>Sheet4!B920</f>
        <v>DIC</v>
      </c>
      <c r="C941" t="str">
        <f>Sheet4!C919</f>
        <v>Duyên hải Quảng Ninh</v>
      </c>
      <c r="D941" t="str">
        <f>Sheet4!D920</f>
        <v>UPCoM</v>
      </c>
      <c r="E941" s="7">
        <f>Sheet4!AH920/1000000000</f>
        <v>23.476103999999999</v>
      </c>
      <c r="F941" t="str">
        <f>Sheet4!E920</f>
        <v>Công nghiệp</v>
      </c>
      <c r="G941" t="str">
        <f>Sheet4!F920</f>
        <v>Xây dựng và Vật liệu</v>
      </c>
      <c r="H941" t="str">
        <f>Sheet4!G920</f>
        <v>Vật liệu xây dựng &amp; Nội thất</v>
      </c>
      <c r="I941" s="9" t="str" cm="1">
        <f t="array" ref="I94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41" s="9" t="str" cm="1">
        <f t="array" ref="J94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41" s="10" cm="1">
        <f t="array" ref="K94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41" s="10" cm="1">
        <f t="array" ref="L94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41" s="9" t="str" cm="1">
        <f t="array" ref="M94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41" s="9" t="str" cm="1">
        <f t="array" ref="N94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41" s="10" cm="1">
        <f t="array" ref="O941">IFERROR(INDEX(Sheet4!$2:$1605,MATCH(ChiTietKQKD[[#This Row],[Mã CP]],Sheet4!$B$2:$B$1605,0),_xlfn.XMATCH("*Tăng trưởng lợi nhuận sau thuế (YoY) (Quý*",Sheet4!$1:$1,2)),"")</f>
        <v>0</v>
      </c>
      <c r="P941" s="10" cm="1">
        <f t="array" ref="P941">IFERROR(INDEX(Sheet4!$2:$1605,MATCH(ChiTietKQKD[[#This Row],[Mã CP]],Sheet4!$B$2:$B$1605,0),_xlfn.XMATCH("*Tăng trưởng lợi nhuận sau thuế (YoY) (6M)*",Sheet4!$1:$1,2)),"")</f>
        <v>0</v>
      </c>
      <c r="Q941" s="10" cm="1">
        <f t="array" ref="Q941">IFERROR(INDEX(Sheet4!$2:$1605,MATCH(ChiTietKQKD[[#This Row],[Mã CP]],Sheet4!$B$2:$B$1605,0),_xlfn.XMATCH("*Tăng trưởng doanh thu thuần (QoQ)*",Sheet4!$1:$1,2)),"")</f>
        <v>0</v>
      </c>
      <c r="R941" s="10" cm="1">
        <f t="array" ref="R941">IFERROR(INDEX(Sheet4!$2:$1605,MATCH(ChiTietKQKD[[#This Row],[Mã CP]],Sheet4!$B$2:$B$1605,0),_xlfn.XMATCH("*Tăng trưởng lợi nhuận sau thuế (QoQ)*",Sheet4!$1:$1,2)),"")</f>
        <v>0</v>
      </c>
    </row>
    <row r="942" spans="1:18" x14ac:dyDescent="0.25">
      <c r="A942" s="7">
        <f>Sheet4!A921</f>
        <v>920</v>
      </c>
      <c r="B942" t="str">
        <f>Sheet4!B921</f>
        <v>DID</v>
      </c>
      <c r="C942" t="str">
        <f>Sheet4!C920</f>
        <v>ĐT và TM DIC</v>
      </c>
      <c r="D942" t="str">
        <f>Sheet4!D921</f>
        <v>UPCoM</v>
      </c>
      <c r="E942" s="7">
        <f>Sheet4!AH921/1000000000</f>
        <v>52.648000240000002</v>
      </c>
      <c r="F942" t="str">
        <f>Sheet4!E921</f>
        <v>Công nghiệp</v>
      </c>
      <c r="G942" t="str">
        <f>Sheet4!F921</f>
        <v>Xây dựng và Vật liệu</v>
      </c>
      <c r="H942" t="str">
        <f>Sheet4!G921</f>
        <v>Vật liệu xây dựng &amp; Nội thất</v>
      </c>
      <c r="I942" s="9" t="str" cm="1">
        <f t="array" ref="I94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42" s="9" t="str" cm="1">
        <f t="array" ref="J94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42" s="10" cm="1">
        <f t="array" ref="K94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42" s="10" cm="1">
        <f t="array" ref="L94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42" s="9" t="str" cm="1">
        <f t="array" ref="M94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42" s="9" t="str" cm="1">
        <f t="array" ref="N94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42" s="10" cm="1">
        <f t="array" ref="O942">IFERROR(INDEX(Sheet4!$2:$1605,MATCH(ChiTietKQKD[[#This Row],[Mã CP]],Sheet4!$B$2:$B$1605,0),_xlfn.XMATCH("*Tăng trưởng lợi nhuận sau thuế (YoY) (Quý*",Sheet4!$1:$1,2)),"")</f>
        <v>0</v>
      </c>
      <c r="P942" s="10" cm="1">
        <f t="array" ref="P942">IFERROR(INDEX(Sheet4!$2:$1605,MATCH(ChiTietKQKD[[#This Row],[Mã CP]],Sheet4!$B$2:$B$1605,0),_xlfn.XMATCH("*Tăng trưởng lợi nhuận sau thuế (YoY) (6M)*",Sheet4!$1:$1,2)),"")</f>
        <v>0</v>
      </c>
      <c r="Q942" s="10" cm="1">
        <f t="array" ref="Q942">IFERROR(INDEX(Sheet4!$2:$1605,MATCH(ChiTietKQKD[[#This Row],[Mã CP]],Sheet4!$B$2:$B$1605,0),_xlfn.XMATCH("*Tăng trưởng doanh thu thuần (QoQ)*",Sheet4!$1:$1,2)),"")</f>
        <v>0</v>
      </c>
      <c r="R942" s="10" cm="1">
        <f t="array" ref="R942">IFERROR(INDEX(Sheet4!$2:$1605,MATCH(ChiTietKQKD[[#This Row],[Mã CP]],Sheet4!$B$2:$B$1605,0),_xlfn.XMATCH("*Tăng trưởng lợi nhuận sau thuế (QoQ)*",Sheet4!$1:$1,2)),"")</f>
        <v>0</v>
      </c>
    </row>
    <row r="943" spans="1:18" x14ac:dyDescent="0.25">
      <c r="A943" s="7">
        <f>Sheet4!A922</f>
        <v>921</v>
      </c>
      <c r="B943" t="str">
        <f>Sheet4!B922</f>
        <v>DKC</v>
      </c>
      <c r="C943" t="str">
        <f>Sheet4!C921</f>
        <v>DIC - Đồng Tiến</v>
      </c>
      <c r="D943" t="str">
        <f>Sheet4!D922</f>
        <v>UPCoM</v>
      </c>
      <c r="E943" s="7">
        <f>Sheet4!AH922/1000000000</f>
        <v>0.228854</v>
      </c>
      <c r="F943" t="str">
        <f>Sheet4!E922</f>
        <v>Dịch vụ Tiêu dùng</v>
      </c>
      <c r="G943" t="str">
        <f>Sheet4!F922</f>
        <v>Bán lẻ</v>
      </c>
      <c r="H943" t="str">
        <f>Sheet4!G922</f>
        <v>Bán lẻ phức hợp</v>
      </c>
      <c r="I943" s="9" t="str" cm="1">
        <f t="array" ref="I94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43" s="9" t="str" cm="1">
        <f t="array" ref="J94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43" s="10" cm="1">
        <f t="array" ref="K94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43" s="10" cm="1">
        <f t="array" ref="L94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43" s="9" t="str" cm="1">
        <f t="array" ref="M94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43" s="9" t="str" cm="1">
        <f t="array" ref="N94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43" s="10" cm="1">
        <f t="array" ref="O943">IFERROR(INDEX(Sheet4!$2:$1605,MATCH(ChiTietKQKD[[#This Row],[Mã CP]],Sheet4!$B$2:$B$1605,0),_xlfn.XMATCH("*Tăng trưởng lợi nhuận sau thuế (YoY) (Quý*",Sheet4!$1:$1,2)),"")</f>
        <v>0</v>
      </c>
      <c r="P943" s="10" cm="1">
        <f t="array" ref="P943">IFERROR(INDEX(Sheet4!$2:$1605,MATCH(ChiTietKQKD[[#This Row],[Mã CP]],Sheet4!$B$2:$B$1605,0),_xlfn.XMATCH("*Tăng trưởng lợi nhuận sau thuế (YoY) (6M)*",Sheet4!$1:$1,2)),"")</f>
        <v>0</v>
      </c>
      <c r="Q943" s="10" cm="1">
        <f t="array" ref="Q943">IFERROR(INDEX(Sheet4!$2:$1605,MATCH(ChiTietKQKD[[#This Row],[Mã CP]],Sheet4!$B$2:$B$1605,0),_xlfn.XMATCH("*Tăng trưởng doanh thu thuần (QoQ)*",Sheet4!$1:$1,2)),"")</f>
        <v>0</v>
      </c>
      <c r="R943" s="10" cm="1">
        <f t="array" ref="R943">IFERROR(INDEX(Sheet4!$2:$1605,MATCH(ChiTietKQKD[[#This Row],[Mã CP]],Sheet4!$B$2:$B$1605,0),_xlfn.XMATCH("*Tăng trưởng lợi nhuận sau thuế (QoQ)*",Sheet4!$1:$1,2)),"")</f>
        <v>0</v>
      </c>
    </row>
    <row r="944" spans="1:18" x14ac:dyDescent="0.25">
      <c r="A944" s="7">
        <f>Sheet4!A923</f>
        <v>922</v>
      </c>
      <c r="B944" t="str">
        <f>Sheet4!B923</f>
        <v>DKG</v>
      </c>
      <c r="C944" t="str">
        <f>Sheet4!C922</f>
        <v>Chợ Lạng Sơn</v>
      </c>
      <c r="D944" t="str">
        <f>Sheet4!D923</f>
        <v>UPCoM</v>
      </c>
      <c r="E944" s="7">
        <f>Sheet4!AH923/1000000000</f>
        <v>83.375</v>
      </c>
      <c r="F944" t="str">
        <f>Sheet4!E923</f>
        <v>Công nghiệp</v>
      </c>
      <c r="G944" t="str">
        <f>Sheet4!F923</f>
        <v>Xây dựng và Vật liệu</v>
      </c>
      <c r="H944" t="str">
        <f>Sheet4!G923</f>
        <v>Vật liệu xây dựng &amp; Nội thất</v>
      </c>
      <c r="I944" s="9" t="str" cm="1">
        <f t="array" ref="I94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44" s="9" t="str" cm="1">
        <f t="array" ref="J94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44" s="10" cm="1">
        <f t="array" ref="K94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44" s="10" cm="1">
        <f t="array" ref="L94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44" s="9" t="str" cm="1">
        <f t="array" ref="M94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44" s="9" t="str" cm="1">
        <f t="array" ref="N94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44" s="10" cm="1">
        <f t="array" ref="O944">IFERROR(INDEX(Sheet4!$2:$1605,MATCH(ChiTietKQKD[[#This Row],[Mã CP]],Sheet4!$B$2:$B$1605,0),_xlfn.XMATCH("*Tăng trưởng lợi nhuận sau thuế (YoY) (Quý*",Sheet4!$1:$1,2)),"")</f>
        <v>0</v>
      </c>
      <c r="P944" s="10" cm="1">
        <f t="array" ref="P944">IFERROR(INDEX(Sheet4!$2:$1605,MATCH(ChiTietKQKD[[#This Row],[Mã CP]],Sheet4!$B$2:$B$1605,0),_xlfn.XMATCH("*Tăng trưởng lợi nhuận sau thuế (YoY) (6M)*",Sheet4!$1:$1,2)),"")</f>
        <v>0</v>
      </c>
      <c r="Q944" s="10" cm="1">
        <f t="array" ref="Q944">IFERROR(INDEX(Sheet4!$2:$1605,MATCH(ChiTietKQKD[[#This Row],[Mã CP]],Sheet4!$B$2:$B$1605,0),_xlfn.XMATCH("*Tăng trưởng doanh thu thuần (QoQ)*",Sheet4!$1:$1,2)),"")</f>
        <v>0</v>
      </c>
      <c r="R944" s="10" cm="1">
        <f t="array" ref="R944">IFERROR(INDEX(Sheet4!$2:$1605,MATCH(ChiTietKQKD[[#This Row],[Mã CP]],Sheet4!$B$2:$B$1605,0),_xlfn.XMATCH("*Tăng trưởng lợi nhuận sau thuế (QoQ)*",Sheet4!$1:$1,2)),"")</f>
        <v>0</v>
      </c>
    </row>
    <row r="945" spans="1:18" x14ac:dyDescent="0.25">
      <c r="A945" s="7">
        <f>Sheet4!A924</f>
        <v>923</v>
      </c>
      <c r="B945" t="str">
        <f>Sheet4!B924</f>
        <v>DLD</v>
      </c>
      <c r="C945" t="str">
        <f>Sheet4!C923</f>
        <v>Tập đoàn DamiK</v>
      </c>
      <c r="D945" t="str">
        <f>Sheet4!D924</f>
        <v>UPCoM</v>
      </c>
      <c r="E945" s="7">
        <f>Sheet4!AH924/1000000000</f>
        <v>45.606333499999998</v>
      </c>
      <c r="F945" t="str">
        <f>Sheet4!E924</f>
        <v>Dịch vụ Tiêu dùng</v>
      </c>
      <c r="G945" t="str">
        <f>Sheet4!F924</f>
        <v>Du lịch và Giải trí</v>
      </c>
      <c r="H945" t="str">
        <f>Sheet4!G924</f>
        <v>Khách sạn</v>
      </c>
      <c r="I945" s="9" t="str" cm="1">
        <f t="array" ref="I94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45" s="9" t="str" cm="1">
        <f t="array" ref="J94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45" s="10" cm="1">
        <f t="array" ref="K94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45" s="10" cm="1">
        <f t="array" ref="L94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45" s="9" t="str" cm="1">
        <f t="array" ref="M94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45" s="9" t="str" cm="1">
        <f t="array" ref="N94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45" s="10" cm="1">
        <f t="array" ref="O945">IFERROR(INDEX(Sheet4!$2:$1605,MATCH(ChiTietKQKD[[#This Row],[Mã CP]],Sheet4!$B$2:$B$1605,0),_xlfn.XMATCH("*Tăng trưởng lợi nhuận sau thuế (YoY) (Quý*",Sheet4!$1:$1,2)),"")</f>
        <v>0</v>
      </c>
      <c r="P945" s="10" cm="1">
        <f t="array" ref="P945">IFERROR(INDEX(Sheet4!$2:$1605,MATCH(ChiTietKQKD[[#This Row],[Mã CP]],Sheet4!$B$2:$B$1605,0),_xlfn.XMATCH("*Tăng trưởng lợi nhuận sau thuế (YoY) (6M)*",Sheet4!$1:$1,2)),"")</f>
        <v>0</v>
      </c>
      <c r="Q945" s="10" cm="1">
        <f t="array" ref="Q945">IFERROR(INDEX(Sheet4!$2:$1605,MATCH(ChiTietKQKD[[#This Row],[Mã CP]],Sheet4!$B$2:$B$1605,0),_xlfn.XMATCH("*Tăng trưởng doanh thu thuần (QoQ)*",Sheet4!$1:$1,2)),"")</f>
        <v>0</v>
      </c>
      <c r="R945" s="10" cm="1">
        <f t="array" ref="R945">IFERROR(INDEX(Sheet4!$2:$1605,MATCH(ChiTietKQKD[[#This Row],[Mã CP]],Sheet4!$B$2:$B$1605,0),_xlfn.XMATCH("*Tăng trưởng lợi nhuận sau thuế (QoQ)*",Sheet4!$1:$1,2)),"")</f>
        <v>0</v>
      </c>
    </row>
    <row r="946" spans="1:18" x14ac:dyDescent="0.25">
      <c r="A946" s="7">
        <f>Sheet4!A925</f>
        <v>924</v>
      </c>
      <c r="B946" t="str">
        <f>Sheet4!B925</f>
        <v>DLR</v>
      </c>
      <c r="C946" t="str">
        <f>Sheet4!C924</f>
        <v>Du lịch Đắk Lắk</v>
      </c>
      <c r="D946" t="str">
        <f>Sheet4!D925</f>
        <v>UPCoM</v>
      </c>
      <c r="E946" s="7">
        <f>Sheet4!AH925/1000000000</f>
        <v>54</v>
      </c>
      <c r="F946" t="str">
        <f>Sheet4!E925</f>
        <v>Công nghiệp</v>
      </c>
      <c r="G946" t="str">
        <f>Sheet4!F925</f>
        <v>Xây dựng và Vật liệu</v>
      </c>
      <c r="H946" t="str">
        <f>Sheet4!G925</f>
        <v>Xây dựng</v>
      </c>
      <c r="I946" s="9" cm="1">
        <f t="array" ref="I94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3.1682053689999998</v>
      </c>
      <c r="J946" s="9" cm="1">
        <f t="array" ref="J94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6.1138038970000004</v>
      </c>
      <c r="K946" s="10" cm="1">
        <f t="array" ref="K94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0.44869999999999999</v>
      </c>
      <c r="L946" s="10" cm="1">
        <f t="array" ref="L94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0.35360000000000003</v>
      </c>
      <c r="M946" s="9" cm="1">
        <f t="array" ref="M946">_xlfn.LET(_xlpm.val,IFERROR(INDEX(Sheet4!$2:$1605,MATCH(ChiTietKQKD[[#This Row],[Mã CP]],Sheet4!$B$2:$B$1605,0),_xlfn.XMATCH("*Lợi nhuận sau thuế*Q2*2026*",Sheet4!$1:$1,2)),0),IF(OR(_xlpm.val="",_xlpm.val=0),"",_xlpm.val/1000000000))</f>
        <v>1.4373156389999999</v>
      </c>
      <c r="N946" s="9" cm="1">
        <f t="array" ref="N946">_xlfn.LET(_xlpm.val,IFERROR(INDEX(Sheet4!$2:$1605,MATCH(ChiTietKQKD[[#This Row],[Mã CP]],Sheet4!$B$2:$B$1605,0),_xlfn.XMATCH("*Lợi nhuận sau thuế*6 tháng*2026*",Sheet4!$1:$1,2)),0),IF(OR(_xlpm.val="",_xlpm.val=0),"",_xlpm.val/1000000000))</f>
        <v>2.812626748</v>
      </c>
      <c r="O946" s="10" cm="1">
        <f t="array" ref="O946">IFERROR(INDEX(Sheet4!$2:$1605,MATCH(ChiTietKQKD[[#This Row],[Mã CP]],Sheet4!$B$2:$B$1605,0),_xlfn.XMATCH("*Tăng trưởng lợi nhuận sau thuế (YoY) (Quý*",Sheet4!$1:$1,2)),"")</f>
        <v>2.9318</v>
      </c>
      <c r="P946" s="10" cm="1">
        <f t="array" ref="P946">IFERROR(INDEX(Sheet4!$2:$1605,MATCH(ChiTietKQKD[[#This Row],[Mã CP]],Sheet4!$B$2:$B$1605,0),_xlfn.XMATCH("*Tăng trưởng lợi nhuận sau thuế (YoY) (6M)*",Sheet4!$1:$1,2)),"")</f>
        <v>3.5318999999999998</v>
      </c>
      <c r="Q946" s="10" cm="1">
        <f t="array" ref="Q946">IFERROR(INDEX(Sheet4!$2:$1605,MATCH(ChiTietKQKD[[#This Row],[Mã CP]],Sheet4!$B$2:$B$1605,0),_xlfn.XMATCH("*Tăng trưởng doanh thu thuần (QoQ)*",Sheet4!$1:$1,2)),"")</f>
        <v>7.5600000000000001E-2</v>
      </c>
      <c r="R946" s="10" cm="1">
        <f t="array" ref="R946">IFERROR(INDEX(Sheet4!$2:$1605,MATCH(ChiTietKQKD[[#This Row],[Mã CP]],Sheet4!$B$2:$B$1605,0),_xlfn.XMATCH("*Tăng trưởng lợi nhuận sau thuế (QoQ)*",Sheet4!$1:$1,2)),"")</f>
        <v>4.5100000000000001E-2</v>
      </c>
    </row>
    <row r="947" spans="1:18" x14ac:dyDescent="0.25">
      <c r="A947" s="7">
        <f>Sheet4!A926</f>
        <v>925</v>
      </c>
      <c r="B947" t="str">
        <f>Sheet4!B926</f>
        <v>DLT</v>
      </c>
      <c r="C947" t="str">
        <f>Sheet4!C925</f>
        <v>Địa ốc Đà Lạt</v>
      </c>
      <c r="D947" t="str">
        <f>Sheet4!D926</f>
        <v>UPCoM</v>
      </c>
      <c r="E947" s="7">
        <f>Sheet4!AH926/1000000000</f>
        <v>21.500481600000001</v>
      </c>
      <c r="F947" t="str">
        <f>Sheet4!E926</f>
        <v>Dịch vụ Tiêu dùng</v>
      </c>
      <c r="G947" t="str">
        <f>Sheet4!F926</f>
        <v>Du lịch và Giải trí</v>
      </c>
      <c r="H947" t="str">
        <f>Sheet4!G926</f>
        <v>Vận tải hành khách &amp; Du lịch</v>
      </c>
      <c r="I947" s="9" t="str" cm="1">
        <f t="array" ref="I94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47" s="9" t="str" cm="1">
        <f t="array" ref="J94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47" s="10" cm="1">
        <f t="array" ref="K94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47" s="10" cm="1">
        <f t="array" ref="L94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47" s="9" t="str" cm="1">
        <f t="array" ref="M94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47" s="9" t="str" cm="1">
        <f t="array" ref="N94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47" s="10" cm="1">
        <f t="array" ref="O947">IFERROR(INDEX(Sheet4!$2:$1605,MATCH(ChiTietKQKD[[#This Row],[Mã CP]],Sheet4!$B$2:$B$1605,0),_xlfn.XMATCH("*Tăng trưởng lợi nhuận sau thuế (YoY) (Quý*",Sheet4!$1:$1,2)),"")</f>
        <v>0</v>
      </c>
      <c r="P947" s="10" cm="1">
        <f t="array" ref="P947">IFERROR(INDEX(Sheet4!$2:$1605,MATCH(ChiTietKQKD[[#This Row],[Mã CP]],Sheet4!$B$2:$B$1605,0),_xlfn.XMATCH("*Tăng trưởng lợi nhuận sau thuế (YoY) (6M)*",Sheet4!$1:$1,2)),"")</f>
        <v>0</v>
      </c>
      <c r="Q947" s="10" cm="1">
        <f t="array" ref="Q947">IFERROR(INDEX(Sheet4!$2:$1605,MATCH(ChiTietKQKD[[#This Row],[Mã CP]],Sheet4!$B$2:$B$1605,0),_xlfn.XMATCH("*Tăng trưởng doanh thu thuần (QoQ)*",Sheet4!$1:$1,2)),"")</f>
        <v>0</v>
      </c>
      <c r="R947" s="10" cm="1">
        <f t="array" ref="R947">IFERROR(INDEX(Sheet4!$2:$1605,MATCH(ChiTietKQKD[[#This Row],[Mã CP]],Sheet4!$B$2:$B$1605,0),_xlfn.XMATCH("*Tăng trưởng lợi nhuận sau thuế (QoQ)*",Sheet4!$1:$1,2)),"")</f>
        <v>0</v>
      </c>
    </row>
    <row r="948" spans="1:18" x14ac:dyDescent="0.25">
      <c r="A948" s="7">
        <f>Sheet4!A927</f>
        <v>926</v>
      </c>
      <c r="B948" t="str">
        <f>Sheet4!B927</f>
        <v>DM7</v>
      </c>
      <c r="C948" t="str">
        <f>Sheet4!C926</f>
        <v>Du lịch và TM - Vinacomin</v>
      </c>
      <c r="D948" t="str">
        <f>Sheet4!D927</f>
        <v>UPCoM</v>
      </c>
      <c r="E948" s="7">
        <f>Sheet4!AH927/1000000000</f>
        <v>308.22199999999998</v>
      </c>
      <c r="F948" t="str">
        <f>Sheet4!E927</f>
        <v>Hàng Tiêu dùng</v>
      </c>
      <c r="G948" t="str">
        <f>Sheet4!F927</f>
        <v>Hàng cá nhân &amp; Gia dụng</v>
      </c>
      <c r="H948" t="str">
        <f>Sheet4!G927</f>
        <v>Hàng May mặc</v>
      </c>
      <c r="I948" s="9" t="str" cm="1">
        <f t="array" ref="I94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48" s="9" t="str" cm="1">
        <f t="array" ref="J94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48" s="10" cm="1">
        <f t="array" ref="K94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48" s="10" cm="1">
        <f t="array" ref="L94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48" s="9" t="str" cm="1">
        <f t="array" ref="M94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48" s="9" t="str" cm="1">
        <f t="array" ref="N94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48" s="10" cm="1">
        <f t="array" ref="O948">IFERROR(INDEX(Sheet4!$2:$1605,MATCH(ChiTietKQKD[[#This Row],[Mã CP]],Sheet4!$B$2:$B$1605,0),_xlfn.XMATCH("*Tăng trưởng lợi nhuận sau thuế (YoY) (Quý*",Sheet4!$1:$1,2)),"")</f>
        <v>0</v>
      </c>
      <c r="P948" s="10" cm="1">
        <f t="array" ref="P948">IFERROR(INDEX(Sheet4!$2:$1605,MATCH(ChiTietKQKD[[#This Row],[Mã CP]],Sheet4!$B$2:$B$1605,0),_xlfn.XMATCH("*Tăng trưởng lợi nhuận sau thuế (YoY) (6M)*",Sheet4!$1:$1,2)),"")</f>
        <v>0</v>
      </c>
      <c r="Q948" s="10" cm="1">
        <f t="array" ref="Q948">IFERROR(INDEX(Sheet4!$2:$1605,MATCH(ChiTietKQKD[[#This Row],[Mã CP]],Sheet4!$B$2:$B$1605,0),_xlfn.XMATCH("*Tăng trưởng doanh thu thuần (QoQ)*",Sheet4!$1:$1,2)),"")</f>
        <v>0</v>
      </c>
      <c r="R948" s="10" cm="1">
        <f t="array" ref="R948">IFERROR(INDEX(Sheet4!$2:$1605,MATCH(ChiTietKQKD[[#This Row],[Mã CP]],Sheet4!$B$2:$B$1605,0),_xlfn.XMATCH("*Tăng trưởng lợi nhuận sau thuế (QoQ)*",Sheet4!$1:$1,2)),"")</f>
        <v>0</v>
      </c>
    </row>
    <row r="949" spans="1:18" x14ac:dyDescent="0.25">
      <c r="A949" s="7">
        <f>Sheet4!A928</f>
        <v>927</v>
      </c>
      <c r="B949" t="str">
        <f>Sheet4!B928</f>
        <v>DMH</v>
      </c>
      <c r="C949" t="str">
        <f>Sheet4!C927</f>
        <v>Dệt may 7</v>
      </c>
      <c r="D949" t="str">
        <f>Sheet4!D928</f>
        <v>UPCoM</v>
      </c>
      <c r="E949" s="7">
        <f>Sheet4!AH928/1000000000</f>
        <v>0</v>
      </c>
      <c r="F949" t="str">
        <f>Sheet4!E928</f>
        <v>Dược phẩm và Y tế</v>
      </c>
      <c r="G949" t="str">
        <f>Sheet4!F928</f>
        <v>Y tế</v>
      </c>
      <c r="H949" t="str">
        <f>Sheet4!G928</f>
        <v>Dược phẩm</v>
      </c>
      <c r="I949" s="9" t="str" cm="1">
        <f t="array" ref="I94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49" s="9" t="str" cm="1">
        <f t="array" ref="J94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49" s="10" cm="1">
        <f t="array" ref="K94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49" s="10" cm="1">
        <f t="array" ref="L94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49" s="9" t="str" cm="1">
        <f t="array" ref="M94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49" s="9" t="str" cm="1">
        <f t="array" ref="N94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49" s="10" cm="1">
        <f t="array" ref="O949">IFERROR(INDEX(Sheet4!$2:$1605,MATCH(ChiTietKQKD[[#This Row],[Mã CP]],Sheet4!$B$2:$B$1605,0),_xlfn.XMATCH("*Tăng trưởng lợi nhuận sau thuế (YoY) (Quý*",Sheet4!$1:$1,2)),"")</f>
        <v>0</v>
      </c>
      <c r="P949" s="10" cm="1">
        <f t="array" ref="P949">IFERROR(INDEX(Sheet4!$2:$1605,MATCH(ChiTietKQKD[[#This Row],[Mã CP]],Sheet4!$B$2:$B$1605,0),_xlfn.XMATCH("*Tăng trưởng lợi nhuận sau thuế (YoY) (6M)*",Sheet4!$1:$1,2)),"")</f>
        <v>0</v>
      </c>
      <c r="Q949" s="10" cm="1">
        <f t="array" ref="Q949">IFERROR(INDEX(Sheet4!$2:$1605,MATCH(ChiTietKQKD[[#This Row],[Mã CP]],Sheet4!$B$2:$B$1605,0),_xlfn.XMATCH("*Tăng trưởng doanh thu thuần (QoQ)*",Sheet4!$1:$1,2)),"")</f>
        <v>0</v>
      </c>
      <c r="R949" s="10" cm="1">
        <f t="array" ref="R949">IFERROR(INDEX(Sheet4!$2:$1605,MATCH(ChiTietKQKD[[#This Row],[Mã CP]],Sheet4!$B$2:$B$1605,0),_xlfn.XMATCH("*Tăng trưởng lợi nhuận sau thuế (QoQ)*",Sheet4!$1:$1,2)),"")</f>
        <v>0</v>
      </c>
    </row>
    <row r="950" spans="1:18" x14ac:dyDescent="0.25">
      <c r="A950" s="7">
        <f>Sheet4!A929</f>
        <v>928</v>
      </c>
      <c r="B950" t="str">
        <f>Sheet4!B929</f>
        <v>DMN</v>
      </c>
      <c r="C950" t="str">
        <f>Sheet4!C928</f>
        <v>Dược Minh Hải</v>
      </c>
      <c r="D950" t="str">
        <f>Sheet4!D929</f>
        <v>UPCoM</v>
      </c>
      <c r="E950" s="7">
        <f>Sheet4!AH929/1000000000</f>
        <v>166.24990500000001</v>
      </c>
      <c r="F950" t="str">
        <f>Sheet4!E929</f>
        <v>Hàng Tiêu dùng</v>
      </c>
      <c r="G950" t="str">
        <f>Sheet4!F929</f>
        <v>Thực phẩm và đồ uống</v>
      </c>
      <c r="H950" t="str">
        <f>Sheet4!G929</f>
        <v>Nuôi trồng nông &amp; hải sản</v>
      </c>
      <c r="I950" s="9" t="str" cm="1">
        <f t="array" ref="I95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50" s="9" t="str" cm="1">
        <f t="array" ref="J95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50" s="10" cm="1">
        <f t="array" ref="K95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50" s="10" cm="1">
        <f t="array" ref="L95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50" s="9" t="str" cm="1">
        <f t="array" ref="M95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50" s="9" t="str" cm="1">
        <f t="array" ref="N95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50" s="10" cm="1">
        <f t="array" ref="O950">IFERROR(INDEX(Sheet4!$2:$1605,MATCH(ChiTietKQKD[[#This Row],[Mã CP]],Sheet4!$B$2:$B$1605,0),_xlfn.XMATCH("*Tăng trưởng lợi nhuận sau thuế (YoY) (Quý*",Sheet4!$1:$1,2)),"")</f>
        <v>0</v>
      </c>
      <c r="P950" s="10" cm="1">
        <f t="array" ref="P950">IFERROR(INDEX(Sheet4!$2:$1605,MATCH(ChiTietKQKD[[#This Row],[Mã CP]],Sheet4!$B$2:$B$1605,0),_xlfn.XMATCH("*Tăng trưởng lợi nhuận sau thuế (YoY) (6M)*",Sheet4!$1:$1,2)),"")</f>
        <v>0</v>
      </c>
      <c r="Q950" s="10" cm="1">
        <f t="array" ref="Q950">IFERROR(INDEX(Sheet4!$2:$1605,MATCH(ChiTietKQKD[[#This Row],[Mã CP]],Sheet4!$B$2:$B$1605,0),_xlfn.XMATCH("*Tăng trưởng doanh thu thuần (QoQ)*",Sheet4!$1:$1,2)),"")</f>
        <v>0</v>
      </c>
      <c r="R950" s="10" cm="1">
        <f t="array" ref="R950">IFERROR(INDEX(Sheet4!$2:$1605,MATCH(ChiTietKQKD[[#This Row],[Mã CP]],Sheet4!$B$2:$B$1605,0),_xlfn.XMATCH("*Tăng trưởng lợi nhuận sau thuế (QoQ)*",Sheet4!$1:$1,2)),"")</f>
        <v>0</v>
      </c>
    </row>
    <row r="951" spans="1:18" x14ac:dyDescent="0.25">
      <c r="A951" s="7">
        <f>Sheet4!A930</f>
        <v>929</v>
      </c>
      <c r="B951" t="str">
        <f>Sheet4!B930</f>
        <v>DNA</v>
      </c>
      <c r="C951" t="str">
        <f>Sheet4!C929</f>
        <v>Domenal</v>
      </c>
      <c r="D951" t="str">
        <f>Sheet4!D930</f>
        <v>UPCoM</v>
      </c>
      <c r="E951" s="7">
        <f>Sheet4!AH930/1000000000</f>
        <v>1149.1231668</v>
      </c>
      <c r="F951" t="str">
        <f>Sheet4!E930</f>
        <v>Tiện ích Cộng đồng</v>
      </c>
      <c r="G951" t="str">
        <f>Sheet4!F930</f>
        <v>Điện, nước &amp; xăng dầu khí đốt</v>
      </c>
      <c r="H951" t="str">
        <f>Sheet4!G930</f>
        <v>Nước</v>
      </c>
      <c r="I951" s="9" t="str" cm="1">
        <f t="array" ref="I95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51" s="9" t="str" cm="1">
        <f t="array" ref="J95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51" s="10" cm="1">
        <f t="array" ref="K95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51" s="10" cm="1">
        <f t="array" ref="L95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51" s="9" t="str" cm="1">
        <f t="array" ref="M95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51" s="9" t="str" cm="1">
        <f t="array" ref="N95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51" s="10" cm="1">
        <f t="array" ref="O951">IFERROR(INDEX(Sheet4!$2:$1605,MATCH(ChiTietKQKD[[#This Row],[Mã CP]],Sheet4!$B$2:$B$1605,0),_xlfn.XMATCH("*Tăng trưởng lợi nhuận sau thuế (YoY) (Quý*",Sheet4!$1:$1,2)),"")</f>
        <v>0</v>
      </c>
      <c r="P951" s="10" cm="1">
        <f t="array" ref="P951">IFERROR(INDEX(Sheet4!$2:$1605,MATCH(ChiTietKQKD[[#This Row],[Mã CP]],Sheet4!$B$2:$B$1605,0),_xlfn.XMATCH("*Tăng trưởng lợi nhuận sau thuế (YoY) (6M)*",Sheet4!$1:$1,2)),"")</f>
        <v>0</v>
      </c>
      <c r="Q951" s="10" cm="1">
        <f t="array" ref="Q951">IFERROR(INDEX(Sheet4!$2:$1605,MATCH(ChiTietKQKD[[#This Row],[Mã CP]],Sheet4!$B$2:$B$1605,0),_xlfn.XMATCH("*Tăng trưởng doanh thu thuần (QoQ)*",Sheet4!$1:$1,2)),"")</f>
        <v>0</v>
      </c>
      <c r="R951" s="10" cm="1">
        <f t="array" ref="R951">IFERROR(INDEX(Sheet4!$2:$1605,MATCH(ChiTietKQKD[[#This Row],[Mã CP]],Sheet4!$B$2:$B$1605,0),_xlfn.XMATCH("*Tăng trưởng lợi nhuận sau thuế (QoQ)*",Sheet4!$1:$1,2)),"")</f>
        <v>0</v>
      </c>
    </row>
    <row r="952" spans="1:18" x14ac:dyDescent="0.25">
      <c r="A952" s="7">
        <f>Sheet4!A931</f>
        <v>930</v>
      </c>
      <c r="B952" t="str">
        <f>Sheet4!B931</f>
        <v>DND</v>
      </c>
      <c r="C952" t="str">
        <f>Sheet4!C930</f>
        <v>Điện nước An Giang</v>
      </c>
      <c r="D952" t="str">
        <f>Sheet4!D931</f>
        <v>UPCoM</v>
      </c>
      <c r="E952" s="7">
        <f>Sheet4!AH931/1000000000</f>
        <v>110.3724</v>
      </c>
      <c r="F952" t="str">
        <f>Sheet4!E931</f>
        <v>Công nghiệp</v>
      </c>
      <c r="G952" t="str">
        <f>Sheet4!F931</f>
        <v>Xây dựng và Vật liệu</v>
      </c>
      <c r="H952" t="str">
        <f>Sheet4!G931</f>
        <v>Vật liệu xây dựng &amp; Nội thất</v>
      </c>
      <c r="I952" s="9" t="str" cm="1">
        <f t="array" ref="I95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52" s="9" t="str" cm="1">
        <f t="array" ref="J95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52" s="10" cm="1">
        <f t="array" ref="K95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52" s="10" cm="1">
        <f t="array" ref="L95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52" s="9" t="str" cm="1">
        <f t="array" ref="M95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52" s="9" t="str" cm="1">
        <f t="array" ref="N95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52" s="10" cm="1">
        <f t="array" ref="O952">IFERROR(INDEX(Sheet4!$2:$1605,MATCH(ChiTietKQKD[[#This Row],[Mã CP]],Sheet4!$B$2:$B$1605,0),_xlfn.XMATCH("*Tăng trưởng lợi nhuận sau thuế (YoY) (Quý*",Sheet4!$1:$1,2)),"")</f>
        <v>0</v>
      </c>
      <c r="P952" s="10" cm="1">
        <f t="array" ref="P952">IFERROR(INDEX(Sheet4!$2:$1605,MATCH(ChiTietKQKD[[#This Row],[Mã CP]],Sheet4!$B$2:$B$1605,0),_xlfn.XMATCH("*Tăng trưởng lợi nhuận sau thuế (YoY) (6M)*",Sheet4!$1:$1,2)),"")</f>
        <v>0</v>
      </c>
      <c r="Q952" s="10" cm="1">
        <f t="array" ref="Q952">IFERROR(INDEX(Sheet4!$2:$1605,MATCH(ChiTietKQKD[[#This Row],[Mã CP]],Sheet4!$B$2:$B$1605,0),_xlfn.XMATCH("*Tăng trưởng doanh thu thuần (QoQ)*",Sheet4!$1:$1,2)),"")</f>
        <v>0</v>
      </c>
      <c r="R952" s="10" cm="1">
        <f t="array" ref="R952">IFERROR(INDEX(Sheet4!$2:$1605,MATCH(ChiTietKQKD[[#This Row],[Mã CP]],Sheet4!$B$2:$B$1605,0),_xlfn.XMATCH("*Tăng trưởng lợi nhuận sau thuế (QoQ)*",Sheet4!$1:$1,2)),"")</f>
        <v>0</v>
      </c>
    </row>
    <row r="953" spans="1:18" x14ac:dyDescent="0.25">
      <c r="A953" s="7">
        <f>Sheet4!A932</f>
        <v>931</v>
      </c>
      <c r="B953" t="str">
        <f>Sheet4!B932</f>
        <v>DNE</v>
      </c>
      <c r="C953" t="str">
        <f>Sheet4!C931</f>
        <v>XD và Vật liệu Đồng Nai</v>
      </c>
      <c r="D953" t="str">
        <f>Sheet4!D932</f>
        <v>UPCoM</v>
      </c>
      <c r="E953" s="7">
        <f>Sheet4!AH932/1000000000</f>
        <v>44.6472488</v>
      </c>
      <c r="F953" t="str">
        <f>Sheet4!E932</f>
        <v>Công nghiệp</v>
      </c>
      <c r="G953" t="str">
        <f>Sheet4!F932</f>
        <v>Hàng &amp; Dịch vụ Công nghiệp</v>
      </c>
      <c r="H953" t="str">
        <f>Sheet4!G932</f>
        <v>Chất thải &amp; Môi trường</v>
      </c>
      <c r="I953" s="9" t="str" cm="1">
        <f t="array" ref="I95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53" s="9" t="str" cm="1">
        <f t="array" ref="J95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53" s="10" cm="1">
        <f t="array" ref="K95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53" s="10" cm="1">
        <f t="array" ref="L95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53" s="9" t="str" cm="1">
        <f t="array" ref="M95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53" s="9" t="str" cm="1">
        <f t="array" ref="N95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53" s="10" cm="1">
        <f t="array" ref="O953">IFERROR(INDEX(Sheet4!$2:$1605,MATCH(ChiTietKQKD[[#This Row],[Mã CP]],Sheet4!$B$2:$B$1605,0),_xlfn.XMATCH("*Tăng trưởng lợi nhuận sau thuế (YoY) (Quý*",Sheet4!$1:$1,2)),"")</f>
        <v>0</v>
      </c>
      <c r="P953" s="10" cm="1">
        <f t="array" ref="P953">IFERROR(INDEX(Sheet4!$2:$1605,MATCH(ChiTietKQKD[[#This Row],[Mã CP]],Sheet4!$B$2:$B$1605,0),_xlfn.XMATCH("*Tăng trưởng lợi nhuận sau thuế (YoY) (6M)*",Sheet4!$1:$1,2)),"")</f>
        <v>0</v>
      </c>
      <c r="Q953" s="10" cm="1">
        <f t="array" ref="Q953">IFERROR(INDEX(Sheet4!$2:$1605,MATCH(ChiTietKQKD[[#This Row],[Mã CP]],Sheet4!$B$2:$B$1605,0),_xlfn.XMATCH("*Tăng trưởng doanh thu thuần (QoQ)*",Sheet4!$1:$1,2)),"")</f>
        <v>0</v>
      </c>
      <c r="R953" s="10" cm="1">
        <f t="array" ref="R953">IFERROR(INDEX(Sheet4!$2:$1605,MATCH(ChiTietKQKD[[#This Row],[Mã CP]],Sheet4!$B$2:$B$1605,0),_xlfn.XMATCH("*Tăng trưởng lợi nhuận sau thuế (QoQ)*",Sheet4!$1:$1,2)),"")</f>
        <v>0</v>
      </c>
    </row>
    <row r="954" spans="1:18" x14ac:dyDescent="0.25">
      <c r="A954" s="7">
        <f>Sheet4!A933</f>
        <v>932</v>
      </c>
      <c r="B954" t="str">
        <f>Sheet4!B933</f>
        <v>DNH</v>
      </c>
      <c r="C954" t="str">
        <f>Sheet4!C932</f>
        <v>Môi trường Đô thị Đà Nẵng</v>
      </c>
      <c r="D954" t="str">
        <f>Sheet4!D933</f>
        <v>UPCoM</v>
      </c>
      <c r="E954" s="7">
        <f>Sheet4!AH933/1000000000</f>
        <v>12460.8</v>
      </c>
      <c r="F954" t="str">
        <f>Sheet4!E933</f>
        <v>Tiện ích Cộng đồng</v>
      </c>
      <c r="G954" t="str">
        <f>Sheet4!F933</f>
        <v>Điện, nước &amp; xăng dầu khí đốt</v>
      </c>
      <c r="H954" t="str">
        <f>Sheet4!G933</f>
        <v>Sản xuất &amp; Phân phối Điện</v>
      </c>
      <c r="I954" s="9" t="str" cm="1">
        <f t="array" ref="I95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54" s="9" t="str" cm="1">
        <f t="array" ref="J95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54" s="10" cm="1">
        <f t="array" ref="K95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54" s="10" cm="1">
        <f t="array" ref="L95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54" s="9" t="str" cm="1">
        <f t="array" ref="M95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54" s="9" t="str" cm="1">
        <f t="array" ref="N95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54" s="10" cm="1">
        <f t="array" ref="O954">IFERROR(INDEX(Sheet4!$2:$1605,MATCH(ChiTietKQKD[[#This Row],[Mã CP]],Sheet4!$B$2:$B$1605,0),_xlfn.XMATCH("*Tăng trưởng lợi nhuận sau thuế (YoY) (Quý*",Sheet4!$1:$1,2)),"")</f>
        <v>0</v>
      </c>
      <c r="P954" s="10" cm="1">
        <f t="array" ref="P954">IFERROR(INDEX(Sheet4!$2:$1605,MATCH(ChiTietKQKD[[#This Row],[Mã CP]],Sheet4!$B$2:$B$1605,0),_xlfn.XMATCH("*Tăng trưởng lợi nhuận sau thuế (YoY) (6M)*",Sheet4!$1:$1,2)),"")</f>
        <v>0</v>
      </c>
      <c r="Q954" s="10" cm="1">
        <f t="array" ref="Q954">IFERROR(INDEX(Sheet4!$2:$1605,MATCH(ChiTietKQKD[[#This Row],[Mã CP]],Sheet4!$B$2:$B$1605,0),_xlfn.XMATCH("*Tăng trưởng doanh thu thuần (QoQ)*",Sheet4!$1:$1,2)),"")</f>
        <v>0</v>
      </c>
      <c r="R954" s="10" cm="1">
        <f t="array" ref="R954">IFERROR(INDEX(Sheet4!$2:$1605,MATCH(ChiTietKQKD[[#This Row],[Mã CP]],Sheet4!$B$2:$B$1605,0),_xlfn.XMATCH("*Tăng trưởng lợi nhuận sau thuế (QoQ)*",Sheet4!$1:$1,2)),"")</f>
        <v>0</v>
      </c>
    </row>
    <row r="955" spans="1:18" x14ac:dyDescent="0.25">
      <c r="A955" s="7">
        <f>Sheet4!A934</f>
        <v>933</v>
      </c>
      <c r="B955" t="str">
        <f>Sheet4!B934</f>
        <v>DNL</v>
      </c>
      <c r="C955" t="str">
        <f>Sheet4!C933</f>
        <v>Thủy điện Đa Nhim-Hàm Thuận-Đa Mi</v>
      </c>
      <c r="D955" t="str">
        <f>Sheet4!D934</f>
        <v>UPCoM</v>
      </c>
      <c r="E955" s="7">
        <f>Sheet4!AH934/1000000000</f>
        <v>58.616</v>
      </c>
      <c r="F955" t="str">
        <f>Sheet4!E934</f>
        <v>Công nghiệp</v>
      </c>
      <c r="G955" t="str">
        <f>Sheet4!F934</f>
        <v>Hàng &amp; Dịch vụ Công nghiệp</v>
      </c>
      <c r="H955" t="str">
        <f>Sheet4!G934</f>
        <v>Kho bãi, hậu cần và bảo dưỡng</v>
      </c>
      <c r="I955" s="9" t="str" cm="1">
        <f t="array" ref="I95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55" s="9" t="str" cm="1">
        <f t="array" ref="J95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55" s="10" cm="1">
        <f t="array" ref="K95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55" s="10" cm="1">
        <f t="array" ref="L95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55" s="9" t="str" cm="1">
        <f t="array" ref="M95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55" s="9" t="str" cm="1">
        <f t="array" ref="N95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55" s="10" cm="1">
        <f t="array" ref="O955">IFERROR(INDEX(Sheet4!$2:$1605,MATCH(ChiTietKQKD[[#This Row],[Mã CP]],Sheet4!$B$2:$B$1605,0),_xlfn.XMATCH("*Tăng trưởng lợi nhuận sau thuế (YoY) (Quý*",Sheet4!$1:$1,2)),"")</f>
        <v>0</v>
      </c>
      <c r="P955" s="10" cm="1">
        <f t="array" ref="P955">IFERROR(INDEX(Sheet4!$2:$1605,MATCH(ChiTietKQKD[[#This Row],[Mã CP]],Sheet4!$B$2:$B$1605,0),_xlfn.XMATCH("*Tăng trưởng lợi nhuận sau thuế (YoY) (6M)*",Sheet4!$1:$1,2)),"")</f>
        <v>0</v>
      </c>
      <c r="Q955" s="10" cm="1">
        <f t="array" ref="Q955">IFERROR(INDEX(Sheet4!$2:$1605,MATCH(ChiTietKQKD[[#This Row],[Mã CP]],Sheet4!$B$2:$B$1605,0),_xlfn.XMATCH("*Tăng trưởng doanh thu thuần (QoQ)*",Sheet4!$1:$1,2)),"")</f>
        <v>0</v>
      </c>
      <c r="R955" s="10" cm="1">
        <f t="array" ref="R955">IFERROR(INDEX(Sheet4!$2:$1605,MATCH(ChiTietKQKD[[#This Row],[Mã CP]],Sheet4!$B$2:$B$1605,0),_xlfn.XMATCH("*Tăng trưởng lợi nhuận sau thuế (QoQ)*",Sheet4!$1:$1,2)),"")</f>
        <v>0</v>
      </c>
    </row>
    <row r="956" spans="1:18" x14ac:dyDescent="0.25">
      <c r="A956" s="7">
        <f>Sheet4!A935</f>
        <v>934</v>
      </c>
      <c r="B956" t="str">
        <f>Sheet4!B935</f>
        <v>DNM</v>
      </c>
      <c r="C956" t="str">
        <f>Sheet4!C934</f>
        <v>Logistics Cảng Đà Nẵng</v>
      </c>
      <c r="D956" t="str">
        <f>Sheet4!D935</f>
        <v>UPCoM</v>
      </c>
      <c r="E956" s="7">
        <f>Sheet4!AH935/1000000000</f>
        <v>26.790656999999999</v>
      </c>
      <c r="F956" t="str">
        <f>Sheet4!E935</f>
        <v>Dược phẩm và Y tế</v>
      </c>
      <c r="G956" t="str">
        <f>Sheet4!F935</f>
        <v>Y tế</v>
      </c>
      <c r="H956" t="str">
        <f>Sheet4!G935</f>
        <v>Dụng cụ y tế</v>
      </c>
      <c r="I956" s="9" t="str" cm="1">
        <f t="array" ref="I95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56" s="9" t="str" cm="1">
        <f t="array" ref="J95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56" s="10" cm="1">
        <f t="array" ref="K95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56" s="10" cm="1">
        <f t="array" ref="L95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56" s="9" t="str" cm="1">
        <f t="array" ref="M95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56" s="9" t="str" cm="1">
        <f t="array" ref="N95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56" s="10" cm="1">
        <f t="array" ref="O956">IFERROR(INDEX(Sheet4!$2:$1605,MATCH(ChiTietKQKD[[#This Row],[Mã CP]],Sheet4!$B$2:$B$1605,0),_xlfn.XMATCH("*Tăng trưởng lợi nhuận sau thuế (YoY) (Quý*",Sheet4!$1:$1,2)),"")</f>
        <v>0</v>
      </c>
      <c r="P956" s="10" cm="1">
        <f t="array" ref="P956">IFERROR(INDEX(Sheet4!$2:$1605,MATCH(ChiTietKQKD[[#This Row],[Mã CP]],Sheet4!$B$2:$B$1605,0),_xlfn.XMATCH("*Tăng trưởng lợi nhuận sau thuế (YoY) (6M)*",Sheet4!$1:$1,2)),"")</f>
        <v>0</v>
      </c>
      <c r="Q956" s="10" cm="1">
        <f t="array" ref="Q956">IFERROR(INDEX(Sheet4!$2:$1605,MATCH(ChiTietKQKD[[#This Row],[Mã CP]],Sheet4!$B$2:$B$1605,0),_xlfn.XMATCH("*Tăng trưởng doanh thu thuần (QoQ)*",Sheet4!$1:$1,2)),"")</f>
        <v>0</v>
      </c>
      <c r="R956" s="10" cm="1">
        <f t="array" ref="R956">IFERROR(INDEX(Sheet4!$2:$1605,MATCH(ChiTietKQKD[[#This Row],[Mã CP]],Sheet4!$B$2:$B$1605,0),_xlfn.XMATCH("*Tăng trưởng lợi nhuận sau thuế (QoQ)*",Sheet4!$1:$1,2)),"")</f>
        <v>0</v>
      </c>
    </row>
    <row r="957" spans="1:18" x14ac:dyDescent="0.25">
      <c r="A957" s="7">
        <f>Sheet4!A936</f>
        <v>935</v>
      </c>
      <c r="B957" t="str">
        <f>Sheet4!B936</f>
        <v>DNN</v>
      </c>
      <c r="C957" t="str">
        <f>Sheet4!C935</f>
        <v>Y tế Danameco</v>
      </c>
      <c r="D957" t="str">
        <f>Sheet4!D936</f>
        <v>UPCoM</v>
      </c>
      <c r="E957" s="7">
        <f>Sheet4!AH936/1000000000</f>
        <v>649.19748319999997</v>
      </c>
      <c r="F957" t="str">
        <f>Sheet4!E936</f>
        <v>Tiện ích Cộng đồng</v>
      </c>
      <c r="G957" t="str">
        <f>Sheet4!F936</f>
        <v>Điện, nước &amp; xăng dầu khí đốt</v>
      </c>
      <c r="H957" t="str">
        <f>Sheet4!G936</f>
        <v>Nước</v>
      </c>
      <c r="I957" s="9" t="str" cm="1">
        <f t="array" ref="I95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57" s="9" t="str" cm="1">
        <f t="array" ref="J95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57" s="10" cm="1">
        <f t="array" ref="K95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57" s="10" cm="1">
        <f t="array" ref="L95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57" s="9" t="str" cm="1">
        <f t="array" ref="M95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57" s="9" t="str" cm="1">
        <f t="array" ref="N95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57" s="10" cm="1">
        <f t="array" ref="O957">IFERROR(INDEX(Sheet4!$2:$1605,MATCH(ChiTietKQKD[[#This Row],[Mã CP]],Sheet4!$B$2:$B$1605,0),_xlfn.XMATCH("*Tăng trưởng lợi nhuận sau thuế (YoY) (Quý*",Sheet4!$1:$1,2)),"")</f>
        <v>0</v>
      </c>
      <c r="P957" s="10" cm="1">
        <f t="array" ref="P957">IFERROR(INDEX(Sheet4!$2:$1605,MATCH(ChiTietKQKD[[#This Row],[Mã CP]],Sheet4!$B$2:$B$1605,0),_xlfn.XMATCH("*Tăng trưởng lợi nhuận sau thuế (YoY) (6M)*",Sheet4!$1:$1,2)),"")</f>
        <v>0</v>
      </c>
      <c r="Q957" s="10" cm="1">
        <f t="array" ref="Q957">IFERROR(INDEX(Sheet4!$2:$1605,MATCH(ChiTietKQKD[[#This Row],[Mã CP]],Sheet4!$B$2:$B$1605,0),_xlfn.XMATCH("*Tăng trưởng doanh thu thuần (QoQ)*",Sheet4!$1:$1,2)),"")</f>
        <v>0</v>
      </c>
      <c r="R957" s="10" cm="1">
        <f t="array" ref="R957">IFERROR(INDEX(Sheet4!$2:$1605,MATCH(ChiTietKQKD[[#This Row],[Mã CP]],Sheet4!$B$2:$B$1605,0),_xlfn.XMATCH("*Tăng trưởng lợi nhuận sau thuế (QoQ)*",Sheet4!$1:$1,2)),"")</f>
        <v>0</v>
      </c>
    </row>
    <row r="958" spans="1:18" x14ac:dyDescent="0.25">
      <c r="A958" s="7">
        <f>Sheet4!A937</f>
        <v>936</v>
      </c>
      <c r="B958" t="str">
        <f>Sheet4!B937</f>
        <v>DNT</v>
      </c>
      <c r="C958" t="str">
        <f>Sheet4!C936</f>
        <v>Cấp nước Đà Nẵng</v>
      </c>
      <c r="D958" t="str">
        <f>Sheet4!D937</f>
        <v>UPCoM</v>
      </c>
      <c r="E958" s="7">
        <f>Sheet4!AH937/1000000000</f>
        <v>444.13642499999997</v>
      </c>
      <c r="F958" t="str">
        <f>Sheet4!E937</f>
        <v>Dịch vụ Tiêu dùng</v>
      </c>
      <c r="G958" t="str">
        <f>Sheet4!F937</f>
        <v>Du lịch và Giải trí</v>
      </c>
      <c r="H958" t="str">
        <f>Sheet4!G937</f>
        <v>Dịch vụ giải trí</v>
      </c>
      <c r="I958" s="9" t="str" cm="1">
        <f t="array" ref="I95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58" s="9" t="str" cm="1">
        <f t="array" ref="J95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58" s="10" cm="1">
        <f t="array" ref="K95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58" s="10" cm="1">
        <f t="array" ref="L95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58" s="9" t="str" cm="1">
        <f t="array" ref="M95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58" s="9" t="str" cm="1">
        <f t="array" ref="N95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58" s="10" cm="1">
        <f t="array" ref="O958">IFERROR(INDEX(Sheet4!$2:$1605,MATCH(ChiTietKQKD[[#This Row],[Mã CP]],Sheet4!$B$2:$B$1605,0),_xlfn.XMATCH("*Tăng trưởng lợi nhuận sau thuế (YoY) (Quý*",Sheet4!$1:$1,2)),"")</f>
        <v>0</v>
      </c>
      <c r="P958" s="10" cm="1">
        <f t="array" ref="P958">IFERROR(INDEX(Sheet4!$2:$1605,MATCH(ChiTietKQKD[[#This Row],[Mã CP]],Sheet4!$B$2:$B$1605,0),_xlfn.XMATCH("*Tăng trưởng lợi nhuận sau thuế (YoY) (6M)*",Sheet4!$1:$1,2)),"")</f>
        <v>0</v>
      </c>
      <c r="Q958" s="10" cm="1">
        <f t="array" ref="Q958">IFERROR(INDEX(Sheet4!$2:$1605,MATCH(ChiTietKQKD[[#This Row],[Mã CP]],Sheet4!$B$2:$B$1605,0),_xlfn.XMATCH("*Tăng trưởng doanh thu thuần (QoQ)*",Sheet4!$1:$1,2)),"")</f>
        <v>0</v>
      </c>
      <c r="R958" s="10" cm="1">
        <f t="array" ref="R958">IFERROR(INDEX(Sheet4!$2:$1605,MATCH(ChiTietKQKD[[#This Row],[Mã CP]],Sheet4!$B$2:$B$1605,0),_xlfn.XMATCH("*Tăng trưởng lợi nhuận sau thuế (QoQ)*",Sheet4!$1:$1,2)),"")</f>
        <v>0</v>
      </c>
    </row>
    <row r="959" spans="1:18" x14ac:dyDescent="0.25">
      <c r="A959" s="7">
        <f>Sheet4!A938</f>
        <v>937</v>
      </c>
      <c r="B959" t="str">
        <f>Sheet4!B938</f>
        <v>DNW</v>
      </c>
      <c r="C959" t="str">
        <f>Sheet4!C937</f>
        <v>Du lịch Đồng Nai</v>
      </c>
      <c r="D959" t="str">
        <f>Sheet4!D938</f>
        <v>UPCoM</v>
      </c>
      <c r="E959" s="7">
        <f>Sheet4!AH938/1000000000</f>
        <v>3960</v>
      </c>
      <c r="F959" t="str">
        <f>Sheet4!E938</f>
        <v>Tiện ích Cộng đồng</v>
      </c>
      <c r="G959" t="str">
        <f>Sheet4!F938</f>
        <v>Điện, nước &amp; xăng dầu khí đốt</v>
      </c>
      <c r="H959" t="str">
        <f>Sheet4!G938</f>
        <v>Nước</v>
      </c>
      <c r="I959" s="9" t="str" cm="1">
        <f t="array" ref="I95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59" s="9" t="str" cm="1">
        <f t="array" ref="J95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59" s="10" cm="1">
        <f t="array" ref="K95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59" s="10" cm="1">
        <f t="array" ref="L95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59" s="9" t="str" cm="1">
        <f t="array" ref="M95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59" s="9" t="str" cm="1">
        <f t="array" ref="N95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59" s="10" cm="1">
        <f t="array" ref="O959">IFERROR(INDEX(Sheet4!$2:$1605,MATCH(ChiTietKQKD[[#This Row],[Mã CP]],Sheet4!$B$2:$B$1605,0),_xlfn.XMATCH("*Tăng trưởng lợi nhuận sau thuế (YoY) (Quý*",Sheet4!$1:$1,2)),"")</f>
        <v>0</v>
      </c>
      <c r="P959" s="10" cm="1">
        <f t="array" ref="P959">IFERROR(INDEX(Sheet4!$2:$1605,MATCH(ChiTietKQKD[[#This Row],[Mã CP]],Sheet4!$B$2:$B$1605,0),_xlfn.XMATCH("*Tăng trưởng lợi nhuận sau thuế (YoY) (6M)*",Sheet4!$1:$1,2)),"")</f>
        <v>0</v>
      </c>
      <c r="Q959" s="10" cm="1">
        <f t="array" ref="Q959">IFERROR(INDEX(Sheet4!$2:$1605,MATCH(ChiTietKQKD[[#This Row],[Mã CP]],Sheet4!$B$2:$B$1605,0),_xlfn.XMATCH("*Tăng trưởng doanh thu thuần (QoQ)*",Sheet4!$1:$1,2)),"")</f>
        <v>0</v>
      </c>
      <c r="R959" s="10" cm="1">
        <f t="array" ref="R959">IFERROR(INDEX(Sheet4!$2:$1605,MATCH(ChiTietKQKD[[#This Row],[Mã CP]],Sheet4!$B$2:$B$1605,0),_xlfn.XMATCH("*Tăng trưởng lợi nhuận sau thuế (QoQ)*",Sheet4!$1:$1,2)),"")</f>
        <v>0</v>
      </c>
    </row>
    <row r="960" spans="1:18" x14ac:dyDescent="0.25">
      <c r="A960" s="7">
        <f>Sheet4!A939</f>
        <v>938</v>
      </c>
      <c r="B960" t="str">
        <f>Sheet4!B939</f>
        <v>DO3</v>
      </c>
      <c r="C960" t="str">
        <f>Sheet4!C938</f>
        <v>Cấp nước Đồng Nai</v>
      </c>
      <c r="D960" t="str">
        <f>Sheet4!D939</f>
        <v>UPCoM</v>
      </c>
      <c r="E960" s="7">
        <f>Sheet4!AH939/1000000000</f>
        <v>0</v>
      </c>
      <c r="F960" t="str">
        <f>Sheet4!E939</f>
        <v>Tài chính</v>
      </c>
      <c r="G960" t="str">
        <f>Sheet4!F939</f>
        <v>Bất động sản</v>
      </c>
      <c r="H960" t="str">
        <f>Sheet4!G939</f>
        <v>Bất động sản</v>
      </c>
      <c r="I960" s="9" t="str" cm="1">
        <f t="array" ref="I96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60" s="9" t="str" cm="1">
        <f t="array" ref="J96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60" s="10" cm="1">
        <f t="array" ref="K96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60" s="10" cm="1">
        <f t="array" ref="L96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60" s="9" t="str" cm="1">
        <f t="array" ref="M96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60" s="9" t="str" cm="1">
        <f t="array" ref="N96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60" s="10" cm="1">
        <f t="array" ref="O960">IFERROR(INDEX(Sheet4!$2:$1605,MATCH(ChiTietKQKD[[#This Row],[Mã CP]],Sheet4!$B$2:$B$1605,0),_xlfn.XMATCH("*Tăng trưởng lợi nhuận sau thuế (YoY) (Quý*",Sheet4!$1:$1,2)),"")</f>
        <v>0</v>
      </c>
      <c r="P960" s="10" cm="1">
        <f t="array" ref="P960">IFERROR(INDEX(Sheet4!$2:$1605,MATCH(ChiTietKQKD[[#This Row],[Mã CP]],Sheet4!$B$2:$B$1605,0),_xlfn.XMATCH("*Tăng trưởng lợi nhuận sau thuế (YoY) (6M)*",Sheet4!$1:$1,2)),"")</f>
        <v>0</v>
      </c>
      <c r="Q960" s="10" cm="1">
        <f t="array" ref="Q960">IFERROR(INDEX(Sheet4!$2:$1605,MATCH(ChiTietKQKD[[#This Row],[Mã CP]],Sheet4!$B$2:$B$1605,0),_xlfn.XMATCH("*Tăng trưởng doanh thu thuần (QoQ)*",Sheet4!$1:$1,2)),"")</f>
        <v>0</v>
      </c>
      <c r="R960" s="10" cm="1">
        <f t="array" ref="R960">IFERROR(INDEX(Sheet4!$2:$1605,MATCH(ChiTietKQKD[[#This Row],[Mã CP]],Sheet4!$B$2:$B$1605,0),_xlfn.XMATCH("*Tăng trưởng lợi nhuận sau thuế (QoQ)*",Sheet4!$1:$1,2)),"")</f>
        <v>0</v>
      </c>
    </row>
    <row r="961" spans="1:18" x14ac:dyDescent="0.25">
      <c r="A961" s="7">
        <f>Sheet4!A940</f>
        <v>939</v>
      </c>
      <c r="B961" t="str">
        <f>Sheet4!B940</f>
        <v>DOC</v>
      </c>
      <c r="C961" t="str">
        <f>Sheet4!C939</f>
        <v>Kinh doanh Địa ốc 3</v>
      </c>
      <c r="D961" t="str">
        <f>Sheet4!D940</f>
        <v>UPCoM</v>
      </c>
      <c r="E961" s="7">
        <f>Sheet4!AH940/1000000000</f>
        <v>73</v>
      </c>
      <c r="F961" t="str">
        <f>Sheet4!E940</f>
        <v>Nguyên vật liệu</v>
      </c>
      <c r="G961" t="str">
        <f>Sheet4!F940</f>
        <v>Hóa chất</v>
      </c>
      <c r="H961" t="str">
        <f>Sheet4!G940</f>
        <v>Sản phẩm hóa dầu, Nông dược &amp; Hóa chất khác</v>
      </c>
      <c r="I961" s="9" t="str" cm="1">
        <f t="array" ref="I96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61" s="9" t="str" cm="1">
        <f t="array" ref="J96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61" s="10" cm="1">
        <f t="array" ref="K96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61" s="10" cm="1">
        <f t="array" ref="L96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61" s="9" t="str" cm="1">
        <f t="array" ref="M96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61" s="9" t="str" cm="1">
        <f t="array" ref="N96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61" s="10" cm="1">
        <f t="array" ref="O961">IFERROR(INDEX(Sheet4!$2:$1605,MATCH(ChiTietKQKD[[#This Row],[Mã CP]],Sheet4!$B$2:$B$1605,0),_xlfn.XMATCH("*Tăng trưởng lợi nhuận sau thuế (YoY) (Quý*",Sheet4!$1:$1,2)),"")</f>
        <v>0</v>
      </c>
      <c r="P961" s="10" cm="1">
        <f t="array" ref="P961">IFERROR(INDEX(Sheet4!$2:$1605,MATCH(ChiTietKQKD[[#This Row],[Mã CP]],Sheet4!$B$2:$B$1605,0),_xlfn.XMATCH("*Tăng trưởng lợi nhuận sau thuế (YoY) (6M)*",Sheet4!$1:$1,2)),"")</f>
        <v>0</v>
      </c>
      <c r="Q961" s="10" cm="1">
        <f t="array" ref="Q961">IFERROR(INDEX(Sheet4!$2:$1605,MATCH(ChiTietKQKD[[#This Row],[Mã CP]],Sheet4!$B$2:$B$1605,0),_xlfn.XMATCH("*Tăng trưởng doanh thu thuần (QoQ)*",Sheet4!$1:$1,2)),"")</f>
        <v>0</v>
      </c>
      <c r="R961" s="10" cm="1">
        <f t="array" ref="R961">IFERROR(INDEX(Sheet4!$2:$1605,MATCH(ChiTietKQKD[[#This Row],[Mã CP]],Sheet4!$B$2:$B$1605,0),_xlfn.XMATCH("*Tăng trưởng lợi nhuận sau thuế (QoQ)*",Sheet4!$1:$1,2)),"")</f>
        <v>0</v>
      </c>
    </row>
    <row r="962" spans="1:18" x14ac:dyDescent="0.25">
      <c r="A962" s="7">
        <f>Sheet4!A941</f>
        <v>940</v>
      </c>
      <c r="B962" t="str">
        <f>Sheet4!B941</f>
        <v>DOP</v>
      </c>
      <c r="C962" t="str">
        <f>Sheet4!C940</f>
        <v>Vật tư nông nghiệp Đồng Nai</v>
      </c>
      <c r="D962" t="str">
        <f>Sheet4!D941</f>
        <v>UPCoM</v>
      </c>
      <c r="E962" s="7">
        <f>Sheet4!AH941/1000000000</f>
        <v>75.519199999999998</v>
      </c>
      <c r="F962" t="str">
        <f>Sheet4!E941</f>
        <v>Công nghiệp</v>
      </c>
      <c r="G962" t="str">
        <f>Sheet4!F941</f>
        <v>Hàng &amp; Dịch vụ Công nghiệp</v>
      </c>
      <c r="H962" t="str">
        <f>Sheet4!G941</f>
        <v>Dịch vụ vận tải</v>
      </c>
      <c r="I962" s="9" t="str" cm="1">
        <f t="array" ref="I96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62" s="9" t="str" cm="1">
        <f t="array" ref="J96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62" s="10" cm="1">
        <f t="array" ref="K96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62" s="10" cm="1">
        <f t="array" ref="L96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62" s="9" t="str" cm="1">
        <f t="array" ref="M96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62" s="9" t="str" cm="1">
        <f t="array" ref="N96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62" s="10" cm="1">
        <f t="array" ref="O962">IFERROR(INDEX(Sheet4!$2:$1605,MATCH(ChiTietKQKD[[#This Row],[Mã CP]],Sheet4!$B$2:$B$1605,0),_xlfn.XMATCH("*Tăng trưởng lợi nhuận sau thuế (YoY) (Quý*",Sheet4!$1:$1,2)),"")</f>
        <v>0</v>
      </c>
      <c r="P962" s="10" cm="1">
        <f t="array" ref="P962">IFERROR(INDEX(Sheet4!$2:$1605,MATCH(ChiTietKQKD[[#This Row],[Mã CP]],Sheet4!$B$2:$B$1605,0),_xlfn.XMATCH("*Tăng trưởng lợi nhuận sau thuế (YoY) (6M)*",Sheet4!$1:$1,2)),"")</f>
        <v>0</v>
      </c>
      <c r="Q962" s="10" cm="1">
        <f t="array" ref="Q962">IFERROR(INDEX(Sheet4!$2:$1605,MATCH(ChiTietKQKD[[#This Row],[Mã CP]],Sheet4!$B$2:$B$1605,0),_xlfn.XMATCH("*Tăng trưởng doanh thu thuần (QoQ)*",Sheet4!$1:$1,2)),"")</f>
        <v>0</v>
      </c>
      <c r="R962" s="10" cm="1">
        <f t="array" ref="R962">IFERROR(INDEX(Sheet4!$2:$1605,MATCH(ChiTietKQKD[[#This Row],[Mã CP]],Sheet4!$B$2:$B$1605,0),_xlfn.XMATCH("*Tăng trưởng lợi nhuận sau thuế (QoQ)*",Sheet4!$1:$1,2)),"")</f>
        <v>0</v>
      </c>
    </row>
    <row r="963" spans="1:18" x14ac:dyDescent="0.25">
      <c r="A963" s="7">
        <f>Sheet4!A942</f>
        <v>941</v>
      </c>
      <c r="B963" t="str">
        <f>Sheet4!B942</f>
        <v>DP1</v>
      </c>
      <c r="C963" t="str">
        <f>Sheet4!C941</f>
        <v>Vận tải XD Đồng Tháp</v>
      </c>
      <c r="D963" t="str">
        <f>Sheet4!D942</f>
        <v>UPCoM</v>
      </c>
      <c r="E963" s="7">
        <f>Sheet4!AH942/1000000000</f>
        <v>625.17420000000004</v>
      </c>
      <c r="F963" t="str">
        <f>Sheet4!E942</f>
        <v>Dược phẩm và Y tế</v>
      </c>
      <c r="G963" t="str">
        <f>Sheet4!F942</f>
        <v>Y tế</v>
      </c>
      <c r="H963" t="str">
        <f>Sheet4!G942</f>
        <v>Dược phẩm</v>
      </c>
      <c r="I963" s="9" t="str" cm="1">
        <f t="array" ref="I96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63" s="9" t="str" cm="1">
        <f t="array" ref="J96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63" s="10" cm="1">
        <f t="array" ref="K96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63" s="10" cm="1">
        <f t="array" ref="L96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63" s="9" t="str" cm="1">
        <f t="array" ref="M96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63" s="9" t="str" cm="1">
        <f t="array" ref="N96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63" s="10" cm="1">
        <f t="array" ref="O963">IFERROR(INDEX(Sheet4!$2:$1605,MATCH(ChiTietKQKD[[#This Row],[Mã CP]],Sheet4!$B$2:$B$1605,0),_xlfn.XMATCH("*Tăng trưởng lợi nhuận sau thuế (YoY) (Quý*",Sheet4!$1:$1,2)),"")</f>
        <v>0</v>
      </c>
      <c r="P963" s="10" cm="1">
        <f t="array" ref="P963">IFERROR(INDEX(Sheet4!$2:$1605,MATCH(ChiTietKQKD[[#This Row],[Mã CP]],Sheet4!$B$2:$B$1605,0),_xlfn.XMATCH("*Tăng trưởng lợi nhuận sau thuế (YoY) (6M)*",Sheet4!$1:$1,2)),"")</f>
        <v>0</v>
      </c>
      <c r="Q963" s="10" cm="1">
        <f t="array" ref="Q963">IFERROR(INDEX(Sheet4!$2:$1605,MATCH(ChiTietKQKD[[#This Row],[Mã CP]],Sheet4!$B$2:$B$1605,0),_xlfn.XMATCH("*Tăng trưởng doanh thu thuần (QoQ)*",Sheet4!$1:$1,2)),"")</f>
        <v>0</v>
      </c>
      <c r="R963" s="10" cm="1">
        <f t="array" ref="R963">IFERROR(INDEX(Sheet4!$2:$1605,MATCH(ChiTietKQKD[[#This Row],[Mã CP]],Sheet4!$B$2:$B$1605,0),_xlfn.XMATCH("*Tăng trưởng lợi nhuận sau thuế (QoQ)*",Sheet4!$1:$1,2)),"")</f>
        <v>0</v>
      </c>
    </row>
    <row r="964" spans="1:18" x14ac:dyDescent="0.25">
      <c r="A964" s="7">
        <f>Sheet4!A943</f>
        <v>942</v>
      </c>
      <c r="B964" t="str">
        <f>Sheet4!B943</f>
        <v>DP2</v>
      </c>
      <c r="C964" t="str">
        <f>Sheet4!C942</f>
        <v>Dược phẩm Trung ương CPC1</v>
      </c>
      <c r="D964" t="str">
        <f>Sheet4!D943</f>
        <v>UPCoM</v>
      </c>
      <c r="E964" s="7">
        <f>Sheet4!AH943/1000000000</f>
        <v>98</v>
      </c>
      <c r="F964" t="str">
        <f>Sheet4!E943</f>
        <v>Dược phẩm và Y tế</v>
      </c>
      <c r="G964" t="str">
        <f>Sheet4!F943</f>
        <v>Y tế</v>
      </c>
      <c r="H964" t="str">
        <f>Sheet4!G943</f>
        <v>Dược phẩm</v>
      </c>
      <c r="I964" s="9" t="str" cm="1">
        <f t="array" ref="I96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64" s="9" t="str" cm="1">
        <f t="array" ref="J96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64" s="10" cm="1">
        <f t="array" ref="K96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64" s="10" cm="1">
        <f t="array" ref="L96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64" s="9" t="str" cm="1">
        <f t="array" ref="M96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64" s="9" t="str" cm="1">
        <f t="array" ref="N96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64" s="10" cm="1">
        <f t="array" ref="O964">IFERROR(INDEX(Sheet4!$2:$1605,MATCH(ChiTietKQKD[[#This Row],[Mã CP]],Sheet4!$B$2:$B$1605,0),_xlfn.XMATCH("*Tăng trưởng lợi nhuận sau thuế (YoY) (Quý*",Sheet4!$1:$1,2)),"")</f>
        <v>0</v>
      </c>
      <c r="P964" s="10" cm="1">
        <f t="array" ref="P964">IFERROR(INDEX(Sheet4!$2:$1605,MATCH(ChiTietKQKD[[#This Row],[Mã CP]],Sheet4!$B$2:$B$1605,0),_xlfn.XMATCH("*Tăng trưởng lợi nhuận sau thuế (YoY) (6M)*",Sheet4!$1:$1,2)),"")</f>
        <v>0</v>
      </c>
      <c r="Q964" s="10" cm="1">
        <f t="array" ref="Q964">IFERROR(INDEX(Sheet4!$2:$1605,MATCH(ChiTietKQKD[[#This Row],[Mã CP]],Sheet4!$B$2:$B$1605,0),_xlfn.XMATCH("*Tăng trưởng doanh thu thuần (QoQ)*",Sheet4!$1:$1,2)),"")</f>
        <v>0</v>
      </c>
      <c r="R964" s="10" cm="1">
        <f t="array" ref="R964">IFERROR(INDEX(Sheet4!$2:$1605,MATCH(ChiTietKQKD[[#This Row],[Mã CP]],Sheet4!$B$2:$B$1605,0),_xlfn.XMATCH("*Tăng trưởng lợi nhuận sau thuế (QoQ)*",Sheet4!$1:$1,2)),"")</f>
        <v>0</v>
      </c>
    </row>
    <row r="965" spans="1:18" x14ac:dyDescent="0.25">
      <c r="A965" s="7">
        <f>Sheet4!A944</f>
        <v>943</v>
      </c>
      <c r="B965" t="str">
        <f>Sheet4!B944</f>
        <v>DPC</v>
      </c>
      <c r="C965" t="str">
        <f>Sheet4!C943</f>
        <v>Dược phẩm TW 2</v>
      </c>
      <c r="D965" t="str">
        <f>Sheet4!D944</f>
        <v>UPCoM</v>
      </c>
      <c r="E965" s="7">
        <f>Sheet4!AH944/1000000000</f>
        <v>17.450783999999999</v>
      </c>
      <c r="F965" t="str">
        <f>Sheet4!E944</f>
        <v>Công nghiệp</v>
      </c>
      <c r="G965" t="str">
        <f>Sheet4!F944</f>
        <v>Hàng &amp; Dịch vụ Công nghiệp</v>
      </c>
      <c r="H965" t="str">
        <f>Sheet4!G944</f>
        <v>Containers &amp; Đóng gói</v>
      </c>
      <c r="I965" s="9" t="str" cm="1">
        <f t="array" ref="I96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65" s="9" t="str" cm="1">
        <f t="array" ref="J96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65" s="10" cm="1">
        <f t="array" ref="K96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65" s="10" cm="1">
        <f t="array" ref="L96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65" s="9" t="str" cm="1">
        <f t="array" ref="M96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65" s="9" t="str" cm="1">
        <f t="array" ref="N96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65" s="10" cm="1">
        <f t="array" ref="O965">IFERROR(INDEX(Sheet4!$2:$1605,MATCH(ChiTietKQKD[[#This Row],[Mã CP]],Sheet4!$B$2:$B$1605,0),_xlfn.XMATCH("*Tăng trưởng lợi nhuận sau thuế (YoY) (Quý*",Sheet4!$1:$1,2)),"")</f>
        <v>0</v>
      </c>
      <c r="P965" s="10" cm="1">
        <f t="array" ref="P965">IFERROR(INDEX(Sheet4!$2:$1605,MATCH(ChiTietKQKD[[#This Row],[Mã CP]],Sheet4!$B$2:$B$1605,0),_xlfn.XMATCH("*Tăng trưởng lợi nhuận sau thuế (YoY) (6M)*",Sheet4!$1:$1,2)),"")</f>
        <v>0</v>
      </c>
      <c r="Q965" s="10" cm="1">
        <f t="array" ref="Q965">IFERROR(INDEX(Sheet4!$2:$1605,MATCH(ChiTietKQKD[[#This Row],[Mã CP]],Sheet4!$B$2:$B$1605,0),_xlfn.XMATCH("*Tăng trưởng doanh thu thuần (QoQ)*",Sheet4!$1:$1,2)),"")</f>
        <v>0</v>
      </c>
      <c r="R965" s="10" cm="1">
        <f t="array" ref="R965">IFERROR(INDEX(Sheet4!$2:$1605,MATCH(ChiTietKQKD[[#This Row],[Mã CP]],Sheet4!$B$2:$B$1605,0),_xlfn.XMATCH("*Tăng trưởng lợi nhuận sau thuế (QoQ)*",Sheet4!$1:$1,2)),"")</f>
        <v>0</v>
      </c>
    </row>
    <row r="966" spans="1:18" x14ac:dyDescent="0.25">
      <c r="A966" s="7">
        <f>Sheet4!A945</f>
        <v>944</v>
      </c>
      <c r="B966" t="str">
        <f>Sheet4!B945</f>
        <v>DPH</v>
      </c>
      <c r="C966" t="str">
        <f>Sheet4!C944</f>
        <v>Nhựa Đà Nẵng</v>
      </c>
      <c r="D966" t="str">
        <f>Sheet4!D945</f>
        <v>UPCoM</v>
      </c>
      <c r="E966" s="7">
        <f>Sheet4!AH945/1000000000</f>
        <v>122.4</v>
      </c>
      <c r="F966" t="str">
        <f>Sheet4!E945</f>
        <v>Dược phẩm và Y tế</v>
      </c>
      <c r="G966" t="str">
        <f>Sheet4!F945</f>
        <v>Y tế</v>
      </c>
      <c r="H966" t="str">
        <f>Sheet4!G945</f>
        <v>Dược phẩm</v>
      </c>
      <c r="I966" s="9" t="str" cm="1">
        <f t="array" ref="I96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66" s="9" t="str" cm="1">
        <f t="array" ref="J96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66" s="10" cm="1">
        <f t="array" ref="K96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66" s="10" cm="1">
        <f t="array" ref="L96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66" s="9" t="str" cm="1">
        <f t="array" ref="M96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66" s="9" t="str" cm="1">
        <f t="array" ref="N96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66" s="10" cm="1">
        <f t="array" ref="O966">IFERROR(INDEX(Sheet4!$2:$1605,MATCH(ChiTietKQKD[[#This Row],[Mã CP]],Sheet4!$B$2:$B$1605,0),_xlfn.XMATCH("*Tăng trưởng lợi nhuận sau thuế (YoY) (Quý*",Sheet4!$1:$1,2)),"")</f>
        <v>0</v>
      </c>
      <c r="P966" s="10" cm="1">
        <f t="array" ref="P966">IFERROR(INDEX(Sheet4!$2:$1605,MATCH(ChiTietKQKD[[#This Row],[Mã CP]],Sheet4!$B$2:$B$1605,0),_xlfn.XMATCH("*Tăng trưởng lợi nhuận sau thuế (YoY) (6M)*",Sheet4!$1:$1,2)),"")</f>
        <v>0</v>
      </c>
      <c r="Q966" s="10" cm="1">
        <f t="array" ref="Q966">IFERROR(INDEX(Sheet4!$2:$1605,MATCH(ChiTietKQKD[[#This Row],[Mã CP]],Sheet4!$B$2:$B$1605,0),_xlfn.XMATCH("*Tăng trưởng doanh thu thuần (QoQ)*",Sheet4!$1:$1,2)),"")</f>
        <v>0</v>
      </c>
      <c r="R966" s="10" cm="1">
        <f t="array" ref="R966">IFERROR(INDEX(Sheet4!$2:$1605,MATCH(ChiTietKQKD[[#This Row],[Mã CP]],Sheet4!$B$2:$B$1605,0),_xlfn.XMATCH("*Tăng trưởng lợi nhuận sau thuế (QoQ)*",Sheet4!$1:$1,2)),"")</f>
        <v>0</v>
      </c>
    </row>
    <row r="967" spans="1:18" x14ac:dyDescent="0.25">
      <c r="A967" s="7">
        <f>Sheet4!A946</f>
        <v>945</v>
      </c>
      <c r="B967" t="str">
        <f>Sheet4!B946</f>
        <v>DPP</v>
      </c>
      <c r="C967" t="str">
        <f>Sheet4!C945</f>
        <v>Dược phẩm Hải Phòng</v>
      </c>
      <c r="D967" t="str">
        <f>Sheet4!D946</f>
        <v>UPCoM</v>
      </c>
      <c r="E967" s="7">
        <f>Sheet4!AH946/1000000000</f>
        <v>79.500264999999999</v>
      </c>
      <c r="F967" t="str">
        <f>Sheet4!E946</f>
        <v>Dược phẩm và Y tế</v>
      </c>
      <c r="G967" t="str">
        <f>Sheet4!F946</f>
        <v>Y tế</v>
      </c>
      <c r="H967" t="str">
        <f>Sheet4!G946</f>
        <v>Dược phẩm</v>
      </c>
      <c r="I967" s="9" t="str" cm="1">
        <f t="array" ref="I96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67" s="9" t="str" cm="1">
        <f t="array" ref="J96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67" s="10" cm="1">
        <f t="array" ref="K96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67" s="10" cm="1">
        <f t="array" ref="L96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67" s="9" t="str" cm="1">
        <f t="array" ref="M96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67" s="9" t="str" cm="1">
        <f t="array" ref="N96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67" s="10" cm="1">
        <f t="array" ref="O967">IFERROR(INDEX(Sheet4!$2:$1605,MATCH(ChiTietKQKD[[#This Row],[Mã CP]],Sheet4!$B$2:$B$1605,0),_xlfn.XMATCH("*Tăng trưởng lợi nhuận sau thuế (YoY) (Quý*",Sheet4!$1:$1,2)),"")</f>
        <v>0</v>
      </c>
      <c r="P967" s="10" cm="1">
        <f t="array" ref="P967">IFERROR(INDEX(Sheet4!$2:$1605,MATCH(ChiTietKQKD[[#This Row],[Mã CP]],Sheet4!$B$2:$B$1605,0),_xlfn.XMATCH("*Tăng trưởng lợi nhuận sau thuế (YoY) (6M)*",Sheet4!$1:$1,2)),"")</f>
        <v>0</v>
      </c>
      <c r="Q967" s="10" cm="1">
        <f t="array" ref="Q967">IFERROR(INDEX(Sheet4!$2:$1605,MATCH(ChiTietKQKD[[#This Row],[Mã CP]],Sheet4!$B$2:$B$1605,0),_xlfn.XMATCH("*Tăng trưởng doanh thu thuần (QoQ)*",Sheet4!$1:$1,2)),"")</f>
        <v>0</v>
      </c>
      <c r="R967" s="10" cm="1">
        <f t="array" ref="R967">IFERROR(INDEX(Sheet4!$2:$1605,MATCH(ChiTietKQKD[[#This Row],[Mã CP]],Sheet4!$B$2:$B$1605,0),_xlfn.XMATCH("*Tăng trưởng lợi nhuận sau thuế (QoQ)*",Sheet4!$1:$1,2)),"")</f>
        <v>0</v>
      </c>
    </row>
    <row r="968" spans="1:18" x14ac:dyDescent="0.25">
      <c r="A968" s="7">
        <f>Sheet4!A947</f>
        <v>946</v>
      </c>
      <c r="B968" t="str">
        <f>Sheet4!B947</f>
        <v>DRG</v>
      </c>
      <c r="C968" t="str">
        <f>Sheet4!C946</f>
        <v>Dược Đồng Nai</v>
      </c>
      <c r="D968" t="str">
        <f>Sheet4!D947</f>
        <v>UPCoM</v>
      </c>
      <c r="E968" s="7">
        <f>Sheet4!AH947/1000000000</f>
        <v>1277.56</v>
      </c>
      <c r="F968" t="str">
        <f>Sheet4!E947</f>
        <v>Nguyên vật liệu</v>
      </c>
      <c r="G968" t="str">
        <f>Sheet4!F947</f>
        <v>Hóa chất</v>
      </c>
      <c r="H968" t="str">
        <f>Sheet4!G947</f>
        <v>Nhựa, cao su &amp; sợi</v>
      </c>
      <c r="I968" s="9" t="str" cm="1">
        <f t="array" ref="I96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68" s="9" t="str" cm="1">
        <f t="array" ref="J96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68" s="10" cm="1">
        <f t="array" ref="K96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68" s="10" cm="1">
        <f t="array" ref="L96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68" s="9" t="str" cm="1">
        <f t="array" ref="M96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68" s="9" t="str" cm="1">
        <f t="array" ref="N96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68" s="10" cm="1">
        <f t="array" ref="O968">IFERROR(INDEX(Sheet4!$2:$1605,MATCH(ChiTietKQKD[[#This Row],[Mã CP]],Sheet4!$B$2:$B$1605,0),_xlfn.XMATCH("*Tăng trưởng lợi nhuận sau thuế (YoY) (Quý*",Sheet4!$1:$1,2)),"")</f>
        <v>0</v>
      </c>
      <c r="P968" s="10" cm="1">
        <f t="array" ref="P968">IFERROR(INDEX(Sheet4!$2:$1605,MATCH(ChiTietKQKD[[#This Row],[Mã CP]],Sheet4!$B$2:$B$1605,0),_xlfn.XMATCH("*Tăng trưởng lợi nhuận sau thuế (YoY) (6M)*",Sheet4!$1:$1,2)),"")</f>
        <v>0</v>
      </c>
      <c r="Q968" s="10" cm="1">
        <f t="array" ref="Q968">IFERROR(INDEX(Sheet4!$2:$1605,MATCH(ChiTietKQKD[[#This Row],[Mã CP]],Sheet4!$B$2:$B$1605,0),_xlfn.XMATCH("*Tăng trưởng doanh thu thuần (QoQ)*",Sheet4!$1:$1,2)),"")</f>
        <v>0</v>
      </c>
      <c r="R968" s="10" cm="1">
        <f t="array" ref="R968">IFERROR(INDEX(Sheet4!$2:$1605,MATCH(ChiTietKQKD[[#This Row],[Mã CP]],Sheet4!$B$2:$B$1605,0),_xlfn.XMATCH("*Tăng trưởng lợi nhuận sau thuế (QoQ)*",Sheet4!$1:$1,2)),"")</f>
        <v>0</v>
      </c>
    </row>
    <row r="969" spans="1:18" x14ac:dyDescent="0.25">
      <c r="A969" s="7">
        <f>Sheet4!A948</f>
        <v>947</v>
      </c>
      <c r="B969" t="str">
        <f>Sheet4!B948</f>
        <v>DRI</v>
      </c>
      <c r="C969" t="str">
        <f>Sheet4!C947</f>
        <v>Cao su Đắk Lắk</v>
      </c>
      <c r="D969" t="str">
        <f>Sheet4!D948</f>
        <v>UPCoM</v>
      </c>
      <c r="E969" s="7">
        <f>Sheet4!AH948/1000000000</f>
        <v>912.80399999999997</v>
      </c>
      <c r="F969" t="str">
        <f>Sheet4!E948</f>
        <v>Nguyên vật liệu</v>
      </c>
      <c r="G969" t="str">
        <f>Sheet4!F948</f>
        <v>Hóa chất</v>
      </c>
      <c r="H969" t="str">
        <f>Sheet4!G948</f>
        <v>Nhựa, cao su &amp; sợi</v>
      </c>
      <c r="I969" s="9" t="str" cm="1">
        <f t="array" ref="I96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69" s="9" t="str" cm="1">
        <f t="array" ref="J96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69" s="10" cm="1">
        <f t="array" ref="K96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69" s="10" cm="1">
        <f t="array" ref="L96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69" s="9" t="str" cm="1">
        <f t="array" ref="M96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69" s="9" t="str" cm="1">
        <f t="array" ref="N96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69" s="10" cm="1">
        <f t="array" ref="O969">IFERROR(INDEX(Sheet4!$2:$1605,MATCH(ChiTietKQKD[[#This Row],[Mã CP]],Sheet4!$B$2:$B$1605,0),_xlfn.XMATCH("*Tăng trưởng lợi nhuận sau thuế (YoY) (Quý*",Sheet4!$1:$1,2)),"")</f>
        <v>0</v>
      </c>
      <c r="P969" s="10" cm="1">
        <f t="array" ref="P969">IFERROR(INDEX(Sheet4!$2:$1605,MATCH(ChiTietKQKD[[#This Row],[Mã CP]],Sheet4!$B$2:$B$1605,0),_xlfn.XMATCH("*Tăng trưởng lợi nhuận sau thuế (YoY) (6M)*",Sheet4!$1:$1,2)),"")</f>
        <v>0</v>
      </c>
      <c r="Q969" s="10" cm="1">
        <f t="array" ref="Q969">IFERROR(INDEX(Sheet4!$2:$1605,MATCH(ChiTietKQKD[[#This Row],[Mã CP]],Sheet4!$B$2:$B$1605,0),_xlfn.XMATCH("*Tăng trưởng doanh thu thuần (QoQ)*",Sheet4!$1:$1,2)),"")</f>
        <v>0</v>
      </c>
      <c r="R969" s="10" cm="1">
        <f t="array" ref="R969">IFERROR(INDEX(Sheet4!$2:$1605,MATCH(ChiTietKQKD[[#This Row],[Mã CP]],Sheet4!$B$2:$B$1605,0),_xlfn.XMATCH("*Tăng trưởng lợi nhuận sau thuế (QoQ)*",Sheet4!$1:$1,2)),"")</f>
        <v>0</v>
      </c>
    </row>
    <row r="970" spans="1:18" x14ac:dyDescent="0.25">
      <c r="A970" s="7">
        <f>Sheet4!A949</f>
        <v>948</v>
      </c>
      <c r="B970" t="str">
        <f>Sheet4!B949</f>
        <v>DSD</v>
      </c>
      <c r="C970" t="str">
        <f>Sheet4!C948</f>
        <v>Đầu tư Cao su Đắk Lắk</v>
      </c>
      <c r="D970" t="str">
        <f>Sheet4!D949</f>
        <v>UPCoM</v>
      </c>
      <c r="E970" s="7">
        <f>Sheet4!AH949/1000000000</f>
        <v>1045.3556324000001</v>
      </c>
      <c r="F970" t="str">
        <f>Sheet4!E949</f>
        <v>Dịch vụ Tiêu dùng</v>
      </c>
      <c r="G970" t="str">
        <f>Sheet4!F949</f>
        <v>Du lịch và Giải trí</v>
      </c>
      <c r="H970" t="str">
        <f>Sheet4!G949</f>
        <v>Dịch vụ giải trí</v>
      </c>
      <c r="I970" s="9" t="str" cm="1">
        <f t="array" ref="I97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70" s="9" t="str" cm="1">
        <f t="array" ref="J97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70" s="10" cm="1">
        <f t="array" ref="K97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70" s="10" cm="1">
        <f t="array" ref="L97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70" s="9" t="str" cm="1">
        <f t="array" ref="M97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70" s="9" t="str" cm="1">
        <f t="array" ref="N97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70" s="10" cm="1">
        <f t="array" ref="O970">IFERROR(INDEX(Sheet4!$2:$1605,MATCH(ChiTietKQKD[[#This Row],[Mã CP]],Sheet4!$B$2:$B$1605,0),_xlfn.XMATCH("*Tăng trưởng lợi nhuận sau thuế (YoY) (Quý*",Sheet4!$1:$1,2)),"")</f>
        <v>0</v>
      </c>
      <c r="P970" s="10" cm="1">
        <f t="array" ref="P970">IFERROR(INDEX(Sheet4!$2:$1605,MATCH(ChiTietKQKD[[#This Row],[Mã CP]],Sheet4!$B$2:$B$1605,0),_xlfn.XMATCH("*Tăng trưởng lợi nhuận sau thuế (YoY) (6M)*",Sheet4!$1:$1,2)),"")</f>
        <v>0</v>
      </c>
      <c r="Q970" s="10" cm="1">
        <f t="array" ref="Q970">IFERROR(INDEX(Sheet4!$2:$1605,MATCH(ChiTietKQKD[[#This Row],[Mã CP]],Sheet4!$B$2:$B$1605,0),_xlfn.XMATCH("*Tăng trưởng doanh thu thuần (QoQ)*",Sheet4!$1:$1,2)),"")</f>
        <v>0</v>
      </c>
      <c r="R970" s="10" cm="1">
        <f t="array" ref="R970">IFERROR(INDEX(Sheet4!$2:$1605,MATCH(ChiTietKQKD[[#This Row],[Mã CP]],Sheet4!$B$2:$B$1605,0),_xlfn.XMATCH("*Tăng trưởng lợi nhuận sau thuế (QoQ)*",Sheet4!$1:$1,2)),"")</f>
        <v>0</v>
      </c>
    </row>
    <row r="971" spans="1:18" x14ac:dyDescent="0.25">
      <c r="A971" s="7">
        <f>Sheet4!A950</f>
        <v>949</v>
      </c>
      <c r="B971" t="str">
        <f>Sheet4!B950</f>
        <v>DSG</v>
      </c>
      <c r="C971" t="str">
        <f>Sheet4!C949</f>
        <v>DHC Suối Đôi</v>
      </c>
      <c r="D971" t="str">
        <f>Sheet4!D950</f>
        <v>UPCoM</v>
      </c>
      <c r="E971" s="7">
        <f>Sheet4!AH950/1000000000</f>
        <v>207</v>
      </c>
      <c r="F971" t="str">
        <f>Sheet4!E950</f>
        <v>Công nghiệp</v>
      </c>
      <c r="G971" t="str">
        <f>Sheet4!F950</f>
        <v>Xây dựng và Vật liệu</v>
      </c>
      <c r="H971" t="str">
        <f>Sheet4!G950</f>
        <v>Vật liệu xây dựng &amp; Nội thất</v>
      </c>
      <c r="I971" s="9" t="str" cm="1">
        <f t="array" ref="I97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71" s="9" t="str" cm="1">
        <f t="array" ref="J97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71" s="10" cm="1">
        <f t="array" ref="K97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71" s="10" cm="1">
        <f t="array" ref="L97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71" s="9" t="str" cm="1">
        <f t="array" ref="M97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71" s="9" t="str" cm="1">
        <f t="array" ref="N97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71" s="10" cm="1">
        <f t="array" ref="O971">IFERROR(INDEX(Sheet4!$2:$1605,MATCH(ChiTietKQKD[[#This Row],[Mã CP]],Sheet4!$B$2:$B$1605,0),_xlfn.XMATCH("*Tăng trưởng lợi nhuận sau thuế (YoY) (Quý*",Sheet4!$1:$1,2)),"")</f>
        <v>0</v>
      </c>
      <c r="P971" s="10" cm="1">
        <f t="array" ref="P971">IFERROR(INDEX(Sheet4!$2:$1605,MATCH(ChiTietKQKD[[#This Row],[Mã CP]],Sheet4!$B$2:$B$1605,0),_xlfn.XMATCH("*Tăng trưởng lợi nhuận sau thuế (YoY) (6M)*",Sheet4!$1:$1,2)),"")</f>
        <v>0</v>
      </c>
      <c r="Q971" s="10" cm="1">
        <f t="array" ref="Q971">IFERROR(INDEX(Sheet4!$2:$1605,MATCH(ChiTietKQKD[[#This Row],[Mã CP]],Sheet4!$B$2:$B$1605,0),_xlfn.XMATCH("*Tăng trưởng doanh thu thuần (QoQ)*",Sheet4!$1:$1,2)),"")</f>
        <v>0</v>
      </c>
      <c r="R971" s="10" cm="1">
        <f t="array" ref="R971">IFERROR(INDEX(Sheet4!$2:$1605,MATCH(ChiTietKQKD[[#This Row],[Mã CP]],Sheet4!$B$2:$B$1605,0),_xlfn.XMATCH("*Tăng trưởng lợi nhuận sau thuế (QoQ)*",Sheet4!$1:$1,2)),"")</f>
        <v>0</v>
      </c>
    </row>
    <row r="972" spans="1:18" x14ac:dyDescent="0.25">
      <c r="A972" s="7">
        <f>Sheet4!A951</f>
        <v>950</v>
      </c>
      <c r="B972" t="str">
        <f>Sheet4!B951</f>
        <v>DSH</v>
      </c>
      <c r="C972" t="str">
        <f>Sheet4!C950</f>
        <v>Kính Đáp Cầu</v>
      </c>
      <c r="D972" t="str">
        <f>Sheet4!D951</f>
        <v>UPCoM</v>
      </c>
      <c r="E972" s="7">
        <f>Sheet4!AH951/1000000000</f>
        <v>484.08499999999998</v>
      </c>
      <c r="F972" t="str">
        <f>Sheet4!E951</f>
        <v>Công nghiệp</v>
      </c>
      <c r="G972" t="str">
        <f>Sheet4!F951</f>
        <v>Xây dựng và Vật liệu</v>
      </c>
      <c r="H972" t="str">
        <f>Sheet4!G951</f>
        <v>Xây dựng</v>
      </c>
      <c r="I972" s="9" t="str" cm="1">
        <f t="array" ref="I97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72" s="9" t="str" cm="1">
        <f t="array" ref="J97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72" s="10" cm="1">
        <f t="array" ref="K97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72" s="10" cm="1">
        <f t="array" ref="L97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72" s="9" t="str" cm="1">
        <f t="array" ref="M97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72" s="9" t="str" cm="1">
        <f t="array" ref="N97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72" s="10" cm="1">
        <f t="array" ref="O972">IFERROR(INDEX(Sheet4!$2:$1605,MATCH(ChiTietKQKD[[#This Row],[Mã CP]],Sheet4!$B$2:$B$1605,0),_xlfn.XMATCH("*Tăng trưởng lợi nhuận sau thuế (YoY) (Quý*",Sheet4!$1:$1,2)),"")</f>
        <v>0</v>
      </c>
      <c r="P972" s="10" cm="1">
        <f t="array" ref="P972">IFERROR(INDEX(Sheet4!$2:$1605,MATCH(ChiTietKQKD[[#This Row],[Mã CP]],Sheet4!$B$2:$B$1605,0),_xlfn.XMATCH("*Tăng trưởng lợi nhuận sau thuế (YoY) (6M)*",Sheet4!$1:$1,2)),"")</f>
        <v>0</v>
      </c>
      <c r="Q972" s="10" cm="1">
        <f t="array" ref="Q972">IFERROR(INDEX(Sheet4!$2:$1605,MATCH(ChiTietKQKD[[#This Row],[Mã CP]],Sheet4!$B$2:$B$1605,0),_xlfn.XMATCH("*Tăng trưởng doanh thu thuần (QoQ)*",Sheet4!$1:$1,2)),"")</f>
        <v>0</v>
      </c>
      <c r="R972" s="10" cm="1">
        <f t="array" ref="R972">IFERROR(INDEX(Sheet4!$2:$1605,MATCH(ChiTietKQKD[[#This Row],[Mã CP]],Sheet4!$B$2:$B$1605,0),_xlfn.XMATCH("*Tăng trưởng lợi nhuận sau thuế (QoQ)*",Sheet4!$1:$1,2)),"")</f>
        <v>0</v>
      </c>
    </row>
    <row r="973" spans="1:18" x14ac:dyDescent="0.25">
      <c r="A973" s="7">
        <f>Sheet4!A952</f>
        <v>951</v>
      </c>
      <c r="B973" t="str">
        <f>Sheet4!B952</f>
        <v>DSP</v>
      </c>
      <c r="C973" t="str">
        <f>Sheet4!C951</f>
        <v>Đông Sơn Holdings</v>
      </c>
      <c r="D973" t="str">
        <f>Sheet4!D952</f>
        <v>UPCoM</v>
      </c>
      <c r="E973" s="7">
        <f>Sheet4!AH952/1000000000</f>
        <v>1388.6027999999999</v>
      </c>
      <c r="F973" t="str">
        <f>Sheet4!E952</f>
        <v>Dịch vụ Tiêu dùng</v>
      </c>
      <c r="G973" t="str">
        <f>Sheet4!F952</f>
        <v>Du lịch và Giải trí</v>
      </c>
      <c r="H973" t="str">
        <f>Sheet4!G952</f>
        <v>Vận tải hành khách &amp; Du lịch</v>
      </c>
      <c r="I973" s="9" t="str" cm="1">
        <f t="array" ref="I97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73" s="9" t="str" cm="1">
        <f t="array" ref="J97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73" s="10" cm="1">
        <f t="array" ref="K97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73" s="10" cm="1">
        <f t="array" ref="L97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73" s="9" t="str" cm="1">
        <f t="array" ref="M97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73" s="9" t="str" cm="1">
        <f t="array" ref="N97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73" s="10" cm="1">
        <f t="array" ref="O973">IFERROR(INDEX(Sheet4!$2:$1605,MATCH(ChiTietKQKD[[#This Row],[Mã CP]],Sheet4!$B$2:$B$1605,0),_xlfn.XMATCH("*Tăng trưởng lợi nhuận sau thuế (YoY) (Quý*",Sheet4!$1:$1,2)),"")</f>
        <v>0</v>
      </c>
      <c r="P973" s="10" cm="1">
        <f t="array" ref="P973">IFERROR(INDEX(Sheet4!$2:$1605,MATCH(ChiTietKQKD[[#This Row],[Mã CP]],Sheet4!$B$2:$B$1605,0),_xlfn.XMATCH("*Tăng trưởng lợi nhuận sau thuế (YoY) (6M)*",Sheet4!$1:$1,2)),"")</f>
        <v>0</v>
      </c>
      <c r="Q973" s="10" cm="1">
        <f t="array" ref="Q973">IFERROR(INDEX(Sheet4!$2:$1605,MATCH(ChiTietKQKD[[#This Row],[Mã CP]],Sheet4!$B$2:$B$1605,0),_xlfn.XMATCH("*Tăng trưởng doanh thu thuần (QoQ)*",Sheet4!$1:$1,2)),"")</f>
        <v>0</v>
      </c>
      <c r="R973" s="10" cm="1">
        <f t="array" ref="R973">IFERROR(INDEX(Sheet4!$2:$1605,MATCH(ChiTietKQKD[[#This Row],[Mã CP]],Sheet4!$B$2:$B$1605,0),_xlfn.XMATCH("*Tăng trưởng lợi nhuận sau thuế (QoQ)*",Sheet4!$1:$1,2)),"")</f>
        <v>0</v>
      </c>
    </row>
    <row r="974" spans="1:18" x14ac:dyDescent="0.25">
      <c r="A974" s="7">
        <f>Sheet4!A953</f>
        <v>952</v>
      </c>
      <c r="B974" t="str">
        <f>Sheet4!B953</f>
        <v>DTC</v>
      </c>
      <c r="C974" t="str">
        <f>Sheet4!C952</f>
        <v>Dịch vụ Du lịch Phú Thọ</v>
      </c>
      <c r="D974" t="str">
        <f>Sheet4!D953</f>
        <v>UPCoM</v>
      </c>
      <c r="E974" s="7">
        <f>Sheet4!AH953/1000000000</f>
        <v>46</v>
      </c>
      <c r="F974" t="str">
        <f>Sheet4!E953</f>
        <v>Công nghiệp</v>
      </c>
      <c r="G974" t="str">
        <f>Sheet4!F953</f>
        <v>Xây dựng và Vật liệu</v>
      </c>
      <c r="H974" t="str">
        <f>Sheet4!G953</f>
        <v>Vật liệu xây dựng &amp; Nội thất</v>
      </c>
      <c r="I974" s="9" cm="1">
        <f t="array" ref="I97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31.94330282</v>
      </c>
      <c r="J974" s="9" cm="1">
        <f t="array" ref="J97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77.754836530000006</v>
      </c>
      <c r="K974" s="10" cm="1">
        <f t="array" ref="K97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-0.10879999999999999</v>
      </c>
      <c r="L974" s="10" cm="1">
        <f t="array" ref="L97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0.26829999999999998</v>
      </c>
      <c r="M974" s="9" cm="1">
        <f t="array" ref="M974">_xlfn.LET(_xlpm.val,IFERROR(INDEX(Sheet4!$2:$1605,MATCH(ChiTietKQKD[[#This Row],[Mã CP]],Sheet4!$B$2:$B$1605,0),_xlfn.XMATCH("*Lợi nhuận sau thuế*Q2*2026*",Sheet4!$1:$1,2)),0),IF(OR(_xlpm.val="",_xlpm.val=0),"",_xlpm.val/1000000000))</f>
        <v>-6.1564237789999998</v>
      </c>
      <c r="N974" s="9" cm="1">
        <f t="array" ref="N974">_xlfn.LET(_xlpm.val,IFERROR(INDEX(Sheet4!$2:$1605,MATCH(ChiTietKQKD[[#This Row],[Mã CP]],Sheet4!$B$2:$B$1605,0),_xlfn.XMATCH("*Lợi nhuận sau thuế*6 tháng*2026*",Sheet4!$1:$1,2)),0),IF(OR(_xlpm.val="",_xlpm.val=0),"",_xlpm.val/1000000000))</f>
        <v>-12.346312921000001</v>
      </c>
      <c r="O974" s="10" cm="1">
        <f t="array" ref="O974">IFERROR(INDEX(Sheet4!$2:$1605,MATCH(ChiTietKQKD[[#This Row],[Mã CP]],Sheet4!$B$2:$B$1605,0),_xlfn.XMATCH("*Tăng trưởng lợi nhuận sau thuế (YoY) (Quý*",Sheet4!$1:$1,2)),"")</f>
        <v>5.8099999999999999E-2</v>
      </c>
      <c r="P974" s="10" cm="1">
        <f t="array" ref="P974">IFERROR(INDEX(Sheet4!$2:$1605,MATCH(ChiTietKQKD[[#This Row],[Mã CP]],Sheet4!$B$2:$B$1605,0),_xlfn.XMATCH("*Tăng trưởng lợi nhuận sau thuế (YoY) (6M)*",Sheet4!$1:$1,2)),"")</f>
        <v>1.32E-2</v>
      </c>
      <c r="Q974" s="10" cm="1">
        <f t="array" ref="Q974">IFERROR(INDEX(Sheet4!$2:$1605,MATCH(ChiTietKQKD[[#This Row],[Mã CP]],Sheet4!$B$2:$B$1605,0),_xlfn.XMATCH("*Tăng trưởng doanh thu thuần (QoQ)*",Sheet4!$1:$1,2)),"")</f>
        <v>-0.30270000000000002</v>
      </c>
      <c r="R974" s="10" cm="1">
        <f t="array" ref="R974">IFERROR(INDEX(Sheet4!$2:$1605,MATCH(ChiTietKQKD[[#This Row],[Mã CP]],Sheet4!$B$2:$B$1605,0),_xlfn.XMATCH("*Tăng trưởng lợi nhuận sau thuế (QoQ)*",Sheet4!$1:$1,2)),"")</f>
        <v>5.4000000000000003E-3</v>
      </c>
    </row>
    <row r="975" spans="1:18" x14ac:dyDescent="0.25">
      <c r="A975" s="7">
        <f>Sheet4!A954</f>
        <v>953</v>
      </c>
      <c r="B975" t="str">
        <f>Sheet4!B954</f>
        <v>DTH</v>
      </c>
      <c r="C975" t="str">
        <f>Sheet4!C953</f>
        <v>Viglacera Đông Triều</v>
      </c>
      <c r="D975" t="str">
        <f>Sheet4!D954</f>
        <v>UPCoM</v>
      </c>
      <c r="E975" s="7">
        <f>Sheet4!AH954/1000000000</f>
        <v>107.5279824</v>
      </c>
      <c r="F975" t="str">
        <f>Sheet4!E954</f>
        <v>Dược phẩm và Y tế</v>
      </c>
      <c r="G975" t="str">
        <f>Sheet4!F954</f>
        <v>Y tế</v>
      </c>
      <c r="H975" t="str">
        <f>Sheet4!G954</f>
        <v>Thiết bị y tế</v>
      </c>
      <c r="I975" s="9" t="str" cm="1">
        <f t="array" ref="I97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75" s="9" t="str" cm="1">
        <f t="array" ref="J97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75" s="10" cm="1">
        <f t="array" ref="K97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75" s="10" cm="1">
        <f t="array" ref="L97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75" s="9" t="str" cm="1">
        <f t="array" ref="M97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75" s="9" t="str" cm="1">
        <f t="array" ref="N97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75" s="10" cm="1">
        <f t="array" ref="O975">IFERROR(INDEX(Sheet4!$2:$1605,MATCH(ChiTietKQKD[[#This Row],[Mã CP]],Sheet4!$B$2:$B$1605,0),_xlfn.XMATCH("*Tăng trưởng lợi nhuận sau thuế (YoY) (Quý*",Sheet4!$1:$1,2)),"")</f>
        <v>0</v>
      </c>
      <c r="P975" s="10" cm="1">
        <f t="array" ref="P975">IFERROR(INDEX(Sheet4!$2:$1605,MATCH(ChiTietKQKD[[#This Row],[Mã CP]],Sheet4!$B$2:$B$1605,0),_xlfn.XMATCH("*Tăng trưởng lợi nhuận sau thuế (YoY) (6M)*",Sheet4!$1:$1,2)),"")</f>
        <v>0</v>
      </c>
      <c r="Q975" s="10" cm="1">
        <f t="array" ref="Q975">IFERROR(INDEX(Sheet4!$2:$1605,MATCH(ChiTietKQKD[[#This Row],[Mã CP]],Sheet4!$B$2:$B$1605,0),_xlfn.XMATCH("*Tăng trưởng doanh thu thuần (QoQ)*",Sheet4!$1:$1,2)),"")</f>
        <v>0</v>
      </c>
      <c r="R975" s="10" cm="1">
        <f t="array" ref="R975">IFERROR(INDEX(Sheet4!$2:$1605,MATCH(ChiTietKQKD[[#This Row],[Mã CP]],Sheet4!$B$2:$B$1605,0),_xlfn.XMATCH("*Tăng trưởng lợi nhuận sau thuế (QoQ)*",Sheet4!$1:$1,2)),"")</f>
        <v>0</v>
      </c>
    </row>
    <row r="976" spans="1:18" x14ac:dyDescent="0.25">
      <c r="A976" s="7">
        <f>Sheet4!A955</f>
        <v>954</v>
      </c>
      <c r="B976" t="str">
        <f>Sheet4!B955</f>
        <v>DTI</v>
      </c>
      <c r="C976" t="str">
        <f>Sheet4!C954</f>
        <v>Vật tư Y tế Thanh Hóa</v>
      </c>
      <c r="D976" t="str">
        <f>Sheet4!D955</f>
        <v>UPCoM</v>
      </c>
      <c r="E976" s="7">
        <f>Sheet4!AH955/1000000000</f>
        <v>25.628720000000001</v>
      </c>
      <c r="F976" t="str">
        <f>Sheet4!E955</f>
        <v>Dịch vụ Tiêu dùng</v>
      </c>
      <c r="G976" t="str">
        <f>Sheet4!F955</f>
        <v>Du lịch và Giải trí</v>
      </c>
      <c r="H976" t="str">
        <f>Sheet4!G955</f>
        <v>Khách sạn</v>
      </c>
      <c r="I976" s="9" t="str" cm="1">
        <f t="array" ref="I97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76" s="9" t="str" cm="1">
        <f t="array" ref="J97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76" s="10" cm="1">
        <f t="array" ref="K97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76" s="10" cm="1">
        <f t="array" ref="L97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76" s="9" t="str" cm="1">
        <f t="array" ref="M97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76" s="9" t="str" cm="1">
        <f t="array" ref="N97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76" s="10" cm="1">
        <f t="array" ref="O976">IFERROR(INDEX(Sheet4!$2:$1605,MATCH(ChiTietKQKD[[#This Row],[Mã CP]],Sheet4!$B$2:$B$1605,0),_xlfn.XMATCH("*Tăng trưởng lợi nhuận sau thuế (YoY) (Quý*",Sheet4!$1:$1,2)),"")</f>
        <v>0</v>
      </c>
      <c r="P976" s="10" cm="1">
        <f t="array" ref="P976">IFERROR(INDEX(Sheet4!$2:$1605,MATCH(ChiTietKQKD[[#This Row],[Mã CP]],Sheet4!$B$2:$B$1605,0),_xlfn.XMATCH("*Tăng trưởng lợi nhuận sau thuế (YoY) (6M)*",Sheet4!$1:$1,2)),"")</f>
        <v>0</v>
      </c>
      <c r="Q976" s="10" cm="1">
        <f t="array" ref="Q976">IFERROR(INDEX(Sheet4!$2:$1605,MATCH(ChiTietKQKD[[#This Row],[Mã CP]],Sheet4!$B$2:$B$1605,0),_xlfn.XMATCH("*Tăng trưởng doanh thu thuần (QoQ)*",Sheet4!$1:$1,2)),"")</f>
        <v>0</v>
      </c>
      <c r="R976" s="10" cm="1">
        <f t="array" ref="R976">IFERROR(INDEX(Sheet4!$2:$1605,MATCH(ChiTietKQKD[[#This Row],[Mã CP]],Sheet4!$B$2:$B$1605,0),_xlfn.XMATCH("*Tăng trưởng lợi nhuận sau thuế (QoQ)*",Sheet4!$1:$1,2)),"")</f>
        <v>0</v>
      </c>
    </row>
    <row r="977" spans="1:18" x14ac:dyDescent="0.25">
      <c r="A977" s="7">
        <f>Sheet4!A956</f>
        <v>955</v>
      </c>
      <c r="B977" t="str">
        <f>Sheet4!B956</f>
        <v>DTP</v>
      </c>
      <c r="C977" t="str">
        <f>Sheet4!C955</f>
        <v>Đầu tư Đức Trung</v>
      </c>
      <c r="D977" t="str">
        <f>Sheet4!D956</f>
        <v>UPCoM</v>
      </c>
      <c r="E977" s="7">
        <f>Sheet4!AH956/1000000000</f>
        <v>2815.4110141279998</v>
      </c>
      <c r="F977" t="str">
        <f>Sheet4!E956</f>
        <v>Dược phẩm và Y tế</v>
      </c>
      <c r="G977" t="str">
        <f>Sheet4!F956</f>
        <v>Y tế</v>
      </c>
      <c r="H977" t="str">
        <f>Sheet4!G956</f>
        <v>Dược phẩm</v>
      </c>
      <c r="I977" s="9" t="str" cm="1">
        <f t="array" ref="I97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77" s="9" t="str" cm="1">
        <f t="array" ref="J97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77" s="10" cm="1">
        <f t="array" ref="K97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77" s="10" cm="1">
        <f t="array" ref="L97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77" s="9" t="str" cm="1">
        <f t="array" ref="M97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77" s="9" t="str" cm="1">
        <f t="array" ref="N97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77" s="10" cm="1">
        <f t="array" ref="O977">IFERROR(INDEX(Sheet4!$2:$1605,MATCH(ChiTietKQKD[[#This Row],[Mã CP]],Sheet4!$B$2:$B$1605,0),_xlfn.XMATCH("*Tăng trưởng lợi nhuận sau thuế (YoY) (Quý*",Sheet4!$1:$1,2)),"")</f>
        <v>0</v>
      </c>
      <c r="P977" s="10" cm="1">
        <f t="array" ref="P977">IFERROR(INDEX(Sheet4!$2:$1605,MATCH(ChiTietKQKD[[#This Row],[Mã CP]],Sheet4!$B$2:$B$1605,0),_xlfn.XMATCH("*Tăng trưởng lợi nhuận sau thuế (YoY) (6M)*",Sheet4!$1:$1,2)),"")</f>
        <v>0</v>
      </c>
      <c r="Q977" s="10" cm="1">
        <f t="array" ref="Q977">IFERROR(INDEX(Sheet4!$2:$1605,MATCH(ChiTietKQKD[[#This Row],[Mã CP]],Sheet4!$B$2:$B$1605,0),_xlfn.XMATCH("*Tăng trưởng doanh thu thuần (QoQ)*",Sheet4!$1:$1,2)),"")</f>
        <v>0</v>
      </c>
      <c r="R977" s="10" cm="1">
        <f t="array" ref="R977">IFERROR(INDEX(Sheet4!$2:$1605,MATCH(ChiTietKQKD[[#This Row],[Mã CP]],Sheet4!$B$2:$B$1605,0),_xlfn.XMATCH("*Tăng trưởng lợi nhuận sau thuế (QoQ)*",Sheet4!$1:$1,2)),"")</f>
        <v>0</v>
      </c>
    </row>
    <row r="978" spans="1:18" x14ac:dyDescent="0.25">
      <c r="A978" s="7">
        <f>Sheet4!A957</f>
        <v>956</v>
      </c>
      <c r="B978" t="str">
        <f>Sheet4!B957</f>
        <v>DTR</v>
      </c>
      <c r="C978" t="str">
        <f>Sheet4!C956</f>
        <v>Dược phẩm CPC1 Hà Nội</v>
      </c>
      <c r="D978" t="str">
        <f>Sheet4!D957</f>
        <v>UPCoM</v>
      </c>
      <c r="E978" s="7">
        <f>Sheet4!AH957/1000000000</f>
        <v>0</v>
      </c>
      <c r="F978" t="str">
        <f>Sheet4!E957</f>
        <v>Tài chính</v>
      </c>
      <c r="G978" t="str">
        <f>Sheet4!F957</f>
        <v>Bất động sản</v>
      </c>
      <c r="H978" t="str">
        <f>Sheet4!G957</f>
        <v>Bất động sản</v>
      </c>
      <c r="I978" s="9" t="str" cm="1">
        <f t="array" ref="I97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78" s="9" t="str" cm="1">
        <f t="array" ref="J97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78" s="10" cm="1">
        <f t="array" ref="K97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78" s="10" cm="1">
        <f t="array" ref="L97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78" s="9" t="str" cm="1">
        <f t="array" ref="M97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78" s="9" t="str" cm="1">
        <f t="array" ref="N97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78" s="10" cm="1">
        <f t="array" ref="O978">IFERROR(INDEX(Sheet4!$2:$1605,MATCH(ChiTietKQKD[[#This Row],[Mã CP]],Sheet4!$B$2:$B$1605,0),_xlfn.XMATCH("*Tăng trưởng lợi nhuận sau thuế (YoY) (Quý*",Sheet4!$1:$1,2)),"")</f>
        <v>0</v>
      </c>
      <c r="P978" s="10" cm="1">
        <f t="array" ref="P978">IFERROR(INDEX(Sheet4!$2:$1605,MATCH(ChiTietKQKD[[#This Row],[Mã CP]],Sheet4!$B$2:$B$1605,0),_xlfn.XMATCH("*Tăng trưởng lợi nhuận sau thuế (YoY) (6M)*",Sheet4!$1:$1,2)),"")</f>
        <v>0</v>
      </c>
      <c r="Q978" s="10" cm="1">
        <f t="array" ref="Q978">IFERROR(INDEX(Sheet4!$2:$1605,MATCH(ChiTietKQKD[[#This Row],[Mã CP]],Sheet4!$B$2:$B$1605,0),_xlfn.XMATCH("*Tăng trưởng doanh thu thuần (QoQ)*",Sheet4!$1:$1,2)),"")</f>
        <v>0</v>
      </c>
      <c r="R978" s="10" cm="1">
        <f t="array" ref="R978">IFERROR(INDEX(Sheet4!$2:$1605,MATCH(ChiTietKQKD[[#This Row],[Mã CP]],Sheet4!$B$2:$B$1605,0),_xlfn.XMATCH("*Tăng trưởng lợi nhuận sau thuế (QoQ)*",Sheet4!$1:$1,2)),"")</f>
        <v>0</v>
      </c>
    </row>
    <row r="979" spans="1:18" x14ac:dyDescent="0.25">
      <c r="A979" s="7">
        <f>Sheet4!A958</f>
        <v>957</v>
      </c>
      <c r="B979" t="str">
        <f>Sheet4!B958</f>
        <v>DUS</v>
      </c>
      <c r="C979" t="str">
        <f>Sheet4!C957</f>
        <v>Dong Tay Land Corp</v>
      </c>
      <c r="D979" t="str">
        <f>Sheet4!D958</f>
        <v>UPCoM</v>
      </c>
      <c r="E979" s="7">
        <f>Sheet4!AH958/1000000000</f>
        <v>34.727440000000001</v>
      </c>
      <c r="F979" t="str">
        <f>Sheet4!E958</f>
        <v>Công nghiệp</v>
      </c>
      <c r="G979" t="str">
        <f>Sheet4!F958</f>
        <v>Hàng &amp; Dịch vụ Công nghiệp</v>
      </c>
      <c r="H979" t="str">
        <f>Sheet4!G958</f>
        <v>Chất thải &amp; Môi trường</v>
      </c>
      <c r="I979" s="9" t="str" cm="1">
        <f t="array" ref="I97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79" s="9" t="str" cm="1">
        <f t="array" ref="J97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79" s="10" cm="1">
        <f t="array" ref="K97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79" s="10" cm="1">
        <f t="array" ref="L97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79" s="9" t="str" cm="1">
        <f t="array" ref="M97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79" s="9" t="str" cm="1">
        <f t="array" ref="N97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79" s="10" cm="1">
        <f t="array" ref="O979">IFERROR(INDEX(Sheet4!$2:$1605,MATCH(ChiTietKQKD[[#This Row],[Mã CP]],Sheet4!$B$2:$B$1605,0),_xlfn.XMATCH("*Tăng trưởng lợi nhuận sau thuế (YoY) (Quý*",Sheet4!$1:$1,2)),"")</f>
        <v>0</v>
      </c>
      <c r="P979" s="10" cm="1">
        <f t="array" ref="P979">IFERROR(INDEX(Sheet4!$2:$1605,MATCH(ChiTietKQKD[[#This Row],[Mã CP]],Sheet4!$B$2:$B$1605,0),_xlfn.XMATCH("*Tăng trưởng lợi nhuận sau thuế (YoY) (6M)*",Sheet4!$1:$1,2)),"")</f>
        <v>0</v>
      </c>
      <c r="Q979" s="10" cm="1">
        <f t="array" ref="Q979">IFERROR(INDEX(Sheet4!$2:$1605,MATCH(ChiTietKQKD[[#This Row],[Mã CP]],Sheet4!$B$2:$B$1605,0),_xlfn.XMATCH("*Tăng trưởng doanh thu thuần (QoQ)*",Sheet4!$1:$1,2)),"")</f>
        <v>0</v>
      </c>
      <c r="R979" s="10" cm="1">
        <f t="array" ref="R979">IFERROR(INDEX(Sheet4!$2:$1605,MATCH(ChiTietKQKD[[#This Row],[Mã CP]],Sheet4!$B$2:$B$1605,0),_xlfn.XMATCH("*Tăng trưởng lợi nhuận sau thuế (QoQ)*",Sheet4!$1:$1,2)),"")</f>
        <v>0</v>
      </c>
    </row>
    <row r="980" spans="1:18" x14ac:dyDescent="0.25">
      <c r="A980" s="7">
        <f>Sheet4!A959</f>
        <v>958</v>
      </c>
      <c r="B980" t="str">
        <f>Sheet4!B959</f>
        <v>DVC</v>
      </c>
      <c r="C980" t="str">
        <f>Sheet4!C958</f>
        <v>Dịch vụ Đô thị Đà Lạt</v>
      </c>
      <c r="D980" t="str">
        <f>Sheet4!D959</f>
        <v>UPCoM</v>
      </c>
      <c r="E980" s="7">
        <f>Sheet4!AH959/1000000000</f>
        <v>107.9367</v>
      </c>
      <c r="F980" t="str">
        <f>Sheet4!E959</f>
        <v>Tiện ích Cộng đồng</v>
      </c>
      <c r="G980" t="str">
        <f>Sheet4!F959</f>
        <v>Điện, nước &amp; xăng dầu khí đốt</v>
      </c>
      <c r="H980" t="str">
        <f>Sheet4!G959</f>
        <v>Phân phối xăng dầu &amp; khí đốt</v>
      </c>
      <c r="I980" s="9" t="str" cm="1">
        <f t="array" ref="I98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80" s="9" t="str" cm="1">
        <f t="array" ref="J98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80" s="10" cm="1">
        <f t="array" ref="K98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80" s="10" cm="1">
        <f t="array" ref="L98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80" s="9" t="str" cm="1">
        <f t="array" ref="M98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80" s="9" t="str" cm="1">
        <f t="array" ref="N98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80" s="10" cm="1">
        <f t="array" ref="O980">IFERROR(INDEX(Sheet4!$2:$1605,MATCH(ChiTietKQKD[[#This Row],[Mã CP]],Sheet4!$B$2:$B$1605,0),_xlfn.XMATCH("*Tăng trưởng lợi nhuận sau thuế (YoY) (Quý*",Sheet4!$1:$1,2)),"")</f>
        <v>0</v>
      </c>
      <c r="P980" s="10" cm="1">
        <f t="array" ref="P980">IFERROR(INDEX(Sheet4!$2:$1605,MATCH(ChiTietKQKD[[#This Row],[Mã CP]],Sheet4!$B$2:$B$1605,0),_xlfn.XMATCH("*Tăng trưởng lợi nhuận sau thuế (YoY) (6M)*",Sheet4!$1:$1,2)),"")</f>
        <v>0</v>
      </c>
      <c r="Q980" s="10" cm="1">
        <f t="array" ref="Q980">IFERROR(INDEX(Sheet4!$2:$1605,MATCH(ChiTietKQKD[[#This Row],[Mã CP]],Sheet4!$B$2:$B$1605,0),_xlfn.XMATCH("*Tăng trưởng doanh thu thuần (QoQ)*",Sheet4!$1:$1,2)),"")</f>
        <v>0</v>
      </c>
      <c r="R980" s="10" cm="1">
        <f t="array" ref="R980">IFERROR(INDEX(Sheet4!$2:$1605,MATCH(ChiTietKQKD[[#This Row],[Mã CP]],Sheet4!$B$2:$B$1605,0),_xlfn.XMATCH("*Tăng trưởng lợi nhuận sau thuế (QoQ)*",Sheet4!$1:$1,2)),"")</f>
        <v>0</v>
      </c>
    </row>
    <row r="981" spans="1:18" x14ac:dyDescent="0.25">
      <c r="A981" s="7">
        <f>Sheet4!A960</f>
        <v>959</v>
      </c>
      <c r="B981" t="str">
        <f>Sheet4!B960</f>
        <v>DVG</v>
      </c>
      <c r="C981" t="str">
        <f>Sheet4!C959</f>
        <v>TM dịch vụ Cảng Hải Phòng</v>
      </c>
      <c r="D981" t="str">
        <f>Sheet4!D960</f>
        <v>UPCoM</v>
      </c>
      <c r="E981" s="7">
        <f>Sheet4!AH960/1000000000</f>
        <v>28</v>
      </c>
      <c r="F981" t="str">
        <f>Sheet4!E960</f>
        <v>Công nghiệp</v>
      </c>
      <c r="G981" t="str">
        <f>Sheet4!F960</f>
        <v>Xây dựng và Vật liệu</v>
      </c>
      <c r="H981" t="str">
        <f>Sheet4!G960</f>
        <v>Vật liệu xây dựng &amp; Nội thất</v>
      </c>
      <c r="I981" s="9" t="str" cm="1">
        <f t="array" ref="I98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81" s="9" t="str" cm="1">
        <f t="array" ref="J98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81" s="10" cm="1">
        <f t="array" ref="K98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81" s="10" cm="1">
        <f t="array" ref="L98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81" s="9" t="str" cm="1">
        <f t="array" ref="M98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81" s="9" t="str" cm="1">
        <f t="array" ref="N98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81" s="10" cm="1">
        <f t="array" ref="O981">IFERROR(INDEX(Sheet4!$2:$1605,MATCH(ChiTietKQKD[[#This Row],[Mã CP]],Sheet4!$B$2:$B$1605,0),_xlfn.XMATCH("*Tăng trưởng lợi nhuận sau thuế (YoY) (Quý*",Sheet4!$1:$1,2)),"")</f>
        <v>0</v>
      </c>
      <c r="P981" s="10" cm="1">
        <f t="array" ref="P981">IFERROR(INDEX(Sheet4!$2:$1605,MATCH(ChiTietKQKD[[#This Row],[Mã CP]],Sheet4!$B$2:$B$1605,0),_xlfn.XMATCH("*Tăng trưởng lợi nhuận sau thuế (YoY) (6M)*",Sheet4!$1:$1,2)),"")</f>
        <v>0</v>
      </c>
      <c r="Q981" s="10" cm="1">
        <f t="array" ref="Q981">IFERROR(INDEX(Sheet4!$2:$1605,MATCH(ChiTietKQKD[[#This Row],[Mã CP]],Sheet4!$B$2:$B$1605,0),_xlfn.XMATCH("*Tăng trưởng doanh thu thuần (QoQ)*",Sheet4!$1:$1,2)),"")</f>
        <v>0</v>
      </c>
      <c r="R981" s="10" cm="1">
        <f t="array" ref="R981">IFERROR(INDEX(Sheet4!$2:$1605,MATCH(ChiTietKQKD[[#This Row],[Mã CP]],Sheet4!$B$2:$B$1605,0),_xlfn.XMATCH("*Tăng trưởng lợi nhuận sau thuế (QoQ)*",Sheet4!$1:$1,2)),"")</f>
        <v>0</v>
      </c>
    </row>
    <row r="982" spans="1:18" x14ac:dyDescent="0.25">
      <c r="A982" s="7">
        <f>Sheet4!A961</f>
        <v>960</v>
      </c>
      <c r="B982" t="str">
        <f>Sheet4!B961</f>
        <v>DVN</v>
      </c>
      <c r="C982" t="str">
        <f>Sheet4!C960</f>
        <v>Tập đoàn Sơn Đại Việt</v>
      </c>
      <c r="D982" t="str">
        <f>Sheet4!D961</f>
        <v>UPCoM</v>
      </c>
      <c r="E982" s="7">
        <f>Sheet4!AH961/1000000000</f>
        <v>4458.6809999999996</v>
      </c>
      <c r="F982" t="str">
        <f>Sheet4!E961</f>
        <v>Dược phẩm và Y tế</v>
      </c>
      <c r="G982" t="str">
        <f>Sheet4!F961</f>
        <v>Y tế</v>
      </c>
      <c r="H982" t="str">
        <f>Sheet4!G961</f>
        <v>Dược phẩm</v>
      </c>
      <c r="I982" s="9" t="str" cm="1">
        <f t="array" ref="I98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82" s="9" t="str" cm="1">
        <f t="array" ref="J98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82" s="10" cm="1">
        <f t="array" ref="K98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82" s="10" cm="1">
        <f t="array" ref="L98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82" s="9" t="str" cm="1">
        <f t="array" ref="M98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82" s="9" t="str" cm="1">
        <f t="array" ref="N98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82" s="10" cm="1">
        <f t="array" ref="O982">IFERROR(INDEX(Sheet4!$2:$1605,MATCH(ChiTietKQKD[[#This Row],[Mã CP]],Sheet4!$B$2:$B$1605,0),_xlfn.XMATCH("*Tăng trưởng lợi nhuận sau thuế (YoY) (Quý*",Sheet4!$1:$1,2)),"")</f>
        <v>0</v>
      </c>
      <c r="P982" s="10" cm="1">
        <f t="array" ref="P982">IFERROR(INDEX(Sheet4!$2:$1605,MATCH(ChiTietKQKD[[#This Row],[Mã CP]],Sheet4!$B$2:$B$1605,0),_xlfn.XMATCH("*Tăng trưởng lợi nhuận sau thuế (YoY) (6M)*",Sheet4!$1:$1,2)),"")</f>
        <v>0</v>
      </c>
      <c r="Q982" s="10" cm="1">
        <f t="array" ref="Q982">IFERROR(INDEX(Sheet4!$2:$1605,MATCH(ChiTietKQKD[[#This Row],[Mã CP]],Sheet4!$B$2:$B$1605,0),_xlfn.XMATCH("*Tăng trưởng doanh thu thuần (QoQ)*",Sheet4!$1:$1,2)),"")</f>
        <v>0</v>
      </c>
      <c r="R982" s="10" cm="1">
        <f t="array" ref="R982">IFERROR(INDEX(Sheet4!$2:$1605,MATCH(ChiTietKQKD[[#This Row],[Mã CP]],Sheet4!$B$2:$B$1605,0),_xlfn.XMATCH("*Tăng trưởng lợi nhuận sau thuế (QoQ)*",Sheet4!$1:$1,2)),"")</f>
        <v>0</v>
      </c>
    </row>
    <row r="983" spans="1:18" x14ac:dyDescent="0.25">
      <c r="A983" s="7">
        <f>Sheet4!A962</f>
        <v>961</v>
      </c>
      <c r="B983" t="str">
        <f>Sheet4!B962</f>
        <v>DVT</v>
      </c>
      <c r="C983" t="str">
        <f>Sheet4!C961</f>
        <v>Tổng Công ty Dược Việt Nam</v>
      </c>
      <c r="D983" t="str">
        <f>Sheet4!D962</f>
        <v>UPCoM</v>
      </c>
      <c r="E983" s="7">
        <f>Sheet4!AH962/1000000000</f>
        <v>3.1002299999999998</v>
      </c>
      <c r="F983" t="str">
        <f>Sheet4!E962</f>
        <v>Công nghiệp</v>
      </c>
      <c r="G983" t="str">
        <f>Sheet4!F962</f>
        <v>Hàng &amp; Dịch vụ Công nghiệp</v>
      </c>
      <c r="H983" t="str">
        <f>Sheet4!G962</f>
        <v>Đào tạo &amp; Việc làm</v>
      </c>
      <c r="I983" s="9" t="str" cm="1">
        <f t="array" ref="I98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83" s="9" t="str" cm="1">
        <f t="array" ref="J98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83" s="10" cm="1">
        <f t="array" ref="K98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83" s="10" cm="1">
        <f t="array" ref="L98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83" s="9" t="str" cm="1">
        <f t="array" ref="M98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83" s="9" t="str" cm="1">
        <f t="array" ref="N98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83" s="10" cm="1">
        <f t="array" ref="O983">IFERROR(INDEX(Sheet4!$2:$1605,MATCH(ChiTietKQKD[[#This Row],[Mã CP]],Sheet4!$B$2:$B$1605,0),_xlfn.XMATCH("*Tăng trưởng lợi nhuận sau thuế (YoY) (Quý*",Sheet4!$1:$1,2)),"")</f>
        <v>0</v>
      </c>
      <c r="P983" s="10" cm="1">
        <f t="array" ref="P983">IFERROR(INDEX(Sheet4!$2:$1605,MATCH(ChiTietKQKD[[#This Row],[Mã CP]],Sheet4!$B$2:$B$1605,0),_xlfn.XMATCH("*Tăng trưởng lợi nhuận sau thuế (YoY) (6M)*",Sheet4!$1:$1,2)),"")</f>
        <v>0</v>
      </c>
      <c r="Q983" s="10" cm="1">
        <f t="array" ref="Q983">IFERROR(INDEX(Sheet4!$2:$1605,MATCH(ChiTietKQKD[[#This Row],[Mã CP]],Sheet4!$B$2:$B$1605,0),_xlfn.XMATCH("*Tăng trưởng doanh thu thuần (QoQ)*",Sheet4!$1:$1,2)),"")</f>
        <v>0</v>
      </c>
      <c r="R983" s="10" cm="1">
        <f t="array" ref="R983">IFERROR(INDEX(Sheet4!$2:$1605,MATCH(ChiTietKQKD[[#This Row],[Mã CP]],Sheet4!$B$2:$B$1605,0),_xlfn.XMATCH("*Tăng trưởng lợi nhuận sau thuế (QoQ)*",Sheet4!$1:$1,2)),"")</f>
        <v>0</v>
      </c>
    </row>
    <row r="984" spans="1:18" x14ac:dyDescent="0.25">
      <c r="A984" s="7">
        <f>Sheet4!A963</f>
        <v>962</v>
      </c>
      <c r="B984" t="str">
        <f>Sheet4!B963</f>
        <v>DVW</v>
      </c>
      <c r="C984" t="str">
        <f>Sheet4!C962</f>
        <v>ĐT &amp; DV GTVT Bình Định</v>
      </c>
      <c r="D984" t="str">
        <f>Sheet4!D963</f>
        <v>UPCoM</v>
      </c>
      <c r="E984" s="7">
        <f>Sheet4!AH963/1000000000</f>
        <v>121.23650000000001</v>
      </c>
      <c r="F984" t="str">
        <f>Sheet4!E963</f>
        <v>Công nghiệp</v>
      </c>
      <c r="G984" t="str">
        <f>Sheet4!F963</f>
        <v>Xây dựng và Vật liệu</v>
      </c>
      <c r="H984" t="str">
        <f>Sheet4!G963</f>
        <v>Xây dựng</v>
      </c>
      <c r="I984" s="9" t="str" cm="1">
        <f t="array" ref="I98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84" s="9" t="str" cm="1">
        <f t="array" ref="J98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84" s="10" cm="1">
        <f t="array" ref="K98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84" s="10" cm="1">
        <f t="array" ref="L98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84" s="9" t="str" cm="1">
        <f t="array" ref="M98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84" s="9" t="str" cm="1">
        <f t="array" ref="N98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84" s="10" cm="1">
        <f t="array" ref="O984">IFERROR(INDEX(Sheet4!$2:$1605,MATCH(ChiTietKQKD[[#This Row],[Mã CP]],Sheet4!$B$2:$B$1605,0),_xlfn.XMATCH("*Tăng trưởng lợi nhuận sau thuế (YoY) (Quý*",Sheet4!$1:$1,2)),"")</f>
        <v>0</v>
      </c>
      <c r="P984" s="10" cm="1">
        <f t="array" ref="P984">IFERROR(INDEX(Sheet4!$2:$1605,MATCH(ChiTietKQKD[[#This Row],[Mã CP]],Sheet4!$B$2:$B$1605,0),_xlfn.XMATCH("*Tăng trưởng lợi nhuận sau thuế (YoY) (6M)*",Sheet4!$1:$1,2)),"")</f>
        <v>0</v>
      </c>
      <c r="Q984" s="10" cm="1">
        <f t="array" ref="Q984">IFERROR(INDEX(Sheet4!$2:$1605,MATCH(ChiTietKQKD[[#This Row],[Mã CP]],Sheet4!$B$2:$B$1605,0),_xlfn.XMATCH("*Tăng trưởng doanh thu thuần (QoQ)*",Sheet4!$1:$1,2)),"")</f>
        <v>0</v>
      </c>
      <c r="R984" s="10" cm="1">
        <f t="array" ref="R984">IFERROR(INDEX(Sheet4!$2:$1605,MATCH(ChiTietKQKD[[#This Row],[Mã CP]],Sheet4!$B$2:$B$1605,0),_xlfn.XMATCH("*Tăng trưởng lợi nhuận sau thuế (QoQ)*",Sheet4!$1:$1,2)),"")</f>
        <v>0</v>
      </c>
    </row>
    <row r="985" spans="1:18" x14ac:dyDescent="0.25">
      <c r="A985" s="7">
        <f>Sheet4!A964</f>
        <v>963</v>
      </c>
      <c r="B985" t="str">
        <f>Sheet4!B964</f>
        <v>DWC</v>
      </c>
      <c r="C985" t="str">
        <f>Sheet4!C963</f>
        <v>DV và XD cấp nước Đồng Nai</v>
      </c>
      <c r="D985" t="str">
        <f>Sheet4!D964</f>
        <v>UPCoM</v>
      </c>
      <c r="E985" s="7">
        <f>Sheet4!AH964/1000000000</f>
        <v>595.72799999999995</v>
      </c>
      <c r="F985" t="str">
        <f>Sheet4!E964</f>
        <v>Tiện ích Cộng đồng</v>
      </c>
      <c r="G985" t="str">
        <f>Sheet4!F964</f>
        <v>Điện, nước &amp; xăng dầu khí đốt</v>
      </c>
      <c r="H985" t="str">
        <f>Sheet4!G964</f>
        <v>Nước</v>
      </c>
      <c r="I985" s="9" t="str" cm="1">
        <f t="array" ref="I98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85" s="9" t="str" cm="1">
        <f t="array" ref="J98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85" s="10" cm="1">
        <f t="array" ref="K98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85" s="10" cm="1">
        <f t="array" ref="L98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85" s="9" t="str" cm="1">
        <f t="array" ref="M98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85" s="9" t="str" cm="1">
        <f t="array" ref="N98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85" s="10" cm="1">
        <f t="array" ref="O985">IFERROR(INDEX(Sheet4!$2:$1605,MATCH(ChiTietKQKD[[#This Row],[Mã CP]],Sheet4!$B$2:$B$1605,0),_xlfn.XMATCH("*Tăng trưởng lợi nhuận sau thuế (YoY) (Quý*",Sheet4!$1:$1,2)),"")</f>
        <v>0</v>
      </c>
      <c r="P985" s="10" cm="1">
        <f t="array" ref="P985">IFERROR(INDEX(Sheet4!$2:$1605,MATCH(ChiTietKQKD[[#This Row],[Mã CP]],Sheet4!$B$2:$B$1605,0),_xlfn.XMATCH("*Tăng trưởng lợi nhuận sau thuế (YoY) (6M)*",Sheet4!$1:$1,2)),"")</f>
        <v>0</v>
      </c>
      <c r="Q985" s="10" cm="1">
        <f t="array" ref="Q985">IFERROR(INDEX(Sheet4!$2:$1605,MATCH(ChiTietKQKD[[#This Row],[Mã CP]],Sheet4!$B$2:$B$1605,0),_xlfn.XMATCH("*Tăng trưởng doanh thu thuần (QoQ)*",Sheet4!$1:$1,2)),"")</f>
        <v>0</v>
      </c>
      <c r="R985" s="10" cm="1">
        <f t="array" ref="R985">IFERROR(INDEX(Sheet4!$2:$1605,MATCH(ChiTietKQKD[[#This Row],[Mã CP]],Sheet4!$B$2:$B$1605,0),_xlfn.XMATCH("*Tăng trưởng lợi nhuận sau thuế (QoQ)*",Sheet4!$1:$1,2)),"")</f>
        <v>0</v>
      </c>
    </row>
    <row r="986" spans="1:18" x14ac:dyDescent="0.25">
      <c r="A986" s="7">
        <f>Sheet4!A965</f>
        <v>964</v>
      </c>
      <c r="B986" t="str">
        <f>Sheet4!B965</f>
        <v>DWS</v>
      </c>
      <c r="C986" t="str">
        <f>Sheet4!C964</f>
        <v>Cấp nước Đắk Lắk</v>
      </c>
      <c r="D986" t="str">
        <f>Sheet4!D965</f>
        <v>UPCoM</v>
      </c>
      <c r="E986" s="7">
        <f>Sheet4!AH965/1000000000</f>
        <v>368.03744599999999</v>
      </c>
      <c r="F986" t="str">
        <f>Sheet4!E965</f>
        <v>Tiện ích Cộng đồng</v>
      </c>
      <c r="G986" t="str">
        <f>Sheet4!F965</f>
        <v>Điện, nước &amp; xăng dầu khí đốt</v>
      </c>
      <c r="H986" t="str">
        <f>Sheet4!G965</f>
        <v>Nước</v>
      </c>
      <c r="I986" s="9" t="str" cm="1">
        <f t="array" ref="I98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86" s="9" t="str" cm="1">
        <f t="array" ref="J98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86" s="10" cm="1">
        <f t="array" ref="K98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86" s="10" cm="1">
        <f t="array" ref="L98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86" s="9" t="str" cm="1">
        <f t="array" ref="M98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86" s="9" t="str" cm="1">
        <f t="array" ref="N98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86" s="10" cm="1">
        <f t="array" ref="O986">IFERROR(INDEX(Sheet4!$2:$1605,MATCH(ChiTietKQKD[[#This Row],[Mã CP]],Sheet4!$B$2:$B$1605,0),_xlfn.XMATCH("*Tăng trưởng lợi nhuận sau thuế (YoY) (Quý*",Sheet4!$1:$1,2)),"")</f>
        <v>0</v>
      </c>
      <c r="P986" s="10" cm="1">
        <f t="array" ref="P986">IFERROR(INDEX(Sheet4!$2:$1605,MATCH(ChiTietKQKD[[#This Row],[Mã CP]],Sheet4!$B$2:$B$1605,0),_xlfn.XMATCH("*Tăng trưởng lợi nhuận sau thuế (YoY) (6M)*",Sheet4!$1:$1,2)),"")</f>
        <v>0</v>
      </c>
      <c r="Q986" s="10" cm="1">
        <f t="array" ref="Q986">IFERROR(INDEX(Sheet4!$2:$1605,MATCH(ChiTietKQKD[[#This Row],[Mã CP]],Sheet4!$B$2:$B$1605,0),_xlfn.XMATCH("*Tăng trưởng doanh thu thuần (QoQ)*",Sheet4!$1:$1,2)),"")</f>
        <v>0</v>
      </c>
      <c r="R986" s="10" cm="1">
        <f t="array" ref="R986">IFERROR(INDEX(Sheet4!$2:$1605,MATCH(ChiTietKQKD[[#This Row],[Mã CP]],Sheet4!$B$2:$B$1605,0),_xlfn.XMATCH("*Tăng trưởng lợi nhuận sau thuế (QoQ)*",Sheet4!$1:$1,2)),"")</f>
        <v>0</v>
      </c>
    </row>
    <row r="987" spans="1:18" x14ac:dyDescent="0.25">
      <c r="A987" s="7">
        <f>Sheet4!A966</f>
        <v>965</v>
      </c>
      <c r="B987" t="str">
        <f>Sheet4!B966</f>
        <v>DXL</v>
      </c>
      <c r="C987" t="str">
        <f>Sheet4!C965</f>
        <v>Cấp nước Đồng Tháp</v>
      </c>
      <c r="D987" t="str">
        <f>Sheet4!D966</f>
        <v>UPCoM</v>
      </c>
      <c r="E987" s="7">
        <f>Sheet4!AH966/1000000000</f>
        <v>37.204259999999998</v>
      </c>
      <c r="F987" t="str">
        <f>Sheet4!E966</f>
        <v>Dịch vụ Tiêu dùng</v>
      </c>
      <c r="G987" t="str">
        <f>Sheet4!F966</f>
        <v>Du lịch và Giải trí</v>
      </c>
      <c r="H987" t="str">
        <f>Sheet4!G966</f>
        <v>Khách sạn</v>
      </c>
      <c r="I987" s="9" t="str" cm="1">
        <f t="array" ref="I98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87" s="9" t="str" cm="1">
        <f t="array" ref="J98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87" s="10" cm="1">
        <f t="array" ref="K98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87" s="10" cm="1">
        <f t="array" ref="L98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87" s="9" t="str" cm="1">
        <f t="array" ref="M98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87" s="9" t="str" cm="1">
        <f t="array" ref="N98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87" s="10" cm="1">
        <f t="array" ref="O987">IFERROR(INDEX(Sheet4!$2:$1605,MATCH(ChiTietKQKD[[#This Row],[Mã CP]],Sheet4!$B$2:$B$1605,0),_xlfn.XMATCH("*Tăng trưởng lợi nhuận sau thuế (YoY) (Quý*",Sheet4!$1:$1,2)),"")</f>
        <v>0</v>
      </c>
      <c r="P987" s="10" cm="1">
        <f t="array" ref="P987">IFERROR(INDEX(Sheet4!$2:$1605,MATCH(ChiTietKQKD[[#This Row],[Mã CP]],Sheet4!$B$2:$B$1605,0),_xlfn.XMATCH("*Tăng trưởng lợi nhuận sau thuế (YoY) (6M)*",Sheet4!$1:$1,2)),"")</f>
        <v>0</v>
      </c>
      <c r="Q987" s="10" cm="1">
        <f t="array" ref="Q987">IFERROR(INDEX(Sheet4!$2:$1605,MATCH(ChiTietKQKD[[#This Row],[Mã CP]],Sheet4!$B$2:$B$1605,0),_xlfn.XMATCH("*Tăng trưởng doanh thu thuần (QoQ)*",Sheet4!$1:$1,2)),"")</f>
        <v>0</v>
      </c>
      <c r="R987" s="10" cm="1">
        <f t="array" ref="R987">IFERROR(INDEX(Sheet4!$2:$1605,MATCH(ChiTietKQKD[[#This Row],[Mã CP]],Sheet4!$B$2:$B$1605,0),_xlfn.XMATCH("*Tăng trưởng lợi nhuận sau thuế (QoQ)*",Sheet4!$1:$1,2)),"")</f>
        <v>0</v>
      </c>
    </row>
    <row r="988" spans="1:18" x14ac:dyDescent="0.25">
      <c r="A988" s="7">
        <f>Sheet4!A967</f>
        <v>966</v>
      </c>
      <c r="B988" t="str">
        <f>Sheet4!B967</f>
        <v>E12</v>
      </c>
      <c r="C988" t="str">
        <f>Sheet4!C966</f>
        <v>Du lịch và Xuất nhập khẩu Lạng Sơn</v>
      </c>
      <c r="D988" t="str">
        <f>Sheet4!D967</f>
        <v>UPCoM</v>
      </c>
      <c r="E988" s="7">
        <f>Sheet4!AH967/1000000000</f>
        <v>4.2</v>
      </c>
      <c r="F988" t="str">
        <f>Sheet4!E967</f>
        <v>Công nghiệp</v>
      </c>
      <c r="G988" t="str">
        <f>Sheet4!F967</f>
        <v>Xây dựng và Vật liệu</v>
      </c>
      <c r="H988" t="str">
        <f>Sheet4!G967</f>
        <v>Xây dựng</v>
      </c>
      <c r="I988" s="9" t="str" cm="1">
        <f t="array" ref="I98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88" s="9" t="str" cm="1">
        <f t="array" ref="J98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88" s="10" cm="1">
        <f t="array" ref="K98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88" s="10" cm="1">
        <f t="array" ref="L98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88" s="9" t="str" cm="1">
        <f t="array" ref="M98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88" s="9" t="str" cm="1">
        <f t="array" ref="N98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88" s="10" cm="1">
        <f t="array" ref="O988">IFERROR(INDEX(Sheet4!$2:$1605,MATCH(ChiTietKQKD[[#This Row],[Mã CP]],Sheet4!$B$2:$B$1605,0),_xlfn.XMATCH("*Tăng trưởng lợi nhuận sau thuế (YoY) (Quý*",Sheet4!$1:$1,2)),"")</f>
        <v>0</v>
      </c>
      <c r="P988" s="10" cm="1">
        <f t="array" ref="P988">IFERROR(INDEX(Sheet4!$2:$1605,MATCH(ChiTietKQKD[[#This Row],[Mã CP]],Sheet4!$B$2:$B$1605,0),_xlfn.XMATCH("*Tăng trưởng lợi nhuận sau thuế (YoY) (6M)*",Sheet4!$1:$1,2)),"")</f>
        <v>0</v>
      </c>
      <c r="Q988" s="10" cm="1">
        <f t="array" ref="Q988">IFERROR(INDEX(Sheet4!$2:$1605,MATCH(ChiTietKQKD[[#This Row],[Mã CP]],Sheet4!$B$2:$B$1605,0),_xlfn.XMATCH("*Tăng trưởng doanh thu thuần (QoQ)*",Sheet4!$1:$1,2)),"")</f>
        <v>0</v>
      </c>
      <c r="R988" s="10" cm="1">
        <f t="array" ref="R988">IFERROR(INDEX(Sheet4!$2:$1605,MATCH(ChiTietKQKD[[#This Row],[Mã CP]],Sheet4!$B$2:$B$1605,0),_xlfn.XMATCH("*Tăng trưởng lợi nhuận sau thuế (QoQ)*",Sheet4!$1:$1,2)),"")</f>
        <v>0</v>
      </c>
    </row>
    <row r="989" spans="1:18" x14ac:dyDescent="0.25">
      <c r="A989" s="7">
        <f>Sheet4!A968</f>
        <v>967</v>
      </c>
      <c r="B989" t="str">
        <f>Sheet4!B968</f>
        <v>E29</v>
      </c>
      <c r="C989" t="str">
        <f>Sheet4!C967</f>
        <v>XD Điện VNECO 12</v>
      </c>
      <c r="D989" t="str">
        <f>Sheet4!D968</f>
        <v>UPCoM</v>
      </c>
      <c r="E989" s="7">
        <f>Sheet4!AH968/1000000000</f>
        <v>45</v>
      </c>
      <c r="F989" t="str">
        <f>Sheet4!E968</f>
        <v>Công nghiệp</v>
      </c>
      <c r="G989" t="str">
        <f>Sheet4!F968</f>
        <v>Xây dựng và Vật liệu</v>
      </c>
      <c r="H989" t="str">
        <f>Sheet4!G968</f>
        <v>Xây dựng</v>
      </c>
      <c r="I989" s="9" t="str" cm="1">
        <f t="array" ref="I98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89" s="9" t="str" cm="1">
        <f t="array" ref="J98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89" s="10" cm="1">
        <f t="array" ref="K98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89" s="10" cm="1">
        <f t="array" ref="L98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89" s="9" t="str" cm="1">
        <f t="array" ref="M98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89" s="9" t="str" cm="1">
        <f t="array" ref="N98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89" s="10" cm="1">
        <f t="array" ref="O989">IFERROR(INDEX(Sheet4!$2:$1605,MATCH(ChiTietKQKD[[#This Row],[Mã CP]],Sheet4!$B$2:$B$1605,0),_xlfn.XMATCH("*Tăng trưởng lợi nhuận sau thuế (YoY) (Quý*",Sheet4!$1:$1,2)),"")</f>
        <v>0</v>
      </c>
      <c r="P989" s="10" cm="1">
        <f t="array" ref="P989">IFERROR(INDEX(Sheet4!$2:$1605,MATCH(ChiTietKQKD[[#This Row],[Mã CP]],Sheet4!$B$2:$B$1605,0),_xlfn.XMATCH("*Tăng trưởng lợi nhuận sau thuế (YoY) (6M)*",Sheet4!$1:$1,2)),"")</f>
        <v>0</v>
      </c>
      <c r="Q989" s="10" cm="1">
        <f t="array" ref="Q989">IFERROR(INDEX(Sheet4!$2:$1605,MATCH(ChiTietKQKD[[#This Row],[Mã CP]],Sheet4!$B$2:$B$1605,0),_xlfn.XMATCH("*Tăng trưởng doanh thu thuần (QoQ)*",Sheet4!$1:$1,2)),"")</f>
        <v>0</v>
      </c>
      <c r="R989" s="10" cm="1">
        <f t="array" ref="R989">IFERROR(INDEX(Sheet4!$2:$1605,MATCH(ChiTietKQKD[[#This Row],[Mã CP]],Sheet4!$B$2:$B$1605,0),_xlfn.XMATCH("*Tăng trưởng lợi nhuận sau thuế (QoQ)*",Sheet4!$1:$1,2)),"")</f>
        <v>0</v>
      </c>
    </row>
    <row r="990" spans="1:18" x14ac:dyDescent="0.25">
      <c r="A990" s="7">
        <f>Sheet4!A969</f>
        <v>968</v>
      </c>
      <c r="B990" t="str">
        <f>Sheet4!B969</f>
        <v>ECO</v>
      </c>
      <c r="C990" t="str">
        <f>Sheet4!C968</f>
        <v>Đầu tư XD và Kỹ thuật 29</v>
      </c>
      <c r="D990" t="str">
        <f>Sheet4!D969</f>
        <v>UPCoM</v>
      </c>
      <c r="E990" s="7">
        <f>Sheet4!AH969/1000000000</f>
        <v>644.99967749999996</v>
      </c>
      <c r="F990" t="str">
        <f>Sheet4!E969</f>
        <v>Nguyên vật liệu</v>
      </c>
      <c r="G990" t="str">
        <f>Sheet4!F969</f>
        <v>Hóa chất</v>
      </c>
      <c r="H990" t="str">
        <f>Sheet4!G969</f>
        <v>Nhựa, cao su &amp; sợi</v>
      </c>
      <c r="I990" s="9" t="str" cm="1">
        <f t="array" ref="I99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90" s="9" t="str" cm="1">
        <f t="array" ref="J99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90" s="10" cm="1">
        <f t="array" ref="K99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90" s="10" cm="1">
        <f t="array" ref="L99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90" s="9" t="str" cm="1">
        <f t="array" ref="M99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90" s="9" t="str" cm="1">
        <f t="array" ref="N99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90" s="10" cm="1">
        <f t="array" ref="O990">IFERROR(INDEX(Sheet4!$2:$1605,MATCH(ChiTietKQKD[[#This Row],[Mã CP]],Sheet4!$B$2:$B$1605,0),_xlfn.XMATCH("*Tăng trưởng lợi nhuận sau thuế (YoY) (Quý*",Sheet4!$1:$1,2)),"")</f>
        <v>0</v>
      </c>
      <c r="P990" s="10" cm="1">
        <f t="array" ref="P990">IFERROR(INDEX(Sheet4!$2:$1605,MATCH(ChiTietKQKD[[#This Row],[Mã CP]],Sheet4!$B$2:$B$1605,0),_xlfn.XMATCH("*Tăng trưởng lợi nhuận sau thuế (YoY) (6M)*",Sheet4!$1:$1,2)),"")</f>
        <v>0</v>
      </c>
      <c r="Q990" s="10" cm="1">
        <f t="array" ref="Q990">IFERROR(INDEX(Sheet4!$2:$1605,MATCH(ChiTietKQKD[[#This Row],[Mã CP]],Sheet4!$B$2:$B$1605,0),_xlfn.XMATCH("*Tăng trưởng doanh thu thuần (QoQ)*",Sheet4!$1:$1,2)),"")</f>
        <v>0</v>
      </c>
      <c r="R990" s="10" cm="1">
        <f t="array" ref="R990">IFERROR(INDEX(Sheet4!$2:$1605,MATCH(ChiTietKQKD[[#This Row],[Mã CP]],Sheet4!$B$2:$B$1605,0),_xlfn.XMATCH("*Tăng trưởng lợi nhuận sau thuế (QoQ)*",Sheet4!$1:$1,2)),"")</f>
        <v>0</v>
      </c>
    </row>
    <row r="991" spans="1:18" x14ac:dyDescent="0.25">
      <c r="A991" s="7">
        <f>Sheet4!A970</f>
        <v>969</v>
      </c>
      <c r="B991" t="str">
        <f>Sheet4!B970</f>
        <v>EFI</v>
      </c>
      <c r="C991" t="str">
        <f>Sheet4!C969</f>
        <v>Ecoplastic VN</v>
      </c>
      <c r="D991" t="str">
        <f>Sheet4!D970</f>
        <v>UPCoM</v>
      </c>
      <c r="E991" s="7">
        <f>Sheet4!AH970/1000000000</f>
        <v>40.256</v>
      </c>
      <c r="F991" t="str">
        <f>Sheet4!E970</f>
        <v>Tài chính</v>
      </c>
      <c r="G991" t="str">
        <f>Sheet4!F970</f>
        <v>Bất động sản</v>
      </c>
      <c r="H991" t="str">
        <f>Sheet4!G970</f>
        <v>Bất động sản</v>
      </c>
      <c r="I991" s="9" t="str" cm="1">
        <f t="array" ref="I99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91" s="9" t="str" cm="1">
        <f t="array" ref="J99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91" s="10" cm="1">
        <f t="array" ref="K99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91" s="10" cm="1">
        <f t="array" ref="L99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91" s="9" t="str" cm="1">
        <f t="array" ref="M99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91" s="9" t="str" cm="1">
        <f t="array" ref="N99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91" s="10" cm="1">
        <f t="array" ref="O991">IFERROR(INDEX(Sheet4!$2:$1605,MATCH(ChiTietKQKD[[#This Row],[Mã CP]],Sheet4!$B$2:$B$1605,0),_xlfn.XMATCH("*Tăng trưởng lợi nhuận sau thuế (YoY) (Quý*",Sheet4!$1:$1,2)),"")</f>
        <v>0</v>
      </c>
      <c r="P991" s="10" cm="1">
        <f t="array" ref="P991">IFERROR(INDEX(Sheet4!$2:$1605,MATCH(ChiTietKQKD[[#This Row],[Mã CP]],Sheet4!$B$2:$B$1605,0),_xlfn.XMATCH("*Tăng trưởng lợi nhuận sau thuế (YoY) (6M)*",Sheet4!$1:$1,2)),"")</f>
        <v>0</v>
      </c>
      <c r="Q991" s="10" cm="1">
        <f t="array" ref="Q991">IFERROR(INDEX(Sheet4!$2:$1605,MATCH(ChiTietKQKD[[#This Row],[Mã CP]],Sheet4!$B$2:$B$1605,0),_xlfn.XMATCH("*Tăng trưởng doanh thu thuần (QoQ)*",Sheet4!$1:$1,2)),"")</f>
        <v>0</v>
      </c>
      <c r="R991" s="10" cm="1">
        <f t="array" ref="R991">IFERROR(INDEX(Sheet4!$2:$1605,MATCH(ChiTietKQKD[[#This Row],[Mã CP]],Sheet4!$B$2:$B$1605,0),_xlfn.XMATCH("*Tăng trưởng lợi nhuận sau thuế (QoQ)*",Sheet4!$1:$1,2)),"")</f>
        <v>0</v>
      </c>
    </row>
    <row r="992" spans="1:18" x14ac:dyDescent="0.25">
      <c r="A992" s="7">
        <f>Sheet4!A971</f>
        <v>970</v>
      </c>
      <c r="B992" t="str">
        <f>Sheet4!B971</f>
        <v>EGL</v>
      </c>
      <c r="C992" t="str">
        <f>Sheet4!C970</f>
        <v>Tài chính giáo dục</v>
      </c>
      <c r="D992" t="str">
        <f>Sheet4!D971</f>
        <v>UPCoM</v>
      </c>
      <c r="E992" s="7">
        <f>Sheet4!AH971/1000000000</f>
        <v>99.56</v>
      </c>
      <c r="F992" t="str">
        <f>Sheet4!E971</f>
        <v>Công nghiệp</v>
      </c>
      <c r="G992" t="str">
        <f>Sheet4!F971</f>
        <v>Hàng &amp; Dịch vụ Công nghiệp</v>
      </c>
      <c r="H992" t="str">
        <f>Sheet4!G971</f>
        <v>Chất thải &amp; Môi trường</v>
      </c>
      <c r="I992" s="9" t="str" cm="1">
        <f t="array" ref="I99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92" s="9" t="str" cm="1">
        <f t="array" ref="J99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92" s="10" cm="1">
        <f t="array" ref="K99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92" s="10" cm="1">
        <f t="array" ref="L99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92" s="9" t="str" cm="1">
        <f t="array" ref="M99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92" s="9" t="str" cm="1">
        <f t="array" ref="N99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92" s="10" cm="1">
        <f t="array" ref="O992">IFERROR(INDEX(Sheet4!$2:$1605,MATCH(ChiTietKQKD[[#This Row],[Mã CP]],Sheet4!$B$2:$B$1605,0),_xlfn.XMATCH("*Tăng trưởng lợi nhuận sau thuế (YoY) (Quý*",Sheet4!$1:$1,2)),"")</f>
        <v>0</v>
      </c>
      <c r="P992" s="10" cm="1">
        <f t="array" ref="P992">IFERROR(INDEX(Sheet4!$2:$1605,MATCH(ChiTietKQKD[[#This Row],[Mã CP]],Sheet4!$B$2:$B$1605,0),_xlfn.XMATCH("*Tăng trưởng lợi nhuận sau thuế (YoY) (6M)*",Sheet4!$1:$1,2)),"")</f>
        <v>0</v>
      </c>
      <c r="Q992" s="10" cm="1">
        <f t="array" ref="Q992">IFERROR(INDEX(Sheet4!$2:$1605,MATCH(ChiTietKQKD[[#This Row],[Mã CP]],Sheet4!$B$2:$B$1605,0),_xlfn.XMATCH("*Tăng trưởng doanh thu thuần (QoQ)*",Sheet4!$1:$1,2)),"")</f>
        <v>0</v>
      </c>
      <c r="R992" s="10" cm="1">
        <f t="array" ref="R992">IFERROR(INDEX(Sheet4!$2:$1605,MATCH(ChiTietKQKD[[#This Row],[Mã CP]],Sheet4!$B$2:$B$1605,0),_xlfn.XMATCH("*Tăng trưởng lợi nhuận sau thuế (QoQ)*",Sheet4!$1:$1,2)),"")</f>
        <v>0</v>
      </c>
    </row>
    <row r="993" spans="1:18" x14ac:dyDescent="0.25">
      <c r="A993" s="7">
        <f>Sheet4!A972</f>
        <v>971</v>
      </c>
      <c r="B993" t="str">
        <f>Sheet4!B972</f>
        <v>EIC</v>
      </c>
      <c r="C993" t="str">
        <f>Sheet4!C971</f>
        <v>Urenco Gia Lam.,Jsc</v>
      </c>
      <c r="D993" t="str">
        <f>Sheet4!D972</f>
        <v>UPCoM</v>
      </c>
      <c r="E993" s="7">
        <f>Sheet4!AH972/1000000000</f>
        <v>668.03751903</v>
      </c>
      <c r="F993" t="str">
        <f>Sheet4!E972</f>
        <v>Công nghiệp</v>
      </c>
      <c r="G993" t="str">
        <f>Sheet4!F972</f>
        <v>Xây dựng và Vật liệu</v>
      </c>
      <c r="H993" t="str">
        <f>Sheet4!G972</f>
        <v>Xây dựng</v>
      </c>
      <c r="I993" s="9" t="str" cm="1">
        <f t="array" ref="I99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93" s="9" t="str" cm="1">
        <f t="array" ref="J99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93" s="10" cm="1">
        <f t="array" ref="K99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93" s="10" cm="1">
        <f t="array" ref="L99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93" s="9" t="str" cm="1">
        <f t="array" ref="M99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93" s="9" t="str" cm="1">
        <f t="array" ref="N99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93" s="10" cm="1">
        <f t="array" ref="O993">IFERROR(INDEX(Sheet4!$2:$1605,MATCH(ChiTietKQKD[[#This Row],[Mã CP]],Sheet4!$B$2:$B$1605,0),_xlfn.XMATCH("*Tăng trưởng lợi nhuận sau thuế (YoY) (Quý*",Sheet4!$1:$1,2)),"")</f>
        <v>0</v>
      </c>
      <c r="P993" s="10" cm="1">
        <f t="array" ref="P993">IFERROR(INDEX(Sheet4!$2:$1605,MATCH(ChiTietKQKD[[#This Row],[Mã CP]],Sheet4!$B$2:$B$1605,0),_xlfn.XMATCH("*Tăng trưởng lợi nhuận sau thuế (YoY) (6M)*",Sheet4!$1:$1,2)),"")</f>
        <v>0</v>
      </c>
      <c r="Q993" s="10" cm="1">
        <f t="array" ref="Q993">IFERROR(INDEX(Sheet4!$2:$1605,MATCH(ChiTietKQKD[[#This Row],[Mã CP]],Sheet4!$B$2:$B$1605,0),_xlfn.XMATCH("*Tăng trưởng doanh thu thuần (QoQ)*",Sheet4!$1:$1,2)),"")</f>
        <v>0</v>
      </c>
      <c r="R993" s="10" cm="1">
        <f t="array" ref="R993">IFERROR(INDEX(Sheet4!$2:$1605,MATCH(ChiTietKQKD[[#This Row],[Mã CP]],Sheet4!$B$2:$B$1605,0),_xlfn.XMATCH("*Tăng trưởng lợi nhuận sau thuế (QoQ)*",Sheet4!$1:$1,2)),"")</f>
        <v>0</v>
      </c>
    </row>
    <row r="994" spans="1:18" x14ac:dyDescent="0.25">
      <c r="A994" s="7">
        <f>Sheet4!A973</f>
        <v>972</v>
      </c>
      <c r="B994" t="str">
        <f>Sheet4!B973</f>
        <v>EIN</v>
      </c>
      <c r="C994" t="str">
        <f>Sheet4!C972</f>
        <v>EVN Quốc Tế</v>
      </c>
      <c r="D994" t="str">
        <f>Sheet4!D973</f>
        <v>UPCoM</v>
      </c>
      <c r="E994" s="7">
        <f>Sheet4!AH973/1000000000</f>
        <v>81.006375223999996</v>
      </c>
      <c r="F994" t="str">
        <f>Sheet4!E973</f>
        <v>Dịch vụ Tiêu dùng</v>
      </c>
      <c r="G994" t="str">
        <f>Sheet4!F973</f>
        <v>Du lịch và Giải trí</v>
      </c>
      <c r="H994" t="str">
        <f>Sheet4!G973</f>
        <v>Khách sạn</v>
      </c>
      <c r="I994" s="9" t="str" cm="1">
        <f t="array" ref="I99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94" s="9" t="str" cm="1">
        <f t="array" ref="J99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94" s="10" cm="1">
        <f t="array" ref="K99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94" s="10" cm="1">
        <f t="array" ref="L99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94" s="9" t="str" cm="1">
        <f t="array" ref="M99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94" s="9" t="str" cm="1">
        <f t="array" ref="N99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94" s="10" cm="1">
        <f t="array" ref="O994">IFERROR(INDEX(Sheet4!$2:$1605,MATCH(ChiTietKQKD[[#This Row],[Mã CP]],Sheet4!$B$2:$B$1605,0),_xlfn.XMATCH("*Tăng trưởng lợi nhuận sau thuế (YoY) (Quý*",Sheet4!$1:$1,2)),"")</f>
        <v>0</v>
      </c>
      <c r="P994" s="10" cm="1">
        <f t="array" ref="P994">IFERROR(INDEX(Sheet4!$2:$1605,MATCH(ChiTietKQKD[[#This Row],[Mã CP]],Sheet4!$B$2:$B$1605,0),_xlfn.XMATCH("*Tăng trưởng lợi nhuận sau thuế (YoY) (6M)*",Sheet4!$1:$1,2)),"")</f>
        <v>0</v>
      </c>
      <c r="Q994" s="10" cm="1">
        <f t="array" ref="Q994">IFERROR(INDEX(Sheet4!$2:$1605,MATCH(ChiTietKQKD[[#This Row],[Mã CP]],Sheet4!$B$2:$B$1605,0),_xlfn.XMATCH("*Tăng trưởng doanh thu thuần (QoQ)*",Sheet4!$1:$1,2)),"")</f>
        <v>0</v>
      </c>
      <c r="R994" s="10" cm="1">
        <f t="array" ref="R994">IFERROR(INDEX(Sheet4!$2:$1605,MATCH(ChiTietKQKD[[#This Row],[Mã CP]],Sheet4!$B$2:$B$1605,0),_xlfn.XMATCH("*Tăng trưởng lợi nhuận sau thuế (QoQ)*",Sheet4!$1:$1,2)),"")</f>
        <v>0</v>
      </c>
    </row>
    <row r="995" spans="1:18" x14ac:dyDescent="0.25">
      <c r="A995" s="7">
        <f>Sheet4!A974</f>
        <v>973</v>
      </c>
      <c r="B995" t="str">
        <f>Sheet4!B974</f>
        <v>EME</v>
      </c>
      <c r="C995" t="str">
        <f>Sheet4!C973</f>
        <v>Đầu tư - TM - DV Điện lực</v>
      </c>
      <c r="D995" t="str">
        <f>Sheet4!D974</f>
        <v>UPCoM</v>
      </c>
      <c r="E995" s="7">
        <f>Sheet4!AH974/1000000000</f>
        <v>94.885479799999999</v>
      </c>
      <c r="F995" t="str">
        <f>Sheet4!E974</f>
        <v>Công nghiệp</v>
      </c>
      <c r="G995" t="str">
        <f>Sheet4!F974</f>
        <v>Hàng &amp; Dịch vụ Công nghiệp</v>
      </c>
      <c r="H995" t="str">
        <f>Sheet4!G974</f>
        <v>Thiết bị điện</v>
      </c>
      <c r="I995" s="9" t="str" cm="1">
        <f t="array" ref="I99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95" s="9" t="str" cm="1">
        <f t="array" ref="J99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95" s="10" cm="1">
        <f t="array" ref="K99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95" s="10" cm="1">
        <f t="array" ref="L99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95" s="9" t="str" cm="1">
        <f t="array" ref="M99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95" s="9" t="str" cm="1">
        <f t="array" ref="N99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95" s="10" cm="1">
        <f t="array" ref="O995">IFERROR(INDEX(Sheet4!$2:$1605,MATCH(ChiTietKQKD[[#This Row],[Mã CP]],Sheet4!$B$2:$B$1605,0),_xlfn.XMATCH("*Tăng trưởng lợi nhuận sau thuế (YoY) (Quý*",Sheet4!$1:$1,2)),"")</f>
        <v>0</v>
      </c>
      <c r="P995" s="10" cm="1">
        <f t="array" ref="P995">IFERROR(INDEX(Sheet4!$2:$1605,MATCH(ChiTietKQKD[[#This Row],[Mã CP]],Sheet4!$B$2:$B$1605,0),_xlfn.XMATCH("*Tăng trưởng lợi nhuận sau thuế (YoY) (6M)*",Sheet4!$1:$1,2)),"")</f>
        <v>0</v>
      </c>
      <c r="Q995" s="10" cm="1">
        <f t="array" ref="Q995">IFERROR(INDEX(Sheet4!$2:$1605,MATCH(ChiTietKQKD[[#This Row],[Mã CP]],Sheet4!$B$2:$B$1605,0),_xlfn.XMATCH("*Tăng trưởng doanh thu thuần (QoQ)*",Sheet4!$1:$1,2)),"")</f>
        <v>0</v>
      </c>
      <c r="R995" s="10" cm="1">
        <f t="array" ref="R995">IFERROR(INDEX(Sheet4!$2:$1605,MATCH(ChiTietKQKD[[#This Row],[Mã CP]],Sheet4!$B$2:$B$1605,0),_xlfn.XMATCH("*Tăng trưởng lợi nhuận sau thuế (QoQ)*",Sheet4!$1:$1,2)),"")</f>
        <v>0</v>
      </c>
    </row>
    <row r="996" spans="1:18" x14ac:dyDescent="0.25">
      <c r="A996" s="7">
        <f>Sheet4!A975</f>
        <v>974</v>
      </c>
      <c r="B996" t="str">
        <f>Sheet4!B975</f>
        <v>EMG</v>
      </c>
      <c r="C996" t="str">
        <f>Sheet4!C974</f>
        <v>Điện Cơ</v>
      </c>
      <c r="D996" t="str">
        <f>Sheet4!D975</f>
        <v>UPCoM</v>
      </c>
      <c r="E996" s="7">
        <f>Sheet4!AH975/1000000000</f>
        <v>33.9</v>
      </c>
      <c r="F996" t="str">
        <f>Sheet4!E975</f>
        <v>Công nghiệp</v>
      </c>
      <c r="G996" t="str">
        <f>Sheet4!F975</f>
        <v>Hàng &amp; Dịch vụ Công nghiệp</v>
      </c>
      <c r="H996" t="str">
        <f>Sheet4!G975</f>
        <v>Thiết bị điện</v>
      </c>
      <c r="I996" s="9" t="str" cm="1">
        <f t="array" ref="I99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96" s="9" t="str" cm="1">
        <f t="array" ref="J99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96" s="10" cm="1">
        <f t="array" ref="K99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96" s="10" cm="1">
        <f t="array" ref="L99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96" s="9" t="str" cm="1">
        <f t="array" ref="M99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96" s="9" t="str" cm="1">
        <f t="array" ref="N99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96" s="10" cm="1">
        <f t="array" ref="O996">IFERROR(INDEX(Sheet4!$2:$1605,MATCH(ChiTietKQKD[[#This Row],[Mã CP]],Sheet4!$B$2:$B$1605,0),_xlfn.XMATCH("*Tăng trưởng lợi nhuận sau thuế (YoY) (Quý*",Sheet4!$1:$1,2)),"")</f>
        <v>0</v>
      </c>
      <c r="P996" s="10" cm="1">
        <f t="array" ref="P996">IFERROR(INDEX(Sheet4!$2:$1605,MATCH(ChiTietKQKD[[#This Row],[Mã CP]],Sheet4!$B$2:$B$1605,0),_xlfn.XMATCH("*Tăng trưởng lợi nhuận sau thuế (YoY) (6M)*",Sheet4!$1:$1,2)),"")</f>
        <v>0</v>
      </c>
      <c r="Q996" s="10" cm="1">
        <f t="array" ref="Q996">IFERROR(INDEX(Sheet4!$2:$1605,MATCH(ChiTietKQKD[[#This Row],[Mã CP]],Sheet4!$B$2:$B$1605,0),_xlfn.XMATCH("*Tăng trưởng doanh thu thuần (QoQ)*",Sheet4!$1:$1,2)),"")</f>
        <v>0</v>
      </c>
      <c r="R996" s="10" cm="1">
        <f t="array" ref="R996">IFERROR(INDEX(Sheet4!$2:$1605,MATCH(ChiTietKQKD[[#This Row],[Mã CP]],Sheet4!$B$2:$B$1605,0),_xlfn.XMATCH("*Tăng trưởng lợi nhuận sau thuế (QoQ)*",Sheet4!$1:$1,2)),"")</f>
        <v>0</v>
      </c>
    </row>
    <row r="997" spans="1:18" x14ac:dyDescent="0.25">
      <c r="A997" s="7">
        <f>Sheet4!A976</f>
        <v>975</v>
      </c>
      <c r="B997" t="str">
        <f>Sheet4!B976</f>
        <v>EMS</v>
      </c>
      <c r="C997" t="str">
        <f>Sheet4!C975</f>
        <v>Thiết bị phụ tùng cơ điện</v>
      </c>
      <c r="D997" t="str">
        <f>Sheet4!D976</f>
        <v>UPCoM</v>
      </c>
      <c r="E997" s="7">
        <f>Sheet4!AH976/1000000000</f>
        <v>388.48964000000001</v>
      </c>
      <c r="F997" t="str">
        <f>Sheet4!E976</f>
        <v>Công nghiệp</v>
      </c>
      <c r="G997" t="str">
        <f>Sheet4!F976</f>
        <v>Hàng &amp; Dịch vụ Công nghiệp</v>
      </c>
      <c r="H997" t="str">
        <f>Sheet4!G976</f>
        <v>Chuyển phát nhanh</v>
      </c>
      <c r="I997" s="9" t="str" cm="1">
        <f t="array" ref="I99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97" s="9" t="str" cm="1">
        <f t="array" ref="J99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97" s="10" cm="1">
        <f t="array" ref="K99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97" s="10" cm="1">
        <f t="array" ref="L99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97" s="9" t="str" cm="1">
        <f t="array" ref="M99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97" s="9" t="str" cm="1">
        <f t="array" ref="N99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97" s="10" cm="1">
        <f t="array" ref="O997">IFERROR(INDEX(Sheet4!$2:$1605,MATCH(ChiTietKQKD[[#This Row],[Mã CP]],Sheet4!$B$2:$B$1605,0),_xlfn.XMATCH("*Tăng trưởng lợi nhuận sau thuế (YoY) (Quý*",Sheet4!$1:$1,2)),"")</f>
        <v>0</v>
      </c>
      <c r="P997" s="10" cm="1">
        <f t="array" ref="P997">IFERROR(INDEX(Sheet4!$2:$1605,MATCH(ChiTietKQKD[[#This Row],[Mã CP]],Sheet4!$B$2:$B$1605,0),_xlfn.XMATCH("*Tăng trưởng lợi nhuận sau thuế (YoY) (6M)*",Sheet4!$1:$1,2)),"")</f>
        <v>0</v>
      </c>
      <c r="Q997" s="10" cm="1">
        <f t="array" ref="Q997">IFERROR(INDEX(Sheet4!$2:$1605,MATCH(ChiTietKQKD[[#This Row],[Mã CP]],Sheet4!$B$2:$B$1605,0),_xlfn.XMATCH("*Tăng trưởng doanh thu thuần (QoQ)*",Sheet4!$1:$1,2)),"")</f>
        <v>0</v>
      </c>
      <c r="R997" s="10" cm="1">
        <f t="array" ref="R997">IFERROR(INDEX(Sheet4!$2:$1605,MATCH(ChiTietKQKD[[#This Row],[Mã CP]],Sheet4!$B$2:$B$1605,0),_xlfn.XMATCH("*Tăng trưởng lợi nhuận sau thuế (QoQ)*",Sheet4!$1:$1,2)),"")</f>
        <v>0</v>
      </c>
    </row>
    <row r="998" spans="1:18" x14ac:dyDescent="0.25">
      <c r="A998" s="7">
        <f>Sheet4!A977</f>
        <v>976</v>
      </c>
      <c r="B998" t="str">
        <f>Sheet4!B977</f>
        <v>ESL</v>
      </c>
      <c r="C998" t="str">
        <f>Sheet4!C976</f>
        <v>Chuyển phát nhanh Bưu điện</v>
      </c>
      <c r="D998" t="str">
        <f>Sheet4!D977</f>
        <v>UPCoM</v>
      </c>
      <c r="E998" s="7">
        <f>Sheet4!AH977/1000000000</f>
        <v>0</v>
      </c>
      <c r="F998" t="str">
        <f>Sheet4!E977</f>
        <v>Công nghiệp</v>
      </c>
      <c r="G998" t="str">
        <f>Sheet4!F977</f>
        <v>Hàng &amp; Dịch vụ Công nghiệp</v>
      </c>
      <c r="H998" t="str">
        <f>Sheet4!G977</f>
        <v>Kho bãi, hậu cần và bảo dưỡng</v>
      </c>
      <c r="I998" s="9" t="str" cm="1">
        <f t="array" ref="I99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998" s="9" t="str" cm="1">
        <f t="array" ref="J99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98" s="10" cm="1">
        <f t="array" ref="K99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98" s="10" cm="1">
        <f t="array" ref="L99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98" s="9" t="str" cm="1">
        <f t="array" ref="M99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998" s="9" t="str" cm="1">
        <f t="array" ref="N99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98" s="10" cm="1">
        <f t="array" ref="O998">IFERROR(INDEX(Sheet4!$2:$1605,MATCH(ChiTietKQKD[[#This Row],[Mã CP]],Sheet4!$B$2:$B$1605,0),_xlfn.XMATCH("*Tăng trưởng lợi nhuận sau thuế (YoY) (Quý*",Sheet4!$1:$1,2)),"")</f>
        <v>0</v>
      </c>
      <c r="P998" s="10" cm="1">
        <f t="array" ref="P998">IFERROR(INDEX(Sheet4!$2:$1605,MATCH(ChiTietKQKD[[#This Row],[Mã CP]],Sheet4!$B$2:$B$1605,0),_xlfn.XMATCH("*Tăng trưởng lợi nhuận sau thuế (YoY) (6M)*",Sheet4!$1:$1,2)),"")</f>
        <v>0</v>
      </c>
      <c r="Q998" s="10" cm="1">
        <f t="array" ref="Q998">IFERROR(INDEX(Sheet4!$2:$1605,MATCH(ChiTietKQKD[[#This Row],[Mã CP]],Sheet4!$B$2:$B$1605,0),_xlfn.XMATCH("*Tăng trưởng doanh thu thuần (QoQ)*",Sheet4!$1:$1,2)),"")</f>
        <v>0</v>
      </c>
      <c r="R998" s="10" cm="1">
        <f t="array" ref="R998">IFERROR(INDEX(Sheet4!$2:$1605,MATCH(ChiTietKQKD[[#This Row],[Mã CP]],Sheet4!$B$2:$B$1605,0),_xlfn.XMATCH("*Tăng trưởng lợi nhuận sau thuế (QoQ)*",Sheet4!$1:$1,2)),"")</f>
        <v>0</v>
      </c>
    </row>
    <row r="999" spans="1:18" x14ac:dyDescent="0.25">
      <c r="A999" s="7">
        <f>Sheet4!A978</f>
        <v>977</v>
      </c>
      <c r="B999" t="str">
        <f>Sheet4!B978</f>
        <v>F88</v>
      </c>
      <c r="C999" t="str">
        <f>Sheet4!C977</f>
        <v>Tiếp vận Đông Sài Gòn</v>
      </c>
      <c r="D999" t="str">
        <f>Sheet4!D978</f>
        <v>UPCoM</v>
      </c>
      <c r="E999" s="7">
        <f>Sheet4!AH978/1000000000</f>
        <v>16571.973358382002</v>
      </c>
      <c r="F999" t="str">
        <f>Sheet4!E978</f>
        <v>Tài chính</v>
      </c>
      <c r="G999" t="str">
        <f>Sheet4!F978</f>
        <v>Dịch vụ tài chính</v>
      </c>
      <c r="H999" t="str">
        <f>Sheet4!G978</f>
        <v>Tài chính cá nhân</v>
      </c>
      <c r="I999" s="9" cm="1">
        <f t="array" ref="I99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1155.821440364</v>
      </c>
      <c r="J999" s="9" t="str" cm="1">
        <f t="array" ref="J99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999" s="10" cm="1">
        <f t="array" ref="K99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999" s="10" cm="1">
        <f t="array" ref="L99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999" s="9" cm="1">
        <f t="array" ref="M999">_xlfn.LET(_xlpm.val,IFERROR(INDEX(Sheet4!$2:$1605,MATCH(ChiTietKQKD[[#This Row],[Mã CP]],Sheet4!$B$2:$B$1605,0),_xlfn.XMATCH("*Lợi nhuận sau thuế*Q2*2026*",Sheet4!$1:$1,2)),0),IF(OR(_xlpm.val="",_xlpm.val=0),"",_xlpm.val/1000000000))</f>
        <v>303.34841791999997</v>
      </c>
      <c r="N999" s="9" t="str" cm="1">
        <f t="array" ref="N99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999" s="10" cm="1">
        <f t="array" ref="O999">IFERROR(INDEX(Sheet4!$2:$1605,MATCH(ChiTietKQKD[[#This Row],[Mã CP]],Sheet4!$B$2:$B$1605,0),_xlfn.XMATCH("*Tăng trưởng lợi nhuận sau thuế (YoY) (Quý*",Sheet4!$1:$1,2)),"")</f>
        <v>0</v>
      </c>
      <c r="P999" s="10" cm="1">
        <f t="array" ref="P999">IFERROR(INDEX(Sheet4!$2:$1605,MATCH(ChiTietKQKD[[#This Row],[Mã CP]],Sheet4!$B$2:$B$1605,0),_xlfn.XMATCH("*Tăng trưởng lợi nhuận sau thuế (YoY) (6M)*",Sheet4!$1:$1,2)),"")</f>
        <v>0</v>
      </c>
      <c r="Q999" s="10" cm="1">
        <f t="array" ref="Q999">IFERROR(INDEX(Sheet4!$2:$1605,MATCH(ChiTietKQKD[[#This Row],[Mã CP]],Sheet4!$B$2:$B$1605,0),_xlfn.XMATCH("*Tăng trưởng doanh thu thuần (QoQ)*",Sheet4!$1:$1,2)),"")</f>
        <v>0.125</v>
      </c>
      <c r="R999" s="10" cm="1">
        <f t="array" ref="R999">IFERROR(INDEX(Sheet4!$2:$1605,MATCH(ChiTietKQKD[[#This Row],[Mã CP]],Sheet4!$B$2:$B$1605,0),_xlfn.XMATCH("*Tăng trưởng lợi nhuận sau thuế (QoQ)*",Sheet4!$1:$1,2)),"")</f>
        <v>0.25629999999999997</v>
      </c>
    </row>
    <row r="1000" spans="1:18" x14ac:dyDescent="0.25">
      <c r="A1000" s="7">
        <f>Sheet4!A979</f>
        <v>978</v>
      </c>
      <c r="B1000" t="str">
        <f>Sheet4!B979</f>
        <v>FBC</v>
      </c>
      <c r="C1000" t="str">
        <f>Sheet4!C978</f>
        <v>Đầu tư F88</v>
      </c>
      <c r="D1000" t="str">
        <f>Sheet4!D979</f>
        <v>UPCoM</v>
      </c>
      <c r="E1000" s="7">
        <f>Sheet4!AH979/1000000000</f>
        <v>13.69</v>
      </c>
      <c r="F1000" t="str">
        <f>Sheet4!E979</f>
        <v>Công nghiệp</v>
      </c>
      <c r="G1000" t="str">
        <f>Sheet4!F979</f>
        <v>Hàng &amp; Dịch vụ Công nghiệp</v>
      </c>
      <c r="H1000" t="str">
        <f>Sheet4!G979</f>
        <v>Máy công nghiệp</v>
      </c>
      <c r="I1000" s="9" t="str" cm="1">
        <f t="array" ref="I100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00" s="9" t="str" cm="1">
        <f t="array" ref="J100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00" s="10" cm="1">
        <f t="array" ref="K100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00" s="10" cm="1">
        <f t="array" ref="L100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00" s="9" t="str" cm="1">
        <f t="array" ref="M100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00" s="9" t="str" cm="1">
        <f t="array" ref="N100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00" s="10" cm="1">
        <f t="array" ref="O1000">IFERROR(INDEX(Sheet4!$2:$1605,MATCH(ChiTietKQKD[[#This Row],[Mã CP]],Sheet4!$B$2:$B$1605,0),_xlfn.XMATCH("*Tăng trưởng lợi nhuận sau thuế (YoY) (Quý*",Sheet4!$1:$1,2)),"")</f>
        <v>0</v>
      </c>
      <c r="P1000" s="10" cm="1">
        <f t="array" ref="P1000">IFERROR(INDEX(Sheet4!$2:$1605,MATCH(ChiTietKQKD[[#This Row],[Mã CP]],Sheet4!$B$2:$B$1605,0),_xlfn.XMATCH("*Tăng trưởng lợi nhuận sau thuế (YoY) (6M)*",Sheet4!$1:$1,2)),"")</f>
        <v>0</v>
      </c>
      <c r="Q1000" s="10" cm="1">
        <f t="array" ref="Q1000">IFERROR(INDEX(Sheet4!$2:$1605,MATCH(ChiTietKQKD[[#This Row],[Mã CP]],Sheet4!$B$2:$B$1605,0),_xlfn.XMATCH("*Tăng trưởng doanh thu thuần (QoQ)*",Sheet4!$1:$1,2)),"")</f>
        <v>0</v>
      </c>
      <c r="R1000" s="10" cm="1">
        <f t="array" ref="R1000">IFERROR(INDEX(Sheet4!$2:$1605,MATCH(ChiTietKQKD[[#This Row],[Mã CP]],Sheet4!$B$2:$B$1605,0),_xlfn.XMATCH("*Tăng trưởng lợi nhuận sau thuế (QoQ)*",Sheet4!$1:$1,2)),"")</f>
        <v>0</v>
      </c>
    </row>
    <row r="1001" spans="1:18" x14ac:dyDescent="0.25">
      <c r="A1001" s="7">
        <f>Sheet4!A980</f>
        <v>979</v>
      </c>
      <c r="B1001" t="str">
        <f>Sheet4!B980</f>
        <v>FCC</v>
      </c>
      <c r="C1001" t="str">
        <f>Sheet4!C979</f>
        <v>Cơ khí Phổ Yên</v>
      </c>
      <c r="D1001" t="str">
        <f>Sheet4!D980</f>
        <v>UPCoM</v>
      </c>
      <c r="E1001" s="7">
        <f>Sheet4!AH980/1000000000</f>
        <v>479.76319999999998</v>
      </c>
      <c r="F1001" t="str">
        <f>Sheet4!E980</f>
        <v>Tài chính</v>
      </c>
      <c r="G1001" t="str">
        <f>Sheet4!F980</f>
        <v>Bất động sản</v>
      </c>
      <c r="H1001" t="str">
        <f>Sheet4!G980</f>
        <v>Bất động sản</v>
      </c>
      <c r="I1001" s="9" t="str" cm="1">
        <f t="array" ref="I100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01" s="9" t="str" cm="1">
        <f t="array" ref="J100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01" s="10" cm="1">
        <f t="array" ref="K100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01" s="10" cm="1">
        <f t="array" ref="L100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01" s="9" t="str" cm="1">
        <f t="array" ref="M100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01" s="9" t="str" cm="1">
        <f t="array" ref="N100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01" s="10" cm="1">
        <f t="array" ref="O1001">IFERROR(INDEX(Sheet4!$2:$1605,MATCH(ChiTietKQKD[[#This Row],[Mã CP]],Sheet4!$B$2:$B$1605,0),_xlfn.XMATCH("*Tăng trưởng lợi nhuận sau thuế (YoY) (Quý*",Sheet4!$1:$1,2)),"")</f>
        <v>0</v>
      </c>
      <c r="P1001" s="10" cm="1">
        <f t="array" ref="P1001">IFERROR(INDEX(Sheet4!$2:$1605,MATCH(ChiTietKQKD[[#This Row],[Mã CP]],Sheet4!$B$2:$B$1605,0),_xlfn.XMATCH("*Tăng trưởng lợi nhuận sau thuế (YoY) (6M)*",Sheet4!$1:$1,2)),"")</f>
        <v>0</v>
      </c>
      <c r="Q1001" s="10" cm="1">
        <f t="array" ref="Q1001">IFERROR(INDEX(Sheet4!$2:$1605,MATCH(ChiTietKQKD[[#This Row],[Mã CP]],Sheet4!$B$2:$B$1605,0),_xlfn.XMATCH("*Tăng trưởng doanh thu thuần (QoQ)*",Sheet4!$1:$1,2)),"")</f>
        <v>0</v>
      </c>
      <c r="R1001" s="10" cm="1">
        <f t="array" ref="R1001">IFERROR(INDEX(Sheet4!$2:$1605,MATCH(ChiTietKQKD[[#This Row],[Mã CP]],Sheet4!$B$2:$B$1605,0),_xlfn.XMATCH("*Tăng trưởng lợi nhuận sau thuế (QoQ)*",Sheet4!$1:$1,2)),"")</f>
        <v>0</v>
      </c>
    </row>
    <row r="1002" spans="1:18" x14ac:dyDescent="0.25">
      <c r="A1002" s="7">
        <f>Sheet4!A981</f>
        <v>980</v>
      </c>
      <c r="B1002" t="str">
        <f>Sheet4!B981</f>
        <v>FCS</v>
      </c>
      <c r="C1002" t="str">
        <f>Sheet4!C980</f>
        <v>Liên hợp Thực phẩm</v>
      </c>
      <c r="D1002" t="str">
        <f>Sheet4!D981</f>
        <v>UPCoM</v>
      </c>
      <c r="E1002" s="7">
        <f>Sheet4!AH981/1000000000</f>
        <v>203.20500000000001</v>
      </c>
      <c r="F1002" t="str">
        <f>Sheet4!E981</f>
        <v>Hàng Tiêu dùng</v>
      </c>
      <c r="G1002" t="str">
        <f>Sheet4!F981</f>
        <v>Thực phẩm và đồ uống</v>
      </c>
      <c r="H1002" t="str">
        <f>Sheet4!G981</f>
        <v>Thực phẩm</v>
      </c>
      <c r="I1002" s="9" t="str" cm="1">
        <f t="array" ref="I100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02" s="9" t="str" cm="1">
        <f t="array" ref="J100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02" s="10" cm="1">
        <f t="array" ref="K100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02" s="10" cm="1">
        <f t="array" ref="L100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02" s="9" t="str" cm="1">
        <f t="array" ref="M100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02" s="9" t="str" cm="1">
        <f t="array" ref="N100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02" s="10" cm="1">
        <f t="array" ref="O1002">IFERROR(INDEX(Sheet4!$2:$1605,MATCH(ChiTietKQKD[[#This Row],[Mã CP]],Sheet4!$B$2:$B$1605,0),_xlfn.XMATCH("*Tăng trưởng lợi nhuận sau thuế (YoY) (Quý*",Sheet4!$1:$1,2)),"")</f>
        <v>0</v>
      </c>
      <c r="P1002" s="10" cm="1">
        <f t="array" ref="P1002">IFERROR(INDEX(Sheet4!$2:$1605,MATCH(ChiTietKQKD[[#This Row],[Mã CP]],Sheet4!$B$2:$B$1605,0),_xlfn.XMATCH("*Tăng trưởng lợi nhuận sau thuế (YoY) (6M)*",Sheet4!$1:$1,2)),"")</f>
        <v>0</v>
      </c>
      <c r="Q1002" s="10" cm="1">
        <f t="array" ref="Q1002">IFERROR(INDEX(Sheet4!$2:$1605,MATCH(ChiTietKQKD[[#This Row],[Mã CP]],Sheet4!$B$2:$B$1605,0),_xlfn.XMATCH("*Tăng trưởng doanh thu thuần (QoQ)*",Sheet4!$1:$1,2)),"")</f>
        <v>0</v>
      </c>
      <c r="R1002" s="10" cm="1">
        <f t="array" ref="R1002">IFERROR(INDEX(Sheet4!$2:$1605,MATCH(ChiTietKQKD[[#This Row],[Mã CP]],Sheet4!$B$2:$B$1605,0),_xlfn.XMATCH("*Tăng trưởng lợi nhuận sau thuế (QoQ)*",Sheet4!$1:$1,2)),"")</f>
        <v>0</v>
      </c>
    </row>
    <row r="1003" spans="1:18" x14ac:dyDescent="0.25">
      <c r="A1003" s="7">
        <f>Sheet4!A982</f>
        <v>981</v>
      </c>
      <c r="B1003" t="str">
        <f>Sheet4!B982</f>
        <v>FGL</v>
      </c>
      <c r="C1003" t="str">
        <f>Sheet4!C981</f>
        <v>Lương thực TP Hồ Chí Minh</v>
      </c>
      <c r="D1003" t="str">
        <f>Sheet4!D982</f>
        <v>UPCoM</v>
      </c>
      <c r="E1003" s="7">
        <f>Sheet4!AH982/1000000000</f>
        <v>64.575720000000004</v>
      </c>
      <c r="F1003" t="str">
        <f>Sheet4!E982</f>
        <v>Hàng Tiêu dùng</v>
      </c>
      <c r="G1003" t="str">
        <f>Sheet4!F982</f>
        <v>Thực phẩm và đồ uống</v>
      </c>
      <c r="H1003" t="str">
        <f>Sheet4!G982</f>
        <v>Đồ uống &amp; giải khát</v>
      </c>
      <c r="I1003" s="9" cm="1">
        <f t="array" ref="I100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2.2423880629999999</v>
      </c>
      <c r="J1003" s="9" cm="1">
        <f t="array" ref="J100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2.9565137749999999</v>
      </c>
      <c r="K1003" s="10" cm="1">
        <f t="array" ref="K100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17.983699999999999</v>
      </c>
      <c r="L1003" s="10" cm="1">
        <f t="array" ref="L100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-0.4652</v>
      </c>
      <c r="M1003" s="9" cm="1">
        <f t="array" ref="M1003">_xlfn.LET(_xlpm.val,IFERROR(INDEX(Sheet4!$2:$1605,MATCH(ChiTietKQKD[[#This Row],[Mã CP]],Sheet4!$B$2:$B$1605,0),_xlfn.XMATCH("*Lợi nhuận sau thuế*Q2*2026*",Sheet4!$1:$1,2)),0),IF(OR(_xlpm.val="",_xlpm.val=0),"",_xlpm.val/1000000000))</f>
        <v>-4.3542576479999999</v>
      </c>
      <c r="N1003" s="9" cm="1">
        <f t="array" ref="N1003">_xlfn.LET(_xlpm.val,IFERROR(INDEX(Sheet4!$2:$1605,MATCH(ChiTietKQKD[[#This Row],[Mã CP]],Sheet4!$B$2:$B$1605,0),_xlfn.XMATCH("*Lợi nhuận sau thuế*6 tháng*2026*",Sheet4!$1:$1,2)),0),IF(OR(_xlpm.val="",_xlpm.val=0),"",_xlpm.val/1000000000))</f>
        <v>-7.5489593499999996</v>
      </c>
      <c r="O1003" s="10" cm="1">
        <f t="array" ref="O1003">IFERROR(INDEX(Sheet4!$2:$1605,MATCH(ChiTietKQKD[[#This Row],[Mã CP]],Sheet4!$B$2:$B$1605,0),_xlfn.XMATCH("*Tăng trưởng lợi nhuận sau thuế (YoY) (Quý*",Sheet4!$1:$1,2)),"")</f>
        <v>0.46389999999999998</v>
      </c>
      <c r="P1003" s="10" cm="1">
        <f t="array" ref="P1003">IFERROR(INDEX(Sheet4!$2:$1605,MATCH(ChiTietKQKD[[#This Row],[Mã CP]],Sheet4!$B$2:$B$1605,0),_xlfn.XMATCH("*Tăng trưởng lợi nhuận sau thuế (YoY) (6M)*",Sheet4!$1:$1,2)),"")</f>
        <v>0.1699</v>
      </c>
      <c r="Q1003" s="10" cm="1">
        <f t="array" ref="Q1003">IFERROR(INDEX(Sheet4!$2:$1605,MATCH(ChiTietKQKD[[#This Row],[Mã CP]],Sheet4!$B$2:$B$1605,0),_xlfn.XMATCH("*Tăng trưởng doanh thu thuần (QoQ)*",Sheet4!$1:$1,2)),"")</f>
        <v>2.14</v>
      </c>
      <c r="R1003" s="10" cm="1">
        <f t="array" ref="R1003">IFERROR(INDEX(Sheet4!$2:$1605,MATCH(ChiTietKQKD[[#This Row],[Mã CP]],Sheet4!$B$2:$B$1605,0),_xlfn.XMATCH("*Tăng trưởng lợi nhuận sau thuế (QoQ)*",Sheet4!$1:$1,2)),"")</f>
        <v>-0.6845</v>
      </c>
    </row>
    <row r="1004" spans="1:18" x14ac:dyDescent="0.25">
      <c r="A1004" s="7">
        <f>Sheet4!A983</f>
        <v>982</v>
      </c>
      <c r="B1004" t="str">
        <f>Sheet4!B983</f>
        <v>FHH</v>
      </c>
      <c r="C1004" t="str">
        <f>Sheet4!C982</f>
        <v>Cà Phê Gia Lai</v>
      </c>
      <c r="D1004" t="str">
        <f>Sheet4!D983</f>
        <v>UPCoM</v>
      </c>
      <c r="E1004" s="7">
        <f>Sheet4!AH983/1000000000</f>
        <v>0</v>
      </c>
      <c r="F1004" t="str">
        <f>Sheet4!E983</f>
        <v>Tài chính</v>
      </c>
      <c r="G1004" t="str">
        <f>Sheet4!F983</f>
        <v>Bất động sản</v>
      </c>
      <c r="H1004" t="str">
        <f>Sheet4!G983</f>
        <v>Bất động sản</v>
      </c>
      <c r="I1004" s="9" t="str" cm="1">
        <f t="array" ref="I100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04" s="9" t="str" cm="1">
        <f t="array" ref="J100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04" s="10" cm="1">
        <f t="array" ref="K100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04" s="10" cm="1">
        <f t="array" ref="L100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04" s="9" t="str" cm="1">
        <f t="array" ref="M100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04" s="9" t="str" cm="1">
        <f t="array" ref="N100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04" s="10" cm="1">
        <f t="array" ref="O1004">IFERROR(INDEX(Sheet4!$2:$1605,MATCH(ChiTietKQKD[[#This Row],[Mã CP]],Sheet4!$B$2:$B$1605,0),_xlfn.XMATCH("*Tăng trưởng lợi nhuận sau thuế (YoY) (Quý*",Sheet4!$1:$1,2)),"")</f>
        <v>0</v>
      </c>
      <c r="P1004" s="10" cm="1">
        <f t="array" ref="P1004">IFERROR(INDEX(Sheet4!$2:$1605,MATCH(ChiTietKQKD[[#This Row],[Mã CP]],Sheet4!$B$2:$B$1605,0),_xlfn.XMATCH("*Tăng trưởng lợi nhuận sau thuế (YoY) (6M)*",Sheet4!$1:$1,2)),"")</f>
        <v>0</v>
      </c>
      <c r="Q1004" s="10" cm="1">
        <f t="array" ref="Q1004">IFERROR(INDEX(Sheet4!$2:$1605,MATCH(ChiTietKQKD[[#This Row],[Mã CP]],Sheet4!$B$2:$B$1605,0),_xlfn.XMATCH("*Tăng trưởng doanh thu thuần (QoQ)*",Sheet4!$1:$1,2)),"")</f>
        <v>0</v>
      </c>
      <c r="R1004" s="10" cm="1">
        <f t="array" ref="R1004">IFERROR(INDEX(Sheet4!$2:$1605,MATCH(ChiTietKQKD[[#This Row],[Mã CP]],Sheet4!$B$2:$B$1605,0),_xlfn.XMATCH("*Tăng trưởng lợi nhuận sau thuế (QoQ)*",Sheet4!$1:$1,2)),"")</f>
        <v>0</v>
      </c>
    </row>
    <row r="1005" spans="1:18" x14ac:dyDescent="0.25">
      <c r="A1005" s="7">
        <f>Sheet4!A984</f>
        <v>983</v>
      </c>
      <c r="B1005" t="str">
        <f>Sheet4!B984</f>
        <v>FHN</v>
      </c>
      <c r="C1005" t="str">
        <f>Sheet4!C983</f>
        <v>FLCHomes</v>
      </c>
      <c r="D1005" t="str">
        <f>Sheet4!D984</f>
        <v>UPCoM</v>
      </c>
      <c r="E1005" s="7">
        <f>Sheet4!AH984/1000000000</f>
        <v>26.7</v>
      </c>
      <c r="F1005" t="str">
        <f>Sheet4!E984</f>
        <v>Dịch vụ Tiêu dùng</v>
      </c>
      <c r="G1005" t="str">
        <f>Sheet4!F984</f>
        <v>Bán lẻ</v>
      </c>
      <c r="H1005" t="str">
        <f>Sheet4!G984</f>
        <v>Phân phối thực phẩm</v>
      </c>
      <c r="I1005" s="9" t="str" cm="1">
        <f t="array" ref="I100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05" s="9" t="str" cm="1">
        <f t="array" ref="J100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05" s="10" cm="1">
        <f t="array" ref="K100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05" s="10" cm="1">
        <f t="array" ref="L100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05" s="9" t="str" cm="1">
        <f t="array" ref="M100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05" s="9" t="str" cm="1">
        <f t="array" ref="N100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05" s="10" cm="1">
        <f t="array" ref="O1005">IFERROR(INDEX(Sheet4!$2:$1605,MATCH(ChiTietKQKD[[#This Row],[Mã CP]],Sheet4!$B$2:$B$1605,0),_xlfn.XMATCH("*Tăng trưởng lợi nhuận sau thuế (YoY) (Quý*",Sheet4!$1:$1,2)),"")</f>
        <v>0</v>
      </c>
      <c r="P1005" s="10" cm="1">
        <f t="array" ref="P1005">IFERROR(INDEX(Sheet4!$2:$1605,MATCH(ChiTietKQKD[[#This Row],[Mã CP]],Sheet4!$B$2:$B$1605,0),_xlfn.XMATCH("*Tăng trưởng lợi nhuận sau thuế (YoY) (6M)*",Sheet4!$1:$1,2)),"")</f>
        <v>0</v>
      </c>
      <c r="Q1005" s="10" cm="1">
        <f t="array" ref="Q1005">IFERROR(INDEX(Sheet4!$2:$1605,MATCH(ChiTietKQKD[[#This Row],[Mã CP]],Sheet4!$B$2:$B$1605,0),_xlfn.XMATCH("*Tăng trưởng doanh thu thuần (QoQ)*",Sheet4!$1:$1,2)),"")</f>
        <v>0</v>
      </c>
      <c r="R1005" s="10" cm="1">
        <f t="array" ref="R1005">IFERROR(INDEX(Sheet4!$2:$1605,MATCH(ChiTietKQKD[[#This Row],[Mã CP]],Sheet4!$B$2:$B$1605,0),_xlfn.XMATCH("*Tăng trưởng lợi nhuận sau thuế (QoQ)*",Sheet4!$1:$1,2)),"")</f>
        <v>0</v>
      </c>
    </row>
    <row r="1006" spans="1:18" x14ac:dyDescent="0.25">
      <c r="A1006" s="7">
        <f>Sheet4!A985</f>
        <v>984</v>
      </c>
      <c r="B1006" t="str">
        <f>Sheet4!B985</f>
        <v>FHS</v>
      </c>
      <c r="C1006" t="str">
        <f>Sheet4!C984</f>
        <v>XNK lương thực Hà Nội</v>
      </c>
      <c r="D1006" t="str">
        <f>Sheet4!D985</f>
        <v>UPCoM</v>
      </c>
      <c r="E1006" s="7">
        <f>Sheet4!AH985/1000000000</f>
        <v>508.78331100000003</v>
      </c>
      <c r="F1006" t="str">
        <f>Sheet4!E985</f>
        <v>Dịch vụ Tiêu dùng</v>
      </c>
      <c r="G1006" t="str">
        <f>Sheet4!F985</f>
        <v>Truyền thông</v>
      </c>
      <c r="H1006" t="str">
        <f>Sheet4!G985</f>
        <v>Sách, ấn bản &amp; sản phẩm văn hóa</v>
      </c>
      <c r="I1006" s="9" t="str" cm="1">
        <f t="array" ref="I100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06" s="9" t="str" cm="1">
        <f t="array" ref="J100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06" s="10" cm="1">
        <f t="array" ref="K100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06" s="10" cm="1">
        <f t="array" ref="L100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06" s="9" t="str" cm="1">
        <f t="array" ref="M100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06" s="9" t="str" cm="1">
        <f t="array" ref="N100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06" s="10" cm="1">
        <f t="array" ref="O1006">IFERROR(INDEX(Sheet4!$2:$1605,MATCH(ChiTietKQKD[[#This Row],[Mã CP]],Sheet4!$B$2:$B$1605,0),_xlfn.XMATCH("*Tăng trưởng lợi nhuận sau thuế (YoY) (Quý*",Sheet4!$1:$1,2)),"")</f>
        <v>0</v>
      </c>
      <c r="P1006" s="10" cm="1">
        <f t="array" ref="P1006">IFERROR(INDEX(Sheet4!$2:$1605,MATCH(ChiTietKQKD[[#This Row],[Mã CP]],Sheet4!$B$2:$B$1605,0),_xlfn.XMATCH("*Tăng trưởng lợi nhuận sau thuế (YoY) (6M)*",Sheet4!$1:$1,2)),"")</f>
        <v>0</v>
      </c>
      <c r="Q1006" s="10" cm="1">
        <f t="array" ref="Q1006">IFERROR(INDEX(Sheet4!$2:$1605,MATCH(ChiTietKQKD[[#This Row],[Mã CP]],Sheet4!$B$2:$B$1605,0),_xlfn.XMATCH("*Tăng trưởng doanh thu thuần (QoQ)*",Sheet4!$1:$1,2)),"")</f>
        <v>0</v>
      </c>
      <c r="R1006" s="10" cm="1">
        <f t="array" ref="R1006">IFERROR(INDEX(Sheet4!$2:$1605,MATCH(ChiTietKQKD[[#This Row],[Mã CP]],Sheet4!$B$2:$B$1605,0),_xlfn.XMATCH("*Tăng trưởng lợi nhuận sau thuế (QoQ)*",Sheet4!$1:$1,2)),"")</f>
        <v>0</v>
      </c>
    </row>
    <row r="1007" spans="1:18" x14ac:dyDescent="0.25">
      <c r="A1007" s="7">
        <f>Sheet4!A986</f>
        <v>985</v>
      </c>
      <c r="B1007" t="str">
        <f>Sheet4!B986</f>
        <v>FIC</v>
      </c>
      <c r="C1007" t="str">
        <f>Sheet4!C985</f>
        <v>Phát hành sách TP HCM - FAHASA</v>
      </c>
      <c r="D1007" t="str">
        <f>Sheet4!D986</f>
        <v>UPCoM</v>
      </c>
      <c r="E1007" s="7">
        <f>Sheet4!AH986/1000000000</f>
        <v>1846.961</v>
      </c>
      <c r="F1007" t="str">
        <f>Sheet4!E986</f>
        <v>Công nghiệp</v>
      </c>
      <c r="G1007" t="str">
        <f>Sheet4!F986</f>
        <v>Xây dựng và Vật liệu</v>
      </c>
      <c r="H1007" t="str">
        <f>Sheet4!G986</f>
        <v>Vật liệu xây dựng &amp; Nội thất</v>
      </c>
      <c r="I1007" s="9" t="str" cm="1">
        <f t="array" ref="I100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07" s="9" t="str" cm="1">
        <f t="array" ref="J100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07" s="10" cm="1">
        <f t="array" ref="K100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07" s="10" cm="1">
        <f t="array" ref="L100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07" s="9" t="str" cm="1">
        <f t="array" ref="M100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07" s="9" t="str" cm="1">
        <f t="array" ref="N100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07" s="10" cm="1">
        <f t="array" ref="O1007">IFERROR(INDEX(Sheet4!$2:$1605,MATCH(ChiTietKQKD[[#This Row],[Mã CP]],Sheet4!$B$2:$B$1605,0),_xlfn.XMATCH("*Tăng trưởng lợi nhuận sau thuế (YoY) (Quý*",Sheet4!$1:$1,2)),"")</f>
        <v>0</v>
      </c>
      <c r="P1007" s="10" cm="1">
        <f t="array" ref="P1007">IFERROR(INDEX(Sheet4!$2:$1605,MATCH(ChiTietKQKD[[#This Row],[Mã CP]],Sheet4!$B$2:$B$1605,0),_xlfn.XMATCH("*Tăng trưởng lợi nhuận sau thuế (YoY) (6M)*",Sheet4!$1:$1,2)),"")</f>
        <v>0</v>
      </c>
      <c r="Q1007" s="10" cm="1">
        <f t="array" ref="Q1007">IFERROR(INDEX(Sheet4!$2:$1605,MATCH(ChiTietKQKD[[#This Row],[Mã CP]],Sheet4!$B$2:$B$1605,0),_xlfn.XMATCH("*Tăng trưởng doanh thu thuần (QoQ)*",Sheet4!$1:$1,2)),"")</f>
        <v>0</v>
      </c>
      <c r="R1007" s="10" cm="1">
        <f t="array" ref="R1007">IFERROR(INDEX(Sheet4!$2:$1605,MATCH(ChiTietKQKD[[#This Row],[Mã CP]],Sheet4!$B$2:$B$1605,0),_xlfn.XMATCH("*Tăng trưởng lợi nhuận sau thuế (QoQ)*",Sheet4!$1:$1,2)),"")</f>
        <v>0</v>
      </c>
    </row>
    <row r="1008" spans="1:18" x14ac:dyDescent="0.25">
      <c r="A1008" s="7">
        <f>Sheet4!A987</f>
        <v>986</v>
      </c>
      <c r="B1008" t="str">
        <f>Sheet4!B987</f>
        <v>FOC</v>
      </c>
      <c r="C1008" t="str">
        <f>Sheet4!C986</f>
        <v>VLXD số 1</v>
      </c>
      <c r="D1008" t="str">
        <f>Sheet4!D987</f>
        <v>UPCoM</v>
      </c>
      <c r="E1008" s="7">
        <f>Sheet4!AH987/1000000000</f>
        <v>1335.4415899999999</v>
      </c>
      <c r="F1008" t="str">
        <f>Sheet4!E987</f>
        <v>Dịch vụ Tiêu dùng</v>
      </c>
      <c r="G1008" t="str">
        <f>Sheet4!F987</f>
        <v>Truyền thông</v>
      </c>
      <c r="H1008" t="str">
        <f>Sheet4!G987</f>
        <v>Dịch vụ truyền thông</v>
      </c>
      <c r="I1008" s="9" t="str" cm="1">
        <f t="array" ref="I100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08" s="9" t="str" cm="1">
        <f t="array" ref="J100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08" s="10" cm="1">
        <f t="array" ref="K100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08" s="10" cm="1">
        <f t="array" ref="L100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08" s="9" t="str" cm="1">
        <f t="array" ref="M100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08" s="9" t="str" cm="1">
        <f t="array" ref="N100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08" s="10" cm="1">
        <f t="array" ref="O1008">IFERROR(INDEX(Sheet4!$2:$1605,MATCH(ChiTietKQKD[[#This Row],[Mã CP]],Sheet4!$B$2:$B$1605,0),_xlfn.XMATCH("*Tăng trưởng lợi nhuận sau thuế (YoY) (Quý*",Sheet4!$1:$1,2)),"")</f>
        <v>0</v>
      </c>
      <c r="P1008" s="10" cm="1">
        <f t="array" ref="P1008">IFERROR(INDEX(Sheet4!$2:$1605,MATCH(ChiTietKQKD[[#This Row],[Mã CP]],Sheet4!$B$2:$B$1605,0),_xlfn.XMATCH("*Tăng trưởng lợi nhuận sau thuế (YoY) (6M)*",Sheet4!$1:$1,2)),"")</f>
        <v>0</v>
      </c>
      <c r="Q1008" s="10" cm="1">
        <f t="array" ref="Q1008">IFERROR(INDEX(Sheet4!$2:$1605,MATCH(ChiTietKQKD[[#This Row],[Mã CP]],Sheet4!$B$2:$B$1605,0),_xlfn.XMATCH("*Tăng trưởng doanh thu thuần (QoQ)*",Sheet4!$1:$1,2)),"")</f>
        <v>0</v>
      </c>
      <c r="R1008" s="10" cm="1">
        <f t="array" ref="R1008">IFERROR(INDEX(Sheet4!$2:$1605,MATCH(ChiTietKQKD[[#This Row],[Mã CP]],Sheet4!$B$2:$B$1605,0),_xlfn.XMATCH("*Tăng trưởng lợi nhuận sau thuế (QoQ)*",Sheet4!$1:$1,2)),"")</f>
        <v>0</v>
      </c>
    </row>
    <row r="1009" spans="1:18" x14ac:dyDescent="0.25">
      <c r="A1009" s="7">
        <f>Sheet4!A988</f>
        <v>987</v>
      </c>
      <c r="B1009" t="str">
        <f>Sheet4!B988</f>
        <v>FOX</v>
      </c>
      <c r="C1009" t="str">
        <f>Sheet4!C987</f>
        <v>FPT Online</v>
      </c>
      <c r="D1009" t="str">
        <f>Sheet4!D988</f>
        <v>UPCoM</v>
      </c>
      <c r="E1009" s="7">
        <f>Sheet4!AH988/1000000000</f>
        <v>47043.718560376998</v>
      </c>
      <c r="F1009" t="str">
        <f>Sheet4!E988</f>
        <v>Viễn thông</v>
      </c>
      <c r="G1009" t="str">
        <f>Sheet4!F988</f>
        <v>Viễn thông</v>
      </c>
      <c r="H1009" t="str">
        <f>Sheet4!G988</f>
        <v>Viễn thông cố định</v>
      </c>
      <c r="I1009" s="9" t="str" cm="1">
        <f t="array" ref="I100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09" s="9" t="str" cm="1">
        <f t="array" ref="J100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09" s="10" cm="1">
        <f t="array" ref="K100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09" s="10" cm="1">
        <f t="array" ref="L100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09" s="9" t="str" cm="1">
        <f t="array" ref="M100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09" s="9" t="str" cm="1">
        <f t="array" ref="N100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09" s="10" cm="1">
        <f t="array" ref="O1009">IFERROR(INDEX(Sheet4!$2:$1605,MATCH(ChiTietKQKD[[#This Row],[Mã CP]],Sheet4!$B$2:$B$1605,0),_xlfn.XMATCH("*Tăng trưởng lợi nhuận sau thuế (YoY) (Quý*",Sheet4!$1:$1,2)),"")</f>
        <v>0</v>
      </c>
      <c r="P1009" s="10" cm="1">
        <f t="array" ref="P1009">IFERROR(INDEX(Sheet4!$2:$1605,MATCH(ChiTietKQKD[[#This Row],[Mã CP]],Sheet4!$B$2:$B$1605,0),_xlfn.XMATCH("*Tăng trưởng lợi nhuận sau thuế (YoY) (6M)*",Sheet4!$1:$1,2)),"")</f>
        <v>0</v>
      </c>
      <c r="Q1009" s="10" cm="1">
        <f t="array" ref="Q1009">IFERROR(INDEX(Sheet4!$2:$1605,MATCH(ChiTietKQKD[[#This Row],[Mã CP]],Sheet4!$B$2:$B$1605,0),_xlfn.XMATCH("*Tăng trưởng doanh thu thuần (QoQ)*",Sheet4!$1:$1,2)),"")</f>
        <v>0</v>
      </c>
      <c r="R1009" s="10" cm="1">
        <f t="array" ref="R1009">IFERROR(INDEX(Sheet4!$2:$1605,MATCH(ChiTietKQKD[[#This Row],[Mã CP]],Sheet4!$B$2:$B$1605,0),_xlfn.XMATCH("*Tăng trưởng lợi nhuận sau thuế (QoQ)*",Sheet4!$1:$1,2)),"")</f>
        <v>0</v>
      </c>
    </row>
    <row r="1010" spans="1:18" x14ac:dyDescent="0.25">
      <c r="A1010" s="7">
        <f>Sheet4!A989</f>
        <v>988</v>
      </c>
      <c r="B1010" t="str">
        <f>Sheet4!B989</f>
        <v>FRC</v>
      </c>
      <c r="C1010" t="str">
        <f>Sheet4!C988</f>
        <v>FPT Telecom</v>
      </c>
      <c r="D1010" t="str">
        <f>Sheet4!D989</f>
        <v>UPCoM</v>
      </c>
      <c r="E1010" s="7">
        <f>Sheet4!AH989/1000000000</f>
        <v>75</v>
      </c>
      <c r="F1010" t="str">
        <f>Sheet4!E989</f>
        <v>Nguyên vật liệu</v>
      </c>
      <c r="G1010" t="str">
        <f>Sheet4!F989</f>
        <v>Tài nguyên Cơ bản</v>
      </c>
      <c r="H1010" t="str">
        <f>Sheet4!G989</f>
        <v>Lâm sản và Chế biến gỗ</v>
      </c>
      <c r="I1010" s="9" t="str" cm="1">
        <f t="array" ref="I101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10" s="9" t="str" cm="1">
        <f t="array" ref="J101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10" s="10" cm="1">
        <f t="array" ref="K101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10" s="10" cm="1">
        <f t="array" ref="L101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10" s="9" t="str" cm="1">
        <f t="array" ref="M101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10" s="9" t="str" cm="1">
        <f t="array" ref="N101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10" s="10" cm="1">
        <f t="array" ref="O1010">IFERROR(INDEX(Sheet4!$2:$1605,MATCH(ChiTietKQKD[[#This Row],[Mã CP]],Sheet4!$B$2:$B$1605,0),_xlfn.XMATCH("*Tăng trưởng lợi nhuận sau thuế (YoY) (Quý*",Sheet4!$1:$1,2)),"")</f>
        <v>0</v>
      </c>
      <c r="P1010" s="10" cm="1">
        <f t="array" ref="P1010">IFERROR(INDEX(Sheet4!$2:$1605,MATCH(ChiTietKQKD[[#This Row],[Mã CP]],Sheet4!$B$2:$B$1605,0),_xlfn.XMATCH("*Tăng trưởng lợi nhuận sau thuế (YoY) (6M)*",Sheet4!$1:$1,2)),"")</f>
        <v>0</v>
      </c>
      <c r="Q1010" s="10" cm="1">
        <f t="array" ref="Q1010">IFERROR(INDEX(Sheet4!$2:$1605,MATCH(ChiTietKQKD[[#This Row],[Mã CP]],Sheet4!$B$2:$B$1605,0),_xlfn.XMATCH("*Tăng trưởng doanh thu thuần (QoQ)*",Sheet4!$1:$1,2)),"")</f>
        <v>0</v>
      </c>
      <c r="R1010" s="10" cm="1">
        <f t="array" ref="R1010">IFERROR(INDEX(Sheet4!$2:$1605,MATCH(ChiTietKQKD[[#This Row],[Mã CP]],Sheet4!$B$2:$B$1605,0),_xlfn.XMATCH("*Tăng trưởng lợi nhuận sau thuế (QoQ)*",Sheet4!$1:$1,2)),"")</f>
        <v>0</v>
      </c>
    </row>
    <row r="1011" spans="1:18" x14ac:dyDescent="0.25">
      <c r="A1011" s="7">
        <f>Sheet4!A990</f>
        <v>989</v>
      </c>
      <c r="B1011" t="str">
        <f>Sheet4!B990</f>
        <v>FRM</v>
      </c>
      <c r="C1011" t="str">
        <f>Sheet4!C989</f>
        <v>Lâm đặc sản xuất khẩu Quảng Nam</v>
      </c>
      <c r="D1011" t="str">
        <f>Sheet4!D990</f>
        <v>UPCoM</v>
      </c>
      <c r="E1011" s="7">
        <f>Sheet4!AH990/1000000000</f>
        <v>114.66</v>
      </c>
      <c r="F1011" t="str">
        <f>Sheet4!E990</f>
        <v>Nguyên vật liệu</v>
      </c>
      <c r="G1011" t="str">
        <f>Sheet4!F990</f>
        <v>Tài nguyên Cơ bản</v>
      </c>
      <c r="H1011" t="str">
        <f>Sheet4!G990</f>
        <v>Lâm sản và Chế biến gỗ</v>
      </c>
      <c r="I1011" s="9" t="str" cm="1">
        <f t="array" ref="I101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11" s="9" t="str" cm="1">
        <f t="array" ref="J101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11" s="10" cm="1">
        <f t="array" ref="K101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11" s="10" cm="1">
        <f t="array" ref="L101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11" s="9" t="str" cm="1">
        <f t="array" ref="M101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11" s="9" t="str" cm="1">
        <f t="array" ref="N101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11" s="10" cm="1">
        <f t="array" ref="O1011">IFERROR(INDEX(Sheet4!$2:$1605,MATCH(ChiTietKQKD[[#This Row],[Mã CP]],Sheet4!$B$2:$B$1605,0),_xlfn.XMATCH("*Tăng trưởng lợi nhuận sau thuế (YoY) (Quý*",Sheet4!$1:$1,2)),"")</f>
        <v>0</v>
      </c>
      <c r="P1011" s="10" cm="1">
        <f t="array" ref="P1011">IFERROR(INDEX(Sheet4!$2:$1605,MATCH(ChiTietKQKD[[#This Row],[Mã CP]],Sheet4!$B$2:$B$1605,0),_xlfn.XMATCH("*Tăng trưởng lợi nhuận sau thuế (YoY) (6M)*",Sheet4!$1:$1,2)),"")</f>
        <v>0</v>
      </c>
      <c r="Q1011" s="10" cm="1">
        <f t="array" ref="Q1011">IFERROR(INDEX(Sheet4!$2:$1605,MATCH(ChiTietKQKD[[#This Row],[Mã CP]],Sheet4!$B$2:$B$1605,0),_xlfn.XMATCH("*Tăng trưởng doanh thu thuần (QoQ)*",Sheet4!$1:$1,2)),"")</f>
        <v>0</v>
      </c>
      <c r="R1011" s="10" cm="1">
        <f t="array" ref="R1011">IFERROR(INDEX(Sheet4!$2:$1605,MATCH(ChiTietKQKD[[#This Row],[Mã CP]],Sheet4!$B$2:$B$1605,0),_xlfn.XMATCH("*Tăng trưởng lợi nhuận sau thuế (QoQ)*",Sheet4!$1:$1,2)),"")</f>
        <v>0</v>
      </c>
    </row>
    <row r="1012" spans="1:18" x14ac:dyDescent="0.25">
      <c r="A1012" s="7">
        <f>Sheet4!A991</f>
        <v>990</v>
      </c>
      <c r="B1012" t="str">
        <f>Sheet4!B991</f>
        <v>FSO</v>
      </c>
      <c r="C1012" t="str">
        <f>Sheet4!C990</f>
        <v>Lâm nghiệp Sài Gòn</v>
      </c>
      <c r="D1012" t="str">
        <f>Sheet4!D991</f>
        <v>UPCoM</v>
      </c>
      <c r="E1012" s="7">
        <f>Sheet4!AH991/1000000000</f>
        <v>36.562278999999997</v>
      </c>
      <c r="F1012" t="str">
        <f>Sheet4!E991</f>
        <v>Công nghiệp</v>
      </c>
      <c r="G1012" t="str">
        <f>Sheet4!F991</f>
        <v>Hàng &amp; Dịch vụ Công nghiệp</v>
      </c>
      <c r="H1012" t="str">
        <f>Sheet4!G991</f>
        <v>Xe tải &amp; Đóng tàu</v>
      </c>
      <c r="I1012" s="9" t="str" cm="1">
        <f t="array" ref="I101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12" s="9" t="str" cm="1">
        <f t="array" ref="J101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12" s="10" cm="1">
        <f t="array" ref="K101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12" s="10" cm="1">
        <f t="array" ref="L101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12" s="9" t="str" cm="1">
        <f t="array" ref="M101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12" s="9" t="str" cm="1">
        <f t="array" ref="N101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12" s="10" cm="1">
        <f t="array" ref="O1012">IFERROR(INDEX(Sheet4!$2:$1605,MATCH(ChiTietKQKD[[#This Row],[Mã CP]],Sheet4!$B$2:$B$1605,0),_xlfn.XMATCH("*Tăng trưởng lợi nhuận sau thuế (YoY) (Quý*",Sheet4!$1:$1,2)),"")</f>
        <v>0</v>
      </c>
      <c r="P1012" s="10" cm="1">
        <f t="array" ref="P1012">IFERROR(INDEX(Sheet4!$2:$1605,MATCH(ChiTietKQKD[[#This Row],[Mã CP]],Sheet4!$B$2:$B$1605,0),_xlfn.XMATCH("*Tăng trưởng lợi nhuận sau thuế (YoY) (6M)*",Sheet4!$1:$1,2)),"")</f>
        <v>0</v>
      </c>
      <c r="Q1012" s="10" cm="1">
        <f t="array" ref="Q1012">IFERROR(INDEX(Sheet4!$2:$1605,MATCH(ChiTietKQKD[[#This Row],[Mã CP]],Sheet4!$B$2:$B$1605,0),_xlfn.XMATCH("*Tăng trưởng doanh thu thuần (QoQ)*",Sheet4!$1:$1,2)),"")</f>
        <v>0</v>
      </c>
      <c r="R1012" s="10" cm="1">
        <f t="array" ref="R1012">IFERROR(INDEX(Sheet4!$2:$1605,MATCH(ChiTietKQKD[[#This Row],[Mã CP]],Sheet4!$B$2:$B$1605,0),_xlfn.XMATCH("*Tăng trưởng lợi nhuận sau thuế (QoQ)*",Sheet4!$1:$1,2)),"")</f>
        <v>0</v>
      </c>
    </row>
    <row r="1013" spans="1:18" x14ac:dyDescent="0.25">
      <c r="A1013" s="7">
        <f>Sheet4!A992</f>
        <v>991</v>
      </c>
      <c r="B1013" t="str">
        <f>Sheet4!B992</f>
        <v>FT1</v>
      </c>
      <c r="C1013" t="str">
        <f>Sheet4!C991</f>
        <v>Đóng tàu thủy sản VN</v>
      </c>
      <c r="D1013" t="str">
        <f>Sheet4!D992</f>
        <v>UPCoM</v>
      </c>
      <c r="E1013" s="7">
        <f>Sheet4!AH992/1000000000</f>
        <v>290.98195829999997</v>
      </c>
      <c r="F1013" t="str">
        <f>Sheet4!E992</f>
        <v>Công nghiệp</v>
      </c>
      <c r="G1013" t="str">
        <f>Sheet4!F992</f>
        <v>Hàng &amp; Dịch vụ Công nghiệp</v>
      </c>
      <c r="H1013" t="str">
        <f>Sheet4!G992</f>
        <v>Máy công nghiệp</v>
      </c>
      <c r="I1013" s="9" t="str" cm="1">
        <f t="array" ref="I101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13" s="9" t="str" cm="1">
        <f t="array" ref="J101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13" s="10" cm="1">
        <f t="array" ref="K101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13" s="10" cm="1">
        <f t="array" ref="L101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13" s="9" t="str" cm="1">
        <f t="array" ref="M101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13" s="9" t="str" cm="1">
        <f t="array" ref="N101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13" s="10" cm="1">
        <f t="array" ref="O1013">IFERROR(INDEX(Sheet4!$2:$1605,MATCH(ChiTietKQKD[[#This Row],[Mã CP]],Sheet4!$B$2:$B$1605,0),_xlfn.XMATCH("*Tăng trưởng lợi nhuận sau thuế (YoY) (Quý*",Sheet4!$1:$1,2)),"")</f>
        <v>0</v>
      </c>
      <c r="P1013" s="10" cm="1">
        <f t="array" ref="P1013">IFERROR(INDEX(Sheet4!$2:$1605,MATCH(ChiTietKQKD[[#This Row],[Mã CP]],Sheet4!$B$2:$B$1605,0),_xlfn.XMATCH("*Tăng trưởng lợi nhuận sau thuế (YoY) (6M)*",Sheet4!$1:$1,2)),"")</f>
        <v>0</v>
      </c>
      <c r="Q1013" s="10" cm="1">
        <f t="array" ref="Q1013">IFERROR(INDEX(Sheet4!$2:$1605,MATCH(ChiTietKQKD[[#This Row],[Mã CP]],Sheet4!$B$2:$B$1605,0),_xlfn.XMATCH("*Tăng trưởng doanh thu thuần (QoQ)*",Sheet4!$1:$1,2)),"")</f>
        <v>0</v>
      </c>
      <c r="R1013" s="10" cm="1">
        <f t="array" ref="R1013">IFERROR(INDEX(Sheet4!$2:$1605,MATCH(ChiTietKQKD[[#This Row],[Mã CP]],Sheet4!$B$2:$B$1605,0),_xlfn.XMATCH("*Tăng trưởng lợi nhuận sau thuế (QoQ)*",Sheet4!$1:$1,2)),"")</f>
        <v>0</v>
      </c>
    </row>
    <row r="1014" spans="1:18" x14ac:dyDescent="0.25">
      <c r="A1014" s="7">
        <f>Sheet4!A993</f>
        <v>992</v>
      </c>
      <c r="B1014" t="str">
        <f>Sheet4!B993</f>
        <v>FTI</v>
      </c>
      <c r="C1014" t="str">
        <f>Sheet4!C992</f>
        <v>Phụ tùng máy số 1</v>
      </c>
      <c r="D1014" t="str">
        <f>Sheet4!D993</f>
        <v>UPCoM</v>
      </c>
      <c r="E1014" s="7">
        <f>Sheet4!AH993/1000000000</f>
        <v>9.8444749999999992</v>
      </c>
      <c r="F1014" t="str">
        <f>Sheet4!E993</f>
        <v>Hàng Tiêu dùng</v>
      </c>
      <c r="G1014" t="str">
        <f>Sheet4!F993</f>
        <v>Ô tô và phụ tùng</v>
      </c>
      <c r="H1014" t="str">
        <f>Sheet4!G993</f>
        <v>Phụ tùng ô tô</v>
      </c>
      <c r="I1014" s="9" t="str" cm="1">
        <f t="array" ref="I101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14" s="9" t="str" cm="1">
        <f t="array" ref="J101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14" s="10" cm="1">
        <f t="array" ref="K101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14" s="10" cm="1">
        <f t="array" ref="L101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14" s="9" t="str" cm="1">
        <f t="array" ref="M101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14" s="9" t="str" cm="1">
        <f t="array" ref="N101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14" s="10" cm="1">
        <f t="array" ref="O1014">IFERROR(INDEX(Sheet4!$2:$1605,MATCH(ChiTietKQKD[[#This Row],[Mã CP]],Sheet4!$B$2:$B$1605,0),_xlfn.XMATCH("*Tăng trưởng lợi nhuận sau thuế (YoY) (Quý*",Sheet4!$1:$1,2)),"")</f>
        <v>0</v>
      </c>
      <c r="P1014" s="10" cm="1">
        <f t="array" ref="P1014">IFERROR(INDEX(Sheet4!$2:$1605,MATCH(ChiTietKQKD[[#This Row],[Mã CP]],Sheet4!$B$2:$B$1605,0),_xlfn.XMATCH("*Tăng trưởng lợi nhuận sau thuế (YoY) (6M)*",Sheet4!$1:$1,2)),"")</f>
        <v>0</v>
      </c>
      <c r="Q1014" s="10" cm="1">
        <f t="array" ref="Q1014">IFERROR(INDEX(Sheet4!$2:$1605,MATCH(ChiTietKQKD[[#This Row],[Mã CP]],Sheet4!$B$2:$B$1605,0),_xlfn.XMATCH("*Tăng trưởng doanh thu thuần (QoQ)*",Sheet4!$1:$1,2)),"")</f>
        <v>0</v>
      </c>
      <c r="R1014" s="10" cm="1">
        <f t="array" ref="R1014">IFERROR(INDEX(Sheet4!$2:$1605,MATCH(ChiTietKQKD[[#This Row],[Mã CP]],Sheet4!$B$2:$B$1605,0),_xlfn.XMATCH("*Tăng trưởng lợi nhuận sau thuế (QoQ)*",Sheet4!$1:$1,2)),"")</f>
        <v>0</v>
      </c>
    </row>
    <row r="1015" spans="1:18" x14ac:dyDescent="0.25">
      <c r="A1015" s="7">
        <f>Sheet4!A994</f>
        <v>993</v>
      </c>
      <c r="B1015" t="str">
        <f>Sheet4!B994</f>
        <v>FTM</v>
      </c>
      <c r="C1015" t="str">
        <f>Sheet4!C993</f>
        <v>Công nghiệp - Thương mại Hữu Nghị</v>
      </c>
      <c r="D1015" t="str">
        <f>Sheet4!D994</f>
        <v>UPCoM</v>
      </c>
      <c r="E1015" s="7">
        <f>Sheet4!AH994/1000000000</f>
        <v>20</v>
      </c>
      <c r="F1015" t="str">
        <f>Sheet4!E994</f>
        <v>Hàng Tiêu dùng</v>
      </c>
      <c r="G1015" t="str">
        <f>Sheet4!F994</f>
        <v>Hàng cá nhân &amp; Gia dụng</v>
      </c>
      <c r="H1015" t="str">
        <f>Sheet4!G994</f>
        <v>Hàng May mặc</v>
      </c>
      <c r="I1015" s="9" t="str" cm="1">
        <f t="array" ref="I101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15" s="9" t="str" cm="1">
        <f t="array" ref="J101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15" s="10" cm="1">
        <f t="array" ref="K101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15" s="10" cm="1">
        <f t="array" ref="L101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15" s="9" t="str" cm="1">
        <f t="array" ref="M101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15" s="9" t="str" cm="1">
        <f t="array" ref="N101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15" s="10" cm="1">
        <f t="array" ref="O1015">IFERROR(INDEX(Sheet4!$2:$1605,MATCH(ChiTietKQKD[[#This Row],[Mã CP]],Sheet4!$B$2:$B$1605,0),_xlfn.XMATCH("*Tăng trưởng lợi nhuận sau thuế (YoY) (Quý*",Sheet4!$1:$1,2)),"")</f>
        <v>0</v>
      </c>
      <c r="P1015" s="10" cm="1">
        <f t="array" ref="P1015">IFERROR(INDEX(Sheet4!$2:$1605,MATCH(ChiTietKQKD[[#This Row],[Mã CP]],Sheet4!$B$2:$B$1605,0),_xlfn.XMATCH("*Tăng trưởng lợi nhuận sau thuế (YoY) (6M)*",Sheet4!$1:$1,2)),"")</f>
        <v>0</v>
      </c>
      <c r="Q1015" s="10" cm="1">
        <f t="array" ref="Q1015">IFERROR(INDEX(Sheet4!$2:$1605,MATCH(ChiTietKQKD[[#This Row],[Mã CP]],Sheet4!$B$2:$B$1605,0),_xlfn.XMATCH("*Tăng trưởng doanh thu thuần (QoQ)*",Sheet4!$1:$1,2)),"")</f>
        <v>0</v>
      </c>
      <c r="R1015" s="10" cm="1">
        <f t="array" ref="R1015">IFERROR(INDEX(Sheet4!$2:$1605,MATCH(ChiTietKQKD[[#This Row],[Mã CP]],Sheet4!$B$2:$B$1605,0),_xlfn.XMATCH("*Tăng trưởng lợi nhuận sau thuế (QoQ)*",Sheet4!$1:$1,2)),"")</f>
        <v>0</v>
      </c>
    </row>
    <row r="1016" spans="1:18" x14ac:dyDescent="0.25">
      <c r="A1016" s="7">
        <f>Sheet4!A995</f>
        <v>994</v>
      </c>
      <c r="B1016" t="str">
        <f>Sheet4!B995</f>
        <v>FVN</v>
      </c>
      <c r="C1016" t="str">
        <f>Sheet4!C994</f>
        <v>Phát triển Đức Quân</v>
      </c>
      <c r="D1016" t="str">
        <f>Sheet4!D995</f>
        <v>UPCoM</v>
      </c>
      <c r="E1016" s="7">
        <f>Sheet4!AH995/1000000000</f>
        <v>0</v>
      </c>
      <c r="F1016" t="str">
        <f>Sheet4!E995</f>
        <v>Công nghiệp</v>
      </c>
      <c r="G1016" t="str">
        <f>Sheet4!F995</f>
        <v>Xây dựng và Vật liệu</v>
      </c>
      <c r="H1016" t="str">
        <f>Sheet4!G995</f>
        <v>Xây dựng</v>
      </c>
      <c r="I1016" s="9" t="str" cm="1">
        <f t="array" ref="I101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16" s="9" t="str" cm="1">
        <f t="array" ref="J101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16" s="10" cm="1">
        <f t="array" ref="K101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16" s="10" cm="1">
        <f t="array" ref="L101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16" s="9" t="str" cm="1">
        <f t="array" ref="M101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16" s="9" t="str" cm="1">
        <f t="array" ref="N101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16" s="10" cm="1">
        <f t="array" ref="O1016">IFERROR(INDEX(Sheet4!$2:$1605,MATCH(ChiTietKQKD[[#This Row],[Mã CP]],Sheet4!$B$2:$B$1605,0),_xlfn.XMATCH("*Tăng trưởng lợi nhuận sau thuế (YoY) (Quý*",Sheet4!$1:$1,2)),"")</f>
        <v>0</v>
      </c>
      <c r="P1016" s="10" cm="1">
        <f t="array" ref="P1016">IFERROR(INDEX(Sheet4!$2:$1605,MATCH(ChiTietKQKD[[#This Row],[Mã CP]],Sheet4!$B$2:$B$1605,0),_xlfn.XMATCH("*Tăng trưởng lợi nhuận sau thuế (YoY) (6M)*",Sheet4!$1:$1,2)),"")</f>
        <v>0</v>
      </c>
      <c r="Q1016" s="10" cm="1">
        <f t="array" ref="Q1016">IFERROR(INDEX(Sheet4!$2:$1605,MATCH(ChiTietKQKD[[#This Row],[Mã CP]],Sheet4!$B$2:$B$1605,0),_xlfn.XMATCH("*Tăng trưởng doanh thu thuần (QoQ)*",Sheet4!$1:$1,2)),"")</f>
        <v>0</v>
      </c>
      <c r="R1016" s="10" cm="1">
        <f t="array" ref="R1016">IFERROR(INDEX(Sheet4!$2:$1605,MATCH(ChiTietKQKD[[#This Row],[Mã CP]],Sheet4!$B$2:$B$1605,0),_xlfn.XMATCH("*Tăng trưởng lợi nhuận sau thuế (QoQ)*",Sheet4!$1:$1,2)),"")</f>
        <v>0</v>
      </c>
    </row>
    <row r="1017" spans="1:18" x14ac:dyDescent="0.25">
      <c r="A1017" s="7">
        <f>Sheet4!A996</f>
        <v>995</v>
      </c>
      <c r="B1017" t="str">
        <f>Sheet4!B996</f>
        <v>G20</v>
      </c>
      <c r="C1017" t="str">
        <f>Sheet4!C995</f>
        <v>Thiết kế và CN Việt Nam</v>
      </c>
      <c r="D1017" t="str">
        <f>Sheet4!D996</f>
        <v>UPCoM</v>
      </c>
      <c r="E1017" s="7">
        <f>Sheet4!AH996/1000000000</f>
        <v>8.64</v>
      </c>
      <c r="F1017" t="str">
        <f>Sheet4!E996</f>
        <v>Hàng Tiêu dùng</v>
      </c>
      <c r="G1017" t="str">
        <f>Sheet4!F996</f>
        <v>Hàng cá nhân &amp; Gia dụng</v>
      </c>
      <c r="H1017" t="str">
        <f>Sheet4!G996</f>
        <v>Hàng May mặc</v>
      </c>
      <c r="I1017" s="9" t="str" cm="1">
        <f t="array" ref="I101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17" s="9" t="str" cm="1">
        <f t="array" ref="J101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17" s="10" cm="1">
        <f t="array" ref="K101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17" s="10" cm="1">
        <f t="array" ref="L101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17" s="9" t="str" cm="1">
        <f t="array" ref="M101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17" s="9" t="str" cm="1">
        <f t="array" ref="N101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17" s="10" cm="1">
        <f t="array" ref="O1017">IFERROR(INDEX(Sheet4!$2:$1605,MATCH(ChiTietKQKD[[#This Row],[Mã CP]],Sheet4!$B$2:$B$1605,0),_xlfn.XMATCH("*Tăng trưởng lợi nhuận sau thuế (YoY) (Quý*",Sheet4!$1:$1,2)),"")</f>
        <v>0</v>
      </c>
      <c r="P1017" s="10" cm="1">
        <f t="array" ref="P1017">IFERROR(INDEX(Sheet4!$2:$1605,MATCH(ChiTietKQKD[[#This Row],[Mã CP]],Sheet4!$B$2:$B$1605,0),_xlfn.XMATCH("*Tăng trưởng lợi nhuận sau thuế (YoY) (6M)*",Sheet4!$1:$1,2)),"")</f>
        <v>0</v>
      </c>
      <c r="Q1017" s="10" cm="1">
        <f t="array" ref="Q1017">IFERROR(INDEX(Sheet4!$2:$1605,MATCH(ChiTietKQKD[[#This Row],[Mã CP]],Sheet4!$B$2:$B$1605,0),_xlfn.XMATCH("*Tăng trưởng doanh thu thuần (QoQ)*",Sheet4!$1:$1,2)),"")</f>
        <v>0</v>
      </c>
      <c r="R1017" s="10" cm="1">
        <f t="array" ref="R1017">IFERROR(INDEX(Sheet4!$2:$1605,MATCH(ChiTietKQKD[[#This Row],[Mã CP]],Sheet4!$B$2:$B$1605,0),_xlfn.XMATCH("*Tăng trưởng lợi nhuận sau thuế (QoQ)*",Sheet4!$1:$1,2)),"")</f>
        <v>0</v>
      </c>
    </row>
    <row r="1018" spans="1:18" x14ac:dyDescent="0.25">
      <c r="A1018" s="7">
        <f>Sheet4!A997</f>
        <v>996</v>
      </c>
      <c r="B1018" t="str">
        <f>Sheet4!B997</f>
        <v>G30</v>
      </c>
      <c r="C1018" t="str">
        <f>Sheet4!C996</f>
        <v>Đầu tư Dệt may Vĩnh Phúc</v>
      </c>
      <c r="D1018" t="str">
        <f>Sheet4!D997</f>
        <v>UPCoM</v>
      </c>
      <c r="E1018" s="7">
        <f>Sheet4!AH997/1000000000</f>
        <v>0</v>
      </c>
      <c r="F1018" t="str">
        <f>Sheet4!E997</f>
        <v>Công nghiệp</v>
      </c>
      <c r="G1018" t="str">
        <f>Sheet4!F997</f>
        <v>Xây dựng và Vật liệu</v>
      </c>
      <c r="H1018" t="str">
        <f>Sheet4!G997</f>
        <v>Vật liệu xây dựng &amp; Nội thất</v>
      </c>
      <c r="I1018" s="9" t="str" cm="1">
        <f t="array" ref="I101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18" s="9" t="str" cm="1">
        <f t="array" ref="J101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18" s="10" cm="1">
        <f t="array" ref="K101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18" s="10" cm="1">
        <f t="array" ref="L101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18" s="9" t="str" cm="1">
        <f t="array" ref="M101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18" s="9" t="str" cm="1">
        <f t="array" ref="N101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18" s="10" cm="1">
        <f t="array" ref="O1018">IFERROR(INDEX(Sheet4!$2:$1605,MATCH(ChiTietKQKD[[#This Row],[Mã CP]],Sheet4!$B$2:$B$1605,0),_xlfn.XMATCH("*Tăng trưởng lợi nhuận sau thuế (YoY) (Quý*",Sheet4!$1:$1,2)),"")</f>
        <v>0</v>
      </c>
      <c r="P1018" s="10" cm="1">
        <f t="array" ref="P1018">IFERROR(INDEX(Sheet4!$2:$1605,MATCH(ChiTietKQKD[[#This Row],[Mã CP]],Sheet4!$B$2:$B$1605,0),_xlfn.XMATCH("*Tăng trưởng lợi nhuận sau thuế (YoY) (6M)*",Sheet4!$1:$1,2)),"")</f>
        <v>0</v>
      </c>
      <c r="Q1018" s="10" cm="1">
        <f t="array" ref="Q1018">IFERROR(INDEX(Sheet4!$2:$1605,MATCH(ChiTietKQKD[[#This Row],[Mã CP]],Sheet4!$B$2:$B$1605,0),_xlfn.XMATCH("*Tăng trưởng doanh thu thuần (QoQ)*",Sheet4!$1:$1,2)),"")</f>
        <v>0</v>
      </c>
      <c r="R1018" s="10" cm="1">
        <f t="array" ref="R1018">IFERROR(INDEX(Sheet4!$2:$1605,MATCH(ChiTietKQKD[[#This Row],[Mã CP]],Sheet4!$B$2:$B$1605,0),_xlfn.XMATCH("*Tăng trưởng lợi nhuận sau thuế (QoQ)*",Sheet4!$1:$1,2)),"")</f>
        <v>0</v>
      </c>
    </row>
    <row r="1019" spans="1:18" x14ac:dyDescent="0.25">
      <c r="A1019" s="7">
        <f>Sheet4!A998</f>
        <v>997</v>
      </c>
      <c r="B1019" t="str">
        <f>Sheet4!B998</f>
        <v>G36</v>
      </c>
      <c r="C1019" t="str">
        <f>Sheet4!C997</f>
        <v>Gạch ngói 30-4</v>
      </c>
      <c r="D1019" t="str">
        <f>Sheet4!D998</f>
        <v>UPCoM</v>
      </c>
      <c r="E1019" s="7">
        <f>Sheet4!AH998/1000000000</f>
        <v>937.75166061300001</v>
      </c>
      <c r="F1019" t="str">
        <f>Sheet4!E998</f>
        <v>Công nghiệp</v>
      </c>
      <c r="G1019" t="str">
        <f>Sheet4!F998</f>
        <v>Xây dựng và Vật liệu</v>
      </c>
      <c r="H1019" t="str">
        <f>Sheet4!G998</f>
        <v>Xây dựng</v>
      </c>
      <c r="I1019" s="9" t="str" cm="1">
        <f t="array" ref="I101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19" s="9" t="str" cm="1">
        <f t="array" ref="J101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19" s="10" cm="1">
        <f t="array" ref="K101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19" s="10" cm="1">
        <f t="array" ref="L101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19" s="9" t="str" cm="1">
        <f t="array" ref="M101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19" s="9" t="str" cm="1">
        <f t="array" ref="N101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19" s="10" cm="1">
        <f t="array" ref="O1019">IFERROR(INDEX(Sheet4!$2:$1605,MATCH(ChiTietKQKD[[#This Row],[Mã CP]],Sheet4!$B$2:$B$1605,0),_xlfn.XMATCH("*Tăng trưởng lợi nhuận sau thuế (YoY) (Quý*",Sheet4!$1:$1,2)),"")</f>
        <v>0</v>
      </c>
      <c r="P1019" s="10" cm="1">
        <f t="array" ref="P1019">IFERROR(INDEX(Sheet4!$2:$1605,MATCH(ChiTietKQKD[[#This Row],[Mã CP]],Sheet4!$B$2:$B$1605,0),_xlfn.XMATCH("*Tăng trưởng lợi nhuận sau thuế (YoY) (6M)*",Sheet4!$1:$1,2)),"")</f>
        <v>0</v>
      </c>
      <c r="Q1019" s="10" cm="1">
        <f t="array" ref="Q1019">IFERROR(INDEX(Sheet4!$2:$1605,MATCH(ChiTietKQKD[[#This Row],[Mã CP]],Sheet4!$B$2:$B$1605,0),_xlfn.XMATCH("*Tăng trưởng doanh thu thuần (QoQ)*",Sheet4!$1:$1,2)),"")</f>
        <v>0</v>
      </c>
      <c r="R1019" s="10" cm="1">
        <f t="array" ref="R1019">IFERROR(INDEX(Sheet4!$2:$1605,MATCH(ChiTietKQKD[[#This Row],[Mã CP]],Sheet4!$B$2:$B$1605,0),_xlfn.XMATCH("*Tăng trưởng lợi nhuận sau thuế (QoQ)*",Sheet4!$1:$1,2)),"")</f>
        <v>0</v>
      </c>
    </row>
    <row r="1020" spans="1:18" x14ac:dyDescent="0.25">
      <c r="A1020" s="7">
        <f>Sheet4!A999</f>
        <v>998</v>
      </c>
      <c r="B1020" t="str">
        <f>Sheet4!B999</f>
        <v>GCB</v>
      </c>
      <c r="C1020" t="str">
        <f>Sheet4!C998</f>
        <v>Tổng Công ty 36</v>
      </c>
      <c r="D1020" t="str">
        <f>Sheet4!D999</f>
        <v>UPCoM</v>
      </c>
      <c r="E1020" s="7">
        <f>Sheet4!AH999/1000000000</f>
        <v>31.909261300000001</v>
      </c>
      <c r="F1020" t="str">
        <f>Sheet4!E999</f>
        <v>Tiện ích Cộng đồng</v>
      </c>
      <c r="G1020" t="str">
        <f>Sheet4!F999</f>
        <v>Điện, nước &amp; xăng dầu khí đốt</v>
      </c>
      <c r="H1020" t="str">
        <f>Sheet4!G999</f>
        <v>Phân phối xăng dầu &amp; khí đốt</v>
      </c>
      <c r="I1020" s="9" t="str" cm="1">
        <f t="array" ref="I102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20" s="9" t="str" cm="1">
        <f t="array" ref="J102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20" s="10" cm="1">
        <f t="array" ref="K102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20" s="10" cm="1">
        <f t="array" ref="L102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20" s="9" t="str" cm="1">
        <f t="array" ref="M102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20" s="9" t="str" cm="1">
        <f t="array" ref="N102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20" s="10" cm="1">
        <f t="array" ref="O1020">IFERROR(INDEX(Sheet4!$2:$1605,MATCH(ChiTietKQKD[[#This Row],[Mã CP]],Sheet4!$B$2:$B$1605,0),_xlfn.XMATCH("*Tăng trưởng lợi nhuận sau thuế (YoY) (Quý*",Sheet4!$1:$1,2)),"")</f>
        <v>0</v>
      </c>
      <c r="P1020" s="10" cm="1">
        <f t="array" ref="P1020">IFERROR(INDEX(Sheet4!$2:$1605,MATCH(ChiTietKQKD[[#This Row],[Mã CP]],Sheet4!$B$2:$B$1605,0),_xlfn.XMATCH("*Tăng trưởng lợi nhuận sau thuế (YoY) (6M)*",Sheet4!$1:$1,2)),"")</f>
        <v>0</v>
      </c>
      <c r="Q1020" s="10" cm="1">
        <f t="array" ref="Q1020">IFERROR(INDEX(Sheet4!$2:$1605,MATCH(ChiTietKQKD[[#This Row],[Mã CP]],Sheet4!$B$2:$B$1605,0),_xlfn.XMATCH("*Tăng trưởng doanh thu thuần (QoQ)*",Sheet4!$1:$1,2)),"")</f>
        <v>0</v>
      </c>
      <c r="R1020" s="10" cm="1">
        <f t="array" ref="R1020">IFERROR(INDEX(Sheet4!$2:$1605,MATCH(ChiTietKQKD[[#This Row],[Mã CP]],Sheet4!$B$2:$B$1605,0),_xlfn.XMATCH("*Tăng trưởng lợi nhuận sau thuế (QoQ)*",Sheet4!$1:$1,2)),"")</f>
        <v>0</v>
      </c>
    </row>
    <row r="1021" spans="1:18" x14ac:dyDescent="0.25">
      <c r="A1021" s="7">
        <f>Sheet4!A1000</f>
        <v>999</v>
      </c>
      <c r="B1021" t="str">
        <f>Sheet4!B1000</f>
        <v>GCF</v>
      </c>
      <c r="C1021" t="str">
        <f>Sheet4!C999</f>
        <v>PETEC Bình Định</v>
      </c>
      <c r="D1021" t="str">
        <f>Sheet4!D1000</f>
        <v>UPCoM</v>
      </c>
      <c r="E1021" s="7">
        <f>Sheet4!AH1000/1000000000</f>
        <v>819.347639566</v>
      </c>
      <c r="F1021" t="str">
        <f>Sheet4!E1000</f>
        <v>Hàng Tiêu dùng</v>
      </c>
      <c r="G1021" t="str">
        <f>Sheet4!F1000</f>
        <v>Thực phẩm và đồ uống</v>
      </c>
      <c r="H1021" t="str">
        <f>Sheet4!G1000</f>
        <v>Thực phẩm</v>
      </c>
      <c r="I1021" s="9" t="str" cm="1">
        <f t="array" ref="I102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21" s="9" t="str" cm="1">
        <f t="array" ref="J102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21" s="10" cm="1">
        <f t="array" ref="K102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21" s="10" cm="1">
        <f t="array" ref="L102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21" s="9" t="str" cm="1">
        <f t="array" ref="M102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21" s="9" t="str" cm="1">
        <f t="array" ref="N102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21" s="10" cm="1">
        <f t="array" ref="O1021">IFERROR(INDEX(Sheet4!$2:$1605,MATCH(ChiTietKQKD[[#This Row],[Mã CP]],Sheet4!$B$2:$B$1605,0),_xlfn.XMATCH("*Tăng trưởng lợi nhuận sau thuế (YoY) (Quý*",Sheet4!$1:$1,2)),"")</f>
        <v>0</v>
      </c>
      <c r="P1021" s="10" cm="1">
        <f t="array" ref="P1021">IFERROR(INDEX(Sheet4!$2:$1605,MATCH(ChiTietKQKD[[#This Row],[Mã CP]],Sheet4!$B$2:$B$1605,0),_xlfn.XMATCH("*Tăng trưởng lợi nhuận sau thuế (YoY) (6M)*",Sheet4!$1:$1,2)),"")</f>
        <v>0</v>
      </c>
      <c r="Q1021" s="10" cm="1">
        <f t="array" ref="Q1021">IFERROR(INDEX(Sheet4!$2:$1605,MATCH(ChiTietKQKD[[#This Row],[Mã CP]],Sheet4!$B$2:$B$1605,0),_xlfn.XMATCH("*Tăng trưởng doanh thu thuần (QoQ)*",Sheet4!$1:$1,2)),"")</f>
        <v>0</v>
      </c>
      <c r="R1021" s="10" cm="1">
        <f t="array" ref="R1021">IFERROR(INDEX(Sheet4!$2:$1605,MATCH(ChiTietKQKD[[#This Row],[Mã CP]],Sheet4!$B$2:$B$1605,0),_xlfn.XMATCH("*Tăng trưởng lợi nhuận sau thuế (QoQ)*",Sheet4!$1:$1,2)),"")</f>
        <v>0</v>
      </c>
    </row>
    <row r="1022" spans="1:18" x14ac:dyDescent="0.25">
      <c r="A1022" s="7">
        <f>Sheet4!A1001</f>
        <v>1000</v>
      </c>
      <c r="B1022" t="str">
        <f>Sheet4!B1001</f>
        <v>GDA</v>
      </c>
      <c r="C1022" t="str">
        <f>Sheet4!C1000</f>
        <v>Thực phẩm G.C</v>
      </c>
      <c r="D1022" t="str">
        <f>Sheet4!D1001</f>
        <v>UPCoM</v>
      </c>
      <c r="E1022" s="7">
        <f>Sheet4!AH1001/1000000000</f>
        <v>1827.355517856</v>
      </c>
      <c r="F1022" t="str">
        <f>Sheet4!E1001</f>
        <v>Nguyên vật liệu</v>
      </c>
      <c r="G1022" t="str">
        <f>Sheet4!F1001</f>
        <v>Tài nguyên Cơ bản</v>
      </c>
      <c r="H1022" t="str">
        <f>Sheet4!G1001</f>
        <v>Thép và sản phẩm thép</v>
      </c>
      <c r="I1022" s="9" t="str" cm="1">
        <f t="array" ref="I102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22" s="9" t="str" cm="1">
        <f t="array" ref="J102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22" s="10" cm="1">
        <f t="array" ref="K102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22" s="10" cm="1">
        <f t="array" ref="L102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22" s="9" t="str" cm="1">
        <f t="array" ref="M102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22" s="9" t="str" cm="1">
        <f t="array" ref="N102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22" s="10" cm="1">
        <f t="array" ref="O1022">IFERROR(INDEX(Sheet4!$2:$1605,MATCH(ChiTietKQKD[[#This Row],[Mã CP]],Sheet4!$B$2:$B$1605,0),_xlfn.XMATCH("*Tăng trưởng lợi nhuận sau thuế (YoY) (Quý*",Sheet4!$1:$1,2)),"")</f>
        <v>0</v>
      </c>
      <c r="P1022" s="10" cm="1">
        <f t="array" ref="P1022">IFERROR(INDEX(Sheet4!$2:$1605,MATCH(ChiTietKQKD[[#This Row],[Mã CP]],Sheet4!$B$2:$B$1605,0),_xlfn.XMATCH("*Tăng trưởng lợi nhuận sau thuế (YoY) (6M)*",Sheet4!$1:$1,2)),"")</f>
        <v>0</v>
      </c>
      <c r="Q1022" s="10" cm="1">
        <f t="array" ref="Q1022">IFERROR(INDEX(Sheet4!$2:$1605,MATCH(ChiTietKQKD[[#This Row],[Mã CP]],Sheet4!$B$2:$B$1605,0),_xlfn.XMATCH("*Tăng trưởng doanh thu thuần (QoQ)*",Sheet4!$1:$1,2)),"")</f>
        <v>0</v>
      </c>
      <c r="R1022" s="10" cm="1">
        <f t="array" ref="R1022">IFERROR(INDEX(Sheet4!$2:$1605,MATCH(ChiTietKQKD[[#This Row],[Mã CP]],Sheet4!$B$2:$B$1605,0),_xlfn.XMATCH("*Tăng trưởng lợi nhuận sau thuế (QoQ)*",Sheet4!$1:$1,2)),"")</f>
        <v>0</v>
      </c>
    </row>
    <row r="1023" spans="1:18" x14ac:dyDescent="0.25">
      <c r="A1023" s="7">
        <f>Sheet4!A1002</f>
        <v>1001</v>
      </c>
      <c r="B1023" t="str">
        <f>Sheet4!B1002</f>
        <v>GDH</v>
      </c>
      <c r="C1023" t="str">
        <f>Sheet4!C1001</f>
        <v>Tôn Đông Á</v>
      </c>
      <c r="D1023" t="str">
        <f>Sheet4!D1002</f>
        <v>UPCoM</v>
      </c>
      <c r="E1023" s="7">
        <f>Sheet4!AH1002/1000000000</f>
        <v>140.91739999999999</v>
      </c>
      <c r="F1023" t="str">
        <f>Sheet4!E1002</f>
        <v>Công nghiệp</v>
      </c>
      <c r="G1023" t="str">
        <f>Sheet4!F1002</f>
        <v>Xây dựng và Vật liệu</v>
      </c>
      <c r="H1023" t="str">
        <f>Sheet4!G1002</f>
        <v>Xây dựng</v>
      </c>
      <c r="I1023" s="9" t="str" cm="1">
        <f t="array" ref="I102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23" s="9" t="str" cm="1">
        <f t="array" ref="J102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23" s="10" cm="1">
        <f t="array" ref="K102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23" s="10" cm="1">
        <f t="array" ref="L102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23" s="9" t="str" cm="1">
        <f t="array" ref="M102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23" s="9" t="str" cm="1">
        <f t="array" ref="N102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23" s="10" cm="1">
        <f t="array" ref="O1023">IFERROR(INDEX(Sheet4!$2:$1605,MATCH(ChiTietKQKD[[#This Row],[Mã CP]],Sheet4!$B$2:$B$1605,0),_xlfn.XMATCH("*Tăng trưởng lợi nhuận sau thuế (YoY) (Quý*",Sheet4!$1:$1,2)),"")</f>
        <v>0</v>
      </c>
      <c r="P1023" s="10" cm="1">
        <f t="array" ref="P1023">IFERROR(INDEX(Sheet4!$2:$1605,MATCH(ChiTietKQKD[[#This Row],[Mã CP]],Sheet4!$B$2:$B$1605,0),_xlfn.XMATCH("*Tăng trưởng lợi nhuận sau thuế (YoY) (6M)*",Sheet4!$1:$1,2)),"")</f>
        <v>0</v>
      </c>
      <c r="Q1023" s="10" cm="1">
        <f t="array" ref="Q1023">IFERROR(INDEX(Sheet4!$2:$1605,MATCH(ChiTietKQKD[[#This Row],[Mã CP]],Sheet4!$B$2:$B$1605,0),_xlfn.XMATCH("*Tăng trưởng doanh thu thuần (QoQ)*",Sheet4!$1:$1,2)),"")</f>
        <v>0</v>
      </c>
      <c r="R1023" s="10" cm="1">
        <f t="array" ref="R1023">IFERROR(INDEX(Sheet4!$2:$1605,MATCH(ChiTietKQKD[[#This Row],[Mã CP]],Sheet4!$B$2:$B$1605,0),_xlfn.XMATCH("*Tăng trưởng lợi nhuận sau thuế (QoQ)*",Sheet4!$1:$1,2)),"")</f>
        <v>0</v>
      </c>
    </row>
    <row r="1024" spans="1:18" x14ac:dyDescent="0.25">
      <c r="A1024" s="7">
        <f>Sheet4!A1003</f>
        <v>1002</v>
      </c>
      <c r="B1024" t="str">
        <f>Sheet4!B1003</f>
        <v>GE2</v>
      </c>
      <c r="C1024" t="str">
        <f>Sheet4!C1002</f>
        <v>Tập đoàn GDC</v>
      </c>
      <c r="D1024" t="str">
        <f>Sheet4!D1003</f>
        <v>UPCoM</v>
      </c>
      <c r="E1024" s="7">
        <f>Sheet4!AH1003/1000000000</f>
        <v>0</v>
      </c>
      <c r="F1024" t="str">
        <f>Sheet4!E1003</f>
        <v>Tiện ích Cộng đồng</v>
      </c>
      <c r="G1024" t="str">
        <f>Sheet4!F1003</f>
        <v>Điện, nước &amp; xăng dầu khí đốt</v>
      </c>
      <c r="H1024" t="str">
        <f>Sheet4!G1003</f>
        <v>Sản xuất &amp; Phân phối Điện</v>
      </c>
      <c r="I1024" s="9" t="str" cm="1">
        <f t="array" ref="I102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24" s="9" t="str" cm="1">
        <f t="array" ref="J102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24" s="10" cm="1">
        <f t="array" ref="K102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24" s="10" cm="1">
        <f t="array" ref="L102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24" s="9" t="str" cm="1">
        <f t="array" ref="M102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24" s="9" t="str" cm="1">
        <f t="array" ref="N102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24" s="10" cm="1">
        <f t="array" ref="O1024">IFERROR(INDEX(Sheet4!$2:$1605,MATCH(ChiTietKQKD[[#This Row],[Mã CP]],Sheet4!$B$2:$B$1605,0),_xlfn.XMATCH("*Tăng trưởng lợi nhuận sau thuế (YoY) (Quý*",Sheet4!$1:$1,2)),"")</f>
        <v>0</v>
      </c>
      <c r="P1024" s="10" cm="1">
        <f t="array" ref="P1024">IFERROR(INDEX(Sheet4!$2:$1605,MATCH(ChiTietKQKD[[#This Row],[Mã CP]],Sheet4!$B$2:$B$1605,0),_xlfn.XMATCH("*Tăng trưởng lợi nhuận sau thuế (YoY) (6M)*",Sheet4!$1:$1,2)),"")</f>
        <v>0</v>
      </c>
      <c r="Q1024" s="10" cm="1">
        <f t="array" ref="Q1024">IFERROR(INDEX(Sheet4!$2:$1605,MATCH(ChiTietKQKD[[#This Row],[Mã CP]],Sheet4!$B$2:$B$1605,0),_xlfn.XMATCH("*Tăng trưởng doanh thu thuần (QoQ)*",Sheet4!$1:$1,2)),"")</f>
        <v>0</v>
      </c>
      <c r="R1024" s="10" cm="1">
        <f t="array" ref="R1024">IFERROR(INDEX(Sheet4!$2:$1605,MATCH(ChiTietKQKD[[#This Row],[Mã CP]],Sheet4!$B$2:$B$1605,0),_xlfn.XMATCH("*Tăng trưởng lợi nhuận sau thuế (QoQ)*",Sheet4!$1:$1,2)),"")</f>
        <v>0</v>
      </c>
    </row>
    <row r="1025" spans="1:18" x14ac:dyDescent="0.25">
      <c r="A1025" s="7">
        <f>Sheet4!A1004</f>
        <v>1003</v>
      </c>
      <c r="B1025" t="str">
        <f>Sheet4!B1004</f>
        <v>GER</v>
      </c>
      <c r="C1025" t="str">
        <f>Sheet4!C1003</f>
        <v>Tổng Công ty Phát điện 2</v>
      </c>
      <c r="D1025" t="str">
        <f>Sheet4!D1004</f>
        <v>UPCoM</v>
      </c>
      <c r="E1025" s="7">
        <f>Sheet4!AH1004/1000000000</f>
        <v>18.7</v>
      </c>
      <c r="F1025" t="str">
        <f>Sheet4!E1004</f>
        <v>Nguyên vật liệu</v>
      </c>
      <c r="G1025" t="str">
        <f>Sheet4!F1004</f>
        <v>Hóa chất</v>
      </c>
      <c r="H1025" t="str">
        <f>Sheet4!G1004</f>
        <v>Nhựa, cao su &amp; sợi</v>
      </c>
      <c r="I1025" s="9" t="str" cm="1">
        <f t="array" ref="I102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25" s="9" t="str" cm="1">
        <f t="array" ref="J102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25" s="10" cm="1">
        <f t="array" ref="K102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25" s="10" cm="1">
        <f t="array" ref="L102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25" s="9" t="str" cm="1">
        <f t="array" ref="M102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25" s="9" t="str" cm="1">
        <f t="array" ref="N102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25" s="10" cm="1">
        <f t="array" ref="O1025">IFERROR(INDEX(Sheet4!$2:$1605,MATCH(ChiTietKQKD[[#This Row],[Mã CP]],Sheet4!$B$2:$B$1605,0),_xlfn.XMATCH("*Tăng trưởng lợi nhuận sau thuế (YoY) (Quý*",Sheet4!$1:$1,2)),"")</f>
        <v>0</v>
      </c>
      <c r="P1025" s="10" cm="1">
        <f t="array" ref="P1025">IFERROR(INDEX(Sheet4!$2:$1605,MATCH(ChiTietKQKD[[#This Row],[Mã CP]],Sheet4!$B$2:$B$1605,0),_xlfn.XMATCH("*Tăng trưởng lợi nhuận sau thuế (YoY) (6M)*",Sheet4!$1:$1,2)),"")</f>
        <v>0</v>
      </c>
      <c r="Q1025" s="10" cm="1">
        <f t="array" ref="Q1025">IFERROR(INDEX(Sheet4!$2:$1605,MATCH(ChiTietKQKD[[#This Row],[Mã CP]],Sheet4!$B$2:$B$1605,0),_xlfn.XMATCH("*Tăng trưởng doanh thu thuần (QoQ)*",Sheet4!$1:$1,2)),"")</f>
        <v>0</v>
      </c>
      <c r="R1025" s="10" cm="1">
        <f t="array" ref="R1025">IFERROR(INDEX(Sheet4!$2:$1605,MATCH(ChiTietKQKD[[#This Row],[Mã CP]],Sheet4!$B$2:$B$1605,0),_xlfn.XMATCH("*Tăng trưởng lợi nhuận sau thuế (QoQ)*",Sheet4!$1:$1,2)),"")</f>
        <v>0</v>
      </c>
    </row>
    <row r="1026" spans="1:18" x14ac:dyDescent="0.25">
      <c r="A1026" s="7">
        <f>Sheet4!A1005</f>
        <v>1004</v>
      </c>
      <c r="B1026" t="str">
        <f>Sheet4!B1005</f>
        <v>GGG</v>
      </c>
      <c r="C1026" t="str">
        <f>Sheet4!C1004</f>
        <v>Thể thao Ngôi sao Geru</v>
      </c>
      <c r="D1026" t="str">
        <f>Sheet4!D1005</f>
        <v>UPCoM</v>
      </c>
      <c r="E1026" s="7">
        <f>Sheet4!AH1005/1000000000</f>
        <v>61.716036899999999</v>
      </c>
      <c r="F1026" t="str">
        <f>Sheet4!E1005</f>
        <v>Hàng Tiêu dùng</v>
      </c>
      <c r="G1026" t="str">
        <f>Sheet4!F1005</f>
        <v>Ô tô và phụ tùng</v>
      </c>
      <c r="H1026" t="str">
        <f>Sheet4!G1005</f>
        <v>Sản xuất ô tô</v>
      </c>
      <c r="I1026" s="9" cm="1">
        <f t="array" ref="I102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0.143148148</v>
      </c>
      <c r="J1026" s="9" cm="1">
        <f t="array" ref="J102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0.38601851700000001</v>
      </c>
      <c r="K1026" s="10" cm="1">
        <f t="array" ref="K102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-0.99080000000000001</v>
      </c>
      <c r="L1026" s="10" cm="1">
        <f t="array" ref="L102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-0.98939999999999995</v>
      </c>
      <c r="M1026" s="9" cm="1">
        <f t="array" ref="M1026">_xlfn.LET(_xlpm.val,IFERROR(INDEX(Sheet4!$2:$1605,MATCH(ChiTietKQKD[[#This Row],[Mã CP]],Sheet4!$B$2:$B$1605,0),_xlfn.XMATCH("*Lợi nhuận sau thuế*Q2*2026*",Sheet4!$1:$1,2)),0),IF(OR(_xlpm.val="",_xlpm.val=0),"",_xlpm.val/1000000000))</f>
        <v>-5.297453473</v>
      </c>
      <c r="N1026" s="9" cm="1">
        <f t="array" ref="N1026">_xlfn.LET(_xlpm.val,IFERROR(INDEX(Sheet4!$2:$1605,MATCH(ChiTietKQKD[[#This Row],[Mã CP]],Sheet4!$B$2:$B$1605,0),_xlfn.XMATCH("*Lợi nhuận sau thuế*6 tháng*2026*",Sheet4!$1:$1,2)),0),IF(OR(_xlpm.val="",_xlpm.val=0),"",_xlpm.val/1000000000))</f>
        <v>-9.0071948200000005</v>
      </c>
      <c r="O1026" s="10" cm="1">
        <f t="array" ref="O1026">IFERROR(INDEX(Sheet4!$2:$1605,MATCH(ChiTietKQKD[[#This Row],[Mã CP]],Sheet4!$B$2:$B$1605,0),_xlfn.XMATCH("*Tăng trưởng lợi nhuận sau thuế (YoY) (Quý*",Sheet4!$1:$1,2)),"")</f>
        <v>2.9499999999999998E-2</v>
      </c>
      <c r="P1026" s="10" cm="1">
        <f t="array" ref="P1026">IFERROR(INDEX(Sheet4!$2:$1605,MATCH(ChiTietKQKD[[#This Row],[Mã CP]],Sheet4!$B$2:$B$1605,0),_xlfn.XMATCH("*Tăng trưởng lợi nhuận sau thuế (YoY) (6M)*",Sheet4!$1:$1,2)),"")</f>
        <v>2.2000000000000001E-3</v>
      </c>
      <c r="Q1026" s="10" cm="1">
        <f t="array" ref="Q1026">IFERROR(INDEX(Sheet4!$2:$1605,MATCH(ChiTietKQKD[[#This Row],[Mã CP]],Sheet4!$B$2:$B$1605,0),_xlfn.XMATCH("*Tăng trưởng doanh thu thuần (QoQ)*",Sheet4!$1:$1,2)),"")</f>
        <v>-0.41060000000000002</v>
      </c>
      <c r="R1026" s="10" cm="1">
        <f t="array" ref="R1026">IFERROR(INDEX(Sheet4!$2:$1605,MATCH(ChiTietKQKD[[#This Row],[Mã CP]],Sheet4!$B$2:$B$1605,0),_xlfn.XMATCH("*Tăng trưởng lợi nhuận sau thuế (QoQ)*",Sheet4!$1:$1,2)),"")</f>
        <v>-0.42799999999999999</v>
      </c>
    </row>
    <row r="1027" spans="1:18" x14ac:dyDescent="0.25">
      <c r="A1027" s="7">
        <f>Sheet4!A1006</f>
        <v>1005</v>
      </c>
      <c r="B1027" t="str">
        <f>Sheet4!B1006</f>
        <v>GH3</v>
      </c>
      <c r="C1027" t="str">
        <f>Sheet4!C1005</f>
        <v>Ôtô Giải Phóng</v>
      </c>
      <c r="D1027" t="str">
        <f>Sheet4!D1006</f>
        <v>UPCoM</v>
      </c>
      <c r="E1027" s="7">
        <f>Sheet4!AH1006/1000000000</f>
        <v>41.396112000000002</v>
      </c>
      <c r="F1027" t="str">
        <f>Sheet4!E1006</f>
        <v>Công nghiệp</v>
      </c>
      <c r="G1027" t="str">
        <f>Sheet4!F1006</f>
        <v>Xây dựng và Vật liệu</v>
      </c>
      <c r="H1027" t="str">
        <f>Sheet4!G1006</f>
        <v>Xây dựng</v>
      </c>
      <c r="I1027" s="9" t="str" cm="1">
        <f t="array" ref="I102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27" s="9" t="str" cm="1">
        <f t="array" ref="J102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27" s="10" cm="1">
        <f t="array" ref="K102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27" s="10" cm="1">
        <f t="array" ref="L102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27" s="9" t="str" cm="1">
        <f t="array" ref="M102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27" s="9" t="str" cm="1">
        <f t="array" ref="N102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27" s="10" cm="1">
        <f t="array" ref="O1027">IFERROR(INDEX(Sheet4!$2:$1605,MATCH(ChiTietKQKD[[#This Row],[Mã CP]],Sheet4!$B$2:$B$1605,0),_xlfn.XMATCH("*Tăng trưởng lợi nhuận sau thuế (YoY) (Quý*",Sheet4!$1:$1,2)),"")</f>
        <v>0</v>
      </c>
      <c r="P1027" s="10" cm="1">
        <f t="array" ref="P1027">IFERROR(INDEX(Sheet4!$2:$1605,MATCH(ChiTietKQKD[[#This Row],[Mã CP]],Sheet4!$B$2:$B$1605,0),_xlfn.XMATCH("*Tăng trưởng lợi nhuận sau thuế (YoY) (6M)*",Sheet4!$1:$1,2)),"")</f>
        <v>0</v>
      </c>
      <c r="Q1027" s="10" cm="1">
        <f t="array" ref="Q1027">IFERROR(INDEX(Sheet4!$2:$1605,MATCH(ChiTietKQKD[[#This Row],[Mã CP]],Sheet4!$B$2:$B$1605,0),_xlfn.XMATCH("*Tăng trưởng doanh thu thuần (QoQ)*",Sheet4!$1:$1,2)),"")</f>
        <v>0</v>
      </c>
      <c r="R1027" s="10" cm="1">
        <f t="array" ref="R1027">IFERROR(INDEX(Sheet4!$2:$1605,MATCH(ChiTietKQKD[[#This Row],[Mã CP]],Sheet4!$B$2:$B$1605,0),_xlfn.XMATCH("*Tăng trưởng lợi nhuận sau thuế (QoQ)*",Sheet4!$1:$1,2)),"")</f>
        <v>0</v>
      </c>
    </row>
    <row r="1028" spans="1:18" x14ac:dyDescent="0.25">
      <c r="A1028" s="7">
        <f>Sheet4!A1007</f>
        <v>1006</v>
      </c>
      <c r="B1028" t="str">
        <f>Sheet4!B1007</f>
        <v>GLC</v>
      </c>
      <c r="C1028" t="str">
        <f>Sheet4!C1006</f>
        <v>Công trình giao thông Hà Nội</v>
      </c>
      <c r="D1028" t="str">
        <f>Sheet4!D1007</f>
        <v>UPCoM</v>
      </c>
      <c r="E1028" s="7">
        <f>Sheet4!AH1007/1000000000</f>
        <v>63</v>
      </c>
      <c r="F1028" t="str">
        <f>Sheet4!E1007</f>
        <v>Nguyên vật liệu</v>
      </c>
      <c r="G1028" t="str">
        <f>Sheet4!F1007</f>
        <v>Tài nguyên Cơ bản</v>
      </c>
      <c r="H1028" t="str">
        <f>Sheet4!G1007</f>
        <v>Khai thác vàng</v>
      </c>
      <c r="I1028" s="9" t="str" cm="1">
        <f t="array" ref="I102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28" s="9" t="str" cm="1">
        <f t="array" ref="J102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28" s="10" cm="1">
        <f t="array" ref="K102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28" s="10" cm="1">
        <f t="array" ref="L102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28" s="9" t="str" cm="1">
        <f t="array" ref="M102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28" s="9" t="str" cm="1">
        <f t="array" ref="N102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28" s="10" cm="1">
        <f t="array" ref="O1028">IFERROR(INDEX(Sheet4!$2:$1605,MATCH(ChiTietKQKD[[#This Row],[Mã CP]],Sheet4!$B$2:$B$1605,0),_xlfn.XMATCH("*Tăng trưởng lợi nhuận sau thuế (YoY) (Quý*",Sheet4!$1:$1,2)),"")</f>
        <v>0</v>
      </c>
      <c r="P1028" s="10" cm="1">
        <f t="array" ref="P1028">IFERROR(INDEX(Sheet4!$2:$1605,MATCH(ChiTietKQKD[[#This Row],[Mã CP]],Sheet4!$B$2:$B$1605,0),_xlfn.XMATCH("*Tăng trưởng lợi nhuận sau thuế (YoY) (6M)*",Sheet4!$1:$1,2)),"")</f>
        <v>0</v>
      </c>
      <c r="Q1028" s="10" cm="1">
        <f t="array" ref="Q1028">IFERROR(INDEX(Sheet4!$2:$1605,MATCH(ChiTietKQKD[[#This Row],[Mã CP]],Sheet4!$B$2:$B$1605,0),_xlfn.XMATCH("*Tăng trưởng doanh thu thuần (QoQ)*",Sheet4!$1:$1,2)),"")</f>
        <v>0</v>
      </c>
      <c r="R1028" s="10" cm="1">
        <f t="array" ref="R1028">IFERROR(INDEX(Sheet4!$2:$1605,MATCH(ChiTietKQKD[[#This Row],[Mã CP]],Sheet4!$B$2:$B$1605,0),_xlfn.XMATCH("*Tăng trưởng lợi nhuận sau thuế (QoQ)*",Sheet4!$1:$1,2)),"")</f>
        <v>0</v>
      </c>
    </row>
    <row r="1029" spans="1:18" x14ac:dyDescent="0.25">
      <c r="A1029" s="7">
        <f>Sheet4!A1008</f>
        <v>1007</v>
      </c>
      <c r="B1029" t="str">
        <f>Sheet4!B1008</f>
        <v>GLW</v>
      </c>
      <c r="C1029" t="str">
        <f>Sheet4!C1007</f>
        <v>Vàng Lào Cai</v>
      </c>
      <c r="D1029" t="str">
        <f>Sheet4!D1008</f>
        <v>UPCoM</v>
      </c>
      <c r="E1029" s="7">
        <f>Sheet4!AH1008/1000000000</f>
        <v>239.4</v>
      </c>
      <c r="F1029" t="str">
        <f>Sheet4!E1008</f>
        <v>Tiện ích Cộng đồng</v>
      </c>
      <c r="G1029" t="str">
        <f>Sheet4!F1008</f>
        <v>Điện, nước &amp; xăng dầu khí đốt</v>
      </c>
      <c r="H1029" t="str">
        <f>Sheet4!G1008</f>
        <v>Nước</v>
      </c>
      <c r="I1029" s="9" t="str" cm="1">
        <f t="array" ref="I102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29" s="9" t="str" cm="1">
        <f t="array" ref="J102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29" s="10" cm="1">
        <f t="array" ref="K102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29" s="10" cm="1">
        <f t="array" ref="L102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29" s="9" t="str" cm="1">
        <f t="array" ref="M102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29" s="9" t="str" cm="1">
        <f t="array" ref="N102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29" s="10" cm="1">
        <f t="array" ref="O1029">IFERROR(INDEX(Sheet4!$2:$1605,MATCH(ChiTietKQKD[[#This Row],[Mã CP]],Sheet4!$B$2:$B$1605,0),_xlfn.XMATCH("*Tăng trưởng lợi nhuận sau thuế (YoY) (Quý*",Sheet4!$1:$1,2)),"")</f>
        <v>0</v>
      </c>
      <c r="P1029" s="10" cm="1">
        <f t="array" ref="P1029">IFERROR(INDEX(Sheet4!$2:$1605,MATCH(ChiTietKQKD[[#This Row],[Mã CP]],Sheet4!$B$2:$B$1605,0),_xlfn.XMATCH("*Tăng trưởng lợi nhuận sau thuế (YoY) (6M)*",Sheet4!$1:$1,2)),"")</f>
        <v>0</v>
      </c>
      <c r="Q1029" s="10" cm="1">
        <f t="array" ref="Q1029">IFERROR(INDEX(Sheet4!$2:$1605,MATCH(ChiTietKQKD[[#This Row],[Mã CP]],Sheet4!$B$2:$B$1605,0),_xlfn.XMATCH("*Tăng trưởng doanh thu thuần (QoQ)*",Sheet4!$1:$1,2)),"")</f>
        <v>0</v>
      </c>
      <c r="R1029" s="10" cm="1">
        <f t="array" ref="R1029">IFERROR(INDEX(Sheet4!$2:$1605,MATCH(ChiTietKQKD[[#This Row],[Mã CP]],Sheet4!$B$2:$B$1605,0),_xlfn.XMATCH("*Tăng trưởng lợi nhuận sau thuế (QoQ)*",Sheet4!$1:$1,2)),"")</f>
        <v>0</v>
      </c>
    </row>
    <row r="1030" spans="1:18" x14ac:dyDescent="0.25">
      <c r="A1030" s="7">
        <f>Sheet4!A1009</f>
        <v>1008</v>
      </c>
      <c r="B1030" t="str">
        <f>Sheet4!B1009</f>
        <v>GMC</v>
      </c>
      <c r="C1030" t="str">
        <f>Sheet4!C1008</f>
        <v>Cấp thoát nước Gia Lai</v>
      </c>
      <c r="D1030" t="str">
        <f>Sheet4!D1009</f>
        <v>UPCoM</v>
      </c>
      <c r="E1030" s="7">
        <f>Sheet4!AH1009/1000000000</f>
        <v>131.771045001</v>
      </c>
      <c r="F1030" t="str">
        <f>Sheet4!E1009</f>
        <v>Hàng Tiêu dùng</v>
      </c>
      <c r="G1030" t="str">
        <f>Sheet4!F1009</f>
        <v>Hàng cá nhân &amp; Gia dụng</v>
      </c>
      <c r="H1030" t="str">
        <f>Sheet4!G1009</f>
        <v>Hàng May mặc</v>
      </c>
      <c r="I1030" s="9" t="str" cm="1">
        <f t="array" ref="I103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30" s="9" t="str" cm="1">
        <f t="array" ref="J103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30" s="10" cm="1">
        <f t="array" ref="K103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30" s="10" cm="1">
        <f t="array" ref="L103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30" s="9" t="str" cm="1">
        <f t="array" ref="M103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30" s="9" t="str" cm="1">
        <f t="array" ref="N103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30" s="10" cm="1">
        <f t="array" ref="O1030">IFERROR(INDEX(Sheet4!$2:$1605,MATCH(ChiTietKQKD[[#This Row],[Mã CP]],Sheet4!$B$2:$B$1605,0),_xlfn.XMATCH("*Tăng trưởng lợi nhuận sau thuế (YoY) (Quý*",Sheet4!$1:$1,2)),"")</f>
        <v>0</v>
      </c>
      <c r="P1030" s="10" cm="1">
        <f t="array" ref="P1030">IFERROR(INDEX(Sheet4!$2:$1605,MATCH(ChiTietKQKD[[#This Row],[Mã CP]],Sheet4!$B$2:$B$1605,0),_xlfn.XMATCH("*Tăng trưởng lợi nhuận sau thuế (YoY) (6M)*",Sheet4!$1:$1,2)),"")</f>
        <v>0</v>
      </c>
      <c r="Q1030" s="10" cm="1">
        <f t="array" ref="Q1030">IFERROR(INDEX(Sheet4!$2:$1605,MATCH(ChiTietKQKD[[#This Row],[Mã CP]],Sheet4!$B$2:$B$1605,0),_xlfn.XMATCH("*Tăng trưởng doanh thu thuần (QoQ)*",Sheet4!$1:$1,2)),"")</f>
        <v>0</v>
      </c>
      <c r="R1030" s="10" cm="1">
        <f t="array" ref="R1030">IFERROR(INDEX(Sheet4!$2:$1605,MATCH(ChiTietKQKD[[#This Row],[Mã CP]],Sheet4!$B$2:$B$1605,0),_xlfn.XMATCH("*Tăng trưởng lợi nhuận sau thuế (QoQ)*",Sheet4!$1:$1,2)),"")</f>
        <v>0</v>
      </c>
    </row>
    <row r="1031" spans="1:18" x14ac:dyDescent="0.25">
      <c r="A1031" s="7">
        <f>Sheet4!A1010</f>
        <v>1009</v>
      </c>
      <c r="B1031" t="str">
        <f>Sheet4!B1010</f>
        <v>GND</v>
      </c>
      <c r="C1031" t="str">
        <f>Sheet4!C1009</f>
        <v>Garmex Sài Gòn</v>
      </c>
      <c r="D1031" t="str">
        <f>Sheet4!D1010</f>
        <v>UPCoM</v>
      </c>
      <c r="E1031" s="7">
        <f>Sheet4!AH1010/1000000000</f>
        <v>207</v>
      </c>
      <c r="F1031" t="str">
        <f>Sheet4!E1010</f>
        <v>Công nghiệp</v>
      </c>
      <c r="G1031" t="str">
        <f>Sheet4!F1010</f>
        <v>Xây dựng và Vật liệu</v>
      </c>
      <c r="H1031" t="str">
        <f>Sheet4!G1010</f>
        <v>Vật liệu xây dựng &amp; Nội thất</v>
      </c>
      <c r="I1031" s="9" t="str" cm="1">
        <f t="array" ref="I103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31" s="9" t="str" cm="1">
        <f t="array" ref="J103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31" s="10" cm="1">
        <f t="array" ref="K103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31" s="10" cm="1">
        <f t="array" ref="L103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31" s="9" t="str" cm="1">
        <f t="array" ref="M103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31" s="9" t="str" cm="1">
        <f t="array" ref="N103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31" s="10" cm="1">
        <f t="array" ref="O1031">IFERROR(INDEX(Sheet4!$2:$1605,MATCH(ChiTietKQKD[[#This Row],[Mã CP]],Sheet4!$B$2:$B$1605,0),_xlfn.XMATCH("*Tăng trưởng lợi nhuận sau thuế (YoY) (Quý*",Sheet4!$1:$1,2)),"")</f>
        <v>0</v>
      </c>
      <c r="P1031" s="10" cm="1">
        <f t="array" ref="P1031">IFERROR(INDEX(Sheet4!$2:$1605,MATCH(ChiTietKQKD[[#This Row],[Mã CP]],Sheet4!$B$2:$B$1605,0),_xlfn.XMATCH("*Tăng trưởng lợi nhuận sau thuế (YoY) (6M)*",Sheet4!$1:$1,2)),"")</f>
        <v>0</v>
      </c>
      <c r="Q1031" s="10" cm="1">
        <f t="array" ref="Q1031">IFERROR(INDEX(Sheet4!$2:$1605,MATCH(ChiTietKQKD[[#This Row],[Mã CP]],Sheet4!$B$2:$B$1605,0),_xlfn.XMATCH("*Tăng trưởng doanh thu thuần (QoQ)*",Sheet4!$1:$1,2)),"")</f>
        <v>0</v>
      </c>
      <c r="R1031" s="10" cm="1">
        <f t="array" ref="R1031">IFERROR(INDEX(Sheet4!$2:$1605,MATCH(ChiTietKQKD[[#This Row],[Mã CP]],Sheet4!$B$2:$B$1605,0),_xlfn.XMATCH("*Tăng trưởng lợi nhuận sau thuế (QoQ)*",Sheet4!$1:$1,2)),"")</f>
        <v>0</v>
      </c>
    </row>
    <row r="1032" spans="1:18" x14ac:dyDescent="0.25">
      <c r="A1032" s="7">
        <f>Sheet4!A1011</f>
        <v>1010</v>
      </c>
      <c r="B1032" t="str">
        <f>Sheet4!B1011</f>
        <v>GPC</v>
      </c>
      <c r="C1032" t="str">
        <f>Sheet4!C1010</f>
        <v>Gạch ngói Đồng Nai</v>
      </c>
      <c r="D1032" t="str">
        <f>Sheet4!D1011</f>
        <v>UPCoM</v>
      </c>
      <c r="E1032" s="7">
        <f>Sheet4!AH1011/1000000000</f>
        <v>97.329857399999995</v>
      </c>
      <c r="F1032" t="str">
        <f>Sheet4!E1011</f>
        <v>Dược phẩm và Y tế</v>
      </c>
      <c r="G1032" t="str">
        <f>Sheet4!F1011</f>
        <v>Y tế</v>
      </c>
      <c r="H1032" t="str">
        <f>Sheet4!G1011</f>
        <v>Dược phẩm</v>
      </c>
      <c r="I1032" s="9" t="str" cm="1">
        <f t="array" ref="I103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32" s="9" t="str" cm="1">
        <f t="array" ref="J103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32" s="10" cm="1">
        <f t="array" ref="K103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32" s="10" cm="1">
        <f t="array" ref="L103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32" s="9" t="str" cm="1">
        <f t="array" ref="M103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32" s="9" t="str" cm="1">
        <f t="array" ref="N103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32" s="10" cm="1">
        <f t="array" ref="O1032">IFERROR(INDEX(Sheet4!$2:$1605,MATCH(ChiTietKQKD[[#This Row],[Mã CP]],Sheet4!$B$2:$B$1605,0),_xlfn.XMATCH("*Tăng trưởng lợi nhuận sau thuế (YoY) (Quý*",Sheet4!$1:$1,2)),"")</f>
        <v>0</v>
      </c>
      <c r="P1032" s="10" cm="1">
        <f t="array" ref="P1032">IFERROR(INDEX(Sheet4!$2:$1605,MATCH(ChiTietKQKD[[#This Row],[Mã CP]],Sheet4!$B$2:$B$1605,0),_xlfn.XMATCH("*Tăng trưởng lợi nhuận sau thuế (YoY) (6M)*",Sheet4!$1:$1,2)),"")</f>
        <v>0</v>
      </c>
      <c r="Q1032" s="10" cm="1">
        <f t="array" ref="Q1032">IFERROR(INDEX(Sheet4!$2:$1605,MATCH(ChiTietKQKD[[#This Row],[Mã CP]],Sheet4!$B$2:$B$1605,0),_xlfn.XMATCH("*Tăng trưởng doanh thu thuần (QoQ)*",Sheet4!$1:$1,2)),"")</f>
        <v>0</v>
      </c>
      <c r="R1032" s="10" cm="1">
        <f t="array" ref="R1032">IFERROR(INDEX(Sheet4!$2:$1605,MATCH(ChiTietKQKD[[#This Row],[Mã CP]],Sheet4!$B$2:$B$1605,0),_xlfn.XMATCH("*Tăng trưởng lợi nhuận sau thuế (QoQ)*",Sheet4!$1:$1,2)),"")</f>
        <v>0</v>
      </c>
    </row>
    <row r="1033" spans="1:18" x14ac:dyDescent="0.25">
      <c r="A1033" s="7">
        <f>Sheet4!A1012</f>
        <v>1011</v>
      </c>
      <c r="B1033" t="str">
        <f>Sheet4!B1012</f>
        <v>GSM</v>
      </c>
      <c r="C1033" t="str">
        <f>Sheet4!C1011</f>
        <v>Tập đoàn Green+</v>
      </c>
      <c r="D1033" t="str">
        <f>Sheet4!D1012</f>
        <v>UPCoM</v>
      </c>
      <c r="E1033" s="7">
        <f>Sheet4!AH1012/1000000000</f>
        <v>722.04736000000003</v>
      </c>
      <c r="F1033" t="str">
        <f>Sheet4!E1012</f>
        <v>Tiện ích Cộng đồng</v>
      </c>
      <c r="G1033" t="str">
        <f>Sheet4!F1012</f>
        <v>Điện, nước &amp; xăng dầu khí đốt</v>
      </c>
      <c r="H1033" t="str">
        <f>Sheet4!G1012</f>
        <v>Sản xuất &amp; Phân phối Điện</v>
      </c>
      <c r="I1033" s="9" cm="1">
        <f t="array" ref="I103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45.158807023999998</v>
      </c>
      <c r="J1033" s="9" cm="1">
        <f t="array" ref="J103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96.224634049000002</v>
      </c>
      <c r="K1033" s="10" cm="1">
        <f t="array" ref="K103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-0.17050000000000001</v>
      </c>
      <c r="L1033" s="10" cm="1">
        <f t="array" ref="L103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-6.7900000000000002E-2</v>
      </c>
      <c r="M1033" s="9" cm="1">
        <f t="array" ref="M1033">_xlfn.LET(_xlpm.val,IFERROR(INDEX(Sheet4!$2:$1605,MATCH(ChiTietKQKD[[#This Row],[Mã CP]],Sheet4!$B$2:$B$1605,0),_xlfn.XMATCH("*Lợi nhuận sau thuế*Q2*2026*",Sheet4!$1:$1,2)),0),IF(OR(_xlpm.val="",_xlpm.val=0),"",_xlpm.val/1000000000))</f>
        <v>18.123682983999998</v>
      </c>
      <c r="N1033" s="9" cm="1">
        <f t="array" ref="N1033">_xlfn.LET(_xlpm.val,IFERROR(INDEX(Sheet4!$2:$1605,MATCH(ChiTietKQKD[[#This Row],[Mã CP]],Sheet4!$B$2:$B$1605,0),_xlfn.XMATCH("*Lợi nhuận sau thuế*6 tháng*2026*",Sheet4!$1:$1,2)),0),IF(OR(_xlpm.val="",_xlpm.val=0),"",_xlpm.val/1000000000))</f>
        <v>39.116964889999998</v>
      </c>
      <c r="O1033" s="10" cm="1">
        <f t="array" ref="O1033">IFERROR(INDEX(Sheet4!$2:$1605,MATCH(ChiTietKQKD[[#This Row],[Mã CP]],Sheet4!$B$2:$B$1605,0),_xlfn.XMATCH("*Tăng trưởng lợi nhuận sau thuế (YoY) (Quý*",Sheet4!$1:$1,2)),"")</f>
        <v>-0.36349999999999999</v>
      </c>
      <c r="P1033" s="10" cm="1">
        <f t="array" ref="P1033">IFERROR(INDEX(Sheet4!$2:$1605,MATCH(ChiTietKQKD[[#This Row],[Mã CP]],Sheet4!$B$2:$B$1605,0),_xlfn.XMATCH("*Tăng trưởng lợi nhuận sau thuế (YoY) (6M)*",Sheet4!$1:$1,2)),"")</f>
        <v>-0.22900000000000001</v>
      </c>
      <c r="Q1033" s="10" cm="1">
        <f t="array" ref="Q1033">IFERROR(INDEX(Sheet4!$2:$1605,MATCH(ChiTietKQKD[[#This Row],[Mã CP]],Sheet4!$B$2:$B$1605,0),_xlfn.XMATCH("*Tăng trưởng doanh thu thuần (QoQ)*",Sheet4!$1:$1,2)),"")</f>
        <v>-0.1157</v>
      </c>
      <c r="R1033" s="10" cm="1">
        <f t="array" ref="R1033">IFERROR(INDEX(Sheet4!$2:$1605,MATCH(ChiTietKQKD[[#This Row],[Mã CP]],Sheet4!$B$2:$B$1605,0),_xlfn.XMATCH("*Tăng trưởng lợi nhuận sau thuế (QoQ)*",Sheet4!$1:$1,2)),"")</f>
        <v>-0.13669999999999999</v>
      </c>
    </row>
    <row r="1034" spans="1:18" x14ac:dyDescent="0.25">
      <c r="A1034" s="7">
        <f>Sheet4!A1013</f>
        <v>1012</v>
      </c>
      <c r="B1034" t="str">
        <f>Sheet4!B1013</f>
        <v>GTD</v>
      </c>
      <c r="C1034" t="str">
        <f>Sheet4!C1012</f>
        <v>Thủy điện Hương Sơn</v>
      </c>
      <c r="D1034" t="str">
        <f>Sheet4!D1013</f>
        <v>UPCoM</v>
      </c>
      <c r="E1034" s="7">
        <f>Sheet4!AH1013/1000000000</f>
        <v>1190.4000000000001</v>
      </c>
      <c r="F1034" t="str">
        <f>Sheet4!E1013</f>
        <v>Hàng Tiêu dùng</v>
      </c>
      <c r="G1034" t="str">
        <f>Sheet4!F1013</f>
        <v>Hàng cá nhân &amp; Gia dụng</v>
      </c>
      <c r="H1034" t="str">
        <f>Sheet4!G1013</f>
        <v>Giầy dép</v>
      </c>
      <c r="I1034" s="9" t="str" cm="1">
        <f t="array" ref="I103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34" s="9" t="str" cm="1">
        <f t="array" ref="J103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34" s="10" cm="1">
        <f t="array" ref="K103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34" s="10" cm="1">
        <f t="array" ref="L103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34" s="9" t="str" cm="1">
        <f t="array" ref="M103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34" s="9" t="str" cm="1">
        <f t="array" ref="N103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34" s="10" cm="1">
        <f t="array" ref="O1034">IFERROR(INDEX(Sheet4!$2:$1605,MATCH(ChiTietKQKD[[#This Row],[Mã CP]],Sheet4!$B$2:$B$1605,0),_xlfn.XMATCH("*Tăng trưởng lợi nhuận sau thuế (YoY) (Quý*",Sheet4!$1:$1,2)),"")</f>
        <v>0</v>
      </c>
      <c r="P1034" s="10" cm="1">
        <f t="array" ref="P1034">IFERROR(INDEX(Sheet4!$2:$1605,MATCH(ChiTietKQKD[[#This Row],[Mã CP]],Sheet4!$B$2:$B$1605,0),_xlfn.XMATCH("*Tăng trưởng lợi nhuận sau thuế (YoY) (6M)*",Sheet4!$1:$1,2)),"")</f>
        <v>0</v>
      </c>
      <c r="Q1034" s="10" cm="1">
        <f t="array" ref="Q1034">IFERROR(INDEX(Sheet4!$2:$1605,MATCH(ChiTietKQKD[[#This Row],[Mã CP]],Sheet4!$B$2:$B$1605,0),_xlfn.XMATCH("*Tăng trưởng doanh thu thuần (QoQ)*",Sheet4!$1:$1,2)),"")</f>
        <v>0</v>
      </c>
      <c r="R1034" s="10" cm="1">
        <f t="array" ref="R1034">IFERROR(INDEX(Sheet4!$2:$1605,MATCH(ChiTietKQKD[[#This Row],[Mã CP]],Sheet4!$B$2:$B$1605,0),_xlfn.XMATCH("*Tăng trưởng lợi nhuận sau thuế (QoQ)*",Sheet4!$1:$1,2)),"")</f>
        <v>0</v>
      </c>
    </row>
    <row r="1035" spans="1:18" x14ac:dyDescent="0.25">
      <c r="A1035" s="7">
        <f>Sheet4!A1014</f>
        <v>1013</v>
      </c>
      <c r="B1035" t="str">
        <f>Sheet4!B1014</f>
        <v>GTS</v>
      </c>
      <c r="C1035" t="str">
        <f>Sheet4!C1013</f>
        <v>Giầy Thượng Đình</v>
      </c>
      <c r="D1035" t="str">
        <f>Sheet4!D1014</f>
        <v>UPCoM</v>
      </c>
      <c r="E1035" s="7">
        <f>Sheet4!AH1014/1000000000</f>
        <v>310.64742760000001</v>
      </c>
      <c r="F1035" t="str">
        <f>Sheet4!E1014</f>
        <v>Công nghiệp</v>
      </c>
      <c r="G1035" t="str">
        <f>Sheet4!F1014</f>
        <v>Xây dựng và Vật liệu</v>
      </c>
      <c r="H1035" t="str">
        <f>Sheet4!G1014</f>
        <v>Xây dựng</v>
      </c>
      <c r="I1035" s="9" t="str" cm="1">
        <f t="array" ref="I103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35" s="9" t="str" cm="1">
        <f t="array" ref="J103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35" s="10" cm="1">
        <f t="array" ref="K103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35" s="10" cm="1">
        <f t="array" ref="L103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35" s="9" t="str" cm="1">
        <f t="array" ref="M103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35" s="9" t="str" cm="1">
        <f t="array" ref="N103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35" s="10" cm="1">
        <f t="array" ref="O1035">IFERROR(INDEX(Sheet4!$2:$1605,MATCH(ChiTietKQKD[[#This Row],[Mã CP]],Sheet4!$B$2:$B$1605,0),_xlfn.XMATCH("*Tăng trưởng lợi nhuận sau thuế (YoY) (Quý*",Sheet4!$1:$1,2)),"")</f>
        <v>0</v>
      </c>
      <c r="P1035" s="10" cm="1">
        <f t="array" ref="P1035">IFERROR(INDEX(Sheet4!$2:$1605,MATCH(ChiTietKQKD[[#This Row],[Mã CP]],Sheet4!$B$2:$B$1605,0),_xlfn.XMATCH("*Tăng trưởng lợi nhuận sau thuế (YoY) (6M)*",Sheet4!$1:$1,2)),"")</f>
        <v>0</v>
      </c>
      <c r="Q1035" s="10" cm="1">
        <f t="array" ref="Q1035">IFERROR(INDEX(Sheet4!$2:$1605,MATCH(ChiTietKQKD[[#This Row],[Mã CP]],Sheet4!$B$2:$B$1605,0),_xlfn.XMATCH("*Tăng trưởng doanh thu thuần (QoQ)*",Sheet4!$1:$1,2)),"")</f>
        <v>0</v>
      </c>
      <c r="R1035" s="10" cm="1">
        <f t="array" ref="R1035">IFERROR(INDEX(Sheet4!$2:$1605,MATCH(ChiTietKQKD[[#This Row],[Mã CP]],Sheet4!$B$2:$B$1605,0),_xlfn.XMATCH("*Tăng trưởng lợi nhuận sau thuế (QoQ)*",Sheet4!$1:$1,2)),"")</f>
        <v>0</v>
      </c>
    </row>
    <row r="1036" spans="1:18" x14ac:dyDescent="0.25">
      <c r="A1036" s="7">
        <f>Sheet4!A1015</f>
        <v>1014</v>
      </c>
      <c r="B1036" t="str">
        <f>Sheet4!B1015</f>
        <v>GTT</v>
      </c>
      <c r="C1036" t="str">
        <f>Sheet4!C1014</f>
        <v>Công trình Giao thông Sài Gòn</v>
      </c>
      <c r="D1036" t="str">
        <f>Sheet4!D1015</f>
        <v>UPCoM</v>
      </c>
      <c r="E1036" s="7">
        <f>Sheet4!AH1015/1000000000</f>
        <v>13.0509</v>
      </c>
      <c r="F1036" t="str">
        <f>Sheet4!E1015</f>
        <v>Dịch vụ Tiêu dùng</v>
      </c>
      <c r="G1036" t="str">
        <f>Sheet4!F1015</f>
        <v>Du lịch và Giải trí</v>
      </c>
      <c r="H1036" t="str">
        <f>Sheet4!G1015</f>
        <v>Dịch vụ giải trí</v>
      </c>
      <c r="I1036" s="9" t="str" cm="1">
        <f t="array" ref="I103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36" s="9" t="str" cm="1">
        <f t="array" ref="J103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36" s="10" cm="1">
        <f t="array" ref="K103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36" s="10" cm="1">
        <f t="array" ref="L103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36" s="9" t="str" cm="1">
        <f t="array" ref="M103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36" s="9" t="str" cm="1">
        <f t="array" ref="N103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36" s="10" cm="1">
        <f t="array" ref="O1036">IFERROR(INDEX(Sheet4!$2:$1605,MATCH(ChiTietKQKD[[#This Row],[Mã CP]],Sheet4!$B$2:$B$1605,0),_xlfn.XMATCH("*Tăng trưởng lợi nhuận sau thuế (YoY) (Quý*",Sheet4!$1:$1,2)),"")</f>
        <v>0</v>
      </c>
      <c r="P1036" s="10" cm="1">
        <f t="array" ref="P1036">IFERROR(INDEX(Sheet4!$2:$1605,MATCH(ChiTietKQKD[[#This Row],[Mã CP]],Sheet4!$B$2:$B$1605,0),_xlfn.XMATCH("*Tăng trưởng lợi nhuận sau thuế (YoY) (6M)*",Sheet4!$1:$1,2)),"")</f>
        <v>0</v>
      </c>
      <c r="Q1036" s="10" cm="1">
        <f t="array" ref="Q1036">IFERROR(INDEX(Sheet4!$2:$1605,MATCH(ChiTietKQKD[[#This Row],[Mã CP]],Sheet4!$B$2:$B$1605,0),_xlfn.XMATCH("*Tăng trưởng doanh thu thuần (QoQ)*",Sheet4!$1:$1,2)),"")</f>
        <v>0</v>
      </c>
      <c r="R1036" s="10" cm="1">
        <f t="array" ref="R1036">IFERROR(INDEX(Sheet4!$2:$1605,MATCH(ChiTietKQKD[[#This Row],[Mã CP]],Sheet4!$B$2:$B$1605,0),_xlfn.XMATCH("*Tăng trưởng lợi nhuận sau thuế (QoQ)*",Sheet4!$1:$1,2)),"")</f>
        <v>0</v>
      </c>
    </row>
    <row r="1037" spans="1:18" x14ac:dyDescent="0.25">
      <c r="A1037" s="7">
        <f>Sheet4!A1016</f>
        <v>1015</v>
      </c>
      <c r="B1037" t="str">
        <f>Sheet4!B1016</f>
        <v>GTX</v>
      </c>
      <c r="C1037" t="str">
        <f>Sheet4!C1015</f>
        <v>Thuận Thảo Group</v>
      </c>
      <c r="D1037" t="str">
        <f>Sheet4!D1016</f>
        <v>UPCoM</v>
      </c>
      <c r="E1037" s="7">
        <f>Sheet4!AH1016/1000000000</f>
        <v>0</v>
      </c>
      <c r="F1037" t="str">
        <f>Sheet4!E1016</f>
        <v>Công nghiệp</v>
      </c>
      <c r="G1037" t="str">
        <f>Sheet4!F1016</f>
        <v>Hàng &amp; Dịch vụ Công nghiệp</v>
      </c>
      <c r="H1037" t="str">
        <f>Sheet4!G1016</f>
        <v>Vận tải Thủy</v>
      </c>
      <c r="I1037" s="9" t="str" cm="1">
        <f t="array" ref="I103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37" s="9" t="str" cm="1">
        <f t="array" ref="J103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37" s="10" cm="1">
        <f t="array" ref="K103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37" s="10" cm="1">
        <f t="array" ref="L103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37" s="9" t="str" cm="1">
        <f t="array" ref="M103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37" s="9" t="str" cm="1">
        <f t="array" ref="N103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37" s="10" cm="1">
        <f t="array" ref="O1037">IFERROR(INDEX(Sheet4!$2:$1605,MATCH(ChiTietKQKD[[#This Row],[Mã CP]],Sheet4!$B$2:$B$1605,0),_xlfn.XMATCH("*Tăng trưởng lợi nhuận sau thuế (YoY) (Quý*",Sheet4!$1:$1,2)),"")</f>
        <v>0</v>
      </c>
      <c r="P1037" s="10" cm="1">
        <f t="array" ref="P1037">IFERROR(INDEX(Sheet4!$2:$1605,MATCH(ChiTietKQKD[[#This Row],[Mã CP]],Sheet4!$B$2:$B$1605,0),_xlfn.XMATCH("*Tăng trưởng lợi nhuận sau thuế (YoY) (6M)*",Sheet4!$1:$1,2)),"")</f>
        <v>0</v>
      </c>
      <c r="Q1037" s="10" cm="1">
        <f t="array" ref="Q1037">IFERROR(INDEX(Sheet4!$2:$1605,MATCH(ChiTietKQKD[[#This Row],[Mã CP]],Sheet4!$B$2:$B$1605,0),_xlfn.XMATCH("*Tăng trưởng doanh thu thuần (QoQ)*",Sheet4!$1:$1,2)),"")</f>
        <v>0</v>
      </c>
      <c r="R1037" s="10" cm="1">
        <f t="array" ref="R1037">IFERROR(INDEX(Sheet4!$2:$1605,MATCH(ChiTietKQKD[[#This Row],[Mã CP]],Sheet4!$B$2:$B$1605,0),_xlfn.XMATCH("*Tăng trưởng lợi nhuận sau thuế (QoQ)*",Sheet4!$1:$1,2)),"")</f>
        <v>0</v>
      </c>
    </row>
    <row r="1038" spans="1:18" x14ac:dyDescent="0.25">
      <c r="A1038" s="7">
        <f>Sheet4!A1017</f>
        <v>1016</v>
      </c>
      <c r="B1038" t="str">
        <f>Sheet4!B1017</f>
        <v>GVT</v>
      </c>
      <c r="C1038" t="str">
        <f>Sheet4!C1016</f>
        <v>Global Tanker</v>
      </c>
      <c r="D1038" t="str">
        <f>Sheet4!D1017</f>
        <v>UPCoM</v>
      </c>
      <c r="E1038" s="7">
        <f>Sheet4!AH1017/1000000000</f>
        <v>823.96209999999996</v>
      </c>
      <c r="F1038" t="str">
        <f>Sheet4!E1017</f>
        <v>Nguyên vật liệu</v>
      </c>
      <c r="G1038" t="str">
        <f>Sheet4!F1017</f>
        <v>Tài nguyên Cơ bản</v>
      </c>
      <c r="H1038" t="str">
        <f>Sheet4!G1017</f>
        <v>Sản xuất giấy</v>
      </c>
      <c r="I1038" s="9" t="str" cm="1">
        <f t="array" ref="I103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38" s="9" t="str" cm="1">
        <f t="array" ref="J103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38" s="10" cm="1">
        <f t="array" ref="K103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38" s="10" cm="1">
        <f t="array" ref="L103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38" s="9" t="str" cm="1">
        <f t="array" ref="M103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38" s="9" t="str" cm="1">
        <f t="array" ref="N103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38" s="10" cm="1">
        <f t="array" ref="O1038">IFERROR(INDEX(Sheet4!$2:$1605,MATCH(ChiTietKQKD[[#This Row],[Mã CP]],Sheet4!$B$2:$B$1605,0),_xlfn.XMATCH("*Tăng trưởng lợi nhuận sau thuế (YoY) (Quý*",Sheet4!$1:$1,2)),"")</f>
        <v>0</v>
      </c>
      <c r="P1038" s="10" cm="1">
        <f t="array" ref="P1038">IFERROR(INDEX(Sheet4!$2:$1605,MATCH(ChiTietKQKD[[#This Row],[Mã CP]],Sheet4!$B$2:$B$1605,0),_xlfn.XMATCH("*Tăng trưởng lợi nhuận sau thuế (YoY) (6M)*",Sheet4!$1:$1,2)),"")</f>
        <v>0</v>
      </c>
      <c r="Q1038" s="10" cm="1">
        <f t="array" ref="Q1038">IFERROR(INDEX(Sheet4!$2:$1605,MATCH(ChiTietKQKD[[#This Row],[Mã CP]],Sheet4!$B$2:$B$1605,0),_xlfn.XMATCH("*Tăng trưởng doanh thu thuần (QoQ)*",Sheet4!$1:$1,2)),"")</f>
        <v>0</v>
      </c>
      <c r="R1038" s="10" cm="1">
        <f t="array" ref="R1038">IFERROR(INDEX(Sheet4!$2:$1605,MATCH(ChiTietKQKD[[#This Row],[Mã CP]],Sheet4!$B$2:$B$1605,0),_xlfn.XMATCH("*Tăng trưởng lợi nhuận sau thuế (QoQ)*",Sheet4!$1:$1,2)),"")</f>
        <v>0</v>
      </c>
    </row>
    <row r="1039" spans="1:18" x14ac:dyDescent="0.25">
      <c r="A1039" s="7">
        <f>Sheet4!A1018</f>
        <v>1017</v>
      </c>
      <c r="B1039" t="str">
        <f>Sheet4!B1018</f>
        <v>H11</v>
      </c>
      <c r="C1039" t="str">
        <f>Sheet4!C1017</f>
        <v>Giấy Việt Trì</v>
      </c>
      <c r="D1039" t="str">
        <f>Sheet4!D1018</f>
        <v>UPCoM</v>
      </c>
      <c r="E1039" s="7">
        <f>Sheet4!AH1018/1000000000</f>
        <v>16.43</v>
      </c>
      <c r="F1039" t="str">
        <f>Sheet4!E1018</f>
        <v>Công nghiệp</v>
      </c>
      <c r="G1039" t="str">
        <f>Sheet4!F1018</f>
        <v>Xây dựng và Vật liệu</v>
      </c>
      <c r="H1039" t="str">
        <f>Sheet4!G1018</f>
        <v>Xây dựng</v>
      </c>
      <c r="I1039" s="9" t="str" cm="1">
        <f t="array" ref="I103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39" s="9" t="str" cm="1">
        <f t="array" ref="J103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39" s="10" cm="1">
        <f t="array" ref="K103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39" s="10" cm="1">
        <f t="array" ref="L103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39" s="9" t="str" cm="1">
        <f t="array" ref="M103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39" s="9" t="str" cm="1">
        <f t="array" ref="N103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39" s="10" cm="1">
        <f t="array" ref="O1039">IFERROR(INDEX(Sheet4!$2:$1605,MATCH(ChiTietKQKD[[#This Row],[Mã CP]],Sheet4!$B$2:$B$1605,0),_xlfn.XMATCH("*Tăng trưởng lợi nhuận sau thuế (YoY) (Quý*",Sheet4!$1:$1,2)),"")</f>
        <v>0</v>
      </c>
      <c r="P1039" s="10" cm="1">
        <f t="array" ref="P1039">IFERROR(INDEX(Sheet4!$2:$1605,MATCH(ChiTietKQKD[[#This Row],[Mã CP]],Sheet4!$B$2:$B$1605,0),_xlfn.XMATCH("*Tăng trưởng lợi nhuận sau thuế (YoY) (6M)*",Sheet4!$1:$1,2)),"")</f>
        <v>0</v>
      </c>
      <c r="Q1039" s="10" cm="1">
        <f t="array" ref="Q1039">IFERROR(INDEX(Sheet4!$2:$1605,MATCH(ChiTietKQKD[[#This Row],[Mã CP]],Sheet4!$B$2:$B$1605,0),_xlfn.XMATCH("*Tăng trưởng doanh thu thuần (QoQ)*",Sheet4!$1:$1,2)),"")</f>
        <v>0</v>
      </c>
      <c r="R1039" s="10" cm="1">
        <f t="array" ref="R1039">IFERROR(INDEX(Sheet4!$2:$1605,MATCH(ChiTietKQKD[[#This Row],[Mã CP]],Sheet4!$B$2:$B$1605,0),_xlfn.XMATCH("*Tăng trưởng lợi nhuận sau thuế (QoQ)*",Sheet4!$1:$1,2)),"")</f>
        <v>0</v>
      </c>
    </row>
    <row r="1040" spans="1:18" x14ac:dyDescent="0.25">
      <c r="A1040" s="7">
        <f>Sheet4!A1019</f>
        <v>1018</v>
      </c>
      <c r="B1040" t="str">
        <f>Sheet4!B1019</f>
        <v>HAC</v>
      </c>
      <c r="C1040" t="str">
        <f>Sheet4!C1018</f>
        <v>Xây dựng HUD101</v>
      </c>
      <c r="D1040" t="str">
        <f>Sheet4!D1019</f>
        <v>UPCoM</v>
      </c>
      <c r="E1040" s="7">
        <f>Sheet4!AH1019/1000000000</f>
        <v>1175.5051490000001</v>
      </c>
      <c r="F1040" t="str">
        <f>Sheet4!E1019</f>
        <v>Tài chính</v>
      </c>
      <c r="G1040" t="str">
        <f>Sheet4!F1019</f>
        <v>Dịch vụ tài chính</v>
      </c>
      <c r="H1040" t="str">
        <f>Sheet4!G1019</f>
        <v>Môi giới chứng khoán</v>
      </c>
      <c r="I1040" s="9" cm="1">
        <f t="array" ref="I104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44.840243823999998</v>
      </c>
      <c r="J1040" s="9" cm="1">
        <f t="array" ref="J104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75.502928073999996</v>
      </c>
      <c r="K1040" s="10" cm="1">
        <f t="array" ref="K104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-0.14319999999999999</v>
      </c>
      <c r="L1040" s="10" cm="1">
        <f t="array" ref="L104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0.28539999999999999</v>
      </c>
      <c r="M1040" s="9" cm="1">
        <f t="array" ref="M1040">_xlfn.LET(_xlpm.val,IFERROR(INDEX(Sheet4!$2:$1605,MATCH(ChiTietKQKD[[#This Row],[Mã CP]],Sheet4!$B$2:$B$1605,0),_xlfn.XMATCH("*Lợi nhuận sau thuế*Q2*2026*",Sheet4!$1:$1,2)),0),IF(OR(_xlpm.val="",_xlpm.val=0),"",_xlpm.val/1000000000))</f>
        <v>10.023765716</v>
      </c>
      <c r="N1040" s="9" cm="1">
        <f t="array" ref="N1040">_xlfn.LET(_xlpm.val,IFERROR(INDEX(Sheet4!$2:$1605,MATCH(ChiTietKQKD[[#This Row],[Mã CP]],Sheet4!$B$2:$B$1605,0),_xlfn.XMATCH("*Lợi nhuận sau thuế*6 tháng*2026*",Sheet4!$1:$1,2)),0),IF(OR(_xlpm.val="",_xlpm.val=0),"",_xlpm.val/1000000000))</f>
        <v>24.587261114</v>
      </c>
      <c r="O1040" s="10" cm="1">
        <f t="array" ref="O1040">IFERROR(INDEX(Sheet4!$2:$1605,MATCH(ChiTietKQKD[[#This Row],[Mã CP]],Sheet4!$B$2:$B$1605,0),_xlfn.XMATCH("*Tăng trưởng lợi nhuận sau thuế (YoY) (Quý*",Sheet4!$1:$1,2)),"")</f>
        <v>-0.77310000000000001</v>
      </c>
      <c r="P1040" s="10" cm="1">
        <f t="array" ref="P1040">IFERROR(INDEX(Sheet4!$2:$1605,MATCH(ChiTietKQKD[[#This Row],[Mã CP]],Sheet4!$B$2:$B$1605,0),_xlfn.XMATCH("*Tăng trưởng lợi nhuận sau thuế (YoY) (6M)*",Sheet4!$1:$1,2)),"")</f>
        <v>-0.42859999999999998</v>
      </c>
      <c r="Q1040" s="10" cm="1">
        <f t="array" ref="Q1040">IFERROR(INDEX(Sheet4!$2:$1605,MATCH(ChiTietKQKD[[#This Row],[Mã CP]],Sheet4!$B$2:$B$1605,0),_xlfn.XMATCH("*Tăng trưởng doanh thu thuần (QoQ)*",Sheet4!$1:$1,2)),"")</f>
        <v>0.46239999999999998</v>
      </c>
      <c r="R1040" s="10" cm="1">
        <f t="array" ref="R1040">IFERROR(INDEX(Sheet4!$2:$1605,MATCH(ChiTietKQKD[[#This Row],[Mã CP]],Sheet4!$B$2:$B$1605,0),_xlfn.XMATCH("*Tăng trưởng lợi nhuận sau thuế (QoQ)*",Sheet4!$1:$1,2)),"")</f>
        <v>-0.31169999999999998</v>
      </c>
    </row>
    <row r="1041" spans="1:18" x14ac:dyDescent="0.25">
      <c r="A1041" s="7">
        <f>Sheet4!A1020</f>
        <v>1019</v>
      </c>
      <c r="B1041" t="str">
        <f>Sheet4!B1020</f>
        <v>HAF</v>
      </c>
      <c r="C1041" t="str">
        <f>Sheet4!C1019</f>
        <v>Chứng khoán Hải Phòng</v>
      </c>
      <c r="D1041" t="str">
        <f>Sheet4!D1020</f>
        <v>UPCoM</v>
      </c>
      <c r="E1041" s="7">
        <f>Sheet4!AH1020/1000000000</f>
        <v>179.8</v>
      </c>
      <c r="F1041" t="str">
        <f>Sheet4!E1020</f>
        <v>Hàng Tiêu dùng</v>
      </c>
      <c r="G1041" t="str">
        <f>Sheet4!F1020</f>
        <v>Thực phẩm và đồ uống</v>
      </c>
      <c r="H1041" t="str">
        <f>Sheet4!G1020</f>
        <v>Thực phẩm</v>
      </c>
      <c r="I1041" s="9" t="str" cm="1">
        <f t="array" ref="I104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41" s="9" t="str" cm="1">
        <f t="array" ref="J104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41" s="10" cm="1">
        <f t="array" ref="K104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41" s="10" cm="1">
        <f t="array" ref="L104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41" s="9" t="str" cm="1">
        <f t="array" ref="M104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41" s="9" t="str" cm="1">
        <f t="array" ref="N104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41" s="10" cm="1">
        <f t="array" ref="O1041">IFERROR(INDEX(Sheet4!$2:$1605,MATCH(ChiTietKQKD[[#This Row],[Mã CP]],Sheet4!$B$2:$B$1605,0),_xlfn.XMATCH("*Tăng trưởng lợi nhuận sau thuế (YoY) (Quý*",Sheet4!$1:$1,2)),"")</f>
        <v>0</v>
      </c>
      <c r="P1041" s="10" cm="1">
        <f t="array" ref="P1041">IFERROR(INDEX(Sheet4!$2:$1605,MATCH(ChiTietKQKD[[#This Row],[Mã CP]],Sheet4!$B$2:$B$1605,0),_xlfn.XMATCH("*Tăng trưởng lợi nhuận sau thuế (YoY) (6M)*",Sheet4!$1:$1,2)),"")</f>
        <v>0</v>
      </c>
      <c r="Q1041" s="10" cm="1">
        <f t="array" ref="Q1041">IFERROR(INDEX(Sheet4!$2:$1605,MATCH(ChiTietKQKD[[#This Row],[Mã CP]],Sheet4!$B$2:$B$1605,0),_xlfn.XMATCH("*Tăng trưởng doanh thu thuần (QoQ)*",Sheet4!$1:$1,2)),"")</f>
        <v>0</v>
      </c>
      <c r="R1041" s="10" cm="1">
        <f t="array" ref="R1041">IFERROR(INDEX(Sheet4!$2:$1605,MATCH(ChiTietKQKD[[#This Row],[Mã CP]],Sheet4!$B$2:$B$1605,0),_xlfn.XMATCH("*Tăng trưởng lợi nhuận sau thuế (QoQ)*",Sheet4!$1:$1,2)),"")</f>
        <v>0</v>
      </c>
    </row>
    <row r="1042" spans="1:18" x14ac:dyDescent="0.25">
      <c r="A1042" s="7">
        <f>Sheet4!A1021</f>
        <v>1020</v>
      </c>
      <c r="B1042" t="str">
        <f>Sheet4!B1021</f>
        <v>HAM</v>
      </c>
      <c r="C1042" t="str">
        <f>Sheet4!C1020</f>
        <v>Thực phẩm Hà Nội</v>
      </c>
      <c r="D1042" t="str">
        <f>Sheet4!D1021</f>
        <v>UPCoM</v>
      </c>
      <c r="E1042" s="7">
        <f>Sheet4!AH1021/1000000000</f>
        <v>672.16715999999997</v>
      </c>
      <c r="F1042" t="str">
        <f>Sheet4!E1021</f>
        <v>Công nghiệp</v>
      </c>
      <c r="G1042" t="str">
        <f>Sheet4!F1021</f>
        <v>Xây dựng và Vật liệu</v>
      </c>
      <c r="H1042" t="str">
        <f>Sheet4!G1021</f>
        <v>Vật liệu xây dựng &amp; Nội thất</v>
      </c>
      <c r="I1042" s="9" t="str" cm="1">
        <f t="array" ref="I104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42" s="9" t="str" cm="1">
        <f t="array" ref="J104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42" s="10" cm="1">
        <f t="array" ref="K104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42" s="10" cm="1">
        <f t="array" ref="L104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42" s="9" t="str" cm="1">
        <f t="array" ref="M104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42" s="9" t="str" cm="1">
        <f t="array" ref="N104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42" s="10" cm="1">
        <f t="array" ref="O1042">IFERROR(INDEX(Sheet4!$2:$1605,MATCH(ChiTietKQKD[[#This Row],[Mã CP]],Sheet4!$B$2:$B$1605,0),_xlfn.XMATCH("*Tăng trưởng lợi nhuận sau thuế (YoY) (Quý*",Sheet4!$1:$1,2)),"")</f>
        <v>0</v>
      </c>
      <c r="P1042" s="10" cm="1">
        <f t="array" ref="P1042">IFERROR(INDEX(Sheet4!$2:$1605,MATCH(ChiTietKQKD[[#This Row],[Mã CP]],Sheet4!$B$2:$B$1605,0),_xlfn.XMATCH("*Tăng trưởng lợi nhuận sau thuế (YoY) (6M)*",Sheet4!$1:$1,2)),"")</f>
        <v>0</v>
      </c>
      <c r="Q1042" s="10" cm="1">
        <f t="array" ref="Q1042">IFERROR(INDEX(Sheet4!$2:$1605,MATCH(ChiTietKQKD[[#This Row],[Mã CP]],Sheet4!$B$2:$B$1605,0),_xlfn.XMATCH("*Tăng trưởng doanh thu thuần (QoQ)*",Sheet4!$1:$1,2)),"")</f>
        <v>0</v>
      </c>
      <c r="R1042" s="10" cm="1">
        <f t="array" ref="R1042">IFERROR(INDEX(Sheet4!$2:$1605,MATCH(ChiTietKQKD[[#This Row],[Mã CP]],Sheet4!$B$2:$B$1605,0),_xlfn.XMATCH("*Tăng trưởng lợi nhuận sau thuế (QoQ)*",Sheet4!$1:$1,2)),"")</f>
        <v>0</v>
      </c>
    </row>
    <row r="1043" spans="1:18" x14ac:dyDescent="0.25">
      <c r="A1043" s="7">
        <f>Sheet4!A1022</f>
        <v>1021</v>
      </c>
      <c r="B1043" t="str">
        <f>Sheet4!B1022</f>
        <v>HAN</v>
      </c>
      <c r="C1043" t="str">
        <f>Sheet4!C1021</f>
        <v>Vật tư Hậu Giang</v>
      </c>
      <c r="D1043" t="str">
        <f>Sheet4!D1022</f>
        <v>UPCoM</v>
      </c>
      <c r="E1043" s="7">
        <f>Sheet4!AH1022/1000000000</f>
        <v>1128.384</v>
      </c>
      <c r="F1043" t="str">
        <f>Sheet4!E1022</f>
        <v>Công nghiệp</v>
      </c>
      <c r="G1043" t="str">
        <f>Sheet4!F1022</f>
        <v>Xây dựng và Vật liệu</v>
      </c>
      <c r="H1043" t="str">
        <f>Sheet4!G1022</f>
        <v>Xây dựng</v>
      </c>
      <c r="I1043" s="9" t="str" cm="1">
        <f t="array" ref="I104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43" s="9" t="str" cm="1">
        <f t="array" ref="J104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43" s="10" cm="1">
        <f t="array" ref="K104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43" s="10" cm="1">
        <f t="array" ref="L104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43" s="9" t="str" cm="1">
        <f t="array" ref="M104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43" s="9" t="str" cm="1">
        <f t="array" ref="N104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43" s="10" cm="1">
        <f t="array" ref="O1043">IFERROR(INDEX(Sheet4!$2:$1605,MATCH(ChiTietKQKD[[#This Row],[Mã CP]],Sheet4!$B$2:$B$1605,0),_xlfn.XMATCH("*Tăng trưởng lợi nhuận sau thuế (YoY) (Quý*",Sheet4!$1:$1,2)),"")</f>
        <v>0</v>
      </c>
      <c r="P1043" s="10" cm="1">
        <f t="array" ref="P1043">IFERROR(INDEX(Sheet4!$2:$1605,MATCH(ChiTietKQKD[[#This Row],[Mã CP]],Sheet4!$B$2:$B$1605,0),_xlfn.XMATCH("*Tăng trưởng lợi nhuận sau thuế (YoY) (6M)*",Sheet4!$1:$1,2)),"")</f>
        <v>0</v>
      </c>
      <c r="Q1043" s="10" cm="1">
        <f t="array" ref="Q1043">IFERROR(INDEX(Sheet4!$2:$1605,MATCH(ChiTietKQKD[[#This Row],[Mã CP]],Sheet4!$B$2:$B$1605,0),_xlfn.XMATCH("*Tăng trưởng doanh thu thuần (QoQ)*",Sheet4!$1:$1,2)),"")</f>
        <v>0</v>
      </c>
      <c r="R1043" s="10" cm="1">
        <f t="array" ref="R1043">IFERROR(INDEX(Sheet4!$2:$1605,MATCH(ChiTietKQKD[[#This Row],[Mã CP]],Sheet4!$B$2:$B$1605,0),_xlfn.XMATCH("*Tăng trưởng lợi nhuận sau thuế (QoQ)*",Sheet4!$1:$1,2)),"")</f>
        <v>0</v>
      </c>
    </row>
    <row r="1044" spans="1:18" x14ac:dyDescent="0.25">
      <c r="A1044" s="7">
        <f>Sheet4!A1023</f>
        <v>1022</v>
      </c>
      <c r="B1044" t="str">
        <f>Sheet4!B1023</f>
        <v>HAV</v>
      </c>
      <c r="C1044" t="str">
        <f>Sheet4!C1022</f>
        <v>Xây dựng Hà Nội</v>
      </c>
      <c r="D1044" t="str">
        <f>Sheet4!D1023</f>
        <v>UPCoM</v>
      </c>
      <c r="E1044" s="7">
        <f>Sheet4!AH1023/1000000000</f>
        <v>8.9042220000000007</v>
      </c>
      <c r="F1044" t="str">
        <f>Sheet4!E1023</f>
        <v>Hàng Tiêu dùng</v>
      </c>
      <c r="G1044" t="str">
        <f>Sheet4!F1023</f>
        <v>Thực phẩm và đồ uống</v>
      </c>
      <c r="H1044" t="str">
        <f>Sheet4!G1023</f>
        <v>Vang &amp; Rượu mạnh</v>
      </c>
      <c r="I1044" s="9" t="str" cm="1">
        <f t="array" ref="I104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44" s="9" t="str" cm="1">
        <f t="array" ref="J104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44" s="10" cm="1">
        <f t="array" ref="K104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44" s="10" cm="1">
        <f t="array" ref="L104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44" s="9" t="str" cm="1">
        <f t="array" ref="M104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44" s="9" t="str" cm="1">
        <f t="array" ref="N104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44" s="10" cm="1">
        <f t="array" ref="O1044">IFERROR(INDEX(Sheet4!$2:$1605,MATCH(ChiTietKQKD[[#This Row],[Mã CP]],Sheet4!$B$2:$B$1605,0),_xlfn.XMATCH("*Tăng trưởng lợi nhuận sau thuế (YoY) (Quý*",Sheet4!$1:$1,2)),"")</f>
        <v>0</v>
      </c>
      <c r="P1044" s="10" cm="1">
        <f t="array" ref="P1044">IFERROR(INDEX(Sheet4!$2:$1605,MATCH(ChiTietKQKD[[#This Row],[Mã CP]],Sheet4!$B$2:$B$1605,0),_xlfn.XMATCH("*Tăng trưởng lợi nhuận sau thuế (YoY) (6M)*",Sheet4!$1:$1,2)),"")</f>
        <v>0</v>
      </c>
      <c r="Q1044" s="10" cm="1">
        <f t="array" ref="Q1044">IFERROR(INDEX(Sheet4!$2:$1605,MATCH(ChiTietKQKD[[#This Row],[Mã CP]],Sheet4!$B$2:$B$1605,0),_xlfn.XMATCH("*Tăng trưởng doanh thu thuần (QoQ)*",Sheet4!$1:$1,2)),"")</f>
        <v>0</v>
      </c>
      <c r="R1044" s="10" cm="1">
        <f t="array" ref="R1044">IFERROR(INDEX(Sheet4!$2:$1605,MATCH(ChiTietKQKD[[#This Row],[Mã CP]],Sheet4!$B$2:$B$1605,0),_xlfn.XMATCH("*Tăng trưởng lợi nhuận sau thuế (QoQ)*",Sheet4!$1:$1,2)),"")</f>
        <v>0</v>
      </c>
    </row>
    <row r="1045" spans="1:18" x14ac:dyDescent="0.25">
      <c r="A1045" s="7">
        <f>Sheet4!A1024</f>
        <v>1023</v>
      </c>
      <c r="B1045" t="str">
        <f>Sheet4!B1024</f>
        <v>HBC</v>
      </c>
      <c r="C1045" t="str">
        <f>Sheet4!C1023</f>
        <v>Rượu Hapro</v>
      </c>
      <c r="D1045" t="str">
        <f>Sheet4!D1024</f>
        <v>UPCoM</v>
      </c>
      <c r="E1045" s="7">
        <f>Sheet4!AH1024/1000000000</f>
        <v>1490.93378138</v>
      </c>
      <c r="F1045" t="str">
        <f>Sheet4!E1024</f>
        <v>Công nghiệp</v>
      </c>
      <c r="G1045" t="str">
        <f>Sheet4!F1024</f>
        <v>Xây dựng và Vật liệu</v>
      </c>
      <c r="H1045" t="str">
        <f>Sheet4!G1024</f>
        <v>Xây dựng</v>
      </c>
      <c r="I1045" s="9" t="str" cm="1">
        <f t="array" ref="I104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45" s="9" t="str" cm="1">
        <f t="array" ref="J104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45" s="10" cm="1">
        <f t="array" ref="K104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45" s="10" cm="1">
        <f t="array" ref="L104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45" s="9" t="str" cm="1">
        <f t="array" ref="M104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45" s="9" t="str" cm="1">
        <f t="array" ref="N104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45" s="10" cm="1">
        <f t="array" ref="O1045">IFERROR(INDEX(Sheet4!$2:$1605,MATCH(ChiTietKQKD[[#This Row],[Mã CP]],Sheet4!$B$2:$B$1605,0),_xlfn.XMATCH("*Tăng trưởng lợi nhuận sau thuế (YoY) (Quý*",Sheet4!$1:$1,2)),"")</f>
        <v>0</v>
      </c>
      <c r="P1045" s="10" cm="1">
        <f t="array" ref="P1045">IFERROR(INDEX(Sheet4!$2:$1605,MATCH(ChiTietKQKD[[#This Row],[Mã CP]],Sheet4!$B$2:$B$1605,0),_xlfn.XMATCH("*Tăng trưởng lợi nhuận sau thuế (YoY) (6M)*",Sheet4!$1:$1,2)),"")</f>
        <v>0</v>
      </c>
      <c r="Q1045" s="10" cm="1">
        <f t="array" ref="Q1045">IFERROR(INDEX(Sheet4!$2:$1605,MATCH(ChiTietKQKD[[#This Row],[Mã CP]],Sheet4!$B$2:$B$1605,0),_xlfn.XMATCH("*Tăng trưởng doanh thu thuần (QoQ)*",Sheet4!$1:$1,2)),"")</f>
        <v>0</v>
      </c>
      <c r="R1045" s="10" cm="1">
        <f t="array" ref="R1045">IFERROR(INDEX(Sheet4!$2:$1605,MATCH(ChiTietKQKD[[#This Row],[Mã CP]],Sheet4!$B$2:$B$1605,0),_xlfn.XMATCH("*Tăng trưởng lợi nhuận sau thuế (QoQ)*",Sheet4!$1:$1,2)),"")</f>
        <v>0</v>
      </c>
    </row>
    <row r="1046" spans="1:18" x14ac:dyDescent="0.25">
      <c r="A1046" s="7">
        <f>Sheet4!A1025</f>
        <v>1024</v>
      </c>
      <c r="B1046" t="str">
        <f>Sheet4!B1025</f>
        <v>HBD</v>
      </c>
      <c r="C1046" t="str">
        <f>Sheet4!C1024</f>
        <v>Tập đoàn Xây dựng Hòa Bình</v>
      </c>
      <c r="D1046" t="str">
        <f>Sheet4!D1025</f>
        <v>UPCoM</v>
      </c>
      <c r="E1046" s="7">
        <f>Sheet4!AH1025/1000000000</f>
        <v>50.276159999999997</v>
      </c>
      <c r="F1046" t="str">
        <f>Sheet4!E1025</f>
        <v>Công nghiệp</v>
      </c>
      <c r="G1046" t="str">
        <f>Sheet4!F1025</f>
        <v>Hàng &amp; Dịch vụ Công nghiệp</v>
      </c>
      <c r="H1046" t="str">
        <f>Sheet4!G1025</f>
        <v>Containers &amp; Đóng gói</v>
      </c>
      <c r="I1046" s="9" t="str" cm="1">
        <f t="array" ref="I104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46" s="9" t="str" cm="1">
        <f t="array" ref="J104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46" s="10" cm="1">
        <f t="array" ref="K104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46" s="10" cm="1">
        <f t="array" ref="L104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46" s="9" t="str" cm="1">
        <f t="array" ref="M104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46" s="9" t="str" cm="1">
        <f t="array" ref="N104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46" s="10" cm="1">
        <f t="array" ref="O1046">IFERROR(INDEX(Sheet4!$2:$1605,MATCH(ChiTietKQKD[[#This Row],[Mã CP]],Sheet4!$B$2:$B$1605,0),_xlfn.XMATCH("*Tăng trưởng lợi nhuận sau thuế (YoY) (Quý*",Sheet4!$1:$1,2)),"")</f>
        <v>0</v>
      </c>
      <c r="P1046" s="10" cm="1">
        <f t="array" ref="P1046">IFERROR(INDEX(Sheet4!$2:$1605,MATCH(ChiTietKQKD[[#This Row],[Mã CP]],Sheet4!$B$2:$B$1605,0),_xlfn.XMATCH("*Tăng trưởng lợi nhuận sau thuế (YoY) (6M)*",Sheet4!$1:$1,2)),"")</f>
        <v>0</v>
      </c>
      <c r="Q1046" s="10" cm="1">
        <f t="array" ref="Q1046">IFERROR(INDEX(Sheet4!$2:$1605,MATCH(ChiTietKQKD[[#This Row],[Mã CP]],Sheet4!$B$2:$B$1605,0),_xlfn.XMATCH("*Tăng trưởng doanh thu thuần (QoQ)*",Sheet4!$1:$1,2)),"")</f>
        <v>0</v>
      </c>
      <c r="R1046" s="10" cm="1">
        <f t="array" ref="R1046">IFERROR(INDEX(Sheet4!$2:$1605,MATCH(ChiTietKQKD[[#This Row],[Mã CP]],Sheet4!$B$2:$B$1605,0),_xlfn.XMATCH("*Tăng trưởng lợi nhuận sau thuế (QoQ)*",Sheet4!$1:$1,2)),"")</f>
        <v>0</v>
      </c>
    </row>
    <row r="1047" spans="1:18" x14ac:dyDescent="0.25">
      <c r="A1047" s="7">
        <f>Sheet4!A1026</f>
        <v>1025</v>
      </c>
      <c r="B1047" t="str">
        <f>Sheet4!B1026</f>
        <v>HBH</v>
      </c>
      <c r="C1047" t="str">
        <f>Sheet4!C1025</f>
        <v>Bao bì PP Bình Dương</v>
      </c>
      <c r="D1047" t="str">
        <f>Sheet4!D1026</f>
        <v>UPCoM</v>
      </c>
      <c r="E1047" s="7">
        <f>Sheet4!AH1026/1000000000</f>
        <v>81.599999999999994</v>
      </c>
      <c r="F1047" t="str">
        <f>Sheet4!E1026</f>
        <v>Hàng Tiêu dùng</v>
      </c>
      <c r="G1047" t="str">
        <f>Sheet4!F1026</f>
        <v>Thực phẩm và đồ uống</v>
      </c>
      <c r="H1047" t="str">
        <f>Sheet4!G1026</f>
        <v>Sản xuất bia</v>
      </c>
      <c r="I1047" s="9" cm="1">
        <f t="array" ref="I104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93.961890595</v>
      </c>
      <c r="J1047" s="9" cm="1">
        <f t="array" ref="J104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152.888551476</v>
      </c>
      <c r="K1047" s="10" cm="1">
        <f t="array" ref="K104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1.3338000000000001</v>
      </c>
      <c r="L1047" s="10" cm="1">
        <f t="array" ref="L104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0.60089999999999999</v>
      </c>
      <c r="M1047" s="9" cm="1">
        <f t="array" ref="M1047">_xlfn.LET(_xlpm.val,IFERROR(INDEX(Sheet4!$2:$1605,MATCH(ChiTietKQKD[[#This Row],[Mã CP]],Sheet4!$B$2:$B$1605,0),_xlfn.XMATCH("*Lợi nhuận sau thuế*Q2*2026*",Sheet4!$1:$1,2)),0),IF(OR(_xlpm.val="",_xlpm.val=0),"",_xlpm.val/1000000000))</f>
        <v>3.815303058</v>
      </c>
      <c r="N1047" s="9" cm="1">
        <f t="array" ref="N1047">_xlfn.LET(_xlpm.val,IFERROR(INDEX(Sheet4!$2:$1605,MATCH(ChiTietKQKD[[#This Row],[Mã CP]],Sheet4!$B$2:$B$1605,0),_xlfn.XMATCH("*Lợi nhuận sau thuế*6 tháng*2026*",Sheet4!$1:$1,2)),0),IF(OR(_xlpm.val="",_xlpm.val=0),"",_xlpm.val/1000000000))</f>
        <v>3.2053305499999998</v>
      </c>
      <c r="O1047" s="10" cm="1">
        <f t="array" ref="O1047">IFERROR(INDEX(Sheet4!$2:$1605,MATCH(ChiTietKQKD[[#This Row],[Mã CP]],Sheet4!$B$2:$B$1605,0),_xlfn.XMATCH("*Tăng trưởng lợi nhuận sau thuế (YoY) (Quý*",Sheet4!$1:$1,2)),"")</f>
        <v>1.8028999999999999</v>
      </c>
      <c r="P1047" s="10" cm="1">
        <f t="array" ref="P1047">IFERROR(INDEX(Sheet4!$2:$1605,MATCH(ChiTietKQKD[[#This Row],[Mã CP]],Sheet4!$B$2:$B$1605,0),_xlfn.XMATCH("*Tăng trưởng lợi nhuận sau thuế (YoY) (6M)*",Sheet4!$1:$1,2)),"")</f>
        <v>1.8325</v>
      </c>
      <c r="Q1047" s="10" cm="1">
        <f t="array" ref="Q1047">IFERROR(INDEX(Sheet4!$2:$1605,MATCH(ChiTietKQKD[[#This Row],[Mã CP]],Sheet4!$B$2:$B$1605,0),_xlfn.XMATCH("*Tăng trưởng doanh thu thuần (QoQ)*",Sheet4!$1:$1,2)),"")</f>
        <v>0.59460000000000002</v>
      </c>
      <c r="R1047" s="10" cm="1">
        <f t="array" ref="R1047">IFERROR(INDEX(Sheet4!$2:$1605,MATCH(ChiTietKQKD[[#This Row],[Mã CP]],Sheet4!$B$2:$B$1605,0),_xlfn.XMATCH("*Tăng trưởng lợi nhuận sau thuế (QoQ)*",Sheet4!$1:$1,2)),"")</f>
        <v>7.2549000000000001</v>
      </c>
    </row>
    <row r="1048" spans="1:18" x14ac:dyDescent="0.25">
      <c r="A1048" s="7">
        <f>Sheet4!A1027</f>
        <v>1026</v>
      </c>
      <c r="B1048" t="str">
        <f>Sheet4!B1027</f>
        <v>HC1</v>
      </c>
      <c r="C1048" t="str">
        <f>Sheet4!C1026</f>
        <v>HABECO Hải Phòng</v>
      </c>
      <c r="D1048" t="str">
        <f>Sheet4!D1027</f>
        <v>UPCoM</v>
      </c>
      <c r="E1048" s="7">
        <f>Sheet4!AH1027/1000000000</f>
        <v>102.928</v>
      </c>
      <c r="F1048" t="str">
        <f>Sheet4!E1027</f>
        <v>Công nghiệp</v>
      </c>
      <c r="G1048" t="str">
        <f>Sheet4!F1027</f>
        <v>Xây dựng và Vật liệu</v>
      </c>
      <c r="H1048" t="str">
        <f>Sheet4!G1027</f>
        <v>Xây dựng</v>
      </c>
      <c r="I1048" s="9" t="str" cm="1">
        <f t="array" ref="I104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48" s="9" t="str" cm="1">
        <f t="array" ref="J104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48" s="10" cm="1">
        <f t="array" ref="K104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48" s="10" cm="1">
        <f t="array" ref="L104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48" s="9" t="str" cm="1">
        <f t="array" ref="M104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48" s="9" t="str" cm="1">
        <f t="array" ref="N104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48" s="10" cm="1">
        <f t="array" ref="O1048">IFERROR(INDEX(Sheet4!$2:$1605,MATCH(ChiTietKQKD[[#This Row],[Mã CP]],Sheet4!$B$2:$B$1605,0),_xlfn.XMATCH("*Tăng trưởng lợi nhuận sau thuế (YoY) (Quý*",Sheet4!$1:$1,2)),"")</f>
        <v>0</v>
      </c>
      <c r="P1048" s="10" cm="1">
        <f t="array" ref="P1048">IFERROR(INDEX(Sheet4!$2:$1605,MATCH(ChiTietKQKD[[#This Row],[Mã CP]],Sheet4!$B$2:$B$1605,0),_xlfn.XMATCH("*Tăng trưởng lợi nhuận sau thuế (YoY) (6M)*",Sheet4!$1:$1,2)),"")</f>
        <v>0</v>
      </c>
      <c r="Q1048" s="10" cm="1">
        <f t="array" ref="Q1048">IFERROR(INDEX(Sheet4!$2:$1605,MATCH(ChiTietKQKD[[#This Row],[Mã CP]],Sheet4!$B$2:$B$1605,0),_xlfn.XMATCH("*Tăng trưởng doanh thu thuần (QoQ)*",Sheet4!$1:$1,2)),"")</f>
        <v>0</v>
      </c>
      <c r="R1048" s="10" cm="1">
        <f t="array" ref="R1048">IFERROR(INDEX(Sheet4!$2:$1605,MATCH(ChiTietKQKD[[#This Row],[Mã CP]],Sheet4!$B$2:$B$1605,0),_xlfn.XMATCH("*Tăng trưởng lợi nhuận sau thuế (QoQ)*",Sheet4!$1:$1,2)),"")</f>
        <v>0</v>
      </c>
    </row>
    <row r="1049" spans="1:18" x14ac:dyDescent="0.25">
      <c r="A1049" s="7">
        <f>Sheet4!A1028</f>
        <v>1027</v>
      </c>
      <c r="B1049" t="str">
        <f>Sheet4!B1028</f>
        <v>HC3</v>
      </c>
      <c r="C1049" t="str">
        <f>Sheet4!C1027</f>
        <v>Xây dựng số 1 Hà Nội</v>
      </c>
      <c r="D1049" t="str">
        <f>Sheet4!D1028</f>
        <v>UPCoM</v>
      </c>
      <c r="E1049" s="7">
        <f>Sheet4!AH1028/1000000000</f>
        <v>537.82864199999995</v>
      </c>
      <c r="F1049" t="str">
        <f>Sheet4!E1028</f>
        <v>Công nghiệp</v>
      </c>
      <c r="G1049" t="str">
        <f>Sheet4!F1028</f>
        <v>Xây dựng và Vật liệu</v>
      </c>
      <c r="H1049" t="str">
        <f>Sheet4!G1028</f>
        <v>Xây dựng</v>
      </c>
      <c r="I1049" s="9" cm="1">
        <f t="array" ref="I104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20.907359076999999</v>
      </c>
      <c r="J1049" s="9" cm="1">
        <f t="array" ref="J104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35.433712837000002</v>
      </c>
      <c r="K1049" s="10" cm="1">
        <f t="array" ref="K104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0.39610000000000001</v>
      </c>
      <c r="L1049" s="10" cm="1">
        <f t="array" ref="L104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0.20080000000000001</v>
      </c>
      <c r="M1049" s="9" cm="1">
        <f t="array" ref="M1049">_xlfn.LET(_xlpm.val,IFERROR(INDEX(Sheet4!$2:$1605,MATCH(ChiTietKQKD[[#This Row],[Mã CP]],Sheet4!$B$2:$B$1605,0),_xlfn.XMATCH("*Lợi nhuận sau thuế*Q2*2026*",Sheet4!$1:$1,2)),0),IF(OR(_xlpm.val="",_xlpm.val=0),"",_xlpm.val/1000000000))</f>
        <v>6.3892624199999997</v>
      </c>
      <c r="N1049" s="9" cm="1">
        <f t="array" ref="N1049">_xlfn.LET(_xlpm.val,IFERROR(INDEX(Sheet4!$2:$1605,MATCH(ChiTietKQKD[[#This Row],[Mã CP]],Sheet4!$B$2:$B$1605,0),_xlfn.XMATCH("*Lợi nhuận sau thuế*6 tháng*2026*",Sheet4!$1:$1,2)),0),IF(OR(_xlpm.val="",_xlpm.val=0),"",_xlpm.val/1000000000))</f>
        <v>17.324678781999999</v>
      </c>
      <c r="O1049" s="10" cm="1">
        <f t="array" ref="O1049">IFERROR(INDEX(Sheet4!$2:$1605,MATCH(ChiTietKQKD[[#This Row],[Mã CP]],Sheet4!$B$2:$B$1605,0),_xlfn.XMATCH("*Tăng trưởng lợi nhuận sau thuế (YoY) (Quý*",Sheet4!$1:$1,2)),"")</f>
        <v>2.8E-3</v>
      </c>
      <c r="P1049" s="10" cm="1">
        <f t="array" ref="P1049">IFERROR(INDEX(Sheet4!$2:$1605,MATCH(ChiTietKQKD[[#This Row],[Mã CP]],Sheet4!$B$2:$B$1605,0),_xlfn.XMATCH("*Tăng trưởng lợi nhuận sau thuế (YoY) (6M)*",Sheet4!$1:$1,2)),"")</f>
        <v>0.30170000000000002</v>
      </c>
      <c r="Q1049" s="10" cm="1">
        <f t="array" ref="Q1049">IFERROR(INDEX(Sheet4!$2:$1605,MATCH(ChiTietKQKD[[#This Row],[Mã CP]],Sheet4!$B$2:$B$1605,0),_xlfn.XMATCH("*Tăng trưởng doanh thu thuần (QoQ)*",Sheet4!$1:$1,2)),"")</f>
        <v>0.43930000000000002</v>
      </c>
      <c r="R1049" s="10" cm="1">
        <f t="array" ref="R1049">IFERROR(INDEX(Sheet4!$2:$1605,MATCH(ChiTietKQKD[[#This Row],[Mã CP]],Sheet4!$B$2:$B$1605,0),_xlfn.XMATCH("*Tăng trưởng lợi nhuận sau thuế (QoQ)*",Sheet4!$1:$1,2)),"")</f>
        <v>-0.41570000000000001</v>
      </c>
    </row>
    <row r="1050" spans="1:18" x14ac:dyDescent="0.25">
      <c r="A1050" s="7">
        <f>Sheet4!A1029</f>
        <v>1028</v>
      </c>
      <c r="B1050" t="str">
        <f>Sheet4!B1029</f>
        <v>HCI</v>
      </c>
      <c r="C1050" t="str">
        <f>Sheet4!C1028</f>
        <v>Xây dựng số 3 Hải Phòng</v>
      </c>
      <c r="D1050" t="str">
        <f>Sheet4!D1029</f>
        <v>UPCoM</v>
      </c>
      <c r="E1050" s="7">
        <f>Sheet4!AH1029/1000000000</f>
        <v>38.193600000000004</v>
      </c>
      <c r="F1050" t="str">
        <f>Sheet4!E1029</f>
        <v>Công nghiệp</v>
      </c>
      <c r="G1050" t="str">
        <f>Sheet4!F1029</f>
        <v>Xây dựng và Vật liệu</v>
      </c>
      <c r="H1050" t="str">
        <f>Sheet4!G1029</f>
        <v>Xây dựng</v>
      </c>
      <c r="I1050" s="9" t="str" cm="1">
        <f t="array" ref="I105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50" s="9" t="str" cm="1">
        <f t="array" ref="J105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50" s="10" cm="1">
        <f t="array" ref="K105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50" s="10" cm="1">
        <f t="array" ref="L105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50" s="9" t="str" cm="1">
        <f t="array" ref="M105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50" s="9" t="str" cm="1">
        <f t="array" ref="N105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50" s="10" cm="1">
        <f t="array" ref="O1050">IFERROR(INDEX(Sheet4!$2:$1605,MATCH(ChiTietKQKD[[#This Row],[Mã CP]],Sheet4!$B$2:$B$1605,0),_xlfn.XMATCH("*Tăng trưởng lợi nhuận sau thuế (YoY) (Quý*",Sheet4!$1:$1,2)),"")</f>
        <v>0</v>
      </c>
      <c r="P1050" s="10" cm="1">
        <f t="array" ref="P1050">IFERROR(INDEX(Sheet4!$2:$1605,MATCH(ChiTietKQKD[[#This Row],[Mã CP]],Sheet4!$B$2:$B$1605,0),_xlfn.XMATCH("*Tăng trưởng lợi nhuận sau thuế (YoY) (6M)*",Sheet4!$1:$1,2)),"")</f>
        <v>0</v>
      </c>
      <c r="Q1050" s="10" cm="1">
        <f t="array" ref="Q1050">IFERROR(INDEX(Sheet4!$2:$1605,MATCH(ChiTietKQKD[[#This Row],[Mã CP]],Sheet4!$B$2:$B$1605,0),_xlfn.XMATCH("*Tăng trưởng doanh thu thuần (QoQ)*",Sheet4!$1:$1,2)),"")</f>
        <v>0</v>
      </c>
      <c r="R1050" s="10" cm="1">
        <f t="array" ref="R1050">IFERROR(INDEX(Sheet4!$2:$1605,MATCH(ChiTietKQKD[[#This Row],[Mã CP]],Sheet4!$B$2:$B$1605,0),_xlfn.XMATCH("*Tăng trưởng lợi nhuận sau thuế (QoQ)*",Sheet4!$1:$1,2)),"")</f>
        <v>0</v>
      </c>
    </row>
    <row r="1051" spans="1:18" x14ac:dyDescent="0.25">
      <c r="A1051" s="7">
        <f>Sheet4!A1030</f>
        <v>1029</v>
      </c>
      <c r="B1051" t="str">
        <f>Sheet4!B1030</f>
        <v>HCO</v>
      </c>
      <c r="C1051" t="str">
        <f>Sheet4!C1029</f>
        <v>Đầu tư - XD Hà Nội</v>
      </c>
      <c r="D1051" t="str">
        <f>Sheet4!D1030</f>
        <v>UPCoM</v>
      </c>
      <c r="E1051" s="7">
        <f>Sheet4!AH1030/1000000000</f>
        <v>0</v>
      </c>
      <c r="F1051" t="str">
        <f>Sheet4!E1030</f>
        <v>Hàng Tiêu dùng</v>
      </c>
      <c r="G1051" t="str">
        <f>Sheet4!F1030</f>
        <v>Thực phẩm và đồ uống</v>
      </c>
      <c r="H1051" t="str">
        <f>Sheet4!G1030</f>
        <v>Thực phẩm</v>
      </c>
      <c r="I1051" s="9" t="str" cm="1">
        <f t="array" ref="I105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51" s="9" t="str" cm="1">
        <f t="array" ref="J105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51" s="10" cm="1">
        <f t="array" ref="K105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51" s="10" cm="1">
        <f t="array" ref="L105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51" s="9" t="str" cm="1">
        <f t="array" ref="M105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51" s="9" t="str" cm="1">
        <f t="array" ref="N105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51" s="10" cm="1">
        <f t="array" ref="O1051">IFERROR(INDEX(Sheet4!$2:$1605,MATCH(ChiTietKQKD[[#This Row],[Mã CP]],Sheet4!$B$2:$B$1605,0),_xlfn.XMATCH("*Tăng trưởng lợi nhuận sau thuế (YoY) (Quý*",Sheet4!$1:$1,2)),"")</f>
        <v>0</v>
      </c>
      <c r="P1051" s="10" cm="1">
        <f t="array" ref="P1051">IFERROR(INDEX(Sheet4!$2:$1605,MATCH(ChiTietKQKD[[#This Row],[Mã CP]],Sheet4!$B$2:$B$1605,0),_xlfn.XMATCH("*Tăng trưởng lợi nhuận sau thuế (YoY) (6M)*",Sheet4!$1:$1,2)),"")</f>
        <v>0</v>
      </c>
      <c r="Q1051" s="10" cm="1">
        <f t="array" ref="Q1051">IFERROR(INDEX(Sheet4!$2:$1605,MATCH(ChiTietKQKD[[#This Row],[Mã CP]],Sheet4!$B$2:$B$1605,0),_xlfn.XMATCH("*Tăng trưởng doanh thu thuần (QoQ)*",Sheet4!$1:$1,2)),"")</f>
        <v>0</v>
      </c>
      <c r="R1051" s="10" cm="1">
        <f t="array" ref="R1051">IFERROR(INDEX(Sheet4!$2:$1605,MATCH(ChiTietKQKD[[#This Row],[Mã CP]],Sheet4!$B$2:$B$1605,0),_xlfn.XMATCH("*Tăng trưởng lợi nhuận sau thuế (QoQ)*",Sheet4!$1:$1,2)),"")</f>
        <v>0</v>
      </c>
    </row>
    <row r="1052" spans="1:18" x14ac:dyDescent="0.25">
      <c r="A1052" s="7">
        <f>Sheet4!A1031</f>
        <v>1030</v>
      </c>
      <c r="B1052" t="str">
        <f>Sheet4!B1031</f>
        <v>HD2</v>
      </c>
      <c r="C1052" t="str">
        <f>Sheet4!C1030</f>
        <v>Bánh kẹo Hải Châu</v>
      </c>
      <c r="D1052" t="str">
        <f>Sheet4!D1031</f>
        <v>UPCoM</v>
      </c>
      <c r="E1052" s="7">
        <f>Sheet4!AH1031/1000000000</f>
        <v>73.491294600000003</v>
      </c>
      <c r="F1052" t="str">
        <f>Sheet4!E1031</f>
        <v>Tài chính</v>
      </c>
      <c r="G1052" t="str">
        <f>Sheet4!F1031</f>
        <v>Bất động sản</v>
      </c>
      <c r="H1052" t="str">
        <f>Sheet4!G1031</f>
        <v>Bất động sản</v>
      </c>
      <c r="I1052" s="9" t="str" cm="1">
        <f t="array" ref="I105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52" s="9" t="str" cm="1">
        <f t="array" ref="J105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52" s="10" cm="1">
        <f t="array" ref="K105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52" s="10" cm="1">
        <f t="array" ref="L105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52" s="9" t="str" cm="1">
        <f t="array" ref="M105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52" s="9" t="str" cm="1">
        <f t="array" ref="N105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52" s="10" cm="1">
        <f t="array" ref="O1052">IFERROR(INDEX(Sheet4!$2:$1605,MATCH(ChiTietKQKD[[#This Row],[Mã CP]],Sheet4!$B$2:$B$1605,0),_xlfn.XMATCH("*Tăng trưởng lợi nhuận sau thuế (YoY) (Quý*",Sheet4!$1:$1,2)),"")</f>
        <v>0</v>
      </c>
      <c r="P1052" s="10" cm="1">
        <f t="array" ref="P1052">IFERROR(INDEX(Sheet4!$2:$1605,MATCH(ChiTietKQKD[[#This Row],[Mã CP]],Sheet4!$B$2:$B$1605,0),_xlfn.XMATCH("*Tăng trưởng lợi nhuận sau thuế (YoY) (6M)*",Sheet4!$1:$1,2)),"")</f>
        <v>0</v>
      </c>
      <c r="Q1052" s="10" cm="1">
        <f t="array" ref="Q1052">IFERROR(INDEX(Sheet4!$2:$1605,MATCH(ChiTietKQKD[[#This Row],[Mã CP]],Sheet4!$B$2:$B$1605,0),_xlfn.XMATCH("*Tăng trưởng doanh thu thuần (QoQ)*",Sheet4!$1:$1,2)),"")</f>
        <v>0</v>
      </c>
      <c r="R1052" s="10" cm="1">
        <f t="array" ref="R1052">IFERROR(INDEX(Sheet4!$2:$1605,MATCH(ChiTietKQKD[[#This Row],[Mã CP]],Sheet4!$B$2:$B$1605,0),_xlfn.XMATCH("*Tăng trưởng lợi nhuận sau thuế (QoQ)*",Sheet4!$1:$1,2)),"")</f>
        <v>0</v>
      </c>
    </row>
    <row r="1053" spans="1:18" x14ac:dyDescent="0.25">
      <c r="A1053" s="7">
        <f>Sheet4!A1032</f>
        <v>1031</v>
      </c>
      <c r="B1053" t="str">
        <f>Sheet4!B1032</f>
        <v>HD6</v>
      </c>
      <c r="C1053" t="str">
        <f>Sheet4!C1031</f>
        <v>Đầu tư phát triển nhà HUD 2</v>
      </c>
      <c r="D1053" t="str">
        <f>Sheet4!D1032</f>
        <v>UPCoM</v>
      </c>
      <c r="E1053" s="7">
        <f>Sheet4!AH1032/1000000000</f>
        <v>120.96</v>
      </c>
      <c r="F1053" t="str">
        <f>Sheet4!E1032</f>
        <v>Tài chính</v>
      </c>
      <c r="G1053" t="str">
        <f>Sheet4!F1032</f>
        <v>Bất động sản</v>
      </c>
      <c r="H1053" t="str">
        <f>Sheet4!G1032</f>
        <v>Bất động sản</v>
      </c>
      <c r="I1053" s="9" t="str" cm="1">
        <f t="array" ref="I105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53" s="9" t="str" cm="1">
        <f t="array" ref="J105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53" s="10" cm="1">
        <f t="array" ref="K105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53" s="10" cm="1">
        <f t="array" ref="L105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53" s="9" t="str" cm="1">
        <f t="array" ref="M105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53" s="9" t="str" cm="1">
        <f t="array" ref="N105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53" s="10" cm="1">
        <f t="array" ref="O1053">IFERROR(INDEX(Sheet4!$2:$1605,MATCH(ChiTietKQKD[[#This Row],[Mã CP]],Sheet4!$B$2:$B$1605,0),_xlfn.XMATCH("*Tăng trưởng lợi nhuận sau thuế (YoY) (Quý*",Sheet4!$1:$1,2)),"")</f>
        <v>0</v>
      </c>
      <c r="P1053" s="10" cm="1">
        <f t="array" ref="P1053">IFERROR(INDEX(Sheet4!$2:$1605,MATCH(ChiTietKQKD[[#This Row],[Mã CP]],Sheet4!$B$2:$B$1605,0),_xlfn.XMATCH("*Tăng trưởng lợi nhuận sau thuế (YoY) (6M)*",Sheet4!$1:$1,2)),"")</f>
        <v>0</v>
      </c>
      <c r="Q1053" s="10" cm="1">
        <f t="array" ref="Q1053">IFERROR(INDEX(Sheet4!$2:$1605,MATCH(ChiTietKQKD[[#This Row],[Mã CP]],Sheet4!$B$2:$B$1605,0),_xlfn.XMATCH("*Tăng trưởng doanh thu thuần (QoQ)*",Sheet4!$1:$1,2)),"")</f>
        <v>0</v>
      </c>
      <c r="R1053" s="10" cm="1">
        <f t="array" ref="R1053">IFERROR(INDEX(Sheet4!$2:$1605,MATCH(ChiTietKQKD[[#This Row],[Mã CP]],Sheet4!$B$2:$B$1605,0),_xlfn.XMATCH("*Tăng trưởng lợi nhuận sau thuế (QoQ)*",Sheet4!$1:$1,2)),"")</f>
        <v>0</v>
      </c>
    </row>
    <row r="1054" spans="1:18" x14ac:dyDescent="0.25">
      <c r="A1054" s="7">
        <f>Sheet4!A1033</f>
        <v>1032</v>
      </c>
      <c r="B1054" t="str">
        <f>Sheet4!B1033</f>
        <v>HD8</v>
      </c>
      <c r="C1054" t="str">
        <f>Sheet4!C1032</f>
        <v>Phát triển nhà số 6 Hà Nội</v>
      </c>
      <c r="D1054" t="str">
        <f>Sheet4!D1033</f>
        <v>UPCoM</v>
      </c>
      <c r="E1054" s="7">
        <f>Sheet4!AH1033/1000000000</f>
        <v>75</v>
      </c>
      <c r="F1054" t="str">
        <f>Sheet4!E1033</f>
        <v>Tài chính</v>
      </c>
      <c r="G1054" t="str">
        <f>Sheet4!F1033</f>
        <v>Bất động sản</v>
      </c>
      <c r="H1054" t="str">
        <f>Sheet4!G1033</f>
        <v>Bất động sản</v>
      </c>
      <c r="I1054" s="9" t="str" cm="1">
        <f t="array" ref="I105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54" s="9" t="str" cm="1">
        <f t="array" ref="J105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54" s="10" cm="1">
        <f t="array" ref="K105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54" s="10" cm="1">
        <f t="array" ref="L105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54" s="9" t="str" cm="1">
        <f t="array" ref="M105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54" s="9" t="str" cm="1">
        <f t="array" ref="N105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54" s="10" cm="1">
        <f t="array" ref="O1054">IFERROR(INDEX(Sheet4!$2:$1605,MATCH(ChiTietKQKD[[#This Row],[Mã CP]],Sheet4!$B$2:$B$1605,0),_xlfn.XMATCH("*Tăng trưởng lợi nhuận sau thuế (YoY) (Quý*",Sheet4!$1:$1,2)),"")</f>
        <v>0</v>
      </c>
      <c r="P1054" s="10" cm="1">
        <f t="array" ref="P1054">IFERROR(INDEX(Sheet4!$2:$1605,MATCH(ChiTietKQKD[[#This Row],[Mã CP]],Sheet4!$B$2:$B$1605,0),_xlfn.XMATCH("*Tăng trưởng lợi nhuận sau thuế (YoY) (6M)*",Sheet4!$1:$1,2)),"")</f>
        <v>0</v>
      </c>
      <c r="Q1054" s="10" cm="1">
        <f t="array" ref="Q1054">IFERROR(INDEX(Sheet4!$2:$1605,MATCH(ChiTietKQKD[[#This Row],[Mã CP]],Sheet4!$B$2:$B$1605,0),_xlfn.XMATCH("*Tăng trưởng doanh thu thuần (QoQ)*",Sheet4!$1:$1,2)),"")</f>
        <v>0</v>
      </c>
      <c r="R1054" s="10" cm="1">
        <f t="array" ref="R1054">IFERROR(INDEX(Sheet4!$2:$1605,MATCH(ChiTietKQKD[[#This Row],[Mã CP]],Sheet4!$B$2:$B$1605,0),_xlfn.XMATCH("*Tăng trưởng lợi nhuận sau thuế (QoQ)*",Sheet4!$1:$1,2)),"")</f>
        <v>0</v>
      </c>
    </row>
    <row r="1055" spans="1:18" x14ac:dyDescent="0.25">
      <c r="A1055" s="7">
        <f>Sheet4!A1034</f>
        <v>1033</v>
      </c>
      <c r="B1055" t="str">
        <f>Sheet4!B1034</f>
        <v>HDM</v>
      </c>
      <c r="C1055" t="str">
        <f>Sheet4!C1033</f>
        <v>PT Nhà và Đô thị HUD8</v>
      </c>
      <c r="D1055" t="str">
        <f>Sheet4!D1034</f>
        <v>UPCoM</v>
      </c>
      <c r="E1055" s="7">
        <f>Sheet4!AH1034/1000000000</f>
        <v>643.64298325200002</v>
      </c>
      <c r="F1055" t="str">
        <f>Sheet4!E1034</f>
        <v>Hàng Tiêu dùng</v>
      </c>
      <c r="G1055" t="str">
        <f>Sheet4!F1034</f>
        <v>Hàng cá nhân &amp; Gia dụng</v>
      </c>
      <c r="H1055" t="str">
        <f>Sheet4!G1034</f>
        <v>Hàng May mặc</v>
      </c>
      <c r="I1055" s="9" cm="1">
        <f t="array" ref="I105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571.15030836799997</v>
      </c>
      <c r="J1055" s="9" cm="1">
        <f t="array" ref="J105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1044.223289172</v>
      </c>
      <c r="K1055" s="10" cm="1">
        <f t="array" ref="K105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-4.9399999999999999E-2</v>
      </c>
      <c r="L1055" s="10" cm="1">
        <f t="array" ref="L105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-5.3400000000000003E-2</v>
      </c>
      <c r="M1055" s="9" cm="1">
        <f t="array" ref="M1055">_xlfn.LET(_xlpm.val,IFERROR(INDEX(Sheet4!$2:$1605,MATCH(ChiTietKQKD[[#This Row],[Mã CP]],Sheet4!$B$2:$B$1605,0),_xlfn.XMATCH("*Lợi nhuận sau thuế*Q2*2026*",Sheet4!$1:$1,2)),0),IF(OR(_xlpm.val="",_xlpm.val=0),"",_xlpm.val/1000000000))</f>
        <v>40.092874258999998</v>
      </c>
      <c r="N1055" s="9" cm="1">
        <f t="array" ref="N1055">_xlfn.LET(_xlpm.val,IFERROR(INDEX(Sheet4!$2:$1605,MATCH(ChiTietKQKD[[#This Row],[Mã CP]],Sheet4!$B$2:$B$1605,0),_xlfn.XMATCH("*Lợi nhuận sau thuế*6 tháng*2026*",Sheet4!$1:$1,2)),0),IF(OR(_xlpm.val="",_xlpm.val=0),"",_xlpm.val/1000000000))</f>
        <v>76.940344037000003</v>
      </c>
      <c r="O1055" s="10" cm="1">
        <f t="array" ref="O1055">IFERROR(INDEX(Sheet4!$2:$1605,MATCH(ChiTietKQKD[[#This Row],[Mã CP]],Sheet4!$B$2:$B$1605,0),_xlfn.XMATCH("*Tăng trưởng lợi nhuận sau thuế (YoY) (Quý*",Sheet4!$1:$1,2)),"")</f>
        <v>-0.25169999999999998</v>
      </c>
      <c r="P1055" s="10" cm="1">
        <f t="array" ref="P1055">IFERROR(INDEX(Sheet4!$2:$1605,MATCH(ChiTietKQKD[[#This Row],[Mã CP]],Sheet4!$B$2:$B$1605,0),_xlfn.XMATCH("*Tăng trưởng lợi nhuận sau thuế (YoY) (6M)*",Sheet4!$1:$1,2)),"")</f>
        <v>-9.1999999999999998E-2</v>
      </c>
      <c r="Q1055" s="10" cm="1">
        <f t="array" ref="Q1055">IFERROR(INDEX(Sheet4!$2:$1605,MATCH(ChiTietKQKD[[#This Row],[Mã CP]],Sheet4!$B$2:$B$1605,0),_xlfn.XMATCH("*Tăng trưởng doanh thu thuần (QoQ)*",Sheet4!$1:$1,2)),"")</f>
        <v>0.20730000000000001</v>
      </c>
      <c r="R1055" s="10" cm="1">
        <f t="array" ref="R1055">IFERROR(INDEX(Sheet4!$2:$1605,MATCH(ChiTietKQKD[[#This Row],[Mã CP]],Sheet4!$B$2:$B$1605,0),_xlfn.XMATCH("*Tăng trưởng lợi nhuận sau thuế (QoQ)*",Sheet4!$1:$1,2)),"")</f>
        <v>8.8099999999999998E-2</v>
      </c>
    </row>
    <row r="1056" spans="1:18" x14ac:dyDescent="0.25">
      <c r="A1056" s="7">
        <f>Sheet4!A1035</f>
        <v>1034</v>
      </c>
      <c r="B1056" t="str">
        <f>Sheet4!B1035</f>
        <v>HDP</v>
      </c>
      <c r="C1056" t="str">
        <f>Sheet4!C1034</f>
        <v>Dệt May Huế</v>
      </c>
      <c r="D1056" t="str">
        <f>Sheet4!D1035</f>
        <v>UPCoM</v>
      </c>
      <c r="E1056" s="7">
        <f>Sheet4!AH1035/1000000000</f>
        <v>255.31454260000001</v>
      </c>
      <c r="F1056" t="str">
        <f>Sheet4!E1035</f>
        <v>Dược phẩm và Y tế</v>
      </c>
      <c r="G1056" t="str">
        <f>Sheet4!F1035</f>
        <v>Y tế</v>
      </c>
      <c r="H1056" t="str">
        <f>Sheet4!G1035</f>
        <v>Dược phẩm</v>
      </c>
      <c r="I1056" s="9" t="str" cm="1">
        <f t="array" ref="I105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56" s="9" t="str" cm="1">
        <f t="array" ref="J105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56" s="10" cm="1">
        <f t="array" ref="K105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56" s="10" cm="1">
        <f t="array" ref="L105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56" s="9" t="str" cm="1">
        <f t="array" ref="M105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56" s="9" t="str" cm="1">
        <f t="array" ref="N105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56" s="10" cm="1">
        <f t="array" ref="O1056">IFERROR(INDEX(Sheet4!$2:$1605,MATCH(ChiTietKQKD[[#This Row],[Mã CP]],Sheet4!$B$2:$B$1605,0),_xlfn.XMATCH("*Tăng trưởng lợi nhuận sau thuế (YoY) (Quý*",Sheet4!$1:$1,2)),"")</f>
        <v>0</v>
      </c>
      <c r="P1056" s="10" cm="1">
        <f t="array" ref="P1056">IFERROR(INDEX(Sheet4!$2:$1605,MATCH(ChiTietKQKD[[#This Row],[Mã CP]],Sheet4!$B$2:$B$1605,0),_xlfn.XMATCH("*Tăng trưởng lợi nhuận sau thuế (YoY) (6M)*",Sheet4!$1:$1,2)),"")</f>
        <v>0</v>
      </c>
      <c r="Q1056" s="10" cm="1">
        <f t="array" ref="Q1056">IFERROR(INDEX(Sheet4!$2:$1605,MATCH(ChiTietKQKD[[#This Row],[Mã CP]],Sheet4!$B$2:$B$1605,0),_xlfn.XMATCH("*Tăng trưởng doanh thu thuần (QoQ)*",Sheet4!$1:$1,2)),"")</f>
        <v>0</v>
      </c>
      <c r="R1056" s="10" cm="1">
        <f t="array" ref="R1056">IFERROR(INDEX(Sheet4!$2:$1605,MATCH(ChiTietKQKD[[#This Row],[Mã CP]],Sheet4!$B$2:$B$1605,0),_xlfn.XMATCH("*Tăng trưởng lợi nhuận sau thuế (QoQ)*",Sheet4!$1:$1,2)),"")</f>
        <v>0</v>
      </c>
    </row>
    <row r="1057" spans="1:18" x14ac:dyDescent="0.25">
      <c r="A1057" s="7">
        <f>Sheet4!A1036</f>
        <v>1035</v>
      </c>
      <c r="B1057" t="str">
        <f>Sheet4!B1036</f>
        <v>HDW</v>
      </c>
      <c r="C1057" t="str">
        <f>Sheet4!C1035</f>
        <v>Dược Hà Tĩnh</v>
      </c>
      <c r="D1057" t="str">
        <f>Sheet4!D1036</f>
        <v>UPCoM</v>
      </c>
      <c r="E1057" s="7">
        <f>Sheet4!AH1036/1000000000</f>
        <v>532.43724899999995</v>
      </c>
      <c r="F1057" t="str">
        <f>Sheet4!E1036</f>
        <v>Tiện ích Cộng đồng</v>
      </c>
      <c r="G1057" t="str">
        <f>Sheet4!F1036</f>
        <v>Điện, nước &amp; xăng dầu khí đốt</v>
      </c>
      <c r="H1057" t="str">
        <f>Sheet4!G1036</f>
        <v>Nước</v>
      </c>
      <c r="I1057" s="9" cm="1">
        <f t="array" ref="I105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159.61767269800001</v>
      </c>
      <c r="J1057" s="9" cm="1">
        <f t="array" ref="J105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310.16123738099998</v>
      </c>
      <c r="K1057" s="10" cm="1">
        <f t="array" ref="K105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7.6499999999999999E-2</v>
      </c>
      <c r="L1057" s="10" cm="1">
        <f t="array" ref="L105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57" s="9" cm="1">
        <f t="array" ref="M1057">_xlfn.LET(_xlpm.val,IFERROR(INDEX(Sheet4!$2:$1605,MATCH(ChiTietKQKD[[#This Row],[Mã CP]],Sheet4!$B$2:$B$1605,0),_xlfn.XMATCH("*Lợi nhuận sau thuế*Q2*2026*",Sheet4!$1:$1,2)),0),IF(OR(_xlpm.val="",_xlpm.val=0),"",_xlpm.val/1000000000))</f>
        <v>14.199541716000001</v>
      </c>
      <c r="N1057" s="9" cm="1">
        <f t="array" ref="N1057">_xlfn.LET(_xlpm.val,IFERROR(INDEX(Sheet4!$2:$1605,MATCH(ChiTietKQKD[[#This Row],[Mã CP]],Sheet4!$B$2:$B$1605,0),_xlfn.XMATCH("*Lợi nhuận sau thuế*6 tháng*2026*",Sheet4!$1:$1,2)),0),IF(OR(_xlpm.val="",_xlpm.val=0),"",_xlpm.val/1000000000))</f>
        <v>32.931063711999997</v>
      </c>
      <c r="O1057" s="10" cm="1">
        <f t="array" ref="O1057">IFERROR(INDEX(Sheet4!$2:$1605,MATCH(ChiTietKQKD[[#This Row],[Mã CP]],Sheet4!$B$2:$B$1605,0),_xlfn.XMATCH("*Tăng trưởng lợi nhuận sau thuế (YoY) (Quý*",Sheet4!$1:$1,2)),"")</f>
        <v>1.5390999999999999</v>
      </c>
      <c r="P1057" s="10" cm="1">
        <f t="array" ref="P1057">IFERROR(INDEX(Sheet4!$2:$1605,MATCH(ChiTietKQKD[[#This Row],[Mã CP]],Sheet4!$B$2:$B$1605,0),_xlfn.XMATCH("*Tăng trưởng lợi nhuận sau thuế (YoY) (6M)*",Sheet4!$1:$1,2)),"")</f>
        <v>0</v>
      </c>
      <c r="Q1057" s="10" cm="1">
        <f t="array" ref="Q1057">IFERROR(INDEX(Sheet4!$2:$1605,MATCH(ChiTietKQKD[[#This Row],[Mã CP]],Sheet4!$B$2:$B$1605,0),_xlfn.XMATCH("*Tăng trưởng doanh thu thuần (QoQ)*",Sheet4!$1:$1,2)),"")</f>
        <v>6.0299999999999999E-2</v>
      </c>
      <c r="R1057" s="10" cm="1">
        <f t="array" ref="R1057">IFERROR(INDEX(Sheet4!$2:$1605,MATCH(ChiTietKQKD[[#This Row],[Mã CP]],Sheet4!$B$2:$B$1605,0),_xlfn.XMATCH("*Tăng trưởng lợi nhuận sau thuế (QoQ)*",Sheet4!$1:$1,2)),"")</f>
        <v>-0.2419</v>
      </c>
    </row>
    <row r="1058" spans="1:18" x14ac:dyDescent="0.25">
      <c r="A1058" s="7">
        <f>Sheet4!A1037</f>
        <v>1036</v>
      </c>
      <c r="B1058" t="str">
        <f>Sheet4!B1037</f>
        <v>HEC</v>
      </c>
      <c r="C1058" t="str">
        <f>Sheet4!C1036</f>
        <v>Nước sạch Hải Dương</v>
      </c>
      <c r="D1058" t="str">
        <f>Sheet4!D1037</f>
        <v>UPCoM</v>
      </c>
      <c r="E1058" s="7">
        <f>Sheet4!AH1037/1000000000</f>
        <v>354.76799999999997</v>
      </c>
      <c r="F1058" t="str">
        <f>Sheet4!E1037</f>
        <v>Công nghiệp</v>
      </c>
      <c r="G1058" t="str">
        <f>Sheet4!F1037</f>
        <v>Hàng &amp; Dịch vụ Công nghiệp</v>
      </c>
      <c r="H1058" t="str">
        <f>Sheet4!G1037</f>
        <v>Tư vấn &amp; Hỗ trợ KD</v>
      </c>
      <c r="I1058" s="9" t="str" cm="1">
        <f t="array" ref="I105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58" s="9" t="str" cm="1">
        <f t="array" ref="J105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58" s="10" cm="1">
        <f t="array" ref="K105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58" s="10" cm="1">
        <f t="array" ref="L105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58" s="9" t="str" cm="1">
        <f t="array" ref="M105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58" s="9" t="str" cm="1">
        <f t="array" ref="N105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58" s="10" cm="1">
        <f t="array" ref="O1058">IFERROR(INDEX(Sheet4!$2:$1605,MATCH(ChiTietKQKD[[#This Row],[Mã CP]],Sheet4!$B$2:$B$1605,0),_xlfn.XMATCH("*Tăng trưởng lợi nhuận sau thuế (YoY) (Quý*",Sheet4!$1:$1,2)),"")</f>
        <v>0</v>
      </c>
      <c r="P1058" s="10" cm="1">
        <f t="array" ref="P1058">IFERROR(INDEX(Sheet4!$2:$1605,MATCH(ChiTietKQKD[[#This Row],[Mã CP]],Sheet4!$B$2:$B$1605,0),_xlfn.XMATCH("*Tăng trưởng lợi nhuận sau thuế (YoY) (6M)*",Sheet4!$1:$1,2)),"")</f>
        <v>0</v>
      </c>
      <c r="Q1058" s="10" cm="1">
        <f t="array" ref="Q1058">IFERROR(INDEX(Sheet4!$2:$1605,MATCH(ChiTietKQKD[[#This Row],[Mã CP]],Sheet4!$B$2:$B$1605,0),_xlfn.XMATCH("*Tăng trưởng doanh thu thuần (QoQ)*",Sheet4!$1:$1,2)),"")</f>
        <v>0</v>
      </c>
      <c r="R1058" s="10" cm="1">
        <f t="array" ref="R1058">IFERROR(INDEX(Sheet4!$2:$1605,MATCH(ChiTietKQKD[[#This Row],[Mã CP]],Sheet4!$B$2:$B$1605,0),_xlfn.XMATCH("*Tăng trưởng lợi nhuận sau thuế (QoQ)*",Sheet4!$1:$1,2)),"")</f>
        <v>0</v>
      </c>
    </row>
    <row r="1059" spans="1:18" x14ac:dyDescent="0.25">
      <c r="A1059" s="7">
        <f>Sheet4!A1038</f>
        <v>1037</v>
      </c>
      <c r="B1059" t="str">
        <f>Sheet4!B1038</f>
        <v>HEJ</v>
      </c>
      <c r="C1059" t="str">
        <f>Sheet4!C1037</f>
        <v>Tư vấn XD Thủy Lợi II (HEC II)</v>
      </c>
      <c r="D1059" t="str">
        <f>Sheet4!D1038</f>
        <v>UPCoM</v>
      </c>
      <c r="E1059" s="7">
        <f>Sheet4!AH1038/1000000000</f>
        <v>72.16</v>
      </c>
      <c r="F1059" t="str">
        <f>Sheet4!E1038</f>
        <v>Công nghiệp</v>
      </c>
      <c r="G1059" t="str">
        <f>Sheet4!F1038</f>
        <v>Xây dựng và Vật liệu</v>
      </c>
      <c r="H1059" t="str">
        <f>Sheet4!G1038</f>
        <v>Xây dựng</v>
      </c>
      <c r="I1059" s="9" t="str" cm="1">
        <f t="array" ref="I105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59" s="9" t="str" cm="1">
        <f t="array" ref="J105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59" s="10" cm="1">
        <f t="array" ref="K105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59" s="10" cm="1">
        <f t="array" ref="L105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59" s="9" t="str" cm="1">
        <f t="array" ref="M105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59" s="9" t="str" cm="1">
        <f t="array" ref="N105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59" s="10" cm="1">
        <f t="array" ref="O1059">IFERROR(INDEX(Sheet4!$2:$1605,MATCH(ChiTietKQKD[[#This Row],[Mã CP]],Sheet4!$B$2:$B$1605,0),_xlfn.XMATCH("*Tăng trưởng lợi nhuận sau thuế (YoY) (Quý*",Sheet4!$1:$1,2)),"")</f>
        <v>0</v>
      </c>
      <c r="P1059" s="10" cm="1">
        <f t="array" ref="P1059">IFERROR(INDEX(Sheet4!$2:$1605,MATCH(ChiTietKQKD[[#This Row],[Mã CP]],Sheet4!$B$2:$B$1605,0),_xlfn.XMATCH("*Tăng trưởng lợi nhuận sau thuế (YoY) (6M)*",Sheet4!$1:$1,2)),"")</f>
        <v>0</v>
      </c>
      <c r="Q1059" s="10" cm="1">
        <f t="array" ref="Q1059">IFERROR(INDEX(Sheet4!$2:$1605,MATCH(ChiTietKQKD[[#This Row],[Mã CP]],Sheet4!$B$2:$B$1605,0),_xlfn.XMATCH("*Tăng trưởng doanh thu thuần (QoQ)*",Sheet4!$1:$1,2)),"")</f>
        <v>0</v>
      </c>
      <c r="R1059" s="10" cm="1">
        <f t="array" ref="R1059">IFERROR(INDEX(Sheet4!$2:$1605,MATCH(ChiTietKQKD[[#This Row],[Mã CP]],Sheet4!$B$2:$B$1605,0),_xlfn.XMATCH("*Tăng trưởng lợi nhuận sau thuế (QoQ)*",Sheet4!$1:$1,2)),"")</f>
        <v>0</v>
      </c>
    </row>
    <row r="1060" spans="1:18" x14ac:dyDescent="0.25">
      <c r="A1060" s="7">
        <f>Sheet4!A1039</f>
        <v>1038</v>
      </c>
      <c r="B1060" t="str">
        <f>Sheet4!B1039</f>
        <v>HEP</v>
      </c>
      <c r="C1060" t="str">
        <f>Sheet4!C1038</f>
        <v>Tư vấn Xây dựng Thủy Lợi VN</v>
      </c>
      <c r="D1060" t="str">
        <f>Sheet4!D1039</f>
        <v>UPCoM</v>
      </c>
      <c r="E1060" s="7">
        <f>Sheet4!AH1039/1000000000</f>
        <v>69.096000000000004</v>
      </c>
      <c r="F1060" t="str">
        <f>Sheet4!E1039</f>
        <v>Công nghiệp</v>
      </c>
      <c r="G1060" t="str">
        <f>Sheet4!F1039</f>
        <v>Hàng &amp; Dịch vụ Công nghiệp</v>
      </c>
      <c r="H1060" t="str">
        <f>Sheet4!G1039</f>
        <v>Chất thải &amp; Môi trường</v>
      </c>
      <c r="I1060" s="9" t="str" cm="1">
        <f t="array" ref="I106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60" s="9" t="str" cm="1">
        <f t="array" ref="J106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60" s="10" cm="1">
        <f t="array" ref="K106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60" s="10" cm="1">
        <f t="array" ref="L106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60" s="9" t="str" cm="1">
        <f t="array" ref="M106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60" s="9" t="str" cm="1">
        <f t="array" ref="N106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60" s="10" cm="1">
        <f t="array" ref="O1060">IFERROR(INDEX(Sheet4!$2:$1605,MATCH(ChiTietKQKD[[#This Row],[Mã CP]],Sheet4!$B$2:$B$1605,0),_xlfn.XMATCH("*Tăng trưởng lợi nhuận sau thuế (YoY) (Quý*",Sheet4!$1:$1,2)),"")</f>
        <v>0</v>
      </c>
      <c r="P1060" s="10" cm="1">
        <f t="array" ref="P1060">IFERROR(INDEX(Sheet4!$2:$1605,MATCH(ChiTietKQKD[[#This Row],[Mã CP]],Sheet4!$B$2:$B$1605,0),_xlfn.XMATCH("*Tăng trưởng lợi nhuận sau thuế (YoY) (6M)*",Sheet4!$1:$1,2)),"")</f>
        <v>0</v>
      </c>
      <c r="Q1060" s="10" cm="1">
        <f t="array" ref="Q1060">IFERROR(INDEX(Sheet4!$2:$1605,MATCH(ChiTietKQKD[[#This Row],[Mã CP]],Sheet4!$B$2:$B$1605,0),_xlfn.XMATCH("*Tăng trưởng doanh thu thuần (QoQ)*",Sheet4!$1:$1,2)),"")</f>
        <v>0</v>
      </c>
      <c r="R1060" s="10" cm="1">
        <f t="array" ref="R1060">IFERROR(INDEX(Sheet4!$2:$1605,MATCH(ChiTietKQKD[[#This Row],[Mã CP]],Sheet4!$B$2:$B$1605,0),_xlfn.XMATCH("*Tăng trưởng lợi nhuận sau thuế (QoQ)*",Sheet4!$1:$1,2)),"")</f>
        <v>0</v>
      </c>
    </row>
    <row r="1061" spans="1:18" x14ac:dyDescent="0.25">
      <c r="A1061" s="7">
        <f>Sheet4!A1040</f>
        <v>1039</v>
      </c>
      <c r="B1061" t="str">
        <f>Sheet4!B1040</f>
        <v>HES</v>
      </c>
      <c r="C1061" t="str">
        <f>Sheet4!C1039</f>
        <v>Môi trường và Công trình đô thị Huế</v>
      </c>
      <c r="D1061" t="str">
        <f>Sheet4!D1040</f>
        <v>UPCoM</v>
      </c>
      <c r="E1061" s="7">
        <f>Sheet4!AH1040/1000000000</f>
        <v>139.41974999999999</v>
      </c>
      <c r="F1061" t="str">
        <f>Sheet4!E1040</f>
        <v>Dịch vụ Tiêu dùng</v>
      </c>
      <c r="G1061" t="str">
        <f>Sheet4!F1040</f>
        <v>Du lịch và Giải trí</v>
      </c>
      <c r="H1061" t="str">
        <f>Sheet4!G1040</f>
        <v>Dịch vụ giải trí</v>
      </c>
      <c r="I1061" s="9" t="str" cm="1">
        <f t="array" ref="I106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61" s="9" t="str" cm="1">
        <f t="array" ref="J106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61" s="10" cm="1">
        <f t="array" ref="K106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61" s="10" cm="1">
        <f t="array" ref="L106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61" s="9" t="str" cm="1">
        <f t="array" ref="M106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61" s="9" t="str" cm="1">
        <f t="array" ref="N106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61" s="10" cm="1">
        <f t="array" ref="O1061">IFERROR(INDEX(Sheet4!$2:$1605,MATCH(ChiTietKQKD[[#This Row],[Mã CP]],Sheet4!$B$2:$B$1605,0),_xlfn.XMATCH("*Tăng trưởng lợi nhuận sau thuế (YoY) (Quý*",Sheet4!$1:$1,2)),"")</f>
        <v>0</v>
      </c>
      <c r="P1061" s="10" cm="1">
        <f t="array" ref="P1061">IFERROR(INDEX(Sheet4!$2:$1605,MATCH(ChiTietKQKD[[#This Row],[Mã CP]],Sheet4!$B$2:$B$1605,0),_xlfn.XMATCH("*Tăng trưởng lợi nhuận sau thuế (YoY) (6M)*",Sheet4!$1:$1,2)),"")</f>
        <v>0</v>
      </c>
      <c r="Q1061" s="10" cm="1">
        <f t="array" ref="Q1061">IFERROR(INDEX(Sheet4!$2:$1605,MATCH(ChiTietKQKD[[#This Row],[Mã CP]],Sheet4!$B$2:$B$1605,0),_xlfn.XMATCH("*Tăng trưởng doanh thu thuần (QoQ)*",Sheet4!$1:$1,2)),"")</f>
        <v>0</v>
      </c>
      <c r="R1061" s="10" cm="1">
        <f t="array" ref="R1061">IFERROR(INDEX(Sheet4!$2:$1605,MATCH(ChiTietKQKD[[#This Row],[Mã CP]],Sheet4!$B$2:$B$1605,0),_xlfn.XMATCH("*Tăng trưởng lợi nhuận sau thuế (QoQ)*",Sheet4!$1:$1,2)),"")</f>
        <v>0</v>
      </c>
    </row>
    <row r="1062" spans="1:18" x14ac:dyDescent="0.25">
      <c r="A1062" s="7">
        <f>Sheet4!A1041</f>
        <v>1040</v>
      </c>
      <c r="B1062" t="str">
        <f>Sheet4!B1041</f>
        <v>HFB</v>
      </c>
      <c r="C1062" t="str">
        <f>Sheet4!C1040</f>
        <v>Dịch vụ Giải trí Hà Nội</v>
      </c>
      <c r="D1062" t="str">
        <f>Sheet4!D1041</f>
        <v>UPCoM</v>
      </c>
      <c r="E1062" s="7">
        <f>Sheet4!AH1041/1000000000</f>
        <v>90.09</v>
      </c>
      <c r="F1062" t="str">
        <f>Sheet4!E1041</f>
        <v>Công nghiệp</v>
      </c>
      <c r="G1062" t="str">
        <f>Sheet4!F1041</f>
        <v>Xây dựng và Vật liệu</v>
      </c>
      <c r="H1062" t="str">
        <f>Sheet4!G1041</f>
        <v>Xây dựng</v>
      </c>
      <c r="I1062" s="9" t="str" cm="1">
        <f t="array" ref="I106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62" s="9" t="str" cm="1">
        <f t="array" ref="J106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62" s="10" cm="1">
        <f t="array" ref="K106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62" s="10" cm="1">
        <f t="array" ref="L106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62" s="9" t="str" cm="1">
        <f t="array" ref="M106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62" s="9" t="str" cm="1">
        <f t="array" ref="N106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62" s="10" cm="1">
        <f t="array" ref="O1062">IFERROR(INDEX(Sheet4!$2:$1605,MATCH(ChiTietKQKD[[#This Row],[Mã CP]],Sheet4!$B$2:$B$1605,0),_xlfn.XMATCH("*Tăng trưởng lợi nhuận sau thuế (YoY) (Quý*",Sheet4!$1:$1,2)),"")</f>
        <v>0</v>
      </c>
      <c r="P1062" s="10" cm="1">
        <f t="array" ref="P1062">IFERROR(INDEX(Sheet4!$2:$1605,MATCH(ChiTietKQKD[[#This Row],[Mã CP]],Sheet4!$B$2:$B$1605,0),_xlfn.XMATCH("*Tăng trưởng lợi nhuận sau thuế (YoY) (6M)*",Sheet4!$1:$1,2)),"")</f>
        <v>0</v>
      </c>
      <c r="Q1062" s="10" cm="1">
        <f t="array" ref="Q1062">IFERROR(INDEX(Sheet4!$2:$1605,MATCH(ChiTietKQKD[[#This Row],[Mã CP]],Sheet4!$B$2:$B$1605,0),_xlfn.XMATCH("*Tăng trưởng doanh thu thuần (QoQ)*",Sheet4!$1:$1,2)),"")</f>
        <v>0</v>
      </c>
      <c r="R1062" s="10" cm="1">
        <f t="array" ref="R1062">IFERROR(INDEX(Sheet4!$2:$1605,MATCH(ChiTietKQKD[[#This Row],[Mã CP]],Sheet4!$B$2:$B$1605,0),_xlfn.XMATCH("*Tăng trưởng lợi nhuận sau thuế (QoQ)*",Sheet4!$1:$1,2)),"")</f>
        <v>0</v>
      </c>
    </row>
    <row r="1063" spans="1:18" x14ac:dyDescent="0.25">
      <c r="A1063" s="7">
        <f>Sheet4!A1042</f>
        <v>1041</v>
      </c>
      <c r="B1063" t="str">
        <f>Sheet4!B1042</f>
        <v>HFC</v>
      </c>
      <c r="C1063" t="str">
        <f>Sheet4!C1041</f>
        <v>Công trình Cầu phà TP HCM</v>
      </c>
      <c r="D1063" t="str">
        <f>Sheet4!D1042</f>
        <v>UPCoM</v>
      </c>
      <c r="E1063" s="7">
        <f>Sheet4!AH1042/1000000000</f>
        <v>86.683892499999999</v>
      </c>
      <c r="F1063" t="str">
        <f>Sheet4!E1042</f>
        <v>Tiện ích Cộng đồng</v>
      </c>
      <c r="G1063" t="str">
        <f>Sheet4!F1042</f>
        <v>Điện, nước &amp; xăng dầu khí đốt</v>
      </c>
      <c r="H1063" t="str">
        <f>Sheet4!G1042</f>
        <v>Phân phối xăng dầu &amp; khí đốt</v>
      </c>
      <c r="I1063" s="9" t="str" cm="1">
        <f t="array" ref="I106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63" s="9" t="str" cm="1">
        <f t="array" ref="J106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63" s="10" cm="1">
        <f t="array" ref="K106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63" s="10" cm="1">
        <f t="array" ref="L106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63" s="9" t="str" cm="1">
        <f t="array" ref="M106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63" s="9" t="str" cm="1">
        <f t="array" ref="N106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63" s="10" cm="1">
        <f t="array" ref="O1063">IFERROR(INDEX(Sheet4!$2:$1605,MATCH(ChiTietKQKD[[#This Row],[Mã CP]],Sheet4!$B$2:$B$1605,0),_xlfn.XMATCH("*Tăng trưởng lợi nhuận sau thuế (YoY) (Quý*",Sheet4!$1:$1,2)),"")</f>
        <v>0</v>
      </c>
      <c r="P1063" s="10" cm="1">
        <f t="array" ref="P1063">IFERROR(INDEX(Sheet4!$2:$1605,MATCH(ChiTietKQKD[[#This Row],[Mã CP]],Sheet4!$B$2:$B$1605,0),_xlfn.XMATCH("*Tăng trưởng lợi nhuận sau thuế (YoY) (6M)*",Sheet4!$1:$1,2)),"")</f>
        <v>0</v>
      </c>
      <c r="Q1063" s="10" cm="1">
        <f t="array" ref="Q1063">IFERROR(INDEX(Sheet4!$2:$1605,MATCH(ChiTietKQKD[[#This Row],[Mã CP]],Sheet4!$B$2:$B$1605,0),_xlfn.XMATCH("*Tăng trưởng doanh thu thuần (QoQ)*",Sheet4!$1:$1,2)),"")</f>
        <v>0</v>
      </c>
      <c r="R1063" s="10" cm="1">
        <f t="array" ref="R1063">IFERROR(INDEX(Sheet4!$2:$1605,MATCH(ChiTietKQKD[[#This Row],[Mã CP]],Sheet4!$B$2:$B$1605,0),_xlfn.XMATCH("*Tăng trưởng lợi nhuận sau thuế (QoQ)*",Sheet4!$1:$1,2)),"")</f>
        <v>0</v>
      </c>
    </row>
    <row r="1064" spans="1:18" x14ac:dyDescent="0.25">
      <c r="A1064" s="7">
        <f>Sheet4!A1043</f>
        <v>1042</v>
      </c>
      <c r="B1064" t="str">
        <f>Sheet4!B1043</f>
        <v>HFX</v>
      </c>
      <c r="C1064" t="str">
        <f>Sheet4!C1042</f>
        <v>Xăng dầu HFC</v>
      </c>
      <c r="D1064" t="str">
        <f>Sheet4!D1043</f>
        <v>UPCoM</v>
      </c>
      <c r="E1064" s="7">
        <f>Sheet4!AH1043/1000000000</f>
        <v>6.4770000000000003</v>
      </c>
      <c r="F1064" t="str">
        <f>Sheet4!E1043</f>
        <v>Dịch vụ Tiêu dùng</v>
      </c>
      <c r="G1064" t="str">
        <f>Sheet4!F1043</f>
        <v>Bán lẻ</v>
      </c>
      <c r="H1064" t="str">
        <f>Sheet4!G1043</f>
        <v>Bán lẻ phức hợp</v>
      </c>
      <c r="I1064" s="9" t="str" cm="1">
        <f t="array" ref="I106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64" s="9" t="str" cm="1">
        <f t="array" ref="J106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64" s="10" cm="1">
        <f t="array" ref="K106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64" s="10" cm="1">
        <f t="array" ref="L106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64" s="9" t="str" cm="1">
        <f t="array" ref="M106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64" s="9" t="str" cm="1">
        <f t="array" ref="N106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64" s="10" cm="1">
        <f t="array" ref="O1064">IFERROR(INDEX(Sheet4!$2:$1605,MATCH(ChiTietKQKD[[#This Row],[Mã CP]],Sheet4!$B$2:$B$1605,0),_xlfn.XMATCH("*Tăng trưởng lợi nhuận sau thuế (YoY) (Quý*",Sheet4!$1:$1,2)),"")</f>
        <v>0</v>
      </c>
      <c r="P1064" s="10" cm="1">
        <f t="array" ref="P1064">IFERROR(INDEX(Sheet4!$2:$1605,MATCH(ChiTietKQKD[[#This Row],[Mã CP]],Sheet4!$B$2:$B$1605,0),_xlfn.XMATCH("*Tăng trưởng lợi nhuận sau thuế (YoY) (6M)*",Sheet4!$1:$1,2)),"")</f>
        <v>0</v>
      </c>
      <c r="Q1064" s="10" cm="1">
        <f t="array" ref="Q1064">IFERROR(INDEX(Sheet4!$2:$1605,MATCH(ChiTietKQKD[[#This Row],[Mã CP]],Sheet4!$B$2:$B$1605,0),_xlfn.XMATCH("*Tăng trưởng doanh thu thuần (QoQ)*",Sheet4!$1:$1,2)),"")</f>
        <v>0</v>
      </c>
      <c r="R1064" s="10" cm="1">
        <f t="array" ref="R1064">IFERROR(INDEX(Sheet4!$2:$1605,MATCH(ChiTietKQKD[[#This Row],[Mã CP]],Sheet4!$B$2:$B$1605,0),_xlfn.XMATCH("*Tăng trưởng lợi nhuận sau thuế (QoQ)*",Sheet4!$1:$1,2)),"")</f>
        <v>0</v>
      </c>
    </row>
    <row r="1065" spans="1:18" x14ac:dyDescent="0.25">
      <c r="A1065" s="7">
        <f>Sheet4!A1044</f>
        <v>1043</v>
      </c>
      <c r="B1065" t="str">
        <f>Sheet4!B1044</f>
        <v>HGT</v>
      </c>
      <c r="C1065" t="str">
        <f>Sheet4!C1043</f>
        <v>XNK Thanh Hà</v>
      </c>
      <c r="D1065" t="str">
        <f>Sheet4!D1044</f>
        <v>UPCoM</v>
      </c>
      <c r="E1065" s="7">
        <f>Sheet4!AH1044/1000000000</f>
        <v>242</v>
      </c>
      <c r="F1065" t="str">
        <f>Sheet4!E1044</f>
        <v>Dịch vụ Tiêu dùng</v>
      </c>
      <c r="G1065" t="str">
        <f>Sheet4!F1044</f>
        <v>Du lịch và Giải trí</v>
      </c>
      <c r="H1065" t="str">
        <f>Sheet4!G1044</f>
        <v>Vận tải hành khách &amp; Du lịch</v>
      </c>
      <c r="I1065" s="9" cm="1">
        <f t="array" ref="I106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16.467806192000001</v>
      </c>
      <c r="J1065" s="9" cm="1">
        <f t="array" ref="J106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30.489878919999999</v>
      </c>
      <c r="K1065" s="10" cm="1">
        <f t="array" ref="K106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0.61760000000000004</v>
      </c>
      <c r="L1065" s="10" cm="1">
        <f t="array" ref="L106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0.30030000000000001</v>
      </c>
      <c r="M1065" s="9" cm="1">
        <f t="array" ref="M1065">_xlfn.LET(_xlpm.val,IFERROR(INDEX(Sheet4!$2:$1605,MATCH(ChiTietKQKD[[#This Row],[Mã CP]],Sheet4!$B$2:$B$1605,0),_xlfn.XMATCH("*Lợi nhuận sau thuế*Q2*2026*",Sheet4!$1:$1,2)),0),IF(OR(_xlpm.val="",_xlpm.val=0),"",_xlpm.val/1000000000))</f>
        <v>-0.981692287</v>
      </c>
      <c r="N1065" s="9" cm="1">
        <f t="array" ref="N1065">_xlfn.LET(_xlpm.val,IFERROR(INDEX(Sheet4!$2:$1605,MATCH(ChiTietKQKD[[#This Row],[Mã CP]],Sheet4!$B$2:$B$1605,0),_xlfn.XMATCH("*Lợi nhuận sau thuế*6 tháng*2026*",Sheet4!$1:$1,2)),0),IF(OR(_xlpm.val="",_xlpm.val=0),"",_xlpm.val/1000000000))</f>
        <v>4.0387299969999999</v>
      </c>
      <c r="O1065" s="10" cm="1">
        <f t="array" ref="O1065">IFERROR(INDEX(Sheet4!$2:$1605,MATCH(ChiTietKQKD[[#This Row],[Mã CP]],Sheet4!$B$2:$B$1605,0),_xlfn.XMATCH("*Tăng trưởng lợi nhuận sau thuế (YoY) (Quý*",Sheet4!$1:$1,2)),"")</f>
        <v>-2.7671999999999999</v>
      </c>
      <c r="P1065" s="10" cm="1">
        <f t="array" ref="P1065">IFERROR(INDEX(Sheet4!$2:$1605,MATCH(ChiTietKQKD[[#This Row],[Mã CP]],Sheet4!$B$2:$B$1605,0),_xlfn.XMATCH("*Tăng trưởng lợi nhuận sau thuế (YoY) (6M)*",Sheet4!$1:$1,2)),"")</f>
        <v>1.5769</v>
      </c>
      <c r="Q1065" s="10" cm="1">
        <f t="array" ref="Q1065">IFERROR(INDEX(Sheet4!$2:$1605,MATCH(ChiTietKQKD[[#This Row],[Mã CP]],Sheet4!$B$2:$B$1605,0),_xlfn.XMATCH("*Tăng trưởng doanh thu thuần (QoQ)*",Sheet4!$1:$1,2)),"")</f>
        <v>0.1744</v>
      </c>
      <c r="R1065" s="10" cm="1">
        <f t="array" ref="R1065">IFERROR(INDEX(Sheet4!$2:$1605,MATCH(ChiTietKQKD[[#This Row],[Mã CP]],Sheet4!$B$2:$B$1605,0),_xlfn.XMATCH("*Tăng trưởng lợi nhuận sau thuế (QoQ)*",Sheet4!$1:$1,2)),"")</f>
        <v>-1.1955</v>
      </c>
    </row>
    <row r="1066" spans="1:18" x14ac:dyDescent="0.25">
      <c r="A1066" s="7">
        <f>Sheet4!A1045</f>
        <v>1044</v>
      </c>
      <c r="B1066" t="str">
        <f>Sheet4!B1045</f>
        <v>HHB</v>
      </c>
      <c r="C1066" t="str">
        <f>Sheet4!C1044</f>
        <v>Du lịch Hương Giang</v>
      </c>
      <c r="D1066" t="str">
        <f>Sheet4!D1045</f>
        <v>UPCoM</v>
      </c>
      <c r="E1066" s="7">
        <f>Sheet4!AH1045/1000000000</f>
        <v>289</v>
      </c>
      <c r="F1066" t="str">
        <f>Sheet4!E1045</f>
        <v>Hàng Tiêu dùng</v>
      </c>
      <c r="G1066" t="str">
        <f>Sheet4!F1045</f>
        <v>Thực phẩm và đồ uống</v>
      </c>
      <c r="H1066" t="str">
        <f>Sheet4!G1045</f>
        <v>Sản xuất bia</v>
      </c>
      <c r="I1066" s="9" t="str" cm="1">
        <f t="array" ref="I106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66" s="9" t="str" cm="1">
        <f t="array" ref="J106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66" s="10" cm="1">
        <f t="array" ref="K106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66" s="10" cm="1">
        <f t="array" ref="L106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66" s="9" t="str" cm="1">
        <f t="array" ref="M106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66" s="9" t="str" cm="1">
        <f t="array" ref="N106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66" s="10" cm="1">
        <f t="array" ref="O1066">IFERROR(INDEX(Sheet4!$2:$1605,MATCH(ChiTietKQKD[[#This Row],[Mã CP]],Sheet4!$B$2:$B$1605,0),_xlfn.XMATCH("*Tăng trưởng lợi nhuận sau thuế (YoY) (Quý*",Sheet4!$1:$1,2)),"")</f>
        <v>0</v>
      </c>
      <c r="P1066" s="10" cm="1">
        <f t="array" ref="P1066">IFERROR(INDEX(Sheet4!$2:$1605,MATCH(ChiTietKQKD[[#This Row],[Mã CP]],Sheet4!$B$2:$B$1605,0),_xlfn.XMATCH("*Tăng trưởng lợi nhuận sau thuế (YoY) (6M)*",Sheet4!$1:$1,2)),"")</f>
        <v>0</v>
      </c>
      <c r="Q1066" s="10" cm="1">
        <f t="array" ref="Q1066">IFERROR(INDEX(Sheet4!$2:$1605,MATCH(ChiTietKQKD[[#This Row],[Mã CP]],Sheet4!$B$2:$B$1605,0),_xlfn.XMATCH("*Tăng trưởng doanh thu thuần (QoQ)*",Sheet4!$1:$1,2)),"")</f>
        <v>0</v>
      </c>
      <c r="R1066" s="10" cm="1">
        <f t="array" ref="R1066">IFERROR(INDEX(Sheet4!$2:$1605,MATCH(ChiTietKQKD[[#This Row],[Mã CP]],Sheet4!$B$2:$B$1605,0),_xlfn.XMATCH("*Tăng trưởng lợi nhuận sau thuế (QoQ)*",Sheet4!$1:$1,2)),"")</f>
        <v>0</v>
      </c>
    </row>
    <row r="1067" spans="1:18" x14ac:dyDescent="0.25">
      <c r="A1067" s="7">
        <f>Sheet4!A1046</f>
        <v>1045</v>
      </c>
      <c r="B1067" t="str">
        <f>Sheet4!B1046</f>
        <v>HHG</v>
      </c>
      <c r="C1067" t="str">
        <f>Sheet4!C1045</f>
        <v>Bia Hà Nội - Hồng Hà</v>
      </c>
      <c r="D1067" t="str">
        <f>Sheet4!D1046</f>
        <v>UPCoM</v>
      </c>
      <c r="E1067" s="7">
        <f>Sheet4!AH1046/1000000000</f>
        <v>24.427447799999999</v>
      </c>
      <c r="F1067" t="str">
        <f>Sheet4!E1046</f>
        <v>Dịch vụ Tiêu dùng</v>
      </c>
      <c r="G1067" t="str">
        <f>Sheet4!F1046</f>
        <v>Du lịch và Giải trí</v>
      </c>
      <c r="H1067" t="str">
        <f>Sheet4!G1046</f>
        <v>Vận tải hành khách &amp; Du lịch</v>
      </c>
      <c r="I1067" s="9" t="str" cm="1">
        <f t="array" ref="I106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67" s="9" t="str" cm="1">
        <f t="array" ref="J106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67" s="10" cm="1">
        <f t="array" ref="K106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67" s="10" cm="1">
        <f t="array" ref="L106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67" s="9" t="str" cm="1">
        <f t="array" ref="M106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67" s="9" t="str" cm="1">
        <f t="array" ref="N106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67" s="10" cm="1">
        <f t="array" ref="O1067">IFERROR(INDEX(Sheet4!$2:$1605,MATCH(ChiTietKQKD[[#This Row],[Mã CP]],Sheet4!$B$2:$B$1605,0),_xlfn.XMATCH("*Tăng trưởng lợi nhuận sau thuế (YoY) (Quý*",Sheet4!$1:$1,2)),"")</f>
        <v>0</v>
      </c>
      <c r="P1067" s="10" cm="1">
        <f t="array" ref="P1067">IFERROR(INDEX(Sheet4!$2:$1605,MATCH(ChiTietKQKD[[#This Row],[Mã CP]],Sheet4!$B$2:$B$1605,0),_xlfn.XMATCH("*Tăng trưởng lợi nhuận sau thuế (YoY) (6M)*",Sheet4!$1:$1,2)),"")</f>
        <v>0</v>
      </c>
      <c r="Q1067" s="10" cm="1">
        <f t="array" ref="Q1067">IFERROR(INDEX(Sheet4!$2:$1605,MATCH(ChiTietKQKD[[#This Row],[Mã CP]],Sheet4!$B$2:$B$1605,0),_xlfn.XMATCH("*Tăng trưởng doanh thu thuần (QoQ)*",Sheet4!$1:$1,2)),"")</f>
        <v>0</v>
      </c>
      <c r="R1067" s="10" cm="1">
        <f t="array" ref="R1067">IFERROR(INDEX(Sheet4!$2:$1605,MATCH(ChiTietKQKD[[#This Row],[Mã CP]],Sheet4!$B$2:$B$1605,0),_xlfn.XMATCH("*Tăng trưởng lợi nhuận sau thuế (QoQ)*",Sheet4!$1:$1,2)),"")</f>
        <v>0</v>
      </c>
    </row>
    <row r="1068" spans="1:18" x14ac:dyDescent="0.25">
      <c r="A1068" s="7">
        <f>Sheet4!A1047</f>
        <v>1046</v>
      </c>
      <c r="B1068" t="str">
        <f>Sheet4!B1047</f>
        <v>HHI</v>
      </c>
      <c r="C1068" t="str">
        <f>Sheet4!C1046</f>
        <v>Vận tải Hoàng Hà</v>
      </c>
      <c r="D1068" t="str">
        <f>Sheet4!D1047</f>
        <v>UPCoM</v>
      </c>
      <c r="E1068" s="7">
        <f>Sheet4!AH1047/1000000000</f>
        <v>0</v>
      </c>
      <c r="F1068" t="str">
        <f>Sheet4!E1047</f>
        <v>Dịch vụ Tiêu dùng</v>
      </c>
      <c r="G1068" t="str">
        <f>Sheet4!F1047</f>
        <v>Truyền thông</v>
      </c>
      <c r="H1068" t="str">
        <f>Sheet4!G1047</f>
        <v>Sách, ấn bản &amp; sản phẩm văn hóa</v>
      </c>
      <c r="I1068" s="9" t="str" cm="1">
        <f t="array" ref="I106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68" s="9" t="str" cm="1">
        <f t="array" ref="J106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68" s="10" cm="1">
        <f t="array" ref="K106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68" s="10" cm="1">
        <f t="array" ref="L106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68" s="9" t="str" cm="1">
        <f t="array" ref="M106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68" s="9" t="str" cm="1">
        <f t="array" ref="N106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68" s="10" cm="1">
        <f t="array" ref="O1068">IFERROR(INDEX(Sheet4!$2:$1605,MATCH(ChiTietKQKD[[#This Row],[Mã CP]],Sheet4!$B$2:$B$1605,0),_xlfn.XMATCH("*Tăng trưởng lợi nhuận sau thuế (YoY) (Quý*",Sheet4!$1:$1,2)),"")</f>
        <v>0</v>
      </c>
      <c r="P1068" s="10" cm="1">
        <f t="array" ref="P1068">IFERROR(INDEX(Sheet4!$2:$1605,MATCH(ChiTietKQKD[[#This Row],[Mã CP]],Sheet4!$B$2:$B$1605,0),_xlfn.XMATCH("*Tăng trưởng lợi nhuận sau thuế (YoY) (6M)*",Sheet4!$1:$1,2)),"")</f>
        <v>0</v>
      </c>
      <c r="Q1068" s="10" cm="1">
        <f t="array" ref="Q1068">IFERROR(INDEX(Sheet4!$2:$1605,MATCH(ChiTietKQKD[[#This Row],[Mã CP]],Sheet4!$B$2:$B$1605,0),_xlfn.XMATCH("*Tăng trưởng doanh thu thuần (QoQ)*",Sheet4!$1:$1,2)),"")</f>
        <v>0</v>
      </c>
      <c r="R1068" s="10" cm="1">
        <f t="array" ref="R1068">IFERROR(INDEX(Sheet4!$2:$1605,MATCH(ChiTietKQKD[[#This Row],[Mã CP]],Sheet4!$B$2:$B$1605,0),_xlfn.XMATCH("*Tăng trưởng lợi nhuận sau thuế (QoQ)*",Sheet4!$1:$1,2)),"")</f>
        <v>0</v>
      </c>
    </row>
    <row r="1069" spans="1:18" x14ac:dyDescent="0.25">
      <c r="A1069" s="7">
        <f>Sheet4!A1048</f>
        <v>1047</v>
      </c>
      <c r="B1069" t="str">
        <f>Sheet4!B1048</f>
        <v>HHN</v>
      </c>
      <c r="C1069" t="str">
        <f>Sheet4!C1047</f>
        <v>Hoàng Hạc</v>
      </c>
      <c r="D1069" t="str">
        <f>Sheet4!D1048</f>
        <v>UPCoM</v>
      </c>
      <c r="E1069" s="7">
        <f>Sheet4!AH1048/1000000000</f>
        <v>0.28799999999999998</v>
      </c>
      <c r="F1069" t="str">
        <f>Sheet4!E1048</f>
        <v>Công nghiệp</v>
      </c>
      <c r="G1069" t="str">
        <f>Sheet4!F1048</f>
        <v>Hàng &amp; Dịch vụ Công nghiệp</v>
      </c>
      <c r="H1069" t="str">
        <f>Sheet4!G1048</f>
        <v>Kho bãi, hậu cần và bảo dưỡng</v>
      </c>
      <c r="I1069" s="9" t="str" cm="1">
        <f t="array" ref="I106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69" s="9" t="str" cm="1">
        <f t="array" ref="J106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69" s="10" cm="1">
        <f t="array" ref="K106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69" s="10" cm="1">
        <f t="array" ref="L106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69" s="9" t="str" cm="1">
        <f t="array" ref="M106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69" s="9" t="str" cm="1">
        <f t="array" ref="N106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69" s="10" cm="1">
        <f t="array" ref="O1069">IFERROR(INDEX(Sheet4!$2:$1605,MATCH(ChiTietKQKD[[#This Row],[Mã CP]],Sheet4!$B$2:$B$1605,0),_xlfn.XMATCH("*Tăng trưởng lợi nhuận sau thuế (YoY) (Quý*",Sheet4!$1:$1,2)),"")</f>
        <v>0</v>
      </c>
      <c r="P1069" s="10" cm="1">
        <f t="array" ref="P1069">IFERROR(INDEX(Sheet4!$2:$1605,MATCH(ChiTietKQKD[[#This Row],[Mã CP]],Sheet4!$B$2:$B$1605,0),_xlfn.XMATCH("*Tăng trưởng lợi nhuận sau thuế (YoY) (6M)*",Sheet4!$1:$1,2)),"")</f>
        <v>0</v>
      </c>
      <c r="Q1069" s="10" cm="1">
        <f t="array" ref="Q1069">IFERROR(INDEX(Sheet4!$2:$1605,MATCH(ChiTietKQKD[[#This Row],[Mã CP]],Sheet4!$B$2:$B$1605,0),_xlfn.XMATCH("*Tăng trưởng doanh thu thuần (QoQ)*",Sheet4!$1:$1,2)),"")</f>
        <v>0</v>
      </c>
      <c r="R1069" s="10" cm="1">
        <f t="array" ref="R1069">IFERROR(INDEX(Sheet4!$2:$1605,MATCH(ChiTietKQKD[[#This Row],[Mã CP]],Sheet4!$B$2:$B$1605,0),_xlfn.XMATCH("*Tăng trưởng lợi nhuận sau thuế (QoQ)*",Sheet4!$1:$1,2)),"")</f>
        <v>0</v>
      </c>
    </row>
    <row r="1070" spans="1:18" x14ac:dyDescent="0.25">
      <c r="A1070" s="7">
        <f>Sheet4!A1049</f>
        <v>1048</v>
      </c>
      <c r="B1070" t="str">
        <f>Sheet4!B1049</f>
        <v>HIO</v>
      </c>
      <c r="C1070" t="str">
        <f>Sheet4!C1048</f>
        <v>Vận tải và DV Hàng hóa Hà Nội</v>
      </c>
      <c r="D1070" t="str">
        <f>Sheet4!D1049</f>
        <v>UPCoM</v>
      </c>
      <c r="E1070" s="7">
        <f>Sheet4!AH1049/1000000000</f>
        <v>290.22000000000003</v>
      </c>
      <c r="F1070" t="str">
        <f>Sheet4!E1049</f>
        <v>Tiện ích Cộng đồng</v>
      </c>
      <c r="G1070" t="str">
        <f>Sheet4!F1049</f>
        <v>Điện, nước &amp; xăng dầu khí đốt</v>
      </c>
      <c r="H1070" t="str">
        <f>Sheet4!G1049</f>
        <v>Sản xuất &amp; Phân phối Điện</v>
      </c>
      <c r="I1070" s="9" t="str" cm="1">
        <f t="array" ref="I107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70" s="9" t="str" cm="1">
        <f t="array" ref="J107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70" s="10" cm="1">
        <f t="array" ref="K107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70" s="10" cm="1">
        <f t="array" ref="L107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70" s="9" t="str" cm="1">
        <f t="array" ref="M107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70" s="9" t="str" cm="1">
        <f t="array" ref="N107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70" s="10" cm="1">
        <f t="array" ref="O1070">IFERROR(INDEX(Sheet4!$2:$1605,MATCH(ChiTietKQKD[[#This Row],[Mã CP]],Sheet4!$B$2:$B$1605,0),_xlfn.XMATCH("*Tăng trưởng lợi nhuận sau thuế (YoY) (Quý*",Sheet4!$1:$1,2)),"")</f>
        <v>0</v>
      </c>
      <c r="P1070" s="10" cm="1">
        <f t="array" ref="P1070">IFERROR(INDEX(Sheet4!$2:$1605,MATCH(ChiTietKQKD[[#This Row],[Mã CP]],Sheet4!$B$2:$B$1605,0),_xlfn.XMATCH("*Tăng trưởng lợi nhuận sau thuế (YoY) (6M)*",Sheet4!$1:$1,2)),"")</f>
        <v>0</v>
      </c>
      <c r="Q1070" s="10" cm="1">
        <f t="array" ref="Q1070">IFERROR(INDEX(Sheet4!$2:$1605,MATCH(ChiTietKQKD[[#This Row],[Mã CP]],Sheet4!$B$2:$B$1605,0),_xlfn.XMATCH("*Tăng trưởng doanh thu thuần (QoQ)*",Sheet4!$1:$1,2)),"")</f>
        <v>0</v>
      </c>
      <c r="R1070" s="10" cm="1">
        <f t="array" ref="R1070">IFERROR(INDEX(Sheet4!$2:$1605,MATCH(ChiTietKQKD[[#This Row],[Mã CP]],Sheet4!$B$2:$B$1605,0),_xlfn.XMATCH("*Tăng trưởng lợi nhuận sau thuế (QoQ)*",Sheet4!$1:$1,2)),"")</f>
        <v>0</v>
      </c>
    </row>
    <row r="1071" spans="1:18" x14ac:dyDescent="0.25">
      <c r="A1071" s="7">
        <f>Sheet4!A1050</f>
        <v>1049</v>
      </c>
      <c r="B1071" t="str">
        <f>Sheet4!B1050</f>
        <v>HJC</v>
      </c>
      <c r="C1071" t="str">
        <f>Sheet4!C1049</f>
        <v>Helio Energy</v>
      </c>
      <c r="D1071" t="str">
        <f>Sheet4!D1050</f>
        <v>UPCoM</v>
      </c>
      <c r="E1071" s="7">
        <f>Sheet4!AH1050/1000000000</f>
        <v>86.115448400000005</v>
      </c>
      <c r="F1071" t="str">
        <f>Sheet4!E1050</f>
        <v>Hàng Tiêu dùng</v>
      </c>
      <c r="G1071" t="str">
        <f>Sheet4!F1050</f>
        <v>Hàng cá nhân &amp; Gia dụng</v>
      </c>
      <c r="H1071" t="str">
        <f>Sheet4!G1050</f>
        <v>Thuốc lá</v>
      </c>
      <c r="I1071" s="9" cm="1">
        <f t="array" ref="I107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228.26119996099999</v>
      </c>
      <c r="J1071" s="9" cm="1">
        <f t="array" ref="J107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476.59300147699997</v>
      </c>
      <c r="K1071" s="10" cm="1">
        <f t="array" ref="K107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-0.56310000000000004</v>
      </c>
      <c r="L1071" s="10" cm="1">
        <f t="array" ref="L107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71" s="9" cm="1">
        <f t="array" ref="M1071">_xlfn.LET(_xlpm.val,IFERROR(INDEX(Sheet4!$2:$1605,MATCH(ChiTietKQKD[[#This Row],[Mã CP]],Sheet4!$B$2:$B$1605,0),_xlfn.XMATCH("*Lợi nhuận sau thuế*Q2*2026*",Sheet4!$1:$1,2)),0),IF(OR(_xlpm.val="",_xlpm.val=0),"",_xlpm.val/1000000000))</f>
        <v>3.194931</v>
      </c>
      <c r="N1071" s="9" cm="1">
        <f t="array" ref="N1071">_xlfn.LET(_xlpm.val,IFERROR(INDEX(Sheet4!$2:$1605,MATCH(ChiTietKQKD[[#This Row],[Mã CP]],Sheet4!$B$2:$B$1605,0),_xlfn.XMATCH("*Lợi nhuận sau thuế*6 tháng*2026*",Sheet4!$1:$1,2)),0),IF(OR(_xlpm.val="",_xlpm.val=0),"",_xlpm.val/1000000000))</f>
        <v>6.5654464209999999</v>
      </c>
      <c r="O1071" s="10" cm="1">
        <f t="array" ref="O1071">IFERROR(INDEX(Sheet4!$2:$1605,MATCH(ChiTietKQKD[[#This Row],[Mã CP]],Sheet4!$B$2:$B$1605,0),_xlfn.XMATCH("*Tăng trưởng lợi nhuận sau thuế (YoY) (Quý*",Sheet4!$1:$1,2)),"")</f>
        <v>-0.66420000000000001</v>
      </c>
      <c r="P1071" s="10" cm="1">
        <f t="array" ref="P1071">IFERROR(INDEX(Sheet4!$2:$1605,MATCH(ChiTietKQKD[[#This Row],[Mã CP]],Sheet4!$B$2:$B$1605,0),_xlfn.XMATCH("*Tăng trưởng lợi nhuận sau thuế (YoY) (6M)*",Sheet4!$1:$1,2)),"")</f>
        <v>0</v>
      </c>
      <c r="Q1071" s="10" cm="1">
        <f t="array" ref="Q1071">IFERROR(INDEX(Sheet4!$2:$1605,MATCH(ChiTietKQKD[[#This Row],[Mã CP]],Sheet4!$B$2:$B$1605,0),_xlfn.XMATCH("*Tăng trưởng doanh thu thuần (QoQ)*",Sheet4!$1:$1,2)),"")</f>
        <v>-8.0799999999999997E-2</v>
      </c>
      <c r="R1071" s="10" cm="1">
        <f t="array" ref="R1071">IFERROR(INDEX(Sheet4!$2:$1605,MATCH(ChiTietKQKD[[#This Row],[Mã CP]],Sheet4!$B$2:$B$1605,0),_xlfn.XMATCH("*Tăng trưởng lợi nhuận sau thuế (QoQ)*",Sheet4!$1:$1,2)),"")</f>
        <v>-5.21E-2</v>
      </c>
    </row>
    <row r="1072" spans="1:18" x14ac:dyDescent="0.25">
      <c r="A1072" s="7">
        <f>Sheet4!A1051</f>
        <v>1050</v>
      </c>
      <c r="B1072" t="str">
        <f>Sheet4!B1051</f>
        <v>HKB</v>
      </c>
      <c r="C1072" t="str">
        <f>Sheet4!C1050</f>
        <v>Công ty Cổ phần Hoà Việt</v>
      </c>
      <c r="D1072" t="str">
        <f>Sheet4!D1051</f>
        <v>UPCoM</v>
      </c>
      <c r="E1072" s="7">
        <f>Sheet4!AH1051/1000000000</f>
        <v>20.639999599999999</v>
      </c>
      <c r="F1072" t="str">
        <f>Sheet4!E1051</f>
        <v>Hàng Tiêu dùng</v>
      </c>
      <c r="G1072" t="str">
        <f>Sheet4!F1051</f>
        <v>Thực phẩm và đồ uống</v>
      </c>
      <c r="H1072" t="str">
        <f>Sheet4!G1051</f>
        <v>Thực phẩm</v>
      </c>
      <c r="I1072" s="9" cm="1">
        <f t="array" ref="I107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1.5762507889999999</v>
      </c>
      <c r="J1072" s="9" cm="1">
        <f t="array" ref="J107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3.1537445150000001</v>
      </c>
      <c r="K1072" s="10" cm="1">
        <f t="array" ref="K107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-1.5699999999999999E-2</v>
      </c>
      <c r="L1072" s="10" cm="1">
        <f t="array" ref="L107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-2.1299999999999999E-2</v>
      </c>
      <c r="M1072" s="9" cm="1">
        <f t="array" ref="M1072">_xlfn.LET(_xlpm.val,IFERROR(INDEX(Sheet4!$2:$1605,MATCH(ChiTietKQKD[[#This Row],[Mã CP]],Sheet4!$B$2:$B$1605,0),_xlfn.XMATCH("*Lợi nhuận sau thuế*Q2*2026*",Sheet4!$1:$1,2)),0),IF(OR(_xlpm.val="",_xlpm.val=0),"",_xlpm.val/1000000000))</f>
        <v>-14.660437738000001</v>
      </c>
      <c r="N1072" s="9" cm="1">
        <f t="array" ref="N1072">_xlfn.LET(_xlpm.val,IFERROR(INDEX(Sheet4!$2:$1605,MATCH(ChiTietKQKD[[#This Row],[Mã CP]],Sheet4!$B$2:$B$1605,0),_xlfn.XMATCH("*Lợi nhuận sau thuế*6 tháng*2026*",Sheet4!$1:$1,2)),0),IF(OR(_xlpm.val="",_xlpm.val=0),"",_xlpm.val/1000000000))</f>
        <v>-29.181650885</v>
      </c>
      <c r="O1072" s="10" cm="1">
        <f t="array" ref="O1072">IFERROR(INDEX(Sheet4!$2:$1605,MATCH(ChiTietKQKD[[#This Row],[Mã CP]],Sheet4!$B$2:$B$1605,0),_xlfn.XMATCH("*Tăng trưởng lợi nhuận sau thuế (YoY) (Quý*",Sheet4!$1:$1,2)),"")</f>
        <v>-1.06E-2</v>
      </c>
      <c r="P1072" s="10" cm="1">
        <f t="array" ref="P1072">IFERROR(INDEX(Sheet4!$2:$1605,MATCH(ChiTietKQKD[[#This Row],[Mã CP]],Sheet4!$B$2:$B$1605,0),_xlfn.XMATCH("*Tăng trưởng lợi nhuận sau thuế (YoY) (6M)*",Sheet4!$1:$1,2)),"")</f>
        <v>-3.8E-3</v>
      </c>
      <c r="Q1072" s="10" cm="1">
        <f t="array" ref="Q1072">IFERROR(INDEX(Sheet4!$2:$1605,MATCH(ChiTietKQKD[[#This Row],[Mã CP]],Sheet4!$B$2:$B$1605,0),_xlfn.XMATCH("*Tăng trưởng doanh thu thuần (QoQ)*",Sheet4!$1:$1,2)),"")</f>
        <v>-8.0000000000000004E-4</v>
      </c>
      <c r="R1072" s="10" cm="1">
        <f t="array" ref="R1072">IFERROR(INDEX(Sheet4!$2:$1605,MATCH(ChiTietKQKD[[#This Row],[Mã CP]],Sheet4!$B$2:$B$1605,0),_xlfn.XMATCH("*Tăng trưởng lợi nhuận sau thuế (QoQ)*",Sheet4!$1:$1,2)),"")</f>
        <v>-9.5999999999999992E-3</v>
      </c>
    </row>
    <row r="1073" spans="1:18" x14ac:dyDescent="0.25">
      <c r="A1073" s="7">
        <f>Sheet4!A1052</f>
        <v>1051</v>
      </c>
      <c r="B1073" t="str">
        <f>Sheet4!B1052</f>
        <v>HLA</v>
      </c>
      <c r="C1073" t="str">
        <f>Sheet4!C1051</f>
        <v>Thực phẩm Hà Nội - Kinh Bắc</v>
      </c>
      <c r="D1073" t="str">
        <f>Sheet4!D1052</f>
        <v>UPCoM</v>
      </c>
      <c r="E1073" s="7">
        <f>Sheet4!AH1052/1000000000</f>
        <v>13.7771972</v>
      </c>
      <c r="F1073" t="str">
        <f>Sheet4!E1052</f>
        <v>Nguyên vật liệu</v>
      </c>
      <c r="G1073" t="str">
        <f>Sheet4!F1052</f>
        <v>Tài nguyên Cơ bản</v>
      </c>
      <c r="H1073" t="str">
        <f>Sheet4!G1052</f>
        <v>Thép và sản phẩm thép</v>
      </c>
      <c r="I1073" s="9" t="str" cm="1">
        <f t="array" ref="I107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73" s="9" t="str" cm="1">
        <f t="array" ref="J107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73" s="10" cm="1">
        <f t="array" ref="K107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73" s="10" cm="1">
        <f t="array" ref="L107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73" s="9" t="str" cm="1">
        <f t="array" ref="M107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73" s="9" t="str" cm="1">
        <f t="array" ref="N107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73" s="10" cm="1">
        <f t="array" ref="O1073">IFERROR(INDEX(Sheet4!$2:$1605,MATCH(ChiTietKQKD[[#This Row],[Mã CP]],Sheet4!$B$2:$B$1605,0),_xlfn.XMATCH("*Tăng trưởng lợi nhuận sau thuế (YoY) (Quý*",Sheet4!$1:$1,2)),"")</f>
        <v>0</v>
      </c>
      <c r="P1073" s="10" cm="1">
        <f t="array" ref="P1073">IFERROR(INDEX(Sheet4!$2:$1605,MATCH(ChiTietKQKD[[#This Row],[Mã CP]],Sheet4!$B$2:$B$1605,0),_xlfn.XMATCH("*Tăng trưởng lợi nhuận sau thuế (YoY) (6M)*",Sheet4!$1:$1,2)),"")</f>
        <v>0</v>
      </c>
      <c r="Q1073" s="10" cm="1">
        <f t="array" ref="Q1073">IFERROR(INDEX(Sheet4!$2:$1605,MATCH(ChiTietKQKD[[#This Row],[Mã CP]],Sheet4!$B$2:$B$1605,0),_xlfn.XMATCH("*Tăng trưởng doanh thu thuần (QoQ)*",Sheet4!$1:$1,2)),"")</f>
        <v>0</v>
      </c>
      <c r="R1073" s="10" cm="1">
        <f t="array" ref="R1073">IFERROR(INDEX(Sheet4!$2:$1605,MATCH(ChiTietKQKD[[#This Row],[Mã CP]],Sheet4!$B$2:$B$1605,0),_xlfn.XMATCH("*Tăng trưởng lợi nhuận sau thuế (QoQ)*",Sheet4!$1:$1,2)),"")</f>
        <v>0</v>
      </c>
    </row>
    <row r="1074" spans="1:18" x14ac:dyDescent="0.25">
      <c r="A1074" s="7">
        <f>Sheet4!A1053</f>
        <v>1052</v>
      </c>
      <c r="B1074" t="str">
        <f>Sheet4!B1053</f>
        <v>HLB</v>
      </c>
      <c r="C1074" t="str">
        <f>Sheet4!C1052</f>
        <v>Hữu Liên Á Châu</v>
      </c>
      <c r="D1074" t="str">
        <f>Sheet4!D1053</f>
        <v>UPCoM</v>
      </c>
      <c r="E1074" s="7">
        <f>Sheet4!AH1053/1000000000</f>
        <v>1376.2860000000001</v>
      </c>
      <c r="F1074" t="str">
        <f>Sheet4!E1053</f>
        <v>Hàng Tiêu dùng</v>
      </c>
      <c r="G1074" t="str">
        <f>Sheet4!F1053</f>
        <v>Thực phẩm và đồ uống</v>
      </c>
      <c r="H1074" t="str">
        <f>Sheet4!G1053</f>
        <v>Sản xuất bia</v>
      </c>
      <c r="I1074" s="9" t="str" cm="1">
        <f t="array" ref="I107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74" s="9" t="str" cm="1">
        <f t="array" ref="J107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74" s="10" cm="1">
        <f t="array" ref="K107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74" s="10" cm="1">
        <f t="array" ref="L107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74" s="9" t="str" cm="1">
        <f t="array" ref="M107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74" s="9" t="str" cm="1">
        <f t="array" ref="N107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74" s="10" cm="1">
        <f t="array" ref="O1074">IFERROR(INDEX(Sheet4!$2:$1605,MATCH(ChiTietKQKD[[#This Row],[Mã CP]],Sheet4!$B$2:$B$1605,0),_xlfn.XMATCH("*Tăng trưởng lợi nhuận sau thuế (YoY) (Quý*",Sheet4!$1:$1,2)),"")</f>
        <v>0</v>
      </c>
      <c r="P1074" s="10" cm="1">
        <f t="array" ref="P1074">IFERROR(INDEX(Sheet4!$2:$1605,MATCH(ChiTietKQKD[[#This Row],[Mã CP]],Sheet4!$B$2:$B$1605,0),_xlfn.XMATCH("*Tăng trưởng lợi nhuận sau thuế (YoY) (6M)*",Sheet4!$1:$1,2)),"")</f>
        <v>0</v>
      </c>
      <c r="Q1074" s="10" cm="1">
        <f t="array" ref="Q1074">IFERROR(INDEX(Sheet4!$2:$1605,MATCH(ChiTietKQKD[[#This Row],[Mã CP]],Sheet4!$B$2:$B$1605,0),_xlfn.XMATCH("*Tăng trưởng doanh thu thuần (QoQ)*",Sheet4!$1:$1,2)),"")</f>
        <v>0</v>
      </c>
      <c r="R1074" s="10" cm="1">
        <f t="array" ref="R1074">IFERROR(INDEX(Sheet4!$2:$1605,MATCH(ChiTietKQKD[[#This Row],[Mã CP]],Sheet4!$B$2:$B$1605,0),_xlfn.XMATCH("*Tăng trưởng lợi nhuận sau thuế (QoQ)*",Sheet4!$1:$1,2)),"")</f>
        <v>0</v>
      </c>
    </row>
    <row r="1075" spans="1:18" x14ac:dyDescent="0.25">
      <c r="A1075" s="7">
        <f>Sheet4!A1054</f>
        <v>1053</v>
      </c>
      <c r="B1075" t="str">
        <f>Sheet4!B1054</f>
        <v>HLO</v>
      </c>
      <c r="C1075" t="str">
        <f>Sheet4!C1053</f>
        <v>Bia và NGK Hạ Long</v>
      </c>
      <c r="D1075" t="str">
        <f>Sheet4!D1054</f>
        <v>UPCoM</v>
      </c>
      <c r="E1075" s="7">
        <f>Sheet4!AH1054/1000000000</f>
        <v>189.96874399999999</v>
      </c>
      <c r="F1075" t="str">
        <f>Sheet4!E1054</f>
        <v>Công nghiệp</v>
      </c>
      <c r="G1075" t="str">
        <f>Sheet4!F1054</f>
        <v>Hàng &amp; Dịch vụ Công nghiệp</v>
      </c>
      <c r="H1075" t="str">
        <f>Sheet4!G1054</f>
        <v>Hàng điện &amp; điện tử</v>
      </c>
      <c r="I1075" s="9" t="str" cm="1">
        <f t="array" ref="I107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75" s="9" t="str" cm="1">
        <f t="array" ref="J107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75" s="10" cm="1">
        <f t="array" ref="K107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75" s="10" cm="1">
        <f t="array" ref="L107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75" s="9" t="str" cm="1">
        <f t="array" ref="M107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75" s="9" t="str" cm="1">
        <f t="array" ref="N107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75" s="10" cm="1">
        <f t="array" ref="O1075">IFERROR(INDEX(Sheet4!$2:$1605,MATCH(ChiTietKQKD[[#This Row],[Mã CP]],Sheet4!$B$2:$B$1605,0),_xlfn.XMATCH("*Tăng trưởng lợi nhuận sau thuế (YoY) (Quý*",Sheet4!$1:$1,2)),"")</f>
        <v>0</v>
      </c>
      <c r="P1075" s="10" cm="1">
        <f t="array" ref="P1075">IFERROR(INDEX(Sheet4!$2:$1605,MATCH(ChiTietKQKD[[#This Row],[Mã CP]],Sheet4!$B$2:$B$1605,0),_xlfn.XMATCH("*Tăng trưởng lợi nhuận sau thuế (YoY) (6M)*",Sheet4!$1:$1,2)),"")</f>
        <v>0</v>
      </c>
      <c r="Q1075" s="10" cm="1">
        <f t="array" ref="Q1075">IFERROR(INDEX(Sheet4!$2:$1605,MATCH(ChiTietKQKD[[#This Row],[Mã CP]],Sheet4!$B$2:$B$1605,0),_xlfn.XMATCH("*Tăng trưởng doanh thu thuần (QoQ)*",Sheet4!$1:$1,2)),"")</f>
        <v>0</v>
      </c>
      <c r="R1075" s="10" cm="1">
        <f t="array" ref="R1075">IFERROR(INDEX(Sheet4!$2:$1605,MATCH(ChiTietKQKD[[#This Row],[Mã CP]],Sheet4!$B$2:$B$1605,0),_xlfn.XMATCH("*Tăng trưởng lợi nhuận sau thuế (QoQ)*",Sheet4!$1:$1,2)),"")</f>
        <v>0</v>
      </c>
    </row>
    <row r="1076" spans="1:18" x14ac:dyDescent="0.25">
      <c r="A1076" s="7">
        <f>Sheet4!A1055</f>
        <v>1054</v>
      </c>
      <c r="B1076" t="str">
        <f>Sheet4!B1055</f>
        <v>HLS</v>
      </c>
      <c r="C1076" t="str">
        <f>Sheet4!C1054</f>
        <v>Công Nghệ Ha Lô</v>
      </c>
      <c r="D1076" t="str">
        <f>Sheet4!D1055</f>
        <v>UPCoM</v>
      </c>
      <c r="E1076" s="7">
        <f>Sheet4!AH1055/1000000000</f>
        <v>295.98181249999999</v>
      </c>
      <c r="F1076" t="str">
        <f>Sheet4!E1055</f>
        <v>Công nghiệp</v>
      </c>
      <c r="G1076" t="str">
        <f>Sheet4!F1055</f>
        <v>Hàng &amp; Dịch vụ Công nghiệp</v>
      </c>
      <c r="H1076" t="str">
        <f>Sheet4!G1055</f>
        <v>Hàng điện &amp; điện tử</v>
      </c>
      <c r="I1076" s="9" t="str" cm="1">
        <f t="array" ref="I107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76" s="9" t="str" cm="1">
        <f t="array" ref="J107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76" s="10" cm="1">
        <f t="array" ref="K107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76" s="10" cm="1">
        <f t="array" ref="L107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76" s="9" t="str" cm="1">
        <f t="array" ref="M107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76" s="9" t="str" cm="1">
        <f t="array" ref="N107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76" s="10" cm="1">
        <f t="array" ref="O1076">IFERROR(INDEX(Sheet4!$2:$1605,MATCH(ChiTietKQKD[[#This Row],[Mã CP]],Sheet4!$B$2:$B$1605,0),_xlfn.XMATCH("*Tăng trưởng lợi nhuận sau thuế (YoY) (Quý*",Sheet4!$1:$1,2)),"")</f>
        <v>0</v>
      </c>
      <c r="P1076" s="10" cm="1">
        <f t="array" ref="P1076">IFERROR(INDEX(Sheet4!$2:$1605,MATCH(ChiTietKQKD[[#This Row],[Mã CP]],Sheet4!$B$2:$B$1605,0),_xlfn.XMATCH("*Tăng trưởng lợi nhuận sau thuế (YoY) (6M)*",Sheet4!$1:$1,2)),"")</f>
        <v>0</v>
      </c>
      <c r="Q1076" s="10" cm="1">
        <f t="array" ref="Q1076">IFERROR(INDEX(Sheet4!$2:$1605,MATCH(ChiTietKQKD[[#This Row],[Mã CP]],Sheet4!$B$2:$B$1605,0),_xlfn.XMATCH("*Tăng trưởng doanh thu thuần (QoQ)*",Sheet4!$1:$1,2)),"")</f>
        <v>0</v>
      </c>
      <c r="R1076" s="10" cm="1">
        <f t="array" ref="R1076">IFERROR(INDEX(Sheet4!$2:$1605,MATCH(ChiTietKQKD[[#This Row],[Mã CP]],Sheet4!$B$2:$B$1605,0),_xlfn.XMATCH("*Tăng trưởng lợi nhuận sau thuế (QoQ)*",Sheet4!$1:$1,2)),"")</f>
        <v>0</v>
      </c>
    </row>
    <row r="1077" spans="1:18" x14ac:dyDescent="0.25">
      <c r="A1077" s="7">
        <f>Sheet4!A1056</f>
        <v>1055</v>
      </c>
      <c r="B1077" t="str">
        <f>Sheet4!B1056</f>
        <v>HLT</v>
      </c>
      <c r="C1077" t="str">
        <f>Sheet4!C1055</f>
        <v>Sứ Hoàng Liên Sơn</v>
      </c>
      <c r="D1077" t="str">
        <f>Sheet4!D1056</f>
        <v>UPCoM</v>
      </c>
      <c r="E1077" s="7">
        <f>Sheet4!AH1056/1000000000</f>
        <v>58.3</v>
      </c>
      <c r="F1077" t="str">
        <f>Sheet4!E1056</f>
        <v>Hàng Tiêu dùng</v>
      </c>
      <c r="G1077" t="str">
        <f>Sheet4!F1056</f>
        <v>Hàng cá nhân &amp; Gia dụng</v>
      </c>
      <c r="H1077" t="str">
        <f>Sheet4!G1056</f>
        <v>Hàng May mặc</v>
      </c>
      <c r="I1077" s="9" t="str" cm="1">
        <f t="array" ref="I107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77" s="9" t="str" cm="1">
        <f t="array" ref="J107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77" s="10" cm="1">
        <f t="array" ref="K107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77" s="10" cm="1">
        <f t="array" ref="L107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77" s="9" t="str" cm="1">
        <f t="array" ref="M107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77" s="9" t="str" cm="1">
        <f t="array" ref="N107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77" s="10" cm="1">
        <f t="array" ref="O1077">IFERROR(INDEX(Sheet4!$2:$1605,MATCH(ChiTietKQKD[[#This Row],[Mã CP]],Sheet4!$B$2:$B$1605,0),_xlfn.XMATCH("*Tăng trưởng lợi nhuận sau thuế (YoY) (Quý*",Sheet4!$1:$1,2)),"")</f>
        <v>0</v>
      </c>
      <c r="P1077" s="10" cm="1">
        <f t="array" ref="P1077">IFERROR(INDEX(Sheet4!$2:$1605,MATCH(ChiTietKQKD[[#This Row],[Mã CP]],Sheet4!$B$2:$B$1605,0),_xlfn.XMATCH("*Tăng trưởng lợi nhuận sau thuế (YoY) (6M)*",Sheet4!$1:$1,2)),"")</f>
        <v>0</v>
      </c>
      <c r="Q1077" s="10" cm="1">
        <f t="array" ref="Q1077">IFERROR(INDEX(Sheet4!$2:$1605,MATCH(ChiTietKQKD[[#This Row],[Mã CP]],Sheet4!$B$2:$B$1605,0),_xlfn.XMATCH("*Tăng trưởng doanh thu thuần (QoQ)*",Sheet4!$1:$1,2)),"")</f>
        <v>0</v>
      </c>
      <c r="R1077" s="10" cm="1">
        <f t="array" ref="R1077">IFERROR(INDEX(Sheet4!$2:$1605,MATCH(ChiTietKQKD[[#This Row],[Mã CP]],Sheet4!$B$2:$B$1605,0),_xlfn.XMATCH("*Tăng trưởng lợi nhuận sau thuế (QoQ)*",Sheet4!$1:$1,2)),"")</f>
        <v>0</v>
      </c>
    </row>
    <row r="1078" spans="1:18" x14ac:dyDescent="0.25">
      <c r="A1078" s="7">
        <f>Sheet4!A1057</f>
        <v>1056</v>
      </c>
      <c r="B1078" t="str">
        <f>Sheet4!B1057</f>
        <v>HLY</v>
      </c>
      <c r="C1078" t="str">
        <f>Sheet4!C1056</f>
        <v>Dệt may Hoàng Thị Loan</v>
      </c>
      <c r="D1078" t="str">
        <f>Sheet4!D1057</f>
        <v>UPCoM</v>
      </c>
      <c r="E1078" s="7">
        <f>Sheet4!AH1057/1000000000</f>
        <v>9.8990594999999999</v>
      </c>
      <c r="F1078" t="str">
        <f>Sheet4!E1057</f>
        <v>Công nghiệp</v>
      </c>
      <c r="G1078" t="str">
        <f>Sheet4!F1057</f>
        <v>Xây dựng và Vật liệu</v>
      </c>
      <c r="H1078" t="str">
        <f>Sheet4!G1057</f>
        <v>Vật liệu xây dựng &amp; Nội thất</v>
      </c>
      <c r="I1078" s="9" t="str" cm="1">
        <f t="array" ref="I107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78" s="9" t="str" cm="1">
        <f t="array" ref="J107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78" s="10" cm="1">
        <f t="array" ref="K107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78" s="10" cm="1">
        <f t="array" ref="L107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78" s="9" t="str" cm="1">
        <f t="array" ref="M107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78" s="9" t="str" cm="1">
        <f t="array" ref="N107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78" s="10" cm="1">
        <f t="array" ref="O1078">IFERROR(INDEX(Sheet4!$2:$1605,MATCH(ChiTietKQKD[[#This Row],[Mã CP]],Sheet4!$B$2:$B$1605,0),_xlfn.XMATCH("*Tăng trưởng lợi nhuận sau thuế (YoY) (Quý*",Sheet4!$1:$1,2)),"")</f>
        <v>0</v>
      </c>
      <c r="P1078" s="10" cm="1">
        <f t="array" ref="P1078">IFERROR(INDEX(Sheet4!$2:$1605,MATCH(ChiTietKQKD[[#This Row],[Mã CP]],Sheet4!$B$2:$B$1605,0),_xlfn.XMATCH("*Tăng trưởng lợi nhuận sau thuế (YoY) (6M)*",Sheet4!$1:$1,2)),"")</f>
        <v>0</v>
      </c>
      <c r="Q1078" s="10" cm="1">
        <f t="array" ref="Q1078">IFERROR(INDEX(Sheet4!$2:$1605,MATCH(ChiTietKQKD[[#This Row],[Mã CP]],Sheet4!$B$2:$B$1605,0),_xlfn.XMATCH("*Tăng trưởng doanh thu thuần (QoQ)*",Sheet4!$1:$1,2)),"")</f>
        <v>0</v>
      </c>
      <c r="R1078" s="10" cm="1">
        <f t="array" ref="R1078">IFERROR(INDEX(Sheet4!$2:$1605,MATCH(ChiTietKQKD[[#This Row],[Mã CP]],Sheet4!$B$2:$B$1605,0),_xlfn.XMATCH("*Tăng trưởng lợi nhuận sau thuế (QoQ)*",Sheet4!$1:$1,2)),"")</f>
        <v>0</v>
      </c>
    </row>
    <row r="1079" spans="1:18" x14ac:dyDescent="0.25">
      <c r="A1079" s="7">
        <f>Sheet4!A1058</f>
        <v>1057</v>
      </c>
      <c r="B1079" t="str">
        <f>Sheet4!B1058</f>
        <v>HMD</v>
      </c>
      <c r="C1079" t="str">
        <f>Sheet4!C1057</f>
        <v>Gốm Xây Dựng Yên Hưng</v>
      </c>
      <c r="D1079" t="str">
        <f>Sheet4!D1058</f>
        <v>UPCoM</v>
      </c>
      <c r="E1079" s="7">
        <f>Sheet4!AH1058/1000000000</f>
        <v>98.193457499999994</v>
      </c>
      <c r="F1079" t="str">
        <f>Sheet4!E1058</f>
        <v>Nguyên vật liệu</v>
      </c>
      <c r="G1079" t="str">
        <f>Sheet4!F1058</f>
        <v>Hóa chất</v>
      </c>
      <c r="H1079" t="str">
        <f>Sheet4!G1058</f>
        <v>Sản phẩm hóa dầu, Nông dược &amp; Hóa chất khác</v>
      </c>
      <c r="I1079" s="9" t="str" cm="1">
        <f t="array" ref="I107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79" s="9" t="str" cm="1">
        <f t="array" ref="J107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79" s="10" cm="1">
        <f t="array" ref="K107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79" s="10" cm="1">
        <f t="array" ref="L107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79" s="9" t="str" cm="1">
        <f t="array" ref="M107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79" s="9" t="str" cm="1">
        <f t="array" ref="N107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79" s="10" cm="1">
        <f t="array" ref="O1079">IFERROR(INDEX(Sheet4!$2:$1605,MATCH(ChiTietKQKD[[#This Row],[Mã CP]],Sheet4!$B$2:$B$1605,0),_xlfn.XMATCH("*Tăng trưởng lợi nhuận sau thuế (YoY) (Quý*",Sheet4!$1:$1,2)),"")</f>
        <v>0</v>
      </c>
      <c r="P1079" s="10" cm="1">
        <f t="array" ref="P1079">IFERROR(INDEX(Sheet4!$2:$1605,MATCH(ChiTietKQKD[[#This Row],[Mã CP]],Sheet4!$B$2:$B$1605,0),_xlfn.XMATCH("*Tăng trưởng lợi nhuận sau thuế (YoY) (6M)*",Sheet4!$1:$1,2)),"")</f>
        <v>0</v>
      </c>
      <c r="Q1079" s="10" cm="1">
        <f t="array" ref="Q1079">IFERROR(INDEX(Sheet4!$2:$1605,MATCH(ChiTietKQKD[[#This Row],[Mã CP]],Sheet4!$B$2:$B$1605,0),_xlfn.XMATCH("*Tăng trưởng doanh thu thuần (QoQ)*",Sheet4!$1:$1,2)),"")</f>
        <v>0</v>
      </c>
      <c r="R1079" s="10" cm="1">
        <f t="array" ref="R1079">IFERROR(INDEX(Sheet4!$2:$1605,MATCH(ChiTietKQKD[[#This Row],[Mã CP]],Sheet4!$B$2:$B$1605,0),_xlfn.XMATCH("*Tăng trưởng lợi nhuận sau thuế (QoQ)*",Sheet4!$1:$1,2)),"")</f>
        <v>0</v>
      </c>
    </row>
    <row r="1080" spans="1:18" x14ac:dyDescent="0.25">
      <c r="A1080" s="7">
        <f>Sheet4!A1059</f>
        <v>1058</v>
      </c>
      <c r="B1080" t="str">
        <f>Sheet4!B1059</f>
        <v>HMG</v>
      </c>
      <c r="C1080" t="str">
        <f>Sheet4!C1058</f>
        <v>Hóa chất Minh Đức</v>
      </c>
      <c r="D1080" t="str">
        <f>Sheet4!D1059</f>
        <v>UPCoM</v>
      </c>
      <c r="E1080" s="7">
        <f>Sheet4!AH1059/1000000000</f>
        <v>42.3</v>
      </c>
      <c r="F1080" t="str">
        <f>Sheet4!E1059</f>
        <v>Nguyên vật liệu</v>
      </c>
      <c r="G1080" t="str">
        <f>Sheet4!F1059</f>
        <v>Tài nguyên Cơ bản</v>
      </c>
      <c r="H1080" t="str">
        <f>Sheet4!G1059</f>
        <v>Thép và sản phẩm thép</v>
      </c>
      <c r="I1080" s="9" t="str" cm="1">
        <f t="array" ref="I108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80" s="9" t="str" cm="1">
        <f t="array" ref="J108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80" s="10" cm="1">
        <f t="array" ref="K108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80" s="10" cm="1">
        <f t="array" ref="L108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80" s="9" t="str" cm="1">
        <f t="array" ref="M108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80" s="9" t="str" cm="1">
        <f t="array" ref="N108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80" s="10" cm="1">
        <f t="array" ref="O1080">IFERROR(INDEX(Sheet4!$2:$1605,MATCH(ChiTietKQKD[[#This Row],[Mã CP]],Sheet4!$B$2:$B$1605,0),_xlfn.XMATCH("*Tăng trưởng lợi nhuận sau thuế (YoY) (Quý*",Sheet4!$1:$1,2)),"")</f>
        <v>0</v>
      </c>
      <c r="P1080" s="10" cm="1">
        <f t="array" ref="P1080">IFERROR(INDEX(Sheet4!$2:$1605,MATCH(ChiTietKQKD[[#This Row],[Mã CP]],Sheet4!$B$2:$B$1605,0),_xlfn.XMATCH("*Tăng trưởng lợi nhuận sau thuế (YoY) (6M)*",Sheet4!$1:$1,2)),"")</f>
        <v>0</v>
      </c>
      <c r="Q1080" s="10" cm="1">
        <f t="array" ref="Q1080">IFERROR(INDEX(Sheet4!$2:$1605,MATCH(ChiTietKQKD[[#This Row],[Mã CP]],Sheet4!$B$2:$B$1605,0),_xlfn.XMATCH("*Tăng trưởng doanh thu thuần (QoQ)*",Sheet4!$1:$1,2)),"")</f>
        <v>0</v>
      </c>
      <c r="R1080" s="10" cm="1">
        <f t="array" ref="R1080">IFERROR(INDEX(Sheet4!$2:$1605,MATCH(ChiTietKQKD[[#This Row],[Mã CP]],Sheet4!$B$2:$B$1605,0),_xlfn.XMATCH("*Tăng trưởng lợi nhuận sau thuế (QoQ)*",Sheet4!$1:$1,2)),"")</f>
        <v>0</v>
      </c>
    </row>
    <row r="1081" spans="1:18" x14ac:dyDescent="0.25">
      <c r="A1081" s="7">
        <f>Sheet4!A1060</f>
        <v>1059</v>
      </c>
      <c r="B1081" t="str">
        <f>Sheet4!B1060</f>
        <v>HMS</v>
      </c>
      <c r="C1081" t="str">
        <f>Sheet4!C1059</f>
        <v>Kim Khí Hà Nội</v>
      </c>
      <c r="D1081" t="str">
        <f>Sheet4!D1060</f>
        <v>UPCoM</v>
      </c>
      <c r="E1081" s="7">
        <f>Sheet4!AH1060/1000000000</f>
        <v>354.29388434999998</v>
      </c>
      <c r="F1081" t="str">
        <f>Sheet4!E1060</f>
        <v>Công nghiệp</v>
      </c>
      <c r="G1081" t="str">
        <f>Sheet4!F1060</f>
        <v>Xây dựng và Vật liệu</v>
      </c>
      <c r="H1081" t="str">
        <f>Sheet4!G1060</f>
        <v>Xây dựng</v>
      </c>
      <c r="I1081" s="9" t="str" cm="1">
        <f t="array" ref="I108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81" s="9" t="str" cm="1">
        <f t="array" ref="J108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81" s="10" cm="1">
        <f t="array" ref="K108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81" s="10" cm="1">
        <f t="array" ref="L108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81" s="9" t="str" cm="1">
        <f t="array" ref="M108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81" s="9" t="str" cm="1">
        <f t="array" ref="N108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81" s="10" cm="1">
        <f t="array" ref="O1081">IFERROR(INDEX(Sheet4!$2:$1605,MATCH(ChiTietKQKD[[#This Row],[Mã CP]],Sheet4!$B$2:$B$1605,0),_xlfn.XMATCH("*Tăng trưởng lợi nhuận sau thuế (YoY) (Quý*",Sheet4!$1:$1,2)),"")</f>
        <v>0</v>
      </c>
      <c r="P1081" s="10" cm="1">
        <f t="array" ref="P1081">IFERROR(INDEX(Sheet4!$2:$1605,MATCH(ChiTietKQKD[[#This Row],[Mã CP]],Sheet4!$B$2:$B$1605,0),_xlfn.XMATCH("*Tăng trưởng lợi nhuận sau thuế (YoY) (6M)*",Sheet4!$1:$1,2)),"")</f>
        <v>0</v>
      </c>
      <c r="Q1081" s="10" cm="1">
        <f t="array" ref="Q1081">IFERROR(INDEX(Sheet4!$2:$1605,MATCH(ChiTietKQKD[[#This Row],[Mã CP]],Sheet4!$B$2:$B$1605,0),_xlfn.XMATCH("*Tăng trưởng doanh thu thuần (QoQ)*",Sheet4!$1:$1,2)),"")</f>
        <v>0</v>
      </c>
      <c r="R1081" s="10" cm="1">
        <f t="array" ref="R1081">IFERROR(INDEX(Sheet4!$2:$1605,MATCH(ChiTietKQKD[[#This Row],[Mã CP]],Sheet4!$B$2:$B$1605,0),_xlfn.XMATCH("*Tăng trưởng lợi nhuận sau thuế (QoQ)*",Sheet4!$1:$1,2)),"")</f>
        <v>0</v>
      </c>
    </row>
    <row r="1082" spans="1:18" x14ac:dyDescent="0.25">
      <c r="A1082" s="7">
        <f>Sheet4!A1061</f>
        <v>1060</v>
      </c>
      <c r="B1082" t="str">
        <f>Sheet4!B1061</f>
        <v>HNB</v>
      </c>
      <c r="C1082" t="str">
        <f>Sheet4!C1060</f>
        <v>XD Bảo tàng Hồ Chí Minh</v>
      </c>
      <c r="D1082" t="str">
        <f>Sheet4!D1061</f>
        <v>UPCoM</v>
      </c>
      <c r="E1082" s="7">
        <f>Sheet4!AH1061/1000000000</f>
        <v>114.893</v>
      </c>
      <c r="F1082" t="str">
        <f>Sheet4!E1061</f>
        <v>Công nghiệp</v>
      </c>
      <c r="G1082" t="str">
        <f>Sheet4!F1061</f>
        <v>Hàng &amp; Dịch vụ Công nghiệp</v>
      </c>
      <c r="H1082" t="str">
        <f>Sheet4!G1061</f>
        <v>Kho bãi, hậu cần và bảo dưỡng</v>
      </c>
      <c r="I1082" s="9" t="str" cm="1">
        <f t="array" ref="I108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82" s="9" t="str" cm="1">
        <f t="array" ref="J108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82" s="10" cm="1">
        <f t="array" ref="K108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82" s="10" cm="1">
        <f t="array" ref="L108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82" s="9" t="str" cm="1">
        <f t="array" ref="M108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82" s="9" t="str" cm="1">
        <f t="array" ref="N108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82" s="10" cm="1">
        <f t="array" ref="O1082">IFERROR(INDEX(Sheet4!$2:$1605,MATCH(ChiTietKQKD[[#This Row],[Mã CP]],Sheet4!$B$2:$B$1605,0),_xlfn.XMATCH("*Tăng trưởng lợi nhuận sau thuế (YoY) (Quý*",Sheet4!$1:$1,2)),"")</f>
        <v>0</v>
      </c>
      <c r="P1082" s="10" cm="1">
        <f t="array" ref="P1082">IFERROR(INDEX(Sheet4!$2:$1605,MATCH(ChiTietKQKD[[#This Row],[Mã CP]],Sheet4!$B$2:$B$1605,0),_xlfn.XMATCH("*Tăng trưởng lợi nhuận sau thuế (YoY) (6M)*",Sheet4!$1:$1,2)),"")</f>
        <v>0</v>
      </c>
      <c r="Q1082" s="10" cm="1">
        <f t="array" ref="Q1082">IFERROR(INDEX(Sheet4!$2:$1605,MATCH(ChiTietKQKD[[#This Row],[Mã CP]],Sheet4!$B$2:$B$1605,0),_xlfn.XMATCH("*Tăng trưởng doanh thu thuần (QoQ)*",Sheet4!$1:$1,2)),"")</f>
        <v>0</v>
      </c>
      <c r="R1082" s="10" cm="1">
        <f t="array" ref="R1082">IFERROR(INDEX(Sheet4!$2:$1605,MATCH(ChiTietKQKD[[#This Row],[Mã CP]],Sheet4!$B$2:$B$1605,0),_xlfn.XMATCH("*Tăng trưởng lợi nhuận sau thuế (QoQ)*",Sheet4!$1:$1,2)),"")</f>
        <v>0</v>
      </c>
    </row>
    <row r="1083" spans="1:18" x14ac:dyDescent="0.25">
      <c r="A1083" s="7">
        <f>Sheet4!A1062</f>
        <v>1061</v>
      </c>
      <c r="B1083" t="str">
        <f>Sheet4!B1062</f>
        <v>HNC</v>
      </c>
      <c r="C1083" t="str">
        <f>Sheet4!C1061</f>
        <v>Bến xe Hà Nội</v>
      </c>
      <c r="D1083" t="str">
        <f>Sheet4!D1062</f>
        <v>UPCoM</v>
      </c>
      <c r="E1083" s="7">
        <f>Sheet4!AH1062/1000000000</f>
        <v>0</v>
      </c>
      <c r="F1083" t="str">
        <f>Sheet4!E1062</f>
        <v>Công nghiệp</v>
      </c>
      <c r="G1083" t="str">
        <f>Sheet4!F1062</f>
        <v>Xây dựng và Vật liệu</v>
      </c>
      <c r="H1083" t="str">
        <f>Sheet4!G1062</f>
        <v>Vật liệu xây dựng &amp; Nội thất</v>
      </c>
      <c r="I1083" s="9" t="str" cm="1">
        <f t="array" ref="I108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83" s="9" t="str" cm="1">
        <f t="array" ref="J108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83" s="10" cm="1">
        <f t="array" ref="K108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83" s="10" cm="1">
        <f t="array" ref="L108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83" s="9" t="str" cm="1">
        <f t="array" ref="M108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83" s="9" t="str" cm="1">
        <f t="array" ref="N108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83" s="10" cm="1">
        <f t="array" ref="O1083">IFERROR(INDEX(Sheet4!$2:$1605,MATCH(ChiTietKQKD[[#This Row],[Mã CP]],Sheet4!$B$2:$B$1605,0),_xlfn.XMATCH("*Tăng trưởng lợi nhuận sau thuế (YoY) (Quý*",Sheet4!$1:$1,2)),"")</f>
        <v>0</v>
      </c>
      <c r="P1083" s="10" cm="1">
        <f t="array" ref="P1083">IFERROR(INDEX(Sheet4!$2:$1605,MATCH(ChiTietKQKD[[#This Row],[Mã CP]],Sheet4!$B$2:$B$1605,0),_xlfn.XMATCH("*Tăng trưởng lợi nhuận sau thuế (YoY) (6M)*",Sheet4!$1:$1,2)),"")</f>
        <v>0</v>
      </c>
      <c r="Q1083" s="10" cm="1">
        <f t="array" ref="Q1083">IFERROR(INDEX(Sheet4!$2:$1605,MATCH(ChiTietKQKD[[#This Row],[Mã CP]],Sheet4!$B$2:$B$1605,0),_xlfn.XMATCH("*Tăng trưởng doanh thu thuần (QoQ)*",Sheet4!$1:$1,2)),"")</f>
        <v>0</v>
      </c>
      <c r="R1083" s="10" cm="1">
        <f t="array" ref="R1083">IFERROR(INDEX(Sheet4!$2:$1605,MATCH(ChiTietKQKD[[#This Row],[Mã CP]],Sheet4!$B$2:$B$1605,0),_xlfn.XMATCH("*Tăng trưởng lợi nhuận sau thuế (QoQ)*",Sheet4!$1:$1,2)),"")</f>
        <v>0</v>
      </c>
    </row>
    <row r="1084" spans="1:18" x14ac:dyDescent="0.25">
      <c r="A1084" s="7">
        <f>Sheet4!A1063</f>
        <v>1062</v>
      </c>
      <c r="B1084" t="str">
        <f>Sheet4!B1063</f>
        <v>HND</v>
      </c>
      <c r="C1084" t="str">
        <f>Sheet4!C1062</f>
        <v>Xi măng Hữu Nghị</v>
      </c>
      <c r="D1084" t="str">
        <f>Sheet4!D1063</f>
        <v>UPCoM</v>
      </c>
      <c r="E1084" s="7">
        <f>Sheet4!AH1063/1000000000</f>
        <v>4906.5</v>
      </c>
      <c r="F1084" t="str">
        <f>Sheet4!E1063</f>
        <v>Tiện ích Cộng đồng</v>
      </c>
      <c r="G1084" t="str">
        <f>Sheet4!F1063</f>
        <v>Điện, nước &amp; xăng dầu khí đốt</v>
      </c>
      <c r="H1084" t="str">
        <f>Sheet4!G1063</f>
        <v>Sản xuất &amp; Phân phối Điện</v>
      </c>
      <c r="I1084" s="9" cm="1">
        <f t="array" ref="I108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3535.4906432610001</v>
      </c>
      <c r="J1084" s="9" cm="1">
        <f t="array" ref="J108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6080.6846606279996</v>
      </c>
      <c r="K1084" s="10" cm="1">
        <f t="array" ref="K108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0.18970000000000001</v>
      </c>
      <c r="L1084" s="10" cm="1">
        <f t="array" ref="L108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8.0199999999999994E-2</v>
      </c>
      <c r="M1084" s="9" cm="1">
        <f t="array" ref="M1084">_xlfn.LET(_xlpm.val,IFERROR(INDEX(Sheet4!$2:$1605,MATCH(ChiTietKQKD[[#This Row],[Mã CP]],Sheet4!$B$2:$B$1605,0),_xlfn.XMATCH("*Lợi nhuận sau thuế*Q2*2026*",Sheet4!$1:$1,2)),0),IF(OR(_xlpm.val="",_xlpm.val=0),"",_xlpm.val/1000000000))</f>
        <v>292.19464829399999</v>
      </c>
      <c r="N1084" s="9" cm="1">
        <f t="array" ref="N1084">_xlfn.LET(_xlpm.val,IFERROR(INDEX(Sheet4!$2:$1605,MATCH(ChiTietKQKD[[#This Row],[Mã CP]],Sheet4!$B$2:$B$1605,0),_xlfn.XMATCH("*Lợi nhuận sau thuế*6 tháng*2026*",Sheet4!$1:$1,2)),0),IF(OR(_xlpm.val="",_xlpm.val=0),"",_xlpm.val/1000000000))</f>
        <v>508.24142157099999</v>
      </c>
      <c r="O1084" s="10" cm="1">
        <f t="array" ref="O1084">IFERROR(INDEX(Sheet4!$2:$1605,MATCH(ChiTietKQKD[[#This Row],[Mã CP]],Sheet4!$B$2:$B$1605,0),_xlfn.XMATCH("*Tăng trưởng lợi nhuận sau thuế (YoY) (Quý*",Sheet4!$1:$1,2)),"")</f>
        <v>0.2089</v>
      </c>
      <c r="P1084" s="10" cm="1">
        <f t="array" ref="P1084">IFERROR(INDEX(Sheet4!$2:$1605,MATCH(ChiTietKQKD[[#This Row],[Mã CP]],Sheet4!$B$2:$B$1605,0),_xlfn.XMATCH("*Tăng trưởng lợi nhuận sau thuế (YoY) (6M)*",Sheet4!$1:$1,2)),"")</f>
        <v>0.24629999999999999</v>
      </c>
      <c r="Q1084" s="10" cm="1">
        <f t="array" ref="Q1084">IFERROR(INDEX(Sheet4!$2:$1605,MATCH(ChiTietKQKD[[#This Row],[Mã CP]],Sheet4!$B$2:$B$1605,0),_xlfn.XMATCH("*Tăng trưởng doanh thu thuần (QoQ)*",Sheet4!$1:$1,2)),"")</f>
        <v>0.3891</v>
      </c>
      <c r="R1084" s="10" cm="1">
        <f t="array" ref="R1084">IFERROR(INDEX(Sheet4!$2:$1605,MATCH(ChiTietKQKD[[#This Row],[Mã CP]],Sheet4!$B$2:$B$1605,0),_xlfn.XMATCH("*Tăng trưởng lợi nhuận sau thuế (QoQ)*",Sheet4!$1:$1,2)),"")</f>
        <v>0.35249999999999998</v>
      </c>
    </row>
    <row r="1085" spans="1:18" x14ac:dyDescent="0.25">
      <c r="A1085" s="7">
        <f>Sheet4!A1064</f>
        <v>1063</v>
      </c>
      <c r="B1085" t="str">
        <f>Sheet4!B1064</f>
        <v>HNF</v>
      </c>
      <c r="C1085" t="str">
        <f>Sheet4!C1063</f>
        <v>Nhiệt điện Hải Phòng</v>
      </c>
      <c r="D1085" t="str">
        <f>Sheet4!D1064</f>
        <v>UPCoM</v>
      </c>
      <c r="E1085" s="7">
        <f>Sheet4!AH1064/1000000000</f>
        <v>714</v>
      </c>
      <c r="F1085" t="str">
        <f>Sheet4!E1064</f>
        <v>Hàng Tiêu dùng</v>
      </c>
      <c r="G1085" t="str">
        <f>Sheet4!F1064</f>
        <v>Thực phẩm và đồ uống</v>
      </c>
      <c r="H1085" t="str">
        <f>Sheet4!G1064</f>
        <v>Thực phẩm</v>
      </c>
      <c r="I1085" s="9" cm="1">
        <f t="array" ref="I108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336.21990952300001</v>
      </c>
      <c r="J1085" s="9" cm="1">
        <f t="array" ref="J108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878.45743009499995</v>
      </c>
      <c r="K1085" s="10" cm="1">
        <f t="array" ref="K108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-2.4899999999999999E-2</v>
      </c>
      <c r="L1085" s="10" cm="1">
        <f t="array" ref="L108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0.20330000000000001</v>
      </c>
      <c r="M1085" s="9" cm="1">
        <f t="array" ref="M1085">_xlfn.LET(_xlpm.val,IFERROR(INDEX(Sheet4!$2:$1605,MATCH(ChiTietKQKD[[#This Row],[Mã CP]],Sheet4!$B$2:$B$1605,0),_xlfn.XMATCH("*Lợi nhuận sau thuế*Q2*2026*",Sheet4!$1:$1,2)),0),IF(OR(_xlpm.val="",_xlpm.val=0),"",_xlpm.val/1000000000))</f>
        <v>8.9912601700000003</v>
      </c>
      <c r="N1085" s="9" cm="1">
        <f t="array" ref="N1085">_xlfn.LET(_xlpm.val,IFERROR(INDEX(Sheet4!$2:$1605,MATCH(ChiTietKQKD[[#This Row],[Mã CP]],Sheet4!$B$2:$B$1605,0),_xlfn.XMATCH("*Lợi nhuận sau thuế*6 tháng*2026*",Sheet4!$1:$1,2)),0),IF(OR(_xlpm.val="",_xlpm.val=0),"",_xlpm.val/1000000000))</f>
        <v>36.834867785</v>
      </c>
      <c r="O1085" s="10" cm="1">
        <f t="array" ref="O1085">IFERROR(INDEX(Sheet4!$2:$1605,MATCH(ChiTietKQKD[[#This Row],[Mã CP]],Sheet4!$B$2:$B$1605,0),_xlfn.XMATCH("*Tăng trưởng lợi nhuận sau thuế (YoY) (Quý*",Sheet4!$1:$1,2)),"")</f>
        <v>4.6100000000000002E-2</v>
      </c>
      <c r="P1085" s="10" cm="1">
        <f t="array" ref="P1085">IFERROR(INDEX(Sheet4!$2:$1605,MATCH(ChiTietKQKD[[#This Row],[Mã CP]],Sheet4!$B$2:$B$1605,0),_xlfn.XMATCH("*Tăng trưởng lợi nhuận sau thuế (YoY) (6M)*",Sheet4!$1:$1,2)),"")</f>
        <v>-2.5399999999999999E-2</v>
      </c>
      <c r="Q1085" s="10" cm="1">
        <f t="array" ref="Q1085">IFERROR(INDEX(Sheet4!$2:$1605,MATCH(ChiTietKQKD[[#This Row],[Mã CP]],Sheet4!$B$2:$B$1605,0),_xlfn.XMATCH("*Tăng trưởng doanh thu thuần (QoQ)*",Sheet4!$1:$1,2)),"")</f>
        <v>-0.37990000000000002</v>
      </c>
      <c r="R1085" s="10" cm="1">
        <f t="array" ref="R1085">IFERROR(INDEX(Sheet4!$2:$1605,MATCH(ChiTietKQKD[[#This Row],[Mã CP]],Sheet4!$B$2:$B$1605,0),_xlfn.XMATCH("*Tăng trưởng lợi nhuận sau thuế (QoQ)*",Sheet4!$1:$1,2)),"")</f>
        <v>-0.67710000000000004</v>
      </c>
    </row>
    <row r="1086" spans="1:18" x14ac:dyDescent="0.25">
      <c r="A1086" s="7">
        <f>Sheet4!A1065</f>
        <v>1064</v>
      </c>
      <c r="B1086" t="str">
        <f>Sheet4!B1065</f>
        <v>HNG</v>
      </c>
      <c r="C1086" t="str">
        <f>Sheet4!C1064</f>
        <v>Bánh kẹo Hữu Nghị</v>
      </c>
      <c r="D1086" t="str">
        <f>Sheet4!D1065</f>
        <v>UPCoM</v>
      </c>
      <c r="E1086" s="7">
        <f>Sheet4!AH1065/1000000000</f>
        <v>7136.8699760099998</v>
      </c>
      <c r="F1086" t="str">
        <f>Sheet4!E1065</f>
        <v>Hàng Tiêu dùng</v>
      </c>
      <c r="G1086" t="str">
        <f>Sheet4!F1065</f>
        <v>Thực phẩm và đồ uống</v>
      </c>
      <c r="H1086" t="str">
        <f>Sheet4!G1065</f>
        <v>Nuôi trồng nông &amp; hải sản</v>
      </c>
      <c r="I1086" s="9" t="str" cm="1">
        <f t="array" ref="I108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86" s="9" t="str" cm="1">
        <f t="array" ref="J108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86" s="10" cm="1">
        <f t="array" ref="K108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86" s="10" cm="1">
        <f t="array" ref="L108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86" s="9" t="str" cm="1">
        <f t="array" ref="M108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86" s="9" t="str" cm="1">
        <f t="array" ref="N108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86" s="10" cm="1">
        <f t="array" ref="O1086">IFERROR(INDEX(Sheet4!$2:$1605,MATCH(ChiTietKQKD[[#This Row],[Mã CP]],Sheet4!$B$2:$B$1605,0),_xlfn.XMATCH("*Tăng trưởng lợi nhuận sau thuế (YoY) (Quý*",Sheet4!$1:$1,2)),"")</f>
        <v>0</v>
      </c>
      <c r="P1086" s="10" cm="1">
        <f t="array" ref="P1086">IFERROR(INDEX(Sheet4!$2:$1605,MATCH(ChiTietKQKD[[#This Row],[Mã CP]],Sheet4!$B$2:$B$1605,0),_xlfn.XMATCH("*Tăng trưởng lợi nhuận sau thuế (YoY) (6M)*",Sheet4!$1:$1,2)),"")</f>
        <v>0</v>
      </c>
      <c r="Q1086" s="10" cm="1">
        <f t="array" ref="Q1086">IFERROR(INDEX(Sheet4!$2:$1605,MATCH(ChiTietKQKD[[#This Row],[Mã CP]],Sheet4!$B$2:$B$1605,0),_xlfn.XMATCH("*Tăng trưởng doanh thu thuần (QoQ)*",Sheet4!$1:$1,2)),"")</f>
        <v>0</v>
      </c>
      <c r="R1086" s="10" cm="1">
        <f t="array" ref="R1086">IFERROR(INDEX(Sheet4!$2:$1605,MATCH(ChiTietKQKD[[#This Row],[Mã CP]],Sheet4!$B$2:$B$1605,0),_xlfn.XMATCH("*Tăng trưởng lợi nhuận sau thuế (QoQ)*",Sheet4!$1:$1,2)),"")</f>
        <v>0</v>
      </c>
    </row>
    <row r="1087" spans="1:18" x14ac:dyDescent="0.25">
      <c r="A1087" s="7">
        <f>Sheet4!A1066</f>
        <v>1065</v>
      </c>
      <c r="B1087" t="str">
        <f>Sheet4!B1066</f>
        <v>HNI</v>
      </c>
      <c r="C1087" t="str">
        <f>Sheet4!C1065</f>
        <v>Nông nghiệp Quốc tế HAGL</v>
      </c>
      <c r="D1087" t="str">
        <f>Sheet4!D1066</f>
        <v>UPCoM</v>
      </c>
      <c r="E1087" s="7">
        <f>Sheet4!AH1066/1000000000</f>
        <v>506.46713999999997</v>
      </c>
      <c r="F1087" t="str">
        <f>Sheet4!E1066</f>
        <v>Hàng Tiêu dùng</v>
      </c>
      <c r="G1087" t="str">
        <f>Sheet4!F1066</f>
        <v>Hàng cá nhân &amp; Gia dụng</v>
      </c>
      <c r="H1087" t="str">
        <f>Sheet4!G1066</f>
        <v>Hàng May mặc</v>
      </c>
      <c r="I1087" s="9" cm="1">
        <f t="array" ref="I108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270.30605741699998</v>
      </c>
      <c r="J1087" s="9" cm="1">
        <f t="array" ref="J108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438.92666232400001</v>
      </c>
      <c r="K1087" s="10" cm="1">
        <f t="array" ref="K108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-0.24640000000000001</v>
      </c>
      <c r="L1087" s="10" cm="1">
        <f t="array" ref="L108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-0.2014</v>
      </c>
      <c r="M1087" s="9" cm="1">
        <f t="array" ref="M1087">_xlfn.LET(_xlpm.val,IFERROR(INDEX(Sheet4!$2:$1605,MATCH(ChiTietKQKD[[#This Row],[Mã CP]],Sheet4!$B$2:$B$1605,0),_xlfn.XMATCH("*Lợi nhuận sau thuế*Q2*2026*",Sheet4!$1:$1,2)),0),IF(OR(_xlpm.val="",_xlpm.val=0),"",_xlpm.val/1000000000))</f>
        <v>10.557230967000001</v>
      </c>
      <c r="N1087" s="9" cm="1">
        <f t="array" ref="N1087">_xlfn.LET(_xlpm.val,IFERROR(INDEX(Sheet4!$2:$1605,MATCH(ChiTietKQKD[[#This Row],[Mã CP]],Sheet4!$B$2:$B$1605,0),_xlfn.XMATCH("*Lợi nhuận sau thuế*6 tháng*2026*",Sheet4!$1:$1,2)),0),IF(OR(_xlpm.val="",_xlpm.val=0),"",_xlpm.val/1000000000))</f>
        <v>20.373525991000001</v>
      </c>
      <c r="O1087" s="10" cm="1">
        <f t="array" ref="O1087">IFERROR(INDEX(Sheet4!$2:$1605,MATCH(ChiTietKQKD[[#This Row],[Mã CP]],Sheet4!$B$2:$B$1605,0),_xlfn.XMATCH("*Tăng trưởng lợi nhuận sau thuế (YoY) (Quý*",Sheet4!$1:$1,2)),"")</f>
        <v>-0.32200000000000001</v>
      </c>
      <c r="P1087" s="10" cm="1">
        <f t="array" ref="P1087">IFERROR(INDEX(Sheet4!$2:$1605,MATCH(ChiTietKQKD[[#This Row],[Mã CP]],Sheet4!$B$2:$B$1605,0),_xlfn.XMATCH("*Tăng trưởng lợi nhuận sau thuế (YoY) (6M)*",Sheet4!$1:$1,2)),"")</f>
        <v>-0.20039999999999999</v>
      </c>
      <c r="Q1087" s="10" cm="1">
        <f t="array" ref="Q1087">IFERROR(INDEX(Sheet4!$2:$1605,MATCH(ChiTietKQKD[[#This Row],[Mã CP]],Sheet4!$B$2:$B$1605,0),_xlfn.XMATCH("*Tăng trưởng doanh thu thuần (QoQ)*",Sheet4!$1:$1,2)),"")</f>
        <v>0.60299999999999998</v>
      </c>
      <c r="R1087" s="10" cm="1">
        <f t="array" ref="R1087">IFERROR(INDEX(Sheet4!$2:$1605,MATCH(ChiTietKQKD[[#This Row],[Mã CP]],Sheet4!$B$2:$B$1605,0),_xlfn.XMATCH("*Tăng trưởng lợi nhuận sau thuế (QoQ)*",Sheet4!$1:$1,2)),"")</f>
        <v>7.5499999999999998E-2</v>
      </c>
    </row>
    <row r="1088" spans="1:18" x14ac:dyDescent="0.25">
      <c r="A1088" s="7">
        <f>Sheet4!A1067</f>
        <v>1066</v>
      </c>
      <c r="B1088" t="str">
        <f>Sheet4!B1067</f>
        <v>HNM</v>
      </c>
      <c r="C1088" t="str">
        <f>Sheet4!C1066</f>
        <v>May Hữu Nghị</v>
      </c>
      <c r="D1088" t="str">
        <f>Sheet4!D1067</f>
        <v>UPCoM</v>
      </c>
      <c r="E1088" s="7">
        <f>Sheet4!AH1067/1000000000</f>
        <v>372.96</v>
      </c>
      <c r="F1088" t="str">
        <f>Sheet4!E1067</f>
        <v>Hàng Tiêu dùng</v>
      </c>
      <c r="G1088" t="str">
        <f>Sheet4!F1067</f>
        <v>Thực phẩm và đồ uống</v>
      </c>
      <c r="H1088" t="str">
        <f>Sheet4!G1067</f>
        <v>Thực phẩm</v>
      </c>
      <c r="I1088" s="9" cm="1">
        <f t="array" ref="I108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195.82512956799999</v>
      </c>
      <c r="J1088" s="9" cm="1">
        <f t="array" ref="J108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385.44520029300003</v>
      </c>
      <c r="K1088" s="10" cm="1">
        <f t="array" ref="K108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7.3800000000000004E-2</v>
      </c>
      <c r="L1088" s="10" cm="1">
        <f t="array" ref="L108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2.9000000000000001E-2</v>
      </c>
      <c r="M1088" s="9" cm="1">
        <f t="array" ref="M1088">_xlfn.LET(_xlpm.val,IFERROR(INDEX(Sheet4!$2:$1605,MATCH(ChiTietKQKD[[#This Row],[Mã CP]],Sheet4!$B$2:$B$1605,0),_xlfn.XMATCH("*Lợi nhuận sau thuế*Q2*2026*",Sheet4!$1:$1,2)),0),IF(OR(_xlpm.val="",_xlpm.val=0),"",_xlpm.val/1000000000))</f>
        <v>7.812277065</v>
      </c>
      <c r="N1088" s="9" cm="1">
        <f t="array" ref="N1088">_xlfn.LET(_xlpm.val,IFERROR(INDEX(Sheet4!$2:$1605,MATCH(ChiTietKQKD[[#This Row],[Mã CP]],Sheet4!$B$2:$B$1605,0),_xlfn.XMATCH("*Lợi nhuận sau thuế*6 tháng*2026*",Sheet4!$1:$1,2)),0),IF(OR(_xlpm.val="",_xlpm.val=0),"",_xlpm.val/1000000000))</f>
        <v>11.547374042</v>
      </c>
      <c r="O1088" s="10" cm="1">
        <f t="array" ref="O1088">IFERROR(INDEX(Sheet4!$2:$1605,MATCH(ChiTietKQKD[[#This Row],[Mã CP]],Sheet4!$B$2:$B$1605,0),_xlfn.XMATCH("*Tăng trưởng lợi nhuận sau thuế (YoY) (Quý*",Sheet4!$1:$1,2)),"")</f>
        <v>0.56310000000000004</v>
      </c>
      <c r="P1088" s="10" cm="1">
        <f t="array" ref="P1088">IFERROR(INDEX(Sheet4!$2:$1605,MATCH(ChiTietKQKD[[#This Row],[Mã CP]],Sheet4!$B$2:$B$1605,0),_xlfn.XMATCH("*Tăng trưởng lợi nhuận sau thuế (YoY) (6M)*",Sheet4!$1:$1,2)),"")</f>
        <v>-0.1166</v>
      </c>
      <c r="Q1088" s="10" cm="1">
        <f t="array" ref="Q1088">IFERROR(INDEX(Sheet4!$2:$1605,MATCH(ChiTietKQKD[[#This Row],[Mã CP]],Sheet4!$B$2:$B$1605,0),_xlfn.XMATCH("*Tăng trưởng doanh thu thuần (QoQ)*",Sheet4!$1:$1,2)),"")</f>
        <v>3.27E-2</v>
      </c>
      <c r="R1088" s="10" cm="1">
        <f t="array" ref="R1088">IFERROR(INDEX(Sheet4!$2:$1605,MATCH(ChiTietKQKD[[#This Row],[Mã CP]],Sheet4!$B$2:$B$1605,0),_xlfn.XMATCH("*Tăng trưởng lợi nhuận sau thuế (QoQ)*",Sheet4!$1:$1,2)),"")</f>
        <v>1.0915999999999999</v>
      </c>
    </row>
    <row r="1089" spans="1:18" x14ac:dyDescent="0.25">
      <c r="A1089" s="7">
        <f>Sheet4!A1068</f>
        <v>1067</v>
      </c>
      <c r="B1089" t="str">
        <f>Sheet4!B1068</f>
        <v>HNP</v>
      </c>
      <c r="C1089" t="str">
        <f>Sheet4!C1067</f>
        <v>HANOIMILK</v>
      </c>
      <c r="D1089" t="str">
        <f>Sheet4!D1068</f>
        <v>UPCoM</v>
      </c>
      <c r="E1089" s="7">
        <f>Sheet4!AH1068/1000000000</f>
        <v>90</v>
      </c>
      <c r="F1089" t="str">
        <f>Sheet4!E1068</f>
        <v>Nguyên vật liệu</v>
      </c>
      <c r="G1089" t="str">
        <f>Sheet4!F1068</f>
        <v>Hóa chất</v>
      </c>
      <c r="H1089" t="str">
        <f>Sheet4!G1068</f>
        <v>Nhựa, cao su &amp; sợi</v>
      </c>
      <c r="I1089" s="9" t="str" cm="1">
        <f t="array" ref="I108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89" s="9" t="str" cm="1">
        <f t="array" ref="J108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89" s="10" cm="1">
        <f t="array" ref="K108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89" s="10" cm="1">
        <f t="array" ref="L108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89" s="9" t="str" cm="1">
        <f t="array" ref="M108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89" s="9" t="str" cm="1">
        <f t="array" ref="N108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89" s="10" cm="1">
        <f t="array" ref="O1089">IFERROR(INDEX(Sheet4!$2:$1605,MATCH(ChiTietKQKD[[#This Row],[Mã CP]],Sheet4!$B$2:$B$1605,0),_xlfn.XMATCH("*Tăng trưởng lợi nhuận sau thuế (YoY) (Quý*",Sheet4!$1:$1,2)),"")</f>
        <v>0</v>
      </c>
      <c r="P1089" s="10" cm="1">
        <f t="array" ref="P1089">IFERROR(INDEX(Sheet4!$2:$1605,MATCH(ChiTietKQKD[[#This Row],[Mã CP]],Sheet4!$B$2:$B$1605,0),_xlfn.XMATCH("*Tăng trưởng lợi nhuận sau thuế (YoY) (6M)*",Sheet4!$1:$1,2)),"")</f>
        <v>0</v>
      </c>
      <c r="Q1089" s="10" cm="1">
        <f t="array" ref="Q1089">IFERROR(INDEX(Sheet4!$2:$1605,MATCH(ChiTietKQKD[[#This Row],[Mã CP]],Sheet4!$B$2:$B$1605,0),_xlfn.XMATCH("*Tăng trưởng doanh thu thuần (QoQ)*",Sheet4!$1:$1,2)),"")</f>
        <v>0</v>
      </c>
      <c r="R1089" s="10" cm="1">
        <f t="array" ref="R1089">IFERROR(INDEX(Sheet4!$2:$1605,MATCH(ChiTietKQKD[[#This Row],[Mã CP]],Sheet4!$B$2:$B$1605,0),_xlfn.XMATCH("*Tăng trưởng lợi nhuận sau thuế (QoQ)*",Sheet4!$1:$1,2)),"")</f>
        <v>0</v>
      </c>
    </row>
    <row r="1090" spans="1:18" x14ac:dyDescent="0.25">
      <c r="A1090" s="7">
        <f>Sheet4!A1069</f>
        <v>1068</v>
      </c>
      <c r="B1090" t="str">
        <f>Sheet4!B1069</f>
        <v>HNR</v>
      </c>
      <c r="C1090" t="str">
        <f>Sheet4!C1068</f>
        <v>Hanel Xốp Nhựa</v>
      </c>
      <c r="D1090" t="str">
        <f>Sheet4!D1069</f>
        <v>UPCoM</v>
      </c>
      <c r="E1090" s="7">
        <f>Sheet4!AH1069/1000000000</f>
        <v>240</v>
      </c>
      <c r="F1090" t="str">
        <f>Sheet4!E1069</f>
        <v>Hàng Tiêu dùng</v>
      </c>
      <c r="G1090" t="str">
        <f>Sheet4!F1069</f>
        <v>Thực phẩm và đồ uống</v>
      </c>
      <c r="H1090" t="str">
        <f>Sheet4!G1069</f>
        <v>Vang &amp; Rượu mạnh</v>
      </c>
      <c r="I1090" s="9" cm="1">
        <f t="array" ref="I109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31.294863612</v>
      </c>
      <c r="J1090" s="9" cm="1">
        <f t="array" ref="J109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70.908062095999995</v>
      </c>
      <c r="K1090" s="10" cm="1">
        <f t="array" ref="K109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9.69E-2</v>
      </c>
      <c r="L1090" s="10" cm="1">
        <f t="array" ref="L109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90" s="9" cm="1">
        <f t="array" ref="M1090">_xlfn.LET(_xlpm.val,IFERROR(INDEX(Sheet4!$2:$1605,MATCH(ChiTietKQKD[[#This Row],[Mã CP]],Sheet4!$B$2:$B$1605,0),_xlfn.XMATCH("*Lợi nhuận sau thuế*Q2*2026*",Sheet4!$1:$1,2)),0),IF(OR(_xlpm.val="",_xlpm.val=0),"",_xlpm.val/1000000000))</f>
        <v>-3.8153846680000001</v>
      </c>
      <c r="N1090" s="9" cm="1">
        <f t="array" ref="N1090">_xlfn.LET(_xlpm.val,IFERROR(INDEX(Sheet4!$2:$1605,MATCH(ChiTietKQKD[[#This Row],[Mã CP]],Sheet4!$B$2:$B$1605,0),_xlfn.XMATCH("*Lợi nhuận sau thuế*6 tháng*2026*",Sheet4!$1:$1,2)),0),IF(OR(_xlpm.val="",_xlpm.val=0),"",_xlpm.val/1000000000))</f>
        <v>-1.8637162700000001</v>
      </c>
      <c r="O1090" s="10" cm="1">
        <f t="array" ref="O1090">IFERROR(INDEX(Sheet4!$2:$1605,MATCH(ChiTietKQKD[[#This Row],[Mã CP]],Sheet4!$B$2:$B$1605,0),_xlfn.XMATCH("*Tăng trưởng lợi nhuận sau thuế (YoY) (Quý*",Sheet4!$1:$1,2)),"")</f>
        <v>-12.355700000000001</v>
      </c>
      <c r="P1090" s="10" cm="1">
        <f t="array" ref="P1090">IFERROR(INDEX(Sheet4!$2:$1605,MATCH(ChiTietKQKD[[#This Row],[Mã CP]],Sheet4!$B$2:$B$1605,0),_xlfn.XMATCH("*Tăng trưởng lợi nhuận sau thuế (YoY) (6M)*",Sheet4!$1:$1,2)),"")</f>
        <v>0</v>
      </c>
      <c r="Q1090" s="10" cm="1">
        <f t="array" ref="Q1090">IFERROR(INDEX(Sheet4!$2:$1605,MATCH(ChiTietKQKD[[#This Row],[Mã CP]],Sheet4!$B$2:$B$1605,0),_xlfn.XMATCH("*Tăng trưởng doanh thu thuần (QoQ)*",Sheet4!$1:$1,2)),"")</f>
        <v>-0.21</v>
      </c>
      <c r="R1090" s="10" cm="1">
        <f t="array" ref="R1090">IFERROR(INDEX(Sheet4!$2:$1605,MATCH(ChiTietKQKD[[#This Row],[Mã CP]],Sheet4!$B$2:$B$1605,0),_xlfn.XMATCH("*Tăng trưởng lợi nhuận sau thuế (QoQ)*",Sheet4!$1:$1,2)),"")</f>
        <v>-2.9548999999999999</v>
      </c>
    </row>
    <row r="1091" spans="1:18" x14ac:dyDescent="0.25">
      <c r="A1091" s="7">
        <f>Sheet4!A1070</f>
        <v>1069</v>
      </c>
      <c r="B1091" t="str">
        <f>Sheet4!B1070</f>
        <v>HOT</v>
      </c>
      <c r="C1091" t="str">
        <f>Sheet4!C1069</f>
        <v>Cồn Rượu và Nước Giải Khát Hà Nội</v>
      </c>
      <c r="D1091" t="str">
        <f>Sheet4!D1070</f>
        <v>UPCoM</v>
      </c>
      <c r="E1091" s="7">
        <f>Sheet4!AH1070/1000000000</f>
        <v>179.9985825</v>
      </c>
      <c r="F1091" t="str">
        <f>Sheet4!E1070</f>
        <v>Dịch vụ Tiêu dùng</v>
      </c>
      <c r="G1091" t="str">
        <f>Sheet4!F1070</f>
        <v>Du lịch và Giải trí</v>
      </c>
      <c r="H1091" t="str">
        <f>Sheet4!G1070</f>
        <v>Vận tải hành khách &amp; Du lịch</v>
      </c>
      <c r="I1091" s="9" t="str" cm="1">
        <f t="array" ref="I109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91" s="9" t="str" cm="1">
        <f t="array" ref="J109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91" s="10" cm="1">
        <f t="array" ref="K109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91" s="10" cm="1">
        <f t="array" ref="L109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91" s="9" t="str" cm="1">
        <f t="array" ref="M109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91" s="9" t="str" cm="1">
        <f t="array" ref="N109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91" s="10" cm="1">
        <f t="array" ref="O1091">IFERROR(INDEX(Sheet4!$2:$1605,MATCH(ChiTietKQKD[[#This Row],[Mã CP]],Sheet4!$B$2:$B$1605,0),_xlfn.XMATCH("*Tăng trưởng lợi nhuận sau thuế (YoY) (Quý*",Sheet4!$1:$1,2)),"")</f>
        <v>0</v>
      </c>
      <c r="P1091" s="10" cm="1">
        <f t="array" ref="P1091">IFERROR(INDEX(Sheet4!$2:$1605,MATCH(ChiTietKQKD[[#This Row],[Mã CP]],Sheet4!$B$2:$B$1605,0),_xlfn.XMATCH("*Tăng trưởng lợi nhuận sau thuế (YoY) (6M)*",Sheet4!$1:$1,2)),"")</f>
        <v>0</v>
      </c>
      <c r="Q1091" s="10" cm="1">
        <f t="array" ref="Q1091">IFERROR(INDEX(Sheet4!$2:$1605,MATCH(ChiTietKQKD[[#This Row],[Mã CP]],Sheet4!$B$2:$B$1605,0),_xlfn.XMATCH("*Tăng trưởng doanh thu thuần (QoQ)*",Sheet4!$1:$1,2)),"")</f>
        <v>0</v>
      </c>
      <c r="R1091" s="10" cm="1">
        <f t="array" ref="R1091">IFERROR(INDEX(Sheet4!$2:$1605,MATCH(ChiTietKQKD[[#This Row],[Mã CP]],Sheet4!$B$2:$B$1605,0),_xlfn.XMATCH("*Tăng trưởng lợi nhuận sau thuế (QoQ)*",Sheet4!$1:$1,2)),"")</f>
        <v>0</v>
      </c>
    </row>
    <row r="1092" spans="1:18" x14ac:dyDescent="0.25">
      <c r="A1092" s="7">
        <f>Sheet4!A1071</f>
        <v>1070</v>
      </c>
      <c r="B1092" t="str">
        <f>Sheet4!B1071</f>
        <v>HPB</v>
      </c>
      <c r="C1092" t="str">
        <f>Sheet4!C1070</f>
        <v>Du lịch - DV Hội An</v>
      </c>
      <c r="D1092" t="str">
        <f>Sheet4!D1071</f>
        <v>UPCoM</v>
      </c>
      <c r="E1092" s="7">
        <f>Sheet4!AH1071/1000000000</f>
        <v>66.195319999999995</v>
      </c>
      <c r="F1092" t="str">
        <f>Sheet4!E1071</f>
        <v>Công nghiệp</v>
      </c>
      <c r="G1092" t="str">
        <f>Sheet4!F1071</f>
        <v>Hàng &amp; Dịch vụ Công nghiệp</v>
      </c>
      <c r="H1092" t="str">
        <f>Sheet4!G1071</f>
        <v>Containers &amp; Đóng gói</v>
      </c>
      <c r="I1092" s="9" t="str" cm="1">
        <f t="array" ref="I109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92" s="9" t="str" cm="1">
        <f t="array" ref="J109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92" s="10" cm="1">
        <f t="array" ref="K109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92" s="10" cm="1">
        <f t="array" ref="L109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92" s="9" t="str" cm="1">
        <f t="array" ref="M109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92" s="9" t="str" cm="1">
        <f t="array" ref="N109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92" s="10" cm="1">
        <f t="array" ref="O1092">IFERROR(INDEX(Sheet4!$2:$1605,MATCH(ChiTietKQKD[[#This Row],[Mã CP]],Sheet4!$B$2:$B$1605,0),_xlfn.XMATCH("*Tăng trưởng lợi nhuận sau thuế (YoY) (Quý*",Sheet4!$1:$1,2)),"")</f>
        <v>0</v>
      </c>
      <c r="P1092" s="10" cm="1">
        <f t="array" ref="P1092">IFERROR(INDEX(Sheet4!$2:$1605,MATCH(ChiTietKQKD[[#This Row],[Mã CP]],Sheet4!$B$2:$B$1605,0),_xlfn.XMATCH("*Tăng trưởng lợi nhuận sau thuế (YoY) (6M)*",Sheet4!$1:$1,2)),"")</f>
        <v>0</v>
      </c>
      <c r="Q1092" s="10" cm="1">
        <f t="array" ref="Q1092">IFERROR(INDEX(Sheet4!$2:$1605,MATCH(ChiTietKQKD[[#This Row],[Mã CP]],Sheet4!$B$2:$B$1605,0),_xlfn.XMATCH("*Tăng trưởng doanh thu thuần (QoQ)*",Sheet4!$1:$1,2)),"")</f>
        <v>0</v>
      </c>
      <c r="R1092" s="10" cm="1">
        <f t="array" ref="R1092">IFERROR(INDEX(Sheet4!$2:$1605,MATCH(ChiTietKQKD[[#This Row],[Mã CP]],Sheet4!$B$2:$B$1605,0),_xlfn.XMATCH("*Tăng trưởng lợi nhuận sau thuế (QoQ)*",Sheet4!$1:$1,2)),"")</f>
        <v>0</v>
      </c>
    </row>
    <row r="1093" spans="1:18" x14ac:dyDescent="0.25">
      <c r="A1093" s="7">
        <f>Sheet4!A1072</f>
        <v>1071</v>
      </c>
      <c r="B1093" t="str">
        <f>Sheet4!B1072</f>
        <v>HPD</v>
      </c>
      <c r="C1093" t="str">
        <f>Sheet4!C1071</f>
        <v>Bao bì PP</v>
      </c>
      <c r="D1093" t="str">
        <f>Sheet4!D1072</f>
        <v>UPCoM</v>
      </c>
      <c r="E1093" s="7">
        <f>Sheet4!AH1072/1000000000</f>
        <v>131.11952314999999</v>
      </c>
      <c r="F1093" t="str">
        <f>Sheet4!E1072</f>
        <v>Tiện ích Cộng đồng</v>
      </c>
      <c r="G1093" t="str">
        <f>Sheet4!F1072</f>
        <v>Điện, nước &amp; xăng dầu khí đốt</v>
      </c>
      <c r="H1093" t="str">
        <f>Sheet4!G1072</f>
        <v>Sản xuất &amp; Phân phối Điện</v>
      </c>
      <c r="I1093" s="9" t="str" cm="1">
        <f t="array" ref="I109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93" s="9" t="str" cm="1">
        <f t="array" ref="J109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93" s="10" cm="1">
        <f t="array" ref="K109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93" s="10" cm="1">
        <f t="array" ref="L109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93" s="9" t="str" cm="1">
        <f t="array" ref="M109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93" s="9" t="str" cm="1">
        <f t="array" ref="N109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93" s="10" cm="1">
        <f t="array" ref="O1093">IFERROR(INDEX(Sheet4!$2:$1605,MATCH(ChiTietKQKD[[#This Row],[Mã CP]],Sheet4!$B$2:$B$1605,0),_xlfn.XMATCH("*Tăng trưởng lợi nhuận sau thuế (YoY) (Quý*",Sheet4!$1:$1,2)),"")</f>
        <v>0</v>
      </c>
      <c r="P1093" s="10" cm="1">
        <f t="array" ref="P1093">IFERROR(INDEX(Sheet4!$2:$1605,MATCH(ChiTietKQKD[[#This Row],[Mã CP]],Sheet4!$B$2:$B$1605,0),_xlfn.XMATCH("*Tăng trưởng lợi nhuận sau thuế (YoY) (6M)*",Sheet4!$1:$1,2)),"")</f>
        <v>0</v>
      </c>
      <c r="Q1093" s="10" cm="1">
        <f t="array" ref="Q1093">IFERROR(INDEX(Sheet4!$2:$1605,MATCH(ChiTietKQKD[[#This Row],[Mã CP]],Sheet4!$B$2:$B$1605,0),_xlfn.XMATCH("*Tăng trưởng doanh thu thuần (QoQ)*",Sheet4!$1:$1,2)),"")</f>
        <v>0</v>
      </c>
      <c r="R1093" s="10" cm="1">
        <f t="array" ref="R1093">IFERROR(INDEX(Sheet4!$2:$1605,MATCH(ChiTietKQKD[[#This Row],[Mã CP]],Sheet4!$B$2:$B$1605,0),_xlfn.XMATCH("*Tăng trưởng lợi nhuận sau thuế (QoQ)*",Sheet4!$1:$1,2)),"")</f>
        <v>0</v>
      </c>
    </row>
    <row r="1094" spans="1:18" x14ac:dyDescent="0.25">
      <c r="A1094" s="7">
        <f>Sheet4!A1073</f>
        <v>1072</v>
      </c>
      <c r="B1094" t="str">
        <f>Sheet4!B1073</f>
        <v>HPH</v>
      </c>
      <c r="C1094" t="str">
        <f>Sheet4!C1072</f>
        <v>Thủy điện Đăk Đoa</v>
      </c>
      <c r="D1094" t="str">
        <f>Sheet4!D1073</f>
        <v>UPCoM</v>
      </c>
      <c r="E1094" s="7">
        <f>Sheet4!AH1073/1000000000</f>
        <v>122.64</v>
      </c>
      <c r="F1094" t="str">
        <f>Sheet4!E1073</f>
        <v>Nguyên vật liệu</v>
      </c>
      <c r="G1094" t="str">
        <f>Sheet4!F1073</f>
        <v>Hóa chất</v>
      </c>
      <c r="H1094" t="str">
        <f>Sheet4!G1073</f>
        <v>Sản phẩm hóa dầu, Nông dược &amp; Hóa chất khác</v>
      </c>
      <c r="I1094" s="9" t="str" cm="1">
        <f t="array" ref="I109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94" s="9" t="str" cm="1">
        <f t="array" ref="J109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94" s="10" cm="1">
        <f t="array" ref="K109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94" s="10" cm="1">
        <f t="array" ref="L109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94" s="9" t="str" cm="1">
        <f t="array" ref="M109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94" s="9" t="str" cm="1">
        <f t="array" ref="N109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94" s="10" cm="1">
        <f t="array" ref="O1094">IFERROR(INDEX(Sheet4!$2:$1605,MATCH(ChiTietKQKD[[#This Row],[Mã CP]],Sheet4!$B$2:$B$1605,0),_xlfn.XMATCH("*Tăng trưởng lợi nhuận sau thuế (YoY) (Quý*",Sheet4!$1:$1,2)),"")</f>
        <v>0</v>
      </c>
      <c r="P1094" s="10" cm="1">
        <f t="array" ref="P1094">IFERROR(INDEX(Sheet4!$2:$1605,MATCH(ChiTietKQKD[[#This Row],[Mã CP]],Sheet4!$B$2:$B$1605,0),_xlfn.XMATCH("*Tăng trưởng lợi nhuận sau thuế (YoY) (6M)*",Sheet4!$1:$1,2)),"")</f>
        <v>0</v>
      </c>
      <c r="Q1094" s="10" cm="1">
        <f t="array" ref="Q1094">IFERROR(INDEX(Sheet4!$2:$1605,MATCH(ChiTietKQKD[[#This Row],[Mã CP]],Sheet4!$B$2:$B$1605,0),_xlfn.XMATCH("*Tăng trưởng doanh thu thuần (QoQ)*",Sheet4!$1:$1,2)),"")</f>
        <v>0</v>
      </c>
      <c r="R1094" s="10" cm="1">
        <f t="array" ref="R1094">IFERROR(INDEX(Sheet4!$2:$1605,MATCH(ChiTietKQKD[[#This Row],[Mã CP]],Sheet4!$B$2:$B$1605,0),_xlfn.XMATCH("*Tăng trưởng lợi nhuận sau thuế (QoQ)*",Sheet4!$1:$1,2)),"")</f>
        <v>0</v>
      </c>
    </row>
    <row r="1095" spans="1:18" x14ac:dyDescent="0.25">
      <c r="A1095" s="7">
        <f>Sheet4!A1074</f>
        <v>1073</v>
      </c>
      <c r="B1095" t="str">
        <f>Sheet4!B1074</f>
        <v>HPI</v>
      </c>
      <c r="C1095" t="str">
        <f>Sheet4!C1073</f>
        <v>Hóa Chất Hưng Phát Hà Bắc</v>
      </c>
      <c r="D1095" t="str">
        <f>Sheet4!D1074</f>
        <v>UPCoM</v>
      </c>
      <c r="E1095" s="7">
        <f>Sheet4!AH1074/1000000000</f>
        <v>1080</v>
      </c>
      <c r="F1095" t="str">
        <f>Sheet4!E1074</f>
        <v>Tài chính</v>
      </c>
      <c r="G1095" t="str">
        <f>Sheet4!F1074</f>
        <v>Bất động sản</v>
      </c>
      <c r="H1095" t="str">
        <f>Sheet4!G1074</f>
        <v>Bất động sản</v>
      </c>
      <c r="I1095" s="9" cm="1">
        <f t="array" ref="I109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17.048730630000001</v>
      </c>
      <c r="J1095" s="9" cm="1">
        <f t="array" ref="J109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32.912267763999999</v>
      </c>
      <c r="K1095" s="10" cm="1">
        <f t="array" ref="K109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-0.28739999999999999</v>
      </c>
      <c r="L1095" s="10" cm="1">
        <f t="array" ref="L109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-0.27450000000000002</v>
      </c>
      <c r="M1095" s="9" cm="1">
        <f t="array" ref="M1095">_xlfn.LET(_xlpm.val,IFERROR(INDEX(Sheet4!$2:$1605,MATCH(ChiTietKQKD[[#This Row],[Mã CP]],Sheet4!$B$2:$B$1605,0),_xlfn.XMATCH("*Lợi nhuận sau thuế*Q2*2026*",Sheet4!$1:$1,2)),0),IF(OR(_xlpm.val="",_xlpm.val=0),"",_xlpm.val/1000000000))</f>
        <v>3.4666078859999998</v>
      </c>
      <c r="N1095" s="9" cm="1">
        <f t="array" ref="N1095">_xlfn.LET(_xlpm.val,IFERROR(INDEX(Sheet4!$2:$1605,MATCH(ChiTietKQKD[[#This Row],[Mã CP]],Sheet4!$B$2:$B$1605,0),_xlfn.XMATCH("*Lợi nhuận sau thuế*6 tháng*2026*",Sheet4!$1:$1,2)),0),IF(OR(_xlpm.val="",_xlpm.val=0),"",_xlpm.val/1000000000))</f>
        <v>4.574229935</v>
      </c>
      <c r="O1095" s="10" cm="1">
        <f t="array" ref="O1095">IFERROR(INDEX(Sheet4!$2:$1605,MATCH(ChiTietKQKD[[#This Row],[Mã CP]],Sheet4!$B$2:$B$1605,0),_xlfn.XMATCH("*Tăng trưởng lợi nhuận sau thuế (YoY) (Quý*",Sheet4!$1:$1,2)),"")</f>
        <v>-0.49059999999999998</v>
      </c>
      <c r="P1095" s="10" cm="1">
        <f t="array" ref="P1095">IFERROR(INDEX(Sheet4!$2:$1605,MATCH(ChiTietKQKD[[#This Row],[Mã CP]],Sheet4!$B$2:$B$1605,0),_xlfn.XMATCH("*Tăng trưởng lợi nhuận sau thuế (YoY) (6M)*",Sheet4!$1:$1,2)),"")</f>
        <v>-0.64749999999999996</v>
      </c>
      <c r="Q1095" s="10" cm="1">
        <f t="array" ref="Q1095">IFERROR(INDEX(Sheet4!$2:$1605,MATCH(ChiTietKQKD[[#This Row],[Mã CP]],Sheet4!$B$2:$B$1605,0),_xlfn.XMATCH("*Tăng trưởng doanh thu thuần (QoQ)*",Sheet4!$1:$1,2)),"")</f>
        <v>7.4700000000000003E-2</v>
      </c>
      <c r="R1095" s="10" cm="1">
        <f t="array" ref="R1095">IFERROR(INDEX(Sheet4!$2:$1605,MATCH(ChiTietKQKD[[#This Row],[Mã CP]],Sheet4!$B$2:$B$1605,0),_xlfn.XMATCH("*Tăng trưởng lợi nhuận sau thuế (QoQ)*",Sheet4!$1:$1,2)),"")</f>
        <v>2.1297999999999999</v>
      </c>
    </row>
    <row r="1096" spans="1:18" x14ac:dyDescent="0.25">
      <c r="A1096" s="7">
        <f>Sheet4!A1075</f>
        <v>1074</v>
      </c>
      <c r="B1096" t="str">
        <f>Sheet4!B1075</f>
        <v>HPO</v>
      </c>
      <c r="C1096" t="str">
        <f>Sheet4!C1074</f>
        <v>Khu công nghiệp Hiệp Phước</v>
      </c>
      <c r="D1096" t="str">
        <f>Sheet4!D1075</f>
        <v>UPCoM</v>
      </c>
      <c r="E1096" s="7">
        <f>Sheet4!AH1075/1000000000</f>
        <v>88.853480099999999</v>
      </c>
      <c r="F1096" t="str">
        <f>Sheet4!E1075</f>
        <v>Công nghiệp</v>
      </c>
      <c r="G1096" t="str">
        <f>Sheet4!F1075</f>
        <v>Hàng &amp; Dịch vụ Công nghiệp</v>
      </c>
      <c r="H1096" t="str">
        <f>Sheet4!G1075</f>
        <v>Thiết bị điện</v>
      </c>
      <c r="I1096" s="9" t="str" cm="1">
        <f t="array" ref="I109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96" s="9" t="str" cm="1">
        <f t="array" ref="J109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96" s="10" cm="1">
        <f t="array" ref="K109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96" s="10" cm="1">
        <f t="array" ref="L109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96" s="9" t="str" cm="1">
        <f t="array" ref="M109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96" s="9" t="str" cm="1">
        <f t="array" ref="N109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96" s="10" cm="1">
        <f t="array" ref="O1096">IFERROR(INDEX(Sheet4!$2:$1605,MATCH(ChiTietKQKD[[#This Row],[Mã CP]],Sheet4!$B$2:$B$1605,0),_xlfn.XMATCH("*Tăng trưởng lợi nhuận sau thuế (YoY) (Quý*",Sheet4!$1:$1,2)),"")</f>
        <v>0</v>
      </c>
      <c r="P1096" s="10" cm="1">
        <f t="array" ref="P1096">IFERROR(INDEX(Sheet4!$2:$1605,MATCH(ChiTietKQKD[[#This Row],[Mã CP]],Sheet4!$B$2:$B$1605,0),_xlfn.XMATCH("*Tăng trưởng lợi nhuận sau thuế (YoY) (6M)*",Sheet4!$1:$1,2)),"")</f>
        <v>0</v>
      </c>
      <c r="Q1096" s="10" cm="1">
        <f t="array" ref="Q1096">IFERROR(INDEX(Sheet4!$2:$1605,MATCH(ChiTietKQKD[[#This Row],[Mã CP]],Sheet4!$B$2:$B$1605,0),_xlfn.XMATCH("*Tăng trưởng doanh thu thuần (QoQ)*",Sheet4!$1:$1,2)),"")</f>
        <v>0</v>
      </c>
      <c r="R1096" s="10" cm="1">
        <f t="array" ref="R1096">IFERROR(INDEX(Sheet4!$2:$1605,MATCH(ChiTietKQKD[[#This Row],[Mã CP]],Sheet4!$B$2:$B$1605,0),_xlfn.XMATCH("*Tăng trưởng lợi nhuận sau thuế (QoQ)*",Sheet4!$1:$1,2)),"")</f>
        <v>0</v>
      </c>
    </row>
    <row r="1097" spans="1:18" x14ac:dyDescent="0.25">
      <c r="A1097" s="7">
        <f>Sheet4!A1076</f>
        <v>1075</v>
      </c>
      <c r="B1097" t="str">
        <f>Sheet4!B1076</f>
        <v>HPP</v>
      </c>
      <c r="C1097" t="str">
        <f>Sheet4!C1075</f>
        <v>Công nghiệp Hapulico</v>
      </c>
      <c r="D1097" t="str">
        <f>Sheet4!D1076</f>
        <v>UPCoM</v>
      </c>
      <c r="E1097" s="7">
        <f>Sheet4!AH1076/1000000000</f>
        <v>601.45071570000005</v>
      </c>
      <c r="F1097" t="str">
        <f>Sheet4!E1076</f>
        <v>Công nghiệp</v>
      </c>
      <c r="G1097" t="str">
        <f>Sheet4!F1076</f>
        <v>Xây dựng và Vật liệu</v>
      </c>
      <c r="H1097" t="str">
        <f>Sheet4!G1076</f>
        <v>Vật liệu xây dựng &amp; Nội thất</v>
      </c>
      <c r="I1097" s="9" t="str" cm="1">
        <f t="array" ref="I109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97" s="9" t="str" cm="1">
        <f t="array" ref="J109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97" s="10" cm="1">
        <f t="array" ref="K109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97" s="10" cm="1">
        <f t="array" ref="L109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97" s="9" t="str" cm="1">
        <f t="array" ref="M109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97" s="9" t="str" cm="1">
        <f t="array" ref="N109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97" s="10" cm="1">
        <f t="array" ref="O1097">IFERROR(INDEX(Sheet4!$2:$1605,MATCH(ChiTietKQKD[[#This Row],[Mã CP]],Sheet4!$B$2:$B$1605,0),_xlfn.XMATCH("*Tăng trưởng lợi nhuận sau thuế (YoY) (Quý*",Sheet4!$1:$1,2)),"")</f>
        <v>0</v>
      </c>
      <c r="P1097" s="10" cm="1">
        <f t="array" ref="P1097">IFERROR(INDEX(Sheet4!$2:$1605,MATCH(ChiTietKQKD[[#This Row],[Mã CP]],Sheet4!$B$2:$B$1605,0),_xlfn.XMATCH("*Tăng trưởng lợi nhuận sau thuế (YoY) (6M)*",Sheet4!$1:$1,2)),"")</f>
        <v>0</v>
      </c>
      <c r="Q1097" s="10" cm="1">
        <f t="array" ref="Q1097">IFERROR(INDEX(Sheet4!$2:$1605,MATCH(ChiTietKQKD[[#This Row],[Mã CP]],Sheet4!$B$2:$B$1605,0),_xlfn.XMATCH("*Tăng trưởng doanh thu thuần (QoQ)*",Sheet4!$1:$1,2)),"")</f>
        <v>0</v>
      </c>
      <c r="R1097" s="10" cm="1">
        <f t="array" ref="R1097">IFERROR(INDEX(Sheet4!$2:$1605,MATCH(ChiTietKQKD[[#This Row],[Mã CP]],Sheet4!$B$2:$B$1605,0),_xlfn.XMATCH("*Tăng trưởng lợi nhuận sau thuế (QoQ)*",Sheet4!$1:$1,2)),"")</f>
        <v>0</v>
      </c>
    </row>
    <row r="1098" spans="1:18" x14ac:dyDescent="0.25">
      <c r="A1098" s="7">
        <f>Sheet4!A1077</f>
        <v>1076</v>
      </c>
      <c r="B1098" t="str">
        <f>Sheet4!B1077</f>
        <v>HPT</v>
      </c>
      <c r="C1098" t="str">
        <f>Sheet4!C1076</f>
        <v>Sơn Hải Phòng</v>
      </c>
      <c r="D1098" t="str">
        <f>Sheet4!D1077</f>
        <v>UPCoM</v>
      </c>
      <c r="E1098" s="7">
        <f>Sheet4!AH1077/1000000000</f>
        <v>324.51978150000002</v>
      </c>
      <c r="F1098" t="str">
        <f>Sheet4!E1077</f>
        <v>Công nghệ Thông tin</v>
      </c>
      <c r="G1098" t="str">
        <f>Sheet4!F1077</f>
        <v>Công nghệ Thông tin</v>
      </c>
      <c r="H1098" t="str">
        <f>Sheet4!G1077</f>
        <v>Phần mềm</v>
      </c>
      <c r="I1098" s="9" t="str" cm="1">
        <f t="array" ref="I109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98" s="9" t="str" cm="1">
        <f t="array" ref="J109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98" s="10" cm="1">
        <f t="array" ref="K109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98" s="10" cm="1">
        <f t="array" ref="L109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98" s="9" t="str" cm="1">
        <f t="array" ref="M109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98" s="9" t="str" cm="1">
        <f t="array" ref="N109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98" s="10" cm="1">
        <f t="array" ref="O1098">IFERROR(INDEX(Sheet4!$2:$1605,MATCH(ChiTietKQKD[[#This Row],[Mã CP]],Sheet4!$B$2:$B$1605,0),_xlfn.XMATCH("*Tăng trưởng lợi nhuận sau thuế (YoY) (Quý*",Sheet4!$1:$1,2)),"")</f>
        <v>0</v>
      </c>
      <c r="P1098" s="10" cm="1">
        <f t="array" ref="P1098">IFERROR(INDEX(Sheet4!$2:$1605,MATCH(ChiTietKQKD[[#This Row],[Mã CP]],Sheet4!$B$2:$B$1605,0),_xlfn.XMATCH("*Tăng trưởng lợi nhuận sau thuế (YoY) (6M)*",Sheet4!$1:$1,2)),"")</f>
        <v>0</v>
      </c>
      <c r="Q1098" s="10" cm="1">
        <f t="array" ref="Q1098">IFERROR(INDEX(Sheet4!$2:$1605,MATCH(ChiTietKQKD[[#This Row],[Mã CP]],Sheet4!$B$2:$B$1605,0),_xlfn.XMATCH("*Tăng trưởng doanh thu thuần (QoQ)*",Sheet4!$1:$1,2)),"")</f>
        <v>0</v>
      </c>
      <c r="R1098" s="10" cm="1">
        <f t="array" ref="R1098">IFERROR(INDEX(Sheet4!$2:$1605,MATCH(ChiTietKQKD[[#This Row],[Mã CP]],Sheet4!$B$2:$B$1605,0),_xlfn.XMATCH("*Tăng trưởng lợi nhuận sau thuế (QoQ)*",Sheet4!$1:$1,2)),"")</f>
        <v>0</v>
      </c>
    </row>
    <row r="1099" spans="1:18" x14ac:dyDescent="0.25">
      <c r="A1099" s="7">
        <f>Sheet4!A1078</f>
        <v>1077</v>
      </c>
      <c r="B1099" t="str">
        <f>Sheet4!B1078</f>
        <v>HPW</v>
      </c>
      <c r="C1099" t="str">
        <f>Sheet4!C1077</f>
        <v>DV Công nghệ Tin học HPT</v>
      </c>
      <c r="D1099" t="str">
        <f>Sheet4!D1078</f>
        <v>UPCoM</v>
      </c>
      <c r="E1099" s="7">
        <f>Sheet4!AH1078/1000000000</f>
        <v>1855.1735000000001</v>
      </c>
      <c r="F1099" t="str">
        <f>Sheet4!E1078</f>
        <v>Tiện ích Cộng đồng</v>
      </c>
      <c r="G1099" t="str">
        <f>Sheet4!F1078</f>
        <v>Điện, nước &amp; xăng dầu khí đốt</v>
      </c>
      <c r="H1099" t="str">
        <f>Sheet4!G1078</f>
        <v>Nước</v>
      </c>
      <c r="I1099" s="9" t="str" cm="1">
        <f t="array" ref="I109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099" s="9" t="str" cm="1">
        <f t="array" ref="J109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099" s="10" cm="1">
        <f t="array" ref="K109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099" s="10" cm="1">
        <f t="array" ref="L109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099" s="9" t="str" cm="1">
        <f t="array" ref="M109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099" s="9" t="str" cm="1">
        <f t="array" ref="N109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099" s="10" cm="1">
        <f t="array" ref="O1099">IFERROR(INDEX(Sheet4!$2:$1605,MATCH(ChiTietKQKD[[#This Row],[Mã CP]],Sheet4!$B$2:$B$1605,0),_xlfn.XMATCH("*Tăng trưởng lợi nhuận sau thuế (YoY) (Quý*",Sheet4!$1:$1,2)),"")</f>
        <v>0</v>
      </c>
      <c r="P1099" s="10" cm="1">
        <f t="array" ref="P1099">IFERROR(INDEX(Sheet4!$2:$1605,MATCH(ChiTietKQKD[[#This Row],[Mã CP]],Sheet4!$B$2:$B$1605,0),_xlfn.XMATCH("*Tăng trưởng lợi nhuận sau thuế (YoY) (6M)*",Sheet4!$1:$1,2)),"")</f>
        <v>0</v>
      </c>
      <c r="Q1099" s="10" cm="1">
        <f t="array" ref="Q1099">IFERROR(INDEX(Sheet4!$2:$1605,MATCH(ChiTietKQKD[[#This Row],[Mã CP]],Sheet4!$B$2:$B$1605,0),_xlfn.XMATCH("*Tăng trưởng doanh thu thuần (QoQ)*",Sheet4!$1:$1,2)),"")</f>
        <v>0</v>
      </c>
      <c r="R1099" s="10" cm="1">
        <f t="array" ref="R1099">IFERROR(INDEX(Sheet4!$2:$1605,MATCH(ChiTietKQKD[[#This Row],[Mã CP]],Sheet4!$B$2:$B$1605,0),_xlfn.XMATCH("*Tăng trưởng lợi nhuận sau thuế (QoQ)*",Sheet4!$1:$1,2)),"")</f>
        <v>0</v>
      </c>
    </row>
    <row r="1100" spans="1:18" x14ac:dyDescent="0.25">
      <c r="A1100" s="7">
        <f>Sheet4!A1079</f>
        <v>1078</v>
      </c>
      <c r="B1100" t="str">
        <f>Sheet4!B1079</f>
        <v>HRB</v>
      </c>
      <c r="C1100" t="str">
        <f>Sheet4!C1078</f>
        <v>Cấp nước Hải Phòng</v>
      </c>
      <c r="D1100" t="str">
        <f>Sheet4!D1079</f>
        <v>UPCoM</v>
      </c>
      <c r="E1100" s="7">
        <f>Sheet4!AH1079/1000000000</f>
        <v>209.16720000000001</v>
      </c>
      <c r="F1100" t="str">
        <f>Sheet4!E1079</f>
        <v>Tài chính</v>
      </c>
      <c r="G1100" t="str">
        <f>Sheet4!F1079</f>
        <v>Bất động sản</v>
      </c>
      <c r="H1100" t="str">
        <f>Sheet4!G1079</f>
        <v>Bất động sản</v>
      </c>
      <c r="I1100" s="9" t="str" cm="1">
        <f t="array" ref="I110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00" s="9" t="str" cm="1">
        <f t="array" ref="J110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00" s="10" cm="1">
        <f t="array" ref="K110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00" s="10" cm="1">
        <f t="array" ref="L110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00" s="9" t="str" cm="1">
        <f t="array" ref="M110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00" s="9" t="str" cm="1">
        <f t="array" ref="N110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00" s="10" cm="1">
        <f t="array" ref="O1100">IFERROR(INDEX(Sheet4!$2:$1605,MATCH(ChiTietKQKD[[#This Row],[Mã CP]],Sheet4!$B$2:$B$1605,0),_xlfn.XMATCH("*Tăng trưởng lợi nhuận sau thuế (YoY) (Quý*",Sheet4!$1:$1,2)),"")</f>
        <v>0</v>
      </c>
      <c r="P1100" s="10" cm="1">
        <f t="array" ref="P1100">IFERROR(INDEX(Sheet4!$2:$1605,MATCH(ChiTietKQKD[[#This Row],[Mã CP]],Sheet4!$B$2:$B$1605,0),_xlfn.XMATCH("*Tăng trưởng lợi nhuận sau thuế (YoY) (6M)*",Sheet4!$1:$1,2)),"")</f>
        <v>0</v>
      </c>
      <c r="Q1100" s="10" cm="1">
        <f t="array" ref="Q1100">IFERROR(INDEX(Sheet4!$2:$1605,MATCH(ChiTietKQKD[[#This Row],[Mã CP]],Sheet4!$B$2:$B$1605,0),_xlfn.XMATCH("*Tăng trưởng doanh thu thuần (QoQ)*",Sheet4!$1:$1,2)),"")</f>
        <v>0</v>
      </c>
      <c r="R1100" s="10" cm="1">
        <f t="array" ref="R1100">IFERROR(INDEX(Sheet4!$2:$1605,MATCH(ChiTietKQKD[[#This Row],[Mã CP]],Sheet4!$B$2:$B$1605,0),_xlfn.XMATCH("*Tăng trưởng lợi nhuận sau thuế (QoQ)*",Sheet4!$1:$1,2)),"")</f>
        <v>0</v>
      </c>
    </row>
    <row r="1101" spans="1:18" x14ac:dyDescent="0.25">
      <c r="A1101" s="7">
        <f>Sheet4!A1080</f>
        <v>1079</v>
      </c>
      <c r="B1101" t="str">
        <f>Sheet4!B1080</f>
        <v>HSA</v>
      </c>
      <c r="C1101" t="str">
        <f>Sheet4!C1079</f>
        <v>Harec Đầu tư và Thương Mại</v>
      </c>
      <c r="D1101" t="str">
        <f>Sheet4!D1080</f>
        <v>UPCoM</v>
      </c>
      <c r="E1101" s="7">
        <f>Sheet4!AH1080/1000000000</f>
        <v>259.79999099999998</v>
      </c>
      <c r="F1101" t="str">
        <f>Sheet4!E1080</f>
        <v>Công nghiệp</v>
      </c>
      <c r="G1101" t="str">
        <f>Sheet4!F1080</f>
        <v>Hàng &amp; Dịch vụ Công nghiệp</v>
      </c>
      <c r="H1101" t="str">
        <f>Sheet4!G1080</f>
        <v>Tư vấn &amp; Hỗ trợ KD</v>
      </c>
      <c r="I1101" s="9" t="str" cm="1">
        <f t="array" ref="I110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01" s="9" t="str" cm="1">
        <f t="array" ref="J110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01" s="10" cm="1">
        <f t="array" ref="K110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01" s="10" cm="1">
        <f t="array" ref="L110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01" s="9" t="str" cm="1">
        <f t="array" ref="M110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01" s="9" t="str" cm="1">
        <f t="array" ref="N110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01" s="10" cm="1">
        <f t="array" ref="O1101">IFERROR(INDEX(Sheet4!$2:$1605,MATCH(ChiTietKQKD[[#This Row],[Mã CP]],Sheet4!$B$2:$B$1605,0),_xlfn.XMATCH("*Tăng trưởng lợi nhuận sau thuế (YoY) (Quý*",Sheet4!$1:$1,2)),"")</f>
        <v>0</v>
      </c>
      <c r="P1101" s="10" cm="1">
        <f t="array" ref="P1101">IFERROR(INDEX(Sheet4!$2:$1605,MATCH(ChiTietKQKD[[#This Row],[Mã CP]],Sheet4!$B$2:$B$1605,0),_xlfn.XMATCH("*Tăng trưởng lợi nhuận sau thuế (YoY) (6M)*",Sheet4!$1:$1,2)),"")</f>
        <v>0</v>
      </c>
      <c r="Q1101" s="10" cm="1">
        <f t="array" ref="Q1101">IFERROR(INDEX(Sheet4!$2:$1605,MATCH(ChiTietKQKD[[#This Row],[Mã CP]],Sheet4!$B$2:$B$1605,0),_xlfn.XMATCH("*Tăng trưởng doanh thu thuần (QoQ)*",Sheet4!$1:$1,2)),"")</f>
        <v>0</v>
      </c>
      <c r="R1101" s="10" cm="1">
        <f t="array" ref="R1101">IFERROR(INDEX(Sheet4!$2:$1605,MATCH(ChiTietKQKD[[#This Row],[Mã CP]],Sheet4!$B$2:$B$1605,0),_xlfn.XMATCH("*Tăng trưởng lợi nhuận sau thuế (QoQ)*",Sheet4!$1:$1,2)),"")</f>
        <v>0</v>
      </c>
    </row>
    <row r="1102" spans="1:18" x14ac:dyDescent="0.25">
      <c r="A1102" s="7">
        <f>Sheet4!A1081</f>
        <v>1080</v>
      </c>
      <c r="B1102" t="str">
        <f>Sheet4!B1081</f>
        <v>HSM</v>
      </c>
      <c r="C1102" t="str">
        <f>Sheet4!C1080</f>
        <v>HESTIA</v>
      </c>
      <c r="D1102" t="str">
        <f>Sheet4!D1081</f>
        <v>UPCoM</v>
      </c>
      <c r="E1102" s="7">
        <f>Sheet4!AH1081/1000000000</f>
        <v>137.35</v>
      </c>
      <c r="F1102" t="str">
        <f>Sheet4!E1081</f>
        <v>Hàng Tiêu dùng</v>
      </c>
      <c r="G1102" t="str">
        <f>Sheet4!F1081</f>
        <v>Hàng cá nhân &amp; Gia dụng</v>
      </c>
      <c r="H1102" t="str">
        <f>Sheet4!G1081</f>
        <v>Hàng May mặc</v>
      </c>
      <c r="I1102" s="9" t="str" cm="1">
        <f t="array" ref="I110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02" s="9" t="str" cm="1">
        <f t="array" ref="J110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02" s="10" cm="1">
        <f t="array" ref="K110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02" s="10" cm="1">
        <f t="array" ref="L110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02" s="9" t="str" cm="1">
        <f t="array" ref="M110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02" s="9" t="str" cm="1">
        <f t="array" ref="N110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02" s="10" cm="1">
        <f t="array" ref="O1102">IFERROR(INDEX(Sheet4!$2:$1605,MATCH(ChiTietKQKD[[#This Row],[Mã CP]],Sheet4!$B$2:$B$1605,0),_xlfn.XMATCH("*Tăng trưởng lợi nhuận sau thuế (YoY) (Quý*",Sheet4!$1:$1,2)),"")</f>
        <v>0</v>
      </c>
      <c r="P1102" s="10" cm="1">
        <f t="array" ref="P1102">IFERROR(INDEX(Sheet4!$2:$1605,MATCH(ChiTietKQKD[[#This Row],[Mã CP]],Sheet4!$B$2:$B$1605,0),_xlfn.XMATCH("*Tăng trưởng lợi nhuận sau thuế (YoY) (6M)*",Sheet4!$1:$1,2)),"")</f>
        <v>0</v>
      </c>
      <c r="Q1102" s="10" cm="1">
        <f t="array" ref="Q1102">IFERROR(INDEX(Sheet4!$2:$1605,MATCH(ChiTietKQKD[[#This Row],[Mã CP]],Sheet4!$B$2:$B$1605,0),_xlfn.XMATCH("*Tăng trưởng doanh thu thuần (QoQ)*",Sheet4!$1:$1,2)),"")</f>
        <v>0</v>
      </c>
      <c r="R1102" s="10" cm="1">
        <f t="array" ref="R1102">IFERROR(INDEX(Sheet4!$2:$1605,MATCH(ChiTietKQKD[[#This Row],[Mã CP]],Sheet4!$B$2:$B$1605,0),_xlfn.XMATCH("*Tăng trưởng lợi nhuận sau thuế (QoQ)*",Sheet4!$1:$1,2)),"")</f>
        <v>0</v>
      </c>
    </row>
    <row r="1103" spans="1:18" x14ac:dyDescent="0.25">
      <c r="A1103" s="7">
        <f>Sheet4!A1082</f>
        <v>1081</v>
      </c>
      <c r="B1103" t="str">
        <f>Sheet4!B1082</f>
        <v>HSP</v>
      </c>
      <c r="C1103" t="str">
        <f>Sheet4!C1081</f>
        <v>HANOSIMEX</v>
      </c>
      <c r="D1103" t="str">
        <f>Sheet4!D1082</f>
        <v>UPCoM</v>
      </c>
      <c r="E1103" s="7">
        <f>Sheet4!AH1082/1000000000</f>
        <v>190.02795879999999</v>
      </c>
      <c r="F1103" t="str">
        <f>Sheet4!E1082</f>
        <v>Công nghiệp</v>
      </c>
      <c r="G1103" t="str">
        <f>Sheet4!F1082</f>
        <v>Xây dựng và Vật liệu</v>
      </c>
      <c r="H1103" t="str">
        <f>Sheet4!G1082</f>
        <v>Vật liệu xây dựng &amp; Nội thất</v>
      </c>
      <c r="I1103" s="9" cm="1">
        <f t="array" ref="I110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129.308650153</v>
      </c>
      <c r="J1103" s="9" cm="1">
        <f t="array" ref="J110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244.01324098699999</v>
      </c>
      <c r="K1103" s="10" cm="1">
        <f t="array" ref="K110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0.13070000000000001</v>
      </c>
      <c r="L1103" s="10" cm="1">
        <f t="array" ref="L110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03" s="9" cm="1">
        <f t="array" ref="M1103">_xlfn.LET(_xlpm.val,IFERROR(INDEX(Sheet4!$2:$1605,MATCH(ChiTietKQKD[[#This Row],[Mã CP]],Sheet4!$B$2:$B$1605,0),_xlfn.XMATCH("*Lợi nhuận sau thuế*Q2*2026*",Sheet4!$1:$1,2)),0),IF(OR(_xlpm.val="",_xlpm.val=0),"",_xlpm.val/1000000000))</f>
        <v>8.0957952740000003</v>
      </c>
      <c r="N1103" s="9" cm="1">
        <f t="array" ref="N1103">_xlfn.LET(_xlpm.val,IFERROR(INDEX(Sheet4!$2:$1605,MATCH(ChiTietKQKD[[#This Row],[Mã CP]],Sheet4!$B$2:$B$1605,0),_xlfn.XMATCH("*Lợi nhuận sau thuế*6 tháng*2026*",Sheet4!$1:$1,2)),0),IF(OR(_xlpm.val="",_xlpm.val=0),"",_xlpm.val/1000000000))</f>
        <v>36.736591550999997</v>
      </c>
      <c r="O1103" s="10" cm="1">
        <f t="array" ref="O1103">IFERROR(INDEX(Sheet4!$2:$1605,MATCH(ChiTietKQKD[[#This Row],[Mã CP]],Sheet4!$B$2:$B$1605,0),_xlfn.XMATCH("*Tăng trưởng lợi nhuận sau thuế (YoY) (Quý*",Sheet4!$1:$1,2)),"")</f>
        <v>0.76370000000000005</v>
      </c>
      <c r="P1103" s="10" cm="1">
        <f t="array" ref="P1103">IFERROR(INDEX(Sheet4!$2:$1605,MATCH(ChiTietKQKD[[#This Row],[Mã CP]],Sheet4!$B$2:$B$1605,0),_xlfn.XMATCH("*Tăng trưởng lợi nhuận sau thuế (YoY) (6M)*",Sheet4!$1:$1,2)),"")</f>
        <v>0</v>
      </c>
      <c r="Q1103" s="10" cm="1">
        <f t="array" ref="Q1103">IFERROR(INDEX(Sheet4!$2:$1605,MATCH(ChiTietKQKD[[#This Row],[Mã CP]],Sheet4!$B$2:$B$1605,0),_xlfn.XMATCH("*Tăng trưởng doanh thu thuần (QoQ)*",Sheet4!$1:$1,2)),"")</f>
        <v>0.1273</v>
      </c>
      <c r="R1103" s="10" cm="1">
        <f t="array" ref="R1103">IFERROR(INDEX(Sheet4!$2:$1605,MATCH(ChiTietKQKD[[#This Row],[Mã CP]],Sheet4!$B$2:$B$1605,0),_xlfn.XMATCH("*Tăng trưởng lợi nhuận sau thuế (QoQ)*",Sheet4!$1:$1,2)),"")</f>
        <v>-0.71730000000000005</v>
      </c>
    </row>
    <row r="1104" spans="1:18" x14ac:dyDescent="0.25">
      <c r="A1104" s="7">
        <f>Sheet4!A1083</f>
        <v>1082</v>
      </c>
      <c r="B1104" t="str">
        <f>Sheet4!B1083</f>
        <v>HSV</v>
      </c>
      <c r="C1104" t="str">
        <f>Sheet4!C1082</f>
        <v>Sơn Tổng hợp Hà Nội</v>
      </c>
      <c r="D1104" t="str">
        <f>Sheet4!D1083</f>
        <v>UPCoM</v>
      </c>
      <c r="E1104" s="7">
        <f>Sheet4!AH1083/1000000000</f>
        <v>124.752725658</v>
      </c>
      <c r="F1104" t="str">
        <f>Sheet4!E1083</f>
        <v>Nguyên vật liệu</v>
      </c>
      <c r="G1104" t="str">
        <f>Sheet4!F1083</f>
        <v>Tài nguyên Cơ bản</v>
      </c>
      <c r="H1104" t="str">
        <f>Sheet4!G1083</f>
        <v>Thép và sản phẩm thép</v>
      </c>
      <c r="I1104" s="9" cm="1">
        <f t="array" ref="I110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515.61776022200002</v>
      </c>
      <c r="J1104" s="9" cm="1">
        <f t="array" ref="J110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927.87741927499997</v>
      </c>
      <c r="K1104" s="10" cm="1">
        <f t="array" ref="K110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0.1118</v>
      </c>
      <c r="L1104" s="10" cm="1">
        <f t="array" ref="L110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0.23169999999999999</v>
      </c>
      <c r="M1104" s="9" cm="1">
        <f t="array" ref="M1104">_xlfn.LET(_xlpm.val,IFERROR(INDEX(Sheet4!$2:$1605,MATCH(ChiTietKQKD[[#This Row],[Mã CP]],Sheet4!$B$2:$B$1605,0),_xlfn.XMATCH("*Lợi nhuận sau thuế*Q2*2026*",Sheet4!$1:$1,2)),0),IF(OR(_xlpm.val="",_xlpm.val=0),"",_xlpm.val/1000000000))</f>
        <v>3.7062261539999999</v>
      </c>
      <c r="N1104" s="9" cm="1">
        <f t="array" ref="N1104">_xlfn.LET(_xlpm.val,IFERROR(INDEX(Sheet4!$2:$1605,MATCH(ChiTietKQKD[[#This Row],[Mã CP]],Sheet4!$B$2:$B$1605,0),_xlfn.XMATCH("*Lợi nhuận sau thuế*6 tháng*2026*",Sheet4!$1:$1,2)),0),IF(OR(_xlpm.val="",_xlpm.val=0),"",_xlpm.val/1000000000))</f>
        <v>4.931127354</v>
      </c>
      <c r="O1104" s="10" cm="1">
        <f t="array" ref="O1104">IFERROR(INDEX(Sheet4!$2:$1605,MATCH(ChiTietKQKD[[#This Row],[Mã CP]],Sheet4!$B$2:$B$1605,0),_xlfn.XMATCH("*Tăng trưởng lợi nhuận sau thuế (YoY) (Quý*",Sheet4!$1:$1,2)),"")</f>
        <v>0.95040000000000002</v>
      </c>
      <c r="P1104" s="10" cm="1">
        <f t="array" ref="P1104">IFERROR(INDEX(Sheet4!$2:$1605,MATCH(ChiTietKQKD[[#This Row],[Mã CP]],Sheet4!$B$2:$B$1605,0),_xlfn.XMATCH("*Tăng trưởng lợi nhuận sau thuế (YoY) (6M)*",Sheet4!$1:$1,2)),"")</f>
        <v>0.63290000000000002</v>
      </c>
      <c r="Q1104" s="10" cm="1">
        <f t="array" ref="Q1104">IFERROR(INDEX(Sheet4!$2:$1605,MATCH(ChiTietKQKD[[#This Row],[Mã CP]],Sheet4!$B$2:$B$1605,0),_xlfn.XMATCH("*Tăng trưởng doanh thu thuần (QoQ)*",Sheet4!$1:$1,2)),"")</f>
        <v>0.25069999999999998</v>
      </c>
      <c r="R1104" s="10" cm="1">
        <f t="array" ref="R1104">IFERROR(INDEX(Sheet4!$2:$1605,MATCH(ChiTietKQKD[[#This Row],[Mã CP]],Sheet4!$B$2:$B$1605,0),_xlfn.XMATCH("*Tăng trưởng lợi nhuận sau thuế (QoQ)*",Sheet4!$1:$1,2)),"")</f>
        <v>2.0257000000000001</v>
      </c>
    </row>
    <row r="1105" spans="1:18" x14ac:dyDescent="0.25">
      <c r="A1105" s="7">
        <f>Sheet4!A1084</f>
        <v>1083</v>
      </c>
      <c r="B1105" t="str">
        <f>Sheet4!B1084</f>
        <v>HT9</v>
      </c>
      <c r="C1105" t="str">
        <f>Sheet4!C1083</f>
        <v>Tập đoàn HSV Việt Nam</v>
      </c>
      <c r="D1105" t="str">
        <f>Sheet4!D1084</f>
        <v>UPCoM</v>
      </c>
      <c r="E1105" s="7">
        <f>Sheet4!AH1084/1000000000</f>
        <v>0</v>
      </c>
      <c r="F1105" t="str">
        <f>Sheet4!E1084</f>
        <v>Công nghiệp</v>
      </c>
      <c r="G1105" t="str">
        <f>Sheet4!F1084</f>
        <v>Xây dựng và Vật liệu</v>
      </c>
      <c r="H1105" t="str">
        <f>Sheet4!G1084</f>
        <v>Xây dựng</v>
      </c>
      <c r="I1105" s="9" t="str" cm="1">
        <f t="array" ref="I110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05" s="9" t="str" cm="1">
        <f t="array" ref="J110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05" s="10" cm="1">
        <f t="array" ref="K110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05" s="10" cm="1">
        <f t="array" ref="L110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05" s="9" t="str" cm="1">
        <f t="array" ref="M110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05" s="9" t="str" cm="1">
        <f t="array" ref="N110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05" s="10" cm="1">
        <f t="array" ref="O1105">IFERROR(INDEX(Sheet4!$2:$1605,MATCH(ChiTietKQKD[[#This Row],[Mã CP]],Sheet4!$B$2:$B$1605,0),_xlfn.XMATCH("*Tăng trưởng lợi nhuận sau thuế (YoY) (Quý*",Sheet4!$1:$1,2)),"")</f>
        <v>0</v>
      </c>
      <c r="P1105" s="10" cm="1">
        <f t="array" ref="P1105">IFERROR(INDEX(Sheet4!$2:$1605,MATCH(ChiTietKQKD[[#This Row],[Mã CP]],Sheet4!$B$2:$B$1605,0),_xlfn.XMATCH("*Tăng trưởng lợi nhuận sau thuế (YoY) (6M)*",Sheet4!$1:$1,2)),"")</f>
        <v>0</v>
      </c>
      <c r="Q1105" s="10" cm="1">
        <f t="array" ref="Q1105">IFERROR(INDEX(Sheet4!$2:$1605,MATCH(ChiTietKQKD[[#This Row],[Mã CP]],Sheet4!$B$2:$B$1605,0),_xlfn.XMATCH("*Tăng trưởng doanh thu thuần (QoQ)*",Sheet4!$1:$1,2)),"")</f>
        <v>0</v>
      </c>
      <c r="R1105" s="10" cm="1">
        <f t="array" ref="R1105">IFERROR(INDEX(Sheet4!$2:$1605,MATCH(ChiTietKQKD[[#This Row],[Mã CP]],Sheet4!$B$2:$B$1605,0),_xlfn.XMATCH("*Tăng trưởng lợi nhuận sau thuế (QoQ)*",Sheet4!$1:$1,2)),"")</f>
        <v>0</v>
      </c>
    </row>
    <row r="1106" spans="1:18" x14ac:dyDescent="0.25">
      <c r="A1106" s="7">
        <f>Sheet4!A1085</f>
        <v>1084</v>
      </c>
      <c r="B1106" t="str">
        <f>Sheet4!B1085</f>
        <v>HTE</v>
      </c>
      <c r="C1106" t="str">
        <f>Sheet4!C1084</f>
        <v>Phát triển hạ tầng 319</v>
      </c>
      <c r="D1106" t="str">
        <f>Sheet4!D1085</f>
        <v>UPCoM</v>
      </c>
      <c r="E1106" s="7">
        <f>Sheet4!AH1085/1000000000</f>
        <v>63.386862000000001</v>
      </c>
      <c r="F1106" t="str">
        <f>Sheet4!E1085</f>
        <v>Công nghiệp</v>
      </c>
      <c r="G1106" t="str">
        <f>Sheet4!F1085</f>
        <v>Hàng &amp; Dịch vụ Công nghiệp</v>
      </c>
      <c r="H1106" t="str">
        <f>Sheet4!G1085</f>
        <v>Thiết bị điện</v>
      </c>
      <c r="I1106" s="9" t="str" cm="1">
        <f t="array" ref="I110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06" s="9" t="str" cm="1">
        <f t="array" ref="J110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06" s="10" cm="1">
        <f t="array" ref="K110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06" s="10" cm="1">
        <f t="array" ref="L110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06" s="9" t="str" cm="1">
        <f t="array" ref="M110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06" s="9" t="str" cm="1">
        <f t="array" ref="N110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06" s="10" cm="1">
        <f t="array" ref="O1106">IFERROR(INDEX(Sheet4!$2:$1605,MATCH(ChiTietKQKD[[#This Row],[Mã CP]],Sheet4!$B$2:$B$1605,0),_xlfn.XMATCH("*Tăng trưởng lợi nhuận sau thuế (YoY) (Quý*",Sheet4!$1:$1,2)),"")</f>
        <v>0</v>
      </c>
      <c r="P1106" s="10" cm="1">
        <f t="array" ref="P1106">IFERROR(INDEX(Sheet4!$2:$1605,MATCH(ChiTietKQKD[[#This Row],[Mã CP]],Sheet4!$B$2:$B$1605,0),_xlfn.XMATCH("*Tăng trưởng lợi nhuận sau thuế (YoY) (6M)*",Sheet4!$1:$1,2)),"")</f>
        <v>0</v>
      </c>
      <c r="Q1106" s="10" cm="1">
        <f t="array" ref="Q1106">IFERROR(INDEX(Sheet4!$2:$1605,MATCH(ChiTietKQKD[[#This Row],[Mã CP]],Sheet4!$B$2:$B$1605,0),_xlfn.XMATCH("*Tăng trưởng doanh thu thuần (QoQ)*",Sheet4!$1:$1,2)),"")</f>
        <v>0</v>
      </c>
      <c r="R1106" s="10" cm="1">
        <f t="array" ref="R1106">IFERROR(INDEX(Sheet4!$2:$1605,MATCH(ChiTietKQKD[[#This Row],[Mã CP]],Sheet4!$B$2:$B$1605,0),_xlfn.XMATCH("*Tăng trưởng lợi nhuận sau thuế (QoQ)*",Sheet4!$1:$1,2)),"")</f>
        <v>0</v>
      </c>
    </row>
    <row r="1107" spans="1:18" x14ac:dyDescent="0.25">
      <c r="A1107" s="7">
        <f>Sheet4!A1086</f>
        <v>1085</v>
      </c>
      <c r="B1107" t="str">
        <f>Sheet4!B1086</f>
        <v>HTM</v>
      </c>
      <c r="C1107" t="str">
        <f>Sheet4!C1085</f>
        <v>Kinh doanh điện lực TP HCM</v>
      </c>
      <c r="D1107" t="str">
        <f>Sheet4!D1086</f>
        <v>UPCoM</v>
      </c>
      <c r="E1107" s="7">
        <f>Sheet4!AH1086/1000000000</f>
        <v>1913.6398200000001</v>
      </c>
      <c r="F1107" t="str">
        <f>Sheet4!E1086</f>
        <v>Dịch vụ Tiêu dùng</v>
      </c>
      <c r="G1107" t="str">
        <f>Sheet4!F1086</f>
        <v>Bán lẻ</v>
      </c>
      <c r="H1107" t="str">
        <f>Sheet4!G1086</f>
        <v>Bán lẻ phức hợp</v>
      </c>
      <c r="I1107" s="9" t="str" cm="1">
        <f t="array" ref="I110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07" s="9" t="str" cm="1">
        <f t="array" ref="J110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07" s="10" cm="1">
        <f t="array" ref="K110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07" s="10" cm="1">
        <f t="array" ref="L110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07" s="9" t="str" cm="1">
        <f t="array" ref="M110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07" s="9" t="str" cm="1">
        <f t="array" ref="N110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07" s="10" cm="1">
        <f t="array" ref="O1107">IFERROR(INDEX(Sheet4!$2:$1605,MATCH(ChiTietKQKD[[#This Row],[Mã CP]],Sheet4!$B$2:$B$1605,0),_xlfn.XMATCH("*Tăng trưởng lợi nhuận sau thuế (YoY) (Quý*",Sheet4!$1:$1,2)),"")</f>
        <v>0</v>
      </c>
      <c r="P1107" s="10" cm="1">
        <f t="array" ref="P1107">IFERROR(INDEX(Sheet4!$2:$1605,MATCH(ChiTietKQKD[[#This Row],[Mã CP]],Sheet4!$B$2:$B$1605,0),_xlfn.XMATCH("*Tăng trưởng lợi nhuận sau thuế (YoY) (6M)*",Sheet4!$1:$1,2)),"")</f>
        <v>0</v>
      </c>
      <c r="Q1107" s="10" cm="1">
        <f t="array" ref="Q1107">IFERROR(INDEX(Sheet4!$2:$1605,MATCH(ChiTietKQKD[[#This Row],[Mã CP]],Sheet4!$B$2:$B$1605,0),_xlfn.XMATCH("*Tăng trưởng doanh thu thuần (QoQ)*",Sheet4!$1:$1,2)),"")</f>
        <v>0</v>
      </c>
      <c r="R1107" s="10" cm="1">
        <f t="array" ref="R1107">IFERROR(INDEX(Sheet4!$2:$1605,MATCH(ChiTietKQKD[[#This Row],[Mã CP]],Sheet4!$B$2:$B$1605,0),_xlfn.XMATCH("*Tăng trưởng lợi nhuận sau thuế (QoQ)*",Sheet4!$1:$1,2)),"")</f>
        <v>0</v>
      </c>
    </row>
    <row r="1108" spans="1:18" x14ac:dyDescent="0.25">
      <c r="A1108" s="7">
        <f>Sheet4!A1087</f>
        <v>1086</v>
      </c>
      <c r="B1108" t="str">
        <f>Sheet4!B1087</f>
        <v>HTP</v>
      </c>
      <c r="C1108" t="str">
        <f>Sheet4!C1086</f>
        <v>Thương mại Hà Nội - Hapro</v>
      </c>
      <c r="D1108" t="str">
        <f>Sheet4!D1087</f>
        <v>UPCoM</v>
      </c>
      <c r="E1108" s="7">
        <f>Sheet4!AH1087/1000000000</f>
        <v>82.624482</v>
      </c>
      <c r="F1108" t="str">
        <f>Sheet4!E1087</f>
        <v>Dịch vụ Tiêu dùng</v>
      </c>
      <c r="G1108" t="str">
        <f>Sheet4!F1087</f>
        <v>Truyền thông</v>
      </c>
      <c r="H1108" t="str">
        <f>Sheet4!G1087</f>
        <v>Sách, ấn bản &amp; sản phẩm văn hóa</v>
      </c>
      <c r="I1108" s="9" t="str" cm="1">
        <f t="array" ref="I110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08" s="9" t="str" cm="1">
        <f t="array" ref="J110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08" s="10" cm="1">
        <f t="array" ref="K110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08" s="10" cm="1">
        <f t="array" ref="L110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08" s="9" t="str" cm="1">
        <f t="array" ref="M110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08" s="9" t="str" cm="1">
        <f t="array" ref="N110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08" s="10" cm="1">
        <f t="array" ref="O1108">IFERROR(INDEX(Sheet4!$2:$1605,MATCH(ChiTietKQKD[[#This Row],[Mã CP]],Sheet4!$B$2:$B$1605,0),_xlfn.XMATCH("*Tăng trưởng lợi nhuận sau thuế (YoY) (Quý*",Sheet4!$1:$1,2)),"")</f>
        <v>0</v>
      </c>
      <c r="P1108" s="10" cm="1">
        <f t="array" ref="P1108">IFERROR(INDEX(Sheet4!$2:$1605,MATCH(ChiTietKQKD[[#This Row],[Mã CP]],Sheet4!$B$2:$B$1605,0),_xlfn.XMATCH("*Tăng trưởng lợi nhuận sau thuế (YoY) (6M)*",Sheet4!$1:$1,2)),"")</f>
        <v>0</v>
      </c>
      <c r="Q1108" s="10" cm="1">
        <f t="array" ref="Q1108">IFERROR(INDEX(Sheet4!$2:$1605,MATCH(ChiTietKQKD[[#This Row],[Mã CP]],Sheet4!$B$2:$B$1605,0),_xlfn.XMATCH("*Tăng trưởng doanh thu thuần (QoQ)*",Sheet4!$1:$1,2)),"")</f>
        <v>0</v>
      </c>
      <c r="R1108" s="10" cm="1">
        <f t="array" ref="R1108">IFERROR(INDEX(Sheet4!$2:$1605,MATCH(ChiTietKQKD[[#This Row],[Mã CP]],Sheet4!$B$2:$B$1605,0),_xlfn.XMATCH("*Tăng trưởng lợi nhuận sau thuế (QoQ)*",Sheet4!$1:$1,2)),"")</f>
        <v>0</v>
      </c>
    </row>
    <row r="1109" spans="1:18" x14ac:dyDescent="0.25">
      <c r="A1109" s="7">
        <f>Sheet4!A1088</f>
        <v>1087</v>
      </c>
      <c r="B1109" t="str">
        <f>Sheet4!B1088</f>
        <v>HTS</v>
      </c>
      <c r="C1109" t="str">
        <f>Sheet4!C1087</f>
        <v>In SGK Hòa Phát</v>
      </c>
      <c r="D1109" t="str">
        <f>Sheet4!D1088</f>
        <v>UPCoM</v>
      </c>
      <c r="E1109" s="7">
        <f>Sheet4!AH1088/1000000000</f>
        <v>0</v>
      </c>
      <c r="F1109" t="str">
        <f>Sheet4!E1088</f>
        <v>Nguyên vật liệu</v>
      </c>
      <c r="G1109" t="str">
        <f>Sheet4!F1088</f>
        <v>Tài nguyên Cơ bản</v>
      </c>
      <c r="H1109" t="str">
        <f>Sheet4!G1088</f>
        <v>Thép và sản phẩm thép</v>
      </c>
      <c r="I1109" s="9" t="str" cm="1">
        <f t="array" ref="I110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09" s="9" t="str" cm="1">
        <f t="array" ref="J110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09" s="10" cm="1">
        <f t="array" ref="K110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09" s="10" cm="1">
        <f t="array" ref="L110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09" s="9" t="str" cm="1">
        <f t="array" ref="M110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09" s="9" t="str" cm="1">
        <f t="array" ref="N110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09" s="10" cm="1">
        <f t="array" ref="O1109">IFERROR(INDEX(Sheet4!$2:$1605,MATCH(ChiTietKQKD[[#This Row],[Mã CP]],Sheet4!$B$2:$B$1605,0),_xlfn.XMATCH("*Tăng trưởng lợi nhuận sau thuế (YoY) (Quý*",Sheet4!$1:$1,2)),"")</f>
        <v>0</v>
      </c>
      <c r="P1109" s="10" cm="1">
        <f t="array" ref="P1109">IFERROR(INDEX(Sheet4!$2:$1605,MATCH(ChiTietKQKD[[#This Row],[Mã CP]],Sheet4!$B$2:$B$1605,0),_xlfn.XMATCH("*Tăng trưởng lợi nhuận sau thuế (YoY) (6M)*",Sheet4!$1:$1,2)),"")</f>
        <v>0</v>
      </c>
      <c r="Q1109" s="10" cm="1">
        <f t="array" ref="Q1109">IFERROR(INDEX(Sheet4!$2:$1605,MATCH(ChiTietKQKD[[#This Row],[Mã CP]],Sheet4!$B$2:$B$1605,0),_xlfn.XMATCH("*Tăng trưởng doanh thu thuần (QoQ)*",Sheet4!$1:$1,2)),"")</f>
        <v>0</v>
      </c>
      <c r="R1109" s="10" cm="1">
        <f t="array" ref="R1109">IFERROR(INDEX(Sheet4!$2:$1605,MATCH(ChiTietKQKD[[#This Row],[Mã CP]],Sheet4!$B$2:$B$1605,0),_xlfn.XMATCH("*Tăng trưởng lợi nhuận sau thuế (QoQ)*",Sheet4!$1:$1,2)),"")</f>
        <v>0</v>
      </c>
    </row>
    <row r="1110" spans="1:18" x14ac:dyDescent="0.25">
      <c r="A1110" s="7">
        <f>Sheet4!A1089</f>
        <v>1088</v>
      </c>
      <c r="B1110" t="str">
        <f>Sheet4!B1089</f>
        <v>HTT</v>
      </c>
      <c r="C1110" t="str">
        <f>Sheet4!C1088</f>
        <v>Thép Hương Thịnh</v>
      </c>
      <c r="D1110" t="str">
        <f>Sheet4!D1089</f>
        <v>UPCoM</v>
      </c>
      <c r="E1110" s="7">
        <f>Sheet4!AH1089/1000000000</f>
        <v>34</v>
      </c>
      <c r="F1110" t="str">
        <f>Sheet4!E1089</f>
        <v>Dịch vụ Tiêu dùng</v>
      </c>
      <c r="G1110" t="str">
        <f>Sheet4!F1089</f>
        <v>Bán lẻ</v>
      </c>
      <c r="H1110" t="str">
        <f>Sheet4!G1089</f>
        <v>Bán lẻ phức hợp</v>
      </c>
      <c r="I1110" s="9" cm="1">
        <f t="array" ref="I111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1.6882713629999999</v>
      </c>
      <c r="J1110" s="9" cm="1">
        <f t="array" ref="J111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3.0420071540000002</v>
      </c>
      <c r="K1110" s="10" cm="1">
        <f t="array" ref="K111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-0.26840000000000003</v>
      </c>
      <c r="L1110" s="10" cm="1">
        <f t="array" ref="L111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-0.18990000000000001</v>
      </c>
      <c r="M1110" s="9" cm="1">
        <f t="array" ref="M1110">_xlfn.LET(_xlpm.val,IFERROR(INDEX(Sheet4!$2:$1605,MATCH(ChiTietKQKD[[#This Row],[Mã CP]],Sheet4!$B$2:$B$1605,0),_xlfn.XMATCH("*Lợi nhuận sau thuế*Q2*2026*",Sheet4!$1:$1,2)),0),IF(OR(_xlpm.val="",_xlpm.val=0),"",_xlpm.val/1000000000))</f>
        <v>-1.345571783</v>
      </c>
      <c r="N1110" s="9" cm="1">
        <f t="array" ref="N1110">_xlfn.LET(_xlpm.val,IFERROR(INDEX(Sheet4!$2:$1605,MATCH(ChiTietKQKD[[#This Row],[Mã CP]],Sheet4!$B$2:$B$1605,0),_xlfn.XMATCH("*Lợi nhuận sau thuế*6 tháng*2026*",Sheet4!$1:$1,2)),0),IF(OR(_xlpm.val="",_xlpm.val=0),"",_xlpm.val/1000000000))</f>
        <v>-2.9326574600000002</v>
      </c>
      <c r="O1110" s="10" cm="1">
        <f t="array" ref="O1110">IFERROR(INDEX(Sheet4!$2:$1605,MATCH(ChiTietKQKD[[#This Row],[Mã CP]],Sheet4!$B$2:$B$1605,0),_xlfn.XMATCH("*Tăng trưởng lợi nhuận sau thuế (YoY) (Quý*",Sheet4!$1:$1,2)),"")</f>
        <v>0.42380000000000001</v>
      </c>
      <c r="P1110" s="10" cm="1">
        <f t="array" ref="P1110">IFERROR(INDEX(Sheet4!$2:$1605,MATCH(ChiTietKQKD[[#This Row],[Mã CP]],Sheet4!$B$2:$B$1605,0),_xlfn.XMATCH("*Tăng trưởng lợi nhuận sau thuế (YoY) (6M)*",Sheet4!$1:$1,2)),"")</f>
        <v>0.24379999999999999</v>
      </c>
      <c r="Q1110" s="10" cm="1">
        <f t="array" ref="Q1110">IFERROR(INDEX(Sheet4!$2:$1605,MATCH(ChiTietKQKD[[#This Row],[Mã CP]],Sheet4!$B$2:$B$1605,0),_xlfn.XMATCH("*Tăng trưởng doanh thu thuần (QoQ)*",Sheet4!$1:$1,2)),"")</f>
        <v>0.24709999999999999</v>
      </c>
      <c r="R1110" s="10" cm="1">
        <f t="array" ref="R1110">IFERROR(INDEX(Sheet4!$2:$1605,MATCH(ChiTietKQKD[[#This Row],[Mã CP]],Sheet4!$B$2:$B$1605,0),_xlfn.XMATCH("*Tăng trưởng lợi nhuận sau thuế (QoQ)*",Sheet4!$1:$1,2)),"")</f>
        <v>0.1522</v>
      </c>
    </row>
    <row r="1111" spans="1:18" x14ac:dyDescent="0.25">
      <c r="A1111" s="7">
        <f>Sheet4!A1090</f>
        <v>1089</v>
      </c>
      <c r="B1111" t="str">
        <f>Sheet4!B1090</f>
        <v>HU3</v>
      </c>
      <c r="C1111" t="str">
        <f>Sheet4!C1089</f>
        <v>Thương mại Hà Tây</v>
      </c>
      <c r="D1111" t="str">
        <f>Sheet4!D1090</f>
        <v>UPCoM</v>
      </c>
      <c r="E1111" s="7">
        <f>Sheet4!AH1090/1000000000</f>
        <v>29.999832000000001</v>
      </c>
      <c r="F1111" t="str">
        <f>Sheet4!E1090</f>
        <v>Công nghiệp</v>
      </c>
      <c r="G1111" t="str">
        <f>Sheet4!F1090</f>
        <v>Xây dựng và Vật liệu</v>
      </c>
      <c r="H1111" t="str">
        <f>Sheet4!G1090</f>
        <v>Xây dựng</v>
      </c>
      <c r="I1111" s="9" t="str" cm="1">
        <f t="array" ref="I111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11" s="9" t="str" cm="1">
        <f t="array" ref="J111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11" s="10" cm="1">
        <f t="array" ref="K111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11" s="10" cm="1">
        <f t="array" ref="L111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11" s="9" t="str" cm="1">
        <f t="array" ref="M111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11" s="9" t="str" cm="1">
        <f t="array" ref="N111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11" s="10" cm="1">
        <f t="array" ref="O1111">IFERROR(INDEX(Sheet4!$2:$1605,MATCH(ChiTietKQKD[[#This Row],[Mã CP]],Sheet4!$B$2:$B$1605,0),_xlfn.XMATCH("*Tăng trưởng lợi nhuận sau thuế (YoY) (Quý*",Sheet4!$1:$1,2)),"")</f>
        <v>0</v>
      </c>
      <c r="P1111" s="10" cm="1">
        <f t="array" ref="P1111">IFERROR(INDEX(Sheet4!$2:$1605,MATCH(ChiTietKQKD[[#This Row],[Mã CP]],Sheet4!$B$2:$B$1605,0),_xlfn.XMATCH("*Tăng trưởng lợi nhuận sau thuế (YoY) (6M)*",Sheet4!$1:$1,2)),"")</f>
        <v>0</v>
      </c>
      <c r="Q1111" s="10" cm="1">
        <f t="array" ref="Q1111">IFERROR(INDEX(Sheet4!$2:$1605,MATCH(ChiTietKQKD[[#This Row],[Mã CP]],Sheet4!$B$2:$B$1605,0),_xlfn.XMATCH("*Tăng trưởng doanh thu thuần (QoQ)*",Sheet4!$1:$1,2)),"")</f>
        <v>0</v>
      </c>
      <c r="R1111" s="10" cm="1">
        <f t="array" ref="R1111">IFERROR(INDEX(Sheet4!$2:$1605,MATCH(ChiTietKQKD[[#This Row],[Mã CP]],Sheet4!$B$2:$B$1605,0),_xlfn.XMATCH("*Tăng trưởng lợi nhuận sau thuế (QoQ)*",Sheet4!$1:$1,2)),"")</f>
        <v>0</v>
      </c>
    </row>
    <row r="1112" spans="1:18" x14ac:dyDescent="0.25">
      <c r="A1112" s="7">
        <f>Sheet4!A1091</f>
        <v>1090</v>
      </c>
      <c r="B1112" t="str">
        <f>Sheet4!B1091</f>
        <v>HU4</v>
      </c>
      <c r="C1112" t="str">
        <f>Sheet4!C1090</f>
        <v>Xây dựng HUD3</v>
      </c>
      <c r="D1112" t="str">
        <f>Sheet4!D1091</f>
        <v>UPCoM</v>
      </c>
      <c r="E1112" s="7">
        <f>Sheet4!AH1091/1000000000</f>
        <v>131.25</v>
      </c>
      <c r="F1112" t="str">
        <f>Sheet4!E1091</f>
        <v>Công nghiệp</v>
      </c>
      <c r="G1112" t="str">
        <f>Sheet4!F1091</f>
        <v>Xây dựng và Vật liệu</v>
      </c>
      <c r="H1112" t="str">
        <f>Sheet4!G1091</f>
        <v>Xây dựng</v>
      </c>
      <c r="I1112" s="9" cm="1">
        <f t="array" ref="I111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49.714104085999999</v>
      </c>
      <c r="J1112" s="9" cm="1">
        <f t="array" ref="J111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92.474134601000003</v>
      </c>
      <c r="K1112" s="10" cm="1">
        <f t="array" ref="K111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-0.73150000000000004</v>
      </c>
      <c r="L1112" s="10" cm="1">
        <f t="array" ref="L111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12" s="9" cm="1">
        <f t="array" ref="M1112">_xlfn.LET(_xlpm.val,IFERROR(INDEX(Sheet4!$2:$1605,MATCH(ChiTietKQKD[[#This Row],[Mã CP]],Sheet4!$B$2:$B$1605,0),_xlfn.XMATCH("*Lợi nhuận sau thuế*Q2*2026*",Sheet4!$1:$1,2)),0),IF(OR(_xlpm.val="",_xlpm.val=0),"",_xlpm.val/1000000000))</f>
        <v>3.7947542209999998</v>
      </c>
      <c r="N1112" s="9" cm="1">
        <f t="array" ref="N1112">_xlfn.LET(_xlpm.val,IFERROR(INDEX(Sheet4!$2:$1605,MATCH(ChiTietKQKD[[#This Row],[Mã CP]],Sheet4!$B$2:$B$1605,0),_xlfn.XMATCH("*Lợi nhuận sau thuế*6 tháng*2026*",Sheet4!$1:$1,2)),0),IF(OR(_xlpm.val="",_xlpm.val=0),"",_xlpm.val/1000000000))</f>
        <v>5.3830771000000004</v>
      </c>
      <c r="O1112" s="10" cm="1">
        <f t="array" ref="O1112">IFERROR(INDEX(Sheet4!$2:$1605,MATCH(ChiTietKQKD[[#This Row],[Mã CP]],Sheet4!$B$2:$B$1605,0),_xlfn.XMATCH("*Tăng trưởng lợi nhuận sau thuế (YoY) (Quý*",Sheet4!$1:$1,2)),"")</f>
        <v>-0.71579999999999999</v>
      </c>
      <c r="P1112" s="10" cm="1">
        <f t="array" ref="P1112">IFERROR(INDEX(Sheet4!$2:$1605,MATCH(ChiTietKQKD[[#This Row],[Mã CP]],Sheet4!$B$2:$B$1605,0),_xlfn.XMATCH("*Tăng trưởng lợi nhuận sau thuế (YoY) (6M)*",Sheet4!$1:$1,2)),"")</f>
        <v>0</v>
      </c>
      <c r="Q1112" s="10" cm="1">
        <f t="array" ref="Q1112">IFERROR(INDEX(Sheet4!$2:$1605,MATCH(ChiTietKQKD[[#This Row],[Mã CP]],Sheet4!$B$2:$B$1605,0),_xlfn.XMATCH("*Tăng trưởng doanh thu thuần (QoQ)*",Sheet4!$1:$1,2)),"")</f>
        <v>0.16259999999999999</v>
      </c>
      <c r="R1112" s="10" cm="1">
        <f t="array" ref="R1112">IFERROR(INDEX(Sheet4!$2:$1605,MATCH(ChiTietKQKD[[#This Row],[Mã CP]],Sheet4!$B$2:$B$1605,0),_xlfn.XMATCH("*Tăng trưởng lợi nhuận sau thuế (QoQ)*",Sheet4!$1:$1,2)),"")</f>
        <v>1.3892</v>
      </c>
    </row>
    <row r="1113" spans="1:18" x14ac:dyDescent="0.25">
      <c r="A1113" s="7">
        <f>Sheet4!A1092</f>
        <v>1091</v>
      </c>
      <c r="B1113" t="str">
        <f>Sheet4!B1092</f>
        <v>HU6</v>
      </c>
      <c r="C1113" t="str">
        <f>Sheet4!C1091</f>
        <v>Đầu tư và Xây dựng HUD4</v>
      </c>
      <c r="D1113" t="str">
        <f>Sheet4!D1092</f>
        <v>UPCoM</v>
      </c>
      <c r="E1113" s="7">
        <f>Sheet4!AH1092/1000000000</f>
        <v>31.605</v>
      </c>
      <c r="F1113" t="str">
        <f>Sheet4!E1092</f>
        <v>Tài chính</v>
      </c>
      <c r="G1113" t="str">
        <f>Sheet4!F1092</f>
        <v>Bất động sản</v>
      </c>
      <c r="H1113" t="str">
        <f>Sheet4!G1092</f>
        <v>Bất động sản</v>
      </c>
      <c r="I1113" s="9" t="str" cm="1">
        <f t="array" ref="I111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13" s="9" t="str" cm="1">
        <f t="array" ref="J111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13" s="10" cm="1">
        <f t="array" ref="K111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13" s="10" cm="1">
        <f t="array" ref="L111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13" s="9" t="str" cm="1">
        <f t="array" ref="M111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13" s="9" t="str" cm="1">
        <f t="array" ref="N111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13" s="10" cm="1">
        <f t="array" ref="O1113">IFERROR(INDEX(Sheet4!$2:$1605,MATCH(ChiTietKQKD[[#This Row],[Mã CP]],Sheet4!$B$2:$B$1605,0),_xlfn.XMATCH("*Tăng trưởng lợi nhuận sau thuế (YoY) (Quý*",Sheet4!$1:$1,2)),"")</f>
        <v>0</v>
      </c>
      <c r="P1113" s="10" cm="1">
        <f t="array" ref="P1113">IFERROR(INDEX(Sheet4!$2:$1605,MATCH(ChiTietKQKD[[#This Row],[Mã CP]],Sheet4!$B$2:$B$1605,0),_xlfn.XMATCH("*Tăng trưởng lợi nhuận sau thuế (YoY) (6M)*",Sheet4!$1:$1,2)),"")</f>
        <v>0</v>
      </c>
      <c r="Q1113" s="10" cm="1">
        <f t="array" ref="Q1113">IFERROR(INDEX(Sheet4!$2:$1605,MATCH(ChiTietKQKD[[#This Row],[Mã CP]],Sheet4!$B$2:$B$1605,0),_xlfn.XMATCH("*Tăng trưởng doanh thu thuần (QoQ)*",Sheet4!$1:$1,2)),"")</f>
        <v>0</v>
      </c>
      <c r="R1113" s="10" cm="1">
        <f t="array" ref="R1113">IFERROR(INDEX(Sheet4!$2:$1605,MATCH(ChiTietKQKD[[#This Row],[Mã CP]],Sheet4!$B$2:$B$1605,0),_xlfn.XMATCH("*Tăng trưởng lợi nhuận sau thuế (QoQ)*",Sheet4!$1:$1,2)),"")</f>
        <v>0</v>
      </c>
    </row>
    <row r="1114" spans="1:18" x14ac:dyDescent="0.25">
      <c r="A1114" s="7">
        <f>Sheet4!A1093</f>
        <v>1092</v>
      </c>
      <c r="B1114" t="str">
        <f>Sheet4!B1093</f>
        <v>HUG</v>
      </c>
      <c r="C1114" t="str">
        <f>Sheet4!C1092</f>
        <v>PT Nhà và Đô thị HUD6</v>
      </c>
      <c r="D1114" t="str">
        <f>Sheet4!D1093</f>
        <v>UPCoM</v>
      </c>
      <c r="E1114" s="7">
        <f>Sheet4!AH1093/1000000000</f>
        <v>585.34167000000002</v>
      </c>
      <c r="F1114" t="str">
        <f>Sheet4!E1093</f>
        <v>Hàng Tiêu dùng</v>
      </c>
      <c r="G1114" t="str">
        <f>Sheet4!F1093</f>
        <v>Hàng cá nhân &amp; Gia dụng</v>
      </c>
      <c r="H1114" t="str">
        <f>Sheet4!G1093</f>
        <v>Hàng May mặc</v>
      </c>
      <c r="I1114" s="9" t="str" cm="1">
        <f t="array" ref="I111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14" s="9" t="str" cm="1">
        <f t="array" ref="J111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14" s="10" cm="1">
        <f t="array" ref="K111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14" s="10" cm="1">
        <f t="array" ref="L111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14" s="9" t="str" cm="1">
        <f t="array" ref="M111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14" s="9" t="str" cm="1">
        <f t="array" ref="N111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14" s="10" cm="1">
        <f t="array" ref="O1114">IFERROR(INDEX(Sheet4!$2:$1605,MATCH(ChiTietKQKD[[#This Row],[Mã CP]],Sheet4!$B$2:$B$1605,0),_xlfn.XMATCH("*Tăng trưởng lợi nhuận sau thuế (YoY) (Quý*",Sheet4!$1:$1,2)),"")</f>
        <v>0</v>
      </c>
      <c r="P1114" s="10" cm="1">
        <f t="array" ref="P1114">IFERROR(INDEX(Sheet4!$2:$1605,MATCH(ChiTietKQKD[[#This Row],[Mã CP]],Sheet4!$B$2:$B$1605,0),_xlfn.XMATCH("*Tăng trưởng lợi nhuận sau thuế (YoY) (6M)*",Sheet4!$1:$1,2)),"")</f>
        <v>0</v>
      </c>
      <c r="Q1114" s="10" cm="1">
        <f t="array" ref="Q1114">IFERROR(INDEX(Sheet4!$2:$1605,MATCH(ChiTietKQKD[[#This Row],[Mã CP]],Sheet4!$B$2:$B$1605,0),_xlfn.XMATCH("*Tăng trưởng doanh thu thuần (QoQ)*",Sheet4!$1:$1,2)),"")</f>
        <v>0</v>
      </c>
      <c r="R1114" s="10" cm="1">
        <f t="array" ref="R1114">IFERROR(INDEX(Sheet4!$2:$1605,MATCH(ChiTietKQKD[[#This Row],[Mã CP]],Sheet4!$B$2:$B$1605,0),_xlfn.XMATCH("*Tăng trưởng lợi nhuận sau thuế (QoQ)*",Sheet4!$1:$1,2)),"")</f>
        <v>0</v>
      </c>
    </row>
    <row r="1115" spans="1:18" x14ac:dyDescent="0.25">
      <c r="A1115" s="7">
        <f>Sheet4!A1094</f>
        <v>1093</v>
      </c>
      <c r="B1115" t="str">
        <f>Sheet4!B1094</f>
        <v>HVA</v>
      </c>
      <c r="C1115" t="str">
        <f>Sheet4!C1093</f>
        <v>May Hưng Yên</v>
      </c>
      <c r="D1115" t="str">
        <f>Sheet4!D1094</f>
        <v>UPCoM</v>
      </c>
      <c r="E1115" s="7">
        <f>Sheet4!AH1094/1000000000</f>
        <v>35.49</v>
      </c>
      <c r="F1115" t="str">
        <f>Sheet4!E1094</f>
        <v>Tài chính</v>
      </c>
      <c r="G1115" t="str">
        <f>Sheet4!F1094</f>
        <v>Dịch vụ tài chính</v>
      </c>
      <c r="H1115" t="str">
        <f>Sheet4!G1094</f>
        <v>Tài chính đặc biệt</v>
      </c>
      <c r="I1115" s="9" t="str" cm="1">
        <f t="array" ref="I111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15" s="9" t="str" cm="1">
        <f t="array" ref="J111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15" s="10" cm="1">
        <f t="array" ref="K111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15" s="10" cm="1">
        <f t="array" ref="L111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15" s="9" t="str" cm="1">
        <f t="array" ref="M111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15" s="9" t="str" cm="1">
        <f t="array" ref="N111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15" s="10" cm="1">
        <f t="array" ref="O1115">IFERROR(INDEX(Sheet4!$2:$1605,MATCH(ChiTietKQKD[[#This Row],[Mã CP]],Sheet4!$B$2:$B$1605,0),_xlfn.XMATCH("*Tăng trưởng lợi nhuận sau thuế (YoY) (Quý*",Sheet4!$1:$1,2)),"")</f>
        <v>0</v>
      </c>
      <c r="P1115" s="10" cm="1">
        <f t="array" ref="P1115">IFERROR(INDEX(Sheet4!$2:$1605,MATCH(ChiTietKQKD[[#This Row],[Mã CP]],Sheet4!$B$2:$B$1605,0),_xlfn.XMATCH("*Tăng trưởng lợi nhuận sau thuế (YoY) (6M)*",Sheet4!$1:$1,2)),"")</f>
        <v>0</v>
      </c>
      <c r="Q1115" s="10" cm="1">
        <f t="array" ref="Q1115">IFERROR(INDEX(Sheet4!$2:$1605,MATCH(ChiTietKQKD[[#This Row],[Mã CP]],Sheet4!$B$2:$B$1605,0),_xlfn.XMATCH("*Tăng trưởng doanh thu thuần (QoQ)*",Sheet4!$1:$1,2)),"")</f>
        <v>0</v>
      </c>
      <c r="R1115" s="10" cm="1">
        <f t="array" ref="R1115">IFERROR(INDEX(Sheet4!$2:$1605,MATCH(ChiTietKQKD[[#This Row],[Mã CP]],Sheet4!$B$2:$B$1605,0),_xlfn.XMATCH("*Tăng trưởng lợi nhuận sau thuế (QoQ)*",Sheet4!$1:$1,2)),"")</f>
        <v>0</v>
      </c>
    </row>
    <row r="1116" spans="1:18" x14ac:dyDescent="0.25">
      <c r="A1116" s="7">
        <f>Sheet4!A1095</f>
        <v>1094</v>
      </c>
      <c r="B1116" t="str">
        <f>Sheet4!B1095</f>
        <v>HVX</v>
      </c>
      <c r="C1116" t="str">
        <f>Sheet4!C1094</f>
        <v>Đầu tư HVA</v>
      </c>
      <c r="D1116" t="str">
        <f>Sheet4!D1095</f>
        <v>UPCoM</v>
      </c>
      <c r="E1116" s="7">
        <f>Sheet4!AH1095/1000000000</f>
        <v>94.054691250000005</v>
      </c>
      <c r="F1116" t="str">
        <f>Sheet4!E1095</f>
        <v>Công nghiệp</v>
      </c>
      <c r="G1116" t="str">
        <f>Sheet4!F1095</f>
        <v>Xây dựng và Vật liệu</v>
      </c>
      <c r="H1116" t="str">
        <f>Sheet4!G1095</f>
        <v>Vật liệu xây dựng &amp; Nội thất</v>
      </c>
      <c r="I1116" s="9" t="str" cm="1">
        <f t="array" ref="I111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16" s="9" t="str" cm="1">
        <f t="array" ref="J111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16" s="10" cm="1">
        <f t="array" ref="K111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16" s="10" cm="1">
        <f t="array" ref="L111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16" s="9" t="str" cm="1">
        <f t="array" ref="M111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16" s="9" t="str" cm="1">
        <f t="array" ref="N111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16" s="10" cm="1">
        <f t="array" ref="O1116">IFERROR(INDEX(Sheet4!$2:$1605,MATCH(ChiTietKQKD[[#This Row],[Mã CP]],Sheet4!$B$2:$B$1605,0),_xlfn.XMATCH("*Tăng trưởng lợi nhuận sau thuế (YoY) (Quý*",Sheet4!$1:$1,2)),"")</f>
        <v>0</v>
      </c>
      <c r="P1116" s="10" cm="1">
        <f t="array" ref="P1116">IFERROR(INDEX(Sheet4!$2:$1605,MATCH(ChiTietKQKD[[#This Row],[Mã CP]],Sheet4!$B$2:$B$1605,0),_xlfn.XMATCH("*Tăng trưởng lợi nhuận sau thuế (YoY) (6M)*",Sheet4!$1:$1,2)),"")</f>
        <v>0</v>
      </c>
      <c r="Q1116" s="10" cm="1">
        <f t="array" ref="Q1116">IFERROR(INDEX(Sheet4!$2:$1605,MATCH(ChiTietKQKD[[#This Row],[Mã CP]],Sheet4!$B$2:$B$1605,0),_xlfn.XMATCH("*Tăng trưởng doanh thu thuần (QoQ)*",Sheet4!$1:$1,2)),"")</f>
        <v>0</v>
      </c>
      <c r="R1116" s="10" cm="1">
        <f t="array" ref="R1116">IFERROR(INDEX(Sheet4!$2:$1605,MATCH(ChiTietKQKD[[#This Row],[Mã CP]],Sheet4!$B$2:$B$1605,0),_xlfn.XMATCH("*Tăng trưởng lợi nhuận sau thuế (QoQ)*",Sheet4!$1:$1,2)),"")</f>
        <v>0</v>
      </c>
    </row>
    <row r="1117" spans="1:18" x14ac:dyDescent="0.25">
      <c r="A1117" s="7">
        <f>Sheet4!A1096</f>
        <v>1095</v>
      </c>
      <c r="B1117" t="str">
        <f>Sheet4!B1096</f>
        <v>HWI</v>
      </c>
      <c r="C1117" t="str">
        <f>Sheet4!C1095</f>
        <v>Xi măng Vicem Hải Vân</v>
      </c>
      <c r="D1117" t="str">
        <f>Sheet4!D1096</f>
        <v>UPCoM</v>
      </c>
      <c r="E1117" s="7">
        <f>Sheet4!AH1096/1000000000</f>
        <v>0</v>
      </c>
      <c r="F1117" t="str">
        <f>Sheet4!E1096</f>
        <v>Công nghiệp</v>
      </c>
      <c r="G1117" t="str">
        <f>Sheet4!F1096</f>
        <v>Xây dựng và Vật liệu</v>
      </c>
      <c r="H1117" t="str">
        <f>Sheet4!G1096</f>
        <v>Xây dựng</v>
      </c>
      <c r="I1117" s="9" t="str" cm="1">
        <f t="array" ref="I111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17" s="9" t="str" cm="1">
        <f t="array" ref="J111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17" s="10" cm="1">
        <f t="array" ref="K111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17" s="10" cm="1">
        <f t="array" ref="L111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17" s="9" t="str" cm="1">
        <f t="array" ref="M111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17" s="9" t="str" cm="1">
        <f t="array" ref="N111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17" s="10" cm="1">
        <f t="array" ref="O1117">IFERROR(INDEX(Sheet4!$2:$1605,MATCH(ChiTietKQKD[[#This Row],[Mã CP]],Sheet4!$B$2:$B$1605,0),_xlfn.XMATCH("*Tăng trưởng lợi nhuận sau thuế (YoY) (Quý*",Sheet4!$1:$1,2)),"")</f>
        <v>0</v>
      </c>
      <c r="P1117" s="10" cm="1">
        <f t="array" ref="P1117">IFERROR(INDEX(Sheet4!$2:$1605,MATCH(ChiTietKQKD[[#This Row],[Mã CP]],Sheet4!$B$2:$B$1605,0),_xlfn.XMATCH("*Tăng trưởng lợi nhuận sau thuế (YoY) (6M)*",Sheet4!$1:$1,2)),"")</f>
        <v>0</v>
      </c>
      <c r="Q1117" s="10" cm="1">
        <f t="array" ref="Q1117">IFERROR(INDEX(Sheet4!$2:$1605,MATCH(ChiTietKQKD[[#This Row],[Mã CP]],Sheet4!$B$2:$B$1605,0),_xlfn.XMATCH("*Tăng trưởng doanh thu thuần (QoQ)*",Sheet4!$1:$1,2)),"")</f>
        <v>0</v>
      </c>
      <c r="R1117" s="10" cm="1">
        <f t="array" ref="R1117">IFERROR(INDEX(Sheet4!$2:$1605,MATCH(ChiTietKQKD[[#This Row],[Mã CP]],Sheet4!$B$2:$B$1605,0),_xlfn.XMATCH("*Tăng trưởng lợi nhuận sau thuế (QoQ)*",Sheet4!$1:$1,2)),"")</f>
        <v>0</v>
      </c>
    </row>
    <row r="1118" spans="1:18" x14ac:dyDescent="0.25">
      <c r="A1118" s="7">
        <f>Sheet4!A1097</f>
        <v>1096</v>
      </c>
      <c r="B1118" t="str">
        <f>Sheet4!B1097</f>
        <v>HWS</v>
      </c>
      <c r="C1118" t="str">
        <f>Sheet4!C1096</f>
        <v>Đầu tư XD hạ tầng nước sạch Hà Nội</v>
      </c>
      <c r="D1118" t="str">
        <f>Sheet4!D1097</f>
        <v>UPCoM</v>
      </c>
      <c r="E1118" s="7">
        <f>Sheet4!AH1097/1000000000</f>
        <v>1328.571132</v>
      </c>
      <c r="F1118" t="str">
        <f>Sheet4!E1097</f>
        <v>Tiện ích Cộng đồng</v>
      </c>
      <c r="G1118" t="str">
        <f>Sheet4!F1097</f>
        <v>Điện, nước &amp; xăng dầu khí đốt</v>
      </c>
      <c r="H1118" t="str">
        <f>Sheet4!G1097</f>
        <v>Nước</v>
      </c>
      <c r="I1118" s="9" cm="1">
        <f t="array" ref="I111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192.36749495000001</v>
      </c>
      <c r="J1118" s="9" cm="1">
        <f t="array" ref="J111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347.73178630799998</v>
      </c>
      <c r="K1118" s="10" cm="1">
        <f t="array" ref="K111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9.9599999999999994E-2</v>
      </c>
      <c r="L1118" s="10" cm="1">
        <f t="array" ref="L111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8.2600000000000007E-2</v>
      </c>
      <c r="M1118" s="9" cm="1">
        <f t="array" ref="M1118">_xlfn.LET(_xlpm.val,IFERROR(INDEX(Sheet4!$2:$1605,MATCH(ChiTietKQKD[[#This Row],[Mã CP]],Sheet4!$B$2:$B$1605,0),_xlfn.XMATCH("*Lợi nhuận sau thuế*Q2*2026*",Sheet4!$1:$1,2)),0),IF(OR(_xlpm.val="",_xlpm.val=0),"",_xlpm.val/1000000000))</f>
        <v>32.639666376000001</v>
      </c>
      <c r="N1118" s="9" cm="1">
        <f t="array" ref="N1118">_xlfn.LET(_xlpm.val,IFERROR(INDEX(Sheet4!$2:$1605,MATCH(ChiTietKQKD[[#This Row],[Mã CP]],Sheet4!$B$2:$B$1605,0),_xlfn.XMATCH("*Lợi nhuận sau thuế*6 tháng*2026*",Sheet4!$1:$1,2)),0),IF(OR(_xlpm.val="",_xlpm.val=0),"",_xlpm.val/1000000000))</f>
        <v>66.905518087999994</v>
      </c>
      <c r="O1118" s="10" cm="1">
        <f t="array" ref="O1118">IFERROR(INDEX(Sheet4!$2:$1605,MATCH(ChiTietKQKD[[#This Row],[Mã CP]],Sheet4!$B$2:$B$1605,0),_xlfn.XMATCH("*Tăng trưởng lợi nhuận sau thuế (YoY) (Quý*",Sheet4!$1:$1,2)),"")</f>
        <v>9.3200000000000005E-2</v>
      </c>
      <c r="P1118" s="10" cm="1">
        <f t="array" ref="P1118">IFERROR(INDEX(Sheet4!$2:$1605,MATCH(ChiTietKQKD[[#This Row],[Mã CP]],Sheet4!$B$2:$B$1605,0),_xlfn.XMATCH("*Tăng trưởng lợi nhuận sau thuế (YoY) (6M)*",Sheet4!$1:$1,2)),"")</f>
        <v>4.7399999999999998E-2</v>
      </c>
      <c r="Q1118" s="10" cm="1">
        <f t="array" ref="Q1118">IFERROR(INDEX(Sheet4!$2:$1605,MATCH(ChiTietKQKD[[#This Row],[Mã CP]],Sheet4!$B$2:$B$1605,0),_xlfn.XMATCH("*Tăng trưởng doanh thu thuần (QoQ)*",Sheet4!$1:$1,2)),"")</f>
        <v>0.2382</v>
      </c>
      <c r="R1118" s="10" cm="1">
        <f t="array" ref="R1118">IFERROR(INDEX(Sheet4!$2:$1605,MATCH(ChiTietKQKD[[#This Row],[Mã CP]],Sheet4!$B$2:$B$1605,0),_xlfn.XMATCH("*Tăng trưởng lợi nhuận sau thuế (QoQ)*",Sheet4!$1:$1,2)),"")</f>
        <v>-4.7500000000000001E-2</v>
      </c>
    </row>
    <row r="1119" spans="1:18" x14ac:dyDescent="0.25">
      <c r="A1119" s="7">
        <f>Sheet4!A1098</f>
        <v>1097</v>
      </c>
      <c r="B1119" t="str">
        <f>Sheet4!B1098</f>
        <v>IBD</v>
      </c>
      <c r="C1119" t="str">
        <f>Sheet4!C1097</f>
        <v>Cấp nước Huế</v>
      </c>
      <c r="D1119" t="str">
        <f>Sheet4!D1098</f>
        <v>UPCoM</v>
      </c>
      <c r="E1119" s="7">
        <f>Sheet4!AH1098/1000000000</f>
        <v>44.1</v>
      </c>
      <c r="F1119" t="str">
        <f>Sheet4!E1098</f>
        <v>Dịch vụ Tiêu dùng</v>
      </c>
      <c r="G1119" t="str">
        <f>Sheet4!F1098</f>
        <v>Truyền thông</v>
      </c>
      <c r="H1119" t="str">
        <f>Sheet4!G1098</f>
        <v>Sách, ấn bản &amp; sản phẩm văn hóa</v>
      </c>
      <c r="I1119" s="9" t="str" cm="1">
        <f t="array" ref="I111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19" s="9" t="str" cm="1">
        <f t="array" ref="J111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19" s="10" cm="1">
        <f t="array" ref="K111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19" s="10" cm="1">
        <f t="array" ref="L111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19" s="9" t="str" cm="1">
        <f t="array" ref="M111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19" s="9" t="str" cm="1">
        <f t="array" ref="N111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19" s="10" cm="1">
        <f t="array" ref="O1119">IFERROR(INDEX(Sheet4!$2:$1605,MATCH(ChiTietKQKD[[#This Row],[Mã CP]],Sheet4!$B$2:$B$1605,0),_xlfn.XMATCH("*Tăng trưởng lợi nhuận sau thuế (YoY) (Quý*",Sheet4!$1:$1,2)),"")</f>
        <v>0</v>
      </c>
      <c r="P1119" s="10" cm="1">
        <f t="array" ref="P1119">IFERROR(INDEX(Sheet4!$2:$1605,MATCH(ChiTietKQKD[[#This Row],[Mã CP]],Sheet4!$B$2:$B$1605,0),_xlfn.XMATCH("*Tăng trưởng lợi nhuận sau thuế (YoY) (6M)*",Sheet4!$1:$1,2)),"")</f>
        <v>0</v>
      </c>
      <c r="Q1119" s="10" cm="1">
        <f t="array" ref="Q1119">IFERROR(INDEX(Sheet4!$2:$1605,MATCH(ChiTietKQKD[[#This Row],[Mã CP]],Sheet4!$B$2:$B$1605,0),_xlfn.XMATCH("*Tăng trưởng doanh thu thuần (QoQ)*",Sheet4!$1:$1,2)),"")</f>
        <v>0</v>
      </c>
      <c r="R1119" s="10" cm="1">
        <f t="array" ref="R1119">IFERROR(INDEX(Sheet4!$2:$1605,MATCH(ChiTietKQKD[[#This Row],[Mã CP]],Sheet4!$B$2:$B$1605,0),_xlfn.XMATCH("*Tăng trưởng lợi nhuận sau thuế (QoQ)*",Sheet4!$1:$1,2)),"")</f>
        <v>0</v>
      </c>
    </row>
    <row r="1120" spans="1:18" x14ac:dyDescent="0.25">
      <c r="A1120" s="7">
        <f>Sheet4!A1099</f>
        <v>1098</v>
      </c>
      <c r="B1120" t="str">
        <f>Sheet4!B1099</f>
        <v>ICC</v>
      </c>
      <c r="C1120" t="str">
        <f>Sheet4!C1098</f>
        <v>In Tổng hợp Bình Dương</v>
      </c>
      <c r="D1120" t="str">
        <f>Sheet4!D1099</f>
        <v>UPCoM</v>
      </c>
      <c r="E1120" s="7">
        <f>Sheet4!AH1099/1000000000</f>
        <v>108.3</v>
      </c>
      <c r="F1120" t="str">
        <f>Sheet4!E1099</f>
        <v>Công nghiệp</v>
      </c>
      <c r="G1120" t="str">
        <f>Sheet4!F1099</f>
        <v>Xây dựng và Vật liệu</v>
      </c>
      <c r="H1120" t="str">
        <f>Sheet4!G1099</f>
        <v>Xây dựng</v>
      </c>
      <c r="I1120" s="9" t="str" cm="1">
        <f t="array" ref="I112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20" s="9" t="str" cm="1">
        <f t="array" ref="J112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20" s="10" cm="1">
        <f t="array" ref="K112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20" s="10" cm="1">
        <f t="array" ref="L112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20" s="9" t="str" cm="1">
        <f t="array" ref="M112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20" s="9" t="str" cm="1">
        <f t="array" ref="N112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20" s="10" cm="1">
        <f t="array" ref="O1120">IFERROR(INDEX(Sheet4!$2:$1605,MATCH(ChiTietKQKD[[#This Row],[Mã CP]],Sheet4!$B$2:$B$1605,0),_xlfn.XMATCH("*Tăng trưởng lợi nhuận sau thuế (YoY) (Quý*",Sheet4!$1:$1,2)),"")</f>
        <v>0</v>
      </c>
      <c r="P1120" s="10" cm="1">
        <f t="array" ref="P1120">IFERROR(INDEX(Sheet4!$2:$1605,MATCH(ChiTietKQKD[[#This Row],[Mã CP]],Sheet4!$B$2:$B$1605,0),_xlfn.XMATCH("*Tăng trưởng lợi nhuận sau thuế (YoY) (6M)*",Sheet4!$1:$1,2)),"")</f>
        <v>0</v>
      </c>
      <c r="Q1120" s="10" cm="1">
        <f t="array" ref="Q1120">IFERROR(INDEX(Sheet4!$2:$1605,MATCH(ChiTietKQKD[[#This Row],[Mã CP]],Sheet4!$B$2:$B$1605,0),_xlfn.XMATCH("*Tăng trưởng doanh thu thuần (QoQ)*",Sheet4!$1:$1,2)),"")</f>
        <v>0</v>
      </c>
      <c r="R1120" s="10" cm="1">
        <f t="array" ref="R1120">IFERROR(INDEX(Sheet4!$2:$1605,MATCH(ChiTietKQKD[[#This Row],[Mã CP]],Sheet4!$B$2:$B$1605,0),_xlfn.XMATCH("*Tăng trưởng lợi nhuận sau thuế (QoQ)*",Sheet4!$1:$1,2)),"")</f>
        <v>0</v>
      </c>
    </row>
    <row r="1121" spans="1:18" x14ac:dyDescent="0.25">
      <c r="A1121" s="7">
        <f>Sheet4!A1100</f>
        <v>1099</v>
      </c>
      <c r="B1121" t="str">
        <f>Sheet4!B1100</f>
        <v>ICF</v>
      </c>
      <c r="C1121" t="str">
        <f>Sheet4!C1099</f>
        <v>Xây dựng công nghiệp</v>
      </c>
      <c r="D1121" t="str">
        <f>Sheet4!D1100</f>
        <v>UPCoM</v>
      </c>
      <c r="E1121" s="7">
        <f>Sheet4!AH1100/1000000000</f>
        <v>19.146464999999999</v>
      </c>
      <c r="F1121" t="str">
        <f>Sheet4!E1100</f>
        <v>Hàng Tiêu dùng</v>
      </c>
      <c r="G1121" t="str">
        <f>Sheet4!F1100</f>
        <v>Thực phẩm và đồ uống</v>
      </c>
      <c r="H1121" t="str">
        <f>Sheet4!G1100</f>
        <v>Nuôi trồng nông &amp; hải sản</v>
      </c>
      <c r="I1121" s="9" t="str" cm="1">
        <f t="array" ref="I112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21" s="9" t="str" cm="1">
        <f t="array" ref="J112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21" s="10" cm="1">
        <f t="array" ref="K112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21" s="10" cm="1">
        <f t="array" ref="L112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21" s="9" t="str" cm="1">
        <f t="array" ref="M112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21" s="9" t="str" cm="1">
        <f t="array" ref="N112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21" s="10" cm="1">
        <f t="array" ref="O1121">IFERROR(INDEX(Sheet4!$2:$1605,MATCH(ChiTietKQKD[[#This Row],[Mã CP]],Sheet4!$B$2:$B$1605,0),_xlfn.XMATCH("*Tăng trưởng lợi nhuận sau thuế (YoY) (Quý*",Sheet4!$1:$1,2)),"")</f>
        <v>0</v>
      </c>
      <c r="P1121" s="10" cm="1">
        <f t="array" ref="P1121">IFERROR(INDEX(Sheet4!$2:$1605,MATCH(ChiTietKQKD[[#This Row],[Mã CP]],Sheet4!$B$2:$B$1605,0),_xlfn.XMATCH("*Tăng trưởng lợi nhuận sau thuế (YoY) (6M)*",Sheet4!$1:$1,2)),"")</f>
        <v>0</v>
      </c>
      <c r="Q1121" s="10" cm="1">
        <f t="array" ref="Q1121">IFERROR(INDEX(Sheet4!$2:$1605,MATCH(ChiTietKQKD[[#This Row],[Mã CP]],Sheet4!$B$2:$B$1605,0),_xlfn.XMATCH("*Tăng trưởng doanh thu thuần (QoQ)*",Sheet4!$1:$1,2)),"")</f>
        <v>0</v>
      </c>
      <c r="R1121" s="10" cm="1">
        <f t="array" ref="R1121">IFERROR(INDEX(Sheet4!$2:$1605,MATCH(ChiTietKQKD[[#This Row],[Mã CP]],Sheet4!$B$2:$B$1605,0),_xlfn.XMATCH("*Tăng trưởng lợi nhuận sau thuế (QoQ)*",Sheet4!$1:$1,2)),"")</f>
        <v>0</v>
      </c>
    </row>
    <row r="1122" spans="1:18" x14ac:dyDescent="0.25">
      <c r="A1122" s="7">
        <f>Sheet4!A1101</f>
        <v>1100</v>
      </c>
      <c r="B1122" t="str">
        <f>Sheet4!B1101</f>
        <v>ICI</v>
      </c>
      <c r="C1122" t="str">
        <f>Sheet4!C1100</f>
        <v>ĐT TM Thủy sản</v>
      </c>
      <c r="D1122" t="str">
        <f>Sheet4!D1101</f>
        <v>UPCoM</v>
      </c>
      <c r="E1122" s="7">
        <f>Sheet4!AH1101/1000000000</f>
        <v>36</v>
      </c>
      <c r="F1122" t="str">
        <f>Sheet4!E1101</f>
        <v>Công nghiệp</v>
      </c>
      <c r="G1122" t="str">
        <f>Sheet4!F1101</f>
        <v>Xây dựng và Vật liệu</v>
      </c>
      <c r="H1122" t="str">
        <f>Sheet4!G1101</f>
        <v>Xây dựng</v>
      </c>
      <c r="I1122" s="9" t="str" cm="1">
        <f t="array" ref="I112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22" s="9" t="str" cm="1">
        <f t="array" ref="J112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22" s="10" cm="1">
        <f t="array" ref="K112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22" s="10" cm="1">
        <f t="array" ref="L112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22" s="9" t="str" cm="1">
        <f t="array" ref="M112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22" s="9" t="str" cm="1">
        <f t="array" ref="N112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22" s="10" cm="1">
        <f t="array" ref="O1122">IFERROR(INDEX(Sheet4!$2:$1605,MATCH(ChiTietKQKD[[#This Row],[Mã CP]],Sheet4!$B$2:$B$1605,0),_xlfn.XMATCH("*Tăng trưởng lợi nhuận sau thuế (YoY) (Quý*",Sheet4!$1:$1,2)),"")</f>
        <v>0</v>
      </c>
      <c r="P1122" s="10" cm="1">
        <f t="array" ref="P1122">IFERROR(INDEX(Sheet4!$2:$1605,MATCH(ChiTietKQKD[[#This Row],[Mã CP]],Sheet4!$B$2:$B$1605,0),_xlfn.XMATCH("*Tăng trưởng lợi nhuận sau thuế (YoY) (6M)*",Sheet4!$1:$1,2)),"")</f>
        <v>0</v>
      </c>
      <c r="Q1122" s="10" cm="1">
        <f t="array" ref="Q1122">IFERROR(INDEX(Sheet4!$2:$1605,MATCH(ChiTietKQKD[[#This Row],[Mã CP]],Sheet4!$B$2:$B$1605,0),_xlfn.XMATCH("*Tăng trưởng doanh thu thuần (QoQ)*",Sheet4!$1:$1,2)),"")</f>
        <v>0</v>
      </c>
      <c r="R1122" s="10" cm="1">
        <f t="array" ref="R1122">IFERROR(INDEX(Sheet4!$2:$1605,MATCH(ChiTietKQKD[[#This Row],[Mã CP]],Sheet4!$B$2:$B$1605,0),_xlfn.XMATCH("*Tăng trưởng lợi nhuận sau thuế (QoQ)*",Sheet4!$1:$1,2)),"")</f>
        <v>0</v>
      </c>
    </row>
    <row r="1123" spans="1:18" x14ac:dyDescent="0.25">
      <c r="A1123" s="7">
        <f>Sheet4!A1102</f>
        <v>1101</v>
      </c>
      <c r="B1123" t="str">
        <f>Sheet4!B1102</f>
        <v>ICL</v>
      </c>
      <c r="C1123" t="str">
        <f>Sheet4!C1101</f>
        <v>Đầu tư và XD Công nghiệp</v>
      </c>
      <c r="D1123" t="str">
        <f>Sheet4!D1102</f>
        <v>UPCoM</v>
      </c>
      <c r="E1123" s="7">
        <f>Sheet4!AH1102/1000000000</f>
        <v>0</v>
      </c>
      <c r="F1123" t="str">
        <f>Sheet4!E1102</f>
        <v>Dịch vụ Tiêu dùng</v>
      </c>
      <c r="G1123" t="str">
        <f>Sheet4!F1102</f>
        <v>Bán lẻ</v>
      </c>
      <c r="H1123" t="str">
        <f>Sheet4!G1102</f>
        <v>Phân phối thực phẩm</v>
      </c>
      <c r="I1123" s="9" t="str" cm="1">
        <f t="array" ref="I112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23" s="9" t="str" cm="1">
        <f t="array" ref="J112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23" s="10" cm="1">
        <f t="array" ref="K112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23" s="10" cm="1">
        <f t="array" ref="L112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23" s="9" t="str" cm="1">
        <f t="array" ref="M112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23" s="9" t="str" cm="1">
        <f t="array" ref="N112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23" s="10" cm="1">
        <f t="array" ref="O1123">IFERROR(INDEX(Sheet4!$2:$1605,MATCH(ChiTietKQKD[[#This Row],[Mã CP]],Sheet4!$B$2:$B$1605,0),_xlfn.XMATCH("*Tăng trưởng lợi nhuận sau thuế (YoY) (Quý*",Sheet4!$1:$1,2)),"")</f>
        <v>0</v>
      </c>
      <c r="P1123" s="10" cm="1">
        <f t="array" ref="P1123">IFERROR(INDEX(Sheet4!$2:$1605,MATCH(ChiTietKQKD[[#This Row],[Mã CP]],Sheet4!$B$2:$B$1605,0),_xlfn.XMATCH("*Tăng trưởng lợi nhuận sau thuế (YoY) (6M)*",Sheet4!$1:$1,2)),"")</f>
        <v>0</v>
      </c>
      <c r="Q1123" s="10" cm="1">
        <f t="array" ref="Q1123">IFERROR(INDEX(Sheet4!$2:$1605,MATCH(ChiTietKQKD[[#This Row],[Mã CP]],Sheet4!$B$2:$B$1605,0),_xlfn.XMATCH("*Tăng trưởng doanh thu thuần (QoQ)*",Sheet4!$1:$1,2)),"")</f>
        <v>0</v>
      </c>
      <c r="R1123" s="10" cm="1">
        <f t="array" ref="R1123">IFERROR(INDEX(Sheet4!$2:$1605,MATCH(ChiTietKQKD[[#This Row],[Mã CP]],Sheet4!$B$2:$B$1605,0),_xlfn.XMATCH("*Tăng trưởng lợi nhuận sau thuế (QoQ)*",Sheet4!$1:$1,2)),"")</f>
        <v>0</v>
      </c>
    </row>
    <row r="1124" spans="1:18" x14ac:dyDescent="0.25">
      <c r="A1124" s="7">
        <f>Sheet4!A1103</f>
        <v>1102</v>
      </c>
      <c r="B1124" t="str">
        <f>Sheet4!B1103</f>
        <v>ICN</v>
      </c>
      <c r="C1124" t="str">
        <f>Sheet4!C1102</f>
        <v>Xuất Nhập Khẩu Vĩnh Long</v>
      </c>
      <c r="D1124" t="str">
        <f>Sheet4!D1103</f>
        <v>UPCoM</v>
      </c>
      <c r="E1124" s="7">
        <f>Sheet4!AH1103/1000000000</f>
        <v>817.01794410000002</v>
      </c>
      <c r="F1124" t="str">
        <f>Sheet4!E1103</f>
        <v>Công nghiệp</v>
      </c>
      <c r="G1124" t="str">
        <f>Sheet4!F1103</f>
        <v>Xây dựng và Vật liệu</v>
      </c>
      <c r="H1124" t="str">
        <f>Sheet4!G1103</f>
        <v>Xây dựng</v>
      </c>
      <c r="I1124" s="9" cm="1">
        <f t="array" ref="I112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32.219366057000002</v>
      </c>
      <c r="J1124" s="9" cm="1">
        <f t="array" ref="J112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58.552531705</v>
      </c>
      <c r="K1124" s="10" cm="1">
        <f t="array" ref="K112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-0.82769999999999999</v>
      </c>
      <c r="L1124" s="10" cm="1">
        <f t="array" ref="L112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24" s="9" cm="1">
        <f t="array" ref="M1124">_xlfn.LET(_xlpm.val,IFERROR(INDEX(Sheet4!$2:$1605,MATCH(ChiTietKQKD[[#This Row],[Mã CP]],Sheet4!$B$2:$B$1605,0),_xlfn.XMATCH("*Lợi nhuận sau thuế*Q2*2026*",Sheet4!$1:$1,2)),0),IF(OR(_xlpm.val="",_xlpm.val=0),"",_xlpm.val/1000000000))</f>
        <v>15.282299665</v>
      </c>
      <c r="N1124" s="9" cm="1">
        <f t="array" ref="N1124">_xlfn.LET(_xlpm.val,IFERROR(INDEX(Sheet4!$2:$1605,MATCH(ChiTietKQKD[[#This Row],[Mã CP]],Sheet4!$B$2:$B$1605,0),_xlfn.XMATCH("*Lợi nhuận sau thuế*6 tháng*2026*",Sheet4!$1:$1,2)),0),IF(OR(_xlpm.val="",_xlpm.val=0),"",_xlpm.val/1000000000))</f>
        <v>22.331812408000001</v>
      </c>
      <c r="O1124" s="10" cm="1">
        <f t="array" ref="O1124">IFERROR(INDEX(Sheet4!$2:$1605,MATCH(ChiTietKQKD[[#This Row],[Mã CP]],Sheet4!$B$2:$B$1605,0),_xlfn.XMATCH("*Tăng trưởng lợi nhuận sau thuế (YoY) (Quý*",Sheet4!$1:$1,2)),"")</f>
        <v>-0.82010000000000005</v>
      </c>
      <c r="P1124" s="10" cm="1">
        <f t="array" ref="P1124">IFERROR(INDEX(Sheet4!$2:$1605,MATCH(ChiTietKQKD[[#This Row],[Mã CP]],Sheet4!$B$2:$B$1605,0),_xlfn.XMATCH("*Tăng trưởng lợi nhuận sau thuế (YoY) (6M)*",Sheet4!$1:$1,2)),"")</f>
        <v>0</v>
      </c>
      <c r="Q1124" s="10" cm="1">
        <f t="array" ref="Q1124">IFERROR(INDEX(Sheet4!$2:$1605,MATCH(ChiTietKQKD[[#This Row],[Mã CP]],Sheet4!$B$2:$B$1605,0),_xlfn.XMATCH("*Tăng trưởng doanh thu thuần (QoQ)*",Sheet4!$1:$1,2)),"")</f>
        <v>0.2235</v>
      </c>
      <c r="R1124" s="10" cm="1">
        <f t="array" ref="R1124">IFERROR(INDEX(Sheet4!$2:$1605,MATCH(ChiTietKQKD[[#This Row],[Mã CP]],Sheet4!$B$2:$B$1605,0),_xlfn.XMATCH("*Tăng trưởng lợi nhuận sau thuế (QoQ)*",Sheet4!$1:$1,2)),"")</f>
        <v>1.1678999999999999</v>
      </c>
    </row>
    <row r="1125" spans="1:18" x14ac:dyDescent="0.25">
      <c r="A1125" s="7">
        <f>Sheet4!A1104</f>
        <v>1103</v>
      </c>
      <c r="B1125" t="str">
        <f>Sheet4!B1104</f>
        <v>IDP</v>
      </c>
      <c r="C1125" t="str">
        <f>Sheet4!C1103</f>
        <v>XD Dầu Khí IDICO</v>
      </c>
      <c r="D1125" t="str">
        <f>Sheet4!D1104</f>
        <v>UPCoM</v>
      </c>
      <c r="E1125" s="7">
        <f>Sheet4!AH1104/1000000000</f>
        <v>18232.319240000001</v>
      </c>
      <c r="F1125" t="str">
        <f>Sheet4!E1104</f>
        <v>Hàng Tiêu dùng</v>
      </c>
      <c r="G1125" t="str">
        <f>Sheet4!F1104</f>
        <v>Thực phẩm và đồ uống</v>
      </c>
      <c r="H1125" t="str">
        <f>Sheet4!G1104</f>
        <v>Thực phẩm</v>
      </c>
      <c r="I1125" s="9" cm="1">
        <f t="array" ref="I112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2077.381552713</v>
      </c>
      <c r="J1125" s="9" cm="1">
        <f t="array" ref="J112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3978.3882182299999</v>
      </c>
      <c r="K1125" s="10" cm="1">
        <f t="array" ref="K112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-1.67E-2</v>
      </c>
      <c r="L1125" s="10" cm="1">
        <f t="array" ref="L112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25" s="9" cm="1">
        <f t="array" ref="M1125">_xlfn.LET(_xlpm.val,IFERROR(INDEX(Sheet4!$2:$1605,MATCH(ChiTietKQKD[[#This Row],[Mã CP]],Sheet4!$B$2:$B$1605,0),_xlfn.XMATCH("*Lợi nhuận sau thuế*Q2*2026*",Sheet4!$1:$1,2)),0),IF(OR(_xlpm.val="",_xlpm.val=0),"",_xlpm.val/1000000000))</f>
        <v>228.53004426300001</v>
      </c>
      <c r="N1125" s="9" cm="1">
        <f t="array" ref="N1125">_xlfn.LET(_xlpm.val,IFERROR(INDEX(Sheet4!$2:$1605,MATCH(ChiTietKQKD[[#This Row],[Mã CP]],Sheet4!$B$2:$B$1605,0),_xlfn.XMATCH("*Lợi nhuận sau thuế*6 tháng*2026*",Sheet4!$1:$1,2)),0),IF(OR(_xlpm.val="",_xlpm.val=0),"",_xlpm.val/1000000000))</f>
        <v>475.56616151700001</v>
      </c>
      <c r="O1125" s="10" cm="1">
        <f t="array" ref="O1125">IFERROR(INDEX(Sheet4!$2:$1605,MATCH(ChiTietKQKD[[#This Row],[Mã CP]],Sheet4!$B$2:$B$1605,0),_xlfn.XMATCH("*Tăng trưởng lợi nhuận sau thuế (YoY) (Quý*",Sheet4!$1:$1,2)),"")</f>
        <v>7.3406000000000002</v>
      </c>
      <c r="P1125" s="10" cm="1">
        <f t="array" ref="P1125">IFERROR(INDEX(Sheet4!$2:$1605,MATCH(ChiTietKQKD[[#This Row],[Mã CP]],Sheet4!$B$2:$B$1605,0),_xlfn.XMATCH("*Tăng trưởng lợi nhuận sau thuế (YoY) (6M)*",Sheet4!$1:$1,2)),"")</f>
        <v>0</v>
      </c>
      <c r="Q1125" s="10" cm="1">
        <f t="array" ref="Q1125">IFERROR(INDEX(Sheet4!$2:$1605,MATCH(ChiTietKQKD[[#This Row],[Mã CP]],Sheet4!$B$2:$B$1605,0),_xlfn.XMATCH("*Tăng trưởng doanh thu thuần (QoQ)*",Sheet4!$1:$1,2)),"")</f>
        <v>9.2799999999999994E-2</v>
      </c>
      <c r="R1125" s="10" cm="1">
        <f t="array" ref="R1125">IFERROR(INDEX(Sheet4!$2:$1605,MATCH(ChiTietKQKD[[#This Row],[Mã CP]],Sheet4!$B$2:$B$1605,0),_xlfn.XMATCH("*Tăng trưởng lợi nhuận sau thuế (QoQ)*",Sheet4!$1:$1,2)),"")</f>
        <v>-6.3700000000000007E-2</v>
      </c>
    </row>
    <row r="1126" spans="1:18" x14ac:dyDescent="0.25">
      <c r="A1126" s="7">
        <f>Sheet4!A1105</f>
        <v>1104</v>
      </c>
      <c r="B1126" t="str">
        <f>Sheet4!B1105</f>
        <v>IFS</v>
      </c>
      <c r="C1126" t="str">
        <f>Sheet4!C1104</f>
        <v>Sữa Quốc tế LOF</v>
      </c>
      <c r="D1126" t="str">
        <f>Sheet4!D1105</f>
        <v>UPCoM</v>
      </c>
      <c r="E1126" s="7">
        <f>Sheet4!AH1105/1000000000</f>
        <v>1576.2061185919999</v>
      </c>
      <c r="F1126" t="str">
        <f>Sheet4!E1105</f>
        <v>Hàng Tiêu dùng</v>
      </c>
      <c r="G1126" t="str">
        <f>Sheet4!F1105</f>
        <v>Thực phẩm và đồ uống</v>
      </c>
      <c r="H1126" t="str">
        <f>Sheet4!G1105</f>
        <v>Đồ uống &amp; giải khát</v>
      </c>
      <c r="I1126" s="9" cm="1">
        <f t="array" ref="I112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582.62868900000001</v>
      </c>
      <c r="J1126" s="9" cm="1">
        <f t="array" ref="J112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1082.872265</v>
      </c>
      <c r="K1126" s="10" cm="1">
        <f t="array" ref="K112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0.18970000000000001</v>
      </c>
      <c r="L1126" s="10" cm="1">
        <f t="array" ref="L112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9.8299999999999998E-2</v>
      </c>
      <c r="M1126" s="9" cm="1">
        <f t="array" ref="M1126">_xlfn.LET(_xlpm.val,IFERROR(INDEX(Sheet4!$2:$1605,MATCH(ChiTietKQKD[[#This Row],[Mã CP]],Sheet4!$B$2:$B$1605,0),_xlfn.XMATCH("*Lợi nhuận sau thuế*Q2*2026*",Sheet4!$1:$1,2)),0),IF(OR(_xlpm.val="",_xlpm.val=0),"",_xlpm.val/1000000000))</f>
        <v>62.581057999999999</v>
      </c>
      <c r="N1126" s="9" cm="1">
        <f t="array" ref="N1126">_xlfn.LET(_xlpm.val,IFERROR(INDEX(Sheet4!$2:$1605,MATCH(ChiTietKQKD[[#This Row],[Mã CP]],Sheet4!$B$2:$B$1605,0),_xlfn.XMATCH("*Lợi nhuận sau thuế*6 tháng*2026*",Sheet4!$1:$1,2)),0),IF(OR(_xlpm.val="",_xlpm.val=0),"",_xlpm.val/1000000000))</f>
        <v>115.450907</v>
      </c>
      <c r="O1126" s="10" cm="1">
        <f t="array" ref="O1126">IFERROR(INDEX(Sheet4!$2:$1605,MATCH(ChiTietKQKD[[#This Row],[Mã CP]],Sheet4!$B$2:$B$1605,0),_xlfn.XMATCH("*Tăng trưởng lợi nhuận sau thuế (YoY) (Quý*",Sheet4!$1:$1,2)),"")</f>
        <v>0.61270000000000002</v>
      </c>
      <c r="P1126" s="10" cm="1">
        <f t="array" ref="P1126">IFERROR(INDEX(Sheet4!$2:$1605,MATCH(ChiTietKQKD[[#This Row],[Mã CP]],Sheet4!$B$2:$B$1605,0),_xlfn.XMATCH("*Tăng trưởng lợi nhuận sau thuế (YoY) (6M)*",Sheet4!$1:$1,2)),"")</f>
        <v>0.34079999999999999</v>
      </c>
      <c r="Q1126" s="10" cm="1">
        <f t="array" ref="Q1126">IFERROR(INDEX(Sheet4!$2:$1605,MATCH(ChiTietKQKD[[#This Row],[Mã CP]],Sheet4!$B$2:$B$1605,0),_xlfn.XMATCH("*Tăng trưởng doanh thu thuần (QoQ)*",Sheet4!$1:$1,2)),"")</f>
        <v>0.16470000000000001</v>
      </c>
      <c r="R1126" s="10" cm="1">
        <f t="array" ref="R1126">IFERROR(INDEX(Sheet4!$2:$1605,MATCH(ChiTietKQKD[[#This Row],[Mã CP]],Sheet4!$B$2:$B$1605,0),_xlfn.XMATCH("*Tăng trưởng lợi nhuận sau thuế (QoQ)*",Sheet4!$1:$1,2)),"")</f>
        <v>0.1837</v>
      </c>
    </row>
    <row r="1127" spans="1:18" x14ac:dyDescent="0.25">
      <c r="A1127" s="7">
        <f>Sheet4!A1106</f>
        <v>1105</v>
      </c>
      <c r="B1127" t="str">
        <f>Sheet4!B1106</f>
        <v>ILA</v>
      </c>
      <c r="C1127" t="str">
        <f>Sheet4!C1105</f>
        <v>Thực phẩm Quốc tế</v>
      </c>
      <c r="D1127" t="str">
        <f>Sheet4!D1106</f>
        <v>UPCoM</v>
      </c>
      <c r="E1127" s="7">
        <f>Sheet4!AH1106/1000000000</f>
        <v>149.628421358</v>
      </c>
      <c r="F1127" t="str">
        <f>Sheet4!E1106</f>
        <v>Công nghiệp</v>
      </c>
      <c r="G1127" t="str">
        <f>Sheet4!F1106</f>
        <v>Xây dựng và Vật liệu</v>
      </c>
      <c r="H1127" t="str">
        <f>Sheet4!G1106</f>
        <v>Vật liệu xây dựng &amp; Nội thất</v>
      </c>
      <c r="I1127" s="9" t="str" cm="1">
        <f t="array" ref="I112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27" s="9" t="str" cm="1">
        <f t="array" ref="J112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27" s="10" cm="1">
        <f t="array" ref="K112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27" s="10" cm="1">
        <f t="array" ref="L112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27" s="9" t="str" cm="1">
        <f t="array" ref="M112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27" s="9" t="str" cm="1">
        <f t="array" ref="N112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27" s="10" cm="1">
        <f t="array" ref="O1127">IFERROR(INDEX(Sheet4!$2:$1605,MATCH(ChiTietKQKD[[#This Row],[Mã CP]],Sheet4!$B$2:$B$1605,0),_xlfn.XMATCH("*Tăng trưởng lợi nhuận sau thuế (YoY) (Quý*",Sheet4!$1:$1,2)),"")</f>
        <v>0</v>
      </c>
      <c r="P1127" s="10" cm="1">
        <f t="array" ref="P1127">IFERROR(INDEX(Sheet4!$2:$1605,MATCH(ChiTietKQKD[[#This Row],[Mã CP]],Sheet4!$B$2:$B$1605,0),_xlfn.XMATCH("*Tăng trưởng lợi nhuận sau thuế (YoY) (6M)*",Sheet4!$1:$1,2)),"")</f>
        <v>0</v>
      </c>
      <c r="Q1127" s="10" cm="1">
        <f t="array" ref="Q1127">IFERROR(INDEX(Sheet4!$2:$1605,MATCH(ChiTietKQKD[[#This Row],[Mã CP]],Sheet4!$B$2:$B$1605,0),_xlfn.XMATCH("*Tăng trưởng doanh thu thuần (QoQ)*",Sheet4!$1:$1,2)),"")</f>
        <v>0</v>
      </c>
      <c r="R1127" s="10" cm="1">
        <f t="array" ref="R1127">IFERROR(INDEX(Sheet4!$2:$1605,MATCH(ChiTietKQKD[[#This Row],[Mã CP]],Sheet4!$B$2:$B$1605,0),_xlfn.XMATCH("*Tăng trưởng lợi nhuận sau thuế (QoQ)*",Sheet4!$1:$1,2)),"")</f>
        <v>0</v>
      </c>
    </row>
    <row r="1128" spans="1:18" x14ac:dyDescent="0.25">
      <c r="A1128" s="7">
        <f>Sheet4!A1107</f>
        <v>1106</v>
      </c>
      <c r="B1128" t="str">
        <f>Sheet4!B1107</f>
        <v>ILC</v>
      </c>
      <c r="C1128" t="str">
        <f>Sheet4!C1106</f>
        <v>Công ty ILA</v>
      </c>
      <c r="D1128" t="str">
        <f>Sheet4!D1107</f>
        <v>UPCoM</v>
      </c>
      <c r="E1128" s="7">
        <f>Sheet4!AH1107/1000000000</f>
        <v>40.425822150000002</v>
      </c>
      <c r="F1128" t="str">
        <f>Sheet4!E1107</f>
        <v>Công nghiệp</v>
      </c>
      <c r="G1128" t="str">
        <f>Sheet4!F1107</f>
        <v>Hàng &amp; Dịch vụ Công nghiệp</v>
      </c>
      <c r="H1128" t="str">
        <f>Sheet4!G1107</f>
        <v>Đào tạo &amp; Việc làm</v>
      </c>
      <c r="I1128" s="9" t="str" cm="1">
        <f t="array" ref="I112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28" s="9" t="str" cm="1">
        <f t="array" ref="J112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28" s="10" cm="1">
        <f t="array" ref="K112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28" s="10" cm="1">
        <f t="array" ref="L112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28" s="9" t="str" cm="1">
        <f t="array" ref="M112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28" s="9" t="str" cm="1">
        <f t="array" ref="N112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28" s="10" cm="1">
        <f t="array" ref="O1128">IFERROR(INDEX(Sheet4!$2:$1605,MATCH(ChiTietKQKD[[#This Row],[Mã CP]],Sheet4!$B$2:$B$1605,0),_xlfn.XMATCH("*Tăng trưởng lợi nhuận sau thuế (YoY) (Quý*",Sheet4!$1:$1,2)),"")</f>
        <v>0</v>
      </c>
      <c r="P1128" s="10" cm="1">
        <f t="array" ref="P1128">IFERROR(INDEX(Sheet4!$2:$1605,MATCH(ChiTietKQKD[[#This Row],[Mã CP]],Sheet4!$B$2:$B$1605,0),_xlfn.XMATCH("*Tăng trưởng lợi nhuận sau thuế (YoY) (6M)*",Sheet4!$1:$1,2)),"")</f>
        <v>0</v>
      </c>
      <c r="Q1128" s="10" cm="1">
        <f t="array" ref="Q1128">IFERROR(INDEX(Sheet4!$2:$1605,MATCH(ChiTietKQKD[[#This Row],[Mã CP]],Sheet4!$B$2:$B$1605,0),_xlfn.XMATCH("*Tăng trưởng doanh thu thuần (QoQ)*",Sheet4!$1:$1,2)),"")</f>
        <v>0</v>
      </c>
      <c r="R1128" s="10" cm="1">
        <f t="array" ref="R1128">IFERROR(INDEX(Sheet4!$2:$1605,MATCH(ChiTietKQKD[[#This Row],[Mã CP]],Sheet4!$B$2:$B$1605,0),_xlfn.XMATCH("*Tăng trưởng lợi nhuận sau thuế (QoQ)*",Sheet4!$1:$1,2)),"")</f>
        <v>0</v>
      </c>
    </row>
    <row r="1129" spans="1:18" x14ac:dyDescent="0.25">
      <c r="A1129" s="7">
        <f>Sheet4!A1108</f>
        <v>1107</v>
      </c>
      <c r="B1129" t="str">
        <f>Sheet4!B1108</f>
        <v>ILS</v>
      </c>
      <c r="C1129" t="str">
        <f>Sheet4!C1107</f>
        <v>Hợp tác lao động với nước ngoài</v>
      </c>
      <c r="D1129" t="str">
        <f>Sheet4!D1108</f>
        <v>UPCoM</v>
      </c>
      <c r="E1129" s="7">
        <f>Sheet4!AH1108/1000000000</f>
        <v>737.74800000000005</v>
      </c>
      <c r="F1129" t="str">
        <f>Sheet4!E1108</f>
        <v>Công nghiệp</v>
      </c>
      <c r="G1129" t="str">
        <f>Sheet4!F1108</f>
        <v>Hàng &amp; Dịch vụ Công nghiệp</v>
      </c>
      <c r="H1129" t="str">
        <f>Sheet4!G1108</f>
        <v>Containers &amp; Đóng gói</v>
      </c>
      <c r="I1129" s="9" t="str" cm="1">
        <f t="array" ref="I112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29" s="9" t="str" cm="1">
        <f t="array" ref="J112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29" s="10" cm="1">
        <f t="array" ref="K112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29" s="10" cm="1">
        <f t="array" ref="L112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29" s="9" t="str" cm="1">
        <f t="array" ref="M112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29" s="9" t="str" cm="1">
        <f t="array" ref="N112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29" s="10" cm="1">
        <f t="array" ref="O1129">IFERROR(INDEX(Sheet4!$2:$1605,MATCH(ChiTietKQKD[[#This Row],[Mã CP]],Sheet4!$B$2:$B$1605,0),_xlfn.XMATCH("*Tăng trưởng lợi nhuận sau thuế (YoY) (Quý*",Sheet4!$1:$1,2)),"")</f>
        <v>0</v>
      </c>
      <c r="P1129" s="10" cm="1">
        <f t="array" ref="P1129">IFERROR(INDEX(Sheet4!$2:$1605,MATCH(ChiTietKQKD[[#This Row],[Mã CP]],Sheet4!$B$2:$B$1605,0),_xlfn.XMATCH("*Tăng trưởng lợi nhuận sau thuế (YoY) (6M)*",Sheet4!$1:$1,2)),"")</f>
        <v>0</v>
      </c>
      <c r="Q1129" s="10" cm="1">
        <f t="array" ref="Q1129">IFERROR(INDEX(Sheet4!$2:$1605,MATCH(ChiTietKQKD[[#This Row],[Mã CP]],Sheet4!$B$2:$B$1605,0),_xlfn.XMATCH("*Tăng trưởng doanh thu thuần (QoQ)*",Sheet4!$1:$1,2)),"")</f>
        <v>0</v>
      </c>
      <c r="R1129" s="10" cm="1">
        <f t="array" ref="R1129">IFERROR(INDEX(Sheet4!$2:$1605,MATCH(ChiTietKQKD[[#This Row],[Mã CP]],Sheet4!$B$2:$B$1605,0),_xlfn.XMATCH("*Tăng trưởng lợi nhuận sau thuế (QoQ)*",Sheet4!$1:$1,2)),"")</f>
        <v>0</v>
      </c>
    </row>
    <row r="1130" spans="1:18" x14ac:dyDescent="0.25">
      <c r="A1130" s="7">
        <f>Sheet4!A1109</f>
        <v>1108</v>
      </c>
      <c r="B1130" t="str">
        <f>Sheet4!B1109</f>
        <v>IME</v>
      </c>
      <c r="C1130" t="str">
        <f>Sheet4!C1108</f>
        <v>TM và Dịch vụ Quốc tế</v>
      </c>
      <c r="D1130" t="str">
        <f>Sheet4!D1109</f>
        <v>UPCoM</v>
      </c>
      <c r="E1130" s="7">
        <f>Sheet4!AH1109/1000000000</f>
        <v>72.718949600000002</v>
      </c>
      <c r="F1130" t="str">
        <f>Sheet4!E1109</f>
        <v>Công nghiệp</v>
      </c>
      <c r="G1130" t="str">
        <f>Sheet4!F1109</f>
        <v>Hàng &amp; Dịch vụ Công nghiệp</v>
      </c>
      <c r="H1130" t="str">
        <f>Sheet4!G1109</f>
        <v>Máy công nghiệp</v>
      </c>
      <c r="I1130" s="9" t="str" cm="1">
        <f t="array" ref="I113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30" s="9" t="str" cm="1">
        <f t="array" ref="J113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30" s="10" cm="1">
        <f t="array" ref="K113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30" s="10" cm="1">
        <f t="array" ref="L113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30" s="9" t="str" cm="1">
        <f t="array" ref="M113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30" s="9" t="str" cm="1">
        <f t="array" ref="N113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30" s="10" cm="1">
        <f t="array" ref="O1130">IFERROR(INDEX(Sheet4!$2:$1605,MATCH(ChiTietKQKD[[#This Row],[Mã CP]],Sheet4!$B$2:$B$1605,0),_xlfn.XMATCH("*Tăng trưởng lợi nhuận sau thuế (YoY) (Quý*",Sheet4!$1:$1,2)),"")</f>
        <v>0</v>
      </c>
      <c r="P1130" s="10" cm="1">
        <f t="array" ref="P1130">IFERROR(INDEX(Sheet4!$2:$1605,MATCH(ChiTietKQKD[[#This Row],[Mã CP]],Sheet4!$B$2:$B$1605,0),_xlfn.XMATCH("*Tăng trưởng lợi nhuận sau thuế (YoY) (6M)*",Sheet4!$1:$1,2)),"")</f>
        <v>0</v>
      </c>
      <c r="Q1130" s="10" cm="1">
        <f t="array" ref="Q1130">IFERROR(INDEX(Sheet4!$2:$1605,MATCH(ChiTietKQKD[[#This Row],[Mã CP]],Sheet4!$B$2:$B$1605,0),_xlfn.XMATCH("*Tăng trưởng doanh thu thuần (QoQ)*",Sheet4!$1:$1,2)),"")</f>
        <v>0</v>
      </c>
      <c r="R1130" s="10" cm="1">
        <f t="array" ref="R1130">IFERROR(INDEX(Sheet4!$2:$1605,MATCH(ChiTietKQKD[[#This Row],[Mã CP]],Sheet4!$B$2:$B$1605,0),_xlfn.XMATCH("*Tăng trưởng lợi nhuận sau thuế (QoQ)*",Sheet4!$1:$1,2)),"")</f>
        <v>0</v>
      </c>
    </row>
    <row r="1131" spans="1:18" x14ac:dyDescent="0.25">
      <c r="A1131" s="7">
        <f>Sheet4!A1110</f>
        <v>1109</v>
      </c>
      <c r="B1131" t="str">
        <f>Sheet4!B1110</f>
        <v>IN4</v>
      </c>
      <c r="C1131" t="str">
        <f>Sheet4!C1109</f>
        <v>Xây lắp Công nghiệp</v>
      </c>
      <c r="D1131" t="str">
        <f>Sheet4!D1110</f>
        <v>UPCoM</v>
      </c>
      <c r="E1131" s="7">
        <f>Sheet4!AH1110/1000000000</f>
        <v>52.44</v>
      </c>
      <c r="F1131" t="str">
        <f>Sheet4!E1110</f>
        <v>Dịch vụ Tiêu dùng</v>
      </c>
      <c r="G1131" t="str">
        <f>Sheet4!F1110</f>
        <v>Truyền thông</v>
      </c>
      <c r="H1131" t="str">
        <f>Sheet4!G1110</f>
        <v>Sách, ấn bản &amp; sản phẩm văn hóa</v>
      </c>
      <c r="I1131" s="9" t="str" cm="1">
        <f t="array" ref="I113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31" s="9" t="str" cm="1">
        <f t="array" ref="J113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31" s="10" cm="1">
        <f t="array" ref="K113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31" s="10" cm="1">
        <f t="array" ref="L113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31" s="9" t="str" cm="1">
        <f t="array" ref="M113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31" s="9" t="str" cm="1">
        <f t="array" ref="N113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31" s="10" cm="1">
        <f t="array" ref="O1131">IFERROR(INDEX(Sheet4!$2:$1605,MATCH(ChiTietKQKD[[#This Row],[Mã CP]],Sheet4!$B$2:$B$1605,0),_xlfn.XMATCH("*Tăng trưởng lợi nhuận sau thuế (YoY) (Quý*",Sheet4!$1:$1,2)),"")</f>
        <v>0</v>
      </c>
      <c r="P1131" s="10" cm="1">
        <f t="array" ref="P1131">IFERROR(INDEX(Sheet4!$2:$1605,MATCH(ChiTietKQKD[[#This Row],[Mã CP]],Sheet4!$B$2:$B$1605,0),_xlfn.XMATCH("*Tăng trưởng lợi nhuận sau thuế (YoY) (6M)*",Sheet4!$1:$1,2)),"")</f>
        <v>0</v>
      </c>
      <c r="Q1131" s="10" cm="1">
        <f t="array" ref="Q1131">IFERROR(INDEX(Sheet4!$2:$1605,MATCH(ChiTietKQKD[[#This Row],[Mã CP]],Sheet4!$B$2:$B$1605,0),_xlfn.XMATCH("*Tăng trưởng doanh thu thuần (QoQ)*",Sheet4!$1:$1,2)),"")</f>
        <v>0</v>
      </c>
      <c r="R1131" s="10" cm="1">
        <f t="array" ref="R1131">IFERROR(INDEX(Sheet4!$2:$1605,MATCH(ChiTietKQKD[[#This Row],[Mã CP]],Sheet4!$B$2:$B$1605,0),_xlfn.XMATCH("*Tăng trưởng lợi nhuận sau thuế (QoQ)*",Sheet4!$1:$1,2)),"")</f>
        <v>0</v>
      </c>
    </row>
    <row r="1132" spans="1:18" x14ac:dyDescent="0.25">
      <c r="A1132" s="7">
        <f>Sheet4!A1111</f>
        <v>1110</v>
      </c>
      <c r="B1132" t="str">
        <f>Sheet4!B1111</f>
        <v>IRC</v>
      </c>
      <c r="C1132" t="str">
        <f>Sheet4!C1110</f>
        <v>In số 4</v>
      </c>
      <c r="D1132" t="str">
        <f>Sheet4!D1111</f>
        <v>UPCoM</v>
      </c>
      <c r="E1132" s="7">
        <f>Sheet4!AH1111/1000000000</f>
        <v>82.25</v>
      </c>
      <c r="F1132" t="str">
        <f>Sheet4!E1111</f>
        <v>Nguyên vật liệu</v>
      </c>
      <c r="G1132" t="str">
        <f>Sheet4!F1111</f>
        <v>Hóa chất</v>
      </c>
      <c r="H1132" t="str">
        <f>Sheet4!G1111</f>
        <v>Nhựa, cao su &amp; sợi</v>
      </c>
      <c r="I1132" s="9" cm="1">
        <f t="array" ref="I113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16.058278749999999</v>
      </c>
      <c r="J1132" s="9" cm="1">
        <f t="array" ref="J113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17.03222555</v>
      </c>
      <c r="K1132" s="10" cm="1">
        <f t="array" ref="K113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4.0537000000000001</v>
      </c>
      <c r="L1132" s="10" cm="1">
        <f t="array" ref="L113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32" s="9" cm="1">
        <f t="array" ref="M1132">_xlfn.LET(_xlpm.val,IFERROR(INDEX(Sheet4!$2:$1605,MATCH(ChiTietKQKD[[#This Row],[Mã CP]],Sheet4!$B$2:$B$1605,0),_xlfn.XMATCH("*Lợi nhuận sau thuế*Q2*2026*",Sheet4!$1:$1,2)),0),IF(OR(_xlpm.val="",_xlpm.val=0),"",_xlpm.val/1000000000))</f>
        <v>0.95726289799999997</v>
      </c>
      <c r="N1132" s="9" cm="1">
        <f t="array" ref="N1132">_xlfn.LET(_xlpm.val,IFERROR(INDEX(Sheet4!$2:$1605,MATCH(ChiTietKQKD[[#This Row],[Mã CP]],Sheet4!$B$2:$B$1605,0),_xlfn.XMATCH("*Lợi nhuận sau thuế*6 tháng*2026*",Sheet4!$1:$1,2)),0),IF(OR(_xlpm.val="",_xlpm.val=0),"",_xlpm.val/1000000000))</f>
        <v>0.84780175899999999</v>
      </c>
      <c r="O1132" s="10" cm="1">
        <f t="array" ref="O1132">IFERROR(INDEX(Sheet4!$2:$1605,MATCH(ChiTietKQKD[[#This Row],[Mã CP]],Sheet4!$B$2:$B$1605,0),_xlfn.XMATCH("*Tăng trưởng lợi nhuận sau thuế (YoY) (Quý*",Sheet4!$1:$1,2)),"")</f>
        <v>1.252</v>
      </c>
      <c r="P1132" s="10" cm="1">
        <f t="array" ref="P1132">IFERROR(INDEX(Sheet4!$2:$1605,MATCH(ChiTietKQKD[[#This Row],[Mã CP]],Sheet4!$B$2:$B$1605,0),_xlfn.XMATCH("*Tăng trưởng lợi nhuận sau thuế (YoY) (6M)*",Sheet4!$1:$1,2)),"")</f>
        <v>0</v>
      </c>
      <c r="Q1132" s="10" cm="1">
        <f t="array" ref="Q1132">IFERROR(INDEX(Sheet4!$2:$1605,MATCH(ChiTietKQKD[[#This Row],[Mã CP]],Sheet4!$B$2:$B$1605,0),_xlfn.XMATCH("*Tăng trưởng doanh thu thuần (QoQ)*",Sheet4!$1:$1,2)),"")</f>
        <v>15.4878</v>
      </c>
      <c r="R1132" s="10" cm="1">
        <f t="array" ref="R1132">IFERROR(INDEX(Sheet4!$2:$1605,MATCH(ChiTietKQKD[[#This Row],[Mã CP]],Sheet4!$B$2:$B$1605,0),_xlfn.XMATCH("*Tăng trưởng lợi nhuận sau thuế (QoQ)*",Sheet4!$1:$1,2)),"")</f>
        <v>9.7452000000000005</v>
      </c>
    </row>
    <row r="1133" spans="1:18" x14ac:dyDescent="0.25">
      <c r="A1133" s="7">
        <f>Sheet4!A1112</f>
        <v>1111</v>
      </c>
      <c r="B1133" t="str">
        <f>Sheet4!B1112</f>
        <v>ISG</v>
      </c>
      <c r="C1133" t="str">
        <f>Sheet4!C1111</f>
        <v>Cao su Công nghiệp</v>
      </c>
      <c r="D1133" t="str">
        <f>Sheet4!D1112</f>
        <v>UPCoM</v>
      </c>
      <c r="E1133" s="7">
        <f>Sheet4!AH1112/1000000000</f>
        <v>79.2</v>
      </c>
      <c r="F1133" t="str">
        <f>Sheet4!E1112</f>
        <v>Công nghiệp</v>
      </c>
      <c r="G1133" t="str">
        <f>Sheet4!F1112</f>
        <v>Hàng &amp; Dịch vụ Công nghiệp</v>
      </c>
      <c r="H1133" t="str">
        <f>Sheet4!G1112</f>
        <v>Vận tải Thủy</v>
      </c>
      <c r="I1133" s="9" t="str" cm="1">
        <f t="array" ref="I113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33" s="9" t="str" cm="1">
        <f t="array" ref="J113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33" s="10" cm="1">
        <f t="array" ref="K113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33" s="10" cm="1">
        <f t="array" ref="L113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33" s="9" t="str" cm="1">
        <f t="array" ref="M113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33" s="9" t="str" cm="1">
        <f t="array" ref="N113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33" s="10" cm="1">
        <f t="array" ref="O1133">IFERROR(INDEX(Sheet4!$2:$1605,MATCH(ChiTietKQKD[[#This Row],[Mã CP]],Sheet4!$B$2:$B$1605,0),_xlfn.XMATCH("*Tăng trưởng lợi nhuận sau thuế (YoY) (Quý*",Sheet4!$1:$1,2)),"")</f>
        <v>0</v>
      </c>
      <c r="P1133" s="10" cm="1">
        <f t="array" ref="P1133">IFERROR(INDEX(Sheet4!$2:$1605,MATCH(ChiTietKQKD[[#This Row],[Mã CP]],Sheet4!$B$2:$B$1605,0),_xlfn.XMATCH("*Tăng trưởng lợi nhuận sau thuế (YoY) (6M)*",Sheet4!$1:$1,2)),"")</f>
        <v>0</v>
      </c>
      <c r="Q1133" s="10" cm="1">
        <f t="array" ref="Q1133">IFERROR(INDEX(Sheet4!$2:$1605,MATCH(ChiTietKQKD[[#This Row],[Mã CP]],Sheet4!$B$2:$B$1605,0),_xlfn.XMATCH("*Tăng trưởng doanh thu thuần (QoQ)*",Sheet4!$1:$1,2)),"")</f>
        <v>0</v>
      </c>
      <c r="R1133" s="10" cm="1">
        <f t="array" ref="R1133">IFERROR(INDEX(Sheet4!$2:$1605,MATCH(ChiTietKQKD[[#This Row],[Mã CP]],Sheet4!$B$2:$B$1605,0),_xlfn.XMATCH("*Tăng trưởng lợi nhuận sau thuế (QoQ)*",Sheet4!$1:$1,2)),"")</f>
        <v>0</v>
      </c>
    </row>
    <row r="1134" spans="1:18" x14ac:dyDescent="0.25">
      <c r="A1134" s="7">
        <f>Sheet4!A1113</f>
        <v>1112</v>
      </c>
      <c r="B1134" t="str">
        <f>Sheet4!B1113</f>
        <v>ISH</v>
      </c>
      <c r="C1134" t="str">
        <f>Sheet4!C1112</f>
        <v>Vận tải biển và Hợp tác LĐ Quốc Tế</v>
      </c>
      <c r="D1134" t="str">
        <f>Sheet4!D1113</f>
        <v>UPCoM</v>
      </c>
      <c r="E1134" s="7">
        <f>Sheet4!AH1113/1000000000</f>
        <v>1075.5</v>
      </c>
      <c r="F1134" t="str">
        <f>Sheet4!E1113</f>
        <v>Tiện ích Cộng đồng</v>
      </c>
      <c r="G1134" t="str">
        <f>Sheet4!F1113</f>
        <v>Điện, nước &amp; xăng dầu khí đốt</v>
      </c>
      <c r="H1134" t="str">
        <f>Sheet4!G1113</f>
        <v>Sản xuất &amp; Phân phối Điện</v>
      </c>
      <c r="I1134" s="9" t="str" cm="1">
        <f t="array" ref="I113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34" s="9" t="str" cm="1">
        <f t="array" ref="J113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34" s="10" cm="1">
        <f t="array" ref="K113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34" s="10" cm="1">
        <f t="array" ref="L113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34" s="9" t="str" cm="1">
        <f t="array" ref="M113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34" s="9" t="str" cm="1">
        <f t="array" ref="N113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34" s="10" cm="1">
        <f t="array" ref="O1134">IFERROR(INDEX(Sheet4!$2:$1605,MATCH(ChiTietKQKD[[#This Row],[Mã CP]],Sheet4!$B$2:$B$1605,0),_xlfn.XMATCH("*Tăng trưởng lợi nhuận sau thuế (YoY) (Quý*",Sheet4!$1:$1,2)),"")</f>
        <v>0</v>
      </c>
      <c r="P1134" s="10" cm="1">
        <f t="array" ref="P1134">IFERROR(INDEX(Sheet4!$2:$1605,MATCH(ChiTietKQKD[[#This Row],[Mã CP]],Sheet4!$B$2:$B$1605,0),_xlfn.XMATCH("*Tăng trưởng lợi nhuận sau thuế (YoY) (6M)*",Sheet4!$1:$1,2)),"")</f>
        <v>0</v>
      </c>
      <c r="Q1134" s="10" cm="1">
        <f t="array" ref="Q1134">IFERROR(INDEX(Sheet4!$2:$1605,MATCH(ChiTietKQKD[[#This Row],[Mã CP]],Sheet4!$B$2:$B$1605,0),_xlfn.XMATCH("*Tăng trưởng doanh thu thuần (QoQ)*",Sheet4!$1:$1,2)),"")</f>
        <v>0</v>
      </c>
      <c r="R1134" s="10" cm="1">
        <f t="array" ref="R1134">IFERROR(INDEX(Sheet4!$2:$1605,MATCH(ChiTietKQKD[[#This Row],[Mã CP]],Sheet4!$B$2:$B$1605,0),_xlfn.XMATCH("*Tăng trưởng lợi nhuận sau thuế (QoQ)*",Sheet4!$1:$1,2)),"")</f>
        <v>0</v>
      </c>
    </row>
    <row r="1135" spans="1:18" x14ac:dyDescent="0.25">
      <c r="A1135" s="7">
        <f>Sheet4!A1114</f>
        <v>1113</v>
      </c>
      <c r="B1135" t="str">
        <f>Sheet4!B1114</f>
        <v>IST</v>
      </c>
      <c r="C1135" t="str">
        <f>Sheet4!C1113</f>
        <v>Thủy điện Srok Phu Miêng</v>
      </c>
      <c r="D1135" t="str">
        <f>Sheet4!D1114</f>
        <v>UPCoM</v>
      </c>
      <c r="E1135" s="7">
        <f>Sheet4!AH1114/1000000000</f>
        <v>539.10503263999999</v>
      </c>
      <c r="F1135" t="str">
        <f>Sheet4!E1114</f>
        <v>Công nghiệp</v>
      </c>
      <c r="G1135" t="str">
        <f>Sheet4!F1114</f>
        <v>Hàng &amp; Dịch vụ Công nghiệp</v>
      </c>
      <c r="H1135" t="str">
        <f>Sheet4!G1114</f>
        <v>Kho bãi, hậu cần và bảo dưỡng</v>
      </c>
      <c r="I1135" s="9" t="str" cm="1">
        <f t="array" ref="I113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35" s="9" t="str" cm="1">
        <f t="array" ref="J113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35" s="10" cm="1">
        <f t="array" ref="K113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35" s="10" cm="1">
        <f t="array" ref="L113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35" s="9" t="str" cm="1">
        <f t="array" ref="M113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35" s="9" t="str" cm="1">
        <f t="array" ref="N113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35" s="10" cm="1">
        <f t="array" ref="O1135">IFERROR(INDEX(Sheet4!$2:$1605,MATCH(ChiTietKQKD[[#This Row],[Mã CP]],Sheet4!$B$2:$B$1605,0),_xlfn.XMATCH("*Tăng trưởng lợi nhuận sau thuế (YoY) (Quý*",Sheet4!$1:$1,2)),"")</f>
        <v>0</v>
      </c>
      <c r="P1135" s="10" cm="1">
        <f t="array" ref="P1135">IFERROR(INDEX(Sheet4!$2:$1605,MATCH(ChiTietKQKD[[#This Row],[Mã CP]],Sheet4!$B$2:$B$1605,0),_xlfn.XMATCH("*Tăng trưởng lợi nhuận sau thuế (YoY) (6M)*",Sheet4!$1:$1,2)),"")</f>
        <v>0</v>
      </c>
      <c r="Q1135" s="10" cm="1">
        <f t="array" ref="Q1135">IFERROR(INDEX(Sheet4!$2:$1605,MATCH(ChiTietKQKD[[#This Row],[Mã CP]],Sheet4!$B$2:$B$1605,0),_xlfn.XMATCH("*Tăng trưởng doanh thu thuần (QoQ)*",Sheet4!$1:$1,2)),"")</f>
        <v>0</v>
      </c>
      <c r="R1135" s="10" cm="1">
        <f t="array" ref="R1135">IFERROR(INDEX(Sheet4!$2:$1605,MATCH(ChiTietKQKD[[#This Row],[Mã CP]],Sheet4!$B$2:$B$1605,0),_xlfn.XMATCH("*Tăng trưởng lợi nhuận sau thuế (QoQ)*",Sheet4!$1:$1,2)),"")</f>
        <v>0</v>
      </c>
    </row>
    <row r="1136" spans="1:18" x14ac:dyDescent="0.25">
      <c r="A1136" s="7">
        <f>Sheet4!A1115</f>
        <v>1114</v>
      </c>
      <c r="B1136" t="str">
        <f>Sheet4!B1115</f>
        <v>ITA</v>
      </c>
      <c r="C1136" t="str">
        <f>Sheet4!C1114</f>
        <v>ICD Tân Cảng Sóng Thần</v>
      </c>
      <c r="D1136" t="str">
        <f>Sheet4!D1115</f>
        <v>UPCoM</v>
      </c>
      <c r="E1136" s="7">
        <f>Sheet4!AH1115/1000000000</f>
        <v>2158.1396224999999</v>
      </c>
      <c r="F1136" t="str">
        <f>Sheet4!E1115</f>
        <v>Tài chính</v>
      </c>
      <c r="G1136" t="str">
        <f>Sheet4!F1115</f>
        <v>Bất động sản</v>
      </c>
      <c r="H1136" t="str">
        <f>Sheet4!G1115</f>
        <v>Bất động sản</v>
      </c>
      <c r="I1136" s="9" t="str" cm="1">
        <f t="array" ref="I113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36" s="9" t="str" cm="1">
        <f t="array" ref="J113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36" s="10" cm="1">
        <f t="array" ref="K113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36" s="10" cm="1">
        <f t="array" ref="L113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36" s="9" t="str" cm="1">
        <f t="array" ref="M113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36" s="9" t="str" cm="1">
        <f t="array" ref="N113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36" s="10" cm="1">
        <f t="array" ref="O1136">IFERROR(INDEX(Sheet4!$2:$1605,MATCH(ChiTietKQKD[[#This Row],[Mã CP]],Sheet4!$B$2:$B$1605,0),_xlfn.XMATCH("*Tăng trưởng lợi nhuận sau thuế (YoY) (Quý*",Sheet4!$1:$1,2)),"")</f>
        <v>0</v>
      </c>
      <c r="P1136" s="10" cm="1">
        <f t="array" ref="P1136">IFERROR(INDEX(Sheet4!$2:$1605,MATCH(ChiTietKQKD[[#This Row],[Mã CP]],Sheet4!$B$2:$B$1605,0),_xlfn.XMATCH("*Tăng trưởng lợi nhuận sau thuế (YoY) (6M)*",Sheet4!$1:$1,2)),"")</f>
        <v>0</v>
      </c>
      <c r="Q1136" s="10" cm="1">
        <f t="array" ref="Q1136">IFERROR(INDEX(Sheet4!$2:$1605,MATCH(ChiTietKQKD[[#This Row],[Mã CP]],Sheet4!$B$2:$B$1605,0),_xlfn.XMATCH("*Tăng trưởng doanh thu thuần (QoQ)*",Sheet4!$1:$1,2)),"")</f>
        <v>0</v>
      </c>
      <c r="R1136" s="10" cm="1">
        <f t="array" ref="R1136">IFERROR(INDEX(Sheet4!$2:$1605,MATCH(ChiTietKQKD[[#This Row],[Mã CP]],Sheet4!$B$2:$B$1605,0),_xlfn.XMATCH("*Tăng trưởng lợi nhuận sau thuế (QoQ)*",Sheet4!$1:$1,2)),"")</f>
        <v>0</v>
      </c>
    </row>
    <row r="1137" spans="1:18" x14ac:dyDescent="0.25">
      <c r="A1137" s="7">
        <f>Sheet4!A1116</f>
        <v>1115</v>
      </c>
      <c r="B1137" t="str">
        <f>Sheet4!B1116</f>
        <v>ITS</v>
      </c>
      <c r="C1137" t="str">
        <f>Sheet4!C1115</f>
        <v>Đầu tư CN Tân Tạo</v>
      </c>
      <c r="D1137" t="str">
        <f>Sheet4!D1116</f>
        <v>UPCoM</v>
      </c>
      <c r="E1137" s="7">
        <f>Sheet4!AH1116/1000000000</f>
        <v>95.2557264</v>
      </c>
      <c r="F1137" t="str">
        <f>Sheet4!E1116</f>
        <v>Công nghiệp</v>
      </c>
      <c r="G1137" t="str">
        <f>Sheet4!F1116</f>
        <v>Hàng &amp; Dịch vụ Công nghiệp</v>
      </c>
      <c r="H1137" t="str">
        <f>Sheet4!G1116</f>
        <v>Máy công nghiệp</v>
      </c>
      <c r="I1137" s="9" t="str" cm="1">
        <f t="array" ref="I113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37" s="9" t="str" cm="1">
        <f t="array" ref="J113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37" s="10" cm="1">
        <f t="array" ref="K113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37" s="10" cm="1">
        <f t="array" ref="L113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37" s="9" t="str" cm="1">
        <f t="array" ref="M113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37" s="9" t="str" cm="1">
        <f t="array" ref="N113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37" s="10" cm="1">
        <f t="array" ref="O1137">IFERROR(INDEX(Sheet4!$2:$1605,MATCH(ChiTietKQKD[[#This Row],[Mã CP]],Sheet4!$B$2:$B$1605,0),_xlfn.XMATCH("*Tăng trưởng lợi nhuận sau thuế (YoY) (Quý*",Sheet4!$1:$1,2)),"")</f>
        <v>0</v>
      </c>
      <c r="P1137" s="10" cm="1">
        <f t="array" ref="P1137">IFERROR(INDEX(Sheet4!$2:$1605,MATCH(ChiTietKQKD[[#This Row],[Mã CP]],Sheet4!$B$2:$B$1605,0),_xlfn.XMATCH("*Tăng trưởng lợi nhuận sau thuế (YoY) (6M)*",Sheet4!$1:$1,2)),"")</f>
        <v>0</v>
      </c>
      <c r="Q1137" s="10" cm="1">
        <f t="array" ref="Q1137">IFERROR(INDEX(Sheet4!$2:$1605,MATCH(ChiTietKQKD[[#This Row],[Mã CP]],Sheet4!$B$2:$B$1605,0),_xlfn.XMATCH("*Tăng trưởng doanh thu thuần (QoQ)*",Sheet4!$1:$1,2)),"")</f>
        <v>0</v>
      </c>
      <c r="R1137" s="10" cm="1">
        <f t="array" ref="R1137">IFERROR(INDEX(Sheet4!$2:$1605,MATCH(ChiTietKQKD[[#This Row],[Mã CP]],Sheet4!$B$2:$B$1605,0),_xlfn.XMATCH("*Tăng trưởng lợi nhuận sau thuế (QoQ)*",Sheet4!$1:$1,2)),"")</f>
        <v>0</v>
      </c>
    </row>
    <row r="1138" spans="1:18" x14ac:dyDescent="0.25">
      <c r="A1138" s="7">
        <f>Sheet4!A1117</f>
        <v>1116</v>
      </c>
      <c r="B1138" t="str">
        <f>Sheet4!B1117</f>
        <v>JOS</v>
      </c>
      <c r="C1138" t="str">
        <f>Sheet4!C1116</f>
        <v>Thương mại và DV - Vinacomin</v>
      </c>
      <c r="D1138" t="str">
        <f>Sheet4!D1117</f>
        <v>UPCoM</v>
      </c>
      <c r="E1138" s="7">
        <f>Sheet4!AH1117/1000000000</f>
        <v>16.547477099999998</v>
      </c>
      <c r="F1138" t="str">
        <f>Sheet4!E1117</f>
        <v>Hàng Tiêu dùng</v>
      </c>
      <c r="G1138" t="str">
        <f>Sheet4!F1117</f>
        <v>Thực phẩm và đồ uống</v>
      </c>
      <c r="H1138" t="str">
        <f>Sheet4!G1117</f>
        <v>Nuôi trồng nông &amp; hải sản</v>
      </c>
      <c r="I1138" s="9" cm="1">
        <f t="array" ref="I113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0.17622036499999999</v>
      </c>
      <c r="J1138" s="9" cm="1">
        <f t="array" ref="J113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0.81537790499999996</v>
      </c>
      <c r="K1138" s="10" cm="1">
        <f t="array" ref="K113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-0.98909999999999998</v>
      </c>
      <c r="L1138" s="10" cm="1">
        <f t="array" ref="L113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-0.96419999999999995</v>
      </c>
      <c r="M1138" s="9" cm="1">
        <f t="array" ref="M1138">_xlfn.LET(_xlpm.val,IFERROR(INDEX(Sheet4!$2:$1605,MATCH(ChiTietKQKD[[#This Row],[Mã CP]],Sheet4!$B$2:$B$1605,0),_xlfn.XMATCH("*Lợi nhuận sau thuế*Q2*2026*",Sheet4!$1:$1,2)),0),IF(OR(_xlpm.val="",_xlpm.val=0),"",_xlpm.val/1000000000))</f>
        <v>-9.3400035569999993</v>
      </c>
      <c r="N1138" s="9" cm="1">
        <f t="array" ref="N1138">_xlfn.LET(_xlpm.val,IFERROR(INDEX(Sheet4!$2:$1605,MATCH(ChiTietKQKD[[#This Row],[Mã CP]],Sheet4!$B$2:$B$1605,0),_xlfn.XMATCH("*Lợi nhuận sau thuế*6 tháng*2026*",Sheet4!$1:$1,2)),0),IF(OR(_xlpm.val="",_xlpm.val=0),"",_xlpm.val/1000000000))</f>
        <v>-8.9653312249999999</v>
      </c>
      <c r="O1138" s="10" cm="1">
        <f t="array" ref="O1138">IFERROR(INDEX(Sheet4!$2:$1605,MATCH(ChiTietKQKD[[#This Row],[Mã CP]],Sheet4!$B$2:$B$1605,0),_xlfn.XMATCH("*Tăng trưởng lợi nhuận sau thuế (YoY) (Quý*",Sheet4!$1:$1,2)),"")</f>
        <v>0.19650000000000001</v>
      </c>
      <c r="P1138" s="10" cm="1">
        <f t="array" ref="P1138">IFERROR(INDEX(Sheet4!$2:$1605,MATCH(ChiTietKQKD[[#This Row],[Mã CP]],Sheet4!$B$2:$B$1605,0),_xlfn.XMATCH("*Tăng trưởng lợi nhuận sau thuế (YoY) (6M)*",Sheet4!$1:$1,2)),"")</f>
        <v>0.2802</v>
      </c>
      <c r="Q1138" s="10" cm="1">
        <f t="array" ref="Q1138">IFERROR(INDEX(Sheet4!$2:$1605,MATCH(ChiTietKQKD[[#This Row],[Mã CP]],Sheet4!$B$2:$B$1605,0),_xlfn.XMATCH("*Tăng trưởng doanh thu thuần (QoQ)*",Sheet4!$1:$1,2)),"")</f>
        <v>-0.72430000000000005</v>
      </c>
      <c r="R1138" s="10" cm="1">
        <f t="array" ref="R1138">IFERROR(INDEX(Sheet4!$2:$1605,MATCH(ChiTietKQKD[[#This Row],[Mã CP]],Sheet4!$B$2:$B$1605,0),_xlfn.XMATCH("*Tăng trưởng lợi nhuận sau thuế (QoQ)*",Sheet4!$1:$1,2)),"")</f>
        <v>-25.9285</v>
      </c>
    </row>
    <row r="1139" spans="1:18" x14ac:dyDescent="0.25">
      <c r="A1139" s="7">
        <f>Sheet4!A1118</f>
        <v>1117</v>
      </c>
      <c r="B1139" t="str">
        <f>Sheet4!B1118</f>
        <v>KCB</v>
      </c>
      <c r="C1139" t="str">
        <f>Sheet4!C1117</f>
        <v>Thủy sản Minh Hải</v>
      </c>
      <c r="D1139" t="str">
        <f>Sheet4!D1118</f>
        <v>UPCoM</v>
      </c>
      <c r="E1139" s="7">
        <f>Sheet4!AH1118/1000000000</f>
        <v>76.2</v>
      </c>
      <c r="F1139" t="str">
        <f>Sheet4!E1118</f>
        <v>Nguyên vật liệu</v>
      </c>
      <c r="G1139" t="str">
        <f>Sheet4!F1118</f>
        <v>Tài nguyên Cơ bản</v>
      </c>
      <c r="H1139" t="str">
        <f>Sheet4!G1118</f>
        <v>Khai khoáng</v>
      </c>
      <c r="I1139" s="9" t="str" cm="1">
        <f t="array" ref="I113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39" s="9" t="str" cm="1">
        <f t="array" ref="J113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39" s="10" cm="1">
        <f t="array" ref="K113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39" s="10" cm="1">
        <f t="array" ref="L113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39" s="9" t="str" cm="1">
        <f t="array" ref="M113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39" s="9" t="str" cm="1">
        <f t="array" ref="N113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39" s="10" cm="1">
        <f t="array" ref="O1139">IFERROR(INDEX(Sheet4!$2:$1605,MATCH(ChiTietKQKD[[#This Row],[Mã CP]],Sheet4!$B$2:$B$1605,0),_xlfn.XMATCH("*Tăng trưởng lợi nhuận sau thuế (YoY) (Quý*",Sheet4!$1:$1,2)),"")</f>
        <v>0</v>
      </c>
      <c r="P1139" s="10" cm="1">
        <f t="array" ref="P1139">IFERROR(INDEX(Sheet4!$2:$1605,MATCH(ChiTietKQKD[[#This Row],[Mã CP]],Sheet4!$B$2:$B$1605,0),_xlfn.XMATCH("*Tăng trưởng lợi nhuận sau thuế (YoY) (6M)*",Sheet4!$1:$1,2)),"")</f>
        <v>0</v>
      </c>
      <c r="Q1139" s="10" cm="1">
        <f t="array" ref="Q1139">IFERROR(INDEX(Sheet4!$2:$1605,MATCH(ChiTietKQKD[[#This Row],[Mã CP]],Sheet4!$B$2:$B$1605,0),_xlfn.XMATCH("*Tăng trưởng doanh thu thuần (QoQ)*",Sheet4!$1:$1,2)),"")</f>
        <v>0</v>
      </c>
      <c r="R1139" s="10" cm="1">
        <f t="array" ref="R1139">IFERROR(INDEX(Sheet4!$2:$1605,MATCH(ChiTietKQKD[[#This Row],[Mã CP]],Sheet4!$B$2:$B$1605,0),_xlfn.XMATCH("*Tăng trưởng lợi nhuận sau thuế (QoQ)*",Sheet4!$1:$1,2)),"")</f>
        <v>0</v>
      </c>
    </row>
    <row r="1140" spans="1:18" x14ac:dyDescent="0.25">
      <c r="A1140" s="7">
        <f>Sheet4!A1119</f>
        <v>1118</v>
      </c>
      <c r="B1140" t="str">
        <f>Sheet4!B1119</f>
        <v>KGM</v>
      </c>
      <c r="C1140" t="str">
        <f>Sheet4!C1118</f>
        <v>Khoáng Sản Luyện Kim Cao Bằng</v>
      </c>
      <c r="D1140" t="str">
        <f>Sheet4!D1119</f>
        <v>UPCoM</v>
      </c>
      <c r="E1140" s="7">
        <f>Sheet4!AH1119/1000000000</f>
        <v>133.53292999999999</v>
      </c>
      <c r="F1140" t="str">
        <f>Sheet4!E1119</f>
        <v>Dịch vụ Tiêu dùng</v>
      </c>
      <c r="G1140" t="str">
        <f>Sheet4!F1119</f>
        <v>Bán lẻ</v>
      </c>
      <c r="H1140" t="str">
        <f>Sheet4!G1119</f>
        <v>Bán lẻ phức hợp</v>
      </c>
      <c r="I1140" s="9" cm="1">
        <f t="array" ref="I114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1474.6123146729999</v>
      </c>
      <c r="J1140" s="9" cm="1">
        <f t="array" ref="J114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2102.8557228599998</v>
      </c>
      <c r="K1140" s="10" cm="1">
        <f t="array" ref="K114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-0.24110000000000001</v>
      </c>
      <c r="L1140" s="10" cm="1">
        <f t="array" ref="L114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-0.36530000000000001</v>
      </c>
      <c r="M1140" s="9" cm="1">
        <f t="array" ref="M1140">_xlfn.LET(_xlpm.val,IFERROR(INDEX(Sheet4!$2:$1605,MATCH(ChiTietKQKD[[#This Row],[Mã CP]],Sheet4!$B$2:$B$1605,0),_xlfn.XMATCH("*Lợi nhuận sau thuế*Q2*2026*",Sheet4!$1:$1,2)),0),IF(OR(_xlpm.val="",_xlpm.val=0),"",_xlpm.val/1000000000))</f>
        <v>4.796755664</v>
      </c>
      <c r="N1140" s="9" cm="1">
        <f t="array" ref="N1140">_xlfn.LET(_xlpm.val,IFERROR(INDEX(Sheet4!$2:$1605,MATCH(ChiTietKQKD[[#This Row],[Mã CP]],Sheet4!$B$2:$B$1605,0),_xlfn.XMATCH("*Lợi nhuận sau thuế*6 tháng*2026*",Sheet4!$1:$1,2)),0),IF(OR(_xlpm.val="",_xlpm.val=0),"",_xlpm.val/1000000000))</f>
        <v>9.3392541799999993</v>
      </c>
      <c r="O1140" s="10" cm="1">
        <f t="array" ref="O1140">IFERROR(INDEX(Sheet4!$2:$1605,MATCH(ChiTietKQKD[[#This Row],[Mã CP]],Sheet4!$B$2:$B$1605,0),_xlfn.XMATCH("*Tăng trưởng lợi nhuận sau thuế (YoY) (Quý*",Sheet4!$1:$1,2)),"")</f>
        <v>-0.33589999999999998</v>
      </c>
      <c r="P1140" s="10" cm="1">
        <f t="array" ref="P1140">IFERROR(INDEX(Sheet4!$2:$1605,MATCH(ChiTietKQKD[[#This Row],[Mã CP]],Sheet4!$B$2:$B$1605,0),_xlfn.XMATCH("*Tăng trưởng lợi nhuận sau thuế (YoY) (6M)*",Sheet4!$1:$1,2)),"")</f>
        <v>-0.14199999999999999</v>
      </c>
      <c r="Q1140" s="10" cm="1">
        <f t="array" ref="Q1140">IFERROR(INDEX(Sheet4!$2:$1605,MATCH(ChiTietKQKD[[#This Row],[Mã CP]],Sheet4!$B$2:$B$1605,0),_xlfn.XMATCH("*Tăng trưởng doanh thu thuần (QoQ)*",Sheet4!$1:$1,2)),"")</f>
        <v>1.3472</v>
      </c>
      <c r="R1140" s="10" cm="1">
        <f t="array" ref="R1140">IFERROR(INDEX(Sheet4!$2:$1605,MATCH(ChiTietKQKD[[#This Row],[Mã CP]],Sheet4!$B$2:$B$1605,0),_xlfn.XMATCH("*Tăng trưởng lợi nhuận sau thuế (QoQ)*",Sheet4!$1:$1,2)),"")</f>
        <v>5.6000000000000001E-2</v>
      </c>
    </row>
    <row r="1141" spans="1:18" x14ac:dyDescent="0.25">
      <c r="A1141" s="7">
        <f>Sheet4!A1120</f>
        <v>1119</v>
      </c>
      <c r="B1141" t="str">
        <f>Sheet4!B1120</f>
        <v>KHD</v>
      </c>
      <c r="C1141" t="str">
        <f>Sheet4!C1119</f>
        <v>XNK Kiên Giang</v>
      </c>
      <c r="D1141" t="str">
        <f>Sheet4!D1120</f>
        <v>UPCoM</v>
      </c>
      <c r="E1141" s="7">
        <f>Sheet4!AH1120/1000000000</f>
        <v>52.205088000000003</v>
      </c>
      <c r="F1141" t="str">
        <f>Sheet4!E1120</f>
        <v>Nguyên vật liệu</v>
      </c>
      <c r="G1141" t="str">
        <f>Sheet4!F1120</f>
        <v>Tài nguyên Cơ bản</v>
      </c>
      <c r="H1141" t="str">
        <f>Sheet4!G1120</f>
        <v>Khai khoáng</v>
      </c>
      <c r="I1141" s="9" t="str" cm="1">
        <f t="array" ref="I114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41" s="9" t="str" cm="1">
        <f t="array" ref="J114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41" s="10" cm="1">
        <f t="array" ref="K114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41" s="10" cm="1">
        <f t="array" ref="L114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41" s="9" t="str" cm="1">
        <f t="array" ref="M114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41" s="9" t="str" cm="1">
        <f t="array" ref="N114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41" s="10" cm="1">
        <f t="array" ref="O1141">IFERROR(INDEX(Sheet4!$2:$1605,MATCH(ChiTietKQKD[[#This Row],[Mã CP]],Sheet4!$B$2:$B$1605,0),_xlfn.XMATCH("*Tăng trưởng lợi nhuận sau thuế (YoY) (Quý*",Sheet4!$1:$1,2)),"")</f>
        <v>0</v>
      </c>
      <c r="P1141" s="10" cm="1">
        <f t="array" ref="P1141">IFERROR(INDEX(Sheet4!$2:$1605,MATCH(ChiTietKQKD[[#This Row],[Mã CP]],Sheet4!$B$2:$B$1605,0),_xlfn.XMATCH("*Tăng trưởng lợi nhuận sau thuế (YoY) (6M)*",Sheet4!$1:$1,2)),"")</f>
        <v>0</v>
      </c>
      <c r="Q1141" s="10" cm="1">
        <f t="array" ref="Q1141">IFERROR(INDEX(Sheet4!$2:$1605,MATCH(ChiTietKQKD[[#This Row],[Mã CP]],Sheet4!$B$2:$B$1605,0),_xlfn.XMATCH("*Tăng trưởng doanh thu thuần (QoQ)*",Sheet4!$1:$1,2)),"")</f>
        <v>0</v>
      </c>
      <c r="R1141" s="10" cm="1">
        <f t="array" ref="R1141">IFERROR(INDEX(Sheet4!$2:$1605,MATCH(ChiTietKQKD[[#This Row],[Mã CP]],Sheet4!$B$2:$B$1605,0),_xlfn.XMATCH("*Tăng trưởng lợi nhuận sau thuế (QoQ)*",Sheet4!$1:$1,2)),"")</f>
        <v>0</v>
      </c>
    </row>
    <row r="1142" spans="1:18" x14ac:dyDescent="0.25">
      <c r="A1142" s="7">
        <f>Sheet4!A1121</f>
        <v>1120</v>
      </c>
      <c r="B1142" t="str">
        <f>Sheet4!B1121</f>
        <v>KHW</v>
      </c>
      <c r="C1142" t="str">
        <f>Sheet4!C1120</f>
        <v>Khoáng sản Hải Dương</v>
      </c>
      <c r="D1142" t="str">
        <f>Sheet4!D1121</f>
        <v>UPCoM</v>
      </c>
      <c r="E1142" s="7">
        <f>Sheet4!AH1121/1000000000</f>
        <v>857.99805600000002</v>
      </c>
      <c r="F1142" t="str">
        <f>Sheet4!E1121</f>
        <v>Tiện ích Cộng đồng</v>
      </c>
      <c r="G1142" t="str">
        <f>Sheet4!F1121</f>
        <v>Điện, nước &amp; xăng dầu khí đốt</v>
      </c>
      <c r="H1142" t="str">
        <f>Sheet4!G1121</f>
        <v>Nước</v>
      </c>
      <c r="I1142" s="9" cm="1">
        <f t="array" ref="I114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122.256291322</v>
      </c>
      <c r="J1142" s="9" cm="1">
        <f t="array" ref="J114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228.256114416</v>
      </c>
      <c r="K1142" s="10" cm="1">
        <f t="array" ref="K114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2.35E-2</v>
      </c>
      <c r="L1142" s="10" cm="1">
        <f t="array" ref="L114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4.0599999999999997E-2</v>
      </c>
      <c r="M1142" s="9" cm="1">
        <f t="array" ref="M1142">_xlfn.LET(_xlpm.val,IFERROR(INDEX(Sheet4!$2:$1605,MATCH(ChiTietKQKD[[#This Row],[Mã CP]],Sheet4!$B$2:$B$1605,0),_xlfn.XMATCH("*Lợi nhuận sau thuế*Q2*2026*",Sheet4!$1:$1,2)),0),IF(OR(_xlpm.val="",_xlpm.val=0),"",_xlpm.val/1000000000))</f>
        <v>24.453254436000002</v>
      </c>
      <c r="N1142" s="9" cm="1">
        <f t="array" ref="N1142">_xlfn.LET(_xlpm.val,IFERROR(INDEX(Sheet4!$2:$1605,MATCH(ChiTietKQKD[[#This Row],[Mã CP]],Sheet4!$B$2:$B$1605,0),_xlfn.XMATCH("*Lợi nhuận sau thuế*6 tháng*2026*",Sheet4!$1:$1,2)),0),IF(OR(_xlpm.val="",_xlpm.val=0),"",_xlpm.val/1000000000))</f>
        <v>39.798180008999999</v>
      </c>
      <c r="O1142" s="10" cm="1">
        <f t="array" ref="O1142">IFERROR(INDEX(Sheet4!$2:$1605,MATCH(ChiTietKQKD[[#This Row],[Mã CP]],Sheet4!$B$2:$B$1605,0),_xlfn.XMATCH("*Tăng trưởng lợi nhuận sau thuế (YoY) (Quý*",Sheet4!$1:$1,2)),"")</f>
        <v>2.3400000000000001E-2</v>
      </c>
      <c r="P1142" s="10" cm="1">
        <f t="array" ref="P1142">IFERROR(INDEX(Sheet4!$2:$1605,MATCH(ChiTietKQKD[[#This Row],[Mã CP]],Sheet4!$B$2:$B$1605,0),_xlfn.XMATCH("*Tăng trưởng lợi nhuận sau thuế (YoY) (6M)*",Sheet4!$1:$1,2)),"")</f>
        <v>3.5400000000000001E-2</v>
      </c>
      <c r="Q1142" s="10" cm="1">
        <f t="array" ref="Q1142">IFERROR(INDEX(Sheet4!$2:$1605,MATCH(ChiTietKQKD[[#This Row],[Mã CP]],Sheet4!$B$2:$B$1605,0),_xlfn.XMATCH("*Tăng trưởng doanh thu thuần (QoQ)*",Sheet4!$1:$1,2)),"")</f>
        <v>0.15340000000000001</v>
      </c>
      <c r="R1142" s="10" cm="1">
        <f t="array" ref="R1142">IFERROR(INDEX(Sheet4!$2:$1605,MATCH(ChiTietKQKD[[#This Row],[Mã CP]],Sheet4!$B$2:$B$1605,0),_xlfn.XMATCH("*Tăng trưởng lợi nhuận sau thuế (QoQ)*",Sheet4!$1:$1,2)),"")</f>
        <v>0.59360000000000002</v>
      </c>
    </row>
    <row r="1143" spans="1:18" x14ac:dyDescent="0.25">
      <c r="A1143" s="7">
        <f>Sheet4!A1122</f>
        <v>1121</v>
      </c>
      <c r="B1143" t="str">
        <f>Sheet4!B1122</f>
        <v>KHX</v>
      </c>
      <c r="C1143" t="str">
        <f>Sheet4!C1121</f>
        <v>Cấp thoát nước Khánh Hòa</v>
      </c>
      <c r="D1143" t="str">
        <f>Sheet4!D1122</f>
        <v>UPCoM</v>
      </c>
      <c r="E1143" s="7">
        <f>Sheet4!AH1122/1000000000</f>
        <v>79</v>
      </c>
      <c r="F1143" t="str">
        <f>Sheet4!E1122</f>
        <v>Dịch vụ Tiêu dùng</v>
      </c>
      <c r="G1143" t="str">
        <f>Sheet4!F1122</f>
        <v>Truyền thông</v>
      </c>
      <c r="H1143" t="str">
        <f>Sheet4!G1122</f>
        <v>Sách, ấn bản &amp; sản phẩm văn hóa</v>
      </c>
      <c r="I1143" s="9" t="str" cm="1">
        <f t="array" ref="I114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43" s="9" t="str" cm="1">
        <f t="array" ref="J114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43" s="10" cm="1">
        <f t="array" ref="K114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43" s="10" cm="1">
        <f t="array" ref="L114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43" s="9" t="str" cm="1">
        <f t="array" ref="M114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43" s="9" t="str" cm="1">
        <f t="array" ref="N114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43" s="10" cm="1">
        <f t="array" ref="O1143">IFERROR(INDEX(Sheet4!$2:$1605,MATCH(ChiTietKQKD[[#This Row],[Mã CP]],Sheet4!$B$2:$B$1605,0),_xlfn.XMATCH("*Tăng trưởng lợi nhuận sau thuế (YoY) (Quý*",Sheet4!$1:$1,2)),"")</f>
        <v>0</v>
      </c>
      <c r="P1143" s="10" cm="1">
        <f t="array" ref="P1143">IFERROR(INDEX(Sheet4!$2:$1605,MATCH(ChiTietKQKD[[#This Row],[Mã CP]],Sheet4!$B$2:$B$1605,0),_xlfn.XMATCH("*Tăng trưởng lợi nhuận sau thuế (YoY) (6M)*",Sheet4!$1:$1,2)),"")</f>
        <v>0</v>
      </c>
      <c r="Q1143" s="10" cm="1">
        <f t="array" ref="Q1143">IFERROR(INDEX(Sheet4!$2:$1605,MATCH(ChiTietKQKD[[#This Row],[Mã CP]],Sheet4!$B$2:$B$1605,0),_xlfn.XMATCH("*Tăng trưởng doanh thu thuần (QoQ)*",Sheet4!$1:$1,2)),"")</f>
        <v>0</v>
      </c>
      <c r="R1143" s="10" cm="1">
        <f t="array" ref="R1143">IFERROR(INDEX(Sheet4!$2:$1605,MATCH(ChiTietKQKD[[#This Row],[Mã CP]],Sheet4!$B$2:$B$1605,0),_xlfn.XMATCH("*Tăng trưởng lợi nhuận sau thuế (QoQ)*",Sheet4!$1:$1,2)),"")</f>
        <v>0</v>
      </c>
    </row>
    <row r="1144" spans="1:18" x14ac:dyDescent="0.25">
      <c r="A1144" s="7">
        <f>Sheet4!A1123</f>
        <v>1122</v>
      </c>
      <c r="B1144" t="str">
        <f>Sheet4!B1123</f>
        <v>KIP</v>
      </c>
      <c r="C1144" t="str">
        <f>Sheet4!C1122</f>
        <v>Fahasa Khanh Hoa</v>
      </c>
      <c r="D1144" t="str">
        <f>Sheet4!D1123</f>
        <v>UPCoM</v>
      </c>
      <c r="E1144" s="7">
        <f>Sheet4!AH1123/1000000000</f>
        <v>147.97999999999999</v>
      </c>
      <c r="F1144" t="str">
        <f>Sheet4!E1123</f>
        <v>Công nghiệp</v>
      </c>
      <c r="G1144" t="str">
        <f>Sheet4!F1123</f>
        <v>Hàng &amp; Dịch vụ Công nghiệp</v>
      </c>
      <c r="H1144" t="str">
        <f>Sheet4!G1123</f>
        <v>Thiết bị điện</v>
      </c>
      <c r="I1144" s="9" t="str" cm="1">
        <f t="array" ref="I114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44" s="9" t="str" cm="1">
        <f t="array" ref="J114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44" s="10" cm="1">
        <f t="array" ref="K114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44" s="10" cm="1">
        <f t="array" ref="L114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44" s="9" t="str" cm="1">
        <f t="array" ref="M114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44" s="9" t="str" cm="1">
        <f t="array" ref="N114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44" s="10" cm="1">
        <f t="array" ref="O1144">IFERROR(INDEX(Sheet4!$2:$1605,MATCH(ChiTietKQKD[[#This Row],[Mã CP]],Sheet4!$B$2:$B$1605,0),_xlfn.XMATCH("*Tăng trưởng lợi nhuận sau thuế (YoY) (Quý*",Sheet4!$1:$1,2)),"")</f>
        <v>0</v>
      </c>
      <c r="P1144" s="10" cm="1">
        <f t="array" ref="P1144">IFERROR(INDEX(Sheet4!$2:$1605,MATCH(ChiTietKQKD[[#This Row],[Mã CP]],Sheet4!$B$2:$B$1605,0),_xlfn.XMATCH("*Tăng trưởng lợi nhuận sau thuế (YoY) (6M)*",Sheet4!$1:$1,2)),"")</f>
        <v>0</v>
      </c>
      <c r="Q1144" s="10" cm="1">
        <f t="array" ref="Q1144">IFERROR(INDEX(Sheet4!$2:$1605,MATCH(ChiTietKQKD[[#This Row],[Mã CP]],Sheet4!$B$2:$B$1605,0),_xlfn.XMATCH("*Tăng trưởng doanh thu thuần (QoQ)*",Sheet4!$1:$1,2)),"")</f>
        <v>0</v>
      </c>
      <c r="R1144" s="10" cm="1">
        <f t="array" ref="R1144">IFERROR(INDEX(Sheet4!$2:$1605,MATCH(ChiTietKQKD[[#This Row],[Mã CP]],Sheet4!$B$2:$B$1605,0),_xlfn.XMATCH("*Tăng trưởng lợi nhuận sau thuế (QoQ)*",Sheet4!$1:$1,2)),"")</f>
        <v>0</v>
      </c>
    </row>
    <row r="1145" spans="1:18" x14ac:dyDescent="0.25">
      <c r="A1145" s="7">
        <f>Sheet4!A1124</f>
        <v>1123</v>
      </c>
      <c r="B1145" t="str">
        <f>Sheet4!B1124</f>
        <v>KNA</v>
      </c>
      <c r="C1145" t="str">
        <f>Sheet4!C1123</f>
        <v>K.I.P Việt Nam</v>
      </c>
      <c r="D1145" t="str">
        <f>Sheet4!D1124</f>
        <v>UPCoM</v>
      </c>
      <c r="E1145" s="7">
        <f>Sheet4!AH1124/1000000000</f>
        <v>0</v>
      </c>
      <c r="F1145" t="str">
        <f>Sheet4!E1124</f>
        <v>Nguyên vật liệu</v>
      </c>
      <c r="G1145" t="str">
        <f>Sheet4!F1124</f>
        <v>Tài nguyên Cơ bản</v>
      </c>
      <c r="H1145" t="str">
        <f>Sheet4!G1124</f>
        <v>Khai khoáng</v>
      </c>
      <c r="I1145" s="9" t="str" cm="1">
        <f t="array" ref="I114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45" s="9" t="str" cm="1">
        <f t="array" ref="J114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45" s="10" cm="1">
        <f t="array" ref="K114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45" s="10" cm="1">
        <f t="array" ref="L114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45" s="9" t="str" cm="1">
        <f t="array" ref="M114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45" s="9" t="str" cm="1">
        <f t="array" ref="N114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45" s="10" cm="1">
        <f t="array" ref="O1145">IFERROR(INDEX(Sheet4!$2:$1605,MATCH(ChiTietKQKD[[#This Row],[Mã CP]],Sheet4!$B$2:$B$1605,0),_xlfn.XMATCH("*Tăng trưởng lợi nhuận sau thuế (YoY) (Quý*",Sheet4!$1:$1,2)),"")</f>
        <v>0</v>
      </c>
      <c r="P1145" s="10" cm="1">
        <f t="array" ref="P1145">IFERROR(INDEX(Sheet4!$2:$1605,MATCH(ChiTietKQKD[[#This Row],[Mã CP]],Sheet4!$B$2:$B$1605,0),_xlfn.XMATCH("*Tăng trưởng lợi nhuận sau thuế (YoY) (6M)*",Sheet4!$1:$1,2)),"")</f>
        <v>0</v>
      </c>
      <c r="Q1145" s="10" cm="1">
        <f t="array" ref="Q1145">IFERROR(INDEX(Sheet4!$2:$1605,MATCH(ChiTietKQKD[[#This Row],[Mã CP]],Sheet4!$B$2:$B$1605,0),_xlfn.XMATCH("*Tăng trưởng doanh thu thuần (QoQ)*",Sheet4!$1:$1,2)),"")</f>
        <v>0</v>
      </c>
      <c r="R1145" s="10" cm="1">
        <f t="array" ref="R1145">IFERROR(INDEX(Sheet4!$2:$1605,MATCH(ChiTietKQKD[[#This Row],[Mã CP]],Sheet4!$B$2:$B$1605,0),_xlfn.XMATCH("*Tăng trưởng lợi nhuận sau thuế (QoQ)*",Sheet4!$1:$1,2)),"")</f>
        <v>0</v>
      </c>
    </row>
    <row r="1146" spans="1:18" x14ac:dyDescent="0.25">
      <c r="A1146" s="7">
        <f>Sheet4!A1125</f>
        <v>1124</v>
      </c>
      <c r="B1146" t="str">
        <f>Sheet4!B1125</f>
        <v>KPF</v>
      </c>
      <c r="C1146" t="str">
        <f>Sheet4!C1124</f>
        <v>Khoáng sản Nghệ An</v>
      </c>
      <c r="D1146" t="str">
        <f>Sheet4!D1125</f>
        <v>UPCoM</v>
      </c>
      <c r="E1146" s="7">
        <f>Sheet4!AH1125/1000000000</f>
        <v>73.040689200000003</v>
      </c>
      <c r="F1146" t="str">
        <f>Sheet4!E1125</f>
        <v>Công nghiệp</v>
      </c>
      <c r="G1146" t="str">
        <f>Sheet4!F1125</f>
        <v>Xây dựng và Vật liệu</v>
      </c>
      <c r="H1146" t="str">
        <f>Sheet4!G1125</f>
        <v>Vật liệu xây dựng &amp; Nội thất</v>
      </c>
      <c r="I1146" s="9" t="str" cm="1">
        <f t="array" ref="I114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46" s="9" t="str" cm="1">
        <f t="array" ref="J114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46" s="10" cm="1">
        <f t="array" ref="K114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46" s="10" cm="1">
        <f t="array" ref="L114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46" s="9" t="str" cm="1">
        <f t="array" ref="M114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46" s="9" t="str" cm="1">
        <f t="array" ref="N114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46" s="10" cm="1">
        <f t="array" ref="O1146">IFERROR(INDEX(Sheet4!$2:$1605,MATCH(ChiTietKQKD[[#This Row],[Mã CP]],Sheet4!$B$2:$B$1605,0),_xlfn.XMATCH("*Tăng trưởng lợi nhuận sau thuế (YoY) (Quý*",Sheet4!$1:$1,2)),"")</f>
        <v>0</v>
      </c>
      <c r="P1146" s="10" cm="1">
        <f t="array" ref="P1146">IFERROR(INDEX(Sheet4!$2:$1605,MATCH(ChiTietKQKD[[#This Row],[Mã CP]],Sheet4!$B$2:$B$1605,0),_xlfn.XMATCH("*Tăng trưởng lợi nhuận sau thuế (YoY) (6M)*",Sheet4!$1:$1,2)),"")</f>
        <v>0</v>
      </c>
      <c r="Q1146" s="10" cm="1">
        <f t="array" ref="Q1146">IFERROR(INDEX(Sheet4!$2:$1605,MATCH(ChiTietKQKD[[#This Row],[Mã CP]],Sheet4!$B$2:$B$1605,0),_xlfn.XMATCH("*Tăng trưởng doanh thu thuần (QoQ)*",Sheet4!$1:$1,2)),"")</f>
        <v>0</v>
      </c>
      <c r="R1146" s="10" cm="1">
        <f t="array" ref="R1146">IFERROR(INDEX(Sheet4!$2:$1605,MATCH(ChiTietKQKD[[#This Row],[Mã CP]],Sheet4!$B$2:$B$1605,0),_xlfn.XMATCH("*Tăng trưởng lợi nhuận sau thuế (QoQ)*",Sheet4!$1:$1,2)),"")</f>
        <v>0</v>
      </c>
    </row>
    <row r="1147" spans="1:18" x14ac:dyDescent="0.25">
      <c r="A1147" s="7">
        <f>Sheet4!A1126</f>
        <v>1125</v>
      </c>
      <c r="B1147" t="str">
        <f>Sheet4!B1126</f>
        <v>KSQ</v>
      </c>
      <c r="C1147" t="str">
        <f>Sheet4!C1125</f>
        <v>Đầu tư Tài sản KOJI</v>
      </c>
      <c r="D1147" t="str">
        <f>Sheet4!D1126</f>
        <v>UPCoM</v>
      </c>
      <c r="E1147" s="7">
        <f>Sheet4!AH1126/1000000000</f>
        <v>30</v>
      </c>
      <c r="F1147" t="str">
        <f>Sheet4!E1126</f>
        <v>Công nghiệp</v>
      </c>
      <c r="G1147" t="str">
        <f>Sheet4!F1126</f>
        <v>Xây dựng và Vật liệu</v>
      </c>
      <c r="H1147" t="str">
        <f>Sheet4!G1126</f>
        <v>Vật liệu xây dựng &amp; Nội thất</v>
      </c>
      <c r="I1147" s="9" cm="1">
        <f t="array" ref="I114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7.856806679</v>
      </c>
      <c r="J1147" s="9" cm="1">
        <f t="array" ref="J114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7.856806679</v>
      </c>
      <c r="K1147" s="10" cm="1">
        <f t="array" ref="K114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23.515899999999998</v>
      </c>
      <c r="L1147" s="10" cm="1">
        <f t="array" ref="L114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23.515899999999998</v>
      </c>
      <c r="M1147" s="9" cm="1">
        <f t="array" ref="M1147">_xlfn.LET(_xlpm.val,IFERROR(INDEX(Sheet4!$2:$1605,MATCH(ChiTietKQKD[[#This Row],[Mã CP]],Sheet4!$B$2:$B$1605,0),_xlfn.XMATCH("*Lợi nhuận sau thuế*Q2*2026*",Sheet4!$1:$1,2)),0),IF(OR(_xlpm.val="",_xlpm.val=0),"",_xlpm.val/1000000000))</f>
        <v>0.42965506799999997</v>
      </c>
      <c r="N1147" s="9" cm="1">
        <f t="array" ref="N1147">_xlfn.LET(_xlpm.val,IFERROR(INDEX(Sheet4!$2:$1605,MATCH(ChiTietKQKD[[#This Row],[Mã CP]],Sheet4!$B$2:$B$1605,0),_xlfn.XMATCH("*Lợi nhuận sau thuế*6 tháng*2026*",Sheet4!$1:$1,2)),0),IF(OR(_xlpm.val="",_xlpm.val=0),"",_xlpm.val/1000000000))</f>
        <v>4.6492696999999999E-2</v>
      </c>
      <c r="O1147" s="10" cm="1">
        <f t="array" ref="O1147">IFERROR(INDEX(Sheet4!$2:$1605,MATCH(ChiTietKQKD[[#This Row],[Mã CP]],Sheet4!$B$2:$B$1605,0),_xlfn.XMATCH("*Tăng trưởng lợi nhuận sau thuế (YoY) (Quý*",Sheet4!$1:$1,2)),"")</f>
        <v>1.1890000000000001</v>
      </c>
      <c r="P1147" s="10" cm="1">
        <f t="array" ref="P1147">IFERROR(INDEX(Sheet4!$2:$1605,MATCH(ChiTietKQKD[[#This Row],[Mã CP]],Sheet4!$B$2:$B$1605,0),_xlfn.XMATCH("*Tăng trưởng lợi nhuận sau thuế (YoY) (6M)*",Sheet4!$1:$1,2)),"")</f>
        <v>1.0109999999999999</v>
      </c>
      <c r="Q1147" s="10" cm="1">
        <f t="array" ref="Q1147">IFERROR(INDEX(Sheet4!$2:$1605,MATCH(ChiTietKQKD[[#This Row],[Mã CP]],Sheet4!$B$2:$B$1605,0),_xlfn.XMATCH("*Tăng trưởng doanh thu thuần (QoQ)*",Sheet4!$1:$1,2)),"")</f>
        <v>0</v>
      </c>
      <c r="R1147" s="10" cm="1">
        <f t="array" ref="R1147">IFERROR(INDEX(Sheet4!$2:$1605,MATCH(ChiTietKQKD[[#This Row],[Mã CP]],Sheet4!$B$2:$B$1605,0),_xlfn.XMATCH("*Tăng trưởng lợi nhuận sau thuế (QoQ)*",Sheet4!$1:$1,2)),"")</f>
        <v>2.1213000000000002</v>
      </c>
    </row>
    <row r="1148" spans="1:18" x14ac:dyDescent="0.25">
      <c r="A1148" s="7">
        <f>Sheet4!A1127</f>
        <v>1126</v>
      </c>
      <c r="B1148" t="str">
        <f>Sheet4!B1127</f>
        <v>KTC</v>
      </c>
      <c r="C1148" t="str">
        <f>Sheet4!C1126</f>
        <v>CNC Capital Việt Nam</v>
      </c>
      <c r="D1148" t="str">
        <f>Sheet4!D1127</f>
        <v>UPCoM</v>
      </c>
      <c r="E1148" s="7">
        <f>Sheet4!AH1127/1000000000</f>
        <v>335.55926360000001</v>
      </c>
      <c r="F1148" t="str">
        <f>Sheet4!E1127</f>
        <v>Hàng Tiêu dùng</v>
      </c>
      <c r="G1148" t="str">
        <f>Sheet4!F1127</f>
        <v>Thực phẩm và đồ uống</v>
      </c>
      <c r="H1148" t="str">
        <f>Sheet4!G1127</f>
        <v>Thực phẩm</v>
      </c>
      <c r="I1148" s="9" t="str" cm="1">
        <f t="array" ref="I114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48" s="9" t="str" cm="1">
        <f t="array" ref="J114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48" s="10" cm="1">
        <f t="array" ref="K114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48" s="10" cm="1">
        <f t="array" ref="L114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48" s="9" t="str" cm="1">
        <f t="array" ref="M114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48" s="9" t="str" cm="1">
        <f t="array" ref="N114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48" s="10" cm="1">
        <f t="array" ref="O1148">IFERROR(INDEX(Sheet4!$2:$1605,MATCH(ChiTietKQKD[[#This Row],[Mã CP]],Sheet4!$B$2:$B$1605,0),_xlfn.XMATCH("*Tăng trưởng lợi nhuận sau thuế (YoY) (Quý*",Sheet4!$1:$1,2)),"")</f>
        <v>0</v>
      </c>
      <c r="P1148" s="10" cm="1">
        <f t="array" ref="P1148">IFERROR(INDEX(Sheet4!$2:$1605,MATCH(ChiTietKQKD[[#This Row],[Mã CP]],Sheet4!$B$2:$B$1605,0),_xlfn.XMATCH("*Tăng trưởng lợi nhuận sau thuế (YoY) (6M)*",Sheet4!$1:$1,2)),"")</f>
        <v>0</v>
      </c>
      <c r="Q1148" s="10" cm="1">
        <f t="array" ref="Q1148">IFERROR(INDEX(Sheet4!$2:$1605,MATCH(ChiTietKQKD[[#This Row],[Mã CP]],Sheet4!$B$2:$B$1605,0),_xlfn.XMATCH("*Tăng trưởng doanh thu thuần (QoQ)*",Sheet4!$1:$1,2)),"")</f>
        <v>0</v>
      </c>
      <c r="R1148" s="10" cm="1">
        <f t="array" ref="R1148">IFERROR(INDEX(Sheet4!$2:$1605,MATCH(ChiTietKQKD[[#This Row],[Mã CP]],Sheet4!$B$2:$B$1605,0),_xlfn.XMATCH("*Tăng trưởng lợi nhuận sau thuế (QoQ)*",Sheet4!$1:$1,2)),"")</f>
        <v>0</v>
      </c>
    </row>
    <row r="1149" spans="1:18" x14ac:dyDescent="0.25">
      <c r="A1149" s="7">
        <f>Sheet4!A1128</f>
        <v>1127</v>
      </c>
      <c r="B1149" t="str">
        <f>Sheet4!B1128</f>
        <v>KTL</v>
      </c>
      <c r="C1149" t="str">
        <f>Sheet4!C1127</f>
        <v>Thương mại Kiên Giang</v>
      </c>
      <c r="D1149" t="str">
        <f>Sheet4!D1128</f>
        <v>UPCoM</v>
      </c>
      <c r="E1149" s="7">
        <f>Sheet4!AH1128/1000000000</f>
        <v>403.2</v>
      </c>
      <c r="F1149" t="str">
        <f>Sheet4!E1128</f>
        <v>Nguyên vật liệu</v>
      </c>
      <c r="G1149" t="str">
        <f>Sheet4!F1128</f>
        <v>Tài nguyên Cơ bản</v>
      </c>
      <c r="H1149" t="str">
        <f>Sheet4!G1128</f>
        <v>Thép và sản phẩm thép</v>
      </c>
      <c r="I1149" s="9" t="str" cm="1">
        <f t="array" ref="I114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49" s="9" t="str" cm="1">
        <f t="array" ref="J114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49" s="10" cm="1">
        <f t="array" ref="K114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49" s="10" cm="1">
        <f t="array" ref="L114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49" s="9" t="str" cm="1">
        <f t="array" ref="M114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49" s="9" t="str" cm="1">
        <f t="array" ref="N114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49" s="10" cm="1">
        <f t="array" ref="O1149">IFERROR(INDEX(Sheet4!$2:$1605,MATCH(ChiTietKQKD[[#This Row],[Mã CP]],Sheet4!$B$2:$B$1605,0),_xlfn.XMATCH("*Tăng trưởng lợi nhuận sau thuế (YoY) (Quý*",Sheet4!$1:$1,2)),"")</f>
        <v>0</v>
      </c>
      <c r="P1149" s="10" cm="1">
        <f t="array" ref="P1149">IFERROR(INDEX(Sheet4!$2:$1605,MATCH(ChiTietKQKD[[#This Row],[Mã CP]],Sheet4!$B$2:$B$1605,0),_xlfn.XMATCH("*Tăng trưởng lợi nhuận sau thuế (YoY) (6M)*",Sheet4!$1:$1,2)),"")</f>
        <v>0</v>
      </c>
      <c r="Q1149" s="10" cm="1">
        <f t="array" ref="Q1149">IFERROR(INDEX(Sheet4!$2:$1605,MATCH(ChiTietKQKD[[#This Row],[Mã CP]],Sheet4!$B$2:$B$1605,0),_xlfn.XMATCH("*Tăng trưởng doanh thu thuần (QoQ)*",Sheet4!$1:$1,2)),"")</f>
        <v>0</v>
      </c>
      <c r="R1149" s="10" cm="1">
        <f t="array" ref="R1149">IFERROR(INDEX(Sheet4!$2:$1605,MATCH(ChiTietKQKD[[#This Row],[Mã CP]],Sheet4!$B$2:$B$1605,0),_xlfn.XMATCH("*Tăng trưởng lợi nhuận sau thuế (QoQ)*",Sheet4!$1:$1,2)),"")</f>
        <v>0</v>
      </c>
    </row>
    <row r="1150" spans="1:18" x14ac:dyDescent="0.25">
      <c r="A1150" s="7">
        <f>Sheet4!A1129</f>
        <v>1128</v>
      </c>
      <c r="B1150" t="str">
        <f>Sheet4!B1129</f>
        <v>KTT</v>
      </c>
      <c r="C1150" t="str">
        <f>Sheet4!C1128</f>
        <v>Kim khí Thăng Long</v>
      </c>
      <c r="D1150" t="str">
        <f>Sheet4!D1129</f>
        <v>UPCoM</v>
      </c>
      <c r="E1150" s="7">
        <f>Sheet4!AH1129/1000000000</f>
        <v>6.7965</v>
      </c>
      <c r="F1150" t="str">
        <f>Sheet4!E1129</f>
        <v>Công nghiệp</v>
      </c>
      <c r="G1150" t="str">
        <f>Sheet4!F1129</f>
        <v>Xây dựng và Vật liệu</v>
      </c>
      <c r="H1150" t="str">
        <f>Sheet4!G1129</f>
        <v>Xây dựng</v>
      </c>
      <c r="I1150" s="9" t="str" cm="1">
        <f t="array" ref="I115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50" s="9" t="str" cm="1">
        <f t="array" ref="J115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50" s="10" cm="1">
        <f t="array" ref="K115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50" s="10" cm="1">
        <f t="array" ref="L115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50" s="9" t="str" cm="1">
        <f t="array" ref="M115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50" s="9" t="str" cm="1">
        <f t="array" ref="N115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50" s="10" cm="1">
        <f t="array" ref="O1150">IFERROR(INDEX(Sheet4!$2:$1605,MATCH(ChiTietKQKD[[#This Row],[Mã CP]],Sheet4!$B$2:$B$1605,0),_xlfn.XMATCH("*Tăng trưởng lợi nhuận sau thuế (YoY) (Quý*",Sheet4!$1:$1,2)),"")</f>
        <v>0</v>
      </c>
      <c r="P1150" s="10" cm="1">
        <f t="array" ref="P1150">IFERROR(INDEX(Sheet4!$2:$1605,MATCH(ChiTietKQKD[[#This Row],[Mã CP]],Sheet4!$B$2:$B$1605,0),_xlfn.XMATCH("*Tăng trưởng lợi nhuận sau thuế (YoY) (6M)*",Sheet4!$1:$1,2)),"")</f>
        <v>0</v>
      </c>
      <c r="Q1150" s="10" cm="1">
        <f t="array" ref="Q1150">IFERROR(INDEX(Sheet4!$2:$1605,MATCH(ChiTietKQKD[[#This Row],[Mã CP]],Sheet4!$B$2:$B$1605,0),_xlfn.XMATCH("*Tăng trưởng doanh thu thuần (QoQ)*",Sheet4!$1:$1,2)),"")</f>
        <v>0</v>
      </c>
      <c r="R1150" s="10" cm="1">
        <f t="array" ref="R1150">IFERROR(INDEX(Sheet4!$2:$1605,MATCH(ChiTietKQKD[[#This Row],[Mã CP]],Sheet4!$B$2:$B$1605,0),_xlfn.XMATCH("*Tăng trưởng lợi nhuận sau thuế (QoQ)*",Sheet4!$1:$1,2)),"")</f>
        <v>0</v>
      </c>
    </row>
    <row r="1151" spans="1:18" x14ac:dyDescent="0.25">
      <c r="A1151" s="7">
        <f>Sheet4!A1130</f>
        <v>1129</v>
      </c>
      <c r="B1151" t="str">
        <f>Sheet4!B1130</f>
        <v>KVC</v>
      </c>
      <c r="C1151" t="str">
        <f>Sheet4!C1129</f>
        <v>Tập đoàn Đầu tư KTT</v>
      </c>
      <c r="D1151" t="str">
        <f>Sheet4!D1130</f>
        <v>UPCoM</v>
      </c>
      <c r="E1151" s="7">
        <f>Sheet4!AH1130/1000000000</f>
        <v>49.598999999999997</v>
      </c>
      <c r="F1151" t="str">
        <f>Sheet4!E1130</f>
        <v>Nguyên vật liệu</v>
      </c>
      <c r="G1151" t="str">
        <f>Sheet4!F1130</f>
        <v>Tài nguyên Cơ bản</v>
      </c>
      <c r="H1151" t="str">
        <f>Sheet4!G1130</f>
        <v>Thép và sản phẩm thép</v>
      </c>
      <c r="I1151" s="9" cm="1">
        <f t="array" ref="I115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28.41971006</v>
      </c>
      <c r="J1151" s="9" cm="1">
        <f t="array" ref="J115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64.441417947000005</v>
      </c>
      <c r="K1151" s="10" cm="1">
        <f t="array" ref="K115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0.41589999999999999</v>
      </c>
      <c r="L1151" s="10" cm="1">
        <f t="array" ref="L115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0.1094</v>
      </c>
      <c r="M1151" s="9" cm="1">
        <f t="array" ref="M1151">_xlfn.LET(_xlpm.val,IFERROR(INDEX(Sheet4!$2:$1605,MATCH(ChiTietKQKD[[#This Row],[Mã CP]],Sheet4!$B$2:$B$1605,0),_xlfn.XMATCH("*Lợi nhuận sau thuế*Q2*2026*",Sheet4!$1:$1,2)),0),IF(OR(_xlpm.val="",_xlpm.val=0),"",_xlpm.val/1000000000))</f>
        <v>-3.8877896239999998</v>
      </c>
      <c r="N1151" s="9" cm="1">
        <f t="array" ref="N1151">_xlfn.LET(_xlpm.val,IFERROR(INDEX(Sheet4!$2:$1605,MATCH(ChiTietKQKD[[#This Row],[Mã CP]],Sheet4!$B$2:$B$1605,0),_xlfn.XMATCH("*Lợi nhuận sau thuế*6 tháng*2026*",Sheet4!$1:$1,2)),0),IF(OR(_xlpm.val="",_xlpm.val=0),"",_xlpm.val/1000000000))</f>
        <v>-7.774832279</v>
      </c>
      <c r="O1151" s="10" cm="1">
        <f t="array" ref="O1151">IFERROR(INDEX(Sheet4!$2:$1605,MATCH(ChiTietKQKD[[#This Row],[Mã CP]],Sheet4!$B$2:$B$1605,0),_xlfn.XMATCH("*Tăng trưởng lợi nhuận sau thuế (YoY) (Quý*",Sheet4!$1:$1,2)),"")</f>
        <v>0.19420000000000001</v>
      </c>
      <c r="P1151" s="10" cm="1">
        <f t="array" ref="P1151">IFERROR(INDEX(Sheet4!$2:$1605,MATCH(ChiTietKQKD[[#This Row],[Mã CP]],Sheet4!$B$2:$B$1605,0),_xlfn.XMATCH("*Tăng trưởng lợi nhuận sau thuế (YoY) (6M)*",Sheet4!$1:$1,2)),"")</f>
        <v>0.16750000000000001</v>
      </c>
      <c r="Q1151" s="10" cm="1">
        <f t="array" ref="Q1151">IFERROR(INDEX(Sheet4!$2:$1605,MATCH(ChiTietKQKD[[#This Row],[Mã CP]],Sheet4!$B$2:$B$1605,0),_xlfn.XMATCH("*Tăng trưởng doanh thu thuần (QoQ)*",Sheet4!$1:$1,2)),"")</f>
        <v>-0.21099999999999999</v>
      </c>
      <c r="R1151" s="10" cm="1">
        <f t="array" ref="R1151">IFERROR(INDEX(Sheet4!$2:$1605,MATCH(ChiTietKQKD[[#This Row],[Mã CP]],Sheet4!$B$2:$B$1605,0),_xlfn.XMATCH("*Tăng trưởng lợi nhuận sau thuế (QoQ)*",Sheet4!$1:$1,2)),"")</f>
        <v>-2.0000000000000001E-4</v>
      </c>
    </row>
    <row r="1152" spans="1:18" x14ac:dyDescent="0.25">
      <c r="A1152" s="7">
        <f>Sheet4!A1131</f>
        <v>1130</v>
      </c>
      <c r="B1152" t="str">
        <f>Sheet4!B1131</f>
        <v>L12</v>
      </c>
      <c r="C1152" t="str">
        <f>Sheet4!C1130</f>
        <v>XNK Inox Kim Vĩ</v>
      </c>
      <c r="D1152" t="str">
        <f>Sheet4!D1131</f>
        <v>UPCoM</v>
      </c>
      <c r="E1152" s="7">
        <f>Sheet4!AH1131/1000000000</f>
        <v>30.3249195</v>
      </c>
      <c r="F1152" t="str">
        <f>Sheet4!E1131</f>
        <v>Công nghiệp</v>
      </c>
      <c r="G1152" t="str">
        <f>Sheet4!F1131</f>
        <v>Xây dựng và Vật liệu</v>
      </c>
      <c r="H1152" t="str">
        <f>Sheet4!G1131</f>
        <v>Xây dựng</v>
      </c>
      <c r="I1152" s="9" t="str" cm="1">
        <f t="array" ref="I115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52" s="9" t="str" cm="1">
        <f t="array" ref="J115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52" s="10" cm="1">
        <f t="array" ref="K115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52" s="10" cm="1">
        <f t="array" ref="L115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52" s="9" t="str" cm="1">
        <f t="array" ref="M115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52" s="9" t="str" cm="1">
        <f t="array" ref="N115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52" s="10" cm="1">
        <f t="array" ref="O1152">IFERROR(INDEX(Sheet4!$2:$1605,MATCH(ChiTietKQKD[[#This Row],[Mã CP]],Sheet4!$B$2:$B$1605,0),_xlfn.XMATCH("*Tăng trưởng lợi nhuận sau thuế (YoY) (Quý*",Sheet4!$1:$1,2)),"")</f>
        <v>0</v>
      </c>
      <c r="P1152" s="10" cm="1">
        <f t="array" ref="P1152">IFERROR(INDEX(Sheet4!$2:$1605,MATCH(ChiTietKQKD[[#This Row],[Mã CP]],Sheet4!$B$2:$B$1605,0),_xlfn.XMATCH("*Tăng trưởng lợi nhuận sau thuế (YoY) (6M)*",Sheet4!$1:$1,2)),"")</f>
        <v>0</v>
      </c>
      <c r="Q1152" s="10" cm="1">
        <f t="array" ref="Q1152">IFERROR(INDEX(Sheet4!$2:$1605,MATCH(ChiTietKQKD[[#This Row],[Mã CP]],Sheet4!$B$2:$B$1605,0),_xlfn.XMATCH("*Tăng trưởng doanh thu thuần (QoQ)*",Sheet4!$1:$1,2)),"")</f>
        <v>0</v>
      </c>
      <c r="R1152" s="10" cm="1">
        <f t="array" ref="R1152">IFERROR(INDEX(Sheet4!$2:$1605,MATCH(ChiTietKQKD[[#This Row],[Mã CP]],Sheet4!$B$2:$B$1605,0),_xlfn.XMATCH("*Tăng trưởng lợi nhuận sau thuế (QoQ)*",Sheet4!$1:$1,2)),"")</f>
        <v>0</v>
      </c>
    </row>
    <row r="1153" spans="1:18" x14ac:dyDescent="0.25">
      <c r="A1153" s="7">
        <f>Sheet4!A1132</f>
        <v>1131</v>
      </c>
      <c r="B1153" t="str">
        <f>Sheet4!B1132</f>
        <v>L35</v>
      </c>
      <c r="C1153" t="str">
        <f>Sheet4!C1131</f>
        <v>LICOGI 12</v>
      </c>
      <c r="D1153" t="str">
        <f>Sheet4!D1132</f>
        <v>UPCoM</v>
      </c>
      <c r="E1153" s="7">
        <f>Sheet4!AH1132/1000000000</f>
        <v>5.2242480000000002</v>
      </c>
      <c r="F1153" t="str">
        <f>Sheet4!E1132</f>
        <v>Công nghiệp</v>
      </c>
      <c r="G1153" t="str">
        <f>Sheet4!F1132</f>
        <v>Hàng &amp; Dịch vụ Công nghiệp</v>
      </c>
      <c r="H1153" t="str">
        <f>Sheet4!G1132</f>
        <v>Máy công nghiệp</v>
      </c>
      <c r="I1153" s="9" t="str" cm="1">
        <f t="array" ref="I115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53" s="9" t="str" cm="1">
        <f t="array" ref="J115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53" s="10" cm="1">
        <f t="array" ref="K115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53" s="10" cm="1">
        <f t="array" ref="L115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53" s="9" t="str" cm="1">
        <f t="array" ref="M115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53" s="9" t="str" cm="1">
        <f t="array" ref="N115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53" s="10" cm="1">
        <f t="array" ref="O1153">IFERROR(INDEX(Sheet4!$2:$1605,MATCH(ChiTietKQKD[[#This Row],[Mã CP]],Sheet4!$B$2:$B$1605,0),_xlfn.XMATCH("*Tăng trưởng lợi nhuận sau thuế (YoY) (Quý*",Sheet4!$1:$1,2)),"")</f>
        <v>0</v>
      </c>
      <c r="P1153" s="10" cm="1">
        <f t="array" ref="P1153">IFERROR(INDEX(Sheet4!$2:$1605,MATCH(ChiTietKQKD[[#This Row],[Mã CP]],Sheet4!$B$2:$B$1605,0),_xlfn.XMATCH("*Tăng trưởng lợi nhuận sau thuế (YoY) (6M)*",Sheet4!$1:$1,2)),"")</f>
        <v>0</v>
      </c>
      <c r="Q1153" s="10" cm="1">
        <f t="array" ref="Q1153">IFERROR(INDEX(Sheet4!$2:$1605,MATCH(ChiTietKQKD[[#This Row],[Mã CP]],Sheet4!$B$2:$B$1605,0),_xlfn.XMATCH("*Tăng trưởng doanh thu thuần (QoQ)*",Sheet4!$1:$1,2)),"")</f>
        <v>0</v>
      </c>
      <c r="R1153" s="10" cm="1">
        <f t="array" ref="R1153">IFERROR(INDEX(Sheet4!$2:$1605,MATCH(ChiTietKQKD[[#This Row],[Mã CP]],Sheet4!$B$2:$B$1605,0),_xlfn.XMATCH("*Tăng trưởng lợi nhuận sau thuế (QoQ)*",Sheet4!$1:$1,2)),"")</f>
        <v>0</v>
      </c>
    </row>
    <row r="1154" spans="1:18" x14ac:dyDescent="0.25">
      <c r="A1154" s="7">
        <f>Sheet4!A1133</f>
        <v>1132</v>
      </c>
      <c r="B1154" t="str">
        <f>Sheet4!B1133</f>
        <v>L43</v>
      </c>
      <c r="C1154" t="str">
        <f>Sheet4!C1132</f>
        <v>Cơ khí Lilama</v>
      </c>
      <c r="D1154" t="str">
        <f>Sheet4!D1133</f>
        <v>UPCoM</v>
      </c>
      <c r="E1154" s="7">
        <f>Sheet4!AH1133/1000000000</f>
        <v>7</v>
      </c>
      <c r="F1154" t="str">
        <f>Sheet4!E1133</f>
        <v>Công nghiệp</v>
      </c>
      <c r="G1154" t="str">
        <f>Sheet4!F1133</f>
        <v>Xây dựng và Vật liệu</v>
      </c>
      <c r="H1154" t="str">
        <f>Sheet4!G1133</f>
        <v>Xây dựng</v>
      </c>
      <c r="I1154" s="9" t="str" cm="1">
        <f t="array" ref="I115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54" s="9" t="str" cm="1">
        <f t="array" ref="J115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54" s="10" cm="1">
        <f t="array" ref="K115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54" s="10" cm="1">
        <f t="array" ref="L115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54" s="9" t="str" cm="1">
        <f t="array" ref="M115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54" s="9" t="str" cm="1">
        <f t="array" ref="N115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54" s="10" cm="1">
        <f t="array" ref="O1154">IFERROR(INDEX(Sheet4!$2:$1605,MATCH(ChiTietKQKD[[#This Row],[Mã CP]],Sheet4!$B$2:$B$1605,0),_xlfn.XMATCH("*Tăng trưởng lợi nhuận sau thuế (YoY) (Quý*",Sheet4!$1:$1,2)),"")</f>
        <v>0</v>
      </c>
      <c r="P1154" s="10" cm="1">
        <f t="array" ref="P1154">IFERROR(INDEX(Sheet4!$2:$1605,MATCH(ChiTietKQKD[[#This Row],[Mã CP]],Sheet4!$B$2:$B$1605,0),_xlfn.XMATCH("*Tăng trưởng lợi nhuận sau thuế (YoY) (6M)*",Sheet4!$1:$1,2)),"")</f>
        <v>0</v>
      </c>
      <c r="Q1154" s="10" cm="1">
        <f t="array" ref="Q1154">IFERROR(INDEX(Sheet4!$2:$1605,MATCH(ChiTietKQKD[[#This Row],[Mã CP]],Sheet4!$B$2:$B$1605,0),_xlfn.XMATCH("*Tăng trưởng doanh thu thuần (QoQ)*",Sheet4!$1:$1,2)),"")</f>
        <v>0</v>
      </c>
      <c r="R1154" s="10" cm="1">
        <f t="array" ref="R1154">IFERROR(INDEX(Sheet4!$2:$1605,MATCH(ChiTietKQKD[[#This Row],[Mã CP]],Sheet4!$B$2:$B$1605,0),_xlfn.XMATCH("*Tăng trưởng lợi nhuận sau thuế (QoQ)*",Sheet4!$1:$1,2)),"")</f>
        <v>0</v>
      </c>
    </row>
    <row r="1155" spans="1:18" x14ac:dyDescent="0.25">
      <c r="A1155" s="7">
        <f>Sheet4!A1134</f>
        <v>1133</v>
      </c>
      <c r="B1155" t="str">
        <f>Sheet4!B1134</f>
        <v>L45</v>
      </c>
      <c r="C1155" t="str">
        <f>Sheet4!C1133</f>
        <v>LILAMA 45.3</v>
      </c>
      <c r="D1155" t="str">
        <f>Sheet4!D1134</f>
        <v>UPCoM</v>
      </c>
      <c r="E1155" s="7">
        <f>Sheet4!AH1134/1000000000</f>
        <v>9.1199999999999992</v>
      </c>
      <c r="F1155" t="str">
        <f>Sheet4!E1134</f>
        <v>Công nghiệp</v>
      </c>
      <c r="G1155" t="str">
        <f>Sheet4!F1134</f>
        <v>Xây dựng và Vật liệu</v>
      </c>
      <c r="H1155" t="str">
        <f>Sheet4!G1134</f>
        <v>Xây dựng</v>
      </c>
      <c r="I1155" s="9" t="str" cm="1">
        <f t="array" ref="I115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55" s="9" t="str" cm="1">
        <f t="array" ref="J115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55" s="10" cm="1">
        <f t="array" ref="K115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55" s="10" cm="1">
        <f t="array" ref="L115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55" s="9" t="str" cm="1">
        <f t="array" ref="M115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55" s="9" t="str" cm="1">
        <f t="array" ref="N115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55" s="10" cm="1">
        <f t="array" ref="O1155">IFERROR(INDEX(Sheet4!$2:$1605,MATCH(ChiTietKQKD[[#This Row],[Mã CP]],Sheet4!$B$2:$B$1605,0),_xlfn.XMATCH("*Tăng trưởng lợi nhuận sau thuế (YoY) (Quý*",Sheet4!$1:$1,2)),"")</f>
        <v>0</v>
      </c>
      <c r="P1155" s="10" cm="1">
        <f t="array" ref="P1155">IFERROR(INDEX(Sheet4!$2:$1605,MATCH(ChiTietKQKD[[#This Row],[Mã CP]],Sheet4!$B$2:$B$1605,0),_xlfn.XMATCH("*Tăng trưởng lợi nhuận sau thuế (YoY) (6M)*",Sheet4!$1:$1,2)),"")</f>
        <v>0</v>
      </c>
      <c r="Q1155" s="10" cm="1">
        <f t="array" ref="Q1155">IFERROR(INDEX(Sheet4!$2:$1605,MATCH(ChiTietKQKD[[#This Row],[Mã CP]],Sheet4!$B$2:$B$1605,0),_xlfn.XMATCH("*Tăng trưởng doanh thu thuần (QoQ)*",Sheet4!$1:$1,2)),"")</f>
        <v>0</v>
      </c>
      <c r="R1155" s="10" cm="1">
        <f t="array" ref="R1155">IFERROR(INDEX(Sheet4!$2:$1605,MATCH(ChiTietKQKD[[#This Row],[Mã CP]],Sheet4!$B$2:$B$1605,0),_xlfn.XMATCH("*Tăng trưởng lợi nhuận sau thuế (QoQ)*",Sheet4!$1:$1,2)),"")</f>
        <v>0</v>
      </c>
    </row>
    <row r="1156" spans="1:18" x14ac:dyDescent="0.25">
      <c r="A1156" s="7">
        <f>Sheet4!A1135</f>
        <v>1134</v>
      </c>
      <c r="B1156" t="str">
        <f>Sheet4!B1135</f>
        <v>L61</v>
      </c>
      <c r="C1156" t="str">
        <f>Sheet4!C1134</f>
        <v>Lilama 45.1</v>
      </c>
      <c r="D1156" t="str">
        <f>Sheet4!D1135</f>
        <v>UPCoM</v>
      </c>
      <c r="E1156" s="7">
        <f>Sheet4!AH1135/1000000000</f>
        <v>9.8490599999999997</v>
      </c>
      <c r="F1156" t="str">
        <f>Sheet4!E1135</f>
        <v>Công nghiệp</v>
      </c>
      <c r="G1156" t="str">
        <f>Sheet4!F1135</f>
        <v>Hàng &amp; Dịch vụ Công nghiệp</v>
      </c>
      <c r="H1156" t="str">
        <f>Sheet4!G1135</f>
        <v>Máy công nghiệp</v>
      </c>
      <c r="I1156" s="9" t="str" cm="1">
        <f t="array" ref="I115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56" s="9" t="str" cm="1">
        <f t="array" ref="J115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56" s="10" cm="1">
        <f t="array" ref="K115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56" s="10" cm="1">
        <f t="array" ref="L115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56" s="9" t="str" cm="1">
        <f t="array" ref="M115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56" s="9" t="str" cm="1">
        <f t="array" ref="N115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56" s="10" cm="1">
        <f t="array" ref="O1156">IFERROR(INDEX(Sheet4!$2:$1605,MATCH(ChiTietKQKD[[#This Row],[Mã CP]],Sheet4!$B$2:$B$1605,0),_xlfn.XMATCH("*Tăng trưởng lợi nhuận sau thuế (YoY) (Quý*",Sheet4!$1:$1,2)),"")</f>
        <v>0</v>
      </c>
      <c r="P1156" s="10" cm="1">
        <f t="array" ref="P1156">IFERROR(INDEX(Sheet4!$2:$1605,MATCH(ChiTietKQKD[[#This Row],[Mã CP]],Sheet4!$B$2:$B$1605,0),_xlfn.XMATCH("*Tăng trưởng lợi nhuận sau thuế (YoY) (6M)*",Sheet4!$1:$1,2)),"")</f>
        <v>0</v>
      </c>
      <c r="Q1156" s="10" cm="1">
        <f t="array" ref="Q1156">IFERROR(INDEX(Sheet4!$2:$1605,MATCH(ChiTietKQKD[[#This Row],[Mã CP]],Sheet4!$B$2:$B$1605,0),_xlfn.XMATCH("*Tăng trưởng doanh thu thuần (QoQ)*",Sheet4!$1:$1,2)),"")</f>
        <v>0</v>
      </c>
      <c r="R1156" s="10" cm="1">
        <f t="array" ref="R1156">IFERROR(INDEX(Sheet4!$2:$1605,MATCH(ChiTietKQKD[[#This Row],[Mã CP]],Sheet4!$B$2:$B$1605,0),_xlfn.XMATCH("*Tăng trưởng lợi nhuận sau thuế (QoQ)*",Sheet4!$1:$1,2)),"")</f>
        <v>0</v>
      </c>
    </row>
    <row r="1157" spans="1:18" x14ac:dyDescent="0.25">
      <c r="A1157" s="7">
        <f>Sheet4!A1136</f>
        <v>1135</v>
      </c>
      <c r="B1157" t="str">
        <f>Sheet4!B1136</f>
        <v>L62</v>
      </c>
      <c r="C1157" t="str">
        <f>Sheet4!C1135</f>
        <v>LILAMA 69-1</v>
      </c>
      <c r="D1157" t="str">
        <f>Sheet4!D1136</f>
        <v>UPCoM</v>
      </c>
      <c r="E1157" s="7">
        <f>Sheet4!AH1136/1000000000</f>
        <v>24.0649047</v>
      </c>
      <c r="F1157" t="str">
        <f>Sheet4!E1136</f>
        <v>Công nghiệp</v>
      </c>
      <c r="G1157" t="str">
        <f>Sheet4!F1136</f>
        <v>Hàng &amp; Dịch vụ Công nghiệp</v>
      </c>
      <c r="H1157" t="str">
        <f>Sheet4!G1136</f>
        <v>Máy công nghiệp</v>
      </c>
      <c r="I1157" s="9" t="str" cm="1">
        <f t="array" ref="I115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57" s="9" t="str" cm="1">
        <f t="array" ref="J115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57" s="10" cm="1">
        <f t="array" ref="K115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57" s="10" cm="1">
        <f t="array" ref="L115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57" s="9" t="str" cm="1">
        <f t="array" ref="M115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57" s="9" t="str" cm="1">
        <f t="array" ref="N115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57" s="10" cm="1">
        <f t="array" ref="O1157">IFERROR(INDEX(Sheet4!$2:$1605,MATCH(ChiTietKQKD[[#This Row],[Mã CP]],Sheet4!$B$2:$B$1605,0),_xlfn.XMATCH("*Tăng trưởng lợi nhuận sau thuế (YoY) (Quý*",Sheet4!$1:$1,2)),"")</f>
        <v>0</v>
      </c>
      <c r="P1157" s="10" cm="1">
        <f t="array" ref="P1157">IFERROR(INDEX(Sheet4!$2:$1605,MATCH(ChiTietKQKD[[#This Row],[Mã CP]],Sheet4!$B$2:$B$1605,0),_xlfn.XMATCH("*Tăng trưởng lợi nhuận sau thuế (YoY) (6M)*",Sheet4!$1:$1,2)),"")</f>
        <v>0</v>
      </c>
      <c r="Q1157" s="10" cm="1">
        <f t="array" ref="Q1157">IFERROR(INDEX(Sheet4!$2:$1605,MATCH(ChiTietKQKD[[#This Row],[Mã CP]],Sheet4!$B$2:$B$1605,0),_xlfn.XMATCH("*Tăng trưởng doanh thu thuần (QoQ)*",Sheet4!$1:$1,2)),"")</f>
        <v>0</v>
      </c>
      <c r="R1157" s="10" cm="1">
        <f t="array" ref="R1157">IFERROR(INDEX(Sheet4!$2:$1605,MATCH(ChiTietKQKD[[#This Row],[Mã CP]],Sheet4!$B$2:$B$1605,0),_xlfn.XMATCH("*Tăng trưởng lợi nhuận sau thuế (QoQ)*",Sheet4!$1:$1,2)),"")</f>
        <v>0</v>
      </c>
    </row>
    <row r="1158" spans="1:18" x14ac:dyDescent="0.25">
      <c r="A1158" s="7">
        <f>Sheet4!A1137</f>
        <v>1136</v>
      </c>
      <c r="B1158" t="str">
        <f>Sheet4!B1137</f>
        <v>L63</v>
      </c>
      <c r="C1158" t="str">
        <f>Sheet4!C1136</f>
        <v>LILAMA 69.2</v>
      </c>
      <c r="D1158" t="str">
        <f>Sheet4!D1137</f>
        <v>UPCoM</v>
      </c>
      <c r="E1158" s="7">
        <f>Sheet4!AH1137/1000000000</f>
        <v>82.793610000000001</v>
      </c>
      <c r="F1158" t="str">
        <f>Sheet4!E1137</f>
        <v>Công nghiệp</v>
      </c>
      <c r="G1158" t="str">
        <f>Sheet4!F1137</f>
        <v>Hàng &amp; Dịch vụ Công nghiệp</v>
      </c>
      <c r="H1158" t="str">
        <f>Sheet4!G1137</f>
        <v>Máy công nghiệp</v>
      </c>
      <c r="I1158" s="9" t="str" cm="1">
        <f t="array" ref="I115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58" s="9" t="str" cm="1">
        <f t="array" ref="J115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58" s="10" cm="1">
        <f t="array" ref="K115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58" s="10" cm="1">
        <f t="array" ref="L115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58" s="9" t="str" cm="1">
        <f t="array" ref="M115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58" s="9" t="str" cm="1">
        <f t="array" ref="N115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58" s="10" cm="1">
        <f t="array" ref="O1158">IFERROR(INDEX(Sheet4!$2:$1605,MATCH(ChiTietKQKD[[#This Row],[Mã CP]],Sheet4!$B$2:$B$1605,0),_xlfn.XMATCH("*Tăng trưởng lợi nhuận sau thuế (YoY) (Quý*",Sheet4!$1:$1,2)),"")</f>
        <v>0</v>
      </c>
      <c r="P1158" s="10" cm="1">
        <f t="array" ref="P1158">IFERROR(INDEX(Sheet4!$2:$1605,MATCH(ChiTietKQKD[[#This Row],[Mã CP]],Sheet4!$B$2:$B$1605,0),_xlfn.XMATCH("*Tăng trưởng lợi nhuận sau thuế (YoY) (6M)*",Sheet4!$1:$1,2)),"")</f>
        <v>0</v>
      </c>
      <c r="Q1158" s="10" cm="1">
        <f t="array" ref="Q1158">IFERROR(INDEX(Sheet4!$2:$1605,MATCH(ChiTietKQKD[[#This Row],[Mã CP]],Sheet4!$B$2:$B$1605,0),_xlfn.XMATCH("*Tăng trưởng doanh thu thuần (QoQ)*",Sheet4!$1:$1,2)),"")</f>
        <v>0</v>
      </c>
      <c r="R1158" s="10" cm="1">
        <f t="array" ref="R1158">IFERROR(INDEX(Sheet4!$2:$1605,MATCH(ChiTietKQKD[[#This Row],[Mã CP]],Sheet4!$B$2:$B$1605,0),_xlfn.XMATCH("*Tăng trưởng lợi nhuận sau thuế (QoQ)*",Sheet4!$1:$1,2)),"")</f>
        <v>0</v>
      </c>
    </row>
    <row r="1159" spans="1:18" x14ac:dyDescent="0.25">
      <c r="A1159" s="7">
        <f>Sheet4!A1138</f>
        <v>1137</v>
      </c>
      <c r="B1159" t="str">
        <f>Sheet4!B1138</f>
        <v>LAI</v>
      </c>
      <c r="C1159" t="str">
        <f>Sheet4!C1137</f>
        <v>Lilama 69-3</v>
      </c>
      <c r="D1159" t="str">
        <f>Sheet4!D1138</f>
        <v>UPCoM</v>
      </c>
      <c r="E1159" s="7">
        <f>Sheet4!AH1138/1000000000</f>
        <v>283.668158592</v>
      </c>
      <c r="F1159" t="str">
        <f>Sheet4!E1138</f>
        <v>Công nghiệp</v>
      </c>
      <c r="G1159" t="str">
        <f>Sheet4!F1138</f>
        <v>Xây dựng và Vật liệu</v>
      </c>
      <c r="H1159" t="str">
        <f>Sheet4!G1138</f>
        <v>Xây dựng</v>
      </c>
      <c r="I1159" s="9" cm="1">
        <f t="array" ref="I115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45.152282886999998</v>
      </c>
      <c r="J1159" s="9" cm="1">
        <f t="array" ref="J115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84.044878436000005</v>
      </c>
      <c r="K1159" s="10" cm="1">
        <f t="array" ref="K115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-0.42659999999999998</v>
      </c>
      <c r="L1159" s="10" cm="1">
        <f t="array" ref="L115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-0.34949999999999998</v>
      </c>
      <c r="M1159" s="9" cm="1">
        <f t="array" ref="M1159">_xlfn.LET(_xlpm.val,IFERROR(INDEX(Sheet4!$2:$1605,MATCH(ChiTietKQKD[[#This Row],[Mã CP]],Sheet4!$B$2:$B$1605,0),_xlfn.XMATCH("*Lợi nhuận sau thuế*Q2*2026*",Sheet4!$1:$1,2)),0),IF(OR(_xlpm.val="",_xlpm.val=0),"",_xlpm.val/1000000000))</f>
        <v>1.9271600820000001</v>
      </c>
      <c r="N1159" s="9" cm="1">
        <f t="array" ref="N1159">_xlfn.LET(_xlpm.val,IFERROR(INDEX(Sheet4!$2:$1605,MATCH(ChiTietKQKD[[#This Row],[Mã CP]],Sheet4!$B$2:$B$1605,0),_xlfn.XMATCH("*Lợi nhuận sau thuế*6 tháng*2026*",Sheet4!$1:$1,2)),0),IF(OR(_xlpm.val="",_xlpm.val=0),"",_xlpm.val/1000000000))</f>
        <v>4.981639661</v>
      </c>
      <c r="O1159" s="10" cm="1">
        <f t="array" ref="O1159">IFERROR(INDEX(Sheet4!$2:$1605,MATCH(ChiTietKQKD[[#This Row],[Mã CP]],Sheet4!$B$2:$B$1605,0),_xlfn.XMATCH("*Tăng trưởng lợi nhuận sau thuế (YoY) (Quý*",Sheet4!$1:$1,2)),"")</f>
        <v>-0.89559999999999995</v>
      </c>
      <c r="P1159" s="10" cm="1">
        <f t="array" ref="P1159">IFERROR(INDEX(Sheet4!$2:$1605,MATCH(ChiTietKQKD[[#This Row],[Mã CP]],Sheet4!$B$2:$B$1605,0),_xlfn.XMATCH("*Tăng trưởng lợi nhuận sau thuế (YoY) (6M)*",Sheet4!$1:$1,2)),"")</f>
        <v>-0.82489999999999997</v>
      </c>
      <c r="Q1159" s="10" cm="1">
        <f t="array" ref="Q1159">IFERROR(INDEX(Sheet4!$2:$1605,MATCH(ChiTietKQKD[[#This Row],[Mã CP]],Sheet4!$B$2:$B$1605,0),_xlfn.XMATCH("*Tăng trưởng doanh thu thuần (QoQ)*",Sheet4!$1:$1,2)),"")</f>
        <v>0.16089999999999999</v>
      </c>
      <c r="R1159" s="10" cm="1">
        <f t="array" ref="R1159">IFERROR(INDEX(Sheet4!$2:$1605,MATCH(ChiTietKQKD[[#This Row],[Mã CP]],Sheet4!$B$2:$B$1605,0),_xlfn.XMATCH("*Tăng trưởng lợi nhuận sau thuế (QoQ)*",Sheet4!$1:$1,2)),"")</f>
        <v>-0.3674</v>
      </c>
    </row>
    <row r="1160" spans="1:18" x14ac:dyDescent="0.25">
      <c r="A1160" s="7">
        <f>Sheet4!A1139</f>
        <v>1138</v>
      </c>
      <c r="B1160" t="str">
        <f>Sheet4!B1139</f>
        <v>LAW</v>
      </c>
      <c r="C1160" t="str">
        <f>Sheet4!C1138</f>
        <v>XD Long An IDICO</v>
      </c>
      <c r="D1160" t="str">
        <f>Sheet4!D1139</f>
        <v>UPCoM</v>
      </c>
      <c r="E1160" s="7">
        <f>Sheet4!AH1139/1000000000</f>
        <v>302.56</v>
      </c>
      <c r="F1160" t="str">
        <f>Sheet4!E1139</f>
        <v>Tiện ích Cộng đồng</v>
      </c>
      <c r="G1160" t="str">
        <f>Sheet4!F1139</f>
        <v>Điện, nước &amp; xăng dầu khí đốt</v>
      </c>
      <c r="H1160" t="str">
        <f>Sheet4!G1139</f>
        <v>Nước</v>
      </c>
      <c r="I1160" s="9" cm="1">
        <f t="array" ref="I116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108.19939722399999</v>
      </c>
      <c r="J1160" s="9" cm="1">
        <f t="array" ref="J116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206.35934806500001</v>
      </c>
      <c r="K1160" s="10" cm="1">
        <f t="array" ref="K116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0.1384</v>
      </c>
      <c r="L1160" s="10" cm="1">
        <f t="array" ref="L116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0.1358</v>
      </c>
      <c r="M1160" s="9" cm="1">
        <f t="array" ref="M1160">_xlfn.LET(_xlpm.val,IFERROR(INDEX(Sheet4!$2:$1605,MATCH(ChiTietKQKD[[#This Row],[Mã CP]],Sheet4!$B$2:$B$1605,0),_xlfn.XMATCH("*Lợi nhuận sau thuế*Q2*2026*",Sheet4!$1:$1,2)),0),IF(OR(_xlpm.val="",_xlpm.val=0),"",_xlpm.val/1000000000))</f>
        <v>13.267076504</v>
      </c>
      <c r="N1160" s="9" cm="1">
        <f t="array" ref="N1160">_xlfn.LET(_xlpm.val,IFERROR(INDEX(Sheet4!$2:$1605,MATCH(ChiTietKQKD[[#This Row],[Mã CP]],Sheet4!$B$2:$B$1605,0),_xlfn.XMATCH("*Lợi nhuận sau thuế*6 tháng*2026*",Sheet4!$1:$1,2)),0),IF(OR(_xlpm.val="",_xlpm.val=0),"",_xlpm.val/1000000000))</f>
        <v>21.908442217000001</v>
      </c>
      <c r="O1160" s="10" cm="1">
        <f t="array" ref="O1160">IFERROR(INDEX(Sheet4!$2:$1605,MATCH(ChiTietKQKD[[#This Row],[Mã CP]],Sheet4!$B$2:$B$1605,0),_xlfn.XMATCH("*Tăng trưởng lợi nhuận sau thuế (YoY) (Quý*",Sheet4!$1:$1,2)),"")</f>
        <v>-0.1993</v>
      </c>
      <c r="P1160" s="10" cm="1">
        <f t="array" ref="P1160">IFERROR(INDEX(Sheet4!$2:$1605,MATCH(ChiTietKQKD[[#This Row],[Mã CP]],Sheet4!$B$2:$B$1605,0),_xlfn.XMATCH("*Tăng trưởng lợi nhuận sau thuế (YoY) (6M)*",Sheet4!$1:$1,2)),"")</f>
        <v>-1.2500000000000001E-2</v>
      </c>
      <c r="Q1160" s="10" cm="1">
        <f t="array" ref="Q1160">IFERROR(INDEX(Sheet4!$2:$1605,MATCH(ChiTietKQKD[[#This Row],[Mã CP]],Sheet4!$B$2:$B$1605,0),_xlfn.XMATCH("*Tăng trưởng doanh thu thuần (QoQ)*",Sheet4!$1:$1,2)),"")</f>
        <v>0.1023</v>
      </c>
      <c r="R1160" s="10" cm="1">
        <f t="array" ref="R1160">IFERROR(INDEX(Sheet4!$2:$1605,MATCH(ChiTietKQKD[[#This Row],[Mã CP]],Sheet4!$B$2:$B$1605,0),_xlfn.XMATCH("*Tăng trưởng lợi nhuận sau thuế (QoQ)*",Sheet4!$1:$1,2)),"")</f>
        <v>0.53620000000000001</v>
      </c>
    </row>
    <row r="1161" spans="1:18" x14ac:dyDescent="0.25">
      <c r="A1161" s="7">
        <f>Sheet4!A1140</f>
        <v>1139</v>
      </c>
      <c r="B1161" t="str">
        <f>Sheet4!B1140</f>
        <v>LCM</v>
      </c>
      <c r="C1161" t="str">
        <f>Sheet4!C1139</f>
        <v>Cấp thoát nước Long An</v>
      </c>
      <c r="D1161" t="str">
        <f>Sheet4!D1140</f>
        <v>UPCoM</v>
      </c>
      <c r="E1161" s="7">
        <f>Sheet4!AH1140/1000000000</f>
        <v>17.242966299999999</v>
      </c>
      <c r="F1161" t="str">
        <f>Sheet4!E1140</f>
        <v>Nguyên vật liệu</v>
      </c>
      <c r="G1161" t="str">
        <f>Sheet4!F1140</f>
        <v>Tài nguyên Cơ bản</v>
      </c>
      <c r="H1161" t="str">
        <f>Sheet4!G1140</f>
        <v>Khai khoáng</v>
      </c>
      <c r="I1161" s="9" t="str" cm="1">
        <f t="array" ref="I116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61" s="9" t="str" cm="1">
        <f t="array" ref="J116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61" s="10" cm="1">
        <f t="array" ref="K116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61" s="10" cm="1">
        <f t="array" ref="L116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61" s="9" t="str" cm="1">
        <f t="array" ref="M116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61" s="9" t="str" cm="1">
        <f t="array" ref="N116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61" s="10" cm="1">
        <f t="array" ref="O1161">IFERROR(INDEX(Sheet4!$2:$1605,MATCH(ChiTietKQKD[[#This Row],[Mã CP]],Sheet4!$B$2:$B$1605,0),_xlfn.XMATCH("*Tăng trưởng lợi nhuận sau thuế (YoY) (Quý*",Sheet4!$1:$1,2)),"")</f>
        <v>0</v>
      </c>
      <c r="P1161" s="10" cm="1">
        <f t="array" ref="P1161">IFERROR(INDEX(Sheet4!$2:$1605,MATCH(ChiTietKQKD[[#This Row],[Mã CP]],Sheet4!$B$2:$B$1605,0),_xlfn.XMATCH("*Tăng trưởng lợi nhuận sau thuế (YoY) (6M)*",Sheet4!$1:$1,2)),"")</f>
        <v>0</v>
      </c>
      <c r="Q1161" s="10" cm="1">
        <f t="array" ref="Q1161">IFERROR(INDEX(Sheet4!$2:$1605,MATCH(ChiTietKQKD[[#This Row],[Mã CP]],Sheet4!$B$2:$B$1605,0),_xlfn.XMATCH("*Tăng trưởng doanh thu thuần (QoQ)*",Sheet4!$1:$1,2)),"")</f>
        <v>0</v>
      </c>
      <c r="R1161" s="10" cm="1">
        <f t="array" ref="R1161">IFERROR(INDEX(Sheet4!$2:$1605,MATCH(ChiTietKQKD[[#This Row],[Mã CP]],Sheet4!$B$2:$B$1605,0),_xlfn.XMATCH("*Tăng trưởng lợi nhuận sau thuế (QoQ)*",Sheet4!$1:$1,2)),"")</f>
        <v>0</v>
      </c>
    </row>
    <row r="1162" spans="1:18" x14ac:dyDescent="0.25">
      <c r="A1162" s="7">
        <f>Sheet4!A1141</f>
        <v>1140</v>
      </c>
      <c r="B1162" t="str">
        <f>Sheet4!B1141</f>
        <v>LDW</v>
      </c>
      <c r="C1162" t="str">
        <f>Sheet4!C1140</f>
        <v>Khoáng sản Lào Cai</v>
      </c>
      <c r="D1162" t="str">
        <f>Sheet4!D1141</f>
        <v>UPCoM</v>
      </c>
      <c r="E1162" s="7">
        <f>Sheet4!AH1141/1000000000</f>
        <v>2159.12</v>
      </c>
      <c r="F1162" t="str">
        <f>Sheet4!E1141</f>
        <v>Tiện ích Cộng đồng</v>
      </c>
      <c r="G1162" t="str">
        <f>Sheet4!F1141</f>
        <v>Điện, nước &amp; xăng dầu khí đốt</v>
      </c>
      <c r="H1162" t="str">
        <f>Sheet4!G1141</f>
        <v>Nước</v>
      </c>
      <c r="I1162" s="9" cm="1">
        <f t="array" ref="I116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81.438315337000006</v>
      </c>
      <c r="J1162" s="9" cm="1">
        <f t="array" ref="J116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163.16116339300001</v>
      </c>
      <c r="K1162" s="10" cm="1">
        <f t="array" ref="K116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3.5999999999999999E-3</v>
      </c>
      <c r="L1162" s="10" cm="1">
        <f t="array" ref="L116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8.9999999999999993E-3</v>
      </c>
      <c r="M1162" s="9" cm="1">
        <f t="array" ref="M1162">_xlfn.LET(_xlpm.val,IFERROR(INDEX(Sheet4!$2:$1605,MATCH(ChiTietKQKD[[#This Row],[Mã CP]],Sheet4!$B$2:$B$1605,0),_xlfn.XMATCH("*Lợi nhuận sau thuế*Q2*2026*",Sheet4!$1:$1,2)),0),IF(OR(_xlpm.val="",_xlpm.val=0),"",_xlpm.val/1000000000))</f>
        <v>18.537914693000001</v>
      </c>
      <c r="N1162" s="9" cm="1">
        <f t="array" ref="N1162">_xlfn.LET(_xlpm.val,IFERROR(INDEX(Sheet4!$2:$1605,MATCH(ChiTietKQKD[[#This Row],[Mã CP]],Sheet4!$B$2:$B$1605,0),_xlfn.XMATCH("*Lợi nhuận sau thuế*6 tháng*2026*",Sheet4!$1:$1,2)),0),IF(OR(_xlpm.val="",_xlpm.val=0),"",_xlpm.val/1000000000))</f>
        <v>39.929244271000002</v>
      </c>
      <c r="O1162" s="10" cm="1">
        <f t="array" ref="O1162">IFERROR(INDEX(Sheet4!$2:$1605,MATCH(ChiTietKQKD[[#This Row],[Mã CP]],Sheet4!$B$2:$B$1605,0),_xlfn.XMATCH("*Tăng trưởng lợi nhuận sau thuế (YoY) (Quý*",Sheet4!$1:$1,2)),"")</f>
        <v>-6.5199999999999994E-2</v>
      </c>
      <c r="P1162" s="10" cm="1">
        <f t="array" ref="P1162">IFERROR(INDEX(Sheet4!$2:$1605,MATCH(ChiTietKQKD[[#This Row],[Mã CP]],Sheet4!$B$2:$B$1605,0),_xlfn.XMATCH("*Tăng trưởng lợi nhuận sau thuế (YoY) (6M)*",Sheet4!$1:$1,2)),"")</f>
        <v>-4.3799999999999999E-2</v>
      </c>
      <c r="Q1162" s="10" cm="1">
        <f t="array" ref="Q1162">IFERROR(INDEX(Sheet4!$2:$1605,MATCH(ChiTietKQKD[[#This Row],[Mã CP]],Sheet4!$B$2:$B$1605,0),_xlfn.XMATCH("*Tăng trưởng doanh thu thuần (QoQ)*",Sheet4!$1:$1,2)),"")</f>
        <v>-3.5000000000000001E-3</v>
      </c>
      <c r="R1162" s="10" cm="1">
        <f t="array" ref="R1162">IFERROR(INDEX(Sheet4!$2:$1605,MATCH(ChiTietKQKD[[#This Row],[Mã CP]],Sheet4!$B$2:$B$1605,0),_xlfn.XMATCH("*Tăng trưởng lợi nhuận sau thuế (QoQ)*",Sheet4!$1:$1,2)),"")</f>
        <v>-0.13339999999999999</v>
      </c>
    </row>
    <row r="1163" spans="1:18" x14ac:dyDescent="0.25">
      <c r="A1163" s="7">
        <f>Sheet4!A1142</f>
        <v>1141</v>
      </c>
      <c r="B1163" t="str">
        <f>Sheet4!B1142</f>
        <v>LEC</v>
      </c>
      <c r="C1163" t="str">
        <f>Sheet4!C1141</f>
        <v>Cấp thoát nước Lâm Đồng</v>
      </c>
      <c r="D1163" t="str">
        <f>Sheet4!D1142</f>
        <v>UPCoM</v>
      </c>
      <c r="E1163" s="7">
        <f>Sheet4!AH1142/1000000000</f>
        <v>117.45</v>
      </c>
      <c r="F1163" t="str">
        <f>Sheet4!E1142</f>
        <v>Tài chính</v>
      </c>
      <c r="G1163" t="str">
        <f>Sheet4!F1142</f>
        <v>Bất động sản</v>
      </c>
      <c r="H1163" t="str">
        <f>Sheet4!G1142</f>
        <v>Bất động sản</v>
      </c>
      <c r="I1163" s="9" t="str" cm="1">
        <f t="array" ref="I116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63" s="9" t="str" cm="1">
        <f t="array" ref="J116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63" s="10" cm="1">
        <f t="array" ref="K116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63" s="10" cm="1">
        <f t="array" ref="L116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63" s="9" t="str" cm="1">
        <f t="array" ref="M116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63" s="9" t="str" cm="1">
        <f t="array" ref="N116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63" s="10" cm="1">
        <f t="array" ref="O1163">IFERROR(INDEX(Sheet4!$2:$1605,MATCH(ChiTietKQKD[[#This Row],[Mã CP]],Sheet4!$B$2:$B$1605,0),_xlfn.XMATCH("*Tăng trưởng lợi nhuận sau thuế (YoY) (Quý*",Sheet4!$1:$1,2)),"")</f>
        <v>0</v>
      </c>
      <c r="P1163" s="10" cm="1">
        <f t="array" ref="P1163">IFERROR(INDEX(Sheet4!$2:$1605,MATCH(ChiTietKQKD[[#This Row],[Mã CP]],Sheet4!$B$2:$B$1605,0),_xlfn.XMATCH("*Tăng trưởng lợi nhuận sau thuế (YoY) (6M)*",Sheet4!$1:$1,2)),"")</f>
        <v>0</v>
      </c>
      <c r="Q1163" s="10" cm="1">
        <f t="array" ref="Q1163">IFERROR(INDEX(Sheet4!$2:$1605,MATCH(ChiTietKQKD[[#This Row],[Mã CP]],Sheet4!$B$2:$B$1605,0),_xlfn.XMATCH("*Tăng trưởng doanh thu thuần (QoQ)*",Sheet4!$1:$1,2)),"")</f>
        <v>0</v>
      </c>
      <c r="R1163" s="10" cm="1">
        <f t="array" ref="R1163">IFERROR(INDEX(Sheet4!$2:$1605,MATCH(ChiTietKQKD[[#This Row],[Mã CP]],Sheet4!$B$2:$B$1605,0),_xlfn.XMATCH("*Tăng trưởng lợi nhuận sau thuế (QoQ)*",Sheet4!$1:$1,2)),"")</f>
        <v>0</v>
      </c>
    </row>
    <row r="1164" spans="1:18" x14ac:dyDescent="0.25">
      <c r="A1164" s="7">
        <f>Sheet4!A1143</f>
        <v>1142</v>
      </c>
      <c r="B1164" t="str">
        <f>Sheet4!B1143</f>
        <v>LG9</v>
      </c>
      <c r="C1164" t="str">
        <f>Sheet4!C1142</f>
        <v>BĐS Điện lực Miền Trung</v>
      </c>
      <c r="D1164" t="str">
        <f>Sheet4!D1143</f>
        <v>UPCoM</v>
      </c>
      <c r="E1164" s="7">
        <f>Sheet4!AH1143/1000000000</f>
        <v>16.587779999999999</v>
      </c>
      <c r="F1164" t="str">
        <f>Sheet4!E1143</f>
        <v>Công nghiệp</v>
      </c>
      <c r="G1164" t="str">
        <f>Sheet4!F1143</f>
        <v>Xây dựng và Vật liệu</v>
      </c>
      <c r="H1164" t="str">
        <f>Sheet4!G1143</f>
        <v>Xây dựng</v>
      </c>
      <c r="I1164" s="9" t="str" cm="1">
        <f t="array" ref="I116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64" s="9" t="str" cm="1">
        <f t="array" ref="J116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64" s="10" cm="1">
        <f t="array" ref="K116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64" s="10" cm="1">
        <f t="array" ref="L116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64" s="9" t="str" cm="1">
        <f t="array" ref="M116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64" s="9" t="str" cm="1">
        <f t="array" ref="N116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64" s="10" cm="1">
        <f t="array" ref="O1164">IFERROR(INDEX(Sheet4!$2:$1605,MATCH(ChiTietKQKD[[#This Row],[Mã CP]],Sheet4!$B$2:$B$1605,0),_xlfn.XMATCH("*Tăng trưởng lợi nhuận sau thuế (YoY) (Quý*",Sheet4!$1:$1,2)),"")</f>
        <v>0</v>
      </c>
      <c r="P1164" s="10" cm="1">
        <f t="array" ref="P1164">IFERROR(INDEX(Sheet4!$2:$1605,MATCH(ChiTietKQKD[[#This Row],[Mã CP]],Sheet4!$B$2:$B$1605,0),_xlfn.XMATCH("*Tăng trưởng lợi nhuận sau thuế (YoY) (6M)*",Sheet4!$1:$1,2)),"")</f>
        <v>0</v>
      </c>
      <c r="Q1164" s="10" cm="1">
        <f t="array" ref="Q1164">IFERROR(INDEX(Sheet4!$2:$1605,MATCH(ChiTietKQKD[[#This Row],[Mã CP]],Sheet4!$B$2:$B$1605,0),_xlfn.XMATCH("*Tăng trưởng doanh thu thuần (QoQ)*",Sheet4!$1:$1,2)),"")</f>
        <v>0</v>
      </c>
      <c r="R1164" s="10" cm="1">
        <f t="array" ref="R1164">IFERROR(INDEX(Sheet4!$2:$1605,MATCH(ChiTietKQKD[[#This Row],[Mã CP]],Sheet4!$B$2:$B$1605,0),_xlfn.XMATCH("*Tăng trưởng lợi nhuận sau thuế (QoQ)*",Sheet4!$1:$1,2)),"")</f>
        <v>0</v>
      </c>
    </row>
    <row r="1165" spans="1:18" x14ac:dyDescent="0.25">
      <c r="A1165" s="7">
        <f>Sheet4!A1144</f>
        <v>1143</v>
      </c>
      <c r="B1165" t="str">
        <f>Sheet4!B1144</f>
        <v>LIC</v>
      </c>
      <c r="C1165" t="str">
        <f>Sheet4!C1143</f>
        <v>Cơ giới và XL số 9 (Licogi 9)</v>
      </c>
      <c r="D1165" t="str">
        <f>Sheet4!D1144</f>
        <v>UPCoM</v>
      </c>
      <c r="E1165" s="7">
        <f>Sheet4!AH1144/1000000000</f>
        <v>2610</v>
      </c>
      <c r="F1165" t="str">
        <f>Sheet4!E1144</f>
        <v>Công nghiệp</v>
      </c>
      <c r="G1165" t="str">
        <f>Sheet4!F1144</f>
        <v>Xây dựng và Vật liệu</v>
      </c>
      <c r="H1165" t="str">
        <f>Sheet4!G1144</f>
        <v>Vật liệu xây dựng &amp; Nội thất</v>
      </c>
      <c r="I1165" s="9" t="str" cm="1">
        <f t="array" ref="I116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65" s="9" t="str" cm="1">
        <f t="array" ref="J116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65" s="10" cm="1">
        <f t="array" ref="K116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65" s="10" cm="1">
        <f t="array" ref="L116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65" s="9" t="str" cm="1">
        <f t="array" ref="M116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65" s="9" t="str" cm="1">
        <f t="array" ref="N116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65" s="10" cm="1">
        <f t="array" ref="O1165">IFERROR(INDEX(Sheet4!$2:$1605,MATCH(ChiTietKQKD[[#This Row],[Mã CP]],Sheet4!$B$2:$B$1605,0),_xlfn.XMATCH("*Tăng trưởng lợi nhuận sau thuế (YoY) (Quý*",Sheet4!$1:$1,2)),"")</f>
        <v>0</v>
      </c>
      <c r="P1165" s="10" cm="1">
        <f t="array" ref="P1165">IFERROR(INDEX(Sheet4!$2:$1605,MATCH(ChiTietKQKD[[#This Row],[Mã CP]],Sheet4!$B$2:$B$1605,0),_xlfn.XMATCH("*Tăng trưởng lợi nhuận sau thuế (YoY) (6M)*",Sheet4!$1:$1,2)),"")</f>
        <v>0</v>
      </c>
      <c r="Q1165" s="10" cm="1">
        <f t="array" ref="Q1165">IFERROR(INDEX(Sheet4!$2:$1605,MATCH(ChiTietKQKD[[#This Row],[Mã CP]],Sheet4!$B$2:$B$1605,0),_xlfn.XMATCH("*Tăng trưởng doanh thu thuần (QoQ)*",Sheet4!$1:$1,2)),"")</f>
        <v>0</v>
      </c>
      <c r="R1165" s="10" cm="1">
        <f t="array" ref="R1165">IFERROR(INDEX(Sheet4!$2:$1605,MATCH(ChiTietKQKD[[#This Row],[Mã CP]],Sheet4!$B$2:$B$1605,0),_xlfn.XMATCH("*Tăng trưởng lợi nhuận sau thuế (QoQ)*",Sheet4!$1:$1,2)),"")</f>
        <v>0</v>
      </c>
    </row>
    <row r="1166" spans="1:18" x14ac:dyDescent="0.25">
      <c r="A1166" s="7">
        <f>Sheet4!A1145</f>
        <v>1144</v>
      </c>
      <c r="B1166" t="str">
        <f>Sheet4!B1145</f>
        <v>LKW</v>
      </c>
      <c r="C1166" t="str">
        <f>Sheet4!C1144</f>
        <v>LICOGI</v>
      </c>
      <c r="D1166" t="str">
        <f>Sheet4!D1145</f>
        <v>UPCoM</v>
      </c>
      <c r="E1166" s="7">
        <f>Sheet4!AH1145/1000000000</f>
        <v>87.5</v>
      </c>
      <c r="F1166" t="str">
        <f>Sheet4!E1145</f>
        <v>Tiện ích Cộng đồng</v>
      </c>
      <c r="G1166" t="str">
        <f>Sheet4!F1145</f>
        <v>Điện, nước &amp; xăng dầu khí đốt</v>
      </c>
      <c r="H1166" t="str">
        <f>Sheet4!G1145</f>
        <v>Nước</v>
      </c>
      <c r="I1166" s="9" t="str" cm="1">
        <f t="array" ref="I116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66" s="9" t="str" cm="1">
        <f t="array" ref="J116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66" s="10" cm="1">
        <f t="array" ref="K116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66" s="10" cm="1">
        <f t="array" ref="L116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66" s="9" t="str" cm="1">
        <f t="array" ref="M116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66" s="9" t="str" cm="1">
        <f t="array" ref="N116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66" s="10" cm="1">
        <f t="array" ref="O1166">IFERROR(INDEX(Sheet4!$2:$1605,MATCH(ChiTietKQKD[[#This Row],[Mã CP]],Sheet4!$B$2:$B$1605,0),_xlfn.XMATCH("*Tăng trưởng lợi nhuận sau thuế (YoY) (Quý*",Sheet4!$1:$1,2)),"")</f>
        <v>0</v>
      </c>
      <c r="P1166" s="10" cm="1">
        <f t="array" ref="P1166">IFERROR(INDEX(Sheet4!$2:$1605,MATCH(ChiTietKQKD[[#This Row],[Mã CP]],Sheet4!$B$2:$B$1605,0),_xlfn.XMATCH("*Tăng trưởng lợi nhuận sau thuế (YoY) (6M)*",Sheet4!$1:$1,2)),"")</f>
        <v>0</v>
      </c>
      <c r="Q1166" s="10" cm="1">
        <f t="array" ref="Q1166">IFERROR(INDEX(Sheet4!$2:$1605,MATCH(ChiTietKQKD[[#This Row],[Mã CP]],Sheet4!$B$2:$B$1605,0),_xlfn.XMATCH("*Tăng trưởng doanh thu thuần (QoQ)*",Sheet4!$1:$1,2)),"")</f>
        <v>0</v>
      </c>
      <c r="R1166" s="10" cm="1">
        <f t="array" ref="R1166">IFERROR(INDEX(Sheet4!$2:$1605,MATCH(ChiTietKQKD[[#This Row],[Mã CP]],Sheet4!$B$2:$B$1605,0),_xlfn.XMATCH("*Tăng trưởng lợi nhuận sau thuế (QoQ)*",Sheet4!$1:$1,2)),"")</f>
        <v>0</v>
      </c>
    </row>
    <row r="1167" spans="1:18" x14ac:dyDescent="0.25">
      <c r="A1167" s="7">
        <f>Sheet4!A1146</f>
        <v>1145</v>
      </c>
      <c r="B1167" t="str">
        <f>Sheet4!B1146</f>
        <v>LLM</v>
      </c>
      <c r="C1167" t="str">
        <f>Sheet4!C1145</f>
        <v>Cấp nước Long Khánh</v>
      </c>
      <c r="D1167" t="str">
        <f>Sheet4!D1146</f>
        <v>UPCoM</v>
      </c>
      <c r="E1167" s="7">
        <f>Sheet4!AH1146/1000000000</f>
        <v>1506.3450089759999</v>
      </c>
      <c r="F1167" t="str">
        <f>Sheet4!E1146</f>
        <v>Công nghiệp</v>
      </c>
      <c r="G1167" t="str">
        <f>Sheet4!F1146</f>
        <v>Hàng &amp; Dịch vụ Công nghiệp</v>
      </c>
      <c r="H1167" t="str">
        <f>Sheet4!G1146</f>
        <v>Máy công nghiệp</v>
      </c>
      <c r="I1167" s="9" t="str" cm="1">
        <f t="array" ref="I116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67" s="9" t="str" cm="1">
        <f t="array" ref="J116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67" s="10" cm="1">
        <f t="array" ref="K116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67" s="10" cm="1">
        <f t="array" ref="L116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67" s="9" t="str" cm="1">
        <f t="array" ref="M116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67" s="9" t="str" cm="1">
        <f t="array" ref="N116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67" s="10" cm="1">
        <f t="array" ref="O1167">IFERROR(INDEX(Sheet4!$2:$1605,MATCH(ChiTietKQKD[[#This Row],[Mã CP]],Sheet4!$B$2:$B$1605,0),_xlfn.XMATCH("*Tăng trưởng lợi nhuận sau thuế (YoY) (Quý*",Sheet4!$1:$1,2)),"")</f>
        <v>0</v>
      </c>
      <c r="P1167" s="10" cm="1">
        <f t="array" ref="P1167">IFERROR(INDEX(Sheet4!$2:$1605,MATCH(ChiTietKQKD[[#This Row],[Mã CP]],Sheet4!$B$2:$B$1605,0),_xlfn.XMATCH("*Tăng trưởng lợi nhuận sau thuế (YoY) (6M)*",Sheet4!$1:$1,2)),"")</f>
        <v>0</v>
      </c>
      <c r="Q1167" s="10" cm="1">
        <f t="array" ref="Q1167">IFERROR(INDEX(Sheet4!$2:$1605,MATCH(ChiTietKQKD[[#This Row],[Mã CP]],Sheet4!$B$2:$B$1605,0),_xlfn.XMATCH("*Tăng trưởng doanh thu thuần (QoQ)*",Sheet4!$1:$1,2)),"")</f>
        <v>0</v>
      </c>
      <c r="R1167" s="10" cm="1">
        <f t="array" ref="R1167">IFERROR(INDEX(Sheet4!$2:$1605,MATCH(ChiTietKQKD[[#This Row],[Mã CP]],Sheet4!$B$2:$B$1605,0),_xlfn.XMATCH("*Tăng trưởng lợi nhuận sau thuế (QoQ)*",Sheet4!$1:$1,2)),"")</f>
        <v>0</v>
      </c>
    </row>
    <row r="1168" spans="1:18" x14ac:dyDescent="0.25">
      <c r="A1168" s="7">
        <f>Sheet4!A1147</f>
        <v>1146</v>
      </c>
      <c r="B1168" t="str">
        <f>Sheet4!B1147</f>
        <v>LM3</v>
      </c>
      <c r="C1168" t="str">
        <f>Sheet4!C1146</f>
        <v>LILAMA</v>
      </c>
      <c r="D1168" t="str">
        <f>Sheet4!D1147</f>
        <v>UPCoM</v>
      </c>
      <c r="E1168" s="7">
        <f>Sheet4!AH1147/1000000000</f>
        <v>8.24</v>
      </c>
      <c r="F1168" t="str">
        <f>Sheet4!E1147</f>
        <v>Công nghiệp</v>
      </c>
      <c r="G1168" t="str">
        <f>Sheet4!F1147</f>
        <v>Xây dựng và Vật liệu</v>
      </c>
      <c r="H1168" t="str">
        <f>Sheet4!G1147</f>
        <v>Xây dựng</v>
      </c>
      <c r="I1168" s="9" t="str" cm="1">
        <f t="array" ref="I116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68" s="9" t="str" cm="1">
        <f t="array" ref="J116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68" s="10" cm="1">
        <f t="array" ref="K116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68" s="10" cm="1">
        <f t="array" ref="L116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68" s="9" t="str" cm="1">
        <f t="array" ref="M116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68" s="9" t="str" cm="1">
        <f t="array" ref="N116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68" s="10" cm="1">
        <f t="array" ref="O1168">IFERROR(INDEX(Sheet4!$2:$1605,MATCH(ChiTietKQKD[[#This Row],[Mã CP]],Sheet4!$B$2:$B$1605,0),_xlfn.XMATCH("*Tăng trưởng lợi nhuận sau thuế (YoY) (Quý*",Sheet4!$1:$1,2)),"")</f>
        <v>0</v>
      </c>
      <c r="P1168" s="10" cm="1">
        <f t="array" ref="P1168">IFERROR(INDEX(Sheet4!$2:$1605,MATCH(ChiTietKQKD[[#This Row],[Mã CP]],Sheet4!$B$2:$B$1605,0),_xlfn.XMATCH("*Tăng trưởng lợi nhuận sau thuế (YoY) (6M)*",Sheet4!$1:$1,2)),"")</f>
        <v>0</v>
      </c>
      <c r="Q1168" s="10" cm="1">
        <f t="array" ref="Q1168">IFERROR(INDEX(Sheet4!$2:$1605,MATCH(ChiTietKQKD[[#This Row],[Mã CP]],Sheet4!$B$2:$B$1605,0),_xlfn.XMATCH("*Tăng trưởng doanh thu thuần (QoQ)*",Sheet4!$1:$1,2)),"")</f>
        <v>0</v>
      </c>
      <c r="R1168" s="10" cm="1">
        <f t="array" ref="R1168">IFERROR(INDEX(Sheet4!$2:$1605,MATCH(ChiTietKQKD[[#This Row],[Mã CP]],Sheet4!$B$2:$B$1605,0),_xlfn.XMATCH("*Tăng trưởng lợi nhuận sau thuế (QoQ)*",Sheet4!$1:$1,2)),"")</f>
        <v>0</v>
      </c>
    </row>
    <row r="1169" spans="1:18" x14ac:dyDescent="0.25">
      <c r="A1169" s="7">
        <f>Sheet4!A1148</f>
        <v>1147</v>
      </c>
      <c r="B1169" t="str">
        <f>Sheet4!B1148</f>
        <v>LM7</v>
      </c>
      <c r="C1169" t="str">
        <f>Sheet4!C1147</f>
        <v>Lilama 3</v>
      </c>
      <c r="D1169" t="str">
        <f>Sheet4!D1148</f>
        <v>UPCoM</v>
      </c>
      <c r="E1169" s="7">
        <f>Sheet4!AH1148/1000000000</f>
        <v>8.5</v>
      </c>
      <c r="F1169" t="str">
        <f>Sheet4!E1148</f>
        <v>Công nghiệp</v>
      </c>
      <c r="G1169" t="str">
        <f>Sheet4!F1148</f>
        <v>Hàng &amp; Dịch vụ Công nghiệp</v>
      </c>
      <c r="H1169" t="str">
        <f>Sheet4!G1148</f>
        <v>Máy công nghiệp</v>
      </c>
      <c r="I1169" s="9" t="str" cm="1">
        <f t="array" ref="I116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69" s="9" t="str" cm="1">
        <f t="array" ref="J116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69" s="10" cm="1">
        <f t="array" ref="K116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69" s="10" cm="1">
        <f t="array" ref="L116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69" s="9" t="str" cm="1">
        <f t="array" ref="M116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69" s="9" t="str" cm="1">
        <f t="array" ref="N116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69" s="10" cm="1">
        <f t="array" ref="O1169">IFERROR(INDEX(Sheet4!$2:$1605,MATCH(ChiTietKQKD[[#This Row],[Mã CP]],Sheet4!$B$2:$B$1605,0),_xlfn.XMATCH("*Tăng trưởng lợi nhuận sau thuế (YoY) (Quý*",Sheet4!$1:$1,2)),"")</f>
        <v>0</v>
      </c>
      <c r="P1169" s="10" cm="1">
        <f t="array" ref="P1169">IFERROR(INDEX(Sheet4!$2:$1605,MATCH(ChiTietKQKD[[#This Row],[Mã CP]],Sheet4!$B$2:$B$1605,0),_xlfn.XMATCH("*Tăng trưởng lợi nhuận sau thuế (YoY) (6M)*",Sheet4!$1:$1,2)),"")</f>
        <v>0</v>
      </c>
      <c r="Q1169" s="10" cm="1">
        <f t="array" ref="Q1169">IFERROR(INDEX(Sheet4!$2:$1605,MATCH(ChiTietKQKD[[#This Row],[Mã CP]],Sheet4!$B$2:$B$1605,0),_xlfn.XMATCH("*Tăng trưởng doanh thu thuần (QoQ)*",Sheet4!$1:$1,2)),"")</f>
        <v>0</v>
      </c>
      <c r="R1169" s="10" cm="1">
        <f t="array" ref="R1169">IFERROR(INDEX(Sheet4!$2:$1605,MATCH(ChiTietKQKD[[#This Row],[Mã CP]],Sheet4!$B$2:$B$1605,0),_xlfn.XMATCH("*Tăng trưởng lợi nhuận sau thuế (QoQ)*",Sheet4!$1:$1,2)),"")</f>
        <v>0</v>
      </c>
    </row>
    <row r="1170" spans="1:18" x14ac:dyDescent="0.25">
      <c r="A1170" s="7">
        <f>Sheet4!A1149</f>
        <v>1148</v>
      </c>
      <c r="B1170" t="str">
        <f>Sheet4!B1149</f>
        <v>LMC</v>
      </c>
      <c r="C1170" t="str">
        <f>Sheet4!C1148</f>
        <v>LILAMA 7</v>
      </c>
      <c r="D1170" t="str">
        <f>Sheet4!D1149</f>
        <v>UPCoM</v>
      </c>
      <c r="E1170" s="7">
        <f>Sheet4!AH1149/1000000000</f>
        <v>6.9314999999999998</v>
      </c>
      <c r="F1170" t="str">
        <f>Sheet4!E1149</f>
        <v>Nguyên vật liệu</v>
      </c>
      <c r="G1170" t="str">
        <f>Sheet4!F1149</f>
        <v>Tài nguyên Cơ bản</v>
      </c>
      <c r="H1170" t="str">
        <f>Sheet4!G1149</f>
        <v>Khai khoáng</v>
      </c>
      <c r="I1170" s="9" t="str" cm="1">
        <f t="array" ref="I117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70" s="9" t="str" cm="1">
        <f t="array" ref="J117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70" s="10" cm="1">
        <f t="array" ref="K117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70" s="10" cm="1">
        <f t="array" ref="L117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70" s="9" t="str" cm="1">
        <f t="array" ref="M117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70" s="9" t="str" cm="1">
        <f t="array" ref="N117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70" s="10" cm="1">
        <f t="array" ref="O1170">IFERROR(INDEX(Sheet4!$2:$1605,MATCH(ChiTietKQKD[[#This Row],[Mã CP]],Sheet4!$B$2:$B$1605,0),_xlfn.XMATCH("*Tăng trưởng lợi nhuận sau thuế (YoY) (Quý*",Sheet4!$1:$1,2)),"")</f>
        <v>0</v>
      </c>
      <c r="P1170" s="10" cm="1">
        <f t="array" ref="P1170">IFERROR(INDEX(Sheet4!$2:$1605,MATCH(ChiTietKQKD[[#This Row],[Mã CP]],Sheet4!$B$2:$B$1605,0),_xlfn.XMATCH("*Tăng trưởng lợi nhuận sau thuế (YoY) (6M)*",Sheet4!$1:$1,2)),"")</f>
        <v>0</v>
      </c>
      <c r="Q1170" s="10" cm="1">
        <f t="array" ref="Q1170">IFERROR(INDEX(Sheet4!$2:$1605,MATCH(ChiTietKQKD[[#This Row],[Mã CP]],Sheet4!$B$2:$B$1605,0),_xlfn.XMATCH("*Tăng trưởng doanh thu thuần (QoQ)*",Sheet4!$1:$1,2)),"")</f>
        <v>0</v>
      </c>
      <c r="R1170" s="10" cm="1">
        <f t="array" ref="R1170">IFERROR(INDEX(Sheet4!$2:$1605,MATCH(ChiTietKQKD[[#This Row],[Mã CP]],Sheet4!$B$2:$B$1605,0),_xlfn.XMATCH("*Tăng trưởng lợi nhuận sau thuế (QoQ)*",Sheet4!$1:$1,2)),"")</f>
        <v>0</v>
      </c>
    </row>
    <row r="1171" spans="1:18" x14ac:dyDescent="0.25">
      <c r="A1171" s="7">
        <f>Sheet4!A1150</f>
        <v>1149</v>
      </c>
      <c r="B1171" t="str">
        <f>Sheet4!B1150</f>
        <v>LMH</v>
      </c>
      <c r="C1171" t="str">
        <f>Sheet4!C1149</f>
        <v>LUMI Holdings</v>
      </c>
      <c r="D1171" t="str">
        <f>Sheet4!D1150</f>
        <v>UPCoM</v>
      </c>
      <c r="E1171" s="7">
        <f>Sheet4!AH1150/1000000000</f>
        <v>25.629995000000001</v>
      </c>
      <c r="F1171" t="str">
        <f>Sheet4!E1150</f>
        <v>Tài chính</v>
      </c>
      <c r="G1171" t="str">
        <f>Sheet4!F1150</f>
        <v>Bất động sản</v>
      </c>
      <c r="H1171" t="str">
        <f>Sheet4!G1150</f>
        <v>Bất động sản</v>
      </c>
      <c r="I1171" s="9" t="str" cm="1">
        <f t="array" ref="I117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71" s="9" t="str" cm="1">
        <f t="array" ref="J117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71" s="10" cm="1">
        <f t="array" ref="K117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71" s="10" cm="1">
        <f t="array" ref="L117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71" s="9" t="str" cm="1">
        <f t="array" ref="M117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71" s="9" t="str" cm="1">
        <f t="array" ref="N117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71" s="10" cm="1">
        <f t="array" ref="O1171">IFERROR(INDEX(Sheet4!$2:$1605,MATCH(ChiTietKQKD[[#This Row],[Mã CP]],Sheet4!$B$2:$B$1605,0),_xlfn.XMATCH("*Tăng trưởng lợi nhuận sau thuế (YoY) (Quý*",Sheet4!$1:$1,2)),"")</f>
        <v>0</v>
      </c>
      <c r="P1171" s="10" cm="1">
        <f t="array" ref="P1171">IFERROR(INDEX(Sheet4!$2:$1605,MATCH(ChiTietKQKD[[#This Row],[Mã CP]],Sheet4!$B$2:$B$1605,0),_xlfn.XMATCH("*Tăng trưởng lợi nhuận sau thuế (YoY) (6M)*",Sheet4!$1:$1,2)),"")</f>
        <v>0</v>
      </c>
      <c r="Q1171" s="10" cm="1">
        <f t="array" ref="Q1171">IFERROR(INDEX(Sheet4!$2:$1605,MATCH(ChiTietKQKD[[#This Row],[Mã CP]],Sheet4!$B$2:$B$1605,0),_xlfn.XMATCH("*Tăng trưởng doanh thu thuần (QoQ)*",Sheet4!$1:$1,2)),"")</f>
        <v>0</v>
      </c>
      <c r="R1171" s="10" cm="1">
        <f t="array" ref="R1171">IFERROR(INDEX(Sheet4!$2:$1605,MATCH(ChiTietKQKD[[#This Row],[Mã CP]],Sheet4!$B$2:$B$1605,0),_xlfn.XMATCH("*Tăng trưởng lợi nhuận sau thuế (QoQ)*",Sheet4!$1:$1,2)),"")</f>
        <v>0</v>
      </c>
    </row>
    <row r="1172" spans="1:18" x14ac:dyDescent="0.25">
      <c r="A1172" s="7">
        <f>Sheet4!A1151</f>
        <v>1150</v>
      </c>
      <c r="B1172" t="str">
        <f>Sheet4!B1151</f>
        <v>LMI</v>
      </c>
      <c r="C1172" t="str">
        <f>Sheet4!C1150</f>
        <v>CTCP Quốc Tế Holding</v>
      </c>
      <c r="D1172" t="str">
        <f>Sheet4!D1151</f>
        <v>UPCoM</v>
      </c>
      <c r="E1172" s="7">
        <f>Sheet4!AH1151/1000000000</f>
        <v>44.231000000000002</v>
      </c>
      <c r="F1172" t="str">
        <f>Sheet4!E1151</f>
        <v>Công nghiệp</v>
      </c>
      <c r="G1172" t="str">
        <f>Sheet4!F1151</f>
        <v>Hàng &amp; Dịch vụ Công nghiệp</v>
      </c>
      <c r="H1172" t="str">
        <f>Sheet4!G1151</f>
        <v>Máy công nghiệp</v>
      </c>
      <c r="I1172" s="9" t="str" cm="1">
        <f t="array" ref="I117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72" s="9" t="str" cm="1">
        <f t="array" ref="J117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72" s="10" cm="1">
        <f t="array" ref="K117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72" s="10" cm="1">
        <f t="array" ref="L117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72" s="9" t="str" cm="1">
        <f t="array" ref="M117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72" s="9" t="str" cm="1">
        <f t="array" ref="N117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72" s="10" cm="1">
        <f t="array" ref="O1172">IFERROR(INDEX(Sheet4!$2:$1605,MATCH(ChiTietKQKD[[#This Row],[Mã CP]],Sheet4!$B$2:$B$1605,0),_xlfn.XMATCH("*Tăng trưởng lợi nhuận sau thuế (YoY) (Quý*",Sheet4!$1:$1,2)),"")</f>
        <v>0</v>
      </c>
      <c r="P1172" s="10" cm="1">
        <f t="array" ref="P1172">IFERROR(INDEX(Sheet4!$2:$1605,MATCH(ChiTietKQKD[[#This Row],[Mã CP]],Sheet4!$B$2:$B$1605,0),_xlfn.XMATCH("*Tăng trưởng lợi nhuận sau thuế (YoY) (6M)*",Sheet4!$1:$1,2)),"")</f>
        <v>0</v>
      </c>
      <c r="Q1172" s="10" cm="1">
        <f t="array" ref="Q1172">IFERROR(INDEX(Sheet4!$2:$1605,MATCH(ChiTietKQKD[[#This Row],[Mã CP]],Sheet4!$B$2:$B$1605,0),_xlfn.XMATCH("*Tăng trưởng doanh thu thuần (QoQ)*",Sheet4!$1:$1,2)),"")</f>
        <v>0</v>
      </c>
      <c r="R1172" s="10" cm="1">
        <f t="array" ref="R1172">IFERROR(INDEX(Sheet4!$2:$1605,MATCH(ChiTietKQKD[[#This Row],[Mã CP]],Sheet4!$B$2:$B$1605,0),_xlfn.XMATCH("*Tăng trưởng lợi nhuận sau thuế (QoQ)*",Sheet4!$1:$1,2)),"")</f>
        <v>0</v>
      </c>
    </row>
    <row r="1173" spans="1:18" x14ac:dyDescent="0.25">
      <c r="A1173" s="7">
        <f>Sheet4!A1152</f>
        <v>1151</v>
      </c>
      <c r="B1173" t="str">
        <f>Sheet4!B1152</f>
        <v>LNC</v>
      </c>
      <c r="C1173" t="str">
        <f>Sheet4!C1151</f>
        <v>Lắp máy IDICO</v>
      </c>
      <c r="D1173" t="str">
        <f>Sheet4!D1152</f>
        <v>UPCoM</v>
      </c>
      <c r="E1173" s="7">
        <f>Sheet4!AH1152/1000000000</f>
        <v>42.796348399999999</v>
      </c>
      <c r="F1173" t="str">
        <f>Sheet4!E1152</f>
        <v>Nguyên vật liệu</v>
      </c>
      <c r="G1173" t="str">
        <f>Sheet4!F1152</f>
        <v>Hóa chất</v>
      </c>
      <c r="H1173" t="str">
        <f>Sheet4!G1152</f>
        <v>Nhựa, cao su &amp; sợi</v>
      </c>
      <c r="I1173" s="9" t="str" cm="1">
        <f t="array" ref="I117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73" s="9" t="str" cm="1">
        <f t="array" ref="J117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73" s="10" cm="1">
        <f t="array" ref="K117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73" s="10" cm="1">
        <f t="array" ref="L117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73" s="9" t="str" cm="1">
        <f t="array" ref="M117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73" s="9" t="str" cm="1">
        <f t="array" ref="N117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73" s="10" cm="1">
        <f t="array" ref="O1173">IFERROR(INDEX(Sheet4!$2:$1605,MATCH(ChiTietKQKD[[#This Row],[Mã CP]],Sheet4!$B$2:$B$1605,0),_xlfn.XMATCH("*Tăng trưởng lợi nhuận sau thuế (YoY) (Quý*",Sheet4!$1:$1,2)),"")</f>
        <v>0</v>
      </c>
      <c r="P1173" s="10" cm="1">
        <f t="array" ref="P1173">IFERROR(INDEX(Sheet4!$2:$1605,MATCH(ChiTietKQKD[[#This Row],[Mã CP]],Sheet4!$B$2:$B$1605,0),_xlfn.XMATCH("*Tăng trưởng lợi nhuận sau thuế (YoY) (6M)*",Sheet4!$1:$1,2)),"")</f>
        <v>0</v>
      </c>
      <c r="Q1173" s="10" cm="1">
        <f t="array" ref="Q1173">IFERROR(INDEX(Sheet4!$2:$1605,MATCH(ChiTietKQKD[[#This Row],[Mã CP]],Sheet4!$B$2:$B$1605,0),_xlfn.XMATCH("*Tăng trưởng doanh thu thuần (QoQ)*",Sheet4!$1:$1,2)),"")</f>
        <v>0</v>
      </c>
      <c r="R1173" s="10" cm="1">
        <f t="array" ref="R1173">IFERROR(INDEX(Sheet4!$2:$1605,MATCH(ChiTietKQKD[[#This Row],[Mã CP]],Sheet4!$B$2:$B$1605,0),_xlfn.XMATCH("*Tăng trưởng lợi nhuận sau thuế (QoQ)*",Sheet4!$1:$1,2)),"")</f>
        <v>0</v>
      </c>
    </row>
    <row r="1174" spans="1:18" x14ac:dyDescent="0.25">
      <c r="A1174" s="7">
        <f>Sheet4!A1153</f>
        <v>1152</v>
      </c>
      <c r="B1174" t="str">
        <f>Sheet4!B1153</f>
        <v>LO5</v>
      </c>
      <c r="C1174" t="str">
        <f>Sheet4!C1152</f>
        <v>Lệ Ninh - Quảng Bình</v>
      </c>
      <c r="D1174" t="str">
        <f>Sheet4!D1153</f>
        <v>UPCoM</v>
      </c>
      <c r="E1174" s="7">
        <f>Sheet4!AH1153/1000000000</f>
        <v>2.0599164000000001</v>
      </c>
      <c r="F1174" t="str">
        <f>Sheet4!E1153</f>
        <v>Công nghiệp</v>
      </c>
      <c r="G1174" t="str">
        <f>Sheet4!F1153</f>
        <v>Hàng &amp; Dịch vụ Công nghiệp</v>
      </c>
      <c r="H1174" t="str">
        <f>Sheet4!G1153</f>
        <v>Máy công nghiệp</v>
      </c>
      <c r="I1174" s="9" t="str" cm="1">
        <f t="array" ref="I117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74" s="9" t="str" cm="1">
        <f t="array" ref="J117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74" s="10" cm="1">
        <f t="array" ref="K117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74" s="10" cm="1">
        <f t="array" ref="L117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74" s="9" t="str" cm="1">
        <f t="array" ref="M117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74" s="9" t="str" cm="1">
        <f t="array" ref="N117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74" s="10" cm="1">
        <f t="array" ref="O1174">IFERROR(INDEX(Sheet4!$2:$1605,MATCH(ChiTietKQKD[[#This Row],[Mã CP]],Sheet4!$B$2:$B$1605,0),_xlfn.XMATCH("*Tăng trưởng lợi nhuận sau thuế (YoY) (Quý*",Sheet4!$1:$1,2)),"")</f>
        <v>0</v>
      </c>
      <c r="P1174" s="10" cm="1">
        <f t="array" ref="P1174">IFERROR(INDEX(Sheet4!$2:$1605,MATCH(ChiTietKQKD[[#This Row],[Mã CP]],Sheet4!$B$2:$B$1605,0),_xlfn.XMATCH("*Tăng trưởng lợi nhuận sau thuế (YoY) (6M)*",Sheet4!$1:$1,2)),"")</f>
        <v>0</v>
      </c>
      <c r="Q1174" s="10" cm="1">
        <f t="array" ref="Q1174">IFERROR(INDEX(Sheet4!$2:$1605,MATCH(ChiTietKQKD[[#This Row],[Mã CP]],Sheet4!$B$2:$B$1605,0),_xlfn.XMATCH("*Tăng trưởng doanh thu thuần (QoQ)*",Sheet4!$1:$1,2)),"")</f>
        <v>0</v>
      </c>
      <c r="R1174" s="10" cm="1">
        <f t="array" ref="R1174">IFERROR(INDEX(Sheet4!$2:$1605,MATCH(ChiTietKQKD[[#This Row],[Mã CP]],Sheet4!$B$2:$B$1605,0),_xlfn.XMATCH("*Tăng trưởng lợi nhuận sau thuế (QoQ)*",Sheet4!$1:$1,2)),"")</f>
        <v>0</v>
      </c>
    </row>
    <row r="1175" spans="1:18" x14ac:dyDescent="0.25">
      <c r="A1175" s="7">
        <f>Sheet4!A1154</f>
        <v>1153</v>
      </c>
      <c r="B1175" t="str">
        <f>Sheet4!B1154</f>
        <v>LPT</v>
      </c>
      <c r="C1175" t="str">
        <f>Sheet4!C1153</f>
        <v>LILAMA 5</v>
      </c>
      <c r="D1175" t="str">
        <f>Sheet4!D1154</f>
        <v>UPCoM</v>
      </c>
      <c r="E1175" s="7">
        <f>Sheet4!AH1154/1000000000</f>
        <v>89.316000000000003</v>
      </c>
      <c r="F1175" t="str">
        <f>Sheet4!E1154</f>
        <v>Công nghiệp</v>
      </c>
      <c r="G1175" t="str">
        <f>Sheet4!F1154</f>
        <v>Hàng &amp; Dịch vụ Công nghiệp</v>
      </c>
      <c r="H1175" t="str">
        <f>Sheet4!G1154</f>
        <v>Đào tạo &amp; Việc làm</v>
      </c>
      <c r="I1175" s="9" t="str" cm="1">
        <f t="array" ref="I117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75" s="9" t="str" cm="1">
        <f t="array" ref="J117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75" s="10" cm="1">
        <f t="array" ref="K117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75" s="10" cm="1">
        <f t="array" ref="L117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75" s="9" t="str" cm="1">
        <f t="array" ref="M117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75" s="9" t="str" cm="1">
        <f t="array" ref="N117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75" s="10" cm="1">
        <f t="array" ref="O1175">IFERROR(INDEX(Sheet4!$2:$1605,MATCH(ChiTietKQKD[[#This Row],[Mã CP]],Sheet4!$B$2:$B$1605,0),_xlfn.XMATCH("*Tăng trưởng lợi nhuận sau thuế (YoY) (Quý*",Sheet4!$1:$1,2)),"")</f>
        <v>0</v>
      </c>
      <c r="P1175" s="10" cm="1">
        <f t="array" ref="P1175">IFERROR(INDEX(Sheet4!$2:$1605,MATCH(ChiTietKQKD[[#This Row],[Mã CP]],Sheet4!$B$2:$B$1605,0),_xlfn.XMATCH("*Tăng trưởng lợi nhuận sau thuế (YoY) (6M)*",Sheet4!$1:$1,2)),"")</f>
        <v>0</v>
      </c>
      <c r="Q1175" s="10" cm="1">
        <f t="array" ref="Q1175">IFERROR(INDEX(Sheet4!$2:$1605,MATCH(ChiTietKQKD[[#This Row],[Mã CP]],Sheet4!$B$2:$B$1605,0),_xlfn.XMATCH("*Tăng trưởng doanh thu thuần (QoQ)*",Sheet4!$1:$1,2)),"")</f>
        <v>0</v>
      </c>
      <c r="R1175" s="10" cm="1">
        <f t="array" ref="R1175">IFERROR(INDEX(Sheet4!$2:$1605,MATCH(ChiTietKQKD[[#This Row],[Mã CP]],Sheet4!$B$2:$B$1605,0),_xlfn.XMATCH("*Tăng trưởng lợi nhuận sau thuế (QoQ)*",Sheet4!$1:$1,2)),"")</f>
        <v>0</v>
      </c>
    </row>
    <row r="1176" spans="1:18" x14ac:dyDescent="0.25">
      <c r="A1176" s="7">
        <f>Sheet4!A1155</f>
        <v>1154</v>
      </c>
      <c r="B1176" t="str">
        <f>Sheet4!B1155</f>
        <v>LQN</v>
      </c>
      <c r="C1176" t="str">
        <f>Sheet4!C1154</f>
        <v>TM và SX Lập Phương Thành</v>
      </c>
      <c r="D1176" t="str">
        <f>Sheet4!D1155</f>
        <v>UPCoM</v>
      </c>
      <c r="E1176" s="7">
        <f>Sheet4!AH1155/1000000000</f>
        <v>4.1650400000000003</v>
      </c>
      <c r="F1176" t="str">
        <f>Sheet4!E1155</f>
        <v>Công nghiệp</v>
      </c>
      <c r="G1176" t="str">
        <f>Sheet4!F1155</f>
        <v>Xây dựng và Vật liệu</v>
      </c>
      <c r="H1176" t="str">
        <f>Sheet4!G1155</f>
        <v>Xây dựng</v>
      </c>
      <c r="I1176" s="9" t="str" cm="1">
        <f t="array" ref="I117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76" s="9" t="str" cm="1">
        <f t="array" ref="J117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76" s="10" cm="1">
        <f t="array" ref="K117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76" s="10" cm="1">
        <f t="array" ref="L117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76" s="9" t="str" cm="1">
        <f t="array" ref="M117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76" s="9" t="str" cm="1">
        <f t="array" ref="N117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76" s="10" cm="1">
        <f t="array" ref="O1176">IFERROR(INDEX(Sheet4!$2:$1605,MATCH(ChiTietKQKD[[#This Row],[Mã CP]],Sheet4!$B$2:$B$1605,0),_xlfn.XMATCH("*Tăng trưởng lợi nhuận sau thuế (YoY) (Quý*",Sheet4!$1:$1,2)),"")</f>
        <v>0</v>
      </c>
      <c r="P1176" s="10" cm="1">
        <f t="array" ref="P1176">IFERROR(INDEX(Sheet4!$2:$1605,MATCH(ChiTietKQKD[[#This Row],[Mã CP]],Sheet4!$B$2:$B$1605,0),_xlfn.XMATCH("*Tăng trưởng lợi nhuận sau thuế (YoY) (6M)*",Sheet4!$1:$1,2)),"")</f>
        <v>0</v>
      </c>
      <c r="Q1176" s="10" cm="1">
        <f t="array" ref="Q1176">IFERROR(INDEX(Sheet4!$2:$1605,MATCH(ChiTietKQKD[[#This Row],[Mã CP]],Sheet4!$B$2:$B$1605,0),_xlfn.XMATCH("*Tăng trưởng doanh thu thuần (QoQ)*",Sheet4!$1:$1,2)),"")</f>
        <v>0</v>
      </c>
      <c r="R1176" s="10" cm="1">
        <f t="array" ref="R1176">IFERROR(INDEX(Sheet4!$2:$1605,MATCH(ChiTietKQKD[[#This Row],[Mã CP]],Sheet4!$B$2:$B$1605,0),_xlfn.XMATCH("*Tăng trưởng lợi nhuận sau thuế (QoQ)*",Sheet4!$1:$1,2)),"")</f>
        <v>0</v>
      </c>
    </row>
    <row r="1177" spans="1:18" x14ac:dyDescent="0.25">
      <c r="A1177" s="7">
        <f>Sheet4!A1156</f>
        <v>1155</v>
      </c>
      <c r="B1177" t="str">
        <f>Sheet4!B1156</f>
        <v>LSG</v>
      </c>
      <c r="C1177" t="str">
        <f>Sheet4!C1155</f>
        <v>Licogi Quảng Ngãi</v>
      </c>
      <c r="D1177" t="str">
        <f>Sheet4!D1156</f>
        <v>UPCoM</v>
      </c>
      <c r="E1177" s="7">
        <f>Sheet4!AH1156/1000000000</f>
        <v>2998.98</v>
      </c>
      <c r="F1177" t="str">
        <f>Sheet4!E1156</f>
        <v>Tài chính</v>
      </c>
      <c r="G1177" t="str">
        <f>Sheet4!F1156</f>
        <v>Bất động sản</v>
      </c>
      <c r="H1177" t="str">
        <f>Sheet4!G1156</f>
        <v>Bất động sản</v>
      </c>
      <c r="I1177" s="9" t="str" cm="1">
        <f t="array" ref="I117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77" s="9" t="str" cm="1">
        <f t="array" ref="J117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77" s="10" cm="1">
        <f t="array" ref="K117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77" s="10" cm="1">
        <f t="array" ref="L117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77" s="9" t="str" cm="1">
        <f t="array" ref="M117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77" s="9" t="str" cm="1">
        <f t="array" ref="N117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77" s="10" cm="1">
        <f t="array" ref="O1177">IFERROR(INDEX(Sheet4!$2:$1605,MATCH(ChiTietKQKD[[#This Row],[Mã CP]],Sheet4!$B$2:$B$1605,0),_xlfn.XMATCH("*Tăng trưởng lợi nhuận sau thuế (YoY) (Quý*",Sheet4!$1:$1,2)),"")</f>
        <v>0</v>
      </c>
      <c r="P1177" s="10" cm="1">
        <f t="array" ref="P1177">IFERROR(INDEX(Sheet4!$2:$1605,MATCH(ChiTietKQKD[[#This Row],[Mã CP]],Sheet4!$B$2:$B$1605,0),_xlfn.XMATCH("*Tăng trưởng lợi nhuận sau thuế (YoY) (6M)*",Sheet4!$1:$1,2)),"")</f>
        <v>0</v>
      </c>
      <c r="Q1177" s="10" cm="1">
        <f t="array" ref="Q1177">IFERROR(INDEX(Sheet4!$2:$1605,MATCH(ChiTietKQKD[[#This Row],[Mã CP]],Sheet4!$B$2:$B$1605,0),_xlfn.XMATCH("*Tăng trưởng doanh thu thuần (QoQ)*",Sheet4!$1:$1,2)),"")</f>
        <v>0</v>
      </c>
      <c r="R1177" s="10" cm="1">
        <f t="array" ref="R1177">IFERROR(INDEX(Sheet4!$2:$1605,MATCH(ChiTietKQKD[[#This Row],[Mã CP]],Sheet4!$B$2:$B$1605,0),_xlfn.XMATCH("*Tăng trưởng lợi nhuận sau thuế (QoQ)*",Sheet4!$1:$1,2)),"")</f>
        <v>0</v>
      </c>
    </row>
    <row r="1178" spans="1:18" x14ac:dyDescent="0.25">
      <c r="A1178" s="7">
        <f>Sheet4!A1157</f>
        <v>1156</v>
      </c>
      <c r="B1178" t="str">
        <f>Sheet4!B1157</f>
        <v>LTC</v>
      </c>
      <c r="C1178" t="str">
        <f>Sheet4!C1156</f>
        <v>BĐS Sài Gòn Vina</v>
      </c>
      <c r="D1178" t="str">
        <f>Sheet4!D1157</f>
        <v>UPCoM</v>
      </c>
      <c r="E1178" s="7">
        <f>Sheet4!AH1157/1000000000</f>
        <v>6.4203999999999999</v>
      </c>
      <c r="F1178" t="str">
        <f>Sheet4!E1157</f>
        <v>Công nghệ Thông tin</v>
      </c>
      <c r="G1178" t="str">
        <f>Sheet4!F1157</f>
        <v>Công nghệ Thông tin</v>
      </c>
      <c r="H1178" t="str">
        <f>Sheet4!G1157</f>
        <v>Phần cứng</v>
      </c>
      <c r="I1178" s="9" t="str" cm="1">
        <f t="array" ref="I117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78" s="9" t="str" cm="1">
        <f t="array" ref="J117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78" s="10" cm="1">
        <f t="array" ref="K117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78" s="10" cm="1">
        <f t="array" ref="L117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78" s="9" t="str" cm="1">
        <f t="array" ref="M117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78" s="9" t="str" cm="1">
        <f t="array" ref="N117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78" s="10" cm="1">
        <f t="array" ref="O1178">IFERROR(INDEX(Sheet4!$2:$1605,MATCH(ChiTietKQKD[[#This Row],[Mã CP]],Sheet4!$B$2:$B$1605,0),_xlfn.XMATCH("*Tăng trưởng lợi nhuận sau thuế (YoY) (Quý*",Sheet4!$1:$1,2)),"")</f>
        <v>0</v>
      </c>
      <c r="P1178" s="10" cm="1">
        <f t="array" ref="P1178">IFERROR(INDEX(Sheet4!$2:$1605,MATCH(ChiTietKQKD[[#This Row],[Mã CP]],Sheet4!$B$2:$B$1605,0),_xlfn.XMATCH("*Tăng trưởng lợi nhuận sau thuế (YoY) (6M)*",Sheet4!$1:$1,2)),"")</f>
        <v>0</v>
      </c>
      <c r="Q1178" s="10" cm="1">
        <f t="array" ref="Q1178">IFERROR(INDEX(Sheet4!$2:$1605,MATCH(ChiTietKQKD[[#This Row],[Mã CP]],Sheet4!$B$2:$B$1605,0),_xlfn.XMATCH("*Tăng trưởng doanh thu thuần (QoQ)*",Sheet4!$1:$1,2)),"")</f>
        <v>0</v>
      </c>
      <c r="R1178" s="10" cm="1">
        <f t="array" ref="R1178">IFERROR(INDEX(Sheet4!$2:$1605,MATCH(ChiTietKQKD[[#This Row],[Mã CP]],Sheet4!$B$2:$B$1605,0),_xlfn.XMATCH("*Tăng trưởng lợi nhuận sau thuế (QoQ)*",Sheet4!$1:$1,2)),"")</f>
        <v>0</v>
      </c>
    </row>
    <row r="1179" spans="1:18" x14ac:dyDescent="0.25">
      <c r="A1179" s="7">
        <f>Sheet4!A1158</f>
        <v>1157</v>
      </c>
      <c r="B1179" t="str">
        <f>Sheet4!B1158</f>
        <v>LTG</v>
      </c>
      <c r="C1179" t="str">
        <f>Sheet4!C1157</f>
        <v>Điện nhẹ Viễn thông</v>
      </c>
      <c r="D1179" t="str">
        <f>Sheet4!D1158</f>
        <v>UPCoM</v>
      </c>
      <c r="E1179" s="7">
        <f>Sheet4!AH1158/1000000000</f>
        <v>533.92976450000003</v>
      </c>
      <c r="F1179" t="str">
        <f>Sheet4!E1158</f>
        <v>Hàng Tiêu dùng</v>
      </c>
      <c r="G1179" t="str">
        <f>Sheet4!F1158</f>
        <v>Thực phẩm và đồ uống</v>
      </c>
      <c r="H1179" t="str">
        <f>Sheet4!G1158</f>
        <v>Nuôi trồng nông &amp; hải sản</v>
      </c>
      <c r="I1179" s="9" t="str" cm="1">
        <f t="array" ref="I117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79" s="9" t="str" cm="1">
        <f t="array" ref="J117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79" s="10" cm="1">
        <f t="array" ref="K117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79" s="10" cm="1">
        <f t="array" ref="L117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79" s="9" t="str" cm="1">
        <f t="array" ref="M117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79" s="9" t="str" cm="1">
        <f t="array" ref="N117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79" s="10" cm="1">
        <f t="array" ref="O1179">IFERROR(INDEX(Sheet4!$2:$1605,MATCH(ChiTietKQKD[[#This Row],[Mã CP]],Sheet4!$B$2:$B$1605,0),_xlfn.XMATCH("*Tăng trưởng lợi nhuận sau thuế (YoY) (Quý*",Sheet4!$1:$1,2)),"")</f>
        <v>0</v>
      </c>
      <c r="P1179" s="10" cm="1">
        <f t="array" ref="P1179">IFERROR(INDEX(Sheet4!$2:$1605,MATCH(ChiTietKQKD[[#This Row],[Mã CP]],Sheet4!$B$2:$B$1605,0),_xlfn.XMATCH("*Tăng trưởng lợi nhuận sau thuế (YoY) (6M)*",Sheet4!$1:$1,2)),"")</f>
        <v>0</v>
      </c>
      <c r="Q1179" s="10" cm="1">
        <f t="array" ref="Q1179">IFERROR(INDEX(Sheet4!$2:$1605,MATCH(ChiTietKQKD[[#This Row],[Mã CP]],Sheet4!$B$2:$B$1605,0),_xlfn.XMATCH("*Tăng trưởng doanh thu thuần (QoQ)*",Sheet4!$1:$1,2)),"")</f>
        <v>0</v>
      </c>
      <c r="R1179" s="10" cm="1">
        <f t="array" ref="R1179">IFERROR(INDEX(Sheet4!$2:$1605,MATCH(ChiTietKQKD[[#This Row],[Mã CP]],Sheet4!$B$2:$B$1605,0),_xlfn.XMATCH("*Tăng trưởng lợi nhuận sau thuế (QoQ)*",Sheet4!$1:$1,2)),"")</f>
        <v>0</v>
      </c>
    </row>
    <row r="1180" spans="1:18" x14ac:dyDescent="0.25">
      <c r="A1180" s="7">
        <f>Sheet4!A1159</f>
        <v>1158</v>
      </c>
      <c r="B1180" t="str">
        <f>Sheet4!B1159</f>
        <v>LTQ</v>
      </c>
      <c r="C1180" t="str">
        <f>Sheet4!C1158</f>
        <v>Tập đoàn Lộc Trời (BVTV An Giang)</v>
      </c>
      <c r="D1180" t="str">
        <f>Sheet4!D1159</f>
        <v>UPCoM</v>
      </c>
      <c r="E1180" s="7">
        <f>Sheet4!AH1159/1000000000</f>
        <v>0</v>
      </c>
      <c r="F1180" t="str">
        <f>Sheet4!E1159</f>
        <v>Nguyên vật liệu</v>
      </c>
      <c r="G1180" t="str">
        <f>Sheet4!F1159</f>
        <v>Tài nguyên Cơ bản</v>
      </c>
      <c r="H1180" t="str">
        <f>Sheet4!G1159</f>
        <v>Lâm sản và Chế biến gỗ</v>
      </c>
      <c r="I1180" s="9" t="str" cm="1">
        <f t="array" ref="I118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80" s="9" t="str" cm="1">
        <f t="array" ref="J118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80" s="10" cm="1">
        <f t="array" ref="K118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80" s="10" cm="1">
        <f t="array" ref="L118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80" s="9" t="str" cm="1">
        <f t="array" ref="M118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80" s="9" t="str" cm="1">
        <f t="array" ref="N118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80" s="10" cm="1">
        <f t="array" ref="O1180">IFERROR(INDEX(Sheet4!$2:$1605,MATCH(ChiTietKQKD[[#This Row],[Mã CP]],Sheet4!$B$2:$B$1605,0),_xlfn.XMATCH("*Tăng trưởng lợi nhuận sau thuế (YoY) (Quý*",Sheet4!$1:$1,2)),"")</f>
        <v>0</v>
      </c>
      <c r="P1180" s="10" cm="1">
        <f t="array" ref="P1180">IFERROR(INDEX(Sheet4!$2:$1605,MATCH(ChiTietKQKD[[#This Row],[Mã CP]],Sheet4!$B$2:$B$1605,0),_xlfn.XMATCH("*Tăng trưởng lợi nhuận sau thuế (YoY) (6M)*",Sheet4!$1:$1,2)),"")</f>
        <v>0</v>
      </c>
      <c r="Q1180" s="10" cm="1">
        <f t="array" ref="Q1180">IFERROR(INDEX(Sheet4!$2:$1605,MATCH(ChiTietKQKD[[#This Row],[Mã CP]],Sheet4!$B$2:$B$1605,0),_xlfn.XMATCH("*Tăng trưởng doanh thu thuần (QoQ)*",Sheet4!$1:$1,2)),"")</f>
        <v>0</v>
      </c>
      <c r="R1180" s="10" cm="1">
        <f t="array" ref="R1180">IFERROR(INDEX(Sheet4!$2:$1605,MATCH(ChiTietKQKD[[#This Row],[Mã CP]],Sheet4!$B$2:$B$1605,0),_xlfn.XMATCH("*Tăng trưởng lợi nhuận sau thuế (QoQ)*",Sheet4!$1:$1,2)),"")</f>
        <v>0</v>
      </c>
    </row>
    <row r="1181" spans="1:18" x14ac:dyDescent="0.25">
      <c r="A1181" s="7">
        <f>Sheet4!A1160</f>
        <v>1159</v>
      </c>
      <c r="B1181" t="str">
        <f>Sheet4!B1160</f>
        <v>LUT</v>
      </c>
      <c r="C1181" t="str">
        <f>Sheet4!C1159</f>
        <v>Lâm nghiệp Nguyễn Văn Trỗi</v>
      </c>
      <c r="D1181" t="str">
        <f>Sheet4!D1160</f>
        <v>UPCoM</v>
      </c>
      <c r="E1181" s="7">
        <f>Sheet4!AH1160/1000000000</f>
        <v>7.48</v>
      </c>
      <c r="F1181" t="str">
        <f>Sheet4!E1160</f>
        <v>Công nghiệp</v>
      </c>
      <c r="G1181" t="str">
        <f>Sheet4!F1160</f>
        <v>Xây dựng và Vật liệu</v>
      </c>
      <c r="H1181" t="str">
        <f>Sheet4!G1160</f>
        <v>Xây dựng</v>
      </c>
      <c r="I1181" s="9" t="str" cm="1">
        <f t="array" ref="I118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81" s="9" t="str" cm="1">
        <f t="array" ref="J118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81" s="10" cm="1">
        <f t="array" ref="K118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81" s="10" cm="1">
        <f t="array" ref="L118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81" s="9" t="str" cm="1">
        <f t="array" ref="M118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81" s="9" t="str" cm="1">
        <f t="array" ref="N118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81" s="10" cm="1">
        <f t="array" ref="O1181">IFERROR(INDEX(Sheet4!$2:$1605,MATCH(ChiTietKQKD[[#This Row],[Mã CP]],Sheet4!$B$2:$B$1605,0),_xlfn.XMATCH("*Tăng trưởng lợi nhuận sau thuế (YoY) (Quý*",Sheet4!$1:$1,2)),"")</f>
        <v>0</v>
      </c>
      <c r="P1181" s="10" cm="1">
        <f t="array" ref="P1181">IFERROR(INDEX(Sheet4!$2:$1605,MATCH(ChiTietKQKD[[#This Row],[Mã CP]],Sheet4!$B$2:$B$1605,0),_xlfn.XMATCH("*Tăng trưởng lợi nhuận sau thuế (YoY) (6M)*",Sheet4!$1:$1,2)),"")</f>
        <v>0</v>
      </c>
      <c r="Q1181" s="10" cm="1">
        <f t="array" ref="Q1181">IFERROR(INDEX(Sheet4!$2:$1605,MATCH(ChiTietKQKD[[#This Row],[Mã CP]],Sheet4!$B$2:$B$1605,0),_xlfn.XMATCH("*Tăng trưởng doanh thu thuần (QoQ)*",Sheet4!$1:$1,2)),"")</f>
        <v>0</v>
      </c>
      <c r="R1181" s="10" cm="1">
        <f t="array" ref="R1181">IFERROR(INDEX(Sheet4!$2:$1605,MATCH(ChiTietKQKD[[#This Row],[Mã CP]],Sheet4!$B$2:$B$1605,0),_xlfn.XMATCH("*Tăng trưởng lợi nhuận sau thuế (QoQ)*",Sheet4!$1:$1,2)),"")</f>
        <v>0</v>
      </c>
    </row>
    <row r="1182" spans="1:18" x14ac:dyDescent="0.25">
      <c r="A1182" s="7">
        <f>Sheet4!A1161</f>
        <v>1160</v>
      </c>
      <c r="B1182" t="str">
        <f>Sheet4!B1161</f>
        <v>M10</v>
      </c>
      <c r="C1182" t="str">
        <f>Sheet4!C1160</f>
        <v>Đầu tư Xây dựng Lương Tài</v>
      </c>
      <c r="D1182" t="str">
        <f>Sheet4!D1161</f>
        <v>UPCoM</v>
      </c>
      <c r="E1182" s="7">
        <f>Sheet4!AH1161/1000000000</f>
        <v>664.44807081199997</v>
      </c>
      <c r="F1182" t="str">
        <f>Sheet4!E1161</f>
        <v>Hàng Tiêu dùng</v>
      </c>
      <c r="G1182" t="str">
        <f>Sheet4!F1161</f>
        <v>Hàng cá nhân &amp; Gia dụng</v>
      </c>
      <c r="H1182" t="str">
        <f>Sheet4!G1161</f>
        <v>Hàng May mặc</v>
      </c>
      <c r="I1182" s="9" t="str" cm="1">
        <f t="array" ref="I118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82" s="9" t="str" cm="1">
        <f t="array" ref="J118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82" s="10" cm="1">
        <f t="array" ref="K118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82" s="10" cm="1">
        <f t="array" ref="L118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82" s="9" t="str" cm="1">
        <f t="array" ref="M118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82" s="9" t="str" cm="1">
        <f t="array" ref="N118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82" s="10" cm="1">
        <f t="array" ref="O1182">IFERROR(INDEX(Sheet4!$2:$1605,MATCH(ChiTietKQKD[[#This Row],[Mã CP]],Sheet4!$B$2:$B$1605,0),_xlfn.XMATCH("*Tăng trưởng lợi nhuận sau thuế (YoY) (Quý*",Sheet4!$1:$1,2)),"")</f>
        <v>0</v>
      </c>
      <c r="P1182" s="10" cm="1">
        <f t="array" ref="P1182">IFERROR(INDEX(Sheet4!$2:$1605,MATCH(ChiTietKQKD[[#This Row],[Mã CP]],Sheet4!$B$2:$B$1605,0),_xlfn.XMATCH("*Tăng trưởng lợi nhuận sau thuế (YoY) (6M)*",Sheet4!$1:$1,2)),"")</f>
        <v>0</v>
      </c>
      <c r="Q1182" s="10" cm="1">
        <f t="array" ref="Q1182">IFERROR(INDEX(Sheet4!$2:$1605,MATCH(ChiTietKQKD[[#This Row],[Mã CP]],Sheet4!$B$2:$B$1605,0),_xlfn.XMATCH("*Tăng trưởng doanh thu thuần (QoQ)*",Sheet4!$1:$1,2)),"")</f>
        <v>0</v>
      </c>
      <c r="R1182" s="10" cm="1">
        <f t="array" ref="R1182">IFERROR(INDEX(Sheet4!$2:$1605,MATCH(ChiTietKQKD[[#This Row],[Mã CP]],Sheet4!$B$2:$B$1605,0),_xlfn.XMATCH("*Tăng trưởng lợi nhuận sau thuế (QoQ)*",Sheet4!$1:$1,2)),"")</f>
        <v>0</v>
      </c>
    </row>
    <row r="1183" spans="1:18" x14ac:dyDescent="0.25">
      <c r="A1183" s="7">
        <f>Sheet4!A1162</f>
        <v>1161</v>
      </c>
      <c r="B1183" t="str">
        <f>Sheet4!B1162</f>
        <v>MA1</v>
      </c>
      <c r="C1183" t="str">
        <f>Sheet4!C1161</f>
        <v>Tổng công ty May 10</v>
      </c>
      <c r="D1183" t="str">
        <f>Sheet4!D1162</f>
        <v>UPCoM</v>
      </c>
      <c r="E1183" s="7">
        <f>Sheet4!AH1162/1000000000</f>
        <v>330.6578968</v>
      </c>
      <c r="F1183" t="str">
        <f>Sheet4!E1162</f>
        <v>Tài chính</v>
      </c>
      <c r="G1183" t="str">
        <f>Sheet4!F1162</f>
        <v>Bất động sản</v>
      </c>
      <c r="H1183" t="str">
        <f>Sheet4!G1162</f>
        <v>Bất động sản</v>
      </c>
      <c r="I1183" s="9" t="str" cm="1">
        <f t="array" ref="I118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83" s="9" t="str" cm="1">
        <f t="array" ref="J118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83" s="10" cm="1">
        <f t="array" ref="K118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83" s="10" cm="1">
        <f t="array" ref="L118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83" s="9" t="str" cm="1">
        <f t="array" ref="M118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83" s="9" t="str" cm="1">
        <f t="array" ref="N118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83" s="10" cm="1">
        <f t="array" ref="O1183">IFERROR(INDEX(Sheet4!$2:$1605,MATCH(ChiTietKQKD[[#This Row],[Mã CP]],Sheet4!$B$2:$B$1605,0),_xlfn.XMATCH("*Tăng trưởng lợi nhuận sau thuế (YoY) (Quý*",Sheet4!$1:$1,2)),"")</f>
        <v>0</v>
      </c>
      <c r="P1183" s="10" cm="1">
        <f t="array" ref="P1183">IFERROR(INDEX(Sheet4!$2:$1605,MATCH(ChiTietKQKD[[#This Row],[Mã CP]],Sheet4!$B$2:$B$1605,0),_xlfn.XMATCH("*Tăng trưởng lợi nhuận sau thuế (YoY) (6M)*",Sheet4!$1:$1,2)),"")</f>
        <v>0</v>
      </c>
      <c r="Q1183" s="10" cm="1">
        <f t="array" ref="Q1183">IFERROR(INDEX(Sheet4!$2:$1605,MATCH(ChiTietKQKD[[#This Row],[Mã CP]],Sheet4!$B$2:$B$1605,0),_xlfn.XMATCH("*Tăng trưởng doanh thu thuần (QoQ)*",Sheet4!$1:$1,2)),"")</f>
        <v>0</v>
      </c>
      <c r="R1183" s="10" cm="1">
        <f t="array" ref="R1183">IFERROR(INDEX(Sheet4!$2:$1605,MATCH(ChiTietKQKD[[#This Row],[Mã CP]],Sheet4!$B$2:$B$1605,0),_xlfn.XMATCH("*Tăng trưởng lợi nhuận sau thuế (QoQ)*",Sheet4!$1:$1,2)),"")</f>
        <v>0</v>
      </c>
    </row>
    <row r="1184" spans="1:18" x14ac:dyDescent="0.25">
      <c r="A1184" s="7">
        <f>Sheet4!A1163</f>
        <v>1162</v>
      </c>
      <c r="B1184" t="str">
        <f>Sheet4!B1163</f>
        <v>MBN</v>
      </c>
      <c r="C1184" t="str">
        <f>Sheet4!C1162</f>
        <v>MACHINCO1</v>
      </c>
      <c r="D1184" t="str">
        <f>Sheet4!D1163</f>
        <v>UPCoM</v>
      </c>
      <c r="E1184" s="7">
        <f>Sheet4!AH1163/1000000000</f>
        <v>45.424999999999997</v>
      </c>
      <c r="F1184" t="str">
        <f>Sheet4!E1163</f>
        <v>Công nghiệp</v>
      </c>
      <c r="G1184" t="str">
        <f>Sheet4!F1163</f>
        <v>Hàng &amp; Dịch vụ Công nghiệp</v>
      </c>
      <c r="H1184" t="str">
        <f>Sheet4!G1163</f>
        <v>Chất thải &amp; Môi trường</v>
      </c>
      <c r="I1184" s="9" t="str" cm="1">
        <f t="array" ref="I118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84" s="9" t="str" cm="1">
        <f t="array" ref="J118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84" s="10" cm="1">
        <f t="array" ref="K118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84" s="10" cm="1">
        <f t="array" ref="L118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84" s="9" t="str" cm="1">
        <f t="array" ref="M118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84" s="9" t="str" cm="1">
        <f t="array" ref="N118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84" s="10" cm="1">
        <f t="array" ref="O1184">IFERROR(INDEX(Sheet4!$2:$1605,MATCH(ChiTietKQKD[[#This Row],[Mã CP]],Sheet4!$B$2:$B$1605,0),_xlfn.XMATCH("*Tăng trưởng lợi nhuận sau thuế (YoY) (Quý*",Sheet4!$1:$1,2)),"")</f>
        <v>0</v>
      </c>
      <c r="P1184" s="10" cm="1">
        <f t="array" ref="P1184">IFERROR(INDEX(Sheet4!$2:$1605,MATCH(ChiTietKQKD[[#This Row],[Mã CP]],Sheet4!$B$2:$B$1605,0),_xlfn.XMATCH("*Tăng trưởng lợi nhuận sau thuế (YoY) (6M)*",Sheet4!$1:$1,2)),"")</f>
        <v>0</v>
      </c>
      <c r="Q1184" s="10" cm="1">
        <f t="array" ref="Q1184">IFERROR(INDEX(Sheet4!$2:$1605,MATCH(ChiTietKQKD[[#This Row],[Mã CP]],Sheet4!$B$2:$B$1605,0),_xlfn.XMATCH("*Tăng trưởng doanh thu thuần (QoQ)*",Sheet4!$1:$1,2)),"")</f>
        <v>0</v>
      </c>
      <c r="R1184" s="10" cm="1">
        <f t="array" ref="R1184">IFERROR(INDEX(Sheet4!$2:$1605,MATCH(ChiTietKQKD[[#This Row],[Mã CP]],Sheet4!$B$2:$B$1605,0),_xlfn.XMATCH("*Tăng trưởng lợi nhuận sau thuế (QoQ)*",Sheet4!$1:$1,2)),"")</f>
        <v>0</v>
      </c>
    </row>
    <row r="1185" spans="1:18" x14ac:dyDescent="0.25">
      <c r="A1185" s="7">
        <f>Sheet4!A1164</f>
        <v>1163</v>
      </c>
      <c r="B1185" t="str">
        <f>Sheet4!B1164</f>
        <v>MBT</v>
      </c>
      <c r="C1185" t="str">
        <f>Sheet4!C1163</f>
        <v>Môi trường và Công trình ĐT Bắc Ninh</v>
      </c>
      <c r="D1185" t="str">
        <f>Sheet4!D1164</f>
        <v>UPCoM</v>
      </c>
      <c r="E1185" s="7">
        <f>Sheet4!AH1164/1000000000</f>
        <v>30.4</v>
      </c>
      <c r="F1185" t="str">
        <f>Sheet4!E1164</f>
        <v>Tài chính</v>
      </c>
      <c r="G1185" t="str">
        <f>Sheet4!F1164</f>
        <v>Bất động sản</v>
      </c>
      <c r="H1185" t="str">
        <f>Sheet4!G1164</f>
        <v>Bất động sản</v>
      </c>
      <c r="I1185" s="9" t="str" cm="1">
        <f t="array" ref="I118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85" s="9" t="str" cm="1">
        <f t="array" ref="J118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85" s="10" cm="1">
        <f t="array" ref="K118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85" s="10" cm="1">
        <f t="array" ref="L118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85" s="9" t="str" cm="1">
        <f t="array" ref="M118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85" s="9" t="str" cm="1">
        <f t="array" ref="N118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85" s="10" cm="1">
        <f t="array" ref="O1185">IFERROR(INDEX(Sheet4!$2:$1605,MATCH(ChiTietKQKD[[#This Row],[Mã CP]],Sheet4!$B$2:$B$1605,0),_xlfn.XMATCH("*Tăng trưởng lợi nhuận sau thuế (YoY) (Quý*",Sheet4!$1:$1,2)),"")</f>
        <v>0</v>
      </c>
      <c r="P1185" s="10" cm="1">
        <f t="array" ref="P1185">IFERROR(INDEX(Sheet4!$2:$1605,MATCH(ChiTietKQKD[[#This Row],[Mã CP]],Sheet4!$B$2:$B$1605,0),_xlfn.XMATCH("*Tăng trưởng lợi nhuận sau thuế (YoY) (6M)*",Sheet4!$1:$1,2)),"")</f>
        <v>0</v>
      </c>
      <c r="Q1185" s="10" cm="1">
        <f t="array" ref="Q1185">IFERROR(INDEX(Sheet4!$2:$1605,MATCH(ChiTietKQKD[[#This Row],[Mã CP]],Sheet4!$B$2:$B$1605,0),_xlfn.XMATCH("*Tăng trưởng doanh thu thuần (QoQ)*",Sheet4!$1:$1,2)),"")</f>
        <v>0</v>
      </c>
      <c r="R1185" s="10" cm="1">
        <f t="array" ref="R1185">IFERROR(INDEX(Sheet4!$2:$1605,MATCH(ChiTietKQKD[[#This Row],[Mã CP]],Sheet4!$B$2:$B$1605,0),_xlfn.XMATCH("*Tăng trưởng lợi nhuận sau thuế (QoQ)*",Sheet4!$1:$1,2)),"")</f>
        <v>0</v>
      </c>
    </row>
    <row r="1186" spans="1:18" x14ac:dyDescent="0.25">
      <c r="A1186" s="7">
        <f>Sheet4!A1165</f>
        <v>1164</v>
      </c>
      <c r="B1186" t="str">
        <f>Sheet4!B1165</f>
        <v>MCG</v>
      </c>
      <c r="C1186" t="str">
        <f>Sheet4!C1164</f>
        <v>BĐS cho thuê Minh Bảo Tín</v>
      </c>
      <c r="D1186" t="str">
        <f>Sheet4!D1165</f>
        <v>UPCoM</v>
      </c>
      <c r="E1186" s="7">
        <f>Sheet4!AH1165/1000000000</f>
        <v>140.95701</v>
      </c>
      <c r="F1186" t="str">
        <f>Sheet4!E1165</f>
        <v>Công nghiệp</v>
      </c>
      <c r="G1186" t="str">
        <f>Sheet4!F1165</f>
        <v>Xây dựng và Vật liệu</v>
      </c>
      <c r="H1186" t="str">
        <f>Sheet4!G1165</f>
        <v>Xây dựng</v>
      </c>
      <c r="I1186" s="9" t="str" cm="1">
        <f t="array" ref="I118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86" s="9" t="str" cm="1">
        <f t="array" ref="J118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86" s="10" cm="1">
        <f t="array" ref="K118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86" s="10" cm="1">
        <f t="array" ref="L118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86" s="9" t="str" cm="1">
        <f t="array" ref="M118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86" s="9" t="str" cm="1">
        <f t="array" ref="N118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86" s="10" cm="1">
        <f t="array" ref="O1186">IFERROR(INDEX(Sheet4!$2:$1605,MATCH(ChiTietKQKD[[#This Row],[Mã CP]],Sheet4!$B$2:$B$1605,0),_xlfn.XMATCH("*Tăng trưởng lợi nhuận sau thuế (YoY) (Quý*",Sheet4!$1:$1,2)),"")</f>
        <v>0</v>
      </c>
      <c r="P1186" s="10" cm="1">
        <f t="array" ref="P1186">IFERROR(INDEX(Sheet4!$2:$1605,MATCH(ChiTietKQKD[[#This Row],[Mã CP]],Sheet4!$B$2:$B$1605,0),_xlfn.XMATCH("*Tăng trưởng lợi nhuận sau thuế (YoY) (6M)*",Sheet4!$1:$1,2)),"")</f>
        <v>0</v>
      </c>
      <c r="Q1186" s="10" cm="1">
        <f t="array" ref="Q1186">IFERROR(INDEX(Sheet4!$2:$1605,MATCH(ChiTietKQKD[[#This Row],[Mã CP]],Sheet4!$B$2:$B$1605,0),_xlfn.XMATCH("*Tăng trưởng doanh thu thuần (QoQ)*",Sheet4!$1:$1,2)),"")</f>
        <v>0</v>
      </c>
      <c r="R1186" s="10" cm="1">
        <f t="array" ref="R1186">IFERROR(INDEX(Sheet4!$2:$1605,MATCH(ChiTietKQKD[[#This Row],[Mã CP]],Sheet4!$B$2:$B$1605,0),_xlfn.XMATCH("*Tăng trưởng lợi nhuận sau thuế (QoQ)*",Sheet4!$1:$1,2)),"")</f>
        <v>0</v>
      </c>
    </row>
    <row r="1187" spans="1:18" x14ac:dyDescent="0.25">
      <c r="A1187" s="7">
        <f>Sheet4!A1166</f>
        <v>1165</v>
      </c>
      <c r="B1187" t="str">
        <f>Sheet4!B1166</f>
        <v>MDA</v>
      </c>
      <c r="C1187" t="str">
        <f>Sheet4!C1165</f>
        <v>Năng lượng và Bất động sản MCG</v>
      </c>
      <c r="D1187" t="str">
        <f>Sheet4!D1166</f>
        <v>UPCoM</v>
      </c>
      <c r="E1187" s="7">
        <f>Sheet4!AH1166/1000000000</f>
        <v>6.36</v>
      </c>
      <c r="F1187" t="str">
        <f>Sheet4!E1166</f>
        <v>Công nghiệp</v>
      </c>
      <c r="G1187" t="str">
        <f>Sheet4!F1166</f>
        <v>Hàng &amp; Dịch vụ Công nghiệp</v>
      </c>
      <c r="H1187" t="str">
        <f>Sheet4!G1166</f>
        <v>Chất thải &amp; Môi trường</v>
      </c>
      <c r="I1187" s="9" t="str" cm="1">
        <f t="array" ref="I118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87" s="9" t="str" cm="1">
        <f t="array" ref="J118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87" s="10" cm="1">
        <f t="array" ref="K118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87" s="10" cm="1">
        <f t="array" ref="L118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87" s="9" t="str" cm="1">
        <f t="array" ref="M118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87" s="9" t="str" cm="1">
        <f t="array" ref="N118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87" s="10" cm="1">
        <f t="array" ref="O1187">IFERROR(INDEX(Sheet4!$2:$1605,MATCH(ChiTietKQKD[[#This Row],[Mã CP]],Sheet4!$B$2:$B$1605,0),_xlfn.XMATCH("*Tăng trưởng lợi nhuận sau thuế (YoY) (Quý*",Sheet4!$1:$1,2)),"")</f>
        <v>0</v>
      </c>
      <c r="P1187" s="10" cm="1">
        <f t="array" ref="P1187">IFERROR(INDEX(Sheet4!$2:$1605,MATCH(ChiTietKQKD[[#This Row],[Mã CP]],Sheet4!$B$2:$B$1605,0),_xlfn.XMATCH("*Tăng trưởng lợi nhuận sau thuế (YoY) (6M)*",Sheet4!$1:$1,2)),"")</f>
        <v>0</v>
      </c>
      <c r="Q1187" s="10" cm="1">
        <f t="array" ref="Q1187">IFERROR(INDEX(Sheet4!$2:$1605,MATCH(ChiTietKQKD[[#This Row],[Mã CP]],Sheet4!$B$2:$B$1605,0),_xlfn.XMATCH("*Tăng trưởng doanh thu thuần (QoQ)*",Sheet4!$1:$1,2)),"")</f>
        <v>0</v>
      </c>
      <c r="R1187" s="10" cm="1">
        <f t="array" ref="R1187">IFERROR(INDEX(Sheet4!$2:$1605,MATCH(ChiTietKQKD[[#This Row],[Mã CP]],Sheet4!$B$2:$B$1605,0),_xlfn.XMATCH("*Tăng trưởng lợi nhuận sau thuế (QoQ)*",Sheet4!$1:$1,2)),"")</f>
        <v>0</v>
      </c>
    </row>
    <row r="1188" spans="1:18" x14ac:dyDescent="0.25">
      <c r="A1188" s="7">
        <f>Sheet4!A1167</f>
        <v>1166</v>
      </c>
      <c r="B1188" t="str">
        <f>Sheet4!B1167</f>
        <v>MDF</v>
      </c>
      <c r="C1188" t="str">
        <f>Sheet4!C1166</f>
        <v>Môi trường Đô thị Đông Anh</v>
      </c>
      <c r="D1188" t="str">
        <f>Sheet4!D1167</f>
        <v>UPCoM</v>
      </c>
      <c r="E1188" s="7">
        <f>Sheet4!AH1167/1000000000</f>
        <v>275.56797499999999</v>
      </c>
      <c r="F1188" t="str">
        <f>Sheet4!E1167</f>
        <v>Nguyên vật liệu</v>
      </c>
      <c r="G1188" t="str">
        <f>Sheet4!F1167</f>
        <v>Tài nguyên Cơ bản</v>
      </c>
      <c r="H1188" t="str">
        <f>Sheet4!G1167</f>
        <v>Lâm sản và Chế biến gỗ</v>
      </c>
      <c r="I1188" s="9" cm="1">
        <f t="array" ref="I118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310.94370048600001</v>
      </c>
      <c r="J1188" s="9" t="str" cm="1">
        <f t="array" ref="J118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88" s="10" cm="1">
        <f t="array" ref="K118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0.58199999999999996</v>
      </c>
      <c r="L1188" s="10" cm="1">
        <f t="array" ref="L118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0.36799999999999999</v>
      </c>
      <c r="M1188" s="9" cm="1">
        <f t="array" ref="M1188">_xlfn.LET(_xlpm.val,IFERROR(INDEX(Sheet4!$2:$1605,MATCH(ChiTietKQKD[[#This Row],[Mã CP]],Sheet4!$B$2:$B$1605,0),_xlfn.XMATCH("*Lợi nhuận sau thuế*Q2*2026*",Sheet4!$1:$1,2)),0),IF(OR(_xlpm.val="",_xlpm.val=0),"",_xlpm.val/1000000000))</f>
        <v>4.992480263</v>
      </c>
      <c r="N1188" s="9" t="str" cm="1">
        <f t="array" ref="N118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88" s="10" cm="1">
        <f t="array" ref="O1188">IFERROR(INDEX(Sheet4!$2:$1605,MATCH(ChiTietKQKD[[#This Row],[Mã CP]],Sheet4!$B$2:$B$1605,0),_xlfn.XMATCH("*Tăng trưởng lợi nhuận sau thuế (YoY) (Quý*",Sheet4!$1:$1,2)),"")</f>
        <v>2.4508999999999999</v>
      </c>
      <c r="P1188" s="10" cm="1">
        <f t="array" ref="P1188">IFERROR(INDEX(Sheet4!$2:$1605,MATCH(ChiTietKQKD[[#This Row],[Mã CP]],Sheet4!$B$2:$B$1605,0),_xlfn.XMATCH("*Tăng trưởng lợi nhuận sau thuế (YoY) (6M)*",Sheet4!$1:$1,2)),"")</f>
        <v>2.3448000000000002</v>
      </c>
      <c r="Q1188" s="10" cm="1">
        <f t="array" ref="Q1188">IFERROR(INDEX(Sheet4!$2:$1605,MATCH(ChiTietKQKD[[#This Row],[Mã CP]],Sheet4!$B$2:$B$1605,0),_xlfn.XMATCH("*Tăng trưởng doanh thu thuần (QoQ)*",Sheet4!$1:$1,2)),"")</f>
        <v>0.15459999999999999</v>
      </c>
      <c r="R1188" s="10" cm="1">
        <f t="array" ref="R1188">IFERROR(INDEX(Sheet4!$2:$1605,MATCH(ChiTietKQKD[[#This Row],[Mã CP]],Sheet4!$B$2:$B$1605,0),_xlfn.XMATCH("*Tăng trưởng lợi nhuận sau thuế (QoQ)*",Sheet4!$1:$1,2)),"")</f>
        <v>1.4244000000000001</v>
      </c>
    </row>
    <row r="1189" spans="1:18" x14ac:dyDescent="0.25">
      <c r="A1189" s="7">
        <f>Sheet4!A1168</f>
        <v>1167</v>
      </c>
      <c r="B1189" t="str">
        <f>Sheet4!B1168</f>
        <v>MEC</v>
      </c>
      <c r="C1189" t="str">
        <f>Sheet4!C1167</f>
        <v>Gỗ MDF VRG - Quảng Trị</v>
      </c>
      <c r="D1189" t="str">
        <f>Sheet4!D1168</f>
        <v>UPCoM</v>
      </c>
      <c r="E1189" s="7">
        <f>Sheet4!AH1168/1000000000</f>
        <v>14.201154000000001</v>
      </c>
      <c r="F1189" t="str">
        <f>Sheet4!E1168</f>
        <v>Công nghiệp</v>
      </c>
      <c r="G1189" t="str">
        <f>Sheet4!F1168</f>
        <v>Xây dựng và Vật liệu</v>
      </c>
      <c r="H1189" t="str">
        <f>Sheet4!G1168</f>
        <v>Xây dựng</v>
      </c>
      <c r="I1189" s="9" t="str" cm="1">
        <f t="array" ref="I118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89" s="9" t="str" cm="1">
        <f t="array" ref="J118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89" s="10" cm="1">
        <f t="array" ref="K118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89" s="10" cm="1">
        <f t="array" ref="L118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89" s="9" t="str" cm="1">
        <f t="array" ref="M118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89" s="9" t="str" cm="1">
        <f t="array" ref="N118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89" s="10" cm="1">
        <f t="array" ref="O1189">IFERROR(INDEX(Sheet4!$2:$1605,MATCH(ChiTietKQKD[[#This Row],[Mã CP]],Sheet4!$B$2:$B$1605,0),_xlfn.XMATCH("*Tăng trưởng lợi nhuận sau thuế (YoY) (Quý*",Sheet4!$1:$1,2)),"")</f>
        <v>0</v>
      </c>
      <c r="P1189" s="10" cm="1">
        <f t="array" ref="P1189">IFERROR(INDEX(Sheet4!$2:$1605,MATCH(ChiTietKQKD[[#This Row],[Mã CP]],Sheet4!$B$2:$B$1605,0),_xlfn.XMATCH("*Tăng trưởng lợi nhuận sau thuế (YoY) (6M)*",Sheet4!$1:$1,2)),"")</f>
        <v>0</v>
      </c>
      <c r="Q1189" s="10" cm="1">
        <f t="array" ref="Q1189">IFERROR(INDEX(Sheet4!$2:$1605,MATCH(ChiTietKQKD[[#This Row],[Mã CP]],Sheet4!$B$2:$B$1605,0),_xlfn.XMATCH("*Tăng trưởng doanh thu thuần (QoQ)*",Sheet4!$1:$1,2)),"")</f>
        <v>0</v>
      </c>
      <c r="R1189" s="10" cm="1">
        <f t="array" ref="R1189">IFERROR(INDEX(Sheet4!$2:$1605,MATCH(ChiTietKQKD[[#This Row],[Mã CP]],Sheet4!$B$2:$B$1605,0),_xlfn.XMATCH("*Tăng trưởng lợi nhuận sau thuế (QoQ)*",Sheet4!$1:$1,2)),"")</f>
        <v>0</v>
      </c>
    </row>
    <row r="1190" spans="1:18" x14ac:dyDescent="0.25">
      <c r="A1190" s="7">
        <f>Sheet4!A1169</f>
        <v>1168</v>
      </c>
      <c r="B1190" t="str">
        <f>Sheet4!B1169</f>
        <v>MEF</v>
      </c>
      <c r="C1190" t="str">
        <f>Sheet4!C1168</f>
        <v>Lắp máy Sông Đà</v>
      </c>
      <c r="D1190" t="str">
        <f>Sheet4!D1169</f>
        <v>UPCoM</v>
      </c>
      <c r="E1190" s="7">
        <f>Sheet4!AH1169/1000000000</f>
        <v>8.5807617</v>
      </c>
      <c r="F1190" t="str">
        <f>Sheet4!E1169</f>
        <v>Dược phẩm và Y tế</v>
      </c>
      <c r="G1190" t="str">
        <f>Sheet4!F1169</f>
        <v>Y tế</v>
      </c>
      <c r="H1190" t="str">
        <f>Sheet4!G1169</f>
        <v>Dụng cụ y tế</v>
      </c>
      <c r="I1190" s="9" t="str" cm="1">
        <f t="array" ref="I119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90" s="9" t="str" cm="1">
        <f t="array" ref="J119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90" s="10" cm="1">
        <f t="array" ref="K119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90" s="10" cm="1">
        <f t="array" ref="L119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90" s="9" t="str" cm="1">
        <f t="array" ref="M119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90" s="9" t="str" cm="1">
        <f t="array" ref="N119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90" s="10" cm="1">
        <f t="array" ref="O1190">IFERROR(INDEX(Sheet4!$2:$1605,MATCH(ChiTietKQKD[[#This Row],[Mã CP]],Sheet4!$B$2:$B$1605,0),_xlfn.XMATCH("*Tăng trưởng lợi nhuận sau thuế (YoY) (Quý*",Sheet4!$1:$1,2)),"")</f>
        <v>0</v>
      </c>
      <c r="P1190" s="10" cm="1">
        <f t="array" ref="P1190">IFERROR(INDEX(Sheet4!$2:$1605,MATCH(ChiTietKQKD[[#This Row],[Mã CP]],Sheet4!$B$2:$B$1605,0),_xlfn.XMATCH("*Tăng trưởng lợi nhuận sau thuế (YoY) (6M)*",Sheet4!$1:$1,2)),"")</f>
        <v>0</v>
      </c>
      <c r="Q1190" s="10" cm="1">
        <f t="array" ref="Q1190">IFERROR(INDEX(Sheet4!$2:$1605,MATCH(ChiTietKQKD[[#This Row],[Mã CP]],Sheet4!$B$2:$B$1605,0),_xlfn.XMATCH("*Tăng trưởng doanh thu thuần (QoQ)*",Sheet4!$1:$1,2)),"")</f>
        <v>0</v>
      </c>
      <c r="R1190" s="10" cm="1">
        <f t="array" ref="R1190">IFERROR(INDEX(Sheet4!$2:$1605,MATCH(ChiTietKQKD[[#This Row],[Mã CP]],Sheet4!$B$2:$B$1605,0),_xlfn.XMATCH("*Tăng trưởng lợi nhuận sau thuế (QoQ)*",Sheet4!$1:$1,2)),"")</f>
        <v>0</v>
      </c>
    </row>
    <row r="1191" spans="1:18" x14ac:dyDescent="0.25">
      <c r="A1191" s="7">
        <f>Sheet4!A1170</f>
        <v>1169</v>
      </c>
      <c r="B1191" t="str">
        <f>Sheet4!B1170</f>
        <v>MES</v>
      </c>
      <c r="C1191" t="str">
        <f>Sheet4!C1169</f>
        <v>MEINFA</v>
      </c>
      <c r="D1191" t="str">
        <f>Sheet4!D1170</f>
        <v>UPCoM</v>
      </c>
      <c r="E1191" s="7">
        <f>Sheet4!AH1170/1000000000</f>
        <v>186</v>
      </c>
      <c r="F1191" t="str">
        <f>Sheet4!E1170</f>
        <v>Công nghiệp</v>
      </c>
      <c r="G1191" t="str">
        <f>Sheet4!F1170</f>
        <v>Xây dựng và Vật liệu</v>
      </c>
      <c r="H1191" t="str">
        <f>Sheet4!G1170</f>
        <v>Xây dựng</v>
      </c>
      <c r="I1191" s="9" cm="1">
        <f t="array" ref="I119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0.46610553100000002</v>
      </c>
      <c r="J1191" s="9" cm="1">
        <f t="array" ref="J119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1.6162968419999999</v>
      </c>
      <c r="K1191" s="10" cm="1">
        <f t="array" ref="K119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-9.6699999999999994E-2</v>
      </c>
      <c r="L1191" s="10" cm="1">
        <f t="array" ref="L119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0.63949999999999996</v>
      </c>
      <c r="M1191" s="9" cm="1">
        <f t="array" ref="M1191">_xlfn.LET(_xlpm.val,IFERROR(INDEX(Sheet4!$2:$1605,MATCH(ChiTietKQKD[[#This Row],[Mã CP]],Sheet4!$B$2:$B$1605,0),_xlfn.XMATCH("*Lợi nhuận sau thuế*Q2*2026*",Sheet4!$1:$1,2)),0),IF(OR(_xlpm.val="",_xlpm.val=0),"",_xlpm.val/1000000000))</f>
        <v>6.1146655000000001E-2</v>
      </c>
      <c r="N1191" s="9" cm="1">
        <f t="array" ref="N1191">_xlfn.LET(_xlpm.val,IFERROR(INDEX(Sheet4!$2:$1605,MATCH(ChiTietKQKD[[#This Row],[Mã CP]],Sheet4!$B$2:$B$1605,0),_xlfn.XMATCH("*Lợi nhuận sau thuế*6 tháng*2026*",Sheet4!$1:$1,2)),0),IF(OR(_xlpm.val="",_xlpm.val=0),"",_xlpm.val/1000000000))</f>
        <v>3.6512297999999999E-2</v>
      </c>
      <c r="O1191" s="10" cm="1">
        <f t="array" ref="O1191">IFERROR(INDEX(Sheet4!$2:$1605,MATCH(ChiTietKQKD[[#This Row],[Mã CP]],Sheet4!$B$2:$B$1605,0),_xlfn.XMATCH("*Tăng trưởng lợi nhuận sau thuế (YoY) (Quý*",Sheet4!$1:$1,2)),"")</f>
        <v>-0.79410000000000003</v>
      </c>
      <c r="P1191" s="10" cm="1">
        <f t="array" ref="P1191">IFERROR(INDEX(Sheet4!$2:$1605,MATCH(ChiTietKQKD[[#This Row],[Mã CP]],Sheet4!$B$2:$B$1605,0),_xlfn.XMATCH("*Tăng trưởng lợi nhuận sau thuế (YoY) (6M)*",Sheet4!$1:$1,2)),"")</f>
        <v>1.1605000000000001</v>
      </c>
      <c r="Q1191" s="10" cm="1">
        <f t="array" ref="Q1191">IFERROR(INDEX(Sheet4!$2:$1605,MATCH(ChiTietKQKD[[#This Row],[Mã CP]],Sheet4!$B$2:$B$1605,0),_xlfn.XMATCH("*Tăng trưởng doanh thu thuần (QoQ)*",Sheet4!$1:$1,2)),"")</f>
        <v>-0.5948</v>
      </c>
      <c r="R1191" s="10" cm="1">
        <f t="array" ref="R1191">IFERROR(INDEX(Sheet4!$2:$1605,MATCH(ChiTietKQKD[[#This Row],[Mã CP]],Sheet4!$B$2:$B$1605,0),_xlfn.XMATCH("*Tăng trưởng lợi nhuận sau thuế (QoQ)*",Sheet4!$1:$1,2)),"")</f>
        <v>3.4822000000000002</v>
      </c>
    </row>
    <row r="1192" spans="1:18" x14ac:dyDescent="0.25">
      <c r="A1192" s="7">
        <f>Sheet4!A1171</f>
        <v>1170</v>
      </c>
      <c r="B1192" t="str">
        <f>Sheet4!B1171</f>
        <v>MFS</v>
      </c>
      <c r="C1192" t="str">
        <f>Sheet4!C1170</f>
        <v>Cơ điện Công trình</v>
      </c>
      <c r="D1192" t="str">
        <f>Sheet4!D1171</f>
        <v>UPCoM</v>
      </c>
      <c r="E1192" s="7">
        <f>Sheet4!AH1171/1000000000</f>
        <v>208.96529669399999</v>
      </c>
      <c r="F1192" t="str">
        <f>Sheet4!E1171</f>
        <v>Viễn thông</v>
      </c>
      <c r="G1192" t="str">
        <f>Sheet4!F1171</f>
        <v>Viễn thông</v>
      </c>
      <c r="H1192" t="str">
        <f>Sheet4!G1171</f>
        <v>Viễn thông di động</v>
      </c>
      <c r="I1192" s="9" t="str" cm="1">
        <f t="array" ref="I119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92" s="9" t="str" cm="1">
        <f t="array" ref="J119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92" s="10" cm="1">
        <f t="array" ref="K119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92" s="10" cm="1">
        <f t="array" ref="L119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92" s="9" t="str" cm="1">
        <f t="array" ref="M119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92" s="9" t="str" cm="1">
        <f t="array" ref="N119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92" s="10" cm="1">
        <f t="array" ref="O1192">IFERROR(INDEX(Sheet4!$2:$1605,MATCH(ChiTietKQKD[[#This Row],[Mã CP]],Sheet4!$B$2:$B$1605,0),_xlfn.XMATCH("*Tăng trưởng lợi nhuận sau thuế (YoY) (Quý*",Sheet4!$1:$1,2)),"")</f>
        <v>0</v>
      </c>
      <c r="P1192" s="10" cm="1">
        <f t="array" ref="P1192">IFERROR(INDEX(Sheet4!$2:$1605,MATCH(ChiTietKQKD[[#This Row],[Mã CP]],Sheet4!$B$2:$B$1605,0),_xlfn.XMATCH("*Tăng trưởng lợi nhuận sau thuế (YoY) (6M)*",Sheet4!$1:$1,2)),"")</f>
        <v>0</v>
      </c>
      <c r="Q1192" s="10" cm="1">
        <f t="array" ref="Q1192">IFERROR(INDEX(Sheet4!$2:$1605,MATCH(ChiTietKQKD[[#This Row],[Mã CP]],Sheet4!$B$2:$B$1605,0),_xlfn.XMATCH("*Tăng trưởng doanh thu thuần (QoQ)*",Sheet4!$1:$1,2)),"")</f>
        <v>0</v>
      </c>
      <c r="R1192" s="10" cm="1">
        <f t="array" ref="R1192">IFERROR(INDEX(Sheet4!$2:$1605,MATCH(ChiTietKQKD[[#This Row],[Mã CP]],Sheet4!$B$2:$B$1605,0),_xlfn.XMATCH("*Tăng trưởng lợi nhuận sau thuế (QoQ)*",Sheet4!$1:$1,2)),"")</f>
        <v>0</v>
      </c>
    </row>
    <row r="1193" spans="1:18" x14ac:dyDescent="0.25">
      <c r="A1193" s="7">
        <f>Sheet4!A1172</f>
        <v>1171</v>
      </c>
      <c r="B1193" t="str">
        <f>Sheet4!B1172</f>
        <v>MGC</v>
      </c>
      <c r="C1193" t="str">
        <f>Sheet4!C1171</f>
        <v>Mobifone Service</v>
      </c>
      <c r="D1193" t="str">
        <f>Sheet4!D1172</f>
        <v>UPCoM</v>
      </c>
      <c r="E1193" s="7">
        <f>Sheet4!AH1172/1000000000</f>
        <v>109.512</v>
      </c>
      <c r="F1193" t="str">
        <f>Sheet4!E1172</f>
        <v>Nguyên vật liệu</v>
      </c>
      <c r="G1193" t="str">
        <f>Sheet4!F1172</f>
        <v>Tài nguyên Cơ bản</v>
      </c>
      <c r="H1193" t="str">
        <f>Sheet4!G1172</f>
        <v>Khai khoáng</v>
      </c>
      <c r="I1193" s="9" t="str" cm="1">
        <f t="array" ref="I119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93" s="9" t="str" cm="1">
        <f t="array" ref="J119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93" s="10" cm="1">
        <f t="array" ref="K119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93" s="10" cm="1">
        <f t="array" ref="L119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93" s="9" t="str" cm="1">
        <f t="array" ref="M119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93" s="9" t="str" cm="1">
        <f t="array" ref="N119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93" s="10" cm="1">
        <f t="array" ref="O1193">IFERROR(INDEX(Sheet4!$2:$1605,MATCH(ChiTietKQKD[[#This Row],[Mã CP]],Sheet4!$B$2:$B$1605,0),_xlfn.XMATCH("*Tăng trưởng lợi nhuận sau thuế (YoY) (Quý*",Sheet4!$1:$1,2)),"")</f>
        <v>0</v>
      </c>
      <c r="P1193" s="10" cm="1">
        <f t="array" ref="P1193">IFERROR(INDEX(Sheet4!$2:$1605,MATCH(ChiTietKQKD[[#This Row],[Mã CP]],Sheet4!$B$2:$B$1605,0),_xlfn.XMATCH("*Tăng trưởng lợi nhuận sau thuế (YoY) (6M)*",Sheet4!$1:$1,2)),"")</f>
        <v>0</v>
      </c>
      <c r="Q1193" s="10" cm="1">
        <f t="array" ref="Q1193">IFERROR(INDEX(Sheet4!$2:$1605,MATCH(ChiTietKQKD[[#This Row],[Mã CP]],Sheet4!$B$2:$B$1605,0),_xlfn.XMATCH("*Tăng trưởng doanh thu thuần (QoQ)*",Sheet4!$1:$1,2)),"")</f>
        <v>0</v>
      </c>
      <c r="R1193" s="10" cm="1">
        <f t="array" ref="R1193">IFERROR(INDEX(Sheet4!$2:$1605,MATCH(ChiTietKQKD[[#This Row],[Mã CP]],Sheet4!$B$2:$B$1605,0),_xlfn.XMATCH("*Tăng trưởng lợi nhuận sau thuế (QoQ)*",Sheet4!$1:$1,2)),"")</f>
        <v>0</v>
      </c>
    </row>
    <row r="1194" spans="1:18" x14ac:dyDescent="0.25">
      <c r="A1194" s="7">
        <f>Sheet4!A1173</f>
        <v>1172</v>
      </c>
      <c r="B1194" t="str">
        <f>Sheet4!B1173</f>
        <v>MGG</v>
      </c>
      <c r="C1194" t="str">
        <f>Sheet4!C1172</f>
        <v>Địa chất mỏ - TKV</v>
      </c>
      <c r="D1194" t="str">
        <f>Sheet4!D1173</f>
        <v>UPCoM</v>
      </c>
      <c r="E1194" s="7">
        <f>Sheet4!AH1173/1000000000</f>
        <v>206.99130600000001</v>
      </c>
      <c r="F1194" t="str">
        <f>Sheet4!E1173</f>
        <v>Hàng Tiêu dùng</v>
      </c>
      <c r="G1194" t="str">
        <f>Sheet4!F1173</f>
        <v>Hàng cá nhân &amp; Gia dụng</v>
      </c>
      <c r="H1194" t="str">
        <f>Sheet4!G1173</f>
        <v>Hàng May mặc</v>
      </c>
      <c r="I1194" s="9" t="str" cm="1">
        <f t="array" ref="I119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94" s="9" t="str" cm="1">
        <f t="array" ref="J119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94" s="10" cm="1">
        <f t="array" ref="K119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94" s="10" cm="1">
        <f t="array" ref="L119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94" s="9" t="str" cm="1">
        <f t="array" ref="M119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94" s="9" t="str" cm="1">
        <f t="array" ref="N119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94" s="10" cm="1">
        <f t="array" ref="O1194">IFERROR(INDEX(Sheet4!$2:$1605,MATCH(ChiTietKQKD[[#This Row],[Mã CP]],Sheet4!$B$2:$B$1605,0),_xlfn.XMATCH("*Tăng trưởng lợi nhuận sau thuế (YoY) (Quý*",Sheet4!$1:$1,2)),"")</f>
        <v>0</v>
      </c>
      <c r="P1194" s="10" cm="1">
        <f t="array" ref="P1194">IFERROR(INDEX(Sheet4!$2:$1605,MATCH(ChiTietKQKD[[#This Row],[Mã CP]],Sheet4!$B$2:$B$1605,0),_xlfn.XMATCH("*Tăng trưởng lợi nhuận sau thuế (YoY) (6M)*",Sheet4!$1:$1,2)),"")</f>
        <v>0</v>
      </c>
      <c r="Q1194" s="10" cm="1">
        <f t="array" ref="Q1194">IFERROR(INDEX(Sheet4!$2:$1605,MATCH(ChiTietKQKD[[#This Row],[Mã CP]],Sheet4!$B$2:$B$1605,0),_xlfn.XMATCH("*Tăng trưởng doanh thu thuần (QoQ)*",Sheet4!$1:$1,2)),"")</f>
        <v>0</v>
      </c>
      <c r="R1194" s="10" cm="1">
        <f t="array" ref="R1194">IFERROR(INDEX(Sheet4!$2:$1605,MATCH(ChiTietKQKD[[#This Row],[Mã CP]],Sheet4!$B$2:$B$1605,0),_xlfn.XMATCH("*Tăng trưởng lợi nhuận sau thuế (QoQ)*",Sheet4!$1:$1,2)),"")</f>
        <v>0</v>
      </c>
    </row>
    <row r="1195" spans="1:18" x14ac:dyDescent="0.25">
      <c r="A1195" s="7">
        <f>Sheet4!A1174</f>
        <v>1173</v>
      </c>
      <c r="B1195" t="str">
        <f>Sheet4!B1174</f>
        <v>MGR</v>
      </c>
      <c r="C1195" t="str">
        <f>Sheet4!C1173</f>
        <v>May Đức Giang</v>
      </c>
      <c r="D1195" t="str">
        <f>Sheet4!D1174</f>
        <v>UPCoM</v>
      </c>
      <c r="E1195" s="7">
        <f>Sheet4!AH1174/1000000000</f>
        <v>162</v>
      </c>
      <c r="F1195" t="str">
        <f>Sheet4!E1174</f>
        <v>Tài chính</v>
      </c>
      <c r="G1195" t="str">
        <f>Sheet4!F1174</f>
        <v>Bất động sản</v>
      </c>
      <c r="H1195" t="str">
        <f>Sheet4!G1174</f>
        <v>Bất động sản</v>
      </c>
      <c r="I1195" s="9" t="str" cm="1">
        <f t="array" ref="I119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95" s="9" t="str" cm="1">
        <f t="array" ref="J119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95" s="10" cm="1">
        <f t="array" ref="K119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95" s="10" cm="1">
        <f t="array" ref="L119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95" s="9" t="str" cm="1">
        <f t="array" ref="M119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95" s="9" t="str" cm="1">
        <f t="array" ref="N119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95" s="10" cm="1">
        <f t="array" ref="O1195">IFERROR(INDEX(Sheet4!$2:$1605,MATCH(ChiTietKQKD[[#This Row],[Mã CP]],Sheet4!$B$2:$B$1605,0),_xlfn.XMATCH("*Tăng trưởng lợi nhuận sau thuế (YoY) (Quý*",Sheet4!$1:$1,2)),"")</f>
        <v>0</v>
      </c>
      <c r="P1195" s="10" cm="1">
        <f t="array" ref="P1195">IFERROR(INDEX(Sheet4!$2:$1605,MATCH(ChiTietKQKD[[#This Row],[Mã CP]],Sheet4!$B$2:$B$1605,0),_xlfn.XMATCH("*Tăng trưởng lợi nhuận sau thuế (YoY) (6M)*",Sheet4!$1:$1,2)),"")</f>
        <v>0</v>
      </c>
      <c r="Q1195" s="10" cm="1">
        <f t="array" ref="Q1195">IFERROR(INDEX(Sheet4!$2:$1605,MATCH(ChiTietKQKD[[#This Row],[Mã CP]],Sheet4!$B$2:$B$1605,0),_xlfn.XMATCH("*Tăng trưởng doanh thu thuần (QoQ)*",Sheet4!$1:$1,2)),"")</f>
        <v>0</v>
      </c>
      <c r="R1195" s="10" cm="1">
        <f t="array" ref="R1195">IFERROR(INDEX(Sheet4!$2:$1605,MATCH(ChiTietKQKD[[#This Row],[Mã CP]],Sheet4!$B$2:$B$1605,0),_xlfn.XMATCH("*Tăng trưởng lợi nhuận sau thuế (QoQ)*",Sheet4!$1:$1,2)),"")</f>
        <v>0</v>
      </c>
    </row>
    <row r="1196" spans="1:18" x14ac:dyDescent="0.25">
      <c r="A1196" s="7">
        <f>Sheet4!A1175</f>
        <v>1174</v>
      </c>
      <c r="B1196" t="str">
        <f>Sheet4!B1175</f>
        <v>MH3</v>
      </c>
      <c r="C1196" t="str">
        <f>Sheet4!C1174</f>
        <v>Tập đoàn MGROUP</v>
      </c>
      <c r="D1196" t="str">
        <f>Sheet4!D1175</f>
        <v>UPCoM</v>
      </c>
      <c r="E1196" s="7">
        <f>Sheet4!AH1175/1000000000</f>
        <v>643.20000000000005</v>
      </c>
      <c r="F1196" t="str">
        <f>Sheet4!E1175</f>
        <v>Tài chính</v>
      </c>
      <c r="G1196" t="str">
        <f>Sheet4!F1175</f>
        <v>Bất động sản</v>
      </c>
      <c r="H1196" t="str">
        <f>Sheet4!G1175</f>
        <v>Bất động sản</v>
      </c>
      <c r="I1196" s="9" cm="1">
        <f t="array" ref="I119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27.305880191</v>
      </c>
      <c r="J1196" s="9" cm="1">
        <f t="array" ref="J119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52.009582756999997</v>
      </c>
      <c r="K1196" s="10" cm="1">
        <f t="array" ref="K119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4.0500000000000001E-2</v>
      </c>
      <c r="L1196" s="10" cm="1">
        <f t="array" ref="L119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6.6299999999999998E-2</v>
      </c>
      <c r="M1196" s="9" cm="1">
        <f t="array" ref="M1196">_xlfn.LET(_xlpm.val,IFERROR(INDEX(Sheet4!$2:$1605,MATCH(ChiTietKQKD[[#This Row],[Mã CP]],Sheet4!$B$2:$B$1605,0),_xlfn.XMATCH("*Lợi nhuận sau thuế*Q2*2026*",Sheet4!$1:$1,2)),0),IF(OR(_xlpm.val="",_xlpm.val=0),"",_xlpm.val/1000000000))</f>
        <v>16.470778568</v>
      </c>
      <c r="N1196" s="9" cm="1">
        <f t="array" ref="N1196">_xlfn.LET(_xlpm.val,IFERROR(INDEX(Sheet4!$2:$1605,MATCH(ChiTietKQKD[[#This Row],[Mã CP]],Sheet4!$B$2:$B$1605,0),_xlfn.XMATCH("*Lợi nhuận sau thuế*6 tháng*2026*",Sheet4!$1:$1,2)),0),IF(OR(_xlpm.val="",_xlpm.val=0),"",_xlpm.val/1000000000))</f>
        <v>27.682692764999999</v>
      </c>
      <c r="O1196" s="10" cm="1">
        <f t="array" ref="O1196">IFERROR(INDEX(Sheet4!$2:$1605,MATCH(ChiTietKQKD[[#This Row],[Mã CP]],Sheet4!$B$2:$B$1605,0),_xlfn.XMATCH("*Tăng trưởng lợi nhuận sau thuế (YoY) (Quý*",Sheet4!$1:$1,2)),"")</f>
        <v>0.3589</v>
      </c>
      <c r="P1196" s="10" cm="1">
        <f t="array" ref="P1196">IFERROR(INDEX(Sheet4!$2:$1605,MATCH(ChiTietKQKD[[#This Row],[Mã CP]],Sheet4!$B$2:$B$1605,0),_xlfn.XMATCH("*Tăng trưởng lợi nhuận sau thuế (YoY) (6M)*",Sheet4!$1:$1,2)),"")</f>
        <v>0.22420000000000001</v>
      </c>
      <c r="Q1196" s="10" cm="1">
        <f t="array" ref="Q1196">IFERROR(INDEX(Sheet4!$2:$1605,MATCH(ChiTietKQKD[[#This Row],[Mã CP]],Sheet4!$B$2:$B$1605,0),_xlfn.XMATCH("*Tăng trưởng doanh thu thuần (QoQ)*",Sheet4!$1:$1,2)),"")</f>
        <v>0.1053</v>
      </c>
      <c r="R1196" s="10" cm="1">
        <f t="array" ref="R1196">IFERROR(INDEX(Sheet4!$2:$1605,MATCH(ChiTietKQKD[[#This Row],[Mã CP]],Sheet4!$B$2:$B$1605,0),_xlfn.XMATCH("*Tăng trưởng lợi nhuận sau thuế (QoQ)*",Sheet4!$1:$1,2)),"")</f>
        <v>0.46899999999999997</v>
      </c>
    </row>
    <row r="1197" spans="1:18" x14ac:dyDescent="0.25">
      <c r="A1197" s="7">
        <f>Sheet4!A1176</f>
        <v>1175</v>
      </c>
      <c r="B1197" t="str">
        <f>Sheet4!B1176</f>
        <v>MHL</v>
      </c>
      <c r="C1197" t="str">
        <f>Sheet4!C1175</f>
        <v>KCN Cao su Bình Long</v>
      </c>
      <c r="D1197" t="str">
        <f>Sheet4!D1176</f>
        <v>UPCoM</v>
      </c>
      <c r="E1197" s="7">
        <f>Sheet4!AH1176/1000000000</f>
        <v>17.4524559</v>
      </c>
      <c r="F1197" t="str">
        <f>Sheet4!E1176</f>
        <v>Nguyên vật liệu</v>
      </c>
      <c r="G1197" t="str">
        <f>Sheet4!F1176</f>
        <v>Tài nguyên Cơ bản</v>
      </c>
      <c r="H1197" t="str">
        <f>Sheet4!G1176</f>
        <v>Thép và sản phẩm thép</v>
      </c>
      <c r="I1197" s="9" t="str" cm="1">
        <f t="array" ref="I119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97" s="9" t="str" cm="1">
        <f t="array" ref="J119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97" s="10" cm="1">
        <f t="array" ref="K119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97" s="10" cm="1">
        <f t="array" ref="L119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97" s="9" t="str" cm="1">
        <f t="array" ref="M119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97" s="9" t="str" cm="1">
        <f t="array" ref="N119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97" s="10" cm="1">
        <f t="array" ref="O1197">IFERROR(INDEX(Sheet4!$2:$1605,MATCH(ChiTietKQKD[[#This Row],[Mã CP]],Sheet4!$B$2:$B$1605,0),_xlfn.XMATCH("*Tăng trưởng lợi nhuận sau thuế (YoY) (Quý*",Sheet4!$1:$1,2)),"")</f>
        <v>0</v>
      </c>
      <c r="P1197" s="10" cm="1">
        <f t="array" ref="P1197">IFERROR(INDEX(Sheet4!$2:$1605,MATCH(ChiTietKQKD[[#This Row],[Mã CP]],Sheet4!$B$2:$B$1605,0),_xlfn.XMATCH("*Tăng trưởng lợi nhuận sau thuế (YoY) (6M)*",Sheet4!$1:$1,2)),"")</f>
        <v>0</v>
      </c>
      <c r="Q1197" s="10" cm="1">
        <f t="array" ref="Q1197">IFERROR(INDEX(Sheet4!$2:$1605,MATCH(ChiTietKQKD[[#This Row],[Mã CP]],Sheet4!$B$2:$B$1605,0),_xlfn.XMATCH("*Tăng trưởng doanh thu thuần (QoQ)*",Sheet4!$1:$1,2)),"")</f>
        <v>0</v>
      </c>
      <c r="R1197" s="10" cm="1">
        <f t="array" ref="R1197">IFERROR(INDEX(Sheet4!$2:$1605,MATCH(ChiTietKQKD[[#This Row],[Mã CP]],Sheet4!$B$2:$B$1605,0),_xlfn.XMATCH("*Tăng trưởng lợi nhuận sau thuế (QoQ)*",Sheet4!$1:$1,2)),"")</f>
        <v>0</v>
      </c>
    </row>
    <row r="1198" spans="1:18" x14ac:dyDescent="0.25">
      <c r="A1198" s="7">
        <f>Sheet4!A1177</f>
        <v>1176</v>
      </c>
      <c r="B1198" t="str">
        <f>Sheet4!B1177</f>
        <v>MIE</v>
      </c>
      <c r="C1198" t="str">
        <f>Sheet4!C1176</f>
        <v>Minh Hữu Liên</v>
      </c>
      <c r="D1198" t="str">
        <f>Sheet4!D1177</f>
        <v>UPCoM</v>
      </c>
      <c r="E1198" s="7">
        <f>Sheet4!AH1177/1000000000</f>
        <v>1135.932</v>
      </c>
      <c r="F1198" t="str">
        <f>Sheet4!E1177</f>
        <v>Công nghiệp</v>
      </c>
      <c r="G1198" t="str">
        <f>Sheet4!F1177</f>
        <v>Hàng &amp; Dịch vụ Công nghiệp</v>
      </c>
      <c r="H1198" t="str">
        <f>Sheet4!G1177</f>
        <v>Máy công nghiệp</v>
      </c>
      <c r="I1198" s="9" t="str" cm="1">
        <f t="array" ref="I119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198" s="9" t="str" cm="1">
        <f t="array" ref="J119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198" s="10" cm="1">
        <f t="array" ref="K119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198" s="10" cm="1">
        <f t="array" ref="L119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198" s="9" t="str" cm="1">
        <f t="array" ref="M119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198" s="9" t="str" cm="1">
        <f t="array" ref="N119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198" s="10" cm="1">
        <f t="array" ref="O1198">IFERROR(INDEX(Sheet4!$2:$1605,MATCH(ChiTietKQKD[[#This Row],[Mã CP]],Sheet4!$B$2:$B$1605,0),_xlfn.XMATCH("*Tăng trưởng lợi nhuận sau thuế (YoY) (Quý*",Sheet4!$1:$1,2)),"")</f>
        <v>0</v>
      </c>
      <c r="P1198" s="10" cm="1">
        <f t="array" ref="P1198">IFERROR(INDEX(Sheet4!$2:$1605,MATCH(ChiTietKQKD[[#This Row],[Mã CP]],Sheet4!$B$2:$B$1605,0),_xlfn.XMATCH("*Tăng trưởng lợi nhuận sau thuế (YoY) (6M)*",Sheet4!$1:$1,2)),"")</f>
        <v>0</v>
      </c>
      <c r="Q1198" s="10" cm="1">
        <f t="array" ref="Q1198">IFERROR(INDEX(Sheet4!$2:$1605,MATCH(ChiTietKQKD[[#This Row],[Mã CP]],Sheet4!$B$2:$B$1605,0),_xlfn.XMATCH("*Tăng trưởng doanh thu thuần (QoQ)*",Sheet4!$1:$1,2)),"")</f>
        <v>0</v>
      </c>
      <c r="R1198" s="10" cm="1">
        <f t="array" ref="R1198">IFERROR(INDEX(Sheet4!$2:$1605,MATCH(ChiTietKQKD[[#This Row],[Mã CP]],Sheet4!$B$2:$B$1605,0),_xlfn.XMATCH("*Tăng trưởng lợi nhuận sau thuế (QoQ)*",Sheet4!$1:$1,2)),"")</f>
        <v>0</v>
      </c>
    </row>
    <row r="1199" spans="1:18" x14ac:dyDescent="0.25">
      <c r="A1199" s="7">
        <f>Sheet4!A1178</f>
        <v>1177</v>
      </c>
      <c r="B1199" t="str">
        <f>Sheet4!B1178</f>
        <v>MKP</v>
      </c>
      <c r="C1199" t="str">
        <f>Sheet4!C1177</f>
        <v>Máy và Thiết bị Công nghiệp</v>
      </c>
      <c r="D1199" t="str">
        <f>Sheet4!D1178</f>
        <v>UPCoM</v>
      </c>
      <c r="E1199" s="7">
        <f>Sheet4!AH1178/1000000000</f>
        <v>607.27115529299999</v>
      </c>
      <c r="F1199" t="str">
        <f>Sheet4!E1178</f>
        <v>Dược phẩm và Y tế</v>
      </c>
      <c r="G1199" t="str">
        <f>Sheet4!F1178</f>
        <v>Y tế</v>
      </c>
      <c r="H1199" t="str">
        <f>Sheet4!G1178</f>
        <v>Dược phẩm</v>
      </c>
      <c r="I1199" s="9" cm="1">
        <f t="array" ref="I119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203.92628715000001</v>
      </c>
      <c r="J1199" s="9" cm="1">
        <f t="array" ref="J119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411.78909671100001</v>
      </c>
      <c r="K1199" s="10" cm="1">
        <f t="array" ref="K119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3.2399999999999998E-2</v>
      </c>
      <c r="L1199" s="10" cm="1">
        <f t="array" ref="L119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-3.61E-2</v>
      </c>
      <c r="M1199" s="9" cm="1">
        <f t="array" ref="M1199">_xlfn.LET(_xlpm.val,IFERROR(INDEX(Sheet4!$2:$1605,MATCH(ChiTietKQKD[[#This Row],[Mã CP]],Sheet4!$B$2:$B$1605,0),_xlfn.XMATCH("*Lợi nhuận sau thuế*Q2*2026*",Sheet4!$1:$1,2)),0),IF(OR(_xlpm.val="",_xlpm.val=0),"",_xlpm.val/1000000000))</f>
        <v>1.9915735189999999</v>
      </c>
      <c r="N1199" s="9" cm="1">
        <f t="array" ref="N1199">_xlfn.LET(_xlpm.val,IFERROR(INDEX(Sheet4!$2:$1605,MATCH(ChiTietKQKD[[#This Row],[Mã CP]],Sheet4!$B$2:$B$1605,0),_xlfn.XMATCH("*Lợi nhuận sau thuế*6 tháng*2026*",Sheet4!$1:$1,2)),0),IF(OR(_xlpm.val="",_xlpm.val=0),"",_xlpm.val/1000000000))</f>
        <v>3.6088414850000001</v>
      </c>
      <c r="O1199" s="10" cm="1">
        <f t="array" ref="O1199">IFERROR(INDEX(Sheet4!$2:$1605,MATCH(ChiTietKQKD[[#This Row],[Mã CP]],Sheet4!$B$2:$B$1605,0),_xlfn.XMATCH("*Tăng trưởng lợi nhuận sau thuế (YoY) (Quý*",Sheet4!$1:$1,2)),"")</f>
        <v>1.1242000000000001</v>
      </c>
      <c r="P1199" s="10" cm="1">
        <f t="array" ref="P1199">IFERROR(INDEX(Sheet4!$2:$1605,MATCH(ChiTietKQKD[[#This Row],[Mã CP]],Sheet4!$B$2:$B$1605,0),_xlfn.XMATCH("*Tăng trưởng lợi nhuận sau thuế (YoY) (6M)*",Sheet4!$1:$1,2)),"")</f>
        <v>1.1224000000000001</v>
      </c>
      <c r="Q1199" s="10" cm="1">
        <f t="array" ref="Q1199">IFERROR(INDEX(Sheet4!$2:$1605,MATCH(ChiTietKQKD[[#This Row],[Mã CP]],Sheet4!$B$2:$B$1605,0),_xlfn.XMATCH("*Tăng trưởng doanh thu thuần (QoQ)*",Sheet4!$1:$1,2)),"")</f>
        <v>-1.89E-2</v>
      </c>
      <c r="R1199" s="10" cm="1">
        <f t="array" ref="R1199">IFERROR(INDEX(Sheet4!$2:$1605,MATCH(ChiTietKQKD[[#This Row],[Mã CP]],Sheet4!$B$2:$B$1605,0),_xlfn.XMATCH("*Tăng trưởng lợi nhuận sau thuế (QoQ)*",Sheet4!$1:$1,2)),"")</f>
        <v>0.23139999999999999</v>
      </c>
    </row>
    <row r="1200" spans="1:18" x14ac:dyDescent="0.25">
      <c r="A1200" s="7">
        <f>Sheet4!A1179</f>
        <v>1178</v>
      </c>
      <c r="B1200" t="str">
        <f>Sheet4!B1179</f>
        <v>MLC</v>
      </c>
      <c r="C1200" t="str">
        <f>Sheet4!C1178</f>
        <v>Dược phẩm Mekophar</v>
      </c>
      <c r="D1200" t="str">
        <f>Sheet4!D1179</f>
        <v>UPCoM</v>
      </c>
      <c r="E1200" s="7">
        <f>Sheet4!AH1179/1000000000</f>
        <v>85.091970000000003</v>
      </c>
      <c r="F1200" t="str">
        <f>Sheet4!E1179</f>
        <v>Công nghiệp</v>
      </c>
      <c r="G1200" t="str">
        <f>Sheet4!F1179</f>
        <v>Hàng &amp; Dịch vụ Công nghiệp</v>
      </c>
      <c r="H1200" t="str">
        <f>Sheet4!G1179</f>
        <v>Chất thải &amp; Môi trường</v>
      </c>
      <c r="I1200" s="9" t="str" cm="1">
        <f t="array" ref="I120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00" s="9" t="str" cm="1">
        <f t="array" ref="J120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00" s="10" cm="1">
        <f t="array" ref="K120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00" s="10" cm="1">
        <f t="array" ref="L120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00" s="9" t="str" cm="1">
        <f t="array" ref="M120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00" s="9" t="str" cm="1">
        <f t="array" ref="N120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00" s="10" cm="1">
        <f t="array" ref="O1200">IFERROR(INDEX(Sheet4!$2:$1605,MATCH(ChiTietKQKD[[#This Row],[Mã CP]],Sheet4!$B$2:$B$1605,0),_xlfn.XMATCH("*Tăng trưởng lợi nhuận sau thuế (YoY) (Quý*",Sheet4!$1:$1,2)),"")</f>
        <v>0</v>
      </c>
      <c r="P1200" s="10" cm="1">
        <f t="array" ref="P1200">IFERROR(INDEX(Sheet4!$2:$1605,MATCH(ChiTietKQKD[[#This Row],[Mã CP]],Sheet4!$B$2:$B$1605,0),_xlfn.XMATCH("*Tăng trưởng lợi nhuận sau thuế (YoY) (6M)*",Sheet4!$1:$1,2)),"")</f>
        <v>0</v>
      </c>
      <c r="Q1200" s="10" cm="1">
        <f t="array" ref="Q1200">IFERROR(INDEX(Sheet4!$2:$1605,MATCH(ChiTietKQKD[[#This Row],[Mã CP]],Sheet4!$B$2:$B$1605,0),_xlfn.XMATCH("*Tăng trưởng doanh thu thuần (QoQ)*",Sheet4!$1:$1,2)),"")</f>
        <v>0</v>
      </c>
      <c r="R1200" s="10" cm="1">
        <f t="array" ref="R1200">IFERROR(INDEX(Sheet4!$2:$1605,MATCH(ChiTietKQKD[[#This Row],[Mã CP]],Sheet4!$B$2:$B$1605,0),_xlfn.XMATCH("*Tăng trưởng lợi nhuận sau thuế (QoQ)*",Sheet4!$1:$1,2)),"")</f>
        <v>0</v>
      </c>
    </row>
    <row r="1201" spans="1:18" x14ac:dyDescent="0.25">
      <c r="A1201" s="7">
        <f>Sheet4!A1180</f>
        <v>1179</v>
      </c>
      <c r="B1201" t="str">
        <f>Sheet4!B1180</f>
        <v>MLS</v>
      </c>
      <c r="C1201" t="str">
        <f>Sheet4!C1179</f>
        <v>Môi trường Đô thị Tỉnh Lào Cai</v>
      </c>
      <c r="D1201" t="str">
        <f>Sheet4!D1180</f>
        <v>UPCoM</v>
      </c>
      <c r="E1201" s="7">
        <f>Sheet4!AH1180/1000000000</f>
        <v>63.6</v>
      </c>
      <c r="F1201" t="str">
        <f>Sheet4!E1180</f>
        <v>Hàng Tiêu dùng</v>
      </c>
      <c r="G1201" t="str">
        <f>Sheet4!F1180</f>
        <v>Thực phẩm và đồ uống</v>
      </c>
      <c r="H1201" t="str">
        <f>Sheet4!G1180</f>
        <v>Nuôi trồng nông &amp; hải sản</v>
      </c>
      <c r="I1201" s="9" t="str" cm="1">
        <f t="array" ref="I120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01" s="9" t="str" cm="1">
        <f t="array" ref="J120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01" s="10" cm="1">
        <f t="array" ref="K120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01" s="10" cm="1">
        <f t="array" ref="L120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01" s="9" t="str" cm="1">
        <f t="array" ref="M120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01" s="9" t="str" cm="1">
        <f t="array" ref="N120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01" s="10" cm="1">
        <f t="array" ref="O1201">IFERROR(INDEX(Sheet4!$2:$1605,MATCH(ChiTietKQKD[[#This Row],[Mã CP]],Sheet4!$B$2:$B$1605,0),_xlfn.XMATCH("*Tăng trưởng lợi nhuận sau thuế (YoY) (Quý*",Sheet4!$1:$1,2)),"")</f>
        <v>0</v>
      </c>
      <c r="P1201" s="10" cm="1">
        <f t="array" ref="P1201">IFERROR(INDEX(Sheet4!$2:$1605,MATCH(ChiTietKQKD[[#This Row],[Mã CP]],Sheet4!$B$2:$B$1605,0),_xlfn.XMATCH("*Tăng trưởng lợi nhuận sau thuế (YoY) (6M)*",Sheet4!$1:$1,2)),"")</f>
        <v>0</v>
      </c>
      <c r="Q1201" s="10" cm="1">
        <f t="array" ref="Q1201">IFERROR(INDEX(Sheet4!$2:$1605,MATCH(ChiTietKQKD[[#This Row],[Mã CP]],Sheet4!$B$2:$B$1605,0),_xlfn.XMATCH("*Tăng trưởng doanh thu thuần (QoQ)*",Sheet4!$1:$1,2)),"")</f>
        <v>0</v>
      </c>
      <c r="R1201" s="10" cm="1">
        <f t="array" ref="R1201">IFERROR(INDEX(Sheet4!$2:$1605,MATCH(ChiTietKQKD[[#This Row],[Mã CP]],Sheet4!$B$2:$B$1605,0),_xlfn.XMATCH("*Tăng trưởng lợi nhuận sau thuế (QoQ)*",Sheet4!$1:$1,2)),"")</f>
        <v>0</v>
      </c>
    </row>
    <row r="1202" spans="1:18" x14ac:dyDescent="0.25">
      <c r="A1202" s="7">
        <f>Sheet4!A1181</f>
        <v>1180</v>
      </c>
      <c r="B1202" t="str">
        <f>Sheet4!B1181</f>
        <v>MML</v>
      </c>
      <c r="C1202" t="str">
        <f>Sheet4!C1180</f>
        <v>Chăn nuôi Mitraco</v>
      </c>
      <c r="D1202" t="str">
        <f>Sheet4!D1181</f>
        <v>UPCoM</v>
      </c>
      <c r="E1202" s="7">
        <f>Sheet4!AH1181/1000000000</f>
        <v>9403.8868308210003</v>
      </c>
      <c r="F1202" t="str">
        <f>Sheet4!E1181</f>
        <v>Hàng Tiêu dùng</v>
      </c>
      <c r="G1202" t="str">
        <f>Sheet4!F1181</f>
        <v>Thực phẩm và đồ uống</v>
      </c>
      <c r="H1202" t="str">
        <f>Sheet4!G1181</f>
        <v>Thực phẩm</v>
      </c>
      <c r="I1202" s="9" t="str" cm="1">
        <f t="array" ref="I120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02" s="9" t="str" cm="1">
        <f t="array" ref="J120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02" s="10" cm="1">
        <f t="array" ref="K120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02" s="10" cm="1">
        <f t="array" ref="L120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02" s="9" t="str" cm="1">
        <f t="array" ref="M120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02" s="9" t="str" cm="1">
        <f t="array" ref="N120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02" s="10" cm="1">
        <f t="array" ref="O1202">IFERROR(INDEX(Sheet4!$2:$1605,MATCH(ChiTietKQKD[[#This Row],[Mã CP]],Sheet4!$B$2:$B$1605,0),_xlfn.XMATCH("*Tăng trưởng lợi nhuận sau thuế (YoY) (Quý*",Sheet4!$1:$1,2)),"")</f>
        <v>0</v>
      </c>
      <c r="P1202" s="10" cm="1">
        <f t="array" ref="P1202">IFERROR(INDEX(Sheet4!$2:$1605,MATCH(ChiTietKQKD[[#This Row],[Mã CP]],Sheet4!$B$2:$B$1605,0),_xlfn.XMATCH("*Tăng trưởng lợi nhuận sau thuế (YoY) (6M)*",Sheet4!$1:$1,2)),"")</f>
        <v>0</v>
      </c>
      <c r="Q1202" s="10" cm="1">
        <f t="array" ref="Q1202">IFERROR(INDEX(Sheet4!$2:$1605,MATCH(ChiTietKQKD[[#This Row],[Mã CP]],Sheet4!$B$2:$B$1605,0),_xlfn.XMATCH("*Tăng trưởng doanh thu thuần (QoQ)*",Sheet4!$1:$1,2)),"")</f>
        <v>0</v>
      </c>
      <c r="R1202" s="10" cm="1">
        <f t="array" ref="R1202">IFERROR(INDEX(Sheet4!$2:$1605,MATCH(ChiTietKQKD[[#This Row],[Mã CP]],Sheet4!$B$2:$B$1605,0),_xlfn.XMATCH("*Tăng trưởng lợi nhuận sau thuế (QoQ)*",Sheet4!$1:$1,2)),"")</f>
        <v>0</v>
      </c>
    </row>
    <row r="1203" spans="1:18" x14ac:dyDescent="0.25">
      <c r="A1203" s="7">
        <f>Sheet4!A1182</f>
        <v>1181</v>
      </c>
      <c r="B1203" t="str">
        <f>Sheet4!B1182</f>
        <v>MNB</v>
      </c>
      <c r="C1203" t="str">
        <f>Sheet4!C1181</f>
        <v>Masan MEATLife</v>
      </c>
      <c r="D1203" t="str">
        <f>Sheet4!D1182</f>
        <v>UPCoM</v>
      </c>
      <c r="E1203" s="7">
        <f>Sheet4!AH1182/1000000000</f>
        <v>560</v>
      </c>
      <c r="F1203" t="str">
        <f>Sheet4!E1182</f>
        <v>Hàng Tiêu dùng</v>
      </c>
      <c r="G1203" t="str">
        <f>Sheet4!F1182</f>
        <v>Hàng cá nhân &amp; Gia dụng</v>
      </c>
      <c r="H1203" t="str">
        <f>Sheet4!G1182</f>
        <v>Hàng May mặc</v>
      </c>
      <c r="I1203" s="9" t="str" cm="1">
        <f t="array" ref="I120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03" s="9" t="str" cm="1">
        <f t="array" ref="J120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03" s="10" cm="1">
        <f t="array" ref="K120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03" s="10" cm="1">
        <f t="array" ref="L120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03" s="9" t="str" cm="1">
        <f t="array" ref="M120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03" s="9" t="str" cm="1">
        <f t="array" ref="N120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03" s="10" cm="1">
        <f t="array" ref="O1203">IFERROR(INDEX(Sheet4!$2:$1605,MATCH(ChiTietKQKD[[#This Row],[Mã CP]],Sheet4!$B$2:$B$1605,0),_xlfn.XMATCH("*Tăng trưởng lợi nhuận sau thuế (YoY) (Quý*",Sheet4!$1:$1,2)),"")</f>
        <v>0</v>
      </c>
      <c r="P1203" s="10" cm="1">
        <f t="array" ref="P1203">IFERROR(INDEX(Sheet4!$2:$1605,MATCH(ChiTietKQKD[[#This Row],[Mã CP]],Sheet4!$B$2:$B$1605,0),_xlfn.XMATCH("*Tăng trưởng lợi nhuận sau thuế (YoY) (6M)*",Sheet4!$1:$1,2)),"")</f>
        <v>0</v>
      </c>
      <c r="Q1203" s="10" cm="1">
        <f t="array" ref="Q1203">IFERROR(INDEX(Sheet4!$2:$1605,MATCH(ChiTietKQKD[[#This Row],[Mã CP]],Sheet4!$B$2:$B$1605,0),_xlfn.XMATCH("*Tăng trưởng doanh thu thuần (QoQ)*",Sheet4!$1:$1,2)),"")</f>
        <v>0</v>
      </c>
      <c r="R1203" s="10" cm="1">
        <f t="array" ref="R1203">IFERROR(INDEX(Sheet4!$2:$1605,MATCH(ChiTietKQKD[[#This Row],[Mã CP]],Sheet4!$B$2:$B$1605,0),_xlfn.XMATCH("*Tăng trưởng lợi nhuận sau thuế (QoQ)*",Sheet4!$1:$1,2)),"")</f>
        <v>0</v>
      </c>
    </row>
    <row r="1204" spans="1:18" x14ac:dyDescent="0.25">
      <c r="A1204" s="7">
        <f>Sheet4!A1183</f>
        <v>1182</v>
      </c>
      <c r="B1204" t="str">
        <f>Sheet4!B1183</f>
        <v>MND</v>
      </c>
      <c r="C1204" t="str">
        <f>Sheet4!C1182</f>
        <v>May Nhà Bè</v>
      </c>
      <c r="D1204" t="str">
        <f>Sheet4!D1183</f>
        <v>UPCoM</v>
      </c>
      <c r="E1204" s="7">
        <f>Sheet4!AH1183/1000000000</f>
        <v>21.944749999999999</v>
      </c>
      <c r="F1204" t="str">
        <f>Sheet4!E1183</f>
        <v>Công nghiệp</v>
      </c>
      <c r="G1204" t="str">
        <f>Sheet4!F1183</f>
        <v>Hàng &amp; Dịch vụ Công nghiệp</v>
      </c>
      <c r="H1204" t="str">
        <f>Sheet4!G1183</f>
        <v>Chất thải &amp; Môi trường</v>
      </c>
      <c r="I1204" s="9" t="str" cm="1">
        <f t="array" ref="I120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04" s="9" t="str" cm="1">
        <f t="array" ref="J120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04" s="10" cm="1">
        <f t="array" ref="K120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04" s="10" cm="1">
        <f t="array" ref="L120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04" s="9" t="str" cm="1">
        <f t="array" ref="M120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04" s="9" t="str" cm="1">
        <f t="array" ref="N120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04" s="10" cm="1">
        <f t="array" ref="O1204">IFERROR(INDEX(Sheet4!$2:$1605,MATCH(ChiTietKQKD[[#This Row],[Mã CP]],Sheet4!$B$2:$B$1605,0),_xlfn.XMATCH("*Tăng trưởng lợi nhuận sau thuế (YoY) (Quý*",Sheet4!$1:$1,2)),"")</f>
        <v>0</v>
      </c>
      <c r="P1204" s="10" cm="1">
        <f t="array" ref="P1204">IFERROR(INDEX(Sheet4!$2:$1605,MATCH(ChiTietKQKD[[#This Row],[Mã CP]],Sheet4!$B$2:$B$1605,0),_xlfn.XMATCH("*Tăng trưởng lợi nhuận sau thuế (YoY) (6M)*",Sheet4!$1:$1,2)),"")</f>
        <v>0</v>
      </c>
      <c r="Q1204" s="10" cm="1">
        <f t="array" ref="Q1204">IFERROR(INDEX(Sheet4!$2:$1605,MATCH(ChiTietKQKD[[#This Row],[Mã CP]],Sheet4!$B$2:$B$1605,0),_xlfn.XMATCH("*Tăng trưởng doanh thu thuần (QoQ)*",Sheet4!$1:$1,2)),"")</f>
        <v>0</v>
      </c>
      <c r="R1204" s="10" cm="1">
        <f t="array" ref="R1204">IFERROR(INDEX(Sheet4!$2:$1605,MATCH(ChiTietKQKD[[#This Row],[Mã CP]],Sheet4!$B$2:$B$1605,0),_xlfn.XMATCH("*Tăng trưởng lợi nhuận sau thuế (QoQ)*",Sheet4!$1:$1,2)),"")</f>
        <v>0</v>
      </c>
    </row>
    <row r="1205" spans="1:18" x14ac:dyDescent="0.25">
      <c r="A1205" s="7">
        <f>Sheet4!A1184</f>
        <v>1183</v>
      </c>
      <c r="B1205" t="str">
        <f>Sheet4!B1184</f>
        <v>MPC</v>
      </c>
      <c r="C1205" t="str">
        <f>Sheet4!C1183</f>
        <v>Môi trường Nam Định</v>
      </c>
      <c r="D1205" t="str">
        <f>Sheet4!D1184</f>
        <v>UPCoM</v>
      </c>
      <c r="E1205" s="7">
        <f>Sheet4!AH1184/1000000000</f>
        <v>5852.3479630000002</v>
      </c>
      <c r="F1205" t="str">
        <f>Sheet4!E1184</f>
        <v>Hàng Tiêu dùng</v>
      </c>
      <c r="G1205" t="str">
        <f>Sheet4!F1184</f>
        <v>Thực phẩm và đồ uống</v>
      </c>
      <c r="H1205" t="str">
        <f>Sheet4!G1184</f>
        <v>Nuôi trồng nông &amp; hải sản</v>
      </c>
      <c r="I1205" s="9" t="str" cm="1">
        <f t="array" ref="I120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05" s="9" t="str" cm="1">
        <f t="array" ref="J120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05" s="10" cm="1">
        <f t="array" ref="K120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05" s="10" cm="1">
        <f t="array" ref="L120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05" s="9" t="str" cm="1">
        <f t="array" ref="M120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05" s="9" t="str" cm="1">
        <f t="array" ref="N120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05" s="10" cm="1">
        <f t="array" ref="O1205">IFERROR(INDEX(Sheet4!$2:$1605,MATCH(ChiTietKQKD[[#This Row],[Mã CP]],Sheet4!$B$2:$B$1605,0),_xlfn.XMATCH("*Tăng trưởng lợi nhuận sau thuế (YoY) (Quý*",Sheet4!$1:$1,2)),"")</f>
        <v>0</v>
      </c>
      <c r="P1205" s="10" cm="1">
        <f t="array" ref="P1205">IFERROR(INDEX(Sheet4!$2:$1605,MATCH(ChiTietKQKD[[#This Row],[Mã CP]],Sheet4!$B$2:$B$1605,0),_xlfn.XMATCH("*Tăng trưởng lợi nhuận sau thuế (YoY) (6M)*",Sheet4!$1:$1,2)),"")</f>
        <v>0</v>
      </c>
      <c r="Q1205" s="10" cm="1">
        <f t="array" ref="Q1205">IFERROR(INDEX(Sheet4!$2:$1605,MATCH(ChiTietKQKD[[#This Row],[Mã CP]],Sheet4!$B$2:$B$1605,0),_xlfn.XMATCH("*Tăng trưởng doanh thu thuần (QoQ)*",Sheet4!$1:$1,2)),"")</f>
        <v>0</v>
      </c>
      <c r="R1205" s="10" cm="1">
        <f t="array" ref="R1205">IFERROR(INDEX(Sheet4!$2:$1605,MATCH(ChiTietKQKD[[#This Row],[Mã CP]],Sheet4!$B$2:$B$1605,0),_xlfn.XMATCH("*Tăng trưởng lợi nhuận sau thuế (QoQ)*",Sheet4!$1:$1,2)),"")</f>
        <v>0</v>
      </c>
    </row>
    <row r="1206" spans="1:18" x14ac:dyDescent="0.25">
      <c r="A1206" s="7">
        <f>Sheet4!A1185</f>
        <v>1184</v>
      </c>
      <c r="B1206" t="str">
        <f>Sheet4!B1185</f>
        <v>MPT</v>
      </c>
      <c r="C1206" t="str">
        <f>Sheet4!C1184</f>
        <v>Thủy sản Minh Phú</v>
      </c>
      <c r="D1206" t="str">
        <f>Sheet4!D1185</f>
        <v>UPCoM</v>
      </c>
      <c r="E1206" s="7">
        <f>Sheet4!AH1185/1000000000</f>
        <v>13.685731199999999</v>
      </c>
      <c r="F1206" t="str">
        <f>Sheet4!E1185</f>
        <v>Hàng Tiêu dùng</v>
      </c>
      <c r="G1206" t="str">
        <f>Sheet4!F1185</f>
        <v>Hàng cá nhân &amp; Gia dụng</v>
      </c>
      <c r="H1206" t="str">
        <f>Sheet4!G1185</f>
        <v>Hàng May mặc</v>
      </c>
      <c r="I1206" s="9" t="str" cm="1">
        <f t="array" ref="I120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06" s="9" t="str" cm="1">
        <f t="array" ref="J120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06" s="10" cm="1">
        <f t="array" ref="K120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06" s="10" cm="1">
        <f t="array" ref="L120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06" s="9" t="str" cm="1">
        <f t="array" ref="M120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06" s="9" t="str" cm="1">
        <f t="array" ref="N120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06" s="10" cm="1">
        <f t="array" ref="O1206">IFERROR(INDEX(Sheet4!$2:$1605,MATCH(ChiTietKQKD[[#This Row],[Mã CP]],Sheet4!$B$2:$B$1605,0),_xlfn.XMATCH("*Tăng trưởng lợi nhuận sau thuế (YoY) (Quý*",Sheet4!$1:$1,2)),"")</f>
        <v>0</v>
      </c>
      <c r="P1206" s="10" cm="1">
        <f t="array" ref="P1206">IFERROR(INDEX(Sheet4!$2:$1605,MATCH(ChiTietKQKD[[#This Row],[Mã CP]],Sheet4!$B$2:$B$1605,0),_xlfn.XMATCH("*Tăng trưởng lợi nhuận sau thuế (YoY) (6M)*",Sheet4!$1:$1,2)),"")</f>
        <v>0</v>
      </c>
      <c r="Q1206" s="10" cm="1">
        <f t="array" ref="Q1206">IFERROR(INDEX(Sheet4!$2:$1605,MATCH(ChiTietKQKD[[#This Row],[Mã CP]],Sheet4!$B$2:$B$1605,0),_xlfn.XMATCH("*Tăng trưởng doanh thu thuần (QoQ)*",Sheet4!$1:$1,2)),"")</f>
        <v>0</v>
      </c>
      <c r="R1206" s="10" cm="1">
        <f t="array" ref="R1206">IFERROR(INDEX(Sheet4!$2:$1605,MATCH(ChiTietKQKD[[#This Row],[Mã CP]],Sheet4!$B$2:$B$1605,0),_xlfn.XMATCH("*Tăng trưởng lợi nhuận sau thuế (QoQ)*",Sheet4!$1:$1,2)),"")</f>
        <v>0</v>
      </c>
    </row>
    <row r="1207" spans="1:18" x14ac:dyDescent="0.25">
      <c r="A1207" s="7">
        <f>Sheet4!A1186</f>
        <v>1185</v>
      </c>
      <c r="B1207" t="str">
        <f>Sheet4!B1186</f>
        <v>MPY</v>
      </c>
      <c r="C1207" t="str">
        <f>Sheet4!C1185</f>
        <v>Tập đoàn MPT</v>
      </c>
      <c r="D1207" t="str">
        <f>Sheet4!D1186</f>
        <v>UPCoM</v>
      </c>
      <c r="E1207" s="7">
        <f>Sheet4!AH1186/1000000000</f>
        <v>123.4743</v>
      </c>
      <c r="F1207" t="str">
        <f>Sheet4!E1186</f>
        <v>Công nghiệp</v>
      </c>
      <c r="G1207" t="str">
        <f>Sheet4!F1186</f>
        <v>Hàng &amp; Dịch vụ Công nghiệp</v>
      </c>
      <c r="H1207" t="str">
        <f>Sheet4!G1186</f>
        <v>Chất thải &amp; Môi trường</v>
      </c>
      <c r="I1207" s="9" t="str" cm="1">
        <f t="array" ref="I120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07" s="9" t="str" cm="1">
        <f t="array" ref="J120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07" s="10" cm="1">
        <f t="array" ref="K120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07" s="10" cm="1">
        <f t="array" ref="L120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07" s="9" t="str" cm="1">
        <f t="array" ref="M120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07" s="9" t="str" cm="1">
        <f t="array" ref="N120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07" s="10" cm="1">
        <f t="array" ref="O1207">IFERROR(INDEX(Sheet4!$2:$1605,MATCH(ChiTietKQKD[[#This Row],[Mã CP]],Sheet4!$B$2:$B$1605,0),_xlfn.XMATCH("*Tăng trưởng lợi nhuận sau thuế (YoY) (Quý*",Sheet4!$1:$1,2)),"")</f>
        <v>0</v>
      </c>
      <c r="P1207" s="10" cm="1">
        <f t="array" ref="P1207">IFERROR(INDEX(Sheet4!$2:$1605,MATCH(ChiTietKQKD[[#This Row],[Mã CP]],Sheet4!$B$2:$B$1605,0),_xlfn.XMATCH("*Tăng trưởng lợi nhuận sau thuế (YoY) (6M)*",Sheet4!$1:$1,2)),"")</f>
        <v>0</v>
      </c>
      <c r="Q1207" s="10" cm="1">
        <f t="array" ref="Q1207">IFERROR(INDEX(Sheet4!$2:$1605,MATCH(ChiTietKQKD[[#This Row],[Mã CP]],Sheet4!$B$2:$B$1605,0),_xlfn.XMATCH("*Tăng trưởng doanh thu thuần (QoQ)*",Sheet4!$1:$1,2)),"")</f>
        <v>0</v>
      </c>
      <c r="R1207" s="10" cm="1">
        <f t="array" ref="R1207">IFERROR(INDEX(Sheet4!$2:$1605,MATCH(ChiTietKQKD[[#This Row],[Mã CP]],Sheet4!$B$2:$B$1605,0),_xlfn.XMATCH("*Tăng trưởng lợi nhuận sau thuế (QoQ)*",Sheet4!$1:$1,2)),"")</f>
        <v>0</v>
      </c>
    </row>
    <row r="1208" spans="1:18" x14ac:dyDescent="0.25">
      <c r="A1208" s="7">
        <f>Sheet4!A1187</f>
        <v>1186</v>
      </c>
      <c r="B1208" t="str">
        <f>Sheet4!B1187</f>
        <v>MQB</v>
      </c>
      <c r="C1208" t="str">
        <f>Sheet4!C1186</f>
        <v>Môi trường đô thị Phú Yên</v>
      </c>
      <c r="D1208" t="str">
        <f>Sheet4!D1187</f>
        <v>UPCoM</v>
      </c>
      <c r="E1208" s="7">
        <f>Sheet4!AH1187/1000000000</f>
        <v>18.745942500000002</v>
      </c>
      <c r="F1208" t="str">
        <f>Sheet4!E1187</f>
        <v>Công nghiệp</v>
      </c>
      <c r="G1208" t="str">
        <f>Sheet4!F1187</f>
        <v>Hàng &amp; Dịch vụ Công nghiệp</v>
      </c>
      <c r="H1208" t="str">
        <f>Sheet4!G1187</f>
        <v>Chất thải &amp; Môi trường</v>
      </c>
      <c r="I1208" s="9" t="str" cm="1">
        <f t="array" ref="I120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08" s="9" t="str" cm="1">
        <f t="array" ref="J120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08" s="10" cm="1">
        <f t="array" ref="K120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08" s="10" cm="1">
        <f t="array" ref="L120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08" s="9" t="str" cm="1">
        <f t="array" ref="M120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08" s="9" t="str" cm="1">
        <f t="array" ref="N120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08" s="10" cm="1">
        <f t="array" ref="O1208">IFERROR(INDEX(Sheet4!$2:$1605,MATCH(ChiTietKQKD[[#This Row],[Mã CP]],Sheet4!$B$2:$B$1605,0),_xlfn.XMATCH("*Tăng trưởng lợi nhuận sau thuế (YoY) (Quý*",Sheet4!$1:$1,2)),"")</f>
        <v>0</v>
      </c>
      <c r="P1208" s="10" cm="1">
        <f t="array" ref="P1208">IFERROR(INDEX(Sheet4!$2:$1605,MATCH(ChiTietKQKD[[#This Row],[Mã CP]],Sheet4!$B$2:$B$1605,0),_xlfn.XMATCH("*Tăng trưởng lợi nhuận sau thuế (YoY) (6M)*",Sheet4!$1:$1,2)),"")</f>
        <v>0</v>
      </c>
      <c r="Q1208" s="10" cm="1">
        <f t="array" ref="Q1208">IFERROR(INDEX(Sheet4!$2:$1605,MATCH(ChiTietKQKD[[#This Row],[Mã CP]],Sheet4!$B$2:$B$1605,0),_xlfn.XMATCH("*Tăng trưởng doanh thu thuần (QoQ)*",Sheet4!$1:$1,2)),"")</f>
        <v>0</v>
      </c>
      <c r="R1208" s="10" cm="1">
        <f t="array" ref="R1208">IFERROR(INDEX(Sheet4!$2:$1605,MATCH(ChiTietKQKD[[#This Row],[Mã CP]],Sheet4!$B$2:$B$1605,0),_xlfn.XMATCH("*Tăng trưởng lợi nhuận sau thuế (QoQ)*",Sheet4!$1:$1,2)),"")</f>
        <v>0</v>
      </c>
    </row>
    <row r="1209" spans="1:18" x14ac:dyDescent="0.25">
      <c r="A1209" s="7">
        <f>Sheet4!A1188</f>
        <v>1187</v>
      </c>
      <c r="B1209" t="str">
        <f>Sheet4!B1188</f>
        <v>MQN</v>
      </c>
      <c r="C1209" t="str">
        <f>Sheet4!C1187</f>
        <v>Môi trường và PT đô thị Quảng Bình</v>
      </c>
      <c r="D1209" t="str">
        <f>Sheet4!D1188</f>
        <v>UPCoM</v>
      </c>
      <c r="E1209" s="7">
        <f>Sheet4!AH1188/1000000000</f>
        <v>151.10105759999999</v>
      </c>
      <c r="F1209" t="str">
        <f>Sheet4!E1188</f>
        <v>Công nghiệp</v>
      </c>
      <c r="G1209" t="str">
        <f>Sheet4!F1188</f>
        <v>Hàng &amp; Dịch vụ Công nghiệp</v>
      </c>
      <c r="H1209" t="str">
        <f>Sheet4!G1188</f>
        <v>Chất thải &amp; Môi trường</v>
      </c>
      <c r="I1209" s="9" t="str" cm="1">
        <f t="array" ref="I120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09" s="9" t="str" cm="1">
        <f t="array" ref="J120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09" s="10" cm="1">
        <f t="array" ref="K120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09" s="10" cm="1">
        <f t="array" ref="L120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09" s="9" t="str" cm="1">
        <f t="array" ref="M120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09" s="9" t="str" cm="1">
        <f t="array" ref="N120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09" s="10" cm="1">
        <f t="array" ref="O1209">IFERROR(INDEX(Sheet4!$2:$1605,MATCH(ChiTietKQKD[[#This Row],[Mã CP]],Sheet4!$B$2:$B$1605,0),_xlfn.XMATCH("*Tăng trưởng lợi nhuận sau thuế (YoY) (Quý*",Sheet4!$1:$1,2)),"")</f>
        <v>0</v>
      </c>
      <c r="P1209" s="10" cm="1">
        <f t="array" ref="P1209">IFERROR(INDEX(Sheet4!$2:$1605,MATCH(ChiTietKQKD[[#This Row],[Mã CP]],Sheet4!$B$2:$B$1605,0),_xlfn.XMATCH("*Tăng trưởng lợi nhuận sau thuế (YoY) (6M)*",Sheet4!$1:$1,2)),"")</f>
        <v>0</v>
      </c>
      <c r="Q1209" s="10" cm="1">
        <f t="array" ref="Q1209">IFERROR(INDEX(Sheet4!$2:$1605,MATCH(ChiTietKQKD[[#This Row],[Mã CP]],Sheet4!$B$2:$B$1605,0),_xlfn.XMATCH("*Tăng trưởng doanh thu thuần (QoQ)*",Sheet4!$1:$1,2)),"")</f>
        <v>0</v>
      </c>
      <c r="R1209" s="10" cm="1">
        <f t="array" ref="R1209">IFERROR(INDEX(Sheet4!$2:$1605,MATCH(ChiTietKQKD[[#This Row],[Mã CP]],Sheet4!$B$2:$B$1605,0),_xlfn.XMATCH("*Tăng trưởng lợi nhuận sau thuế (QoQ)*",Sheet4!$1:$1,2)),"")</f>
        <v>0</v>
      </c>
    </row>
    <row r="1210" spans="1:18" x14ac:dyDescent="0.25">
      <c r="A1210" s="7">
        <f>Sheet4!A1189</f>
        <v>1188</v>
      </c>
      <c r="B1210" t="str">
        <f>Sheet4!B1189</f>
        <v>MRF</v>
      </c>
      <c r="C1210" t="str">
        <f>Sheet4!C1188</f>
        <v>Môi trường đô thị Quảng Ngãi</v>
      </c>
      <c r="D1210" t="str">
        <f>Sheet4!D1189</f>
        <v>UPCoM</v>
      </c>
      <c r="E1210" s="7">
        <f>Sheet4!AH1189/1000000000</f>
        <v>176.60167200000001</v>
      </c>
      <c r="F1210" t="str">
        <f>Sheet4!E1189</f>
        <v>Dược phẩm và Y tế</v>
      </c>
      <c r="G1210" t="str">
        <f>Sheet4!F1189</f>
        <v>Y tế</v>
      </c>
      <c r="H1210" t="str">
        <f>Sheet4!G1189</f>
        <v>Thiết bị y tế</v>
      </c>
      <c r="I1210" s="9" t="str" cm="1">
        <f t="array" ref="I121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10" s="9" t="str" cm="1">
        <f t="array" ref="J121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10" s="10" cm="1">
        <f t="array" ref="K121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10" s="10" cm="1">
        <f t="array" ref="L121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10" s="9" t="str" cm="1">
        <f t="array" ref="M121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10" s="9" t="str" cm="1">
        <f t="array" ref="N121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10" s="10" cm="1">
        <f t="array" ref="O1210">IFERROR(INDEX(Sheet4!$2:$1605,MATCH(ChiTietKQKD[[#This Row],[Mã CP]],Sheet4!$B$2:$B$1605,0),_xlfn.XMATCH("*Tăng trưởng lợi nhuận sau thuế (YoY) (Quý*",Sheet4!$1:$1,2)),"")</f>
        <v>0</v>
      </c>
      <c r="P1210" s="10" cm="1">
        <f t="array" ref="P1210">IFERROR(INDEX(Sheet4!$2:$1605,MATCH(ChiTietKQKD[[#This Row],[Mã CP]],Sheet4!$B$2:$B$1605,0),_xlfn.XMATCH("*Tăng trưởng lợi nhuận sau thuế (YoY) (6M)*",Sheet4!$1:$1,2)),"")</f>
        <v>0</v>
      </c>
      <c r="Q1210" s="10" cm="1">
        <f t="array" ref="Q1210">IFERROR(INDEX(Sheet4!$2:$1605,MATCH(ChiTietKQKD[[#This Row],[Mã CP]],Sheet4!$B$2:$B$1605,0),_xlfn.XMATCH("*Tăng trưởng doanh thu thuần (QoQ)*",Sheet4!$1:$1,2)),"")</f>
        <v>0</v>
      </c>
      <c r="R1210" s="10" cm="1">
        <f t="array" ref="R1210">IFERROR(INDEX(Sheet4!$2:$1605,MATCH(ChiTietKQKD[[#This Row],[Mã CP]],Sheet4!$B$2:$B$1605,0),_xlfn.XMATCH("*Tăng trưởng lợi nhuận sau thuế (QoQ)*",Sheet4!$1:$1,2)),"")</f>
        <v>0</v>
      </c>
    </row>
    <row r="1211" spans="1:18" x14ac:dyDescent="0.25">
      <c r="A1211" s="7">
        <f>Sheet4!A1190</f>
        <v>1189</v>
      </c>
      <c r="B1211" t="str">
        <f>Sheet4!B1190</f>
        <v>MSR</v>
      </c>
      <c r="C1211" t="str">
        <f>Sheet4!C1189</f>
        <v>Cao su y tế MERUFA</v>
      </c>
      <c r="D1211" t="str">
        <f>Sheet4!D1190</f>
        <v>UPCoM</v>
      </c>
      <c r="E1211" s="7">
        <f>Sheet4!AH1190/1000000000</f>
        <v>36574.830687599999</v>
      </c>
      <c r="F1211" t="str">
        <f>Sheet4!E1190</f>
        <v>Nguyên vật liệu</v>
      </c>
      <c r="G1211" t="str">
        <f>Sheet4!F1190</f>
        <v>Tài nguyên Cơ bản</v>
      </c>
      <c r="H1211" t="str">
        <f>Sheet4!G1190</f>
        <v>Khai khoáng</v>
      </c>
      <c r="I1211" s="9" t="str" cm="1">
        <f t="array" ref="I121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11" s="9" t="str" cm="1">
        <f t="array" ref="J121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11" s="10" cm="1">
        <f t="array" ref="K121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11" s="10" cm="1">
        <f t="array" ref="L121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11" s="9" t="str" cm="1">
        <f t="array" ref="M121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11" s="9" t="str" cm="1">
        <f t="array" ref="N121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11" s="10" cm="1">
        <f t="array" ref="O1211">IFERROR(INDEX(Sheet4!$2:$1605,MATCH(ChiTietKQKD[[#This Row],[Mã CP]],Sheet4!$B$2:$B$1605,0),_xlfn.XMATCH("*Tăng trưởng lợi nhuận sau thuế (YoY) (Quý*",Sheet4!$1:$1,2)),"")</f>
        <v>0</v>
      </c>
      <c r="P1211" s="10" cm="1">
        <f t="array" ref="P1211">IFERROR(INDEX(Sheet4!$2:$1605,MATCH(ChiTietKQKD[[#This Row],[Mã CP]],Sheet4!$B$2:$B$1605,0),_xlfn.XMATCH("*Tăng trưởng lợi nhuận sau thuế (YoY) (6M)*",Sheet4!$1:$1,2)),"")</f>
        <v>0</v>
      </c>
      <c r="Q1211" s="10" cm="1">
        <f t="array" ref="Q1211">IFERROR(INDEX(Sheet4!$2:$1605,MATCH(ChiTietKQKD[[#This Row],[Mã CP]],Sheet4!$B$2:$B$1605,0),_xlfn.XMATCH("*Tăng trưởng doanh thu thuần (QoQ)*",Sheet4!$1:$1,2)),"")</f>
        <v>0</v>
      </c>
      <c r="R1211" s="10" cm="1">
        <f t="array" ref="R1211">IFERROR(INDEX(Sheet4!$2:$1605,MATCH(ChiTietKQKD[[#This Row],[Mã CP]],Sheet4!$B$2:$B$1605,0),_xlfn.XMATCH("*Tăng trưởng lợi nhuận sau thuế (QoQ)*",Sheet4!$1:$1,2)),"")</f>
        <v>0</v>
      </c>
    </row>
    <row r="1212" spans="1:18" x14ac:dyDescent="0.25">
      <c r="A1212" s="7">
        <f>Sheet4!A1191</f>
        <v>1190</v>
      </c>
      <c r="B1212" t="str">
        <f>Sheet4!B1191</f>
        <v>MT7</v>
      </c>
      <c r="C1212" t="str">
        <f>Sheet4!C1190</f>
        <v>Masan High-Tech Materials</v>
      </c>
      <c r="D1212" t="str">
        <f>Sheet4!D1191</f>
        <v>UPCoM</v>
      </c>
      <c r="E1212" s="7">
        <f>Sheet4!AH1191/1000000000</f>
        <v>0</v>
      </c>
      <c r="F1212" t="str">
        <f>Sheet4!E1191</f>
        <v>Dịch vụ Tiêu dùng</v>
      </c>
      <c r="G1212" t="str">
        <f>Sheet4!F1191</f>
        <v>Du lịch và Giải trí</v>
      </c>
      <c r="H1212" t="str">
        <f>Sheet4!G1191</f>
        <v>Nhà hàng và quán bar</v>
      </c>
      <c r="I1212" s="9" t="str" cm="1">
        <f t="array" ref="I121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12" s="9" t="str" cm="1">
        <f t="array" ref="J121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12" s="10" cm="1">
        <f t="array" ref="K121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12" s="10" cm="1">
        <f t="array" ref="L121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12" s="9" t="str" cm="1">
        <f t="array" ref="M121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12" s="9" t="str" cm="1">
        <f t="array" ref="N121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12" s="10" cm="1">
        <f t="array" ref="O1212">IFERROR(INDEX(Sheet4!$2:$1605,MATCH(ChiTietKQKD[[#This Row],[Mã CP]],Sheet4!$B$2:$B$1605,0),_xlfn.XMATCH("*Tăng trưởng lợi nhuận sau thuế (YoY) (Quý*",Sheet4!$1:$1,2)),"")</f>
        <v>0</v>
      </c>
      <c r="P1212" s="10" cm="1">
        <f t="array" ref="P1212">IFERROR(INDEX(Sheet4!$2:$1605,MATCH(ChiTietKQKD[[#This Row],[Mã CP]],Sheet4!$B$2:$B$1605,0),_xlfn.XMATCH("*Tăng trưởng lợi nhuận sau thuế (YoY) (6M)*",Sheet4!$1:$1,2)),"")</f>
        <v>0</v>
      </c>
      <c r="Q1212" s="10" cm="1">
        <f t="array" ref="Q1212">IFERROR(INDEX(Sheet4!$2:$1605,MATCH(ChiTietKQKD[[#This Row],[Mã CP]],Sheet4!$B$2:$B$1605,0),_xlfn.XMATCH("*Tăng trưởng doanh thu thuần (QoQ)*",Sheet4!$1:$1,2)),"")</f>
        <v>0</v>
      </c>
      <c r="R1212" s="10" cm="1">
        <f t="array" ref="R1212">IFERROR(INDEX(Sheet4!$2:$1605,MATCH(ChiTietKQKD[[#This Row],[Mã CP]],Sheet4!$B$2:$B$1605,0),_xlfn.XMATCH("*Tăng trưởng lợi nhuận sau thuế (QoQ)*",Sheet4!$1:$1,2)),"")</f>
        <v>0</v>
      </c>
    </row>
    <row r="1213" spans="1:18" x14ac:dyDescent="0.25">
      <c r="A1213" s="7">
        <f>Sheet4!A1192</f>
        <v>1191</v>
      </c>
      <c r="B1213" t="str">
        <f>Sheet4!B1192</f>
        <v>MT9</v>
      </c>
      <c r="C1213" t="str">
        <f>Sheet4!C1191</f>
        <v>Công Ty Cổ Phần Minh Thành</v>
      </c>
      <c r="D1213" t="str">
        <f>Sheet4!D1192</f>
        <v>UPCoM</v>
      </c>
      <c r="E1213" s="7">
        <f>Sheet4!AH1192/1000000000</f>
        <v>0</v>
      </c>
      <c r="F1213" t="str">
        <f>Sheet4!E1192</f>
        <v>Công nghiệp</v>
      </c>
      <c r="G1213" t="str">
        <f>Sheet4!F1192</f>
        <v>Xây dựng và Vật liệu</v>
      </c>
      <c r="H1213" t="str">
        <f>Sheet4!G1192</f>
        <v>Xây dựng</v>
      </c>
      <c r="I1213" s="9" t="str" cm="1">
        <f t="array" ref="I121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13" s="9" t="str" cm="1">
        <f t="array" ref="J121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13" s="10" cm="1">
        <f t="array" ref="K121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13" s="10" cm="1">
        <f t="array" ref="L121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13" s="9" t="str" cm="1">
        <f t="array" ref="M121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13" s="9" t="str" cm="1">
        <f t="array" ref="N121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13" s="10" cm="1">
        <f t="array" ref="O1213">IFERROR(INDEX(Sheet4!$2:$1605,MATCH(ChiTietKQKD[[#This Row],[Mã CP]],Sheet4!$B$2:$B$1605,0),_xlfn.XMATCH("*Tăng trưởng lợi nhuận sau thuế (YoY) (Quý*",Sheet4!$1:$1,2)),"")</f>
        <v>0</v>
      </c>
      <c r="P1213" s="10" cm="1">
        <f t="array" ref="P1213">IFERROR(INDEX(Sheet4!$2:$1605,MATCH(ChiTietKQKD[[#This Row],[Mã CP]],Sheet4!$B$2:$B$1605,0),_xlfn.XMATCH("*Tăng trưởng lợi nhuận sau thuế (YoY) (6M)*",Sheet4!$1:$1,2)),"")</f>
        <v>0</v>
      </c>
      <c r="Q1213" s="10" cm="1">
        <f t="array" ref="Q1213">IFERROR(INDEX(Sheet4!$2:$1605,MATCH(ChiTietKQKD[[#This Row],[Mã CP]],Sheet4!$B$2:$B$1605,0),_xlfn.XMATCH("*Tăng trưởng doanh thu thuần (QoQ)*",Sheet4!$1:$1,2)),"")</f>
        <v>0</v>
      </c>
      <c r="R1213" s="10" cm="1">
        <f t="array" ref="R1213">IFERROR(INDEX(Sheet4!$2:$1605,MATCH(ChiTietKQKD[[#This Row],[Mã CP]],Sheet4!$B$2:$B$1605,0),_xlfn.XMATCH("*Tăng trưởng lợi nhuận sau thuế (QoQ)*",Sheet4!$1:$1,2)),"")</f>
        <v>0</v>
      </c>
    </row>
    <row r="1214" spans="1:18" x14ac:dyDescent="0.25">
      <c r="A1214" s="7">
        <f>Sheet4!A1193</f>
        <v>1192</v>
      </c>
      <c r="B1214" t="str">
        <f>Sheet4!B1193</f>
        <v>MTA</v>
      </c>
      <c r="C1214" t="str">
        <f>Sheet4!C1192</f>
        <v>319 Miền Trung</v>
      </c>
      <c r="D1214" t="str">
        <f>Sheet4!D1193</f>
        <v>UPCoM</v>
      </c>
      <c r="E1214" s="7">
        <f>Sheet4!AH1193/1000000000</f>
        <v>1192.420076939</v>
      </c>
      <c r="F1214" t="str">
        <f>Sheet4!E1193</f>
        <v>Nguyên vật liệu</v>
      </c>
      <c r="G1214" t="str">
        <f>Sheet4!F1193</f>
        <v>Tài nguyên Cơ bản</v>
      </c>
      <c r="H1214" t="str">
        <f>Sheet4!G1193</f>
        <v>Khai khoáng</v>
      </c>
      <c r="I1214" s="9" t="str" cm="1">
        <f t="array" ref="I121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14" s="9" t="str" cm="1">
        <f t="array" ref="J121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14" s="10" cm="1">
        <f t="array" ref="K121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14" s="10" cm="1">
        <f t="array" ref="L121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14" s="9" t="str" cm="1">
        <f t="array" ref="M121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14" s="9" t="str" cm="1">
        <f t="array" ref="N121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14" s="10" cm="1">
        <f t="array" ref="O1214">IFERROR(INDEX(Sheet4!$2:$1605,MATCH(ChiTietKQKD[[#This Row],[Mã CP]],Sheet4!$B$2:$B$1605,0),_xlfn.XMATCH("*Tăng trưởng lợi nhuận sau thuế (YoY) (Quý*",Sheet4!$1:$1,2)),"")</f>
        <v>0</v>
      </c>
      <c r="P1214" s="10" cm="1">
        <f t="array" ref="P1214">IFERROR(INDEX(Sheet4!$2:$1605,MATCH(ChiTietKQKD[[#This Row],[Mã CP]],Sheet4!$B$2:$B$1605,0),_xlfn.XMATCH("*Tăng trưởng lợi nhuận sau thuế (YoY) (6M)*",Sheet4!$1:$1,2)),"")</f>
        <v>0</v>
      </c>
      <c r="Q1214" s="10" cm="1">
        <f t="array" ref="Q1214">IFERROR(INDEX(Sheet4!$2:$1605,MATCH(ChiTietKQKD[[#This Row],[Mã CP]],Sheet4!$B$2:$B$1605,0),_xlfn.XMATCH("*Tăng trưởng doanh thu thuần (QoQ)*",Sheet4!$1:$1,2)),"")</f>
        <v>0</v>
      </c>
      <c r="R1214" s="10" cm="1">
        <f t="array" ref="R1214">IFERROR(INDEX(Sheet4!$2:$1605,MATCH(ChiTietKQKD[[#This Row],[Mã CP]],Sheet4!$B$2:$B$1605,0),_xlfn.XMATCH("*Tăng trưởng lợi nhuận sau thuế (QoQ)*",Sheet4!$1:$1,2)),"")</f>
        <v>0</v>
      </c>
    </row>
    <row r="1215" spans="1:18" x14ac:dyDescent="0.25">
      <c r="A1215" s="7">
        <f>Sheet4!A1194</f>
        <v>1193</v>
      </c>
      <c r="B1215" t="str">
        <f>Sheet4!B1194</f>
        <v>MTB</v>
      </c>
      <c r="C1215" t="str">
        <f>Sheet4!C1193</f>
        <v>Khoáng sản và TM Hà Tĩnh</v>
      </c>
      <c r="D1215" t="str">
        <f>Sheet4!D1194</f>
        <v>UPCoM</v>
      </c>
      <c r="E1215" s="7">
        <f>Sheet4!AH1194/1000000000</f>
        <v>61.526938199999996</v>
      </c>
      <c r="F1215" t="str">
        <f>Sheet4!E1194</f>
        <v>Công nghiệp</v>
      </c>
      <c r="G1215" t="str">
        <f>Sheet4!F1194</f>
        <v>Hàng &amp; Dịch vụ Công nghiệp</v>
      </c>
      <c r="H1215" t="str">
        <f>Sheet4!G1194</f>
        <v>Chất thải &amp; Môi trường</v>
      </c>
      <c r="I1215" s="9" t="str" cm="1">
        <f t="array" ref="I121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15" s="9" t="str" cm="1">
        <f t="array" ref="J121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15" s="10" cm="1">
        <f t="array" ref="K121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15" s="10" cm="1">
        <f t="array" ref="L121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15" s="9" t="str" cm="1">
        <f t="array" ref="M121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15" s="9" t="str" cm="1">
        <f t="array" ref="N121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15" s="10" cm="1">
        <f t="array" ref="O1215">IFERROR(INDEX(Sheet4!$2:$1605,MATCH(ChiTietKQKD[[#This Row],[Mã CP]],Sheet4!$B$2:$B$1605,0),_xlfn.XMATCH("*Tăng trưởng lợi nhuận sau thuế (YoY) (Quý*",Sheet4!$1:$1,2)),"")</f>
        <v>0</v>
      </c>
      <c r="P1215" s="10" cm="1">
        <f t="array" ref="P1215">IFERROR(INDEX(Sheet4!$2:$1605,MATCH(ChiTietKQKD[[#This Row],[Mã CP]],Sheet4!$B$2:$B$1605,0),_xlfn.XMATCH("*Tăng trưởng lợi nhuận sau thuế (YoY) (6M)*",Sheet4!$1:$1,2)),"")</f>
        <v>0</v>
      </c>
      <c r="Q1215" s="10" cm="1">
        <f t="array" ref="Q1215">IFERROR(INDEX(Sheet4!$2:$1605,MATCH(ChiTietKQKD[[#This Row],[Mã CP]],Sheet4!$B$2:$B$1605,0),_xlfn.XMATCH("*Tăng trưởng doanh thu thuần (QoQ)*",Sheet4!$1:$1,2)),"")</f>
        <v>0</v>
      </c>
      <c r="R1215" s="10" cm="1">
        <f t="array" ref="R1215">IFERROR(INDEX(Sheet4!$2:$1605,MATCH(ChiTietKQKD[[#This Row],[Mã CP]],Sheet4!$B$2:$B$1605,0),_xlfn.XMATCH("*Tăng trưởng lợi nhuận sau thuế (QoQ)*",Sheet4!$1:$1,2)),"")</f>
        <v>0</v>
      </c>
    </row>
    <row r="1216" spans="1:18" x14ac:dyDescent="0.25">
      <c r="A1216" s="7">
        <f>Sheet4!A1195</f>
        <v>1194</v>
      </c>
      <c r="B1216" t="str">
        <f>Sheet4!B1195</f>
        <v>MTG</v>
      </c>
      <c r="C1216" t="str">
        <f>Sheet4!C1194</f>
        <v>Công trình đô thị tỉnh Thái Bình</v>
      </c>
      <c r="D1216" t="str">
        <f>Sheet4!D1195</f>
        <v>UPCoM</v>
      </c>
      <c r="E1216" s="7">
        <f>Sheet4!AH1195/1000000000</f>
        <v>106.59</v>
      </c>
      <c r="F1216" t="str">
        <f>Sheet4!E1195</f>
        <v>Tiện ích Cộng đồng</v>
      </c>
      <c r="G1216" t="str">
        <f>Sheet4!F1195</f>
        <v>Điện, nước &amp; xăng dầu khí đốt</v>
      </c>
      <c r="H1216" t="str">
        <f>Sheet4!G1195</f>
        <v>Phân phối xăng dầu &amp; khí đốt</v>
      </c>
      <c r="I1216" s="9" t="str" cm="1">
        <f t="array" ref="I121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16" s="9" t="str" cm="1">
        <f t="array" ref="J121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16" s="10" cm="1">
        <f t="array" ref="K121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16" s="10" cm="1">
        <f t="array" ref="L121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16" s="9" t="str" cm="1">
        <f t="array" ref="M121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16" s="9" t="str" cm="1">
        <f t="array" ref="N121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16" s="10" cm="1">
        <f t="array" ref="O1216">IFERROR(INDEX(Sheet4!$2:$1605,MATCH(ChiTietKQKD[[#This Row],[Mã CP]],Sheet4!$B$2:$B$1605,0),_xlfn.XMATCH("*Tăng trưởng lợi nhuận sau thuế (YoY) (Quý*",Sheet4!$1:$1,2)),"")</f>
        <v>0</v>
      </c>
      <c r="P1216" s="10" cm="1">
        <f t="array" ref="P1216">IFERROR(INDEX(Sheet4!$2:$1605,MATCH(ChiTietKQKD[[#This Row],[Mã CP]],Sheet4!$B$2:$B$1605,0),_xlfn.XMATCH("*Tăng trưởng lợi nhuận sau thuế (YoY) (6M)*",Sheet4!$1:$1,2)),"")</f>
        <v>0</v>
      </c>
      <c r="Q1216" s="10" cm="1">
        <f t="array" ref="Q1216">IFERROR(INDEX(Sheet4!$2:$1605,MATCH(ChiTietKQKD[[#This Row],[Mã CP]],Sheet4!$B$2:$B$1605,0),_xlfn.XMATCH("*Tăng trưởng doanh thu thuần (QoQ)*",Sheet4!$1:$1,2)),"")</f>
        <v>0</v>
      </c>
      <c r="R1216" s="10" cm="1">
        <f t="array" ref="R1216">IFERROR(INDEX(Sheet4!$2:$1605,MATCH(ChiTietKQKD[[#This Row],[Mã CP]],Sheet4!$B$2:$B$1605,0),_xlfn.XMATCH("*Tăng trưởng lợi nhuận sau thuế (QoQ)*",Sheet4!$1:$1,2)),"")</f>
        <v>0</v>
      </c>
    </row>
    <row r="1217" spans="1:18" x14ac:dyDescent="0.25">
      <c r="A1217" s="7">
        <f>Sheet4!A1196</f>
        <v>1195</v>
      </c>
      <c r="B1217" t="str">
        <f>Sheet4!B1196</f>
        <v>MTH</v>
      </c>
      <c r="C1217" t="str">
        <f>Sheet4!C1195</f>
        <v>MTGAS</v>
      </c>
      <c r="D1217" t="str">
        <f>Sheet4!D1196</f>
        <v>UPCoM</v>
      </c>
      <c r="E1217" s="7">
        <f>Sheet4!AH1196/1000000000</f>
        <v>119.69775</v>
      </c>
      <c r="F1217" t="str">
        <f>Sheet4!E1196</f>
        <v>Công nghiệp</v>
      </c>
      <c r="G1217" t="str">
        <f>Sheet4!F1196</f>
        <v>Hàng &amp; Dịch vụ Công nghiệp</v>
      </c>
      <c r="H1217" t="str">
        <f>Sheet4!G1196</f>
        <v>Chất thải &amp; Môi trường</v>
      </c>
      <c r="I1217" s="9" t="str" cm="1">
        <f t="array" ref="I121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17" s="9" t="str" cm="1">
        <f t="array" ref="J121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17" s="10" cm="1">
        <f t="array" ref="K121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17" s="10" cm="1">
        <f t="array" ref="L121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17" s="9" t="str" cm="1">
        <f t="array" ref="M121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17" s="9" t="str" cm="1">
        <f t="array" ref="N121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17" s="10" cm="1">
        <f t="array" ref="O1217">IFERROR(INDEX(Sheet4!$2:$1605,MATCH(ChiTietKQKD[[#This Row],[Mã CP]],Sheet4!$B$2:$B$1605,0),_xlfn.XMATCH("*Tăng trưởng lợi nhuận sau thuế (YoY) (Quý*",Sheet4!$1:$1,2)),"")</f>
        <v>0</v>
      </c>
      <c r="P1217" s="10" cm="1">
        <f t="array" ref="P1217">IFERROR(INDEX(Sheet4!$2:$1605,MATCH(ChiTietKQKD[[#This Row],[Mã CP]],Sheet4!$B$2:$B$1605,0),_xlfn.XMATCH("*Tăng trưởng lợi nhuận sau thuế (YoY) (6M)*",Sheet4!$1:$1,2)),"")</f>
        <v>0</v>
      </c>
      <c r="Q1217" s="10" cm="1">
        <f t="array" ref="Q1217">IFERROR(INDEX(Sheet4!$2:$1605,MATCH(ChiTietKQKD[[#This Row],[Mã CP]],Sheet4!$B$2:$B$1605,0),_xlfn.XMATCH("*Tăng trưởng doanh thu thuần (QoQ)*",Sheet4!$1:$1,2)),"")</f>
        <v>0</v>
      </c>
      <c r="R1217" s="10" cm="1">
        <f t="array" ref="R1217">IFERROR(INDEX(Sheet4!$2:$1605,MATCH(ChiTietKQKD[[#This Row],[Mã CP]],Sheet4!$B$2:$B$1605,0),_xlfn.XMATCH("*Tăng trưởng lợi nhuận sau thuế (QoQ)*",Sheet4!$1:$1,2)),"")</f>
        <v>0</v>
      </c>
    </row>
    <row r="1218" spans="1:18" x14ac:dyDescent="0.25">
      <c r="A1218" s="7">
        <f>Sheet4!A1197</f>
        <v>1196</v>
      </c>
      <c r="B1218" t="str">
        <f>Sheet4!B1197</f>
        <v>MTL</v>
      </c>
      <c r="C1218" t="str">
        <f>Sheet4!C1196</f>
        <v>Môi trường Đô thị Hà Đông</v>
      </c>
      <c r="D1218" t="str">
        <f>Sheet4!D1197</f>
        <v>UPCoM</v>
      </c>
      <c r="E1218" s="7">
        <f>Sheet4!AH1197/1000000000</f>
        <v>27.617999999999999</v>
      </c>
      <c r="F1218" t="str">
        <f>Sheet4!E1197</f>
        <v>Công nghiệp</v>
      </c>
      <c r="G1218" t="str">
        <f>Sheet4!F1197</f>
        <v>Hàng &amp; Dịch vụ Công nghiệp</v>
      </c>
      <c r="H1218" t="str">
        <f>Sheet4!G1197</f>
        <v>Chất thải &amp; Môi trường</v>
      </c>
      <c r="I1218" s="9" t="str" cm="1">
        <f t="array" ref="I121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18" s="9" t="str" cm="1">
        <f t="array" ref="J121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18" s="10" cm="1">
        <f t="array" ref="K121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18" s="10" cm="1">
        <f t="array" ref="L121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18" s="9" t="str" cm="1">
        <f t="array" ref="M121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18" s="9" t="str" cm="1">
        <f t="array" ref="N121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18" s="10" cm="1">
        <f t="array" ref="O1218">IFERROR(INDEX(Sheet4!$2:$1605,MATCH(ChiTietKQKD[[#This Row],[Mã CP]],Sheet4!$B$2:$B$1605,0),_xlfn.XMATCH("*Tăng trưởng lợi nhuận sau thuế (YoY) (Quý*",Sheet4!$1:$1,2)),"")</f>
        <v>0</v>
      </c>
      <c r="P1218" s="10" cm="1">
        <f t="array" ref="P1218">IFERROR(INDEX(Sheet4!$2:$1605,MATCH(ChiTietKQKD[[#This Row],[Mã CP]],Sheet4!$B$2:$B$1605,0),_xlfn.XMATCH("*Tăng trưởng lợi nhuận sau thuế (YoY) (6M)*",Sheet4!$1:$1,2)),"")</f>
        <v>0</v>
      </c>
      <c r="Q1218" s="10" cm="1">
        <f t="array" ref="Q1218">IFERROR(INDEX(Sheet4!$2:$1605,MATCH(ChiTietKQKD[[#This Row],[Mã CP]],Sheet4!$B$2:$B$1605,0),_xlfn.XMATCH("*Tăng trưởng doanh thu thuần (QoQ)*",Sheet4!$1:$1,2)),"")</f>
        <v>0</v>
      </c>
      <c r="R1218" s="10" cm="1">
        <f t="array" ref="R1218">IFERROR(INDEX(Sheet4!$2:$1605,MATCH(ChiTietKQKD[[#This Row],[Mã CP]],Sheet4!$B$2:$B$1605,0),_xlfn.XMATCH("*Tăng trưởng lợi nhuận sau thuế (QoQ)*",Sheet4!$1:$1,2)),"")</f>
        <v>0</v>
      </c>
    </row>
    <row r="1219" spans="1:18" x14ac:dyDescent="0.25">
      <c r="A1219" s="7">
        <f>Sheet4!A1198</f>
        <v>1197</v>
      </c>
      <c r="B1219" t="str">
        <f>Sheet4!B1198</f>
        <v>MTP</v>
      </c>
      <c r="C1219" t="str">
        <f>Sheet4!C1197</f>
        <v>Môi trường Đô thị Từ Liêm</v>
      </c>
      <c r="D1219" t="str">
        <f>Sheet4!D1198</f>
        <v>UPCoM</v>
      </c>
      <c r="E1219" s="7">
        <f>Sheet4!AH1198/1000000000</f>
        <v>109.5268482</v>
      </c>
      <c r="F1219" t="str">
        <f>Sheet4!E1198</f>
        <v>Dược phẩm và Y tế</v>
      </c>
      <c r="G1219" t="str">
        <f>Sheet4!F1198</f>
        <v>Y tế</v>
      </c>
      <c r="H1219" t="str">
        <f>Sheet4!G1198</f>
        <v>Dược phẩm</v>
      </c>
      <c r="I1219" s="9" t="str" cm="1">
        <f t="array" ref="I121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19" s="9" t="str" cm="1">
        <f t="array" ref="J121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19" s="10" cm="1">
        <f t="array" ref="K121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19" s="10" cm="1">
        <f t="array" ref="L121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19" s="9" t="str" cm="1">
        <f t="array" ref="M121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19" s="9" t="str" cm="1">
        <f t="array" ref="N121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19" s="10" cm="1">
        <f t="array" ref="O1219">IFERROR(INDEX(Sheet4!$2:$1605,MATCH(ChiTietKQKD[[#This Row],[Mã CP]],Sheet4!$B$2:$B$1605,0),_xlfn.XMATCH("*Tăng trưởng lợi nhuận sau thuế (YoY) (Quý*",Sheet4!$1:$1,2)),"")</f>
        <v>0</v>
      </c>
      <c r="P1219" s="10" cm="1">
        <f t="array" ref="P1219">IFERROR(INDEX(Sheet4!$2:$1605,MATCH(ChiTietKQKD[[#This Row],[Mã CP]],Sheet4!$B$2:$B$1605,0),_xlfn.XMATCH("*Tăng trưởng lợi nhuận sau thuế (YoY) (6M)*",Sheet4!$1:$1,2)),"")</f>
        <v>0</v>
      </c>
      <c r="Q1219" s="10" cm="1">
        <f t="array" ref="Q1219">IFERROR(INDEX(Sheet4!$2:$1605,MATCH(ChiTietKQKD[[#This Row],[Mã CP]],Sheet4!$B$2:$B$1605,0),_xlfn.XMATCH("*Tăng trưởng doanh thu thuần (QoQ)*",Sheet4!$1:$1,2)),"")</f>
        <v>0</v>
      </c>
      <c r="R1219" s="10" cm="1">
        <f t="array" ref="R1219">IFERROR(INDEX(Sheet4!$2:$1605,MATCH(ChiTietKQKD[[#This Row],[Mã CP]],Sheet4!$B$2:$B$1605,0),_xlfn.XMATCH("*Tăng trưởng lợi nhuận sau thuế (QoQ)*",Sheet4!$1:$1,2)),"")</f>
        <v>0</v>
      </c>
    </row>
    <row r="1220" spans="1:18" x14ac:dyDescent="0.25">
      <c r="A1220" s="7">
        <f>Sheet4!A1199</f>
        <v>1198</v>
      </c>
      <c r="B1220" t="str">
        <f>Sheet4!B1199</f>
        <v>MTS</v>
      </c>
      <c r="C1220" t="str">
        <f>Sheet4!C1198</f>
        <v>Dược Medipharco</v>
      </c>
      <c r="D1220" t="str">
        <f>Sheet4!D1199</f>
        <v>UPCoM</v>
      </c>
      <c r="E1220" s="7">
        <f>Sheet4!AH1199/1000000000</f>
        <v>135</v>
      </c>
      <c r="F1220" t="str">
        <f>Sheet4!E1199</f>
        <v>Công nghiệp</v>
      </c>
      <c r="G1220" t="str">
        <f>Sheet4!F1199</f>
        <v>Hàng &amp; Dịch vụ Công nghiệp</v>
      </c>
      <c r="H1220" t="str">
        <f>Sheet4!G1199</f>
        <v>Nhà cung cấp thiết bị</v>
      </c>
      <c r="I1220" s="9" t="str" cm="1">
        <f t="array" ref="I122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20" s="9" t="str" cm="1">
        <f t="array" ref="J122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20" s="10" cm="1">
        <f t="array" ref="K122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20" s="10" cm="1">
        <f t="array" ref="L122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20" s="9" t="str" cm="1">
        <f t="array" ref="M122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20" s="9" t="str" cm="1">
        <f t="array" ref="N122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20" s="10" cm="1">
        <f t="array" ref="O1220">IFERROR(INDEX(Sheet4!$2:$1605,MATCH(ChiTietKQKD[[#This Row],[Mã CP]],Sheet4!$B$2:$B$1605,0),_xlfn.XMATCH("*Tăng trưởng lợi nhuận sau thuế (YoY) (Quý*",Sheet4!$1:$1,2)),"")</f>
        <v>0</v>
      </c>
      <c r="P1220" s="10" cm="1">
        <f t="array" ref="P1220">IFERROR(INDEX(Sheet4!$2:$1605,MATCH(ChiTietKQKD[[#This Row],[Mã CP]],Sheet4!$B$2:$B$1605,0),_xlfn.XMATCH("*Tăng trưởng lợi nhuận sau thuế (YoY) (6M)*",Sheet4!$1:$1,2)),"")</f>
        <v>0</v>
      </c>
      <c r="Q1220" s="10" cm="1">
        <f t="array" ref="Q1220">IFERROR(INDEX(Sheet4!$2:$1605,MATCH(ChiTietKQKD[[#This Row],[Mã CP]],Sheet4!$B$2:$B$1605,0),_xlfn.XMATCH("*Tăng trưởng doanh thu thuần (QoQ)*",Sheet4!$1:$1,2)),"")</f>
        <v>0</v>
      </c>
      <c r="R1220" s="10" cm="1">
        <f t="array" ref="R1220">IFERROR(INDEX(Sheet4!$2:$1605,MATCH(ChiTietKQKD[[#This Row],[Mã CP]],Sheet4!$B$2:$B$1605,0),_xlfn.XMATCH("*Tăng trưởng lợi nhuận sau thuế (QoQ)*",Sheet4!$1:$1,2)),"")</f>
        <v>0</v>
      </c>
    </row>
    <row r="1221" spans="1:18" x14ac:dyDescent="0.25">
      <c r="A1221" s="7">
        <f>Sheet4!A1200</f>
        <v>1199</v>
      </c>
      <c r="B1221" t="str">
        <f>Sheet4!B1200</f>
        <v>MTV</v>
      </c>
      <c r="C1221" t="str">
        <f>Sheet4!C1199</f>
        <v>Vật tư - TKV</v>
      </c>
      <c r="D1221" t="str">
        <f>Sheet4!D1200</f>
        <v>UPCoM</v>
      </c>
      <c r="E1221" s="7">
        <f>Sheet4!AH1200/1000000000</f>
        <v>78.3</v>
      </c>
      <c r="F1221" t="str">
        <f>Sheet4!E1200</f>
        <v>Công nghiệp</v>
      </c>
      <c r="G1221" t="str">
        <f>Sheet4!F1200</f>
        <v>Hàng &amp; Dịch vụ Công nghiệp</v>
      </c>
      <c r="H1221" t="str">
        <f>Sheet4!G1200</f>
        <v>Chất thải &amp; Môi trường</v>
      </c>
      <c r="I1221" s="9" t="str" cm="1">
        <f t="array" ref="I122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21" s="9" t="str" cm="1">
        <f t="array" ref="J122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21" s="10" cm="1">
        <f t="array" ref="K122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21" s="10" cm="1">
        <f t="array" ref="L122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21" s="9" t="str" cm="1">
        <f t="array" ref="M122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21" s="9" t="str" cm="1">
        <f t="array" ref="N122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21" s="10" cm="1">
        <f t="array" ref="O1221">IFERROR(INDEX(Sheet4!$2:$1605,MATCH(ChiTietKQKD[[#This Row],[Mã CP]],Sheet4!$B$2:$B$1605,0),_xlfn.XMATCH("*Tăng trưởng lợi nhuận sau thuế (YoY) (Quý*",Sheet4!$1:$1,2)),"")</f>
        <v>0</v>
      </c>
      <c r="P1221" s="10" cm="1">
        <f t="array" ref="P1221">IFERROR(INDEX(Sheet4!$2:$1605,MATCH(ChiTietKQKD[[#This Row],[Mã CP]],Sheet4!$B$2:$B$1605,0),_xlfn.XMATCH("*Tăng trưởng lợi nhuận sau thuế (YoY) (6M)*",Sheet4!$1:$1,2)),"")</f>
        <v>0</v>
      </c>
      <c r="Q1221" s="10" cm="1">
        <f t="array" ref="Q1221">IFERROR(INDEX(Sheet4!$2:$1605,MATCH(ChiTietKQKD[[#This Row],[Mã CP]],Sheet4!$B$2:$B$1605,0),_xlfn.XMATCH("*Tăng trưởng doanh thu thuần (QoQ)*",Sheet4!$1:$1,2)),"")</f>
        <v>0</v>
      </c>
      <c r="R1221" s="10" cm="1">
        <f t="array" ref="R1221">IFERROR(INDEX(Sheet4!$2:$1605,MATCH(ChiTietKQKD[[#This Row],[Mã CP]],Sheet4!$B$2:$B$1605,0),_xlfn.XMATCH("*Tăng trưởng lợi nhuận sau thuế (QoQ)*",Sheet4!$1:$1,2)),"")</f>
        <v>0</v>
      </c>
    </row>
    <row r="1222" spans="1:18" x14ac:dyDescent="0.25">
      <c r="A1222" s="7">
        <f>Sheet4!A1201</f>
        <v>1200</v>
      </c>
      <c r="B1222" t="str">
        <f>Sheet4!B1201</f>
        <v>MVC</v>
      </c>
      <c r="C1222" t="str">
        <f>Sheet4!C1200</f>
        <v>Công trình đô thị Vũng Tàu</v>
      </c>
      <c r="D1222" t="str">
        <f>Sheet4!D1201</f>
        <v>UPCoM</v>
      </c>
      <c r="E1222" s="7">
        <f>Sheet4!AH1201/1000000000</f>
        <v>1332.4</v>
      </c>
      <c r="F1222" t="str">
        <f>Sheet4!E1201</f>
        <v>Công nghiệp</v>
      </c>
      <c r="G1222" t="str">
        <f>Sheet4!F1201</f>
        <v>Xây dựng và Vật liệu</v>
      </c>
      <c r="H1222" t="str">
        <f>Sheet4!G1201</f>
        <v>Vật liệu xây dựng &amp; Nội thất</v>
      </c>
      <c r="I1222" s="9" t="str" cm="1">
        <f t="array" ref="I122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22" s="9" t="str" cm="1">
        <f t="array" ref="J122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22" s="10" cm="1">
        <f t="array" ref="K122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22" s="10" cm="1">
        <f t="array" ref="L122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22" s="9" t="str" cm="1">
        <f t="array" ref="M122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22" s="9" t="str" cm="1">
        <f t="array" ref="N122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22" s="10" cm="1">
        <f t="array" ref="O1222">IFERROR(INDEX(Sheet4!$2:$1605,MATCH(ChiTietKQKD[[#This Row],[Mã CP]],Sheet4!$B$2:$B$1605,0),_xlfn.XMATCH("*Tăng trưởng lợi nhuận sau thuế (YoY) (Quý*",Sheet4!$1:$1,2)),"")</f>
        <v>0</v>
      </c>
      <c r="P1222" s="10" cm="1">
        <f t="array" ref="P1222">IFERROR(INDEX(Sheet4!$2:$1605,MATCH(ChiTietKQKD[[#This Row],[Mã CP]],Sheet4!$B$2:$B$1605,0),_xlfn.XMATCH("*Tăng trưởng lợi nhuận sau thuế (YoY) (6M)*",Sheet4!$1:$1,2)),"")</f>
        <v>0</v>
      </c>
      <c r="Q1222" s="10" cm="1">
        <f t="array" ref="Q1222">IFERROR(INDEX(Sheet4!$2:$1605,MATCH(ChiTietKQKD[[#This Row],[Mã CP]],Sheet4!$B$2:$B$1605,0),_xlfn.XMATCH("*Tăng trưởng doanh thu thuần (QoQ)*",Sheet4!$1:$1,2)),"")</f>
        <v>0</v>
      </c>
      <c r="R1222" s="10" cm="1">
        <f t="array" ref="R1222">IFERROR(INDEX(Sheet4!$2:$1605,MATCH(ChiTietKQKD[[#This Row],[Mã CP]],Sheet4!$B$2:$B$1605,0),_xlfn.XMATCH("*Tăng trưởng lợi nhuận sau thuế (QoQ)*",Sheet4!$1:$1,2)),"")</f>
        <v>0</v>
      </c>
    </row>
    <row r="1223" spans="1:18" x14ac:dyDescent="0.25">
      <c r="A1223" s="7">
        <f>Sheet4!A1202</f>
        <v>1201</v>
      </c>
      <c r="B1223" t="str">
        <f>Sheet4!B1202</f>
        <v>MVN</v>
      </c>
      <c r="C1223" t="str">
        <f>Sheet4!C1201</f>
        <v>VL và XD Bình Dương</v>
      </c>
      <c r="D1223" t="str">
        <f>Sheet4!D1202</f>
        <v>UPCoM</v>
      </c>
      <c r="E1223" s="7">
        <f>Sheet4!AH1202/1000000000</f>
        <v>65187.126047999998</v>
      </c>
      <c r="F1223" t="str">
        <f>Sheet4!E1202</f>
        <v>Công nghiệp</v>
      </c>
      <c r="G1223" t="str">
        <f>Sheet4!F1202</f>
        <v>Hàng &amp; Dịch vụ Công nghiệp</v>
      </c>
      <c r="H1223" t="str">
        <f>Sheet4!G1202</f>
        <v>Vận tải Thủy</v>
      </c>
      <c r="I1223" s="9" t="str" cm="1">
        <f t="array" ref="I122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23" s="9" t="str" cm="1">
        <f t="array" ref="J122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23" s="10" cm="1">
        <f t="array" ref="K122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23" s="10" cm="1">
        <f t="array" ref="L122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23" s="9" t="str" cm="1">
        <f t="array" ref="M122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23" s="9" t="str" cm="1">
        <f t="array" ref="N122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23" s="10" cm="1">
        <f t="array" ref="O1223">IFERROR(INDEX(Sheet4!$2:$1605,MATCH(ChiTietKQKD[[#This Row],[Mã CP]],Sheet4!$B$2:$B$1605,0),_xlfn.XMATCH("*Tăng trưởng lợi nhuận sau thuế (YoY) (Quý*",Sheet4!$1:$1,2)),"")</f>
        <v>0</v>
      </c>
      <c r="P1223" s="10" cm="1">
        <f t="array" ref="P1223">IFERROR(INDEX(Sheet4!$2:$1605,MATCH(ChiTietKQKD[[#This Row],[Mã CP]],Sheet4!$B$2:$B$1605,0),_xlfn.XMATCH("*Tăng trưởng lợi nhuận sau thuế (YoY) (6M)*",Sheet4!$1:$1,2)),"")</f>
        <v>0</v>
      </c>
      <c r="Q1223" s="10" cm="1">
        <f t="array" ref="Q1223">IFERROR(INDEX(Sheet4!$2:$1605,MATCH(ChiTietKQKD[[#This Row],[Mã CP]],Sheet4!$B$2:$B$1605,0),_xlfn.XMATCH("*Tăng trưởng doanh thu thuần (QoQ)*",Sheet4!$1:$1,2)),"")</f>
        <v>0</v>
      </c>
      <c r="R1223" s="10" cm="1">
        <f t="array" ref="R1223">IFERROR(INDEX(Sheet4!$2:$1605,MATCH(ChiTietKQKD[[#This Row],[Mã CP]],Sheet4!$B$2:$B$1605,0),_xlfn.XMATCH("*Tăng trưởng lợi nhuận sau thuế (QoQ)*",Sheet4!$1:$1,2)),"")</f>
        <v>0</v>
      </c>
    </row>
    <row r="1224" spans="1:18" x14ac:dyDescent="0.25">
      <c r="A1224" s="7">
        <f>Sheet4!A1203</f>
        <v>1202</v>
      </c>
      <c r="B1224" t="str">
        <f>Sheet4!B1203</f>
        <v>NAC</v>
      </c>
      <c r="C1224" t="str">
        <f>Sheet4!C1202</f>
        <v>TCT Hàng hải Việt Nam</v>
      </c>
      <c r="D1224" t="str">
        <f>Sheet4!D1203</f>
        <v>UPCoM</v>
      </c>
      <c r="E1224" s="7">
        <f>Sheet4!AH1203/1000000000</f>
        <v>3.6855000000000002</v>
      </c>
      <c r="F1224" t="str">
        <f>Sheet4!E1203</f>
        <v>Công nghiệp</v>
      </c>
      <c r="G1224" t="str">
        <f>Sheet4!F1203</f>
        <v>Xây dựng và Vật liệu</v>
      </c>
      <c r="H1224" t="str">
        <f>Sheet4!G1203</f>
        <v>Xây dựng</v>
      </c>
      <c r="I1224" s="9" t="str" cm="1">
        <f t="array" ref="I122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24" s="9" t="str" cm="1">
        <f t="array" ref="J122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24" s="10" cm="1">
        <f t="array" ref="K122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24" s="10" cm="1">
        <f t="array" ref="L122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24" s="9" t="str" cm="1">
        <f t="array" ref="M122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24" s="9" t="str" cm="1">
        <f t="array" ref="N122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24" s="10" cm="1">
        <f t="array" ref="O1224">IFERROR(INDEX(Sheet4!$2:$1605,MATCH(ChiTietKQKD[[#This Row],[Mã CP]],Sheet4!$B$2:$B$1605,0),_xlfn.XMATCH("*Tăng trưởng lợi nhuận sau thuế (YoY) (Quý*",Sheet4!$1:$1,2)),"")</f>
        <v>0</v>
      </c>
      <c r="P1224" s="10" cm="1">
        <f t="array" ref="P1224">IFERROR(INDEX(Sheet4!$2:$1605,MATCH(ChiTietKQKD[[#This Row],[Mã CP]],Sheet4!$B$2:$B$1605,0),_xlfn.XMATCH("*Tăng trưởng lợi nhuận sau thuế (YoY) (6M)*",Sheet4!$1:$1,2)),"")</f>
        <v>0</v>
      </c>
      <c r="Q1224" s="10" cm="1">
        <f t="array" ref="Q1224">IFERROR(INDEX(Sheet4!$2:$1605,MATCH(ChiTietKQKD[[#This Row],[Mã CP]],Sheet4!$B$2:$B$1605,0),_xlfn.XMATCH("*Tăng trưởng doanh thu thuần (QoQ)*",Sheet4!$1:$1,2)),"")</f>
        <v>0</v>
      </c>
      <c r="R1224" s="10" cm="1">
        <f t="array" ref="R1224">IFERROR(INDEX(Sheet4!$2:$1605,MATCH(ChiTietKQKD[[#This Row],[Mã CP]],Sheet4!$B$2:$B$1605,0),_xlfn.XMATCH("*Tăng trưởng lợi nhuận sau thuế (QoQ)*",Sheet4!$1:$1,2)),"")</f>
        <v>0</v>
      </c>
    </row>
    <row r="1225" spans="1:18" x14ac:dyDescent="0.25">
      <c r="A1225" s="7">
        <f>Sheet4!A1204</f>
        <v>1203</v>
      </c>
      <c r="B1225" t="str">
        <f>Sheet4!B1204</f>
        <v>NAS</v>
      </c>
      <c r="C1225" t="str">
        <f>Sheet4!C1203</f>
        <v>Tư vấn xây dựng Tổng hợp</v>
      </c>
      <c r="D1225" t="str">
        <f>Sheet4!D1204</f>
        <v>UPCoM</v>
      </c>
      <c r="E1225" s="7">
        <f>Sheet4!AH1204/1000000000</f>
        <v>266.09542399999998</v>
      </c>
      <c r="F1225" t="str">
        <f>Sheet4!E1204</f>
        <v>Công nghiệp</v>
      </c>
      <c r="G1225" t="str">
        <f>Sheet4!F1204</f>
        <v>Hàng &amp; Dịch vụ Công nghiệp</v>
      </c>
      <c r="H1225" t="str">
        <f>Sheet4!G1204</f>
        <v>Kho bãi, hậu cần và bảo dưỡng</v>
      </c>
      <c r="I1225" s="9" t="str" cm="1">
        <f t="array" ref="I122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25" s="9" t="str" cm="1">
        <f t="array" ref="J122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25" s="10" cm="1">
        <f t="array" ref="K122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25" s="10" cm="1">
        <f t="array" ref="L122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25" s="9" t="str" cm="1">
        <f t="array" ref="M122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25" s="9" t="str" cm="1">
        <f t="array" ref="N122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25" s="10" cm="1">
        <f t="array" ref="O1225">IFERROR(INDEX(Sheet4!$2:$1605,MATCH(ChiTietKQKD[[#This Row],[Mã CP]],Sheet4!$B$2:$B$1605,0),_xlfn.XMATCH("*Tăng trưởng lợi nhuận sau thuế (YoY) (Quý*",Sheet4!$1:$1,2)),"")</f>
        <v>0</v>
      </c>
      <c r="P1225" s="10" cm="1">
        <f t="array" ref="P1225">IFERROR(INDEX(Sheet4!$2:$1605,MATCH(ChiTietKQKD[[#This Row],[Mã CP]],Sheet4!$B$2:$B$1605,0),_xlfn.XMATCH("*Tăng trưởng lợi nhuận sau thuế (YoY) (6M)*",Sheet4!$1:$1,2)),"")</f>
        <v>0</v>
      </c>
      <c r="Q1225" s="10" cm="1">
        <f t="array" ref="Q1225">IFERROR(INDEX(Sheet4!$2:$1605,MATCH(ChiTietKQKD[[#This Row],[Mã CP]],Sheet4!$B$2:$B$1605,0),_xlfn.XMATCH("*Tăng trưởng doanh thu thuần (QoQ)*",Sheet4!$1:$1,2)),"")</f>
        <v>0</v>
      </c>
      <c r="R1225" s="10" cm="1">
        <f t="array" ref="R1225">IFERROR(INDEX(Sheet4!$2:$1605,MATCH(ChiTietKQKD[[#This Row],[Mã CP]],Sheet4!$B$2:$B$1605,0),_xlfn.XMATCH("*Tăng trưởng lợi nhuận sau thuế (QoQ)*",Sheet4!$1:$1,2)),"")</f>
        <v>0</v>
      </c>
    </row>
    <row r="1226" spans="1:18" x14ac:dyDescent="0.25">
      <c r="A1226" s="7">
        <f>Sheet4!A1205</f>
        <v>1204</v>
      </c>
      <c r="B1226" t="str">
        <f>Sheet4!B1205</f>
        <v>NAU</v>
      </c>
      <c r="C1226" t="str">
        <f>Sheet4!C1204</f>
        <v>DV Hàng không SB Việt Nam</v>
      </c>
      <c r="D1226" t="str">
        <f>Sheet4!D1205</f>
        <v>UPCoM</v>
      </c>
      <c r="E1226" s="7">
        <f>Sheet4!AH1205/1000000000</f>
        <v>25.689993000000001</v>
      </c>
      <c r="F1226" t="str">
        <f>Sheet4!E1205</f>
        <v>Công nghiệp</v>
      </c>
      <c r="G1226" t="str">
        <f>Sheet4!F1205</f>
        <v>Hàng &amp; Dịch vụ Công nghiệp</v>
      </c>
      <c r="H1226" t="str">
        <f>Sheet4!G1205</f>
        <v>Chất thải &amp; Môi trường</v>
      </c>
      <c r="I1226" s="9" t="str" cm="1">
        <f t="array" ref="I122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26" s="9" t="str" cm="1">
        <f t="array" ref="J122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26" s="10" cm="1">
        <f t="array" ref="K122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26" s="10" cm="1">
        <f t="array" ref="L122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26" s="9" t="str" cm="1">
        <f t="array" ref="M122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26" s="9" t="str" cm="1">
        <f t="array" ref="N122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26" s="10" cm="1">
        <f t="array" ref="O1226">IFERROR(INDEX(Sheet4!$2:$1605,MATCH(ChiTietKQKD[[#This Row],[Mã CP]],Sheet4!$B$2:$B$1605,0),_xlfn.XMATCH("*Tăng trưởng lợi nhuận sau thuế (YoY) (Quý*",Sheet4!$1:$1,2)),"")</f>
        <v>0</v>
      </c>
      <c r="P1226" s="10" cm="1">
        <f t="array" ref="P1226">IFERROR(INDEX(Sheet4!$2:$1605,MATCH(ChiTietKQKD[[#This Row],[Mã CP]],Sheet4!$B$2:$B$1605,0),_xlfn.XMATCH("*Tăng trưởng lợi nhuận sau thuế (YoY) (6M)*",Sheet4!$1:$1,2)),"")</f>
        <v>0</v>
      </c>
      <c r="Q1226" s="10" cm="1">
        <f t="array" ref="Q1226">IFERROR(INDEX(Sheet4!$2:$1605,MATCH(ChiTietKQKD[[#This Row],[Mã CP]],Sheet4!$B$2:$B$1605,0),_xlfn.XMATCH("*Tăng trưởng doanh thu thuần (QoQ)*",Sheet4!$1:$1,2)),"")</f>
        <v>0</v>
      </c>
      <c r="R1226" s="10" cm="1">
        <f t="array" ref="R1226">IFERROR(INDEX(Sheet4!$2:$1605,MATCH(ChiTietKQKD[[#This Row],[Mã CP]],Sheet4!$B$2:$B$1605,0),_xlfn.XMATCH("*Tăng trưởng lợi nhuận sau thuế (QoQ)*",Sheet4!$1:$1,2)),"")</f>
        <v>0</v>
      </c>
    </row>
    <row r="1227" spans="1:18" x14ac:dyDescent="0.25">
      <c r="A1227" s="7">
        <f>Sheet4!A1206</f>
        <v>1205</v>
      </c>
      <c r="B1227" t="str">
        <f>Sheet4!B1206</f>
        <v>NAW</v>
      </c>
      <c r="C1227" t="str">
        <f>Sheet4!C1205</f>
        <v>Công trình Đô thị Nghệ An</v>
      </c>
      <c r="D1227" t="str">
        <f>Sheet4!D1206</f>
        <v>UPCoM</v>
      </c>
      <c r="E1227" s="7">
        <f>Sheet4!AH1206/1000000000</f>
        <v>280.39487250000002</v>
      </c>
      <c r="F1227" t="str">
        <f>Sheet4!E1206</f>
        <v>Tiện ích Cộng đồng</v>
      </c>
      <c r="G1227" t="str">
        <f>Sheet4!F1206</f>
        <v>Điện, nước &amp; xăng dầu khí đốt</v>
      </c>
      <c r="H1227" t="str">
        <f>Sheet4!G1206</f>
        <v>Nước</v>
      </c>
      <c r="I1227" s="9" t="str" cm="1">
        <f t="array" ref="I122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27" s="9" t="str" cm="1">
        <f t="array" ref="J122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27" s="10" cm="1">
        <f t="array" ref="K122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27" s="10" cm="1">
        <f t="array" ref="L122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27" s="9" t="str" cm="1">
        <f t="array" ref="M122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27" s="9" t="str" cm="1">
        <f t="array" ref="N122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27" s="10" cm="1">
        <f t="array" ref="O1227">IFERROR(INDEX(Sheet4!$2:$1605,MATCH(ChiTietKQKD[[#This Row],[Mã CP]],Sheet4!$B$2:$B$1605,0),_xlfn.XMATCH("*Tăng trưởng lợi nhuận sau thuế (YoY) (Quý*",Sheet4!$1:$1,2)),"")</f>
        <v>0</v>
      </c>
      <c r="P1227" s="10" cm="1">
        <f t="array" ref="P1227">IFERROR(INDEX(Sheet4!$2:$1605,MATCH(ChiTietKQKD[[#This Row],[Mã CP]],Sheet4!$B$2:$B$1605,0),_xlfn.XMATCH("*Tăng trưởng lợi nhuận sau thuế (YoY) (6M)*",Sheet4!$1:$1,2)),"")</f>
        <v>0</v>
      </c>
      <c r="Q1227" s="10" cm="1">
        <f t="array" ref="Q1227">IFERROR(INDEX(Sheet4!$2:$1605,MATCH(ChiTietKQKD[[#This Row],[Mã CP]],Sheet4!$B$2:$B$1605,0),_xlfn.XMATCH("*Tăng trưởng doanh thu thuần (QoQ)*",Sheet4!$1:$1,2)),"")</f>
        <v>0</v>
      </c>
      <c r="R1227" s="10" cm="1">
        <f t="array" ref="R1227">IFERROR(INDEX(Sheet4!$2:$1605,MATCH(ChiTietKQKD[[#This Row],[Mã CP]],Sheet4!$B$2:$B$1605,0),_xlfn.XMATCH("*Tăng trưởng lợi nhuận sau thuế (QoQ)*",Sheet4!$1:$1,2)),"")</f>
        <v>0</v>
      </c>
    </row>
    <row r="1228" spans="1:18" x14ac:dyDescent="0.25">
      <c r="A1228" s="7">
        <f>Sheet4!A1207</f>
        <v>1206</v>
      </c>
      <c r="B1228" t="str">
        <f>Sheet4!B1207</f>
        <v>NBE</v>
      </c>
      <c r="C1228" t="str">
        <f>Sheet4!C1206</f>
        <v>Cấp nước Nghệ An</v>
      </c>
      <c r="D1228" t="str">
        <f>Sheet4!D1207</f>
        <v>UPCoM</v>
      </c>
      <c r="E1228" s="7">
        <f>Sheet4!AH1207/1000000000</f>
        <v>42</v>
      </c>
      <c r="F1228" t="str">
        <f>Sheet4!E1207</f>
        <v>Dịch vụ Tiêu dùng</v>
      </c>
      <c r="G1228" t="str">
        <f>Sheet4!F1207</f>
        <v>Truyền thông</v>
      </c>
      <c r="H1228" t="str">
        <f>Sheet4!G1207</f>
        <v>Sách, ấn bản &amp; sản phẩm văn hóa</v>
      </c>
      <c r="I1228" s="9" t="str" cm="1">
        <f t="array" ref="I122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28" s="9" t="str" cm="1">
        <f t="array" ref="J122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28" s="10" cm="1">
        <f t="array" ref="K122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28" s="10" cm="1">
        <f t="array" ref="L122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28" s="9" t="str" cm="1">
        <f t="array" ref="M122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28" s="9" t="str" cm="1">
        <f t="array" ref="N122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28" s="10" cm="1">
        <f t="array" ref="O1228">IFERROR(INDEX(Sheet4!$2:$1605,MATCH(ChiTietKQKD[[#This Row],[Mã CP]],Sheet4!$B$2:$B$1605,0),_xlfn.XMATCH("*Tăng trưởng lợi nhuận sau thuế (YoY) (Quý*",Sheet4!$1:$1,2)),"")</f>
        <v>0</v>
      </c>
      <c r="P1228" s="10" cm="1">
        <f t="array" ref="P1228">IFERROR(INDEX(Sheet4!$2:$1605,MATCH(ChiTietKQKD[[#This Row],[Mã CP]],Sheet4!$B$2:$B$1605,0),_xlfn.XMATCH("*Tăng trưởng lợi nhuận sau thuế (YoY) (6M)*",Sheet4!$1:$1,2)),"")</f>
        <v>0</v>
      </c>
      <c r="Q1228" s="10" cm="1">
        <f t="array" ref="Q1228">IFERROR(INDEX(Sheet4!$2:$1605,MATCH(ChiTietKQKD[[#This Row],[Mã CP]],Sheet4!$B$2:$B$1605,0),_xlfn.XMATCH("*Tăng trưởng doanh thu thuần (QoQ)*",Sheet4!$1:$1,2)),"")</f>
        <v>0</v>
      </c>
      <c r="R1228" s="10" cm="1">
        <f t="array" ref="R1228">IFERROR(INDEX(Sheet4!$2:$1605,MATCH(ChiTietKQKD[[#This Row],[Mã CP]],Sheet4!$B$2:$B$1605,0),_xlfn.XMATCH("*Tăng trưởng lợi nhuận sau thuế (QoQ)*",Sheet4!$1:$1,2)),"")</f>
        <v>0</v>
      </c>
    </row>
    <row r="1229" spans="1:18" x14ac:dyDescent="0.25">
      <c r="A1229" s="7">
        <f>Sheet4!A1208</f>
        <v>1207</v>
      </c>
      <c r="B1229" t="str">
        <f>Sheet4!B1208</f>
        <v>NBT</v>
      </c>
      <c r="C1229" t="str">
        <f>Sheet4!C1207</f>
        <v>Sách và Thiết bị GD Miền Bắc</v>
      </c>
      <c r="D1229" t="str">
        <f>Sheet4!D1208</f>
        <v>UPCoM</v>
      </c>
      <c r="E1229" s="7">
        <f>Sheet4!AH1208/1000000000</f>
        <v>417.48</v>
      </c>
      <c r="F1229" t="str">
        <f>Sheet4!E1208</f>
        <v>Tiện ích Cộng đồng</v>
      </c>
      <c r="G1229" t="str">
        <f>Sheet4!F1208</f>
        <v>Điện, nước &amp; xăng dầu khí đốt</v>
      </c>
      <c r="H1229" t="str">
        <f>Sheet4!G1208</f>
        <v>Nước</v>
      </c>
      <c r="I1229" s="9" t="str" cm="1">
        <f t="array" ref="I122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29" s="9" t="str" cm="1">
        <f t="array" ref="J122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29" s="10" cm="1">
        <f t="array" ref="K122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29" s="10" cm="1">
        <f t="array" ref="L122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29" s="9" t="str" cm="1">
        <f t="array" ref="M122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29" s="9" t="str" cm="1">
        <f t="array" ref="N122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29" s="10" cm="1">
        <f t="array" ref="O1229">IFERROR(INDEX(Sheet4!$2:$1605,MATCH(ChiTietKQKD[[#This Row],[Mã CP]],Sheet4!$B$2:$B$1605,0),_xlfn.XMATCH("*Tăng trưởng lợi nhuận sau thuế (YoY) (Quý*",Sheet4!$1:$1,2)),"")</f>
        <v>0</v>
      </c>
      <c r="P1229" s="10" cm="1">
        <f t="array" ref="P1229">IFERROR(INDEX(Sheet4!$2:$1605,MATCH(ChiTietKQKD[[#This Row],[Mã CP]],Sheet4!$B$2:$B$1605,0),_xlfn.XMATCH("*Tăng trưởng lợi nhuận sau thuế (YoY) (6M)*",Sheet4!$1:$1,2)),"")</f>
        <v>0</v>
      </c>
      <c r="Q1229" s="10" cm="1">
        <f t="array" ref="Q1229">IFERROR(INDEX(Sheet4!$2:$1605,MATCH(ChiTietKQKD[[#This Row],[Mã CP]],Sheet4!$B$2:$B$1605,0),_xlfn.XMATCH("*Tăng trưởng doanh thu thuần (QoQ)*",Sheet4!$1:$1,2)),"")</f>
        <v>0</v>
      </c>
      <c r="R1229" s="10" cm="1">
        <f t="array" ref="R1229">IFERROR(INDEX(Sheet4!$2:$1605,MATCH(ChiTietKQKD[[#This Row],[Mã CP]],Sheet4!$B$2:$B$1605,0),_xlfn.XMATCH("*Tăng trưởng lợi nhuận sau thuế (QoQ)*",Sheet4!$1:$1,2)),"")</f>
        <v>0</v>
      </c>
    </row>
    <row r="1230" spans="1:18" x14ac:dyDescent="0.25">
      <c r="A1230" s="7">
        <f>Sheet4!A1209</f>
        <v>1208</v>
      </c>
      <c r="B1230" t="str">
        <f>Sheet4!B1209</f>
        <v>NCG</v>
      </c>
      <c r="C1230" t="str">
        <f>Sheet4!C1208</f>
        <v>Cấp thoát nước Bến Tre</v>
      </c>
      <c r="D1230" t="str">
        <f>Sheet4!D1209</f>
        <v>UPCoM</v>
      </c>
      <c r="E1230" s="7">
        <f>Sheet4!AH1209/1000000000</f>
        <v>1394.1697586749999</v>
      </c>
      <c r="F1230" t="str">
        <f>Sheet4!E1209</f>
        <v>Hàng Tiêu dùng</v>
      </c>
      <c r="G1230" t="str">
        <f>Sheet4!F1209</f>
        <v>Thực phẩm và đồ uống</v>
      </c>
      <c r="H1230" t="str">
        <f>Sheet4!G1209</f>
        <v>Nuôi trồng nông &amp; hải sản</v>
      </c>
      <c r="I1230" s="9" t="str" cm="1">
        <f t="array" ref="I123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30" s="9" t="str" cm="1">
        <f t="array" ref="J123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30" s="10" cm="1">
        <f t="array" ref="K123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30" s="10" cm="1">
        <f t="array" ref="L123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30" s="9" t="str" cm="1">
        <f t="array" ref="M123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30" s="9" t="str" cm="1">
        <f t="array" ref="N123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30" s="10" cm="1">
        <f t="array" ref="O1230">IFERROR(INDEX(Sheet4!$2:$1605,MATCH(ChiTietKQKD[[#This Row],[Mã CP]],Sheet4!$B$2:$B$1605,0),_xlfn.XMATCH("*Tăng trưởng lợi nhuận sau thuế (YoY) (Quý*",Sheet4!$1:$1,2)),"")</f>
        <v>0</v>
      </c>
      <c r="P1230" s="10" cm="1">
        <f t="array" ref="P1230">IFERROR(INDEX(Sheet4!$2:$1605,MATCH(ChiTietKQKD[[#This Row],[Mã CP]],Sheet4!$B$2:$B$1605,0),_xlfn.XMATCH("*Tăng trưởng lợi nhuận sau thuế (YoY) (6M)*",Sheet4!$1:$1,2)),"")</f>
        <v>0</v>
      </c>
      <c r="Q1230" s="10" cm="1">
        <f t="array" ref="Q1230">IFERROR(INDEX(Sheet4!$2:$1605,MATCH(ChiTietKQKD[[#This Row],[Mã CP]],Sheet4!$B$2:$B$1605,0),_xlfn.XMATCH("*Tăng trưởng doanh thu thuần (QoQ)*",Sheet4!$1:$1,2)),"")</f>
        <v>0</v>
      </c>
      <c r="R1230" s="10" cm="1">
        <f t="array" ref="R1230">IFERROR(INDEX(Sheet4!$2:$1605,MATCH(ChiTietKQKD[[#This Row],[Mã CP]],Sheet4!$B$2:$B$1605,0),_xlfn.XMATCH("*Tăng trưởng lợi nhuận sau thuế (QoQ)*",Sheet4!$1:$1,2)),"")</f>
        <v>0</v>
      </c>
    </row>
    <row r="1231" spans="1:18" x14ac:dyDescent="0.25">
      <c r="A1231" s="7">
        <f>Sheet4!A1210</f>
        <v>1209</v>
      </c>
      <c r="B1231" t="str">
        <f>Sheet4!B1210</f>
        <v>NCS</v>
      </c>
      <c r="C1231" t="str">
        <f>Sheet4!C1209</f>
        <v>Đầu tư Anova Agri</v>
      </c>
      <c r="D1231" t="str">
        <f>Sheet4!D1210</f>
        <v>UPCoM</v>
      </c>
      <c r="E1231" s="7">
        <f>Sheet4!AH1210/1000000000</f>
        <v>721.51804200000004</v>
      </c>
      <c r="F1231" t="str">
        <f>Sheet4!E1210</f>
        <v>Hàng Tiêu dùng</v>
      </c>
      <c r="G1231" t="str">
        <f>Sheet4!F1210</f>
        <v>Thực phẩm và đồ uống</v>
      </c>
      <c r="H1231" t="str">
        <f>Sheet4!G1210</f>
        <v>Thực phẩm</v>
      </c>
      <c r="I1231" s="9" cm="1">
        <f t="array" ref="I123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237.669021894</v>
      </c>
      <c r="J1231" s="9" cm="1">
        <f t="array" ref="J123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494.83747857200001</v>
      </c>
      <c r="K1231" s="10" cm="1">
        <f t="array" ref="K123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0.17879999999999999</v>
      </c>
      <c r="L1231" s="10" cm="1">
        <f t="array" ref="L123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31" s="9" cm="1">
        <f t="array" ref="M1231">_xlfn.LET(_xlpm.val,IFERROR(INDEX(Sheet4!$2:$1605,MATCH(ChiTietKQKD[[#This Row],[Mã CP]],Sheet4!$B$2:$B$1605,0),_xlfn.XMATCH("*Lợi nhuận sau thuế*Q2*2026*",Sheet4!$1:$1,2)),0),IF(OR(_xlpm.val="",_xlpm.val=0),"",_xlpm.val/1000000000))</f>
        <v>18.641573987000001</v>
      </c>
      <c r="N1231" s="9" cm="1">
        <f t="array" ref="N1231">_xlfn.LET(_xlpm.val,IFERROR(INDEX(Sheet4!$2:$1605,MATCH(ChiTietKQKD[[#This Row],[Mã CP]],Sheet4!$B$2:$B$1605,0),_xlfn.XMATCH("*Lợi nhuận sau thuế*6 tháng*2026*",Sheet4!$1:$1,2)),0),IF(OR(_xlpm.val="",_xlpm.val=0),"",_xlpm.val/1000000000))</f>
        <v>39.668197642999999</v>
      </c>
      <c r="O1231" s="10" cm="1">
        <f t="array" ref="O1231">IFERROR(INDEX(Sheet4!$2:$1605,MATCH(ChiTietKQKD[[#This Row],[Mã CP]],Sheet4!$B$2:$B$1605,0),_xlfn.XMATCH("*Tăng trưởng lợi nhuận sau thuế (YoY) (Quý*",Sheet4!$1:$1,2)),"")</f>
        <v>6.7900000000000002E-2</v>
      </c>
      <c r="P1231" s="10" cm="1">
        <f t="array" ref="P1231">IFERROR(INDEX(Sheet4!$2:$1605,MATCH(ChiTietKQKD[[#This Row],[Mã CP]],Sheet4!$B$2:$B$1605,0),_xlfn.XMATCH("*Tăng trưởng lợi nhuận sau thuế (YoY) (6M)*",Sheet4!$1:$1,2)),"")</f>
        <v>0</v>
      </c>
      <c r="Q1231" s="10" cm="1">
        <f t="array" ref="Q1231">IFERROR(INDEX(Sheet4!$2:$1605,MATCH(ChiTietKQKD[[#This Row],[Mã CP]],Sheet4!$B$2:$B$1605,0),_xlfn.XMATCH("*Tăng trưởng doanh thu thuần (QoQ)*",Sheet4!$1:$1,2)),"")</f>
        <v>-7.5800000000000006E-2</v>
      </c>
      <c r="R1231" s="10" cm="1">
        <f t="array" ref="R1231">IFERROR(INDEX(Sheet4!$2:$1605,MATCH(ChiTietKQKD[[#This Row],[Mã CP]],Sheet4!$B$2:$B$1605,0),_xlfn.XMATCH("*Tăng trưởng lợi nhuận sau thuế (QoQ)*",Sheet4!$1:$1,2)),"")</f>
        <v>-0.11409999999999999</v>
      </c>
    </row>
    <row r="1232" spans="1:18" x14ac:dyDescent="0.25">
      <c r="A1232" s="7">
        <f>Sheet4!A1211</f>
        <v>1210</v>
      </c>
      <c r="B1232" t="str">
        <f>Sheet4!B1211</f>
        <v>ND2</v>
      </c>
      <c r="C1232" t="str">
        <f>Sheet4!C1210</f>
        <v>Suất ăn Hàng không Nội Bài</v>
      </c>
      <c r="D1232" t="str">
        <f>Sheet4!D1211</f>
        <v>UPCoM</v>
      </c>
      <c r="E1232" s="7">
        <f>Sheet4!AH1211/1000000000</f>
        <v>1799.7825600000001</v>
      </c>
      <c r="F1232" t="str">
        <f>Sheet4!E1211</f>
        <v>Tiện ích Cộng đồng</v>
      </c>
      <c r="G1232" t="str">
        <f>Sheet4!F1211</f>
        <v>Điện, nước &amp; xăng dầu khí đốt</v>
      </c>
      <c r="H1232" t="str">
        <f>Sheet4!G1211</f>
        <v>Sản xuất &amp; Phân phối Điện</v>
      </c>
      <c r="I1232" s="9" cm="1">
        <f t="array" ref="I123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90.873425377999993</v>
      </c>
      <c r="J1232" s="9" cm="1">
        <f t="array" ref="J123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132.13630035200001</v>
      </c>
      <c r="K1232" s="10" cm="1">
        <f t="array" ref="K123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-0.19040000000000001</v>
      </c>
      <c r="L1232" s="10" cm="1">
        <f t="array" ref="L123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-0.12690000000000001</v>
      </c>
      <c r="M1232" s="9" cm="1">
        <f t="array" ref="M1232">_xlfn.LET(_xlpm.val,IFERROR(INDEX(Sheet4!$2:$1605,MATCH(ChiTietKQKD[[#This Row],[Mã CP]],Sheet4!$B$2:$B$1605,0),_xlfn.XMATCH("*Lợi nhuận sau thuế*Q2*2026*",Sheet4!$1:$1,2)),0),IF(OR(_xlpm.val="",_xlpm.val=0),"",_xlpm.val/1000000000))</f>
        <v>41.551571653000003</v>
      </c>
      <c r="N1232" s="9" cm="1">
        <f t="array" ref="N1232">_xlfn.LET(_xlpm.val,IFERROR(INDEX(Sheet4!$2:$1605,MATCH(ChiTietKQKD[[#This Row],[Mã CP]],Sheet4!$B$2:$B$1605,0),_xlfn.XMATCH("*Lợi nhuận sau thuế*6 tháng*2026*",Sheet4!$1:$1,2)),0),IF(OR(_xlpm.val="",_xlpm.val=0),"",_xlpm.val/1000000000))</f>
        <v>41.153350418999999</v>
      </c>
      <c r="O1232" s="10" cm="1">
        <f t="array" ref="O1232">IFERROR(INDEX(Sheet4!$2:$1605,MATCH(ChiTietKQKD[[#This Row],[Mã CP]],Sheet4!$B$2:$B$1605,0),_xlfn.XMATCH("*Tăng trưởng lợi nhuận sau thuế (YoY) (Quý*",Sheet4!$1:$1,2)),"")</f>
        <v>-0.32500000000000001</v>
      </c>
      <c r="P1232" s="10" cm="1">
        <f t="array" ref="P1232">IFERROR(INDEX(Sheet4!$2:$1605,MATCH(ChiTietKQKD[[#This Row],[Mã CP]],Sheet4!$B$2:$B$1605,0),_xlfn.XMATCH("*Tăng trưởng lợi nhuận sau thuế (YoY) (6M)*",Sheet4!$1:$1,2)),"")</f>
        <v>-0.29570000000000002</v>
      </c>
      <c r="Q1232" s="10" cm="1">
        <f t="array" ref="Q1232">IFERROR(INDEX(Sheet4!$2:$1605,MATCH(ChiTietKQKD[[#This Row],[Mã CP]],Sheet4!$B$2:$B$1605,0),_xlfn.XMATCH("*Tăng trưởng doanh thu thuần (QoQ)*",Sheet4!$1:$1,2)),"")</f>
        <v>1.2022999999999999</v>
      </c>
      <c r="R1232" s="10" cm="1">
        <f t="array" ref="R1232">IFERROR(INDEX(Sheet4!$2:$1605,MATCH(ChiTietKQKD[[#This Row],[Mã CP]],Sheet4!$B$2:$B$1605,0),_xlfn.XMATCH("*Tăng trưởng lợi nhuận sau thuế (QoQ)*",Sheet4!$1:$1,2)),"")</f>
        <v>105.3429</v>
      </c>
    </row>
    <row r="1233" spans="1:18" x14ac:dyDescent="0.25">
      <c r="A1233" s="7">
        <f>Sheet4!A1212</f>
        <v>1211</v>
      </c>
      <c r="B1233" t="str">
        <f>Sheet4!B1212</f>
        <v>NDC</v>
      </c>
      <c r="C1233" t="str">
        <f>Sheet4!C1211</f>
        <v>Đầu tư và PT điện Miền Bắc 2</v>
      </c>
      <c r="D1233" t="str">
        <f>Sheet4!D1212</f>
        <v>UPCoM</v>
      </c>
      <c r="E1233" s="7">
        <f>Sheet4!AH1212/1000000000</f>
        <v>1151.0519999999999</v>
      </c>
      <c r="F1233" t="str">
        <f>Sheet4!E1212</f>
        <v>Dược phẩm và Y tế</v>
      </c>
      <c r="G1233" t="str">
        <f>Sheet4!F1212</f>
        <v>Y tế</v>
      </c>
      <c r="H1233" t="str">
        <f>Sheet4!G1212</f>
        <v>Dược phẩm</v>
      </c>
      <c r="I1233" s="9" t="str" cm="1">
        <f t="array" ref="I123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33" s="9" t="str" cm="1">
        <f t="array" ref="J123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33" s="10" cm="1">
        <f t="array" ref="K123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33" s="10" cm="1">
        <f t="array" ref="L123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33" s="9" t="str" cm="1">
        <f t="array" ref="M123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33" s="9" t="str" cm="1">
        <f t="array" ref="N123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33" s="10" cm="1">
        <f t="array" ref="O1233">IFERROR(INDEX(Sheet4!$2:$1605,MATCH(ChiTietKQKD[[#This Row],[Mã CP]],Sheet4!$B$2:$B$1605,0),_xlfn.XMATCH("*Tăng trưởng lợi nhuận sau thuế (YoY) (Quý*",Sheet4!$1:$1,2)),"")</f>
        <v>0</v>
      </c>
      <c r="P1233" s="10" cm="1">
        <f t="array" ref="P1233">IFERROR(INDEX(Sheet4!$2:$1605,MATCH(ChiTietKQKD[[#This Row],[Mã CP]],Sheet4!$B$2:$B$1605,0),_xlfn.XMATCH("*Tăng trưởng lợi nhuận sau thuế (YoY) (6M)*",Sheet4!$1:$1,2)),"")</f>
        <v>0</v>
      </c>
      <c r="Q1233" s="10" cm="1">
        <f t="array" ref="Q1233">IFERROR(INDEX(Sheet4!$2:$1605,MATCH(ChiTietKQKD[[#This Row],[Mã CP]],Sheet4!$B$2:$B$1605,0),_xlfn.XMATCH("*Tăng trưởng doanh thu thuần (QoQ)*",Sheet4!$1:$1,2)),"")</f>
        <v>0</v>
      </c>
      <c r="R1233" s="10" cm="1">
        <f t="array" ref="R1233">IFERROR(INDEX(Sheet4!$2:$1605,MATCH(ChiTietKQKD[[#This Row],[Mã CP]],Sheet4!$B$2:$B$1605,0),_xlfn.XMATCH("*Tăng trưởng lợi nhuận sau thuế (QoQ)*",Sheet4!$1:$1,2)),"")</f>
        <v>0</v>
      </c>
    </row>
    <row r="1234" spans="1:18" x14ac:dyDescent="0.25">
      <c r="A1234" s="7">
        <f>Sheet4!A1213</f>
        <v>1212</v>
      </c>
      <c r="B1234" t="str">
        <f>Sheet4!B1213</f>
        <v>NDF</v>
      </c>
      <c r="C1234" t="str">
        <f>Sheet4!C1212</f>
        <v>Dược phẩm Nam Dược</v>
      </c>
      <c r="D1234" t="str">
        <f>Sheet4!D1213</f>
        <v>UPCoM</v>
      </c>
      <c r="E1234" s="7">
        <f>Sheet4!AH1213/1000000000</f>
        <v>7.0684199999999997</v>
      </c>
      <c r="F1234" t="str">
        <f>Sheet4!E1213</f>
        <v>Hàng Tiêu dùng</v>
      </c>
      <c r="G1234" t="str">
        <f>Sheet4!F1213</f>
        <v>Thực phẩm và đồ uống</v>
      </c>
      <c r="H1234" t="str">
        <f>Sheet4!G1213</f>
        <v>Thực phẩm</v>
      </c>
      <c r="I1234" s="9" t="str" cm="1">
        <f t="array" ref="I123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34" s="9" t="str" cm="1">
        <f t="array" ref="J123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34" s="10" cm="1">
        <f t="array" ref="K123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34" s="10" cm="1">
        <f t="array" ref="L123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34" s="9" t="str" cm="1">
        <f t="array" ref="M123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34" s="9" t="str" cm="1">
        <f t="array" ref="N123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34" s="10" cm="1">
        <f t="array" ref="O1234">IFERROR(INDEX(Sheet4!$2:$1605,MATCH(ChiTietKQKD[[#This Row],[Mã CP]],Sheet4!$B$2:$B$1605,0),_xlfn.XMATCH("*Tăng trưởng lợi nhuận sau thuế (YoY) (Quý*",Sheet4!$1:$1,2)),"")</f>
        <v>0</v>
      </c>
      <c r="P1234" s="10" cm="1">
        <f t="array" ref="P1234">IFERROR(INDEX(Sheet4!$2:$1605,MATCH(ChiTietKQKD[[#This Row],[Mã CP]],Sheet4!$B$2:$B$1605,0),_xlfn.XMATCH("*Tăng trưởng lợi nhuận sau thuế (YoY) (6M)*",Sheet4!$1:$1,2)),"")</f>
        <v>0</v>
      </c>
      <c r="Q1234" s="10" cm="1">
        <f t="array" ref="Q1234">IFERROR(INDEX(Sheet4!$2:$1605,MATCH(ChiTietKQKD[[#This Row],[Mã CP]],Sheet4!$B$2:$B$1605,0),_xlfn.XMATCH("*Tăng trưởng doanh thu thuần (QoQ)*",Sheet4!$1:$1,2)),"")</f>
        <v>0</v>
      </c>
      <c r="R1234" s="10" cm="1">
        <f t="array" ref="R1234">IFERROR(INDEX(Sheet4!$2:$1605,MATCH(ChiTietKQKD[[#This Row],[Mã CP]],Sheet4!$B$2:$B$1605,0),_xlfn.XMATCH("*Tăng trưởng lợi nhuận sau thuế (QoQ)*",Sheet4!$1:$1,2)),"")</f>
        <v>0</v>
      </c>
    </row>
    <row r="1235" spans="1:18" x14ac:dyDescent="0.25">
      <c r="A1235" s="7">
        <f>Sheet4!A1214</f>
        <v>1213</v>
      </c>
      <c r="B1235" t="str">
        <f>Sheet4!B1214</f>
        <v>NDP</v>
      </c>
      <c r="C1235" t="str">
        <f>Sheet4!C1213</f>
        <v>Nông sản XK Nam Định</v>
      </c>
      <c r="D1235" t="str">
        <f>Sheet4!D1214</f>
        <v>UPCoM</v>
      </c>
      <c r="E1235" s="7">
        <f>Sheet4!AH1214/1000000000</f>
        <v>255.3</v>
      </c>
      <c r="F1235" t="str">
        <f>Sheet4!E1214</f>
        <v>Dược phẩm và Y tế</v>
      </c>
      <c r="G1235" t="str">
        <f>Sheet4!F1214</f>
        <v>Y tế</v>
      </c>
      <c r="H1235" t="str">
        <f>Sheet4!G1214</f>
        <v>Dược phẩm</v>
      </c>
      <c r="I1235" s="9" t="str" cm="1">
        <f t="array" ref="I123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35" s="9" t="str" cm="1">
        <f t="array" ref="J123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35" s="10" cm="1">
        <f t="array" ref="K123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35" s="10" cm="1">
        <f t="array" ref="L123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35" s="9" t="str" cm="1">
        <f t="array" ref="M123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35" s="9" t="str" cm="1">
        <f t="array" ref="N123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35" s="10" cm="1">
        <f t="array" ref="O1235">IFERROR(INDEX(Sheet4!$2:$1605,MATCH(ChiTietKQKD[[#This Row],[Mã CP]],Sheet4!$B$2:$B$1605,0),_xlfn.XMATCH("*Tăng trưởng lợi nhuận sau thuế (YoY) (Quý*",Sheet4!$1:$1,2)),"")</f>
        <v>0</v>
      </c>
      <c r="P1235" s="10" cm="1">
        <f t="array" ref="P1235">IFERROR(INDEX(Sheet4!$2:$1605,MATCH(ChiTietKQKD[[#This Row],[Mã CP]],Sheet4!$B$2:$B$1605,0),_xlfn.XMATCH("*Tăng trưởng lợi nhuận sau thuế (YoY) (6M)*",Sheet4!$1:$1,2)),"")</f>
        <v>0</v>
      </c>
      <c r="Q1235" s="10" cm="1">
        <f t="array" ref="Q1235">IFERROR(INDEX(Sheet4!$2:$1605,MATCH(ChiTietKQKD[[#This Row],[Mã CP]],Sheet4!$B$2:$B$1605,0),_xlfn.XMATCH("*Tăng trưởng doanh thu thuần (QoQ)*",Sheet4!$1:$1,2)),"")</f>
        <v>0</v>
      </c>
      <c r="R1235" s="10" cm="1">
        <f t="array" ref="R1235">IFERROR(INDEX(Sheet4!$2:$1605,MATCH(ChiTietKQKD[[#This Row],[Mã CP]],Sheet4!$B$2:$B$1605,0),_xlfn.XMATCH("*Tăng trưởng lợi nhuận sau thuế (QoQ)*",Sheet4!$1:$1,2)),"")</f>
        <v>0</v>
      </c>
    </row>
    <row r="1236" spans="1:18" x14ac:dyDescent="0.25">
      <c r="A1236" s="7">
        <f>Sheet4!A1215</f>
        <v>1214</v>
      </c>
      <c r="B1236" t="str">
        <f>Sheet4!B1215</f>
        <v>NDT</v>
      </c>
      <c r="C1236" t="str">
        <f>Sheet4!C1214</f>
        <v>Dược phẩm 2/9</v>
      </c>
      <c r="D1236" t="str">
        <f>Sheet4!D1215</f>
        <v>UPCoM</v>
      </c>
      <c r="E1236" s="7">
        <f>Sheet4!AH1215/1000000000</f>
        <v>71.709289960000007</v>
      </c>
      <c r="F1236" t="str">
        <f>Sheet4!E1215</f>
        <v>Hàng Tiêu dùng</v>
      </c>
      <c r="G1236" t="str">
        <f>Sheet4!F1215</f>
        <v>Hàng cá nhân &amp; Gia dụng</v>
      </c>
      <c r="H1236" t="str">
        <f>Sheet4!G1215</f>
        <v>Hàng May mặc</v>
      </c>
      <c r="I1236" s="9" t="str" cm="1">
        <f t="array" ref="I123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36" s="9" t="str" cm="1">
        <f t="array" ref="J123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36" s="10" cm="1">
        <f t="array" ref="K123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36" s="10" cm="1">
        <f t="array" ref="L123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36" s="9" t="str" cm="1">
        <f t="array" ref="M123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36" s="9" t="str" cm="1">
        <f t="array" ref="N123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36" s="10" cm="1">
        <f t="array" ref="O1236">IFERROR(INDEX(Sheet4!$2:$1605,MATCH(ChiTietKQKD[[#This Row],[Mã CP]],Sheet4!$B$2:$B$1605,0),_xlfn.XMATCH("*Tăng trưởng lợi nhuận sau thuế (YoY) (Quý*",Sheet4!$1:$1,2)),"")</f>
        <v>0</v>
      </c>
      <c r="P1236" s="10" cm="1">
        <f t="array" ref="P1236">IFERROR(INDEX(Sheet4!$2:$1605,MATCH(ChiTietKQKD[[#This Row],[Mã CP]],Sheet4!$B$2:$B$1605,0),_xlfn.XMATCH("*Tăng trưởng lợi nhuận sau thuế (YoY) (6M)*",Sheet4!$1:$1,2)),"")</f>
        <v>0</v>
      </c>
      <c r="Q1236" s="10" cm="1">
        <f t="array" ref="Q1236">IFERROR(INDEX(Sheet4!$2:$1605,MATCH(ChiTietKQKD[[#This Row],[Mã CP]],Sheet4!$B$2:$B$1605,0),_xlfn.XMATCH("*Tăng trưởng doanh thu thuần (QoQ)*",Sheet4!$1:$1,2)),"")</f>
        <v>0</v>
      </c>
      <c r="R1236" s="10" cm="1">
        <f t="array" ref="R1236">IFERROR(INDEX(Sheet4!$2:$1605,MATCH(ChiTietKQKD[[#This Row],[Mã CP]],Sheet4!$B$2:$B$1605,0),_xlfn.XMATCH("*Tăng trưởng lợi nhuận sau thuế (QoQ)*",Sheet4!$1:$1,2)),"")</f>
        <v>0</v>
      </c>
    </row>
    <row r="1237" spans="1:18" x14ac:dyDescent="0.25">
      <c r="A1237" s="7">
        <f>Sheet4!A1216</f>
        <v>1215</v>
      </c>
      <c r="B1237" t="str">
        <f>Sheet4!B1216</f>
        <v>NDW</v>
      </c>
      <c r="C1237" t="str">
        <f>Sheet4!C1215</f>
        <v>Dệt may Nam Định</v>
      </c>
      <c r="D1237" t="str">
        <f>Sheet4!D1216</f>
        <v>UPCoM</v>
      </c>
      <c r="E1237" s="7">
        <f>Sheet4!AH1216/1000000000</f>
        <v>540.80315840000003</v>
      </c>
      <c r="F1237" t="str">
        <f>Sheet4!E1216</f>
        <v>Tiện ích Cộng đồng</v>
      </c>
      <c r="G1237" t="str">
        <f>Sheet4!F1216</f>
        <v>Điện, nước &amp; xăng dầu khí đốt</v>
      </c>
      <c r="H1237" t="str">
        <f>Sheet4!G1216</f>
        <v>Nước</v>
      </c>
      <c r="I1237" s="9" cm="1">
        <f t="array" ref="I123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78.299771347000004</v>
      </c>
      <c r="J1237" s="9" cm="1">
        <f t="array" ref="J123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146.23932725500001</v>
      </c>
      <c r="K1237" s="10" cm="1">
        <f t="array" ref="K123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0.1179</v>
      </c>
      <c r="L1237" s="10" cm="1">
        <f t="array" ref="L123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8.8900000000000007E-2</v>
      </c>
      <c r="M1237" s="9" cm="1">
        <f t="array" ref="M1237">_xlfn.LET(_xlpm.val,IFERROR(INDEX(Sheet4!$2:$1605,MATCH(ChiTietKQKD[[#This Row],[Mã CP]],Sheet4!$B$2:$B$1605,0),_xlfn.XMATCH("*Lợi nhuận sau thuế*Q2*2026*",Sheet4!$1:$1,2)),0),IF(OR(_xlpm.val="",_xlpm.val=0),"",_xlpm.val/1000000000))</f>
        <v>10.999532936</v>
      </c>
      <c r="N1237" s="9" cm="1">
        <f t="array" ref="N1237">_xlfn.LET(_xlpm.val,IFERROR(INDEX(Sheet4!$2:$1605,MATCH(ChiTietKQKD[[#This Row],[Mã CP]],Sheet4!$B$2:$B$1605,0),_xlfn.XMATCH("*Lợi nhuận sau thuế*6 tháng*2026*",Sheet4!$1:$1,2)),0),IF(OR(_xlpm.val="",_xlpm.val=0),"",_xlpm.val/1000000000))</f>
        <v>20.656470726999999</v>
      </c>
      <c r="O1237" s="10" cm="1">
        <f t="array" ref="O1237">IFERROR(INDEX(Sheet4!$2:$1605,MATCH(ChiTietKQKD[[#This Row],[Mã CP]],Sheet4!$B$2:$B$1605,0),_xlfn.XMATCH("*Tăng trưởng lợi nhuận sau thuế (YoY) (Quý*",Sheet4!$1:$1,2)),"")</f>
        <v>-3.0000000000000001E-3</v>
      </c>
      <c r="P1237" s="10" cm="1">
        <f t="array" ref="P1237">IFERROR(INDEX(Sheet4!$2:$1605,MATCH(ChiTietKQKD[[#This Row],[Mã CP]],Sheet4!$B$2:$B$1605,0),_xlfn.XMATCH("*Tăng trưởng lợi nhuận sau thuế (YoY) (6M)*",Sheet4!$1:$1,2)),"")</f>
        <v>-1.1999999999999999E-3</v>
      </c>
      <c r="Q1237" s="10" cm="1">
        <f t="array" ref="Q1237">IFERROR(INDEX(Sheet4!$2:$1605,MATCH(ChiTietKQKD[[#This Row],[Mã CP]],Sheet4!$B$2:$B$1605,0),_xlfn.XMATCH("*Tăng trưởng doanh thu thuần (QoQ)*",Sheet4!$1:$1,2)),"")</f>
        <v>0.1525</v>
      </c>
      <c r="R1237" s="10" cm="1">
        <f t="array" ref="R1237">IFERROR(INDEX(Sheet4!$2:$1605,MATCH(ChiTietKQKD[[#This Row],[Mã CP]],Sheet4!$B$2:$B$1605,0),_xlfn.XMATCH("*Tăng trưởng lợi nhuận sau thuế (QoQ)*",Sheet4!$1:$1,2)),"")</f>
        <v>0.13900000000000001</v>
      </c>
    </row>
    <row r="1238" spans="1:18" x14ac:dyDescent="0.25">
      <c r="A1238" s="7">
        <f>Sheet4!A1217</f>
        <v>1216</v>
      </c>
      <c r="B1238" t="str">
        <f>Sheet4!B1217</f>
        <v>NED</v>
      </c>
      <c r="C1238" t="str">
        <f>Sheet4!C1216</f>
        <v>Cấp nước Nam Định</v>
      </c>
      <c r="D1238" t="str">
        <f>Sheet4!D1217</f>
        <v>UPCoM</v>
      </c>
      <c r="E1238" s="7">
        <f>Sheet4!AH1217/1000000000</f>
        <v>247.2525</v>
      </c>
      <c r="F1238" t="str">
        <f>Sheet4!E1217</f>
        <v>Công nghiệp</v>
      </c>
      <c r="G1238" t="str">
        <f>Sheet4!F1217</f>
        <v>Xây dựng và Vật liệu</v>
      </c>
      <c r="H1238" t="str">
        <f>Sheet4!G1217</f>
        <v>Xây dựng</v>
      </c>
      <c r="I1238" s="9" t="str" cm="1">
        <f t="array" ref="I123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38" s="9" t="str" cm="1">
        <f t="array" ref="J123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38" s="10" cm="1">
        <f t="array" ref="K123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38" s="10" cm="1">
        <f t="array" ref="L123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38" s="9" t="str" cm="1">
        <f t="array" ref="M123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38" s="9" t="str" cm="1">
        <f t="array" ref="N123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38" s="10" cm="1">
        <f t="array" ref="O1238">IFERROR(INDEX(Sheet4!$2:$1605,MATCH(ChiTietKQKD[[#This Row],[Mã CP]],Sheet4!$B$2:$B$1605,0),_xlfn.XMATCH("*Tăng trưởng lợi nhuận sau thuế (YoY) (Quý*",Sheet4!$1:$1,2)),"")</f>
        <v>0</v>
      </c>
      <c r="P1238" s="10" cm="1">
        <f t="array" ref="P1238">IFERROR(INDEX(Sheet4!$2:$1605,MATCH(ChiTietKQKD[[#This Row],[Mã CP]],Sheet4!$B$2:$B$1605,0),_xlfn.XMATCH("*Tăng trưởng lợi nhuận sau thuế (YoY) (6M)*",Sheet4!$1:$1,2)),"")</f>
        <v>0</v>
      </c>
      <c r="Q1238" s="10" cm="1">
        <f t="array" ref="Q1238">IFERROR(INDEX(Sheet4!$2:$1605,MATCH(ChiTietKQKD[[#This Row],[Mã CP]],Sheet4!$B$2:$B$1605,0),_xlfn.XMATCH("*Tăng trưởng doanh thu thuần (QoQ)*",Sheet4!$1:$1,2)),"")</f>
        <v>0</v>
      </c>
      <c r="R1238" s="10" cm="1">
        <f t="array" ref="R1238">IFERROR(INDEX(Sheet4!$2:$1605,MATCH(ChiTietKQKD[[#This Row],[Mã CP]],Sheet4!$B$2:$B$1605,0),_xlfn.XMATCH("*Tăng trưởng lợi nhuận sau thuế (QoQ)*",Sheet4!$1:$1,2)),"")</f>
        <v>0</v>
      </c>
    </row>
    <row r="1239" spans="1:18" x14ac:dyDescent="0.25">
      <c r="A1239" s="7">
        <f>Sheet4!A1218</f>
        <v>1217</v>
      </c>
      <c r="B1239" t="str">
        <f>Sheet4!B1218</f>
        <v>NGC</v>
      </c>
      <c r="C1239" t="str">
        <f>Sheet4!C1217</f>
        <v>Phát triển Điện Tây Bắc</v>
      </c>
      <c r="D1239" t="str">
        <f>Sheet4!D1218</f>
        <v>UPCoM</v>
      </c>
      <c r="E1239" s="7">
        <f>Sheet4!AH1218/1000000000</f>
        <v>2.7598248000000001</v>
      </c>
      <c r="F1239" t="str">
        <f>Sheet4!E1218</f>
        <v>Hàng Tiêu dùng</v>
      </c>
      <c r="G1239" t="str">
        <f>Sheet4!F1218</f>
        <v>Thực phẩm và đồ uống</v>
      </c>
      <c r="H1239" t="str">
        <f>Sheet4!G1218</f>
        <v>Nuôi trồng nông &amp; hải sản</v>
      </c>
      <c r="I1239" s="9" t="str" cm="1">
        <f t="array" ref="I123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39" s="9" t="str" cm="1">
        <f t="array" ref="J123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39" s="10" cm="1">
        <f t="array" ref="K123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39" s="10" cm="1">
        <f t="array" ref="L123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39" s="9" t="str" cm="1">
        <f t="array" ref="M123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39" s="9" t="str" cm="1">
        <f t="array" ref="N123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39" s="10" cm="1">
        <f t="array" ref="O1239">IFERROR(INDEX(Sheet4!$2:$1605,MATCH(ChiTietKQKD[[#This Row],[Mã CP]],Sheet4!$B$2:$B$1605,0),_xlfn.XMATCH("*Tăng trưởng lợi nhuận sau thuế (YoY) (Quý*",Sheet4!$1:$1,2)),"")</f>
        <v>0</v>
      </c>
      <c r="P1239" s="10" cm="1">
        <f t="array" ref="P1239">IFERROR(INDEX(Sheet4!$2:$1605,MATCH(ChiTietKQKD[[#This Row],[Mã CP]],Sheet4!$B$2:$B$1605,0),_xlfn.XMATCH("*Tăng trưởng lợi nhuận sau thuế (YoY) (6M)*",Sheet4!$1:$1,2)),"")</f>
        <v>0</v>
      </c>
      <c r="Q1239" s="10" cm="1">
        <f t="array" ref="Q1239">IFERROR(INDEX(Sheet4!$2:$1605,MATCH(ChiTietKQKD[[#This Row],[Mã CP]],Sheet4!$B$2:$B$1605,0),_xlfn.XMATCH("*Tăng trưởng doanh thu thuần (QoQ)*",Sheet4!$1:$1,2)),"")</f>
        <v>0</v>
      </c>
      <c r="R1239" s="10" cm="1">
        <f t="array" ref="R1239">IFERROR(INDEX(Sheet4!$2:$1605,MATCH(ChiTietKQKD[[#This Row],[Mã CP]],Sheet4!$B$2:$B$1605,0),_xlfn.XMATCH("*Tăng trưởng lợi nhuận sau thuế (QoQ)*",Sheet4!$1:$1,2)),"")</f>
        <v>0</v>
      </c>
    </row>
    <row r="1240" spans="1:18" x14ac:dyDescent="0.25">
      <c r="A1240" s="7">
        <f>Sheet4!A1219</f>
        <v>1218</v>
      </c>
      <c r="B1240" t="str">
        <f>Sheet4!B1219</f>
        <v>NHD</v>
      </c>
      <c r="C1240" t="str">
        <f>Sheet4!C1218</f>
        <v>Thủy sản Ngô Quyền</v>
      </c>
      <c r="D1240" t="str">
        <f>Sheet4!D1219</f>
        <v>UPCoM</v>
      </c>
      <c r="E1240" s="7">
        <f>Sheet4!AH1219/1000000000</f>
        <v>369.2</v>
      </c>
      <c r="F1240" t="str">
        <f>Sheet4!E1219</f>
        <v>Dược phẩm và Y tế</v>
      </c>
      <c r="G1240" t="str">
        <f>Sheet4!F1219</f>
        <v>Y tế</v>
      </c>
      <c r="H1240" t="str">
        <f>Sheet4!G1219</f>
        <v>Dược phẩm</v>
      </c>
      <c r="I1240" s="9" t="str" cm="1">
        <f t="array" ref="I124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40" s="9" t="str" cm="1">
        <f t="array" ref="J124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40" s="10" cm="1">
        <f t="array" ref="K124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40" s="10" cm="1">
        <f t="array" ref="L124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40" s="9" t="str" cm="1">
        <f t="array" ref="M124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40" s="9" t="str" cm="1">
        <f t="array" ref="N124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40" s="10" cm="1">
        <f t="array" ref="O1240">IFERROR(INDEX(Sheet4!$2:$1605,MATCH(ChiTietKQKD[[#This Row],[Mã CP]],Sheet4!$B$2:$B$1605,0),_xlfn.XMATCH("*Tăng trưởng lợi nhuận sau thuế (YoY) (Quý*",Sheet4!$1:$1,2)),"")</f>
        <v>0</v>
      </c>
      <c r="P1240" s="10" cm="1">
        <f t="array" ref="P1240">IFERROR(INDEX(Sheet4!$2:$1605,MATCH(ChiTietKQKD[[#This Row],[Mã CP]],Sheet4!$B$2:$B$1605,0),_xlfn.XMATCH("*Tăng trưởng lợi nhuận sau thuế (YoY) (6M)*",Sheet4!$1:$1,2)),"")</f>
        <v>0</v>
      </c>
      <c r="Q1240" s="10" cm="1">
        <f t="array" ref="Q1240">IFERROR(INDEX(Sheet4!$2:$1605,MATCH(ChiTietKQKD[[#This Row],[Mã CP]],Sheet4!$B$2:$B$1605,0),_xlfn.XMATCH("*Tăng trưởng doanh thu thuần (QoQ)*",Sheet4!$1:$1,2)),"")</f>
        <v>0</v>
      </c>
      <c r="R1240" s="10" cm="1">
        <f t="array" ref="R1240">IFERROR(INDEX(Sheet4!$2:$1605,MATCH(ChiTietKQKD[[#This Row],[Mã CP]],Sheet4!$B$2:$B$1605,0),_xlfn.XMATCH("*Tăng trưởng lợi nhuận sau thuế (QoQ)*",Sheet4!$1:$1,2)),"")</f>
        <v>0</v>
      </c>
    </row>
    <row r="1241" spans="1:18" x14ac:dyDescent="0.25">
      <c r="A1241" s="7">
        <f>Sheet4!A1220</f>
        <v>1219</v>
      </c>
      <c r="B1241" t="str">
        <f>Sheet4!B1220</f>
        <v>NHV</v>
      </c>
      <c r="C1241" t="str">
        <f>Sheet4!C1219</f>
        <v>Dược phẩm Nam Hà</v>
      </c>
      <c r="D1241" t="str">
        <f>Sheet4!D1220</f>
        <v>UPCoM</v>
      </c>
      <c r="E1241" s="7">
        <f>Sheet4!AH1220/1000000000</f>
        <v>3.2880672</v>
      </c>
      <c r="F1241" t="str">
        <f>Sheet4!E1220</f>
        <v>Nguyên vật liệu</v>
      </c>
      <c r="G1241" t="str">
        <f>Sheet4!F1220</f>
        <v>Tài nguyên Cơ bản</v>
      </c>
      <c r="H1241" t="str">
        <f>Sheet4!G1220</f>
        <v>Kim Loại màu</v>
      </c>
      <c r="I1241" s="9" t="str" cm="1">
        <f t="array" ref="I124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41" s="9" t="str" cm="1">
        <f t="array" ref="J124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41" s="10" cm="1">
        <f t="array" ref="K124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41" s="10" cm="1">
        <f t="array" ref="L124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41" s="9" t="str" cm="1">
        <f t="array" ref="M124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41" s="9" t="str" cm="1">
        <f t="array" ref="N124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41" s="10" cm="1">
        <f t="array" ref="O1241">IFERROR(INDEX(Sheet4!$2:$1605,MATCH(ChiTietKQKD[[#This Row],[Mã CP]],Sheet4!$B$2:$B$1605,0),_xlfn.XMATCH("*Tăng trưởng lợi nhuận sau thuế (YoY) (Quý*",Sheet4!$1:$1,2)),"")</f>
        <v>0</v>
      </c>
      <c r="P1241" s="10" cm="1">
        <f t="array" ref="P1241">IFERROR(INDEX(Sheet4!$2:$1605,MATCH(ChiTietKQKD[[#This Row],[Mã CP]],Sheet4!$B$2:$B$1605,0),_xlfn.XMATCH("*Tăng trưởng lợi nhuận sau thuế (YoY) (6M)*",Sheet4!$1:$1,2)),"")</f>
        <v>0</v>
      </c>
      <c r="Q1241" s="10" cm="1">
        <f t="array" ref="Q1241">IFERROR(INDEX(Sheet4!$2:$1605,MATCH(ChiTietKQKD[[#This Row],[Mã CP]],Sheet4!$B$2:$B$1605,0),_xlfn.XMATCH("*Tăng trưởng doanh thu thuần (QoQ)*",Sheet4!$1:$1,2)),"")</f>
        <v>0</v>
      </c>
      <c r="R1241" s="10" cm="1">
        <f t="array" ref="R1241">IFERROR(INDEX(Sheet4!$2:$1605,MATCH(ChiTietKQKD[[#This Row],[Mã CP]],Sheet4!$B$2:$B$1605,0),_xlfn.XMATCH("*Tăng trưởng lợi nhuận sau thuế (QoQ)*",Sheet4!$1:$1,2)),"")</f>
        <v>0</v>
      </c>
    </row>
    <row r="1242" spans="1:18" x14ac:dyDescent="0.25">
      <c r="A1242" s="7">
        <f>Sheet4!A1221</f>
        <v>1220</v>
      </c>
      <c r="B1242" t="str">
        <f>Sheet4!B1221</f>
        <v>NJC</v>
      </c>
      <c r="C1242" t="str">
        <f>Sheet4!C1220</f>
        <v>CTCP  Sức khỏe Hồi sinh Việt Nam</v>
      </c>
      <c r="D1242" t="str">
        <f>Sheet4!D1221</f>
        <v>UPCoM</v>
      </c>
      <c r="E1242" s="7">
        <f>Sheet4!AH1221/1000000000</f>
        <v>67.923921000000007</v>
      </c>
      <c r="F1242" t="str">
        <f>Sheet4!E1221</f>
        <v>Hàng Tiêu dùng</v>
      </c>
      <c r="G1242" t="str">
        <f>Sheet4!F1221</f>
        <v>Hàng cá nhân &amp; Gia dụng</v>
      </c>
      <c r="H1242" t="str">
        <f>Sheet4!G1221</f>
        <v>Hàng May mặc</v>
      </c>
      <c r="I1242" s="9" t="str" cm="1">
        <f t="array" ref="I124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42" s="9" t="str" cm="1">
        <f t="array" ref="J124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42" s="10" cm="1">
        <f t="array" ref="K124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42" s="10" cm="1">
        <f t="array" ref="L124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42" s="9" t="str" cm="1">
        <f t="array" ref="M124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42" s="9" t="str" cm="1">
        <f t="array" ref="N124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42" s="10" cm="1">
        <f t="array" ref="O1242">IFERROR(INDEX(Sheet4!$2:$1605,MATCH(ChiTietKQKD[[#This Row],[Mã CP]],Sheet4!$B$2:$B$1605,0),_xlfn.XMATCH("*Tăng trưởng lợi nhuận sau thuế (YoY) (Quý*",Sheet4!$1:$1,2)),"")</f>
        <v>0</v>
      </c>
      <c r="P1242" s="10" cm="1">
        <f t="array" ref="P1242">IFERROR(INDEX(Sheet4!$2:$1605,MATCH(ChiTietKQKD[[#This Row],[Mã CP]],Sheet4!$B$2:$B$1605,0),_xlfn.XMATCH("*Tăng trưởng lợi nhuận sau thuế (YoY) (6M)*",Sheet4!$1:$1,2)),"")</f>
        <v>0</v>
      </c>
      <c r="Q1242" s="10" cm="1">
        <f t="array" ref="Q1242">IFERROR(INDEX(Sheet4!$2:$1605,MATCH(ChiTietKQKD[[#This Row],[Mã CP]],Sheet4!$B$2:$B$1605,0),_xlfn.XMATCH("*Tăng trưởng doanh thu thuần (QoQ)*",Sheet4!$1:$1,2)),"")</f>
        <v>0</v>
      </c>
      <c r="R1242" s="10" cm="1">
        <f t="array" ref="R1242">IFERROR(INDEX(Sheet4!$2:$1605,MATCH(ChiTietKQKD[[#This Row],[Mã CP]],Sheet4!$B$2:$B$1605,0),_xlfn.XMATCH("*Tăng trưởng lợi nhuận sau thuế (QoQ)*",Sheet4!$1:$1,2)),"")</f>
        <v>0</v>
      </c>
    </row>
    <row r="1243" spans="1:18" x14ac:dyDescent="0.25">
      <c r="A1243" s="7">
        <f>Sheet4!A1222</f>
        <v>1221</v>
      </c>
      <c r="B1243" t="str">
        <f>Sheet4!B1222</f>
        <v>NLS</v>
      </c>
      <c r="C1243" t="str">
        <f>Sheet4!C1221</f>
        <v>May Nam Định</v>
      </c>
      <c r="D1243" t="str">
        <f>Sheet4!D1222</f>
        <v>UPCoM</v>
      </c>
      <c r="E1243" s="7">
        <f>Sheet4!AH1222/1000000000</f>
        <v>27.553899999999999</v>
      </c>
      <c r="F1243" t="str">
        <f>Sheet4!E1222</f>
        <v>Tiện ích Cộng đồng</v>
      </c>
      <c r="G1243" t="str">
        <f>Sheet4!F1222</f>
        <v>Điện, nước &amp; xăng dầu khí đốt</v>
      </c>
      <c r="H1243" t="str">
        <f>Sheet4!G1222</f>
        <v>Nước</v>
      </c>
      <c r="I1243" s="9" t="str" cm="1">
        <f t="array" ref="I124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43" s="9" t="str" cm="1">
        <f t="array" ref="J124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43" s="10" cm="1">
        <f t="array" ref="K124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43" s="10" cm="1">
        <f t="array" ref="L124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43" s="9" t="str" cm="1">
        <f t="array" ref="M124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43" s="9" t="str" cm="1">
        <f t="array" ref="N124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43" s="10" cm="1">
        <f t="array" ref="O1243">IFERROR(INDEX(Sheet4!$2:$1605,MATCH(ChiTietKQKD[[#This Row],[Mã CP]],Sheet4!$B$2:$B$1605,0),_xlfn.XMATCH("*Tăng trưởng lợi nhuận sau thuế (YoY) (Quý*",Sheet4!$1:$1,2)),"")</f>
        <v>0</v>
      </c>
      <c r="P1243" s="10" cm="1">
        <f t="array" ref="P1243">IFERROR(INDEX(Sheet4!$2:$1605,MATCH(ChiTietKQKD[[#This Row],[Mã CP]],Sheet4!$B$2:$B$1605,0),_xlfn.XMATCH("*Tăng trưởng lợi nhuận sau thuế (YoY) (6M)*",Sheet4!$1:$1,2)),"")</f>
        <v>0</v>
      </c>
      <c r="Q1243" s="10" cm="1">
        <f t="array" ref="Q1243">IFERROR(INDEX(Sheet4!$2:$1605,MATCH(ChiTietKQKD[[#This Row],[Mã CP]],Sheet4!$B$2:$B$1605,0),_xlfn.XMATCH("*Tăng trưởng doanh thu thuần (QoQ)*",Sheet4!$1:$1,2)),"")</f>
        <v>0</v>
      </c>
      <c r="R1243" s="10" cm="1">
        <f t="array" ref="R1243">IFERROR(INDEX(Sheet4!$2:$1605,MATCH(ChiTietKQKD[[#This Row],[Mã CP]],Sheet4!$B$2:$B$1605,0),_xlfn.XMATCH("*Tăng trưởng lợi nhuận sau thuế (QoQ)*",Sheet4!$1:$1,2)),"")</f>
        <v>0</v>
      </c>
    </row>
    <row r="1244" spans="1:18" x14ac:dyDescent="0.25">
      <c r="A1244" s="7">
        <f>Sheet4!A1223</f>
        <v>1222</v>
      </c>
      <c r="B1244" t="str">
        <f>Sheet4!B1223</f>
        <v>NNT</v>
      </c>
      <c r="C1244" t="str">
        <f>Sheet4!C1222</f>
        <v>Cấp thoát nước Lạng Sơn</v>
      </c>
      <c r="D1244" t="str">
        <f>Sheet4!D1223</f>
        <v>UPCoM</v>
      </c>
      <c r="E1244" s="7">
        <f>Sheet4!AH1223/1000000000</f>
        <v>550.46877800000004</v>
      </c>
      <c r="F1244" t="str">
        <f>Sheet4!E1223</f>
        <v>Tiện ích Cộng đồng</v>
      </c>
      <c r="G1244" t="str">
        <f>Sheet4!F1223</f>
        <v>Điện, nước &amp; xăng dầu khí đốt</v>
      </c>
      <c r="H1244" t="str">
        <f>Sheet4!G1223</f>
        <v>Nước</v>
      </c>
      <c r="I1244" s="9" t="str" cm="1">
        <f t="array" ref="I124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44" s="9" t="str" cm="1">
        <f t="array" ref="J124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44" s="10" cm="1">
        <f t="array" ref="K124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44" s="10" cm="1">
        <f t="array" ref="L124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44" s="9" t="str" cm="1">
        <f t="array" ref="M124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44" s="9" t="str" cm="1">
        <f t="array" ref="N124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44" s="10" cm="1">
        <f t="array" ref="O1244">IFERROR(INDEX(Sheet4!$2:$1605,MATCH(ChiTietKQKD[[#This Row],[Mã CP]],Sheet4!$B$2:$B$1605,0),_xlfn.XMATCH("*Tăng trưởng lợi nhuận sau thuế (YoY) (Quý*",Sheet4!$1:$1,2)),"")</f>
        <v>0</v>
      </c>
      <c r="P1244" s="10" cm="1">
        <f t="array" ref="P1244">IFERROR(INDEX(Sheet4!$2:$1605,MATCH(ChiTietKQKD[[#This Row],[Mã CP]],Sheet4!$B$2:$B$1605,0),_xlfn.XMATCH("*Tăng trưởng lợi nhuận sau thuế (YoY) (6M)*",Sheet4!$1:$1,2)),"")</f>
        <v>0</v>
      </c>
      <c r="Q1244" s="10" cm="1">
        <f t="array" ref="Q1244">IFERROR(INDEX(Sheet4!$2:$1605,MATCH(ChiTietKQKD[[#This Row],[Mã CP]],Sheet4!$B$2:$B$1605,0),_xlfn.XMATCH("*Tăng trưởng doanh thu thuần (QoQ)*",Sheet4!$1:$1,2)),"")</f>
        <v>0</v>
      </c>
      <c r="R1244" s="10" cm="1">
        <f t="array" ref="R1244">IFERROR(INDEX(Sheet4!$2:$1605,MATCH(ChiTietKQKD[[#This Row],[Mã CP]],Sheet4!$B$2:$B$1605,0),_xlfn.XMATCH("*Tăng trưởng lợi nhuận sau thuế (QoQ)*",Sheet4!$1:$1,2)),"")</f>
        <v>0</v>
      </c>
    </row>
    <row r="1245" spans="1:18" x14ac:dyDescent="0.25">
      <c r="A1245" s="7">
        <f>Sheet4!A1224</f>
        <v>1223</v>
      </c>
      <c r="B1245" t="str">
        <f>Sheet4!B1224</f>
        <v>NOS</v>
      </c>
      <c r="C1245" t="str">
        <f>Sheet4!C1223</f>
        <v>Cấp nước Ninh Thuận</v>
      </c>
      <c r="D1245" t="str">
        <f>Sheet4!D1224</f>
        <v>UPCoM</v>
      </c>
      <c r="E1245" s="7">
        <f>Sheet4!AH1224/1000000000</f>
        <v>17.573338799999998</v>
      </c>
      <c r="F1245" t="str">
        <f>Sheet4!E1224</f>
        <v>Công nghiệp</v>
      </c>
      <c r="G1245" t="str">
        <f>Sheet4!F1224</f>
        <v>Hàng &amp; Dịch vụ Công nghiệp</v>
      </c>
      <c r="H1245" t="str">
        <f>Sheet4!G1224</f>
        <v>Vận tải Thủy</v>
      </c>
      <c r="I1245" s="9" t="str" cm="1">
        <f t="array" ref="I124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45" s="9" t="str" cm="1">
        <f t="array" ref="J124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45" s="10" cm="1">
        <f t="array" ref="K124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45" s="10" cm="1">
        <f t="array" ref="L124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45" s="9" t="str" cm="1">
        <f t="array" ref="M124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45" s="9" t="str" cm="1">
        <f t="array" ref="N124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45" s="10" cm="1">
        <f t="array" ref="O1245">IFERROR(INDEX(Sheet4!$2:$1605,MATCH(ChiTietKQKD[[#This Row],[Mã CP]],Sheet4!$B$2:$B$1605,0),_xlfn.XMATCH("*Tăng trưởng lợi nhuận sau thuế (YoY) (Quý*",Sheet4!$1:$1,2)),"")</f>
        <v>0</v>
      </c>
      <c r="P1245" s="10" cm="1">
        <f t="array" ref="P1245">IFERROR(INDEX(Sheet4!$2:$1605,MATCH(ChiTietKQKD[[#This Row],[Mã CP]],Sheet4!$B$2:$B$1605,0),_xlfn.XMATCH("*Tăng trưởng lợi nhuận sau thuế (YoY) (6M)*",Sheet4!$1:$1,2)),"")</f>
        <v>0</v>
      </c>
      <c r="Q1245" s="10" cm="1">
        <f t="array" ref="Q1245">IFERROR(INDEX(Sheet4!$2:$1605,MATCH(ChiTietKQKD[[#This Row],[Mã CP]],Sheet4!$B$2:$B$1605,0),_xlfn.XMATCH("*Tăng trưởng doanh thu thuần (QoQ)*",Sheet4!$1:$1,2)),"")</f>
        <v>0</v>
      </c>
      <c r="R1245" s="10" cm="1">
        <f t="array" ref="R1245">IFERROR(INDEX(Sheet4!$2:$1605,MATCH(ChiTietKQKD[[#This Row],[Mã CP]],Sheet4!$B$2:$B$1605,0),_xlfn.XMATCH("*Tăng trưởng lợi nhuận sau thuế (QoQ)*",Sheet4!$1:$1,2)),"")</f>
        <v>0</v>
      </c>
    </row>
    <row r="1246" spans="1:18" x14ac:dyDescent="0.25">
      <c r="A1246" s="7">
        <f>Sheet4!A1225</f>
        <v>1224</v>
      </c>
      <c r="B1246" t="str">
        <f>Sheet4!B1225</f>
        <v>NQB</v>
      </c>
      <c r="C1246" t="str">
        <f>Sheet4!C1224</f>
        <v>Vận tải Biển và Thương mại Phương Đông</v>
      </c>
      <c r="D1246" t="str">
        <f>Sheet4!D1225</f>
        <v>UPCoM</v>
      </c>
      <c r="E1246" s="7">
        <f>Sheet4!AH1225/1000000000</f>
        <v>174.0250604</v>
      </c>
      <c r="F1246" t="str">
        <f>Sheet4!E1225</f>
        <v>Tiện ích Cộng đồng</v>
      </c>
      <c r="G1246" t="str">
        <f>Sheet4!F1225</f>
        <v>Điện, nước &amp; xăng dầu khí đốt</v>
      </c>
      <c r="H1246" t="str">
        <f>Sheet4!G1225</f>
        <v>Nước</v>
      </c>
      <c r="I1246" s="9" t="str" cm="1">
        <f t="array" ref="I124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46" s="9" t="str" cm="1">
        <f t="array" ref="J124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46" s="10" cm="1">
        <f t="array" ref="K124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46" s="10" cm="1">
        <f t="array" ref="L124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46" s="9" t="str" cm="1">
        <f t="array" ref="M124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46" s="9" t="str" cm="1">
        <f t="array" ref="N124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46" s="10" cm="1">
        <f t="array" ref="O1246">IFERROR(INDEX(Sheet4!$2:$1605,MATCH(ChiTietKQKD[[#This Row],[Mã CP]],Sheet4!$B$2:$B$1605,0),_xlfn.XMATCH("*Tăng trưởng lợi nhuận sau thuế (YoY) (Quý*",Sheet4!$1:$1,2)),"")</f>
        <v>0</v>
      </c>
      <c r="P1246" s="10" cm="1">
        <f t="array" ref="P1246">IFERROR(INDEX(Sheet4!$2:$1605,MATCH(ChiTietKQKD[[#This Row],[Mã CP]],Sheet4!$B$2:$B$1605,0),_xlfn.XMATCH("*Tăng trưởng lợi nhuận sau thuế (YoY) (6M)*",Sheet4!$1:$1,2)),"")</f>
        <v>0</v>
      </c>
      <c r="Q1246" s="10" cm="1">
        <f t="array" ref="Q1246">IFERROR(INDEX(Sheet4!$2:$1605,MATCH(ChiTietKQKD[[#This Row],[Mã CP]],Sheet4!$B$2:$B$1605,0),_xlfn.XMATCH("*Tăng trưởng doanh thu thuần (QoQ)*",Sheet4!$1:$1,2)),"")</f>
        <v>0</v>
      </c>
      <c r="R1246" s="10" cm="1">
        <f t="array" ref="R1246">IFERROR(INDEX(Sheet4!$2:$1605,MATCH(ChiTietKQKD[[#This Row],[Mã CP]],Sheet4!$B$2:$B$1605,0),_xlfn.XMATCH("*Tăng trưởng lợi nhuận sau thuế (QoQ)*",Sheet4!$1:$1,2)),"")</f>
        <v>0</v>
      </c>
    </row>
    <row r="1247" spans="1:18" x14ac:dyDescent="0.25">
      <c r="A1247" s="7">
        <f>Sheet4!A1226</f>
        <v>1225</v>
      </c>
      <c r="B1247" t="str">
        <f>Sheet4!B1226</f>
        <v>NQN</v>
      </c>
      <c r="C1247" t="str">
        <f>Sheet4!C1225</f>
        <v>Cấp nước Quảng Bình</v>
      </c>
      <c r="D1247" t="str">
        <f>Sheet4!D1226</f>
        <v>UPCoM</v>
      </c>
      <c r="E1247" s="7">
        <f>Sheet4!AH1226/1000000000</f>
        <v>569.31384160000005</v>
      </c>
      <c r="F1247" t="str">
        <f>Sheet4!E1226</f>
        <v>Tiện ích Cộng đồng</v>
      </c>
      <c r="G1247" t="str">
        <f>Sheet4!F1226</f>
        <v>Điện, nước &amp; xăng dầu khí đốt</v>
      </c>
      <c r="H1247" t="str">
        <f>Sheet4!G1226</f>
        <v>Nước</v>
      </c>
      <c r="I1247" s="9" t="str" cm="1">
        <f t="array" ref="I124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47" s="9" t="str" cm="1">
        <f t="array" ref="J124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47" s="10" cm="1">
        <f t="array" ref="K124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47" s="10" cm="1">
        <f t="array" ref="L124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47" s="9" t="str" cm="1">
        <f t="array" ref="M124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47" s="9" t="str" cm="1">
        <f t="array" ref="N124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47" s="10" cm="1">
        <f t="array" ref="O1247">IFERROR(INDEX(Sheet4!$2:$1605,MATCH(ChiTietKQKD[[#This Row],[Mã CP]],Sheet4!$B$2:$B$1605,0),_xlfn.XMATCH("*Tăng trưởng lợi nhuận sau thuế (YoY) (Quý*",Sheet4!$1:$1,2)),"")</f>
        <v>0</v>
      </c>
      <c r="P1247" s="10" cm="1">
        <f t="array" ref="P1247">IFERROR(INDEX(Sheet4!$2:$1605,MATCH(ChiTietKQKD[[#This Row],[Mã CP]],Sheet4!$B$2:$B$1605,0),_xlfn.XMATCH("*Tăng trưởng lợi nhuận sau thuế (YoY) (6M)*",Sheet4!$1:$1,2)),"")</f>
        <v>0</v>
      </c>
      <c r="Q1247" s="10" cm="1">
        <f t="array" ref="Q1247">IFERROR(INDEX(Sheet4!$2:$1605,MATCH(ChiTietKQKD[[#This Row],[Mã CP]],Sheet4!$B$2:$B$1605,0),_xlfn.XMATCH("*Tăng trưởng doanh thu thuần (QoQ)*",Sheet4!$1:$1,2)),"")</f>
        <v>0</v>
      </c>
      <c r="R1247" s="10" cm="1">
        <f t="array" ref="R1247">IFERROR(INDEX(Sheet4!$2:$1605,MATCH(ChiTietKQKD[[#This Row],[Mã CP]],Sheet4!$B$2:$B$1605,0),_xlfn.XMATCH("*Tăng trưởng lợi nhuận sau thuế (QoQ)*",Sheet4!$1:$1,2)),"")</f>
        <v>0</v>
      </c>
    </row>
    <row r="1248" spans="1:18" x14ac:dyDescent="0.25">
      <c r="A1248" s="7">
        <f>Sheet4!A1227</f>
        <v>1226</v>
      </c>
      <c r="B1248" t="str">
        <f>Sheet4!B1227</f>
        <v>NSG</v>
      </c>
      <c r="C1248" t="str">
        <f>Sheet4!C1226</f>
        <v>Nước sạch Quảng Ninh</v>
      </c>
      <c r="D1248" t="str">
        <f>Sheet4!D1227</f>
        <v>UPCoM</v>
      </c>
      <c r="E1248" s="7">
        <f>Sheet4!AH1227/1000000000</f>
        <v>112.309704</v>
      </c>
      <c r="F1248" t="str">
        <f>Sheet4!E1227</f>
        <v>Nguyên vật liệu</v>
      </c>
      <c r="G1248" t="str">
        <f>Sheet4!F1227</f>
        <v>Hóa chất</v>
      </c>
      <c r="H1248" t="str">
        <f>Sheet4!G1227</f>
        <v>Nhựa, cao su &amp; sợi</v>
      </c>
      <c r="I1248" s="9" t="str" cm="1">
        <f t="array" ref="I124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48" s="9" t="str" cm="1">
        <f t="array" ref="J124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48" s="10" cm="1">
        <f t="array" ref="K124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48" s="10" cm="1">
        <f t="array" ref="L124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48" s="9" t="str" cm="1">
        <f t="array" ref="M124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48" s="9" t="str" cm="1">
        <f t="array" ref="N124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48" s="10" cm="1">
        <f t="array" ref="O1248">IFERROR(INDEX(Sheet4!$2:$1605,MATCH(ChiTietKQKD[[#This Row],[Mã CP]],Sheet4!$B$2:$B$1605,0),_xlfn.XMATCH("*Tăng trưởng lợi nhuận sau thuế (YoY) (Quý*",Sheet4!$1:$1,2)),"")</f>
        <v>0</v>
      </c>
      <c r="P1248" s="10" cm="1">
        <f t="array" ref="P1248">IFERROR(INDEX(Sheet4!$2:$1605,MATCH(ChiTietKQKD[[#This Row],[Mã CP]],Sheet4!$B$2:$B$1605,0),_xlfn.XMATCH("*Tăng trưởng lợi nhuận sau thuế (YoY) (6M)*",Sheet4!$1:$1,2)),"")</f>
        <v>0</v>
      </c>
      <c r="Q1248" s="10" cm="1">
        <f t="array" ref="Q1248">IFERROR(INDEX(Sheet4!$2:$1605,MATCH(ChiTietKQKD[[#This Row],[Mã CP]],Sheet4!$B$2:$B$1605,0),_xlfn.XMATCH("*Tăng trưởng doanh thu thuần (QoQ)*",Sheet4!$1:$1,2)),"")</f>
        <v>0</v>
      </c>
      <c r="R1248" s="10" cm="1">
        <f t="array" ref="R1248">IFERROR(INDEX(Sheet4!$2:$1605,MATCH(ChiTietKQKD[[#This Row],[Mã CP]],Sheet4!$B$2:$B$1605,0),_xlfn.XMATCH("*Tăng trưởng lợi nhuận sau thuế (QoQ)*",Sheet4!$1:$1,2)),"")</f>
        <v>0</v>
      </c>
    </row>
    <row r="1249" spans="1:18" x14ac:dyDescent="0.25">
      <c r="A1249" s="7">
        <f>Sheet4!A1228</f>
        <v>1227</v>
      </c>
      <c r="B1249" t="str">
        <f>Sheet4!B1228</f>
        <v>NSL</v>
      </c>
      <c r="C1249" t="str">
        <f>Sheet4!C1227</f>
        <v>Nhựa Sài Gòn</v>
      </c>
      <c r="D1249" t="str">
        <f>Sheet4!D1228</f>
        <v>UPCoM</v>
      </c>
      <c r="E1249" s="7">
        <f>Sheet4!AH1228/1000000000</f>
        <v>233.74496970000001</v>
      </c>
      <c r="F1249" t="str">
        <f>Sheet4!E1228</f>
        <v>Tiện ích Cộng đồng</v>
      </c>
      <c r="G1249" t="str">
        <f>Sheet4!F1228</f>
        <v>Điện, nước &amp; xăng dầu khí đốt</v>
      </c>
      <c r="H1249" t="str">
        <f>Sheet4!G1228</f>
        <v>Nước</v>
      </c>
      <c r="I1249" s="9" t="str" cm="1">
        <f t="array" ref="I124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49" s="9" t="str" cm="1">
        <f t="array" ref="J124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49" s="10" cm="1">
        <f t="array" ref="K124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49" s="10" cm="1">
        <f t="array" ref="L124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49" s="9" t="str" cm="1">
        <f t="array" ref="M124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49" s="9" t="str" cm="1">
        <f t="array" ref="N124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49" s="10" cm="1">
        <f t="array" ref="O1249">IFERROR(INDEX(Sheet4!$2:$1605,MATCH(ChiTietKQKD[[#This Row],[Mã CP]],Sheet4!$B$2:$B$1605,0),_xlfn.XMATCH("*Tăng trưởng lợi nhuận sau thuế (YoY) (Quý*",Sheet4!$1:$1,2)),"")</f>
        <v>0</v>
      </c>
      <c r="P1249" s="10" cm="1">
        <f t="array" ref="P1249">IFERROR(INDEX(Sheet4!$2:$1605,MATCH(ChiTietKQKD[[#This Row],[Mã CP]],Sheet4!$B$2:$B$1605,0),_xlfn.XMATCH("*Tăng trưởng lợi nhuận sau thuế (YoY) (6M)*",Sheet4!$1:$1,2)),"")</f>
        <v>0</v>
      </c>
      <c r="Q1249" s="10" cm="1">
        <f t="array" ref="Q1249">IFERROR(INDEX(Sheet4!$2:$1605,MATCH(ChiTietKQKD[[#This Row],[Mã CP]],Sheet4!$B$2:$B$1605,0),_xlfn.XMATCH("*Tăng trưởng doanh thu thuần (QoQ)*",Sheet4!$1:$1,2)),"")</f>
        <v>0</v>
      </c>
      <c r="R1249" s="10" cm="1">
        <f t="array" ref="R1249">IFERROR(INDEX(Sheet4!$2:$1605,MATCH(ChiTietKQKD[[#This Row],[Mã CP]],Sheet4!$B$2:$B$1605,0),_xlfn.XMATCH("*Tăng trưởng lợi nhuận sau thuế (QoQ)*",Sheet4!$1:$1,2)),"")</f>
        <v>0</v>
      </c>
    </row>
    <row r="1250" spans="1:18" x14ac:dyDescent="0.25">
      <c r="A1250" s="7">
        <f>Sheet4!A1229</f>
        <v>1228</v>
      </c>
      <c r="B1250" t="str">
        <f>Sheet4!B1229</f>
        <v>NSS</v>
      </c>
      <c r="C1250" t="str">
        <f>Sheet4!C1228</f>
        <v>Cấp nước Sơn La</v>
      </c>
      <c r="D1250" t="str">
        <f>Sheet4!D1229</f>
        <v>UPCoM</v>
      </c>
      <c r="E1250" s="7">
        <f>Sheet4!AH1229/1000000000</f>
        <v>37.976585399999998</v>
      </c>
      <c r="F1250" t="str">
        <f>Sheet4!E1229</f>
        <v>Hàng Tiêu dùng</v>
      </c>
      <c r="G1250" t="str">
        <f>Sheet4!F1229</f>
        <v>Thực phẩm và đồ uống</v>
      </c>
      <c r="H1250" t="str">
        <f>Sheet4!G1229</f>
        <v>Nuôi trồng nông &amp; hải sản</v>
      </c>
      <c r="I1250" s="9" t="str" cm="1">
        <f t="array" ref="I125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50" s="9" t="str" cm="1">
        <f t="array" ref="J125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50" s="10" cm="1">
        <f t="array" ref="K125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50" s="10" cm="1">
        <f t="array" ref="L125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50" s="9" t="str" cm="1">
        <f t="array" ref="M125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50" s="9" t="str" cm="1">
        <f t="array" ref="N125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50" s="10" cm="1">
        <f t="array" ref="O1250">IFERROR(INDEX(Sheet4!$2:$1605,MATCH(ChiTietKQKD[[#This Row],[Mã CP]],Sheet4!$B$2:$B$1605,0),_xlfn.XMATCH("*Tăng trưởng lợi nhuận sau thuế (YoY) (Quý*",Sheet4!$1:$1,2)),"")</f>
        <v>0</v>
      </c>
      <c r="P1250" s="10" cm="1">
        <f t="array" ref="P1250">IFERROR(INDEX(Sheet4!$2:$1605,MATCH(ChiTietKQKD[[#This Row],[Mã CP]],Sheet4!$B$2:$B$1605,0),_xlfn.XMATCH("*Tăng trưởng lợi nhuận sau thuế (YoY) (6M)*",Sheet4!$1:$1,2)),"")</f>
        <v>0</v>
      </c>
      <c r="Q1250" s="10" cm="1">
        <f t="array" ref="Q1250">IFERROR(INDEX(Sheet4!$2:$1605,MATCH(ChiTietKQKD[[#This Row],[Mã CP]],Sheet4!$B$2:$B$1605,0),_xlfn.XMATCH("*Tăng trưởng doanh thu thuần (QoQ)*",Sheet4!$1:$1,2)),"")</f>
        <v>0</v>
      </c>
      <c r="R1250" s="10" cm="1">
        <f t="array" ref="R1250">IFERROR(INDEX(Sheet4!$2:$1605,MATCH(ChiTietKQKD[[#This Row],[Mã CP]],Sheet4!$B$2:$B$1605,0),_xlfn.XMATCH("*Tăng trưởng lợi nhuận sau thuế (QoQ)*",Sheet4!$1:$1,2)),"")</f>
        <v>0</v>
      </c>
    </row>
    <row r="1251" spans="1:18" x14ac:dyDescent="0.25">
      <c r="A1251" s="7">
        <f>Sheet4!A1230</f>
        <v>1229</v>
      </c>
      <c r="B1251" t="str">
        <f>Sheet4!B1230</f>
        <v>NTF</v>
      </c>
      <c r="C1251" t="str">
        <f>Sheet4!C1229</f>
        <v>Nông súc sản Đồng Nai</v>
      </c>
      <c r="D1251" t="str">
        <f>Sheet4!D1230</f>
        <v>UPCoM</v>
      </c>
      <c r="E1251" s="7">
        <f>Sheet4!AH1230/1000000000</f>
        <v>183</v>
      </c>
      <c r="F1251" t="str">
        <f>Sheet4!E1230</f>
        <v>Dược phẩm và Y tế</v>
      </c>
      <c r="G1251" t="str">
        <f>Sheet4!F1230</f>
        <v>Y tế</v>
      </c>
      <c r="H1251" t="str">
        <f>Sheet4!G1230</f>
        <v>Dược phẩm</v>
      </c>
      <c r="I1251" s="9" t="str" cm="1">
        <f t="array" ref="I125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51" s="9" t="str" cm="1">
        <f t="array" ref="J125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51" s="10" cm="1">
        <f t="array" ref="K125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51" s="10" cm="1">
        <f t="array" ref="L125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51" s="9" t="str" cm="1">
        <f t="array" ref="M125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51" s="9" t="str" cm="1">
        <f t="array" ref="N125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51" s="10" cm="1">
        <f t="array" ref="O1251">IFERROR(INDEX(Sheet4!$2:$1605,MATCH(ChiTietKQKD[[#This Row],[Mã CP]],Sheet4!$B$2:$B$1605,0),_xlfn.XMATCH("*Tăng trưởng lợi nhuận sau thuế (YoY) (Quý*",Sheet4!$1:$1,2)),"")</f>
        <v>0</v>
      </c>
      <c r="P1251" s="10" cm="1">
        <f t="array" ref="P1251">IFERROR(INDEX(Sheet4!$2:$1605,MATCH(ChiTietKQKD[[#This Row],[Mã CP]],Sheet4!$B$2:$B$1605,0),_xlfn.XMATCH("*Tăng trưởng lợi nhuận sau thuế (YoY) (6M)*",Sheet4!$1:$1,2)),"")</f>
        <v>0</v>
      </c>
      <c r="Q1251" s="10" cm="1">
        <f t="array" ref="Q1251">IFERROR(INDEX(Sheet4!$2:$1605,MATCH(ChiTietKQKD[[#This Row],[Mã CP]],Sheet4!$B$2:$B$1605,0),_xlfn.XMATCH("*Tăng trưởng doanh thu thuần (QoQ)*",Sheet4!$1:$1,2)),"")</f>
        <v>0</v>
      </c>
      <c r="R1251" s="10" cm="1">
        <f t="array" ref="R1251">IFERROR(INDEX(Sheet4!$2:$1605,MATCH(ChiTietKQKD[[#This Row],[Mã CP]],Sheet4!$B$2:$B$1605,0),_xlfn.XMATCH("*Tăng trưởng lợi nhuận sau thuế (QoQ)*",Sheet4!$1:$1,2)),"")</f>
        <v>0</v>
      </c>
    </row>
    <row r="1252" spans="1:18" x14ac:dyDescent="0.25">
      <c r="A1252" s="7">
        <f>Sheet4!A1231</f>
        <v>1230</v>
      </c>
      <c r="B1252" t="str">
        <f>Sheet4!B1231</f>
        <v>NTT</v>
      </c>
      <c r="C1252" t="str">
        <f>Sheet4!C1230</f>
        <v>Dược Nghệ An</v>
      </c>
      <c r="D1252" t="str">
        <f>Sheet4!D1231</f>
        <v>UPCoM</v>
      </c>
      <c r="E1252" s="7">
        <f>Sheet4!AH1231/1000000000</f>
        <v>220.9</v>
      </c>
      <c r="F1252" t="str">
        <f>Sheet4!E1231</f>
        <v>Hàng Tiêu dùng</v>
      </c>
      <c r="G1252" t="str">
        <f>Sheet4!F1231</f>
        <v>Hàng cá nhân &amp; Gia dụng</v>
      </c>
      <c r="H1252" t="str">
        <f>Sheet4!G1231</f>
        <v>Hàng May mặc</v>
      </c>
      <c r="I1252" s="9" t="str" cm="1">
        <f t="array" ref="I125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52" s="9" t="str" cm="1">
        <f t="array" ref="J125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52" s="10" cm="1">
        <f t="array" ref="K125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52" s="10" cm="1">
        <f t="array" ref="L125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52" s="9" t="str" cm="1">
        <f t="array" ref="M125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52" s="9" t="str" cm="1">
        <f t="array" ref="N125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52" s="10" cm="1">
        <f t="array" ref="O1252">IFERROR(INDEX(Sheet4!$2:$1605,MATCH(ChiTietKQKD[[#This Row],[Mã CP]],Sheet4!$B$2:$B$1605,0),_xlfn.XMATCH("*Tăng trưởng lợi nhuận sau thuế (YoY) (Quý*",Sheet4!$1:$1,2)),"")</f>
        <v>0</v>
      </c>
      <c r="P1252" s="10" cm="1">
        <f t="array" ref="P1252">IFERROR(INDEX(Sheet4!$2:$1605,MATCH(ChiTietKQKD[[#This Row],[Mã CP]],Sheet4!$B$2:$B$1605,0),_xlfn.XMATCH("*Tăng trưởng lợi nhuận sau thuế (YoY) (6M)*",Sheet4!$1:$1,2)),"")</f>
        <v>0</v>
      </c>
      <c r="Q1252" s="10" cm="1">
        <f t="array" ref="Q1252">IFERROR(INDEX(Sheet4!$2:$1605,MATCH(ChiTietKQKD[[#This Row],[Mã CP]],Sheet4!$B$2:$B$1605,0),_xlfn.XMATCH("*Tăng trưởng doanh thu thuần (QoQ)*",Sheet4!$1:$1,2)),"")</f>
        <v>0</v>
      </c>
      <c r="R1252" s="10" cm="1">
        <f t="array" ref="R1252">IFERROR(INDEX(Sheet4!$2:$1605,MATCH(ChiTietKQKD[[#This Row],[Mã CP]],Sheet4!$B$2:$B$1605,0),_xlfn.XMATCH("*Tăng trưởng lợi nhuận sau thuế (QoQ)*",Sheet4!$1:$1,2)),"")</f>
        <v>0</v>
      </c>
    </row>
    <row r="1253" spans="1:18" x14ac:dyDescent="0.25">
      <c r="A1253" s="7">
        <f>Sheet4!A1232</f>
        <v>1231</v>
      </c>
      <c r="B1253" t="str">
        <f>Sheet4!B1232</f>
        <v>NTW</v>
      </c>
      <c r="C1253" t="str">
        <f>Sheet4!C1231</f>
        <v>Dệt - May Nha Trang</v>
      </c>
      <c r="D1253" t="str">
        <f>Sheet4!D1232</f>
        <v>UPCoM</v>
      </c>
      <c r="E1253" s="7">
        <f>Sheet4!AH1232/1000000000</f>
        <v>193</v>
      </c>
      <c r="F1253" t="str">
        <f>Sheet4!E1232</f>
        <v>Tiện ích Cộng đồng</v>
      </c>
      <c r="G1253" t="str">
        <f>Sheet4!F1232</f>
        <v>Điện, nước &amp; xăng dầu khí đốt</v>
      </c>
      <c r="H1253" t="str">
        <f>Sheet4!G1232</f>
        <v>Nước</v>
      </c>
      <c r="I1253" s="9" t="str" cm="1">
        <f t="array" ref="I125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53" s="9" t="str" cm="1">
        <f t="array" ref="J125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53" s="10" cm="1">
        <f t="array" ref="K125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53" s="10" cm="1">
        <f t="array" ref="L125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53" s="9" t="str" cm="1">
        <f t="array" ref="M125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53" s="9" t="str" cm="1">
        <f t="array" ref="N125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53" s="10" cm="1">
        <f t="array" ref="O1253">IFERROR(INDEX(Sheet4!$2:$1605,MATCH(ChiTietKQKD[[#This Row],[Mã CP]],Sheet4!$B$2:$B$1605,0),_xlfn.XMATCH("*Tăng trưởng lợi nhuận sau thuế (YoY) (Quý*",Sheet4!$1:$1,2)),"")</f>
        <v>0</v>
      </c>
      <c r="P1253" s="10" cm="1">
        <f t="array" ref="P1253">IFERROR(INDEX(Sheet4!$2:$1605,MATCH(ChiTietKQKD[[#This Row],[Mã CP]],Sheet4!$B$2:$B$1605,0),_xlfn.XMATCH("*Tăng trưởng lợi nhuận sau thuế (YoY) (6M)*",Sheet4!$1:$1,2)),"")</f>
        <v>0</v>
      </c>
      <c r="Q1253" s="10" cm="1">
        <f t="array" ref="Q1253">IFERROR(INDEX(Sheet4!$2:$1605,MATCH(ChiTietKQKD[[#This Row],[Mã CP]],Sheet4!$B$2:$B$1605,0),_xlfn.XMATCH("*Tăng trưởng doanh thu thuần (QoQ)*",Sheet4!$1:$1,2)),"")</f>
        <v>0</v>
      </c>
      <c r="R1253" s="10" cm="1">
        <f t="array" ref="R1253">IFERROR(INDEX(Sheet4!$2:$1605,MATCH(ChiTietKQKD[[#This Row],[Mã CP]],Sheet4!$B$2:$B$1605,0),_xlfn.XMATCH("*Tăng trưởng lợi nhuận sau thuế (QoQ)*",Sheet4!$1:$1,2)),"")</f>
        <v>0</v>
      </c>
    </row>
    <row r="1254" spans="1:18" x14ac:dyDescent="0.25">
      <c r="A1254" s="7">
        <f>Sheet4!A1233</f>
        <v>1232</v>
      </c>
      <c r="B1254" t="str">
        <f>Sheet4!B1233</f>
        <v>NUE</v>
      </c>
      <c r="C1254" t="str">
        <f>Sheet4!C1232</f>
        <v>Cấp nước Nhơn Trạch</v>
      </c>
      <c r="D1254" t="str">
        <f>Sheet4!D1233</f>
        <v>UPCoM</v>
      </c>
      <c r="E1254" s="7">
        <f>Sheet4!AH1233/1000000000</f>
        <v>64.2</v>
      </c>
      <c r="F1254" t="str">
        <f>Sheet4!E1233</f>
        <v>Công nghiệp</v>
      </c>
      <c r="G1254" t="str">
        <f>Sheet4!F1233</f>
        <v>Hàng &amp; Dịch vụ Công nghiệp</v>
      </c>
      <c r="H1254" t="str">
        <f>Sheet4!G1233</f>
        <v>Chất thải &amp; Môi trường</v>
      </c>
      <c r="I1254" s="9" t="str" cm="1">
        <f t="array" ref="I125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54" s="9" t="str" cm="1">
        <f t="array" ref="J125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54" s="10" cm="1">
        <f t="array" ref="K125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54" s="10" cm="1">
        <f t="array" ref="L125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54" s="9" t="str" cm="1">
        <f t="array" ref="M125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54" s="9" t="str" cm="1">
        <f t="array" ref="N125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54" s="10" cm="1">
        <f t="array" ref="O1254">IFERROR(INDEX(Sheet4!$2:$1605,MATCH(ChiTietKQKD[[#This Row],[Mã CP]],Sheet4!$B$2:$B$1605,0),_xlfn.XMATCH("*Tăng trưởng lợi nhuận sau thuế (YoY) (Quý*",Sheet4!$1:$1,2)),"")</f>
        <v>0</v>
      </c>
      <c r="P1254" s="10" cm="1">
        <f t="array" ref="P1254">IFERROR(INDEX(Sheet4!$2:$1605,MATCH(ChiTietKQKD[[#This Row],[Mã CP]],Sheet4!$B$2:$B$1605,0),_xlfn.XMATCH("*Tăng trưởng lợi nhuận sau thuế (YoY) (6M)*",Sheet4!$1:$1,2)),"")</f>
        <v>0</v>
      </c>
      <c r="Q1254" s="10" cm="1">
        <f t="array" ref="Q1254">IFERROR(INDEX(Sheet4!$2:$1605,MATCH(ChiTietKQKD[[#This Row],[Mã CP]],Sheet4!$B$2:$B$1605,0),_xlfn.XMATCH("*Tăng trưởng doanh thu thuần (QoQ)*",Sheet4!$1:$1,2)),"")</f>
        <v>0</v>
      </c>
      <c r="R1254" s="10" cm="1">
        <f t="array" ref="R1254">IFERROR(INDEX(Sheet4!$2:$1605,MATCH(ChiTietKQKD[[#This Row],[Mã CP]],Sheet4!$B$2:$B$1605,0),_xlfn.XMATCH("*Tăng trưởng lợi nhuận sau thuế (QoQ)*",Sheet4!$1:$1,2)),"")</f>
        <v>0</v>
      </c>
    </row>
    <row r="1255" spans="1:18" x14ac:dyDescent="0.25">
      <c r="A1255" s="7">
        <f>Sheet4!A1234</f>
        <v>1233</v>
      </c>
      <c r="B1255" t="str">
        <f>Sheet4!B1234</f>
        <v>NVP</v>
      </c>
      <c r="C1255" t="str">
        <f>Sheet4!C1233</f>
        <v>Môi trường Đô thị Nha Trang</v>
      </c>
      <c r="D1255" t="str">
        <f>Sheet4!D1234</f>
        <v>UPCoM</v>
      </c>
      <c r="E1255" s="7">
        <f>Sheet4!AH1234/1000000000</f>
        <v>559.11300000000006</v>
      </c>
      <c r="F1255" t="str">
        <f>Sheet4!E1234</f>
        <v>Tiện ích Cộng đồng</v>
      </c>
      <c r="G1255" t="str">
        <f>Sheet4!F1234</f>
        <v>Điện, nước &amp; xăng dầu khí đốt</v>
      </c>
      <c r="H1255" t="str">
        <f>Sheet4!G1234</f>
        <v>Nước</v>
      </c>
      <c r="I1255" s="9" t="str" cm="1">
        <f t="array" ref="I125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55" s="9" t="str" cm="1">
        <f t="array" ref="J125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55" s="10" cm="1">
        <f t="array" ref="K125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55" s="10" cm="1">
        <f t="array" ref="L125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55" s="9" t="str" cm="1">
        <f t="array" ref="M125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55" s="9" t="str" cm="1">
        <f t="array" ref="N125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55" s="10" cm="1">
        <f t="array" ref="O1255">IFERROR(INDEX(Sheet4!$2:$1605,MATCH(ChiTietKQKD[[#This Row],[Mã CP]],Sheet4!$B$2:$B$1605,0),_xlfn.XMATCH("*Tăng trưởng lợi nhuận sau thuế (YoY) (Quý*",Sheet4!$1:$1,2)),"")</f>
        <v>0</v>
      </c>
      <c r="P1255" s="10" cm="1">
        <f t="array" ref="P1255">IFERROR(INDEX(Sheet4!$2:$1605,MATCH(ChiTietKQKD[[#This Row],[Mã CP]],Sheet4!$B$2:$B$1605,0),_xlfn.XMATCH("*Tăng trưởng lợi nhuận sau thuế (YoY) (6M)*",Sheet4!$1:$1,2)),"")</f>
        <v>0</v>
      </c>
      <c r="Q1255" s="10" cm="1">
        <f t="array" ref="Q1255">IFERROR(INDEX(Sheet4!$2:$1605,MATCH(ChiTietKQKD[[#This Row],[Mã CP]],Sheet4!$B$2:$B$1605,0),_xlfn.XMATCH("*Tăng trưởng doanh thu thuần (QoQ)*",Sheet4!$1:$1,2)),"")</f>
        <v>0</v>
      </c>
      <c r="R1255" s="10" cm="1">
        <f t="array" ref="R1255">IFERROR(INDEX(Sheet4!$2:$1605,MATCH(ChiTietKQKD[[#This Row],[Mã CP]],Sheet4!$B$2:$B$1605,0),_xlfn.XMATCH("*Tăng trưởng lợi nhuận sau thuế (QoQ)*",Sheet4!$1:$1,2)),"")</f>
        <v>0</v>
      </c>
    </row>
    <row r="1256" spans="1:18" x14ac:dyDescent="0.25">
      <c r="A1256" s="7">
        <f>Sheet4!A1235</f>
        <v>1234</v>
      </c>
      <c r="B1256" t="str">
        <f>Sheet4!B1235</f>
        <v>NWT</v>
      </c>
      <c r="C1256" t="str">
        <f>Sheet4!C1234</f>
        <v>Nước sạch Vĩnh Phúc</v>
      </c>
      <c r="D1256" t="str">
        <f>Sheet4!D1235</f>
        <v>UPCoM</v>
      </c>
      <c r="E1256" s="7">
        <f>Sheet4!AH1235/1000000000</f>
        <v>53.55</v>
      </c>
      <c r="F1256" t="str">
        <f>Sheet4!E1235</f>
        <v>Dịch vụ Tiêu dùng</v>
      </c>
      <c r="G1256" t="str">
        <f>Sheet4!F1235</f>
        <v>Du lịch và Giải trí</v>
      </c>
      <c r="H1256" t="str">
        <f>Sheet4!G1235</f>
        <v>Vận tải hành khách &amp; Du lịch</v>
      </c>
      <c r="I1256" s="9" t="str" cm="1">
        <f t="array" ref="I125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56" s="9" t="str" cm="1">
        <f t="array" ref="J125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56" s="10" cm="1">
        <f t="array" ref="K125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56" s="10" cm="1">
        <f t="array" ref="L125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56" s="9" t="str" cm="1">
        <f t="array" ref="M125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56" s="9" t="str" cm="1">
        <f t="array" ref="N125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56" s="10" cm="1">
        <f t="array" ref="O1256">IFERROR(INDEX(Sheet4!$2:$1605,MATCH(ChiTietKQKD[[#This Row],[Mã CP]],Sheet4!$B$2:$B$1605,0),_xlfn.XMATCH("*Tăng trưởng lợi nhuận sau thuế (YoY) (Quý*",Sheet4!$1:$1,2)),"")</f>
        <v>0</v>
      </c>
      <c r="P1256" s="10" cm="1">
        <f t="array" ref="P1256">IFERROR(INDEX(Sheet4!$2:$1605,MATCH(ChiTietKQKD[[#This Row],[Mã CP]],Sheet4!$B$2:$B$1605,0),_xlfn.XMATCH("*Tăng trưởng lợi nhuận sau thuế (YoY) (6M)*",Sheet4!$1:$1,2)),"")</f>
        <v>0</v>
      </c>
      <c r="Q1256" s="10" cm="1">
        <f t="array" ref="Q1256">IFERROR(INDEX(Sheet4!$2:$1605,MATCH(ChiTietKQKD[[#This Row],[Mã CP]],Sheet4!$B$2:$B$1605,0),_xlfn.XMATCH("*Tăng trưởng doanh thu thuần (QoQ)*",Sheet4!$1:$1,2)),"")</f>
        <v>0</v>
      </c>
      <c r="R1256" s="10" cm="1">
        <f t="array" ref="R1256">IFERROR(INDEX(Sheet4!$2:$1605,MATCH(ChiTietKQKD[[#This Row],[Mã CP]],Sheet4!$B$2:$B$1605,0),_xlfn.XMATCH("*Tăng trưởng lợi nhuận sau thuế (QoQ)*",Sheet4!$1:$1,2)),"")</f>
        <v>0</v>
      </c>
    </row>
    <row r="1257" spans="1:18" x14ac:dyDescent="0.25">
      <c r="A1257" s="7">
        <f>Sheet4!A1236</f>
        <v>1235</v>
      </c>
      <c r="B1257" t="str">
        <f>Sheet4!B1236</f>
        <v>NXT</v>
      </c>
      <c r="C1257" t="str">
        <f>Sheet4!C1235</f>
        <v>Vận tải Newway</v>
      </c>
      <c r="D1257" t="str">
        <f>Sheet4!D1236</f>
        <v>UPCoM</v>
      </c>
      <c r="E1257" s="7">
        <f>Sheet4!AH1236/1000000000</f>
        <v>27.06</v>
      </c>
      <c r="F1257" t="str">
        <f>Sheet4!E1236</f>
        <v>Công nghiệp</v>
      </c>
      <c r="G1257" t="str">
        <f>Sheet4!F1236</f>
        <v>Xây dựng và Vật liệu</v>
      </c>
      <c r="H1257" t="str">
        <f>Sheet4!G1236</f>
        <v>Vật liệu xây dựng &amp; Nội thất</v>
      </c>
      <c r="I1257" s="9" t="str" cm="1">
        <f t="array" ref="I125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57" s="9" t="str" cm="1">
        <f t="array" ref="J125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57" s="10" cm="1">
        <f t="array" ref="K125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57" s="10" cm="1">
        <f t="array" ref="L125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57" s="9" t="str" cm="1">
        <f t="array" ref="M125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57" s="9" t="str" cm="1">
        <f t="array" ref="N125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57" s="10" cm="1">
        <f t="array" ref="O1257">IFERROR(INDEX(Sheet4!$2:$1605,MATCH(ChiTietKQKD[[#This Row],[Mã CP]],Sheet4!$B$2:$B$1605,0),_xlfn.XMATCH("*Tăng trưởng lợi nhuận sau thuế (YoY) (Quý*",Sheet4!$1:$1,2)),"")</f>
        <v>0</v>
      </c>
      <c r="P1257" s="10" cm="1">
        <f t="array" ref="P1257">IFERROR(INDEX(Sheet4!$2:$1605,MATCH(ChiTietKQKD[[#This Row],[Mã CP]],Sheet4!$B$2:$B$1605,0),_xlfn.XMATCH("*Tăng trưởng lợi nhuận sau thuế (YoY) (6M)*",Sheet4!$1:$1,2)),"")</f>
        <v>0</v>
      </c>
      <c r="Q1257" s="10" cm="1">
        <f t="array" ref="Q1257">IFERROR(INDEX(Sheet4!$2:$1605,MATCH(ChiTietKQKD[[#This Row],[Mã CP]],Sheet4!$B$2:$B$1605,0),_xlfn.XMATCH("*Tăng trưởng doanh thu thuần (QoQ)*",Sheet4!$1:$1,2)),"")</f>
        <v>0</v>
      </c>
      <c r="R1257" s="10" cm="1">
        <f t="array" ref="R1257">IFERROR(INDEX(Sheet4!$2:$1605,MATCH(ChiTietKQKD[[#This Row],[Mã CP]],Sheet4!$B$2:$B$1605,0),_xlfn.XMATCH("*Tăng trưởng lợi nhuận sau thuế (QoQ)*",Sheet4!$1:$1,2)),"")</f>
        <v>0</v>
      </c>
    </row>
    <row r="1258" spans="1:18" x14ac:dyDescent="0.25">
      <c r="A1258" s="7">
        <f>Sheet4!A1237</f>
        <v>1236</v>
      </c>
      <c r="B1258" t="str">
        <f>Sheet4!B1237</f>
        <v>ODE</v>
      </c>
      <c r="C1258" t="str">
        <f>Sheet4!C1236</f>
        <v>SX và Cung ứng VLXD Kon Tum</v>
      </c>
      <c r="D1258" t="str">
        <f>Sheet4!D1237</f>
        <v>UPCoM</v>
      </c>
      <c r="E1258" s="7">
        <f>Sheet4!AH1237/1000000000</f>
        <v>460.74</v>
      </c>
      <c r="F1258" t="str">
        <f>Sheet4!E1237</f>
        <v>Dịch vụ Tiêu dùng</v>
      </c>
      <c r="G1258" t="str">
        <f>Sheet4!F1237</f>
        <v>Truyền thông</v>
      </c>
      <c r="H1258" t="str">
        <f>Sheet4!G1237</f>
        <v>Giải trí &amp; Truyền thông</v>
      </c>
      <c r="I1258" s="9" t="str" cm="1">
        <f t="array" ref="I125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58" s="9" t="str" cm="1">
        <f t="array" ref="J125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58" s="10" cm="1">
        <f t="array" ref="K125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58" s="10" cm="1">
        <f t="array" ref="L125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58" s="9" t="str" cm="1">
        <f t="array" ref="M125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58" s="9" t="str" cm="1">
        <f t="array" ref="N125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58" s="10" cm="1">
        <f t="array" ref="O1258">IFERROR(INDEX(Sheet4!$2:$1605,MATCH(ChiTietKQKD[[#This Row],[Mã CP]],Sheet4!$B$2:$B$1605,0),_xlfn.XMATCH("*Tăng trưởng lợi nhuận sau thuế (YoY) (Quý*",Sheet4!$1:$1,2)),"")</f>
        <v>0</v>
      </c>
      <c r="P1258" s="10" cm="1">
        <f t="array" ref="P1258">IFERROR(INDEX(Sheet4!$2:$1605,MATCH(ChiTietKQKD[[#This Row],[Mã CP]],Sheet4!$B$2:$B$1605,0),_xlfn.XMATCH("*Tăng trưởng lợi nhuận sau thuế (YoY) (6M)*",Sheet4!$1:$1,2)),"")</f>
        <v>0</v>
      </c>
      <c r="Q1258" s="10" cm="1">
        <f t="array" ref="Q1258">IFERROR(INDEX(Sheet4!$2:$1605,MATCH(ChiTietKQKD[[#This Row],[Mã CP]],Sheet4!$B$2:$B$1605,0),_xlfn.XMATCH("*Tăng trưởng doanh thu thuần (QoQ)*",Sheet4!$1:$1,2)),"")</f>
        <v>0</v>
      </c>
      <c r="R1258" s="10" cm="1">
        <f t="array" ref="R1258">IFERROR(INDEX(Sheet4!$2:$1605,MATCH(ChiTietKQKD[[#This Row],[Mã CP]],Sheet4!$B$2:$B$1605,0),_xlfn.XMATCH("*Tăng trưởng lợi nhuận sau thuế (QoQ)*",Sheet4!$1:$1,2)),"")</f>
        <v>0</v>
      </c>
    </row>
    <row r="1259" spans="1:18" x14ac:dyDescent="0.25">
      <c r="A1259" s="7">
        <f>Sheet4!A1238</f>
        <v>1237</v>
      </c>
      <c r="B1259" t="str">
        <f>Sheet4!B1238</f>
        <v>OIL</v>
      </c>
      <c r="C1259" t="str">
        <f>Sheet4!C1237</f>
        <v>Tập đoàn Truyền thông và Giải trí ODE</v>
      </c>
      <c r="D1259" t="str">
        <f>Sheet4!D1238</f>
        <v>UPCoM</v>
      </c>
      <c r="E1259" s="7">
        <f>Sheet4!AH1238/1000000000</f>
        <v>13447.051959</v>
      </c>
      <c r="F1259" t="str">
        <f>Sheet4!E1238</f>
        <v>Dầu khí</v>
      </c>
      <c r="G1259" t="str">
        <f>Sheet4!F1238</f>
        <v>Dầu khí</v>
      </c>
      <c r="H1259" t="str">
        <f>Sheet4!G1238</f>
        <v>Sản xuất và Khai thác dầu khí</v>
      </c>
      <c r="I1259" s="9" t="str" cm="1">
        <f t="array" ref="I125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59" s="9" t="str" cm="1">
        <f t="array" ref="J125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59" s="10" cm="1">
        <f t="array" ref="K125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59" s="10" cm="1">
        <f t="array" ref="L125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59" s="9" t="str" cm="1">
        <f t="array" ref="M125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59" s="9" t="str" cm="1">
        <f t="array" ref="N125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59" s="10" cm="1">
        <f t="array" ref="O1259">IFERROR(INDEX(Sheet4!$2:$1605,MATCH(ChiTietKQKD[[#This Row],[Mã CP]],Sheet4!$B$2:$B$1605,0),_xlfn.XMATCH("*Tăng trưởng lợi nhuận sau thuế (YoY) (Quý*",Sheet4!$1:$1,2)),"")</f>
        <v>0</v>
      </c>
      <c r="P1259" s="10" cm="1">
        <f t="array" ref="P1259">IFERROR(INDEX(Sheet4!$2:$1605,MATCH(ChiTietKQKD[[#This Row],[Mã CP]],Sheet4!$B$2:$B$1605,0),_xlfn.XMATCH("*Tăng trưởng lợi nhuận sau thuế (YoY) (6M)*",Sheet4!$1:$1,2)),"")</f>
        <v>0</v>
      </c>
      <c r="Q1259" s="10" cm="1">
        <f t="array" ref="Q1259">IFERROR(INDEX(Sheet4!$2:$1605,MATCH(ChiTietKQKD[[#This Row],[Mã CP]],Sheet4!$B$2:$B$1605,0),_xlfn.XMATCH("*Tăng trưởng doanh thu thuần (QoQ)*",Sheet4!$1:$1,2)),"")</f>
        <v>0</v>
      </c>
      <c r="R1259" s="10" cm="1">
        <f t="array" ref="R1259">IFERROR(INDEX(Sheet4!$2:$1605,MATCH(ChiTietKQKD[[#This Row],[Mã CP]],Sheet4!$B$2:$B$1605,0),_xlfn.XMATCH("*Tăng trưởng lợi nhuận sau thuế (QoQ)*",Sheet4!$1:$1,2)),"")</f>
        <v>0</v>
      </c>
    </row>
    <row r="1260" spans="1:18" x14ac:dyDescent="0.25">
      <c r="A1260" s="7">
        <f>Sheet4!A1239</f>
        <v>1238</v>
      </c>
      <c r="B1260" t="str">
        <f>Sheet4!B1239</f>
        <v>ONW</v>
      </c>
      <c r="C1260" t="str">
        <f>Sheet4!C1238</f>
        <v>PV Oil</v>
      </c>
      <c r="D1260" t="str">
        <f>Sheet4!D1239</f>
        <v>UPCoM</v>
      </c>
      <c r="E1260" s="7">
        <f>Sheet4!AH1239/1000000000</f>
        <v>33</v>
      </c>
      <c r="F1260" t="str">
        <f>Sheet4!E1239</f>
        <v>Dịch vụ Tiêu dùng</v>
      </c>
      <c r="G1260" t="str">
        <f>Sheet4!F1239</f>
        <v>Du lịch và Giải trí</v>
      </c>
      <c r="H1260" t="str">
        <f>Sheet4!G1239</f>
        <v>Dịch vụ giải trí</v>
      </c>
      <c r="I1260" s="9" t="str" cm="1">
        <f t="array" ref="I126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60" s="9" t="str" cm="1">
        <f t="array" ref="J126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60" s="10" cm="1">
        <f t="array" ref="K126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60" s="10" cm="1">
        <f t="array" ref="L126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60" s="9" t="str" cm="1">
        <f t="array" ref="M126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60" s="9" t="str" cm="1">
        <f t="array" ref="N126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60" s="10" cm="1">
        <f t="array" ref="O1260">IFERROR(INDEX(Sheet4!$2:$1605,MATCH(ChiTietKQKD[[#This Row],[Mã CP]],Sheet4!$B$2:$B$1605,0),_xlfn.XMATCH("*Tăng trưởng lợi nhuận sau thuế (YoY) (Quý*",Sheet4!$1:$1,2)),"")</f>
        <v>0</v>
      </c>
      <c r="P1260" s="10" cm="1">
        <f t="array" ref="P1260">IFERROR(INDEX(Sheet4!$2:$1605,MATCH(ChiTietKQKD[[#This Row],[Mã CP]],Sheet4!$B$2:$B$1605,0),_xlfn.XMATCH("*Tăng trưởng lợi nhuận sau thuế (YoY) (6M)*",Sheet4!$1:$1,2)),"")</f>
        <v>0</v>
      </c>
      <c r="Q1260" s="10" cm="1">
        <f t="array" ref="Q1260">IFERROR(INDEX(Sheet4!$2:$1605,MATCH(ChiTietKQKD[[#This Row],[Mã CP]],Sheet4!$B$2:$B$1605,0),_xlfn.XMATCH("*Tăng trưởng doanh thu thuần (QoQ)*",Sheet4!$1:$1,2)),"")</f>
        <v>0</v>
      </c>
      <c r="R1260" s="10" cm="1">
        <f t="array" ref="R1260">IFERROR(INDEX(Sheet4!$2:$1605,MATCH(ChiTietKQKD[[#This Row],[Mã CP]],Sheet4!$B$2:$B$1605,0),_xlfn.XMATCH("*Tăng trưởng lợi nhuận sau thuế (QoQ)*",Sheet4!$1:$1,2)),"")</f>
        <v>0</v>
      </c>
    </row>
    <row r="1261" spans="1:18" x14ac:dyDescent="0.25">
      <c r="A1261" s="7">
        <f>Sheet4!A1240</f>
        <v>1239</v>
      </c>
      <c r="B1261" t="str">
        <f>Sheet4!B1240</f>
        <v>PAI</v>
      </c>
      <c r="C1261" t="str">
        <f>Sheet4!C1239</f>
        <v>Tập đoàn ONW</v>
      </c>
      <c r="D1261" t="str">
        <f>Sheet4!D1240</f>
        <v>UPCoM</v>
      </c>
      <c r="E1261" s="7">
        <f>Sheet4!AH1240/1000000000</f>
        <v>52.517595999999998</v>
      </c>
      <c r="F1261" t="str">
        <f>Sheet4!E1240</f>
        <v>Viễn thông</v>
      </c>
      <c r="G1261" t="str">
        <f>Sheet4!F1240</f>
        <v>Viễn thông</v>
      </c>
      <c r="H1261" t="str">
        <f>Sheet4!G1240</f>
        <v>Viễn thông cố định</v>
      </c>
      <c r="I1261" s="9" t="str" cm="1">
        <f t="array" ref="I126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61" s="9" t="str" cm="1">
        <f t="array" ref="J126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61" s="10" cm="1">
        <f t="array" ref="K126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61" s="10" cm="1">
        <f t="array" ref="L126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61" s="9" t="str" cm="1">
        <f t="array" ref="M126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61" s="9" t="str" cm="1">
        <f t="array" ref="N126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61" s="10" cm="1">
        <f t="array" ref="O1261">IFERROR(INDEX(Sheet4!$2:$1605,MATCH(ChiTietKQKD[[#This Row],[Mã CP]],Sheet4!$B$2:$B$1605,0),_xlfn.XMATCH("*Tăng trưởng lợi nhuận sau thuế (YoY) (Quý*",Sheet4!$1:$1,2)),"")</f>
        <v>0</v>
      </c>
      <c r="P1261" s="10" cm="1">
        <f t="array" ref="P1261">IFERROR(INDEX(Sheet4!$2:$1605,MATCH(ChiTietKQKD[[#This Row],[Mã CP]],Sheet4!$B$2:$B$1605,0),_xlfn.XMATCH("*Tăng trưởng lợi nhuận sau thuế (YoY) (6M)*",Sheet4!$1:$1,2)),"")</f>
        <v>0</v>
      </c>
      <c r="Q1261" s="10" cm="1">
        <f t="array" ref="Q1261">IFERROR(INDEX(Sheet4!$2:$1605,MATCH(ChiTietKQKD[[#This Row],[Mã CP]],Sheet4!$B$2:$B$1605,0),_xlfn.XMATCH("*Tăng trưởng doanh thu thuần (QoQ)*",Sheet4!$1:$1,2)),"")</f>
        <v>0</v>
      </c>
      <c r="R1261" s="10" cm="1">
        <f t="array" ref="R1261">IFERROR(INDEX(Sheet4!$2:$1605,MATCH(ChiTietKQKD[[#This Row],[Mã CP]],Sheet4!$B$2:$B$1605,0),_xlfn.XMATCH("*Tăng trưởng lợi nhuận sau thuế (QoQ)*",Sheet4!$1:$1,2)),"")</f>
        <v>0</v>
      </c>
    </row>
    <row r="1262" spans="1:18" x14ac:dyDescent="0.25">
      <c r="A1262" s="7">
        <f>Sheet4!A1241</f>
        <v>1240</v>
      </c>
      <c r="B1262" t="str">
        <f>Sheet4!B1241</f>
        <v>PAP</v>
      </c>
      <c r="C1262" t="str">
        <f>Sheet4!C1240</f>
        <v>CNTT, VT và Tự động hóa Dầu khí - PAIC</v>
      </c>
      <c r="D1262" t="str">
        <f>Sheet4!D1241</f>
        <v>UPCoM</v>
      </c>
      <c r="E1262" s="7">
        <f>Sheet4!AH1241/1000000000</f>
        <v>9219.5249999999996</v>
      </c>
      <c r="F1262" t="str">
        <f>Sheet4!E1241</f>
        <v>Công nghiệp</v>
      </c>
      <c r="G1262" t="str">
        <f>Sheet4!F1241</f>
        <v>Hàng &amp; Dịch vụ Công nghiệp</v>
      </c>
      <c r="H1262" t="str">
        <f>Sheet4!G1241</f>
        <v>Kho bãi, hậu cần và bảo dưỡng</v>
      </c>
      <c r="I1262" s="9" t="str" cm="1">
        <f t="array" ref="I126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62" s="9" t="str" cm="1">
        <f t="array" ref="J126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62" s="10" cm="1">
        <f t="array" ref="K126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62" s="10" cm="1">
        <f t="array" ref="L126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62" s="9" t="str" cm="1">
        <f t="array" ref="M126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62" s="9" t="str" cm="1">
        <f t="array" ref="N126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62" s="10" cm="1">
        <f t="array" ref="O1262">IFERROR(INDEX(Sheet4!$2:$1605,MATCH(ChiTietKQKD[[#This Row],[Mã CP]],Sheet4!$B$2:$B$1605,0),_xlfn.XMATCH("*Tăng trưởng lợi nhuận sau thuế (YoY) (Quý*",Sheet4!$1:$1,2)),"")</f>
        <v>0</v>
      </c>
      <c r="P1262" s="10" cm="1">
        <f t="array" ref="P1262">IFERROR(INDEX(Sheet4!$2:$1605,MATCH(ChiTietKQKD[[#This Row],[Mã CP]],Sheet4!$B$2:$B$1605,0),_xlfn.XMATCH("*Tăng trưởng lợi nhuận sau thuế (YoY) (6M)*",Sheet4!$1:$1,2)),"")</f>
        <v>0</v>
      </c>
      <c r="Q1262" s="10" cm="1">
        <f t="array" ref="Q1262">IFERROR(INDEX(Sheet4!$2:$1605,MATCH(ChiTietKQKD[[#This Row],[Mã CP]],Sheet4!$B$2:$B$1605,0),_xlfn.XMATCH("*Tăng trưởng doanh thu thuần (QoQ)*",Sheet4!$1:$1,2)),"")</f>
        <v>0</v>
      </c>
      <c r="R1262" s="10" cm="1">
        <f t="array" ref="R1262">IFERROR(INDEX(Sheet4!$2:$1605,MATCH(ChiTietKQKD[[#This Row],[Mã CP]],Sheet4!$B$2:$B$1605,0),_xlfn.XMATCH("*Tăng trưởng lợi nhuận sau thuế (QoQ)*",Sheet4!$1:$1,2)),"")</f>
        <v>0</v>
      </c>
    </row>
    <row r="1263" spans="1:18" x14ac:dyDescent="0.25">
      <c r="A1263" s="7">
        <f>Sheet4!A1242</f>
        <v>1241</v>
      </c>
      <c r="B1263" t="str">
        <f>Sheet4!B1242</f>
        <v>PAS</v>
      </c>
      <c r="C1263" t="str">
        <f>Sheet4!C1241</f>
        <v>Cảng Phước An</v>
      </c>
      <c r="D1263" t="str">
        <f>Sheet4!D1242</f>
        <v>UPCoM</v>
      </c>
      <c r="E1263" s="7">
        <f>Sheet4!AH1242/1000000000</f>
        <v>68.526071823999999</v>
      </c>
      <c r="F1263" t="str">
        <f>Sheet4!E1242</f>
        <v>Nguyên vật liệu</v>
      </c>
      <c r="G1263" t="str">
        <f>Sheet4!F1242</f>
        <v>Tài nguyên Cơ bản</v>
      </c>
      <c r="H1263" t="str">
        <f>Sheet4!G1242</f>
        <v>Thép và sản phẩm thép</v>
      </c>
      <c r="I1263" s="9" t="str" cm="1">
        <f t="array" ref="I126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63" s="9" t="str" cm="1">
        <f t="array" ref="J126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63" s="10" cm="1">
        <f t="array" ref="K126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63" s="10" cm="1">
        <f t="array" ref="L126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63" s="9" t="str" cm="1">
        <f t="array" ref="M126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63" s="9" t="str" cm="1">
        <f t="array" ref="N126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63" s="10" cm="1">
        <f t="array" ref="O1263">IFERROR(INDEX(Sheet4!$2:$1605,MATCH(ChiTietKQKD[[#This Row],[Mã CP]],Sheet4!$B$2:$B$1605,0),_xlfn.XMATCH("*Tăng trưởng lợi nhuận sau thuế (YoY) (Quý*",Sheet4!$1:$1,2)),"")</f>
        <v>0</v>
      </c>
      <c r="P1263" s="10" cm="1">
        <f t="array" ref="P1263">IFERROR(INDEX(Sheet4!$2:$1605,MATCH(ChiTietKQKD[[#This Row],[Mã CP]],Sheet4!$B$2:$B$1605,0),_xlfn.XMATCH("*Tăng trưởng lợi nhuận sau thuế (YoY) (6M)*",Sheet4!$1:$1,2)),"")</f>
        <v>0</v>
      </c>
      <c r="Q1263" s="10" cm="1">
        <f t="array" ref="Q1263">IFERROR(INDEX(Sheet4!$2:$1605,MATCH(ChiTietKQKD[[#This Row],[Mã CP]],Sheet4!$B$2:$B$1605,0),_xlfn.XMATCH("*Tăng trưởng doanh thu thuần (QoQ)*",Sheet4!$1:$1,2)),"")</f>
        <v>0</v>
      </c>
      <c r="R1263" s="10" cm="1">
        <f t="array" ref="R1263">IFERROR(INDEX(Sheet4!$2:$1605,MATCH(ChiTietKQKD[[#This Row],[Mã CP]],Sheet4!$B$2:$B$1605,0),_xlfn.XMATCH("*Tăng trưởng lợi nhuận sau thuế (QoQ)*",Sheet4!$1:$1,2)),"")</f>
        <v>0</v>
      </c>
    </row>
    <row r="1264" spans="1:18" x14ac:dyDescent="0.25">
      <c r="A1264" s="7">
        <f>Sheet4!A1243</f>
        <v>1242</v>
      </c>
      <c r="B1264" t="str">
        <f>Sheet4!B1243</f>
        <v>PAT</v>
      </c>
      <c r="C1264" t="str">
        <f>Sheet4!C1242</f>
        <v>Quốc tế Phương Anh</v>
      </c>
      <c r="D1264" t="str">
        <f>Sheet4!D1243</f>
        <v>UPCoM</v>
      </c>
      <c r="E1264" s="7">
        <f>Sheet4!AH1243/1000000000</f>
        <v>1570.5250000000001</v>
      </c>
      <c r="F1264" t="str">
        <f>Sheet4!E1243</f>
        <v>Nguyên vật liệu</v>
      </c>
      <c r="G1264" t="str">
        <f>Sheet4!F1243</f>
        <v>Hóa chất</v>
      </c>
      <c r="H1264" t="str">
        <f>Sheet4!G1243</f>
        <v>Sản phẩm hóa dầu, Nông dược &amp; Hóa chất khác</v>
      </c>
      <c r="I1264" s="9" cm="1">
        <f t="array" ref="I126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517.35545600499995</v>
      </c>
      <c r="J1264" s="9" cm="1">
        <f t="array" ref="J126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939.27142735999996</v>
      </c>
      <c r="K1264" s="10" cm="1">
        <f t="array" ref="K126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8.3099999999999993E-2</v>
      </c>
      <c r="L1264" s="10" cm="1">
        <f t="array" ref="L126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64" s="9" cm="1">
        <f t="array" ref="M1264">_xlfn.LET(_xlpm.val,IFERROR(INDEX(Sheet4!$2:$1605,MATCH(ChiTietKQKD[[#This Row],[Mã CP]],Sheet4!$B$2:$B$1605,0),_xlfn.XMATCH("*Lợi nhuận sau thuế*Q2*2026*",Sheet4!$1:$1,2)),0),IF(OR(_xlpm.val="",_xlpm.val=0),"",_xlpm.val/1000000000))</f>
        <v>109.836820776</v>
      </c>
      <c r="N1264" s="9" cm="1">
        <f t="array" ref="N1264">_xlfn.LET(_xlpm.val,IFERROR(INDEX(Sheet4!$2:$1605,MATCH(ChiTietKQKD[[#This Row],[Mã CP]],Sheet4!$B$2:$B$1605,0),_xlfn.XMATCH("*Lợi nhuận sau thuế*6 tháng*2026*",Sheet4!$1:$1,2)),0),IF(OR(_xlpm.val="",_xlpm.val=0),"",_xlpm.val/1000000000))</f>
        <v>156.392552913</v>
      </c>
      <c r="O1264" s="10" cm="1">
        <f t="array" ref="O1264">IFERROR(INDEX(Sheet4!$2:$1605,MATCH(ChiTietKQKD[[#This Row],[Mã CP]],Sheet4!$B$2:$B$1605,0),_xlfn.XMATCH("*Tăng trưởng lợi nhuận sau thuế (YoY) (Quý*",Sheet4!$1:$1,2)),"")</f>
        <v>0.4148</v>
      </c>
      <c r="P1264" s="10" cm="1">
        <f t="array" ref="P1264">IFERROR(INDEX(Sheet4!$2:$1605,MATCH(ChiTietKQKD[[#This Row],[Mã CP]],Sheet4!$B$2:$B$1605,0),_xlfn.XMATCH("*Tăng trưởng lợi nhuận sau thuế (YoY) (6M)*",Sheet4!$1:$1,2)),"")</f>
        <v>0</v>
      </c>
      <c r="Q1264" s="10" cm="1">
        <f t="array" ref="Q1264">IFERROR(INDEX(Sheet4!$2:$1605,MATCH(ChiTietKQKD[[#This Row],[Mã CP]],Sheet4!$B$2:$B$1605,0),_xlfn.XMATCH("*Tăng trưởng doanh thu thuần (QoQ)*",Sheet4!$1:$1,2)),"")</f>
        <v>0.22620000000000001</v>
      </c>
      <c r="R1264" s="10" cm="1">
        <f t="array" ref="R1264">IFERROR(INDEX(Sheet4!$2:$1605,MATCH(ChiTietKQKD[[#This Row],[Mã CP]],Sheet4!$B$2:$B$1605,0),_xlfn.XMATCH("*Tăng trưởng lợi nhuận sau thuế (QoQ)*",Sheet4!$1:$1,2)),"")</f>
        <v>1.3593</v>
      </c>
    </row>
    <row r="1265" spans="1:18" x14ac:dyDescent="0.25">
      <c r="A1265" s="7">
        <f>Sheet4!A1244</f>
        <v>1243</v>
      </c>
      <c r="B1265" t="str">
        <f>Sheet4!B1244</f>
        <v>PBC</v>
      </c>
      <c r="C1265" t="str">
        <f>Sheet4!C1243</f>
        <v>Phốt pho Apatit Việt Nam</v>
      </c>
      <c r="D1265" t="str">
        <f>Sheet4!D1244</f>
        <v>UPCoM</v>
      </c>
      <c r="E1265" s="7">
        <f>Sheet4!AH1244/1000000000</f>
        <v>618.50177440000004</v>
      </c>
      <c r="F1265" t="str">
        <f>Sheet4!E1244</f>
        <v>Dược phẩm và Y tế</v>
      </c>
      <c r="G1265" t="str">
        <f>Sheet4!F1244</f>
        <v>Y tế</v>
      </c>
      <c r="H1265" t="str">
        <f>Sheet4!G1244</f>
        <v>Dược phẩm</v>
      </c>
      <c r="I1265" s="9" cm="1">
        <f t="array" ref="I126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205.62864402299999</v>
      </c>
      <c r="J1265" s="9" cm="1">
        <f t="array" ref="J126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413.49053845399999</v>
      </c>
      <c r="K1265" s="10" cm="1">
        <f t="array" ref="K126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-0.2878</v>
      </c>
      <c r="L1265" s="10" cm="1">
        <f t="array" ref="L126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-0.18790000000000001</v>
      </c>
      <c r="M1265" s="9" cm="1">
        <f t="array" ref="M1265">_xlfn.LET(_xlpm.val,IFERROR(INDEX(Sheet4!$2:$1605,MATCH(ChiTietKQKD[[#This Row],[Mã CP]],Sheet4!$B$2:$B$1605,0),_xlfn.XMATCH("*Lợi nhuận sau thuế*Q2*2026*",Sheet4!$1:$1,2)),0),IF(OR(_xlpm.val="",_xlpm.val=0),"",_xlpm.val/1000000000))</f>
        <v>17.393884989</v>
      </c>
      <c r="N1265" s="9" cm="1">
        <f t="array" ref="N1265">_xlfn.LET(_xlpm.val,IFERROR(INDEX(Sheet4!$2:$1605,MATCH(ChiTietKQKD[[#This Row],[Mã CP]],Sheet4!$B$2:$B$1605,0),_xlfn.XMATCH("*Lợi nhuận sau thuế*6 tháng*2026*",Sheet4!$1:$1,2)),0),IF(OR(_xlpm.val="",_xlpm.val=0),"",_xlpm.val/1000000000))</f>
        <v>28.050970226</v>
      </c>
      <c r="O1265" s="10" cm="1">
        <f t="array" ref="O1265">IFERROR(INDEX(Sheet4!$2:$1605,MATCH(ChiTietKQKD[[#This Row],[Mã CP]],Sheet4!$B$2:$B$1605,0),_xlfn.XMATCH("*Tăng trưởng lợi nhuận sau thuế (YoY) (Quý*",Sheet4!$1:$1,2)),"")</f>
        <v>2.0830000000000002</v>
      </c>
      <c r="P1265" s="10" cm="1">
        <f t="array" ref="P1265">IFERROR(INDEX(Sheet4!$2:$1605,MATCH(ChiTietKQKD[[#This Row],[Mã CP]],Sheet4!$B$2:$B$1605,0),_xlfn.XMATCH("*Tăng trưởng lợi nhuận sau thuế (YoY) (6M)*",Sheet4!$1:$1,2)),"")</f>
        <v>6.7324999999999999</v>
      </c>
      <c r="Q1265" s="10" cm="1">
        <f t="array" ref="Q1265">IFERROR(INDEX(Sheet4!$2:$1605,MATCH(ChiTietKQKD[[#This Row],[Mã CP]],Sheet4!$B$2:$B$1605,0),_xlfn.XMATCH("*Tăng trưởng doanh thu thuần (QoQ)*",Sheet4!$1:$1,2)),"")</f>
        <v>-1.0699999999999999E-2</v>
      </c>
      <c r="R1265" s="10" cm="1">
        <f t="array" ref="R1265">IFERROR(INDEX(Sheet4!$2:$1605,MATCH(ChiTietKQKD[[#This Row],[Mã CP]],Sheet4!$B$2:$B$1605,0),_xlfn.XMATCH("*Tăng trưởng lợi nhuận sau thuế (QoQ)*",Sheet4!$1:$1,2)),"")</f>
        <v>0.6321</v>
      </c>
    </row>
    <row r="1266" spans="1:18" x14ac:dyDescent="0.25">
      <c r="A1266" s="7">
        <f>Sheet4!A1245</f>
        <v>1244</v>
      </c>
      <c r="B1266" t="str">
        <f>Sheet4!B1245</f>
        <v>PBT</v>
      </c>
      <c r="C1266" t="str">
        <f>Sheet4!C1244</f>
        <v>Dược Phẩm TW 1- Pharbaco</v>
      </c>
      <c r="D1266" t="str">
        <f>Sheet4!D1245</f>
        <v>UPCoM</v>
      </c>
      <c r="E1266" s="7">
        <f>Sheet4!AH1245/1000000000</f>
        <v>215.52409320000001</v>
      </c>
      <c r="F1266" t="str">
        <f>Sheet4!E1245</f>
        <v>Công nghiệp</v>
      </c>
      <c r="G1266" t="str">
        <f>Sheet4!F1245</f>
        <v>Hàng &amp; Dịch vụ Công nghiệp</v>
      </c>
      <c r="H1266" t="str">
        <f>Sheet4!G1245</f>
        <v>Containers &amp; Đóng gói</v>
      </c>
      <c r="I1266" s="9" t="str" cm="1">
        <f t="array" ref="I126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66" s="9" t="str" cm="1">
        <f t="array" ref="J126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66" s="10" cm="1">
        <f t="array" ref="K126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66" s="10" cm="1">
        <f t="array" ref="L126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66" s="9" t="str" cm="1">
        <f t="array" ref="M126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66" s="9" t="str" cm="1">
        <f t="array" ref="N126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66" s="10" cm="1">
        <f t="array" ref="O1266">IFERROR(INDEX(Sheet4!$2:$1605,MATCH(ChiTietKQKD[[#This Row],[Mã CP]],Sheet4!$B$2:$B$1605,0),_xlfn.XMATCH("*Tăng trưởng lợi nhuận sau thuế (YoY) (Quý*",Sheet4!$1:$1,2)),"")</f>
        <v>0</v>
      </c>
      <c r="P1266" s="10" cm="1">
        <f t="array" ref="P1266">IFERROR(INDEX(Sheet4!$2:$1605,MATCH(ChiTietKQKD[[#This Row],[Mã CP]],Sheet4!$B$2:$B$1605,0),_xlfn.XMATCH("*Tăng trưởng lợi nhuận sau thuế (YoY) (6M)*",Sheet4!$1:$1,2)),"")</f>
        <v>0</v>
      </c>
      <c r="Q1266" s="10" cm="1">
        <f t="array" ref="Q1266">IFERROR(INDEX(Sheet4!$2:$1605,MATCH(ChiTietKQKD[[#This Row],[Mã CP]],Sheet4!$B$2:$B$1605,0),_xlfn.XMATCH("*Tăng trưởng doanh thu thuần (QoQ)*",Sheet4!$1:$1,2)),"")</f>
        <v>0</v>
      </c>
      <c r="R1266" s="10" cm="1">
        <f t="array" ref="R1266">IFERROR(INDEX(Sheet4!$2:$1605,MATCH(ChiTietKQKD[[#This Row],[Mã CP]],Sheet4!$B$2:$B$1605,0),_xlfn.XMATCH("*Tăng trưởng lợi nhuận sau thuế (QoQ)*",Sheet4!$1:$1,2)),"")</f>
        <v>0</v>
      </c>
    </row>
    <row r="1267" spans="1:18" x14ac:dyDescent="0.25">
      <c r="A1267" s="7">
        <f>Sheet4!A1246</f>
        <v>1245</v>
      </c>
      <c r="B1267" t="str">
        <f>Sheet4!B1246</f>
        <v>PCB</v>
      </c>
      <c r="C1267" t="str">
        <f>Sheet4!C1245</f>
        <v>Bao bì và TM Dầu khí Bình Sơn</v>
      </c>
      <c r="D1267" t="str">
        <f>Sheet4!D1246</f>
        <v>UPCoM</v>
      </c>
      <c r="E1267" s="7">
        <f>Sheet4!AH1246/1000000000</f>
        <v>0</v>
      </c>
      <c r="F1267" t="str">
        <f>Sheet4!E1246</f>
        <v>Ngân hàng</v>
      </c>
      <c r="G1267" t="str">
        <f>Sheet4!F1246</f>
        <v>Ngân hàng</v>
      </c>
      <c r="H1267" t="str">
        <f>Sheet4!G1246</f>
        <v>Ngân hàng</v>
      </c>
      <c r="I1267" s="9" t="str" cm="1">
        <f t="array" ref="I126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67" s="9" t="str" cm="1">
        <f t="array" ref="J126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67" s="10" t="str" cm="1">
        <f t="array" ref="K126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1267" s="10" t="str" cm="1">
        <f t="array" ref="L126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1267" s="9" t="str" cm="1">
        <f t="array" ref="M126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67" s="9" t="str" cm="1">
        <f t="array" ref="N126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67" s="10" cm="1">
        <f t="array" ref="O1267">IFERROR(INDEX(Sheet4!$2:$1605,MATCH(ChiTietKQKD[[#This Row],[Mã CP]],Sheet4!$B$2:$B$1605,0),_xlfn.XMATCH("*Tăng trưởng lợi nhuận sau thuế (YoY) (Quý*",Sheet4!$1:$1,2)),"")</f>
        <v>0</v>
      </c>
      <c r="P1267" s="10" cm="1">
        <f t="array" ref="P1267">IFERROR(INDEX(Sheet4!$2:$1605,MATCH(ChiTietKQKD[[#This Row],[Mã CP]],Sheet4!$B$2:$B$1605,0),_xlfn.XMATCH("*Tăng trưởng lợi nhuận sau thuế (YoY) (6M)*",Sheet4!$1:$1,2)),"")</f>
        <v>0</v>
      </c>
      <c r="Q1267" s="10" cm="1">
        <f t="array" ref="Q1267">IFERROR(INDEX(Sheet4!$2:$1605,MATCH(ChiTietKQKD[[#This Row],[Mã CP]],Sheet4!$B$2:$B$1605,0),_xlfn.XMATCH("*Tăng trưởng doanh thu thuần (QoQ)*",Sheet4!$1:$1,2)),"")</f>
        <v>0</v>
      </c>
      <c r="R1267" s="10" cm="1">
        <f t="array" ref="R1267">IFERROR(INDEX(Sheet4!$2:$1605,MATCH(ChiTietKQKD[[#This Row],[Mã CP]],Sheet4!$B$2:$B$1605,0),_xlfn.XMATCH("*Tăng trưởng lợi nhuận sau thuế (QoQ)*",Sheet4!$1:$1,2)),"")</f>
        <v>0</v>
      </c>
    </row>
    <row r="1268" spans="1:18" x14ac:dyDescent="0.25">
      <c r="A1268" s="7">
        <f>Sheet4!A1247</f>
        <v>1246</v>
      </c>
      <c r="B1268" t="str">
        <f>Sheet4!B1247</f>
        <v>PCC</v>
      </c>
      <c r="C1268" t="str">
        <f>Sheet4!C1246</f>
        <v>PVcomBank</v>
      </c>
      <c r="D1268" t="str">
        <f>Sheet4!D1247</f>
        <v>UPCoM</v>
      </c>
      <c r="E1268" s="7">
        <f>Sheet4!AH1247/1000000000</f>
        <v>293.25</v>
      </c>
      <c r="F1268" t="str">
        <f>Sheet4!E1247</f>
        <v>Công nghiệp</v>
      </c>
      <c r="G1268" t="str">
        <f>Sheet4!F1247</f>
        <v>Xây dựng và Vật liệu</v>
      </c>
      <c r="H1268" t="str">
        <f>Sheet4!G1247</f>
        <v>Xây dựng</v>
      </c>
      <c r="I1268" s="9" t="str" cm="1">
        <f t="array" ref="I126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68" s="9" t="str" cm="1">
        <f t="array" ref="J126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68" s="10" cm="1">
        <f t="array" ref="K126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68" s="10" cm="1">
        <f t="array" ref="L126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68" s="9" t="str" cm="1">
        <f t="array" ref="M126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68" s="9" t="str" cm="1">
        <f t="array" ref="N126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68" s="10" cm="1">
        <f t="array" ref="O1268">IFERROR(INDEX(Sheet4!$2:$1605,MATCH(ChiTietKQKD[[#This Row],[Mã CP]],Sheet4!$B$2:$B$1605,0),_xlfn.XMATCH("*Tăng trưởng lợi nhuận sau thuế (YoY) (Quý*",Sheet4!$1:$1,2)),"")</f>
        <v>0</v>
      </c>
      <c r="P1268" s="10" cm="1">
        <f t="array" ref="P1268">IFERROR(INDEX(Sheet4!$2:$1605,MATCH(ChiTietKQKD[[#This Row],[Mã CP]],Sheet4!$B$2:$B$1605,0),_xlfn.XMATCH("*Tăng trưởng lợi nhuận sau thuế (YoY) (6M)*",Sheet4!$1:$1,2)),"")</f>
        <v>0</v>
      </c>
      <c r="Q1268" s="10" cm="1">
        <f t="array" ref="Q1268">IFERROR(INDEX(Sheet4!$2:$1605,MATCH(ChiTietKQKD[[#This Row],[Mã CP]],Sheet4!$B$2:$B$1605,0),_xlfn.XMATCH("*Tăng trưởng doanh thu thuần (QoQ)*",Sheet4!$1:$1,2)),"")</f>
        <v>0</v>
      </c>
      <c r="R1268" s="10" cm="1">
        <f t="array" ref="R1268">IFERROR(INDEX(Sheet4!$2:$1605,MATCH(ChiTietKQKD[[#This Row],[Mã CP]],Sheet4!$B$2:$B$1605,0),_xlfn.XMATCH("*Tăng trưởng lợi nhuận sau thuế (QoQ)*",Sheet4!$1:$1,2)),"")</f>
        <v>0</v>
      </c>
    </row>
    <row r="1269" spans="1:18" x14ac:dyDescent="0.25">
      <c r="A1269" s="7">
        <f>Sheet4!A1248</f>
        <v>1247</v>
      </c>
      <c r="B1269" t="str">
        <f>Sheet4!B1248</f>
        <v>PCF</v>
      </c>
      <c r="C1269" t="str">
        <f>Sheet4!C1247</f>
        <v>Xây lắp 1- Petrolimex</v>
      </c>
      <c r="D1269" t="str">
        <f>Sheet4!D1248</f>
        <v>UPCoM</v>
      </c>
      <c r="E1269" s="7">
        <f>Sheet4!AH1248/1000000000</f>
        <v>9.3000000000000007</v>
      </c>
      <c r="F1269" t="str">
        <f>Sheet4!E1248</f>
        <v>Hàng Tiêu dùng</v>
      </c>
      <c r="G1269" t="str">
        <f>Sheet4!F1248</f>
        <v>Thực phẩm và đồ uống</v>
      </c>
      <c r="H1269" t="str">
        <f>Sheet4!G1248</f>
        <v>Đồ uống &amp; giải khát</v>
      </c>
      <c r="I1269" s="9" t="str" cm="1">
        <f t="array" ref="I126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69" s="9" t="str" cm="1">
        <f t="array" ref="J126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69" s="10" cm="1">
        <f t="array" ref="K126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69" s="10" cm="1">
        <f t="array" ref="L126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69" s="9" t="str" cm="1">
        <f t="array" ref="M126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69" s="9" t="str" cm="1">
        <f t="array" ref="N126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69" s="10" cm="1">
        <f t="array" ref="O1269">IFERROR(INDEX(Sheet4!$2:$1605,MATCH(ChiTietKQKD[[#This Row],[Mã CP]],Sheet4!$B$2:$B$1605,0),_xlfn.XMATCH("*Tăng trưởng lợi nhuận sau thuế (YoY) (Quý*",Sheet4!$1:$1,2)),"")</f>
        <v>0</v>
      </c>
      <c r="P1269" s="10" cm="1">
        <f t="array" ref="P1269">IFERROR(INDEX(Sheet4!$2:$1605,MATCH(ChiTietKQKD[[#This Row],[Mã CP]],Sheet4!$B$2:$B$1605,0),_xlfn.XMATCH("*Tăng trưởng lợi nhuận sau thuế (YoY) (6M)*",Sheet4!$1:$1,2)),"")</f>
        <v>0</v>
      </c>
      <c r="Q1269" s="10" cm="1">
        <f t="array" ref="Q1269">IFERROR(INDEX(Sheet4!$2:$1605,MATCH(ChiTietKQKD[[#This Row],[Mã CP]],Sheet4!$B$2:$B$1605,0),_xlfn.XMATCH("*Tăng trưởng doanh thu thuần (QoQ)*",Sheet4!$1:$1,2)),"")</f>
        <v>0</v>
      </c>
      <c r="R1269" s="10" cm="1">
        <f t="array" ref="R1269">IFERROR(INDEX(Sheet4!$2:$1605,MATCH(ChiTietKQKD[[#This Row],[Mã CP]],Sheet4!$B$2:$B$1605,0),_xlfn.XMATCH("*Tăng trưởng lợi nhuận sau thuế (QoQ)*",Sheet4!$1:$1,2)),"")</f>
        <v>0</v>
      </c>
    </row>
    <row r="1270" spans="1:18" x14ac:dyDescent="0.25">
      <c r="A1270" s="7">
        <f>Sheet4!A1249</f>
        <v>1248</v>
      </c>
      <c r="B1270" t="str">
        <f>Sheet4!B1249</f>
        <v>PCG</v>
      </c>
      <c r="C1270" t="str">
        <f>Sheet4!C1248</f>
        <v>Cà phê PETEC</v>
      </c>
      <c r="D1270" t="str">
        <f>Sheet4!D1249</f>
        <v>UPCoM</v>
      </c>
      <c r="E1270" s="7">
        <f>Sheet4!AH1249/1000000000</f>
        <v>58.497</v>
      </c>
      <c r="F1270" t="str">
        <f>Sheet4!E1249</f>
        <v>Tiện ích Cộng đồng</v>
      </c>
      <c r="G1270" t="str">
        <f>Sheet4!F1249</f>
        <v>Điện, nước &amp; xăng dầu khí đốt</v>
      </c>
      <c r="H1270" t="str">
        <f>Sheet4!G1249</f>
        <v>Phân phối xăng dầu &amp; khí đốt</v>
      </c>
      <c r="I1270" s="9" t="str" cm="1">
        <f t="array" ref="I127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70" s="9" t="str" cm="1">
        <f t="array" ref="J127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70" s="10" cm="1">
        <f t="array" ref="K127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70" s="10" cm="1">
        <f t="array" ref="L127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70" s="9" t="str" cm="1">
        <f t="array" ref="M127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70" s="9" t="str" cm="1">
        <f t="array" ref="N127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70" s="10" cm="1">
        <f t="array" ref="O1270">IFERROR(INDEX(Sheet4!$2:$1605,MATCH(ChiTietKQKD[[#This Row],[Mã CP]],Sheet4!$B$2:$B$1605,0),_xlfn.XMATCH("*Tăng trưởng lợi nhuận sau thuế (YoY) (Quý*",Sheet4!$1:$1,2)),"")</f>
        <v>0</v>
      </c>
      <c r="P1270" s="10" cm="1">
        <f t="array" ref="P1270">IFERROR(INDEX(Sheet4!$2:$1605,MATCH(ChiTietKQKD[[#This Row],[Mã CP]],Sheet4!$B$2:$B$1605,0),_xlfn.XMATCH("*Tăng trưởng lợi nhuận sau thuế (YoY) (6M)*",Sheet4!$1:$1,2)),"")</f>
        <v>0</v>
      </c>
      <c r="Q1270" s="10" cm="1">
        <f t="array" ref="Q1270">IFERROR(INDEX(Sheet4!$2:$1605,MATCH(ChiTietKQKD[[#This Row],[Mã CP]],Sheet4!$B$2:$B$1605,0),_xlfn.XMATCH("*Tăng trưởng doanh thu thuần (QoQ)*",Sheet4!$1:$1,2)),"")</f>
        <v>0</v>
      </c>
      <c r="R1270" s="10" cm="1">
        <f t="array" ref="R1270">IFERROR(INDEX(Sheet4!$2:$1605,MATCH(ChiTietKQKD[[#This Row],[Mã CP]],Sheet4!$B$2:$B$1605,0),_xlfn.XMATCH("*Tăng trưởng lợi nhuận sau thuế (QoQ)*",Sheet4!$1:$1,2)),"")</f>
        <v>0</v>
      </c>
    </row>
    <row r="1271" spans="1:18" x14ac:dyDescent="0.25">
      <c r="A1271" s="7">
        <f>Sheet4!A1250</f>
        <v>1249</v>
      </c>
      <c r="B1271" t="str">
        <f>Sheet4!B1250</f>
        <v>PCM</v>
      </c>
      <c r="C1271" t="str">
        <f>Sheet4!C1249</f>
        <v>Đầu tư PT Gas Đô thị</v>
      </c>
      <c r="D1271" t="str">
        <f>Sheet4!D1250</f>
        <v>UPCoM</v>
      </c>
      <c r="E1271" s="7">
        <f>Sheet4!AH1250/1000000000</f>
        <v>63.112000000000002</v>
      </c>
      <c r="F1271" t="str">
        <f>Sheet4!E1250</f>
        <v>Công nghiệp</v>
      </c>
      <c r="G1271" t="str">
        <f>Sheet4!F1250</f>
        <v>Xây dựng và Vật liệu</v>
      </c>
      <c r="H1271" t="str">
        <f>Sheet4!G1250</f>
        <v>Vật liệu xây dựng &amp; Nội thất</v>
      </c>
      <c r="I1271" s="9" t="str" cm="1">
        <f t="array" ref="I127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71" s="9" t="str" cm="1">
        <f t="array" ref="J127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71" s="10" cm="1">
        <f t="array" ref="K127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71" s="10" cm="1">
        <f t="array" ref="L127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71" s="9" t="str" cm="1">
        <f t="array" ref="M127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71" s="9" t="str" cm="1">
        <f t="array" ref="N127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71" s="10" cm="1">
        <f t="array" ref="O1271">IFERROR(INDEX(Sheet4!$2:$1605,MATCH(ChiTietKQKD[[#This Row],[Mã CP]],Sheet4!$B$2:$B$1605,0),_xlfn.XMATCH("*Tăng trưởng lợi nhuận sau thuế (YoY) (Quý*",Sheet4!$1:$1,2)),"")</f>
        <v>0</v>
      </c>
      <c r="P1271" s="10" cm="1">
        <f t="array" ref="P1271">IFERROR(INDEX(Sheet4!$2:$1605,MATCH(ChiTietKQKD[[#This Row],[Mã CP]],Sheet4!$B$2:$B$1605,0),_xlfn.XMATCH("*Tăng trưởng lợi nhuận sau thuế (YoY) (6M)*",Sheet4!$1:$1,2)),"")</f>
        <v>0</v>
      </c>
      <c r="Q1271" s="10" cm="1">
        <f t="array" ref="Q1271">IFERROR(INDEX(Sheet4!$2:$1605,MATCH(ChiTietKQKD[[#This Row],[Mã CP]],Sheet4!$B$2:$B$1605,0),_xlfn.XMATCH("*Tăng trưởng doanh thu thuần (QoQ)*",Sheet4!$1:$1,2)),"")</f>
        <v>0</v>
      </c>
      <c r="R1271" s="10" cm="1">
        <f t="array" ref="R1271">IFERROR(INDEX(Sheet4!$2:$1605,MATCH(ChiTietKQKD[[#This Row],[Mã CP]],Sheet4!$B$2:$B$1605,0),_xlfn.XMATCH("*Tăng trưởng lợi nhuận sau thuế (QoQ)*",Sheet4!$1:$1,2)),"")</f>
        <v>0</v>
      </c>
    </row>
    <row r="1272" spans="1:18" x14ac:dyDescent="0.25">
      <c r="A1272" s="7">
        <f>Sheet4!A1251</f>
        <v>1250</v>
      </c>
      <c r="B1272" t="str">
        <f>Sheet4!B1251</f>
        <v>PDC</v>
      </c>
      <c r="C1272" t="str">
        <f>Sheet4!C1250</f>
        <v>VLXD Bưu điện</v>
      </c>
      <c r="D1272" t="str">
        <f>Sheet4!D1251</f>
        <v>UPCoM</v>
      </c>
      <c r="E1272" s="7">
        <f>Sheet4!AH1251/1000000000</f>
        <v>67.5</v>
      </c>
      <c r="F1272" t="str">
        <f>Sheet4!E1251</f>
        <v>Dịch vụ Tiêu dùng</v>
      </c>
      <c r="G1272" t="str">
        <f>Sheet4!F1251</f>
        <v>Du lịch và Giải trí</v>
      </c>
      <c r="H1272" t="str">
        <f>Sheet4!G1251</f>
        <v>Vận tải hành khách &amp; Du lịch</v>
      </c>
      <c r="I1272" s="9" cm="1">
        <f t="array" ref="I127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11.988172757999999</v>
      </c>
      <c r="J1272" s="9" cm="1">
        <f t="array" ref="J127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23.009089362000001</v>
      </c>
      <c r="K1272" s="10" cm="1">
        <f t="array" ref="K127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5.3999999999999999E-2</v>
      </c>
      <c r="L1272" s="10" cm="1">
        <f t="array" ref="L127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2.8E-3</v>
      </c>
      <c r="M1272" s="9" cm="1">
        <f t="array" ref="M1272">_xlfn.LET(_xlpm.val,IFERROR(INDEX(Sheet4!$2:$1605,MATCH(ChiTietKQKD[[#This Row],[Mã CP]],Sheet4!$B$2:$B$1605,0),_xlfn.XMATCH("*Lợi nhuận sau thuế*Q2*2026*",Sheet4!$1:$1,2)),0),IF(OR(_xlpm.val="",_xlpm.val=0),"",_xlpm.val/1000000000))</f>
        <v>0.99079514999999996</v>
      </c>
      <c r="N1272" s="9" cm="1">
        <f t="array" ref="N1272">_xlfn.LET(_xlpm.val,IFERROR(INDEX(Sheet4!$2:$1605,MATCH(ChiTietKQKD[[#This Row],[Mã CP]],Sheet4!$B$2:$B$1605,0),_xlfn.XMATCH("*Lợi nhuận sau thuế*6 tháng*2026*",Sheet4!$1:$1,2)),0),IF(OR(_xlpm.val="",_xlpm.val=0),"",_xlpm.val/1000000000))</f>
        <v>2.0264653539999999</v>
      </c>
      <c r="O1272" s="10" cm="1">
        <f t="array" ref="O1272">IFERROR(INDEX(Sheet4!$2:$1605,MATCH(ChiTietKQKD[[#This Row],[Mã CP]],Sheet4!$B$2:$B$1605,0),_xlfn.XMATCH("*Tăng trưởng lợi nhuận sau thuế (YoY) (Quý*",Sheet4!$1:$1,2)),"")</f>
        <v>1.6207</v>
      </c>
      <c r="P1272" s="10" cm="1">
        <f t="array" ref="P1272">IFERROR(INDEX(Sheet4!$2:$1605,MATCH(ChiTietKQKD[[#This Row],[Mã CP]],Sheet4!$B$2:$B$1605,0),_xlfn.XMATCH("*Tăng trưởng lợi nhuận sau thuế (YoY) (6M)*",Sheet4!$1:$1,2)),"")</f>
        <v>-0.105</v>
      </c>
      <c r="Q1272" s="10" cm="1">
        <f t="array" ref="Q1272">IFERROR(INDEX(Sheet4!$2:$1605,MATCH(ChiTietKQKD[[#This Row],[Mã CP]],Sheet4!$B$2:$B$1605,0),_xlfn.XMATCH("*Tăng trưởng doanh thu thuần (QoQ)*",Sheet4!$1:$1,2)),"")</f>
        <v>8.7800000000000003E-2</v>
      </c>
      <c r="R1272" s="10" cm="1">
        <f t="array" ref="R1272">IFERROR(INDEX(Sheet4!$2:$1605,MATCH(ChiTietKQKD[[#This Row],[Mã CP]],Sheet4!$B$2:$B$1605,0),_xlfn.XMATCH("*Tăng trưởng lợi nhuận sau thuế (QoQ)*",Sheet4!$1:$1,2)),"")</f>
        <v>-4.3299999999999998E-2</v>
      </c>
    </row>
    <row r="1273" spans="1:18" x14ac:dyDescent="0.25">
      <c r="A1273" s="7">
        <f>Sheet4!A1252</f>
        <v>1251</v>
      </c>
      <c r="B1273" t="str">
        <f>Sheet4!B1252</f>
        <v>PEG</v>
      </c>
      <c r="C1273" t="str">
        <f>Sheet4!C1251</f>
        <v>Dầu khí Phương Đông</v>
      </c>
      <c r="D1273" t="str">
        <f>Sheet4!D1252</f>
        <v>UPCoM</v>
      </c>
      <c r="E1273" s="7">
        <f>Sheet4!AH1252/1000000000</f>
        <v>846.18339800000001</v>
      </c>
      <c r="F1273" t="str">
        <f>Sheet4!E1252</f>
        <v>Tiện ích Cộng đồng</v>
      </c>
      <c r="G1273" t="str">
        <f>Sheet4!F1252</f>
        <v>Điện, nước &amp; xăng dầu khí đốt</v>
      </c>
      <c r="H1273" t="str">
        <f>Sheet4!G1252</f>
        <v>Phân phối xăng dầu &amp; khí đốt</v>
      </c>
      <c r="I1273" s="9" t="str" cm="1">
        <f t="array" ref="I127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73" s="9" t="str" cm="1">
        <f t="array" ref="J127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73" s="10" cm="1">
        <f t="array" ref="K127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73" s="10" cm="1">
        <f t="array" ref="L127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73" s="9" t="str" cm="1">
        <f t="array" ref="M127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73" s="9" t="str" cm="1">
        <f t="array" ref="N127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73" s="10" cm="1">
        <f t="array" ref="O1273">IFERROR(INDEX(Sheet4!$2:$1605,MATCH(ChiTietKQKD[[#This Row],[Mã CP]],Sheet4!$B$2:$B$1605,0),_xlfn.XMATCH("*Tăng trưởng lợi nhuận sau thuế (YoY) (Quý*",Sheet4!$1:$1,2)),"")</f>
        <v>0</v>
      </c>
      <c r="P1273" s="10" cm="1">
        <f t="array" ref="P1273">IFERROR(INDEX(Sheet4!$2:$1605,MATCH(ChiTietKQKD[[#This Row],[Mã CP]],Sheet4!$B$2:$B$1605,0),_xlfn.XMATCH("*Tăng trưởng lợi nhuận sau thuế (YoY) (6M)*",Sheet4!$1:$1,2)),"")</f>
        <v>0</v>
      </c>
      <c r="Q1273" s="10" cm="1">
        <f t="array" ref="Q1273">IFERROR(INDEX(Sheet4!$2:$1605,MATCH(ChiTietKQKD[[#This Row],[Mã CP]],Sheet4!$B$2:$B$1605,0),_xlfn.XMATCH("*Tăng trưởng doanh thu thuần (QoQ)*",Sheet4!$1:$1,2)),"")</f>
        <v>0</v>
      </c>
      <c r="R1273" s="10" cm="1">
        <f t="array" ref="R1273">IFERROR(INDEX(Sheet4!$2:$1605,MATCH(ChiTietKQKD[[#This Row],[Mã CP]],Sheet4!$B$2:$B$1605,0),_xlfn.XMATCH("*Tăng trưởng lợi nhuận sau thuế (QoQ)*",Sheet4!$1:$1,2)),"")</f>
        <v>0</v>
      </c>
    </row>
    <row r="1274" spans="1:18" x14ac:dyDescent="0.25">
      <c r="A1274" s="7">
        <f>Sheet4!A1253</f>
        <v>1252</v>
      </c>
      <c r="B1274" t="str">
        <f>Sheet4!B1253</f>
        <v>PEQ</v>
      </c>
      <c r="C1274" t="str">
        <f>Sheet4!C1252</f>
        <v>TM Kỹ thuật và Đầu tư (PETEC)</v>
      </c>
      <c r="D1274" t="str">
        <f>Sheet4!D1253</f>
        <v>UPCoM</v>
      </c>
      <c r="E1274" s="7">
        <f>Sheet4!AH1253/1000000000</f>
        <v>209.0481394</v>
      </c>
      <c r="F1274" t="str">
        <f>Sheet4!E1253</f>
        <v>Dầu khí</v>
      </c>
      <c r="G1274" t="str">
        <f>Sheet4!F1253</f>
        <v>Dầu khí</v>
      </c>
      <c r="H1274" t="str">
        <f>Sheet4!G1253</f>
        <v>Thiết bị và Dịch vụ Dầu khí</v>
      </c>
      <c r="I1274" s="9" t="str" cm="1">
        <f t="array" ref="I127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74" s="9" t="str" cm="1">
        <f t="array" ref="J127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74" s="10" cm="1">
        <f t="array" ref="K127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74" s="10" cm="1">
        <f t="array" ref="L127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74" s="9" t="str" cm="1">
        <f t="array" ref="M127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74" s="9" t="str" cm="1">
        <f t="array" ref="N127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74" s="10" cm="1">
        <f t="array" ref="O1274">IFERROR(INDEX(Sheet4!$2:$1605,MATCH(ChiTietKQKD[[#This Row],[Mã CP]],Sheet4!$B$2:$B$1605,0),_xlfn.XMATCH("*Tăng trưởng lợi nhuận sau thuế (YoY) (Quý*",Sheet4!$1:$1,2)),"")</f>
        <v>0</v>
      </c>
      <c r="P1274" s="10" cm="1">
        <f t="array" ref="P1274">IFERROR(INDEX(Sheet4!$2:$1605,MATCH(ChiTietKQKD[[#This Row],[Mã CP]],Sheet4!$B$2:$B$1605,0),_xlfn.XMATCH("*Tăng trưởng lợi nhuận sau thuế (YoY) (6M)*",Sheet4!$1:$1,2)),"")</f>
        <v>0</v>
      </c>
      <c r="Q1274" s="10" cm="1">
        <f t="array" ref="Q1274">IFERROR(INDEX(Sheet4!$2:$1605,MATCH(ChiTietKQKD[[#This Row],[Mã CP]],Sheet4!$B$2:$B$1605,0),_xlfn.XMATCH("*Tăng trưởng doanh thu thuần (QoQ)*",Sheet4!$1:$1,2)),"")</f>
        <v>0</v>
      </c>
      <c r="R1274" s="10" cm="1">
        <f t="array" ref="R1274">IFERROR(INDEX(Sheet4!$2:$1605,MATCH(ChiTietKQKD[[#This Row],[Mã CP]],Sheet4!$B$2:$B$1605,0),_xlfn.XMATCH("*Tăng trưởng lợi nhuận sau thuế (QoQ)*",Sheet4!$1:$1,2)),"")</f>
        <v>0</v>
      </c>
    </row>
    <row r="1275" spans="1:18" x14ac:dyDescent="0.25">
      <c r="A1275" s="7">
        <f>Sheet4!A1254</f>
        <v>1253</v>
      </c>
      <c r="B1275" t="str">
        <f>Sheet4!B1254</f>
        <v>PFL</v>
      </c>
      <c r="C1275" t="str">
        <f>Sheet4!C1253</f>
        <v>Thiết bị xăng dầu Petrolimex</v>
      </c>
      <c r="D1275" t="str">
        <f>Sheet4!D1254</f>
        <v>UPCoM</v>
      </c>
      <c r="E1275" s="7">
        <f>Sheet4!AH1254/1000000000</f>
        <v>84.7</v>
      </c>
      <c r="F1275" t="str">
        <f>Sheet4!E1254</f>
        <v>Công nghiệp</v>
      </c>
      <c r="G1275" t="str">
        <f>Sheet4!F1254</f>
        <v>Xây dựng và Vật liệu</v>
      </c>
      <c r="H1275" t="str">
        <f>Sheet4!G1254</f>
        <v>Xây dựng</v>
      </c>
      <c r="I1275" s="9" t="str" cm="1">
        <f t="array" ref="I127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75" s="9" t="str" cm="1">
        <f t="array" ref="J127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75" s="10" cm="1">
        <f t="array" ref="K127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75" s="10" cm="1">
        <f t="array" ref="L127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75" s="9" t="str" cm="1">
        <f t="array" ref="M127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75" s="9" t="str" cm="1">
        <f t="array" ref="N127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75" s="10" cm="1">
        <f t="array" ref="O1275">IFERROR(INDEX(Sheet4!$2:$1605,MATCH(ChiTietKQKD[[#This Row],[Mã CP]],Sheet4!$B$2:$B$1605,0),_xlfn.XMATCH("*Tăng trưởng lợi nhuận sau thuế (YoY) (Quý*",Sheet4!$1:$1,2)),"")</f>
        <v>0</v>
      </c>
      <c r="P1275" s="10" cm="1">
        <f t="array" ref="P1275">IFERROR(INDEX(Sheet4!$2:$1605,MATCH(ChiTietKQKD[[#This Row],[Mã CP]],Sheet4!$B$2:$B$1605,0),_xlfn.XMATCH("*Tăng trưởng lợi nhuận sau thuế (YoY) (6M)*",Sheet4!$1:$1,2)),"")</f>
        <v>0</v>
      </c>
      <c r="Q1275" s="10" cm="1">
        <f t="array" ref="Q1275">IFERROR(INDEX(Sheet4!$2:$1605,MATCH(ChiTietKQKD[[#This Row],[Mã CP]],Sheet4!$B$2:$B$1605,0),_xlfn.XMATCH("*Tăng trưởng doanh thu thuần (QoQ)*",Sheet4!$1:$1,2)),"")</f>
        <v>0</v>
      </c>
      <c r="R1275" s="10" cm="1">
        <f t="array" ref="R1275">IFERROR(INDEX(Sheet4!$2:$1605,MATCH(ChiTietKQKD[[#This Row],[Mã CP]],Sheet4!$B$2:$B$1605,0),_xlfn.XMATCH("*Tăng trưởng lợi nhuận sau thuế (QoQ)*",Sheet4!$1:$1,2)),"")</f>
        <v>0</v>
      </c>
    </row>
    <row r="1276" spans="1:18" x14ac:dyDescent="0.25">
      <c r="A1276" s="7">
        <f>Sheet4!A1255</f>
        <v>1254</v>
      </c>
      <c r="B1276" t="str">
        <f>Sheet4!B1255</f>
        <v>PGB</v>
      </c>
      <c r="C1276" t="str">
        <f>Sheet4!C1254</f>
        <v>Dầu khí Đông Đô</v>
      </c>
      <c r="D1276" t="str">
        <f>Sheet4!D1255</f>
        <v>UPCoM</v>
      </c>
      <c r="E1276" s="7">
        <f>Sheet4!AH1255/1000000000</f>
        <v>7336.5474890679998</v>
      </c>
      <c r="F1276" t="str">
        <f>Sheet4!E1255</f>
        <v>Ngân hàng</v>
      </c>
      <c r="G1276" t="str">
        <f>Sheet4!F1255</f>
        <v>Ngân hàng</v>
      </c>
      <c r="H1276" t="str">
        <f>Sheet4!G1255</f>
        <v>Ngân hàng</v>
      </c>
      <c r="I1276" s="9" cm="1">
        <f t="array" ref="I127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521.51900000000001</v>
      </c>
      <c r="J1276" s="9" cm="1">
        <f t="array" ref="J127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979.06500000000005</v>
      </c>
      <c r="K1276" s="10" cm="1">
        <f t="array" ref="K127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0.10514961888031116</v>
      </c>
      <c r="L1276" s="10" cm="1">
        <f t="array" ref="L127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5.2566791626037945E-2</v>
      </c>
      <c r="M1276" s="9" cm="1">
        <f t="array" ref="M1276">_xlfn.LET(_xlpm.val,IFERROR(INDEX(Sheet4!$2:$1605,MATCH(ChiTietKQKD[[#This Row],[Mã CP]],Sheet4!$B$2:$B$1605,0),_xlfn.XMATCH("*Lợi nhuận sau thuế*Q2*2026*",Sheet4!$1:$1,2)),0),IF(OR(_xlpm.val="",_xlpm.val=0),"",_xlpm.val/1000000000))</f>
        <v>131.19999999999999</v>
      </c>
      <c r="N1276" s="9" cm="1">
        <f t="array" ref="N1276">_xlfn.LET(_xlpm.val,IFERROR(INDEX(Sheet4!$2:$1605,MATCH(ChiTietKQKD[[#This Row],[Mã CP]],Sheet4!$B$2:$B$1605,0),_xlfn.XMATCH("*Lợi nhuận sau thuế*6 tháng*2026*",Sheet4!$1:$1,2)),0),IF(OR(_xlpm.val="",_xlpm.val=0),"",_xlpm.val/1000000000))</f>
        <v>351.56599999999997</v>
      </c>
      <c r="O1276" s="10" cm="1">
        <f t="array" ref="O1276">IFERROR(INDEX(Sheet4!$2:$1605,MATCH(ChiTietKQKD[[#This Row],[Mã CP]],Sheet4!$B$2:$B$1605,0),_xlfn.XMATCH("*Tăng trưởng lợi nhuận sau thuế (YoY) (Quý*",Sheet4!$1:$1,2)),"")</f>
        <v>-2.87E-2</v>
      </c>
      <c r="P1276" s="10" cm="1">
        <f t="array" ref="P1276">IFERROR(INDEX(Sheet4!$2:$1605,MATCH(ChiTietKQKD[[#This Row],[Mã CP]],Sheet4!$B$2:$B$1605,0),_xlfn.XMATCH("*Tăng trưởng lợi nhuận sau thuế (YoY) (6M)*",Sheet4!$1:$1,2)),"")</f>
        <v>0</v>
      </c>
      <c r="Q1276" s="10" cm="1">
        <f t="array" ref="Q1276">IFERROR(INDEX(Sheet4!$2:$1605,MATCH(ChiTietKQKD[[#This Row],[Mã CP]],Sheet4!$B$2:$B$1605,0),_xlfn.XMATCH("*Tăng trưởng doanh thu thuần (QoQ)*",Sheet4!$1:$1,2)),"")</f>
        <v>0.11749999999999999</v>
      </c>
      <c r="R1276" s="10" cm="1">
        <f t="array" ref="R1276">IFERROR(INDEX(Sheet4!$2:$1605,MATCH(ChiTietKQKD[[#This Row],[Mã CP]],Sheet4!$B$2:$B$1605,0),_xlfn.XMATCH("*Tăng trưởng lợi nhuận sau thuế (QoQ)*",Sheet4!$1:$1,2)),"")</f>
        <v>-0.40460000000000002</v>
      </c>
    </row>
    <row r="1277" spans="1:18" x14ac:dyDescent="0.25">
      <c r="A1277" s="7">
        <f>Sheet4!A1256</f>
        <v>1255</v>
      </c>
      <c r="B1277" t="str">
        <f>Sheet4!B1256</f>
        <v>PHH</v>
      </c>
      <c r="C1277" t="str">
        <f>Sheet4!C1255</f>
        <v>PG Bank</v>
      </c>
      <c r="D1277" t="str">
        <f>Sheet4!D1256</f>
        <v>UPCoM</v>
      </c>
      <c r="E1277" s="7">
        <f>Sheet4!AH1256/1000000000</f>
        <v>81.45</v>
      </c>
      <c r="F1277" t="str">
        <f>Sheet4!E1256</f>
        <v>Công nghiệp</v>
      </c>
      <c r="G1277" t="str">
        <f>Sheet4!F1256</f>
        <v>Xây dựng và Vật liệu</v>
      </c>
      <c r="H1277" t="str">
        <f>Sheet4!G1256</f>
        <v>Xây dựng</v>
      </c>
      <c r="I1277" s="9" t="str" cm="1">
        <f t="array" ref="I127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77" s="9" t="str" cm="1">
        <f t="array" ref="J127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77" s="10" cm="1">
        <f t="array" ref="K127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77" s="10" cm="1">
        <f t="array" ref="L127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77" s="9" t="str" cm="1">
        <f t="array" ref="M127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77" s="9" t="str" cm="1">
        <f t="array" ref="N127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77" s="10" cm="1">
        <f t="array" ref="O1277">IFERROR(INDEX(Sheet4!$2:$1605,MATCH(ChiTietKQKD[[#This Row],[Mã CP]],Sheet4!$B$2:$B$1605,0),_xlfn.XMATCH("*Tăng trưởng lợi nhuận sau thuế (YoY) (Quý*",Sheet4!$1:$1,2)),"")</f>
        <v>0</v>
      </c>
      <c r="P1277" s="10" cm="1">
        <f t="array" ref="P1277">IFERROR(INDEX(Sheet4!$2:$1605,MATCH(ChiTietKQKD[[#This Row],[Mã CP]],Sheet4!$B$2:$B$1605,0),_xlfn.XMATCH("*Tăng trưởng lợi nhuận sau thuế (YoY) (6M)*",Sheet4!$1:$1,2)),"")</f>
        <v>0</v>
      </c>
      <c r="Q1277" s="10" cm="1">
        <f t="array" ref="Q1277">IFERROR(INDEX(Sheet4!$2:$1605,MATCH(ChiTietKQKD[[#This Row],[Mã CP]],Sheet4!$B$2:$B$1605,0),_xlfn.XMATCH("*Tăng trưởng doanh thu thuần (QoQ)*",Sheet4!$1:$1,2)),"")</f>
        <v>0</v>
      </c>
      <c r="R1277" s="10" cm="1">
        <f t="array" ref="R1277">IFERROR(INDEX(Sheet4!$2:$1605,MATCH(ChiTietKQKD[[#This Row],[Mã CP]],Sheet4!$B$2:$B$1605,0),_xlfn.XMATCH("*Tăng trưởng lợi nhuận sau thuế (QoQ)*",Sheet4!$1:$1,2)),"")</f>
        <v>0</v>
      </c>
    </row>
    <row r="1278" spans="1:18" x14ac:dyDescent="0.25">
      <c r="A1278" s="7">
        <f>Sheet4!A1257</f>
        <v>1256</v>
      </c>
      <c r="B1278" t="str">
        <f>Sheet4!B1257</f>
        <v>PHP</v>
      </c>
      <c r="C1278" t="str">
        <f>Sheet4!C1256</f>
        <v>Hồng Hà Việt Nam</v>
      </c>
      <c r="D1278" t="str">
        <f>Sheet4!D1257</f>
        <v>UPCoM</v>
      </c>
      <c r="E1278" s="7">
        <f>Sheet4!AH1257/1000000000</f>
        <v>12038.99416</v>
      </c>
      <c r="F1278" t="str">
        <f>Sheet4!E1257</f>
        <v>Công nghiệp</v>
      </c>
      <c r="G1278" t="str">
        <f>Sheet4!F1257</f>
        <v>Hàng &amp; Dịch vụ Công nghiệp</v>
      </c>
      <c r="H1278" t="str">
        <f>Sheet4!G1257</f>
        <v>Kho bãi, hậu cần và bảo dưỡng</v>
      </c>
      <c r="I1278" s="9" t="str" cm="1">
        <f t="array" ref="I127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78" s="9" t="str" cm="1">
        <f t="array" ref="J127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78" s="10" cm="1">
        <f t="array" ref="K127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78" s="10" cm="1">
        <f t="array" ref="L127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78" s="9" t="str" cm="1">
        <f t="array" ref="M127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78" s="9" t="str" cm="1">
        <f t="array" ref="N127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78" s="10" cm="1">
        <f t="array" ref="O1278">IFERROR(INDEX(Sheet4!$2:$1605,MATCH(ChiTietKQKD[[#This Row],[Mã CP]],Sheet4!$B$2:$B$1605,0),_xlfn.XMATCH("*Tăng trưởng lợi nhuận sau thuế (YoY) (Quý*",Sheet4!$1:$1,2)),"")</f>
        <v>0</v>
      </c>
      <c r="P1278" s="10" cm="1">
        <f t="array" ref="P1278">IFERROR(INDEX(Sheet4!$2:$1605,MATCH(ChiTietKQKD[[#This Row],[Mã CP]],Sheet4!$B$2:$B$1605,0),_xlfn.XMATCH("*Tăng trưởng lợi nhuận sau thuế (YoY) (6M)*",Sheet4!$1:$1,2)),"")</f>
        <v>0</v>
      </c>
      <c r="Q1278" s="10" cm="1">
        <f t="array" ref="Q1278">IFERROR(INDEX(Sheet4!$2:$1605,MATCH(ChiTietKQKD[[#This Row],[Mã CP]],Sheet4!$B$2:$B$1605,0),_xlfn.XMATCH("*Tăng trưởng doanh thu thuần (QoQ)*",Sheet4!$1:$1,2)),"")</f>
        <v>0</v>
      </c>
      <c r="R1278" s="10" cm="1">
        <f t="array" ref="R1278">IFERROR(INDEX(Sheet4!$2:$1605,MATCH(ChiTietKQKD[[#This Row],[Mã CP]],Sheet4!$B$2:$B$1605,0),_xlfn.XMATCH("*Tăng trưởng lợi nhuận sau thuế (QoQ)*",Sheet4!$1:$1,2)),"")</f>
        <v>0</v>
      </c>
    </row>
    <row r="1279" spans="1:18" x14ac:dyDescent="0.25">
      <c r="A1279" s="7">
        <f>Sheet4!A1258</f>
        <v>1257</v>
      </c>
      <c r="B1279" t="str">
        <f>Sheet4!B1258</f>
        <v>PHS</v>
      </c>
      <c r="C1279" t="str">
        <f>Sheet4!C1257</f>
        <v>Cảng Hải Phòng</v>
      </c>
      <c r="D1279" t="str">
        <f>Sheet4!D1258</f>
        <v>UPCoM</v>
      </c>
      <c r="E1279" s="7">
        <f>Sheet4!AH1258/1000000000</f>
        <v>2160.1007531999999</v>
      </c>
      <c r="F1279" t="str">
        <f>Sheet4!E1258</f>
        <v>Tài chính</v>
      </c>
      <c r="G1279" t="str">
        <f>Sheet4!F1258</f>
        <v>Dịch vụ tài chính</v>
      </c>
      <c r="H1279" t="str">
        <f>Sheet4!G1258</f>
        <v>Môi giới chứng khoán</v>
      </c>
      <c r="I1279" s="9" cm="1">
        <f t="array" ref="I127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178.22764302300001</v>
      </c>
      <c r="J1279" s="9" cm="1">
        <f t="array" ref="J127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352.43152383799998</v>
      </c>
      <c r="K1279" s="10" cm="1">
        <f t="array" ref="K127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0.27650000000000002</v>
      </c>
      <c r="L1279" s="10" cm="1">
        <f t="array" ref="L127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0.40050000000000002</v>
      </c>
      <c r="M1279" s="9" cm="1">
        <f t="array" ref="M1279">_xlfn.LET(_xlpm.val,IFERROR(INDEX(Sheet4!$2:$1605,MATCH(ChiTietKQKD[[#This Row],[Mã CP]],Sheet4!$B$2:$B$1605,0),_xlfn.XMATCH("*Lợi nhuận sau thuế*Q2*2026*",Sheet4!$1:$1,2)),0),IF(OR(_xlpm.val="",_xlpm.val=0),"",_xlpm.val/1000000000))</f>
        <v>9.3426234509999997</v>
      </c>
      <c r="N1279" s="9" cm="1">
        <f t="array" ref="N1279">_xlfn.LET(_xlpm.val,IFERROR(INDEX(Sheet4!$2:$1605,MATCH(ChiTietKQKD[[#This Row],[Mã CP]],Sheet4!$B$2:$B$1605,0),_xlfn.XMATCH("*Lợi nhuận sau thuế*6 tháng*2026*",Sheet4!$1:$1,2)),0),IF(OR(_xlpm.val="",_xlpm.val=0),"",_xlpm.val/1000000000))</f>
        <v>12.850168164999999</v>
      </c>
      <c r="O1279" s="10" cm="1">
        <f t="array" ref="O1279">IFERROR(INDEX(Sheet4!$2:$1605,MATCH(ChiTietKQKD[[#This Row],[Mã CP]],Sheet4!$B$2:$B$1605,0),_xlfn.XMATCH("*Tăng trưởng lợi nhuận sau thuế (YoY) (Quý*",Sheet4!$1:$1,2)),"")</f>
        <v>-0.40039999999999998</v>
      </c>
      <c r="P1279" s="10" cm="1">
        <f t="array" ref="P1279">IFERROR(INDEX(Sheet4!$2:$1605,MATCH(ChiTietKQKD[[#This Row],[Mã CP]],Sheet4!$B$2:$B$1605,0),_xlfn.XMATCH("*Tăng trưởng lợi nhuận sau thuế (YoY) (6M)*",Sheet4!$1:$1,2)),"")</f>
        <v>-0.57850000000000001</v>
      </c>
      <c r="Q1279" s="10" cm="1">
        <f t="array" ref="Q1279">IFERROR(INDEX(Sheet4!$2:$1605,MATCH(ChiTietKQKD[[#This Row],[Mã CP]],Sheet4!$B$2:$B$1605,0),_xlfn.XMATCH("*Tăng trưởng doanh thu thuần (QoQ)*",Sheet4!$1:$1,2)),"")</f>
        <v>2.3099999999999999E-2</v>
      </c>
      <c r="R1279" s="10" cm="1">
        <f t="array" ref="R1279">IFERROR(INDEX(Sheet4!$2:$1605,MATCH(ChiTietKQKD[[#This Row],[Mã CP]],Sheet4!$B$2:$B$1605,0),_xlfn.XMATCH("*Tăng trưởng lợi nhuận sau thuế (QoQ)*",Sheet4!$1:$1,2)),"")</f>
        <v>1.6636</v>
      </c>
    </row>
    <row r="1280" spans="1:18" x14ac:dyDescent="0.25">
      <c r="A1280" s="7">
        <f>Sheet4!A1259</f>
        <v>1258</v>
      </c>
      <c r="B1280" t="str">
        <f>Sheet4!B1259</f>
        <v>PID</v>
      </c>
      <c r="C1280" t="str">
        <f>Sheet4!C1258</f>
        <v>Chứng khoán Phú Hưng</v>
      </c>
      <c r="D1280" t="str">
        <f>Sheet4!D1259</f>
        <v>UPCoM</v>
      </c>
      <c r="E1280" s="7">
        <f>Sheet4!AH1259/1000000000</f>
        <v>11.2</v>
      </c>
      <c r="F1280" t="str">
        <f>Sheet4!E1259</f>
        <v>Công nghiệp</v>
      </c>
      <c r="G1280" t="str">
        <f>Sheet4!F1259</f>
        <v>Xây dựng và Vật liệu</v>
      </c>
      <c r="H1280" t="str">
        <f>Sheet4!G1259</f>
        <v>Vật liệu xây dựng &amp; Nội thất</v>
      </c>
      <c r="I1280" s="9" t="str" cm="1">
        <f t="array" ref="I128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80" s="9" t="str" cm="1">
        <f t="array" ref="J128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80" s="10" cm="1">
        <f t="array" ref="K128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80" s="10" cm="1">
        <f t="array" ref="L128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80" s="9" t="str" cm="1">
        <f t="array" ref="M128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80" s="9" t="str" cm="1">
        <f t="array" ref="N128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80" s="10" cm="1">
        <f t="array" ref="O1280">IFERROR(INDEX(Sheet4!$2:$1605,MATCH(ChiTietKQKD[[#This Row],[Mã CP]],Sheet4!$B$2:$B$1605,0),_xlfn.XMATCH("*Tăng trưởng lợi nhuận sau thuế (YoY) (Quý*",Sheet4!$1:$1,2)),"")</f>
        <v>0</v>
      </c>
      <c r="P1280" s="10" cm="1">
        <f t="array" ref="P1280">IFERROR(INDEX(Sheet4!$2:$1605,MATCH(ChiTietKQKD[[#This Row],[Mã CP]],Sheet4!$B$2:$B$1605,0),_xlfn.XMATCH("*Tăng trưởng lợi nhuận sau thuế (YoY) (6M)*",Sheet4!$1:$1,2)),"")</f>
        <v>0</v>
      </c>
      <c r="Q1280" s="10" cm="1">
        <f t="array" ref="Q1280">IFERROR(INDEX(Sheet4!$2:$1605,MATCH(ChiTietKQKD[[#This Row],[Mã CP]],Sheet4!$B$2:$B$1605,0),_xlfn.XMATCH("*Tăng trưởng doanh thu thuần (QoQ)*",Sheet4!$1:$1,2)),"")</f>
        <v>0</v>
      </c>
      <c r="R1280" s="10" cm="1">
        <f t="array" ref="R1280">IFERROR(INDEX(Sheet4!$2:$1605,MATCH(ChiTietKQKD[[#This Row],[Mã CP]],Sheet4!$B$2:$B$1605,0),_xlfn.XMATCH("*Tăng trưởng lợi nhuận sau thuế (QoQ)*",Sheet4!$1:$1,2)),"")</f>
        <v>0</v>
      </c>
    </row>
    <row r="1281" spans="1:18" x14ac:dyDescent="0.25">
      <c r="A1281" s="7">
        <f>Sheet4!A1260</f>
        <v>1259</v>
      </c>
      <c r="B1281" t="str">
        <f>Sheet4!B1260</f>
        <v>PIS</v>
      </c>
      <c r="C1281" t="str">
        <f>Sheet4!C1259</f>
        <v>Trang trí nội thất Dầu khí</v>
      </c>
      <c r="D1281" t="str">
        <f>Sheet4!D1260</f>
        <v>UPCoM</v>
      </c>
      <c r="E1281" s="7">
        <f>Sheet4!AH1260/1000000000</f>
        <v>316.25</v>
      </c>
      <c r="F1281" t="str">
        <f>Sheet4!E1260</f>
        <v>Nguyên vật liệu</v>
      </c>
      <c r="G1281" t="str">
        <f>Sheet4!F1260</f>
        <v>Tài nguyên Cơ bản</v>
      </c>
      <c r="H1281" t="str">
        <f>Sheet4!G1260</f>
        <v>Lâm sản và Chế biến gỗ</v>
      </c>
      <c r="I1281" s="9" t="str" cm="1">
        <f t="array" ref="I128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81" s="9" t="str" cm="1">
        <f t="array" ref="J128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81" s="10" cm="1">
        <f t="array" ref="K128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81" s="10" cm="1">
        <f t="array" ref="L128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81" s="9" t="str" cm="1">
        <f t="array" ref="M128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81" s="9" t="str" cm="1">
        <f t="array" ref="N128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81" s="10" cm="1">
        <f t="array" ref="O1281">IFERROR(INDEX(Sheet4!$2:$1605,MATCH(ChiTietKQKD[[#This Row],[Mã CP]],Sheet4!$B$2:$B$1605,0),_xlfn.XMATCH("*Tăng trưởng lợi nhuận sau thuế (YoY) (Quý*",Sheet4!$1:$1,2)),"")</f>
        <v>0</v>
      </c>
      <c r="P1281" s="10" cm="1">
        <f t="array" ref="P1281">IFERROR(INDEX(Sheet4!$2:$1605,MATCH(ChiTietKQKD[[#This Row],[Mã CP]],Sheet4!$B$2:$B$1605,0),_xlfn.XMATCH("*Tăng trưởng lợi nhuận sau thuế (YoY) (6M)*",Sheet4!$1:$1,2)),"")</f>
        <v>0</v>
      </c>
      <c r="Q1281" s="10" cm="1">
        <f t="array" ref="Q1281">IFERROR(INDEX(Sheet4!$2:$1605,MATCH(ChiTietKQKD[[#This Row],[Mã CP]],Sheet4!$B$2:$B$1605,0),_xlfn.XMATCH("*Tăng trưởng doanh thu thuần (QoQ)*",Sheet4!$1:$1,2)),"")</f>
        <v>0</v>
      </c>
      <c r="R1281" s="10" cm="1">
        <f t="array" ref="R1281">IFERROR(INDEX(Sheet4!$2:$1605,MATCH(ChiTietKQKD[[#This Row],[Mã CP]],Sheet4!$B$2:$B$1605,0),_xlfn.XMATCH("*Tăng trưởng lợi nhuận sau thuế (QoQ)*",Sheet4!$1:$1,2)),"")</f>
        <v>0</v>
      </c>
    </row>
    <row r="1282" spans="1:18" x14ac:dyDescent="0.25">
      <c r="A1282" s="7">
        <f>Sheet4!A1261</f>
        <v>1260</v>
      </c>
      <c r="B1282" t="str">
        <f>Sheet4!B1261</f>
        <v>PIV</v>
      </c>
      <c r="C1282" t="str">
        <f>Sheet4!C1260</f>
        <v>Pisico Bình Định</v>
      </c>
      <c r="D1282" t="str">
        <f>Sheet4!D1261</f>
        <v>UPCoM</v>
      </c>
      <c r="E1282" s="7">
        <f>Sheet4!AH1261/1000000000</f>
        <v>102.33843239399999</v>
      </c>
      <c r="F1282" t="str">
        <f>Sheet4!E1261</f>
        <v>Tài chính</v>
      </c>
      <c r="G1282" t="str">
        <f>Sheet4!F1261</f>
        <v>Bất động sản</v>
      </c>
      <c r="H1282" t="str">
        <f>Sheet4!G1261</f>
        <v>Tư Vấn, Định giá, Môi giới Bất động sản</v>
      </c>
      <c r="I1282" s="9" t="str" cm="1">
        <f t="array" ref="I128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82" s="9" t="str" cm="1">
        <f t="array" ref="J128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82" s="10" cm="1">
        <f t="array" ref="K128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82" s="10" cm="1">
        <f t="array" ref="L128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82" s="9" t="str" cm="1">
        <f t="array" ref="M128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82" s="9" t="str" cm="1">
        <f t="array" ref="N128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82" s="10" cm="1">
        <f t="array" ref="O1282">IFERROR(INDEX(Sheet4!$2:$1605,MATCH(ChiTietKQKD[[#This Row],[Mã CP]],Sheet4!$B$2:$B$1605,0),_xlfn.XMATCH("*Tăng trưởng lợi nhuận sau thuế (YoY) (Quý*",Sheet4!$1:$1,2)),"")</f>
        <v>0</v>
      </c>
      <c r="P1282" s="10" cm="1">
        <f t="array" ref="P1282">IFERROR(INDEX(Sheet4!$2:$1605,MATCH(ChiTietKQKD[[#This Row],[Mã CP]],Sheet4!$B$2:$B$1605,0),_xlfn.XMATCH("*Tăng trưởng lợi nhuận sau thuế (YoY) (6M)*",Sheet4!$1:$1,2)),"")</f>
        <v>0</v>
      </c>
      <c r="Q1282" s="10" cm="1">
        <f t="array" ref="Q1282">IFERROR(INDEX(Sheet4!$2:$1605,MATCH(ChiTietKQKD[[#This Row],[Mã CP]],Sheet4!$B$2:$B$1605,0),_xlfn.XMATCH("*Tăng trưởng doanh thu thuần (QoQ)*",Sheet4!$1:$1,2)),"")</f>
        <v>0</v>
      </c>
      <c r="R1282" s="10" cm="1">
        <f t="array" ref="R1282">IFERROR(INDEX(Sheet4!$2:$1605,MATCH(ChiTietKQKD[[#This Row],[Mã CP]],Sheet4!$B$2:$B$1605,0),_xlfn.XMATCH("*Tăng trưởng lợi nhuận sau thuế (QoQ)*",Sheet4!$1:$1,2)),"")</f>
        <v>0</v>
      </c>
    </row>
    <row r="1283" spans="1:18" x14ac:dyDescent="0.25">
      <c r="A1283" s="7">
        <f>Sheet4!A1262</f>
        <v>1261</v>
      </c>
      <c r="B1283" t="str">
        <f>Sheet4!B1262</f>
        <v>PJS</v>
      </c>
      <c r="C1283" t="str">
        <f>Sheet4!C1261</f>
        <v>PIV JSC</v>
      </c>
      <c r="D1283" t="str">
        <f>Sheet4!D1262</f>
        <v>UPCoM</v>
      </c>
      <c r="E1283" s="7">
        <f>Sheet4!AH1262/1000000000</f>
        <v>228.6</v>
      </c>
      <c r="F1283" t="str">
        <f>Sheet4!E1262</f>
        <v>Tiện ích Cộng đồng</v>
      </c>
      <c r="G1283" t="str">
        <f>Sheet4!F1262</f>
        <v>Điện, nước &amp; xăng dầu khí đốt</v>
      </c>
      <c r="H1283" t="str">
        <f>Sheet4!G1262</f>
        <v>Nước</v>
      </c>
      <c r="I1283" s="9" t="str" cm="1">
        <f t="array" ref="I128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83" s="9" t="str" cm="1">
        <f t="array" ref="J128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83" s="10" cm="1">
        <f t="array" ref="K128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83" s="10" cm="1">
        <f t="array" ref="L128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83" s="9" t="str" cm="1">
        <f t="array" ref="M128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83" s="9" t="str" cm="1">
        <f t="array" ref="N128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83" s="10" cm="1">
        <f t="array" ref="O1283">IFERROR(INDEX(Sheet4!$2:$1605,MATCH(ChiTietKQKD[[#This Row],[Mã CP]],Sheet4!$B$2:$B$1605,0),_xlfn.XMATCH("*Tăng trưởng lợi nhuận sau thuế (YoY) (Quý*",Sheet4!$1:$1,2)),"")</f>
        <v>0</v>
      </c>
      <c r="P1283" s="10" cm="1">
        <f t="array" ref="P1283">IFERROR(INDEX(Sheet4!$2:$1605,MATCH(ChiTietKQKD[[#This Row],[Mã CP]],Sheet4!$B$2:$B$1605,0),_xlfn.XMATCH("*Tăng trưởng lợi nhuận sau thuế (YoY) (6M)*",Sheet4!$1:$1,2)),"")</f>
        <v>0</v>
      </c>
      <c r="Q1283" s="10" cm="1">
        <f t="array" ref="Q1283">IFERROR(INDEX(Sheet4!$2:$1605,MATCH(ChiTietKQKD[[#This Row],[Mã CP]],Sheet4!$B$2:$B$1605,0),_xlfn.XMATCH("*Tăng trưởng doanh thu thuần (QoQ)*",Sheet4!$1:$1,2)),"")</f>
        <v>0</v>
      </c>
      <c r="R1283" s="10" cm="1">
        <f t="array" ref="R1283">IFERROR(INDEX(Sheet4!$2:$1605,MATCH(ChiTietKQKD[[#This Row],[Mã CP]],Sheet4!$B$2:$B$1605,0),_xlfn.XMATCH("*Tăng trưởng lợi nhuận sau thuế (QoQ)*",Sheet4!$1:$1,2)),"")</f>
        <v>0</v>
      </c>
    </row>
    <row r="1284" spans="1:18" x14ac:dyDescent="0.25">
      <c r="A1284" s="7">
        <f>Sheet4!A1263</f>
        <v>1262</v>
      </c>
      <c r="B1284" t="str">
        <f>Sheet4!B1263</f>
        <v>PLA</v>
      </c>
      <c r="C1284" t="str">
        <f>Sheet4!C1262</f>
        <v>Cấp nước Phú Hòa Tân</v>
      </c>
      <c r="D1284" t="str">
        <f>Sheet4!D1263</f>
        <v>UPCoM</v>
      </c>
      <c r="E1284" s="7">
        <f>Sheet4!AH1263/1000000000</f>
        <v>61</v>
      </c>
      <c r="F1284" t="str">
        <f>Sheet4!E1263</f>
        <v>Công nghiệp</v>
      </c>
      <c r="G1284" t="str">
        <f>Sheet4!F1263</f>
        <v>Xây dựng và Vật liệu</v>
      </c>
      <c r="H1284" t="str">
        <f>Sheet4!G1263</f>
        <v>Xây dựng</v>
      </c>
      <c r="I1284" s="9" t="str" cm="1">
        <f t="array" ref="I128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84" s="9" t="str" cm="1">
        <f t="array" ref="J128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84" s="10" cm="1">
        <f t="array" ref="K128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84" s="10" cm="1">
        <f t="array" ref="L128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84" s="9" t="str" cm="1">
        <f t="array" ref="M128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84" s="9" t="str" cm="1">
        <f t="array" ref="N128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84" s="10" cm="1">
        <f t="array" ref="O1284">IFERROR(INDEX(Sheet4!$2:$1605,MATCH(ChiTietKQKD[[#This Row],[Mã CP]],Sheet4!$B$2:$B$1605,0),_xlfn.XMATCH("*Tăng trưởng lợi nhuận sau thuế (YoY) (Quý*",Sheet4!$1:$1,2)),"")</f>
        <v>0</v>
      </c>
      <c r="P1284" s="10" cm="1">
        <f t="array" ref="P1284">IFERROR(INDEX(Sheet4!$2:$1605,MATCH(ChiTietKQKD[[#This Row],[Mã CP]],Sheet4!$B$2:$B$1605,0),_xlfn.XMATCH("*Tăng trưởng lợi nhuận sau thuế (YoY) (6M)*",Sheet4!$1:$1,2)),"")</f>
        <v>0</v>
      </c>
      <c r="Q1284" s="10" cm="1">
        <f t="array" ref="Q1284">IFERROR(INDEX(Sheet4!$2:$1605,MATCH(ChiTietKQKD[[#This Row],[Mã CP]],Sheet4!$B$2:$B$1605,0),_xlfn.XMATCH("*Tăng trưởng doanh thu thuần (QoQ)*",Sheet4!$1:$1,2)),"")</f>
        <v>0</v>
      </c>
      <c r="R1284" s="10" cm="1">
        <f t="array" ref="R1284">IFERROR(INDEX(Sheet4!$2:$1605,MATCH(ChiTietKQKD[[#This Row],[Mã CP]],Sheet4!$B$2:$B$1605,0),_xlfn.XMATCH("*Tăng trưởng lợi nhuận sau thuế (QoQ)*",Sheet4!$1:$1,2)),"")</f>
        <v>0</v>
      </c>
    </row>
    <row r="1285" spans="1:18" x14ac:dyDescent="0.25">
      <c r="A1285" s="7">
        <f>Sheet4!A1264</f>
        <v>1263</v>
      </c>
      <c r="B1285" t="str">
        <f>Sheet4!B1264</f>
        <v>PLE</v>
      </c>
      <c r="C1285" t="str">
        <f>Sheet4!C1263</f>
        <v>ĐT&amp;DV Hạ tầng Xăng dầu (PLAND)</v>
      </c>
      <c r="D1285" t="str">
        <f>Sheet4!D1264</f>
        <v>UPCoM</v>
      </c>
      <c r="E1285" s="7">
        <f>Sheet4!AH1264/1000000000</f>
        <v>75.9375</v>
      </c>
      <c r="F1285" t="str">
        <f>Sheet4!E1264</f>
        <v>Công nghiệp</v>
      </c>
      <c r="G1285" t="str">
        <f>Sheet4!F1264</f>
        <v>Xây dựng và Vật liệu</v>
      </c>
      <c r="H1285" t="str">
        <f>Sheet4!G1264</f>
        <v>Xây dựng</v>
      </c>
      <c r="I1285" s="9" t="str" cm="1">
        <f t="array" ref="I128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85" s="9" t="str" cm="1">
        <f t="array" ref="J128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85" s="10" cm="1">
        <f t="array" ref="K128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85" s="10" cm="1">
        <f t="array" ref="L128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85" s="9" t="str" cm="1">
        <f t="array" ref="M128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85" s="9" t="str" cm="1">
        <f t="array" ref="N128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85" s="10" cm="1">
        <f t="array" ref="O1285">IFERROR(INDEX(Sheet4!$2:$1605,MATCH(ChiTietKQKD[[#This Row],[Mã CP]],Sheet4!$B$2:$B$1605,0),_xlfn.XMATCH("*Tăng trưởng lợi nhuận sau thuế (YoY) (Quý*",Sheet4!$1:$1,2)),"")</f>
        <v>0</v>
      </c>
      <c r="P1285" s="10" cm="1">
        <f t="array" ref="P1285">IFERROR(INDEX(Sheet4!$2:$1605,MATCH(ChiTietKQKD[[#This Row],[Mã CP]],Sheet4!$B$2:$B$1605,0),_xlfn.XMATCH("*Tăng trưởng lợi nhuận sau thuế (YoY) (6M)*",Sheet4!$1:$1,2)),"")</f>
        <v>0</v>
      </c>
      <c r="Q1285" s="10" cm="1">
        <f t="array" ref="Q1285">IFERROR(INDEX(Sheet4!$2:$1605,MATCH(ChiTietKQKD[[#This Row],[Mã CP]],Sheet4!$B$2:$B$1605,0),_xlfn.XMATCH("*Tăng trưởng doanh thu thuần (QoQ)*",Sheet4!$1:$1,2)),"")</f>
        <v>0</v>
      </c>
      <c r="R1285" s="10" cm="1">
        <f t="array" ref="R1285">IFERROR(INDEX(Sheet4!$2:$1605,MATCH(ChiTietKQKD[[#This Row],[Mã CP]],Sheet4!$B$2:$B$1605,0),_xlfn.XMATCH("*Tăng trưởng lợi nhuận sau thuế (QoQ)*",Sheet4!$1:$1,2)),"")</f>
        <v>0</v>
      </c>
    </row>
    <row r="1286" spans="1:18" x14ac:dyDescent="0.25">
      <c r="A1286" s="7">
        <f>Sheet4!A1265</f>
        <v>1264</v>
      </c>
      <c r="B1286" t="str">
        <f>Sheet4!B1265</f>
        <v>PLO</v>
      </c>
      <c r="C1286" t="str">
        <f>Sheet4!C1264</f>
        <v>Tư vấn Xây dựng Petrolimex</v>
      </c>
      <c r="D1286" t="str">
        <f>Sheet4!D1265</f>
        <v>UPCoM</v>
      </c>
      <c r="E1286" s="7">
        <f>Sheet4!AH1265/1000000000</f>
        <v>29.489455</v>
      </c>
      <c r="F1286" t="str">
        <f>Sheet4!E1265</f>
        <v>Công nghiệp</v>
      </c>
      <c r="G1286" t="str">
        <f>Sheet4!F1265</f>
        <v>Hàng &amp; Dịch vụ Công nghiệp</v>
      </c>
      <c r="H1286" t="str">
        <f>Sheet4!G1265</f>
        <v>Kho bãi, hậu cần và bảo dưỡng</v>
      </c>
      <c r="I1286" s="9" t="str" cm="1">
        <f t="array" ref="I128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86" s="9" t="str" cm="1">
        <f t="array" ref="J128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86" s="10" cm="1">
        <f t="array" ref="K128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86" s="10" cm="1">
        <f t="array" ref="L128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86" s="9" t="str" cm="1">
        <f t="array" ref="M128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86" s="9" t="str" cm="1">
        <f t="array" ref="N128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86" s="10" cm="1">
        <f t="array" ref="O1286">IFERROR(INDEX(Sheet4!$2:$1605,MATCH(ChiTietKQKD[[#This Row],[Mã CP]],Sheet4!$B$2:$B$1605,0),_xlfn.XMATCH("*Tăng trưởng lợi nhuận sau thuế (YoY) (Quý*",Sheet4!$1:$1,2)),"")</f>
        <v>0</v>
      </c>
      <c r="P1286" s="10" cm="1">
        <f t="array" ref="P1286">IFERROR(INDEX(Sheet4!$2:$1605,MATCH(ChiTietKQKD[[#This Row],[Mã CP]],Sheet4!$B$2:$B$1605,0),_xlfn.XMATCH("*Tăng trưởng lợi nhuận sau thuế (YoY) (6M)*",Sheet4!$1:$1,2)),"")</f>
        <v>0</v>
      </c>
      <c r="Q1286" s="10" cm="1">
        <f t="array" ref="Q1286">IFERROR(INDEX(Sheet4!$2:$1605,MATCH(ChiTietKQKD[[#This Row],[Mã CP]],Sheet4!$B$2:$B$1605,0),_xlfn.XMATCH("*Tăng trưởng doanh thu thuần (QoQ)*",Sheet4!$1:$1,2)),"")</f>
        <v>0</v>
      </c>
      <c r="R1286" s="10" cm="1">
        <f t="array" ref="R1286">IFERROR(INDEX(Sheet4!$2:$1605,MATCH(ChiTietKQKD[[#This Row],[Mã CP]],Sheet4!$B$2:$B$1605,0),_xlfn.XMATCH("*Tăng trưởng lợi nhuận sau thuế (QoQ)*",Sheet4!$1:$1,2)),"")</f>
        <v>0</v>
      </c>
    </row>
    <row r="1287" spans="1:18" x14ac:dyDescent="0.25">
      <c r="A1287" s="7">
        <f>Sheet4!A1266</f>
        <v>1265</v>
      </c>
      <c r="B1287" t="str">
        <f>Sheet4!B1266</f>
        <v>PMJ</v>
      </c>
      <c r="C1287" t="str">
        <f>Sheet4!C1265</f>
        <v>Kho vận Petec</v>
      </c>
      <c r="D1287" t="str">
        <f>Sheet4!D1266</f>
        <v>UPCoM</v>
      </c>
      <c r="E1287" s="7">
        <f>Sheet4!AH1266/1000000000</f>
        <v>29.88</v>
      </c>
      <c r="F1287" t="str">
        <f>Sheet4!E1266</f>
        <v>Công nghệ Thông tin</v>
      </c>
      <c r="G1287" t="str">
        <f>Sheet4!F1266</f>
        <v>Công nghệ Thông tin</v>
      </c>
      <c r="H1287" t="str">
        <f>Sheet4!G1266</f>
        <v>Thiết bị viễn thông</v>
      </c>
      <c r="I1287" s="9" t="str" cm="1">
        <f t="array" ref="I128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87" s="9" t="str" cm="1">
        <f t="array" ref="J128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87" s="10" cm="1">
        <f t="array" ref="K128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87" s="10" cm="1">
        <f t="array" ref="L128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87" s="9" t="str" cm="1">
        <f t="array" ref="M128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87" s="9" t="str" cm="1">
        <f t="array" ref="N128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87" s="10" cm="1">
        <f t="array" ref="O1287">IFERROR(INDEX(Sheet4!$2:$1605,MATCH(ChiTietKQKD[[#This Row],[Mã CP]],Sheet4!$B$2:$B$1605,0),_xlfn.XMATCH("*Tăng trưởng lợi nhuận sau thuế (YoY) (Quý*",Sheet4!$1:$1,2)),"")</f>
        <v>0</v>
      </c>
      <c r="P1287" s="10" cm="1">
        <f t="array" ref="P1287">IFERROR(INDEX(Sheet4!$2:$1605,MATCH(ChiTietKQKD[[#This Row],[Mã CP]],Sheet4!$B$2:$B$1605,0),_xlfn.XMATCH("*Tăng trưởng lợi nhuận sau thuế (YoY) (6M)*",Sheet4!$1:$1,2)),"")</f>
        <v>0</v>
      </c>
      <c r="Q1287" s="10" cm="1">
        <f t="array" ref="Q1287">IFERROR(INDEX(Sheet4!$2:$1605,MATCH(ChiTietKQKD[[#This Row],[Mã CP]],Sheet4!$B$2:$B$1605,0),_xlfn.XMATCH("*Tăng trưởng doanh thu thuần (QoQ)*",Sheet4!$1:$1,2)),"")</f>
        <v>0</v>
      </c>
      <c r="R1287" s="10" cm="1">
        <f t="array" ref="R1287">IFERROR(INDEX(Sheet4!$2:$1605,MATCH(ChiTietKQKD[[#This Row],[Mã CP]],Sheet4!$B$2:$B$1605,0),_xlfn.XMATCH("*Tăng trưởng lợi nhuận sau thuế (QoQ)*",Sheet4!$1:$1,2)),"")</f>
        <v>0</v>
      </c>
    </row>
    <row r="1288" spans="1:18" x14ac:dyDescent="0.25">
      <c r="A1288" s="7">
        <f>Sheet4!A1267</f>
        <v>1266</v>
      </c>
      <c r="B1288" t="str">
        <f>Sheet4!B1267</f>
        <v>PMT</v>
      </c>
      <c r="C1288" t="str">
        <f>Sheet4!C1266</f>
        <v>Vật tư Bưu điện</v>
      </c>
      <c r="D1288" t="str">
        <f>Sheet4!D1267</f>
        <v>UPCoM</v>
      </c>
      <c r="E1288" s="7">
        <f>Sheet4!AH1267/1000000000</f>
        <v>32.603999999999999</v>
      </c>
      <c r="F1288" t="str">
        <f>Sheet4!E1267</f>
        <v>Công nghệ Thông tin</v>
      </c>
      <c r="G1288" t="str">
        <f>Sheet4!F1267</f>
        <v>Công nghệ Thông tin</v>
      </c>
      <c r="H1288" t="str">
        <f>Sheet4!G1267</f>
        <v>Thiết bị viễn thông</v>
      </c>
      <c r="I1288" s="9" t="str" cm="1">
        <f t="array" ref="I128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88" s="9" t="str" cm="1">
        <f t="array" ref="J128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88" s="10" cm="1">
        <f t="array" ref="K128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88" s="10" cm="1">
        <f t="array" ref="L128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88" s="9" t="str" cm="1">
        <f t="array" ref="M128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88" s="9" t="str" cm="1">
        <f t="array" ref="N128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88" s="10" cm="1">
        <f t="array" ref="O1288">IFERROR(INDEX(Sheet4!$2:$1605,MATCH(ChiTietKQKD[[#This Row],[Mã CP]],Sheet4!$B$2:$B$1605,0),_xlfn.XMATCH("*Tăng trưởng lợi nhuận sau thuế (YoY) (Quý*",Sheet4!$1:$1,2)),"")</f>
        <v>0</v>
      </c>
      <c r="P1288" s="10" cm="1">
        <f t="array" ref="P1288">IFERROR(INDEX(Sheet4!$2:$1605,MATCH(ChiTietKQKD[[#This Row],[Mã CP]],Sheet4!$B$2:$B$1605,0),_xlfn.XMATCH("*Tăng trưởng lợi nhuận sau thuế (YoY) (6M)*",Sheet4!$1:$1,2)),"")</f>
        <v>0</v>
      </c>
      <c r="Q1288" s="10" cm="1">
        <f t="array" ref="Q1288">IFERROR(INDEX(Sheet4!$2:$1605,MATCH(ChiTietKQKD[[#This Row],[Mã CP]],Sheet4!$B$2:$B$1605,0),_xlfn.XMATCH("*Tăng trưởng doanh thu thuần (QoQ)*",Sheet4!$1:$1,2)),"")</f>
        <v>0</v>
      </c>
      <c r="R1288" s="10" cm="1">
        <f t="array" ref="R1288">IFERROR(INDEX(Sheet4!$2:$1605,MATCH(ChiTietKQKD[[#This Row],[Mã CP]],Sheet4!$B$2:$B$1605,0),_xlfn.XMATCH("*Tăng trưởng lợi nhuận sau thuế (QoQ)*",Sheet4!$1:$1,2)),"")</f>
        <v>0</v>
      </c>
    </row>
    <row r="1289" spans="1:18" x14ac:dyDescent="0.25">
      <c r="A1289" s="7">
        <f>Sheet4!A1268</f>
        <v>1267</v>
      </c>
      <c r="B1289" t="str">
        <f>Sheet4!B1268</f>
        <v>PMW</v>
      </c>
      <c r="C1289" t="str">
        <f>Sheet4!C1267</f>
        <v>Telvina Việt Nam</v>
      </c>
      <c r="D1289" t="str">
        <f>Sheet4!D1268</f>
        <v>UPCoM</v>
      </c>
      <c r="E1289" s="7">
        <f>Sheet4!AH1268/1000000000</f>
        <v>1774.9940360000001</v>
      </c>
      <c r="F1289" t="str">
        <f>Sheet4!E1268</f>
        <v>Tiện ích Cộng đồng</v>
      </c>
      <c r="G1289" t="str">
        <f>Sheet4!F1268</f>
        <v>Điện, nước &amp; xăng dầu khí đốt</v>
      </c>
      <c r="H1289" t="str">
        <f>Sheet4!G1268</f>
        <v>Nước</v>
      </c>
      <c r="I1289" s="9" cm="1">
        <f t="array" ref="I128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103.957747994</v>
      </c>
      <c r="J1289" s="9" t="str" cm="1">
        <f t="array" ref="J128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89" s="10" cm="1">
        <f t="array" ref="K128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0.14799999999999999</v>
      </c>
      <c r="L1289" s="10" cm="1">
        <f t="array" ref="L128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0.1033</v>
      </c>
      <c r="M1289" s="9" cm="1">
        <f t="array" ref="M1289">_xlfn.LET(_xlpm.val,IFERROR(INDEX(Sheet4!$2:$1605,MATCH(ChiTietKQKD[[#This Row],[Mã CP]],Sheet4!$B$2:$B$1605,0),_xlfn.XMATCH("*Lợi nhuận sau thuế*Q2*2026*",Sheet4!$1:$1,2)),0),IF(OR(_xlpm.val="",_xlpm.val=0),"",_xlpm.val/1000000000))</f>
        <v>34.762363555999997</v>
      </c>
      <c r="N1289" s="9" t="str" cm="1">
        <f t="array" ref="N128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89" s="10" cm="1">
        <f t="array" ref="O1289">IFERROR(INDEX(Sheet4!$2:$1605,MATCH(ChiTietKQKD[[#This Row],[Mã CP]],Sheet4!$B$2:$B$1605,0),_xlfn.XMATCH("*Tăng trưởng lợi nhuận sau thuế (YoY) (Quý*",Sheet4!$1:$1,2)),"")</f>
        <v>0.71940000000000004</v>
      </c>
      <c r="P1289" s="10" cm="1">
        <f t="array" ref="P1289">IFERROR(INDEX(Sheet4!$2:$1605,MATCH(ChiTietKQKD[[#This Row],[Mã CP]],Sheet4!$B$2:$B$1605,0),_xlfn.XMATCH("*Tăng trưởng lợi nhuận sau thuế (YoY) (6M)*",Sheet4!$1:$1,2)),"")</f>
        <v>-6.1899999999999997E-2</v>
      </c>
      <c r="Q1289" s="10" cm="1">
        <f t="array" ref="Q1289">IFERROR(INDEX(Sheet4!$2:$1605,MATCH(ChiTietKQKD[[#This Row],[Mã CP]],Sheet4!$B$2:$B$1605,0),_xlfn.XMATCH("*Tăng trưởng doanh thu thuần (QoQ)*",Sheet4!$1:$1,2)),"")</f>
        <v>0.17069999999999999</v>
      </c>
      <c r="R1289" s="10" cm="1">
        <f t="array" ref="R1289">IFERROR(INDEX(Sheet4!$2:$1605,MATCH(ChiTietKQKD[[#This Row],[Mã CP]],Sheet4!$B$2:$B$1605,0),_xlfn.XMATCH("*Tăng trưởng lợi nhuận sau thuế (QoQ)*",Sheet4!$1:$1,2)),"")</f>
        <v>1.3091999999999999</v>
      </c>
    </row>
    <row r="1290" spans="1:18" x14ac:dyDescent="0.25">
      <c r="A1290" s="7">
        <f>Sheet4!A1269</f>
        <v>1268</v>
      </c>
      <c r="B1290" t="str">
        <f>Sheet4!B1269</f>
        <v>PND</v>
      </c>
      <c r="C1290" t="str">
        <f>Sheet4!C1268</f>
        <v>Cấp Nước Phú Mỹ</v>
      </c>
      <c r="D1290" t="str">
        <f>Sheet4!D1269</f>
        <v>UPCoM</v>
      </c>
      <c r="E1290" s="7">
        <f>Sheet4!AH1269/1000000000</f>
        <v>46.666662000000002</v>
      </c>
      <c r="F1290" t="str">
        <f>Sheet4!E1269</f>
        <v>Tiện ích Cộng đồng</v>
      </c>
      <c r="G1290" t="str">
        <f>Sheet4!F1269</f>
        <v>Điện, nước &amp; xăng dầu khí đốt</v>
      </c>
      <c r="H1290" t="str">
        <f>Sheet4!G1269</f>
        <v>Phân phối xăng dầu &amp; khí đốt</v>
      </c>
      <c r="I1290" s="9" t="str" cm="1">
        <f t="array" ref="I129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90" s="9" t="str" cm="1">
        <f t="array" ref="J129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90" s="10" cm="1">
        <f t="array" ref="K129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90" s="10" cm="1">
        <f t="array" ref="L129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90" s="9" t="str" cm="1">
        <f t="array" ref="M129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90" s="9" t="str" cm="1">
        <f t="array" ref="N129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90" s="10" cm="1">
        <f t="array" ref="O1290">IFERROR(INDEX(Sheet4!$2:$1605,MATCH(ChiTietKQKD[[#This Row],[Mã CP]],Sheet4!$B$2:$B$1605,0),_xlfn.XMATCH("*Tăng trưởng lợi nhuận sau thuế (YoY) (Quý*",Sheet4!$1:$1,2)),"")</f>
        <v>0</v>
      </c>
      <c r="P1290" s="10" cm="1">
        <f t="array" ref="P1290">IFERROR(INDEX(Sheet4!$2:$1605,MATCH(ChiTietKQKD[[#This Row],[Mã CP]],Sheet4!$B$2:$B$1605,0),_xlfn.XMATCH("*Tăng trưởng lợi nhuận sau thuế (YoY) (6M)*",Sheet4!$1:$1,2)),"")</f>
        <v>0</v>
      </c>
      <c r="Q1290" s="10" cm="1">
        <f t="array" ref="Q1290">IFERROR(INDEX(Sheet4!$2:$1605,MATCH(ChiTietKQKD[[#This Row],[Mã CP]],Sheet4!$B$2:$B$1605,0),_xlfn.XMATCH("*Tăng trưởng doanh thu thuần (QoQ)*",Sheet4!$1:$1,2)),"")</f>
        <v>0</v>
      </c>
      <c r="R1290" s="10" cm="1">
        <f t="array" ref="R1290">IFERROR(INDEX(Sheet4!$2:$1605,MATCH(ChiTietKQKD[[#This Row],[Mã CP]],Sheet4!$B$2:$B$1605,0),_xlfn.XMATCH("*Tăng trưởng lợi nhuận sau thuế (QoQ)*",Sheet4!$1:$1,2)),"")</f>
        <v>0</v>
      </c>
    </row>
    <row r="1291" spans="1:18" x14ac:dyDescent="0.25">
      <c r="A1291" s="7">
        <f>Sheet4!A1270</f>
        <v>1269</v>
      </c>
      <c r="B1291" t="str">
        <f>Sheet4!B1270</f>
        <v>PNG</v>
      </c>
      <c r="C1291" t="str">
        <f>Sheet4!C1269</f>
        <v>Xăng dầu Dầu khí Nam Định</v>
      </c>
      <c r="D1291" t="str">
        <f>Sheet4!D1270</f>
        <v>UPCoM</v>
      </c>
      <c r="E1291" s="7">
        <f>Sheet4!AH1270/1000000000</f>
        <v>405.9</v>
      </c>
      <c r="F1291" t="str">
        <f>Sheet4!E1270</f>
        <v>Dịch vụ Tiêu dùng</v>
      </c>
      <c r="G1291" t="str">
        <f>Sheet4!F1270</f>
        <v>Du lịch và Giải trí</v>
      </c>
      <c r="H1291" t="str">
        <f>Sheet4!G1270</f>
        <v>Nhà hàng và quán bar</v>
      </c>
      <c r="I1291" s="9" t="str" cm="1">
        <f t="array" ref="I129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91" s="9" t="str" cm="1">
        <f t="array" ref="J129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91" s="10" cm="1">
        <f t="array" ref="K129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91" s="10" cm="1">
        <f t="array" ref="L129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91" s="9" t="str" cm="1">
        <f t="array" ref="M129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91" s="9" t="str" cm="1">
        <f t="array" ref="N129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91" s="10" cm="1">
        <f t="array" ref="O1291">IFERROR(INDEX(Sheet4!$2:$1605,MATCH(ChiTietKQKD[[#This Row],[Mã CP]],Sheet4!$B$2:$B$1605,0),_xlfn.XMATCH("*Tăng trưởng lợi nhuận sau thuế (YoY) (Quý*",Sheet4!$1:$1,2)),"")</f>
        <v>0</v>
      </c>
      <c r="P1291" s="10" cm="1">
        <f t="array" ref="P1291">IFERROR(INDEX(Sheet4!$2:$1605,MATCH(ChiTietKQKD[[#This Row],[Mã CP]],Sheet4!$B$2:$B$1605,0),_xlfn.XMATCH("*Tăng trưởng lợi nhuận sau thuế (YoY) (6M)*",Sheet4!$1:$1,2)),"")</f>
        <v>0</v>
      </c>
      <c r="Q1291" s="10" cm="1">
        <f t="array" ref="Q1291">IFERROR(INDEX(Sheet4!$2:$1605,MATCH(ChiTietKQKD[[#This Row],[Mã CP]],Sheet4!$B$2:$B$1605,0),_xlfn.XMATCH("*Tăng trưởng doanh thu thuần (QoQ)*",Sheet4!$1:$1,2)),"")</f>
        <v>0</v>
      </c>
      <c r="R1291" s="10" cm="1">
        <f t="array" ref="R1291">IFERROR(INDEX(Sheet4!$2:$1605,MATCH(ChiTietKQKD[[#This Row],[Mã CP]],Sheet4!$B$2:$B$1605,0),_xlfn.XMATCH("*Tăng trưởng lợi nhuận sau thuế (QoQ)*",Sheet4!$1:$1,2)),"")</f>
        <v>0</v>
      </c>
    </row>
    <row r="1292" spans="1:18" x14ac:dyDescent="0.25">
      <c r="A1292" s="7">
        <f>Sheet4!A1271</f>
        <v>1270</v>
      </c>
      <c r="B1292" t="str">
        <f>Sheet4!B1271</f>
        <v>PNP</v>
      </c>
      <c r="C1292" t="str">
        <f>Sheet4!C1270</f>
        <v>Thương Mại Phú Nhuận</v>
      </c>
      <c r="D1292" t="str">
        <f>Sheet4!D1271</f>
        <v>UPCoM</v>
      </c>
      <c r="E1292" s="7">
        <f>Sheet4!AH1271/1000000000</f>
        <v>313.95</v>
      </c>
      <c r="F1292" t="str">
        <f>Sheet4!E1271</f>
        <v>Công nghiệp</v>
      </c>
      <c r="G1292" t="str">
        <f>Sheet4!F1271</f>
        <v>Hàng &amp; Dịch vụ Công nghiệp</v>
      </c>
      <c r="H1292" t="str">
        <f>Sheet4!G1271</f>
        <v>Vận tải Thủy</v>
      </c>
      <c r="I1292" s="9" cm="1">
        <f t="array" ref="I129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85.894279042999997</v>
      </c>
      <c r="J1292" s="9" cm="1">
        <f t="array" ref="J129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173.77688006100001</v>
      </c>
      <c r="K1292" s="10" cm="1">
        <f t="array" ref="K129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-4.6699999999999998E-2</v>
      </c>
      <c r="L1292" s="10" cm="1">
        <f t="array" ref="L129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92" s="9" cm="1">
        <f t="array" ref="M1292">_xlfn.LET(_xlpm.val,IFERROR(INDEX(Sheet4!$2:$1605,MATCH(ChiTietKQKD[[#This Row],[Mã CP]],Sheet4!$B$2:$B$1605,0),_xlfn.XMATCH("*Lợi nhuận sau thuế*Q2*2026*",Sheet4!$1:$1,2)),0),IF(OR(_xlpm.val="",_xlpm.val=0),"",_xlpm.val/1000000000))</f>
        <v>10.813338147</v>
      </c>
      <c r="N1292" s="9" cm="1">
        <f t="array" ref="N1292">_xlfn.LET(_xlpm.val,IFERROR(INDEX(Sheet4!$2:$1605,MATCH(ChiTietKQKD[[#This Row],[Mã CP]],Sheet4!$B$2:$B$1605,0),_xlfn.XMATCH("*Lợi nhuận sau thuế*6 tháng*2026*",Sheet4!$1:$1,2)),0),IF(OR(_xlpm.val="",_xlpm.val=0),"",_xlpm.val/1000000000))</f>
        <v>22.243719337000002</v>
      </c>
      <c r="O1292" s="10" cm="1">
        <f t="array" ref="O1292">IFERROR(INDEX(Sheet4!$2:$1605,MATCH(ChiTietKQKD[[#This Row],[Mã CP]],Sheet4!$B$2:$B$1605,0),_xlfn.XMATCH("*Tăng trưởng lợi nhuận sau thuế (YoY) (Quý*",Sheet4!$1:$1,2)),"")</f>
        <v>-7.3700000000000002E-2</v>
      </c>
      <c r="P1292" s="10" cm="1">
        <f t="array" ref="P1292">IFERROR(INDEX(Sheet4!$2:$1605,MATCH(ChiTietKQKD[[#This Row],[Mã CP]],Sheet4!$B$2:$B$1605,0),_xlfn.XMATCH("*Tăng trưởng lợi nhuận sau thuế (YoY) (6M)*",Sheet4!$1:$1,2)),"")</f>
        <v>0</v>
      </c>
      <c r="Q1292" s="10" cm="1">
        <f t="array" ref="Q1292">IFERROR(INDEX(Sheet4!$2:$1605,MATCH(ChiTietKQKD[[#This Row],[Mã CP]],Sheet4!$B$2:$B$1605,0),_xlfn.XMATCH("*Tăng trưởng doanh thu thuần (QoQ)*",Sheet4!$1:$1,2)),"")</f>
        <v>-2.2599999999999999E-2</v>
      </c>
      <c r="R1292" s="10" cm="1">
        <f t="array" ref="R1292">IFERROR(INDEX(Sheet4!$2:$1605,MATCH(ChiTietKQKD[[#This Row],[Mã CP]],Sheet4!$B$2:$B$1605,0),_xlfn.XMATCH("*Tăng trưởng lợi nhuận sau thuế (QoQ)*",Sheet4!$1:$1,2)),"")</f>
        <v>-5.3999999999999999E-2</v>
      </c>
    </row>
    <row r="1293" spans="1:18" x14ac:dyDescent="0.25">
      <c r="A1293" s="7">
        <f>Sheet4!A1272</f>
        <v>1271</v>
      </c>
      <c r="B1293" t="str">
        <f>Sheet4!B1272</f>
        <v>PNT</v>
      </c>
      <c r="C1293" t="str">
        <f>Sheet4!C1271</f>
        <v>Tân Cảng - Phú Hữu</v>
      </c>
      <c r="D1293" t="str">
        <f>Sheet4!D1272</f>
        <v>UPCoM</v>
      </c>
      <c r="E1293" s="7">
        <f>Sheet4!AH1272/1000000000</f>
        <v>78.899311999999995</v>
      </c>
      <c r="F1293" t="str">
        <f>Sheet4!E1272</f>
        <v>Công nghiệp</v>
      </c>
      <c r="G1293" t="str">
        <f>Sheet4!F1272</f>
        <v>Xây dựng và Vật liệu</v>
      </c>
      <c r="H1293" t="str">
        <f>Sheet4!G1272</f>
        <v>Xây dựng</v>
      </c>
      <c r="I1293" s="9" t="str" cm="1">
        <f t="array" ref="I129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93" s="9" t="str" cm="1">
        <f t="array" ref="J129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93" s="10" cm="1">
        <f t="array" ref="K129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93" s="10" cm="1">
        <f t="array" ref="L129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93" s="9" t="str" cm="1">
        <f t="array" ref="M129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93" s="9" t="str" cm="1">
        <f t="array" ref="N129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93" s="10" cm="1">
        <f t="array" ref="O1293">IFERROR(INDEX(Sheet4!$2:$1605,MATCH(ChiTietKQKD[[#This Row],[Mã CP]],Sheet4!$B$2:$B$1605,0),_xlfn.XMATCH("*Tăng trưởng lợi nhuận sau thuế (YoY) (Quý*",Sheet4!$1:$1,2)),"")</f>
        <v>0</v>
      </c>
      <c r="P1293" s="10" cm="1">
        <f t="array" ref="P1293">IFERROR(INDEX(Sheet4!$2:$1605,MATCH(ChiTietKQKD[[#This Row],[Mã CP]],Sheet4!$B$2:$B$1605,0),_xlfn.XMATCH("*Tăng trưởng lợi nhuận sau thuế (YoY) (6M)*",Sheet4!$1:$1,2)),"")</f>
        <v>0</v>
      </c>
      <c r="Q1293" s="10" cm="1">
        <f t="array" ref="Q1293">IFERROR(INDEX(Sheet4!$2:$1605,MATCH(ChiTietKQKD[[#This Row],[Mã CP]],Sheet4!$B$2:$B$1605,0),_xlfn.XMATCH("*Tăng trưởng doanh thu thuần (QoQ)*",Sheet4!$1:$1,2)),"")</f>
        <v>0</v>
      </c>
      <c r="R1293" s="10" cm="1">
        <f t="array" ref="R1293">IFERROR(INDEX(Sheet4!$2:$1605,MATCH(ChiTietKQKD[[#This Row],[Mã CP]],Sheet4!$B$2:$B$1605,0),_xlfn.XMATCH("*Tăng trưởng lợi nhuận sau thuế (QoQ)*",Sheet4!$1:$1,2)),"")</f>
        <v>0</v>
      </c>
    </row>
    <row r="1294" spans="1:18" x14ac:dyDescent="0.25">
      <c r="A1294" s="7">
        <f>Sheet4!A1273</f>
        <v>1272</v>
      </c>
      <c r="B1294" t="str">
        <f>Sheet4!B1273</f>
        <v>POB</v>
      </c>
      <c r="C1294" t="str">
        <f>Sheet4!C1272</f>
        <v>Kỹ thuật XD Phú Nhuận</v>
      </c>
      <c r="D1294" t="str">
        <f>Sheet4!D1273</f>
        <v>UPCoM</v>
      </c>
      <c r="E1294" s="7">
        <f>Sheet4!AH1273/1000000000</f>
        <v>501.4</v>
      </c>
      <c r="F1294" t="str">
        <f>Sheet4!E1273</f>
        <v>Tiện ích Cộng đồng</v>
      </c>
      <c r="G1294" t="str">
        <f>Sheet4!F1273</f>
        <v>Điện, nước &amp; xăng dầu khí đốt</v>
      </c>
      <c r="H1294" t="str">
        <f>Sheet4!G1273</f>
        <v>Phân phối xăng dầu &amp; khí đốt</v>
      </c>
      <c r="I1294" s="9" t="str" cm="1">
        <f t="array" ref="I129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94" s="9" t="str" cm="1">
        <f t="array" ref="J129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94" s="10" cm="1">
        <f t="array" ref="K129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94" s="10" cm="1">
        <f t="array" ref="L129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94" s="9" t="str" cm="1">
        <f t="array" ref="M129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94" s="9" t="str" cm="1">
        <f t="array" ref="N129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94" s="10" cm="1">
        <f t="array" ref="O1294">IFERROR(INDEX(Sheet4!$2:$1605,MATCH(ChiTietKQKD[[#This Row],[Mã CP]],Sheet4!$B$2:$B$1605,0),_xlfn.XMATCH("*Tăng trưởng lợi nhuận sau thuế (YoY) (Quý*",Sheet4!$1:$1,2)),"")</f>
        <v>0</v>
      </c>
      <c r="P1294" s="10" cm="1">
        <f t="array" ref="P1294">IFERROR(INDEX(Sheet4!$2:$1605,MATCH(ChiTietKQKD[[#This Row],[Mã CP]],Sheet4!$B$2:$B$1605,0),_xlfn.XMATCH("*Tăng trưởng lợi nhuận sau thuế (YoY) (6M)*",Sheet4!$1:$1,2)),"")</f>
        <v>0</v>
      </c>
      <c r="Q1294" s="10" cm="1">
        <f t="array" ref="Q1294">IFERROR(INDEX(Sheet4!$2:$1605,MATCH(ChiTietKQKD[[#This Row],[Mã CP]],Sheet4!$B$2:$B$1605,0),_xlfn.XMATCH("*Tăng trưởng doanh thu thuần (QoQ)*",Sheet4!$1:$1,2)),"")</f>
        <v>0</v>
      </c>
      <c r="R1294" s="10" cm="1">
        <f t="array" ref="R1294">IFERROR(INDEX(Sheet4!$2:$1605,MATCH(ChiTietKQKD[[#This Row],[Mã CP]],Sheet4!$B$2:$B$1605,0),_xlfn.XMATCH("*Tăng trưởng lợi nhuận sau thuế (QoQ)*",Sheet4!$1:$1,2)),"")</f>
        <v>0</v>
      </c>
    </row>
    <row r="1295" spans="1:18" x14ac:dyDescent="0.25">
      <c r="A1295" s="7">
        <f>Sheet4!A1274</f>
        <v>1273</v>
      </c>
      <c r="B1295" t="str">
        <f>Sheet4!B1274</f>
        <v>POM</v>
      </c>
      <c r="C1295" t="str">
        <f>Sheet4!C1273</f>
        <v>PVOIL Hưng Yên</v>
      </c>
      <c r="D1295" t="str">
        <f>Sheet4!D1274</f>
        <v>UPCoM</v>
      </c>
      <c r="E1295" s="7">
        <f>Sheet4!AH1274/1000000000</f>
        <v>863.48499260000006</v>
      </c>
      <c r="F1295" t="str">
        <f>Sheet4!E1274</f>
        <v>Nguyên vật liệu</v>
      </c>
      <c r="G1295" t="str">
        <f>Sheet4!F1274</f>
        <v>Tài nguyên Cơ bản</v>
      </c>
      <c r="H1295" t="str">
        <f>Sheet4!G1274</f>
        <v>Thép và sản phẩm thép</v>
      </c>
      <c r="I1295" s="9" t="str" cm="1">
        <f t="array" ref="I129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95" s="9" t="str" cm="1">
        <f t="array" ref="J129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95" s="10" cm="1">
        <f t="array" ref="K129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95" s="10" cm="1">
        <f t="array" ref="L129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95" s="9" t="str" cm="1">
        <f t="array" ref="M129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95" s="9" t="str" cm="1">
        <f t="array" ref="N129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95" s="10" cm="1">
        <f t="array" ref="O1295">IFERROR(INDEX(Sheet4!$2:$1605,MATCH(ChiTietKQKD[[#This Row],[Mã CP]],Sheet4!$B$2:$B$1605,0),_xlfn.XMATCH("*Tăng trưởng lợi nhuận sau thuế (YoY) (Quý*",Sheet4!$1:$1,2)),"")</f>
        <v>0</v>
      </c>
      <c r="P1295" s="10" cm="1">
        <f t="array" ref="P1295">IFERROR(INDEX(Sheet4!$2:$1605,MATCH(ChiTietKQKD[[#This Row],[Mã CP]],Sheet4!$B$2:$B$1605,0),_xlfn.XMATCH("*Tăng trưởng lợi nhuận sau thuế (YoY) (6M)*",Sheet4!$1:$1,2)),"")</f>
        <v>0</v>
      </c>
      <c r="Q1295" s="10" cm="1">
        <f t="array" ref="Q1295">IFERROR(INDEX(Sheet4!$2:$1605,MATCH(ChiTietKQKD[[#This Row],[Mã CP]],Sheet4!$B$2:$B$1605,0),_xlfn.XMATCH("*Tăng trưởng doanh thu thuần (QoQ)*",Sheet4!$1:$1,2)),"")</f>
        <v>0</v>
      </c>
      <c r="R1295" s="10" cm="1">
        <f t="array" ref="R1295">IFERROR(INDEX(Sheet4!$2:$1605,MATCH(ChiTietKQKD[[#This Row],[Mã CP]],Sheet4!$B$2:$B$1605,0),_xlfn.XMATCH("*Tăng trưởng lợi nhuận sau thuế (QoQ)*",Sheet4!$1:$1,2)),"")</f>
        <v>0</v>
      </c>
    </row>
    <row r="1296" spans="1:18" x14ac:dyDescent="0.25">
      <c r="A1296" s="7">
        <f>Sheet4!A1275</f>
        <v>1274</v>
      </c>
      <c r="B1296" t="str">
        <f>Sheet4!B1275</f>
        <v>POS</v>
      </c>
      <c r="C1296" t="str">
        <f>Sheet4!C1274</f>
        <v>Thép Pomina</v>
      </c>
      <c r="D1296" t="str">
        <f>Sheet4!D1275</f>
        <v>UPCoM</v>
      </c>
      <c r="E1296" s="7">
        <f>Sheet4!AH1275/1000000000</f>
        <v>628.40552186499997</v>
      </c>
      <c r="F1296" t="str">
        <f>Sheet4!E1275</f>
        <v>Dầu khí</v>
      </c>
      <c r="G1296" t="str">
        <f>Sheet4!F1275</f>
        <v>Dầu khí</v>
      </c>
      <c r="H1296" t="str">
        <f>Sheet4!G1275</f>
        <v>Thiết bị và Dịch vụ Dầu khí</v>
      </c>
      <c r="I1296" s="9" cm="1">
        <f t="array" ref="I129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1643.906593705</v>
      </c>
      <c r="J1296" s="9" cm="1">
        <f t="array" ref="J129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2282.014856623</v>
      </c>
      <c r="K1296" s="10" cm="1">
        <f t="array" ref="K129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2.2414999999999998</v>
      </c>
      <c r="L1296" s="10" cm="1">
        <f t="array" ref="L129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1.5228999999999999</v>
      </c>
      <c r="M1296" s="9" cm="1">
        <f t="array" ref="M1296">_xlfn.LET(_xlpm.val,IFERROR(INDEX(Sheet4!$2:$1605,MATCH(ChiTietKQKD[[#This Row],[Mã CP]],Sheet4!$B$2:$B$1605,0),_xlfn.XMATCH("*Lợi nhuận sau thuế*Q2*2026*",Sheet4!$1:$1,2)),0),IF(OR(_xlpm.val="",_xlpm.val=0),"",_xlpm.val/1000000000))</f>
        <v>43.957770357999998</v>
      </c>
      <c r="N1296" s="9" cm="1">
        <f t="array" ref="N1296">_xlfn.LET(_xlpm.val,IFERROR(INDEX(Sheet4!$2:$1605,MATCH(ChiTietKQKD[[#This Row],[Mã CP]],Sheet4!$B$2:$B$1605,0),_xlfn.XMATCH("*Lợi nhuận sau thuế*6 tháng*2026*",Sheet4!$1:$1,2)),0),IF(OR(_xlpm.val="",_xlpm.val=0),"",_xlpm.val/1000000000))</f>
        <v>62.864341981000003</v>
      </c>
      <c r="O1296" s="10" cm="1">
        <f t="array" ref="O1296">IFERROR(INDEX(Sheet4!$2:$1605,MATCH(ChiTietKQKD[[#This Row],[Mã CP]],Sheet4!$B$2:$B$1605,0),_xlfn.XMATCH("*Tăng trưởng lợi nhuận sau thuế (YoY) (Quý*",Sheet4!$1:$1,2)),"")</f>
        <v>1.3018000000000001</v>
      </c>
      <c r="P1296" s="10" cm="1">
        <f t="array" ref="P1296">IFERROR(INDEX(Sheet4!$2:$1605,MATCH(ChiTietKQKD[[#This Row],[Mã CP]],Sheet4!$B$2:$B$1605,0),_xlfn.XMATCH("*Tăng trưởng lợi nhuận sau thuế (YoY) (6M)*",Sheet4!$1:$1,2)),"")</f>
        <v>0.68459999999999999</v>
      </c>
      <c r="Q1296" s="10" cm="1">
        <f t="array" ref="Q1296">IFERROR(INDEX(Sheet4!$2:$1605,MATCH(ChiTietKQKD[[#This Row],[Mã CP]],Sheet4!$B$2:$B$1605,0),_xlfn.XMATCH("*Tăng trưởng doanh thu thuần (QoQ)*",Sheet4!$1:$1,2)),"")</f>
        <v>1.5762</v>
      </c>
      <c r="R1296" s="10" cm="1">
        <f t="array" ref="R1296">IFERROR(INDEX(Sheet4!$2:$1605,MATCH(ChiTietKQKD[[#This Row],[Mã CP]],Sheet4!$B$2:$B$1605,0),_xlfn.XMATCH("*Tăng trưởng lợi nhuận sau thuế (QoQ)*",Sheet4!$1:$1,2)),"")</f>
        <v>1.325</v>
      </c>
    </row>
    <row r="1297" spans="1:18" x14ac:dyDescent="0.25">
      <c r="A1297" s="7">
        <f>Sheet4!A1276</f>
        <v>1275</v>
      </c>
      <c r="B1297" t="str">
        <f>Sheet4!B1276</f>
        <v>POV</v>
      </c>
      <c r="C1297" t="str">
        <f>Sheet4!C1275</f>
        <v>Vận hành và Xây lắp PTSC</v>
      </c>
      <c r="D1297" t="str">
        <f>Sheet4!D1276</f>
        <v>UPCoM</v>
      </c>
      <c r="E1297" s="7">
        <f>Sheet4!AH1276/1000000000</f>
        <v>81.559968299999994</v>
      </c>
      <c r="F1297" t="str">
        <f>Sheet4!E1276</f>
        <v>Tiện ích Cộng đồng</v>
      </c>
      <c r="G1297" t="str">
        <f>Sheet4!F1276</f>
        <v>Điện, nước &amp; xăng dầu khí đốt</v>
      </c>
      <c r="H1297" t="str">
        <f>Sheet4!G1276</f>
        <v>Phân phối xăng dầu &amp; khí đốt</v>
      </c>
      <c r="I1297" s="9" cm="1">
        <f t="array" ref="I129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2283.7964144010002</v>
      </c>
      <c r="J1297" s="9" t="str" cm="1">
        <f t="array" ref="J129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97" s="10" cm="1">
        <f t="array" ref="K129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1.0896999999999999</v>
      </c>
      <c r="L1297" s="10" cm="1">
        <f t="array" ref="L129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0.72770000000000001</v>
      </c>
      <c r="M1297" s="9" cm="1">
        <f t="array" ref="M1297">_xlfn.LET(_xlpm.val,IFERROR(INDEX(Sheet4!$2:$1605,MATCH(ChiTietKQKD[[#This Row],[Mã CP]],Sheet4!$B$2:$B$1605,0),_xlfn.XMATCH("*Lợi nhuận sau thuế*Q2*2026*",Sheet4!$1:$1,2)),0),IF(OR(_xlpm.val="",_xlpm.val=0),"",_xlpm.val/1000000000))</f>
        <v>9.2250540920000006</v>
      </c>
      <c r="N1297" s="9" t="str" cm="1">
        <f t="array" ref="N129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97" s="10" cm="1">
        <f t="array" ref="O1297">IFERROR(INDEX(Sheet4!$2:$1605,MATCH(ChiTietKQKD[[#This Row],[Mã CP]],Sheet4!$B$2:$B$1605,0),_xlfn.XMATCH("*Tăng trưởng lợi nhuận sau thuế (YoY) (Quý*",Sheet4!$1:$1,2)),"")</f>
        <v>0.97670000000000001</v>
      </c>
      <c r="P1297" s="10" cm="1">
        <f t="array" ref="P1297">IFERROR(INDEX(Sheet4!$2:$1605,MATCH(ChiTietKQKD[[#This Row],[Mã CP]],Sheet4!$B$2:$B$1605,0),_xlfn.XMATCH("*Tăng trưởng lợi nhuận sau thuế (YoY) (6M)*",Sheet4!$1:$1,2)),"")</f>
        <v>3.5388000000000002</v>
      </c>
      <c r="Q1297" s="10" cm="1">
        <f t="array" ref="Q1297">IFERROR(INDEX(Sheet4!$2:$1605,MATCH(ChiTietKQKD[[#This Row],[Mã CP]],Sheet4!$B$2:$B$1605,0),_xlfn.XMATCH("*Tăng trưởng doanh thu thuần (QoQ)*",Sheet4!$1:$1,2)),"")</f>
        <v>0.67979999999999996</v>
      </c>
      <c r="R1297" s="10" cm="1">
        <f t="array" ref="R1297">IFERROR(INDEX(Sheet4!$2:$1605,MATCH(ChiTietKQKD[[#This Row],[Mã CP]],Sheet4!$B$2:$B$1605,0),_xlfn.XMATCH("*Tăng trưởng lợi nhuận sau thuế (QoQ)*",Sheet4!$1:$1,2)),"")</f>
        <v>-4.4299999999999999E-2</v>
      </c>
    </row>
    <row r="1298" spans="1:18" x14ac:dyDescent="0.25">
      <c r="A1298" s="7">
        <f>Sheet4!A1277</f>
        <v>1276</v>
      </c>
      <c r="B1298" t="str">
        <f>Sheet4!B1277</f>
        <v>PPH</v>
      </c>
      <c r="C1298" t="str">
        <f>Sheet4!C1276</f>
        <v>PV Oil Vũng Áng</v>
      </c>
      <c r="D1298" t="str">
        <f>Sheet4!D1277</f>
        <v>UPCoM</v>
      </c>
      <c r="E1298" s="7">
        <f>Sheet4!AH1277/1000000000</f>
        <v>1920.0126202829999</v>
      </c>
      <c r="F1298" t="str">
        <f>Sheet4!E1277</f>
        <v>Hàng Tiêu dùng</v>
      </c>
      <c r="G1298" t="str">
        <f>Sheet4!F1277</f>
        <v>Hàng cá nhân &amp; Gia dụng</v>
      </c>
      <c r="H1298" t="str">
        <f>Sheet4!G1277</f>
        <v>Hàng May mặc</v>
      </c>
      <c r="I1298" s="9" t="str" cm="1">
        <f t="array" ref="I129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98" s="9" t="str" cm="1">
        <f t="array" ref="J129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98" s="10" cm="1">
        <f t="array" ref="K129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98" s="10" cm="1">
        <f t="array" ref="L129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98" s="9" t="str" cm="1">
        <f t="array" ref="M129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98" s="9" t="str" cm="1">
        <f t="array" ref="N129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98" s="10" cm="1">
        <f t="array" ref="O1298">IFERROR(INDEX(Sheet4!$2:$1605,MATCH(ChiTietKQKD[[#This Row],[Mã CP]],Sheet4!$B$2:$B$1605,0),_xlfn.XMATCH("*Tăng trưởng lợi nhuận sau thuế (YoY) (Quý*",Sheet4!$1:$1,2)),"")</f>
        <v>0</v>
      </c>
      <c r="P1298" s="10" cm="1">
        <f t="array" ref="P1298">IFERROR(INDEX(Sheet4!$2:$1605,MATCH(ChiTietKQKD[[#This Row],[Mã CP]],Sheet4!$B$2:$B$1605,0),_xlfn.XMATCH("*Tăng trưởng lợi nhuận sau thuế (YoY) (6M)*",Sheet4!$1:$1,2)),"")</f>
        <v>0</v>
      </c>
      <c r="Q1298" s="10" cm="1">
        <f t="array" ref="Q1298">IFERROR(INDEX(Sheet4!$2:$1605,MATCH(ChiTietKQKD[[#This Row],[Mã CP]],Sheet4!$B$2:$B$1605,0),_xlfn.XMATCH("*Tăng trưởng doanh thu thuần (QoQ)*",Sheet4!$1:$1,2)),"")</f>
        <v>0</v>
      </c>
      <c r="R1298" s="10" cm="1">
        <f t="array" ref="R1298">IFERROR(INDEX(Sheet4!$2:$1605,MATCH(ChiTietKQKD[[#This Row],[Mã CP]],Sheet4!$B$2:$B$1605,0),_xlfn.XMATCH("*Tăng trưởng lợi nhuận sau thuế (QoQ)*",Sheet4!$1:$1,2)),"")</f>
        <v>0</v>
      </c>
    </row>
    <row r="1299" spans="1:18" x14ac:dyDescent="0.25">
      <c r="A1299" s="7">
        <f>Sheet4!A1278</f>
        <v>1277</v>
      </c>
      <c r="B1299" t="str">
        <f>Sheet4!B1278</f>
        <v>PPI</v>
      </c>
      <c r="C1299" t="str">
        <f>Sheet4!C1277</f>
        <v>Phong Phú Corp.</v>
      </c>
      <c r="D1299" t="str">
        <f>Sheet4!D1278</f>
        <v>UPCoM</v>
      </c>
      <c r="E1299" s="7">
        <f>Sheet4!AH1278/1000000000</f>
        <v>19.316251600000001</v>
      </c>
      <c r="F1299" t="str">
        <f>Sheet4!E1278</f>
        <v>Tài chính</v>
      </c>
      <c r="G1299" t="str">
        <f>Sheet4!F1278</f>
        <v>Bất động sản</v>
      </c>
      <c r="H1299" t="str">
        <f>Sheet4!G1278</f>
        <v>Bất động sản</v>
      </c>
      <c r="I1299" s="9" t="str" cm="1">
        <f t="array" ref="I129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299" s="9" t="str" cm="1">
        <f t="array" ref="J129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299" s="10" cm="1">
        <f t="array" ref="K129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299" s="10" cm="1">
        <f t="array" ref="L129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299" s="9" t="str" cm="1">
        <f t="array" ref="M129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299" s="9" t="str" cm="1">
        <f t="array" ref="N129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299" s="10" cm="1">
        <f t="array" ref="O1299">IFERROR(INDEX(Sheet4!$2:$1605,MATCH(ChiTietKQKD[[#This Row],[Mã CP]],Sheet4!$B$2:$B$1605,0),_xlfn.XMATCH("*Tăng trưởng lợi nhuận sau thuế (YoY) (Quý*",Sheet4!$1:$1,2)),"")</f>
        <v>0</v>
      </c>
      <c r="P1299" s="10" cm="1">
        <f t="array" ref="P1299">IFERROR(INDEX(Sheet4!$2:$1605,MATCH(ChiTietKQKD[[#This Row],[Mã CP]],Sheet4!$B$2:$B$1605,0),_xlfn.XMATCH("*Tăng trưởng lợi nhuận sau thuế (YoY) (6M)*",Sheet4!$1:$1,2)),"")</f>
        <v>0</v>
      </c>
      <c r="Q1299" s="10" cm="1">
        <f t="array" ref="Q1299">IFERROR(INDEX(Sheet4!$2:$1605,MATCH(ChiTietKQKD[[#This Row],[Mã CP]],Sheet4!$B$2:$B$1605,0),_xlfn.XMATCH("*Tăng trưởng doanh thu thuần (QoQ)*",Sheet4!$1:$1,2)),"")</f>
        <v>0</v>
      </c>
      <c r="R1299" s="10" cm="1">
        <f t="array" ref="R1299">IFERROR(INDEX(Sheet4!$2:$1605,MATCH(ChiTietKQKD[[#This Row],[Mã CP]],Sheet4!$B$2:$B$1605,0),_xlfn.XMATCH("*Tăng trưởng lợi nhuận sau thuế (QoQ)*",Sheet4!$1:$1,2)),"")</f>
        <v>0</v>
      </c>
    </row>
    <row r="1300" spans="1:18" x14ac:dyDescent="0.25">
      <c r="A1300" s="7">
        <f>Sheet4!A1279</f>
        <v>1278</v>
      </c>
      <c r="B1300" t="str">
        <f>Sheet4!B1279</f>
        <v>PQN</v>
      </c>
      <c r="C1300" t="str">
        <f>Sheet4!C1278</f>
        <v>BĐS Thái Bình Dương</v>
      </c>
      <c r="D1300" t="str">
        <f>Sheet4!D1279</f>
        <v>UPCoM</v>
      </c>
      <c r="E1300" s="7">
        <f>Sheet4!AH1279/1000000000</f>
        <v>120</v>
      </c>
      <c r="F1300" t="str">
        <f>Sheet4!E1279</f>
        <v>Công nghiệp</v>
      </c>
      <c r="G1300" t="str">
        <f>Sheet4!F1279</f>
        <v>Hàng &amp; Dịch vụ Công nghiệp</v>
      </c>
      <c r="H1300" t="str">
        <f>Sheet4!G1279</f>
        <v>Kho bãi, hậu cần và bảo dưỡng</v>
      </c>
      <c r="I1300" s="9" cm="1">
        <f t="array" ref="I130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643.35401521799997</v>
      </c>
      <c r="J1300" s="9" t="str" cm="1">
        <f t="array" ref="J130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00" s="10" cm="1">
        <f t="array" ref="K130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00" s="10" cm="1">
        <f t="array" ref="L130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0.3967</v>
      </c>
      <c r="M1300" s="9" cm="1">
        <f t="array" ref="M1300">_xlfn.LET(_xlpm.val,IFERROR(INDEX(Sheet4!$2:$1605,MATCH(ChiTietKQKD[[#This Row],[Mã CP]],Sheet4!$B$2:$B$1605,0),_xlfn.XMATCH("*Lợi nhuận sau thuế*Q2*2026*",Sheet4!$1:$1,2)),0),IF(OR(_xlpm.val="",_xlpm.val=0),"",_xlpm.val/1000000000))</f>
        <v>12.961932429000001</v>
      </c>
      <c r="N1300" s="9" t="str" cm="1">
        <f t="array" ref="N130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00" s="10" cm="1">
        <f t="array" ref="O1300">IFERROR(INDEX(Sheet4!$2:$1605,MATCH(ChiTietKQKD[[#This Row],[Mã CP]],Sheet4!$B$2:$B$1605,0),_xlfn.XMATCH("*Tăng trưởng lợi nhuận sau thuế (YoY) (Quý*",Sheet4!$1:$1,2)),"")</f>
        <v>0</v>
      </c>
      <c r="P1300" s="10" cm="1">
        <f t="array" ref="P1300">IFERROR(INDEX(Sheet4!$2:$1605,MATCH(ChiTietKQKD[[#This Row],[Mã CP]],Sheet4!$B$2:$B$1605,0),_xlfn.XMATCH("*Tăng trưởng lợi nhuận sau thuế (YoY) (6M)*",Sheet4!$1:$1,2)),"")</f>
        <v>0.17269999999999999</v>
      </c>
      <c r="Q1300" s="10" cm="1">
        <f t="array" ref="Q1300">IFERROR(INDEX(Sheet4!$2:$1605,MATCH(ChiTietKQKD[[#This Row],[Mã CP]],Sheet4!$B$2:$B$1605,0),_xlfn.XMATCH("*Tăng trưởng doanh thu thuần (QoQ)*",Sheet4!$1:$1,2)),"")</f>
        <v>0</v>
      </c>
      <c r="R1300" s="10" cm="1">
        <f t="array" ref="R1300">IFERROR(INDEX(Sheet4!$2:$1605,MATCH(ChiTietKQKD[[#This Row],[Mã CP]],Sheet4!$B$2:$B$1605,0),_xlfn.XMATCH("*Tăng trưởng lợi nhuận sau thuế (QoQ)*",Sheet4!$1:$1,2)),"")</f>
        <v>0</v>
      </c>
    </row>
    <row r="1301" spans="1:18" x14ac:dyDescent="0.25">
      <c r="A1301" s="7">
        <f>Sheet4!A1280</f>
        <v>1279</v>
      </c>
      <c r="B1301" t="str">
        <f>Sheet4!B1280</f>
        <v>PRO</v>
      </c>
      <c r="C1301" t="str">
        <f>Sheet4!C1279</f>
        <v>DV Dầu khí Quảng Ngãi PTSC</v>
      </c>
      <c r="D1301" t="str">
        <f>Sheet4!D1280</f>
        <v>UPCoM</v>
      </c>
      <c r="E1301" s="7">
        <f>Sheet4!AH1280/1000000000</f>
        <v>19.5</v>
      </c>
      <c r="F1301" t="str">
        <f>Sheet4!E1280</f>
        <v>Hàng Tiêu dùng</v>
      </c>
      <c r="G1301" t="str">
        <f>Sheet4!F1280</f>
        <v>Thực phẩm và đồ uống</v>
      </c>
      <c r="H1301" t="str">
        <f>Sheet4!G1280</f>
        <v>Thực phẩm</v>
      </c>
      <c r="I1301" s="9" t="str" cm="1">
        <f t="array" ref="I130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01" s="9" t="str" cm="1">
        <f t="array" ref="J130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01" s="10" cm="1">
        <f t="array" ref="K130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01" s="10" cm="1">
        <f t="array" ref="L130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01" s="9" t="str" cm="1">
        <f t="array" ref="M130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01" s="9" t="str" cm="1">
        <f t="array" ref="N130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01" s="10" cm="1">
        <f t="array" ref="O1301">IFERROR(INDEX(Sheet4!$2:$1605,MATCH(ChiTietKQKD[[#This Row],[Mã CP]],Sheet4!$B$2:$B$1605,0),_xlfn.XMATCH("*Tăng trưởng lợi nhuận sau thuế (YoY) (Quý*",Sheet4!$1:$1,2)),"")</f>
        <v>0</v>
      </c>
      <c r="P1301" s="10" cm="1">
        <f t="array" ref="P1301">IFERROR(INDEX(Sheet4!$2:$1605,MATCH(ChiTietKQKD[[#This Row],[Mã CP]],Sheet4!$B$2:$B$1605,0),_xlfn.XMATCH("*Tăng trưởng lợi nhuận sau thuế (YoY) (6M)*",Sheet4!$1:$1,2)),"")</f>
        <v>0</v>
      </c>
      <c r="Q1301" s="10" cm="1">
        <f t="array" ref="Q1301">IFERROR(INDEX(Sheet4!$2:$1605,MATCH(ChiTietKQKD[[#This Row],[Mã CP]],Sheet4!$B$2:$B$1605,0),_xlfn.XMATCH("*Tăng trưởng doanh thu thuần (QoQ)*",Sheet4!$1:$1,2)),"")</f>
        <v>0</v>
      </c>
      <c r="R1301" s="10" cm="1">
        <f t="array" ref="R1301">IFERROR(INDEX(Sheet4!$2:$1605,MATCH(ChiTietKQKD[[#This Row],[Mã CP]],Sheet4!$B$2:$B$1605,0),_xlfn.XMATCH("*Tăng trưởng lợi nhuận sau thuế (QoQ)*",Sheet4!$1:$1,2)),"")</f>
        <v>0</v>
      </c>
    </row>
    <row r="1302" spans="1:18" x14ac:dyDescent="0.25">
      <c r="A1302" s="7">
        <f>Sheet4!A1281</f>
        <v>1280</v>
      </c>
      <c r="B1302" t="str">
        <f>Sheet4!B1281</f>
        <v>PRT</v>
      </c>
      <c r="C1302" t="str">
        <f>Sheet4!C1280</f>
        <v>Procimex Việt Nam</v>
      </c>
      <c r="D1302" t="str">
        <f>Sheet4!D1281</f>
        <v>UPCoM</v>
      </c>
      <c r="E1302" s="7">
        <f>Sheet4!AH1281/1000000000</f>
        <v>2475</v>
      </c>
      <c r="F1302" t="str">
        <f>Sheet4!E1281</f>
        <v>Tài chính</v>
      </c>
      <c r="G1302" t="str">
        <f>Sheet4!F1281</f>
        <v>Bất động sản</v>
      </c>
      <c r="H1302" t="str">
        <f>Sheet4!G1281</f>
        <v>Bất động sản</v>
      </c>
      <c r="I1302" s="9" t="str" cm="1">
        <f t="array" ref="I130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02" s="9" t="str" cm="1">
        <f t="array" ref="J130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02" s="10" cm="1">
        <f t="array" ref="K130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02" s="10" cm="1">
        <f t="array" ref="L130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02" s="9" t="str" cm="1">
        <f t="array" ref="M130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02" s="9" t="str" cm="1">
        <f t="array" ref="N130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02" s="10" cm="1">
        <f t="array" ref="O1302">IFERROR(INDEX(Sheet4!$2:$1605,MATCH(ChiTietKQKD[[#This Row],[Mã CP]],Sheet4!$B$2:$B$1605,0),_xlfn.XMATCH("*Tăng trưởng lợi nhuận sau thuế (YoY) (Quý*",Sheet4!$1:$1,2)),"")</f>
        <v>0</v>
      </c>
      <c r="P1302" s="10" cm="1">
        <f t="array" ref="P1302">IFERROR(INDEX(Sheet4!$2:$1605,MATCH(ChiTietKQKD[[#This Row],[Mã CP]],Sheet4!$B$2:$B$1605,0),_xlfn.XMATCH("*Tăng trưởng lợi nhuận sau thuế (YoY) (6M)*",Sheet4!$1:$1,2)),"")</f>
        <v>0</v>
      </c>
      <c r="Q1302" s="10" cm="1">
        <f t="array" ref="Q1302">IFERROR(INDEX(Sheet4!$2:$1605,MATCH(ChiTietKQKD[[#This Row],[Mã CP]],Sheet4!$B$2:$B$1605,0),_xlfn.XMATCH("*Tăng trưởng doanh thu thuần (QoQ)*",Sheet4!$1:$1,2)),"")</f>
        <v>0</v>
      </c>
      <c r="R1302" s="10" cm="1">
        <f t="array" ref="R1302">IFERROR(INDEX(Sheet4!$2:$1605,MATCH(ChiTietKQKD[[#This Row],[Mã CP]],Sheet4!$B$2:$B$1605,0),_xlfn.XMATCH("*Tăng trưởng lợi nhuận sau thuế (QoQ)*",Sheet4!$1:$1,2)),"")</f>
        <v>0</v>
      </c>
    </row>
    <row r="1303" spans="1:18" x14ac:dyDescent="0.25">
      <c r="A1303" s="7">
        <f>Sheet4!A1282</f>
        <v>1281</v>
      </c>
      <c r="B1303" t="str">
        <f>Sheet4!B1282</f>
        <v>PSB</v>
      </c>
      <c r="C1303" t="str">
        <f>Sheet4!C1281</f>
        <v>Sản xuất - XNK Bình Dương</v>
      </c>
      <c r="D1303" t="str">
        <f>Sheet4!D1282</f>
        <v>UPCoM</v>
      </c>
      <c r="E1303" s="7">
        <f>Sheet4!AH1282/1000000000</f>
        <v>242.6</v>
      </c>
      <c r="F1303" t="str">
        <f>Sheet4!E1282</f>
        <v>Công nghiệp</v>
      </c>
      <c r="G1303" t="str">
        <f>Sheet4!F1282</f>
        <v>Xây dựng và Vật liệu</v>
      </c>
      <c r="H1303" t="str">
        <f>Sheet4!G1282</f>
        <v>Xây dựng</v>
      </c>
      <c r="I1303" s="9" cm="1">
        <f t="array" ref="I130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150.505440752</v>
      </c>
      <c r="J1303" s="9" t="str" cm="1">
        <f t="array" ref="J130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03" s="10" cm="1">
        <f t="array" ref="K130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1.9537</v>
      </c>
      <c r="L1303" s="10" cm="1">
        <f t="array" ref="L130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1.4480999999999999</v>
      </c>
      <c r="M1303" s="9" cm="1">
        <f t="array" ref="M1303">_xlfn.LET(_xlpm.val,IFERROR(INDEX(Sheet4!$2:$1605,MATCH(ChiTietKQKD[[#This Row],[Mã CP]],Sheet4!$B$2:$B$1605,0),_xlfn.XMATCH("*Lợi nhuận sau thuế*Q2*2026*",Sheet4!$1:$1,2)),0),IF(OR(_xlpm.val="",_xlpm.val=0),"",_xlpm.val/1000000000))</f>
        <v>0.57355741800000004</v>
      </c>
      <c r="N1303" s="9" t="str" cm="1">
        <f t="array" ref="N130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03" s="10" cm="1">
        <f t="array" ref="O1303">IFERROR(INDEX(Sheet4!$2:$1605,MATCH(ChiTietKQKD[[#This Row],[Mã CP]],Sheet4!$B$2:$B$1605,0),_xlfn.XMATCH("*Tăng trưởng lợi nhuận sau thuế (YoY) (Quý*",Sheet4!$1:$1,2)),"")</f>
        <v>-0.41</v>
      </c>
      <c r="P1303" s="10" cm="1">
        <f t="array" ref="P1303">IFERROR(INDEX(Sheet4!$2:$1605,MATCH(ChiTietKQKD[[#This Row],[Mã CP]],Sheet4!$B$2:$B$1605,0),_xlfn.XMATCH("*Tăng trưởng lợi nhuận sau thuế (YoY) (6M)*",Sheet4!$1:$1,2)),"")</f>
        <v>0.41299999999999998</v>
      </c>
      <c r="Q1303" s="10" cm="1">
        <f t="array" ref="Q1303">IFERROR(INDEX(Sheet4!$2:$1605,MATCH(ChiTietKQKD[[#This Row],[Mã CP]],Sheet4!$B$2:$B$1605,0),_xlfn.XMATCH("*Tăng trưởng doanh thu thuần (QoQ)*",Sheet4!$1:$1,2)),"")</f>
        <v>0.26579999999999998</v>
      </c>
      <c r="R1303" s="10" cm="1">
        <f t="array" ref="R1303">IFERROR(INDEX(Sheet4!$2:$1605,MATCH(ChiTietKQKD[[#This Row],[Mã CP]],Sheet4!$B$2:$B$1605,0),_xlfn.XMATCH("*Tăng trưởng lợi nhuận sau thuế (QoQ)*",Sheet4!$1:$1,2)),"")</f>
        <v>-0.54969999999999997</v>
      </c>
    </row>
    <row r="1304" spans="1:18" x14ac:dyDescent="0.25">
      <c r="A1304" s="7">
        <f>Sheet4!A1283</f>
        <v>1282</v>
      </c>
      <c r="B1304" t="str">
        <f>Sheet4!B1283</f>
        <v>PSH</v>
      </c>
      <c r="C1304" t="str">
        <f>Sheet4!C1282</f>
        <v>Sao Mai Bến Đình</v>
      </c>
      <c r="D1304" t="str">
        <f>Sheet4!D1283</f>
        <v>UPCoM</v>
      </c>
      <c r="E1304" s="7">
        <f>Sheet4!AH1283/1000000000</f>
        <v>214.48862600000001</v>
      </c>
      <c r="F1304" t="str">
        <f>Sheet4!E1283</f>
        <v>Tiện ích Cộng đồng</v>
      </c>
      <c r="G1304" t="str">
        <f>Sheet4!F1283</f>
        <v>Điện, nước &amp; xăng dầu khí đốt</v>
      </c>
      <c r="H1304" t="str">
        <f>Sheet4!G1283</f>
        <v>Phân phối xăng dầu &amp; khí đốt</v>
      </c>
      <c r="I1304" s="9" t="str" cm="1">
        <f t="array" ref="I130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04" s="9" t="str" cm="1">
        <f t="array" ref="J130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04" s="10" cm="1">
        <f t="array" ref="K130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04" s="10" cm="1">
        <f t="array" ref="L130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04" s="9" t="str" cm="1">
        <f t="array" ref="M130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04" s="9" t="str" cm="1">
        <f t="array" ref="N130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04" s="10" cm="1">
        <f t="array" ref="O1304">IFERROR(INDEX(Sheet4!$2:$1605,MATCH(ChiTietKQKD[[#This Row],[Mã CP]],Sheet4!$B$2:$B$1605,0),_xlfn.XMATCH("*Tăng trưởng lợi nhuận sau thuế (YoY) (Quý*",Sheet4!$1:$1,2)),"")</f>
        <v>0</v>
      </c>
      <c r="P1304" s="10" cm="1">
        <f t="array" ref="P1304">IFERROR(INDEX(Sheet4!$2:$1605,MATCH(ChiTietKQKD[[#This Row],[Mã CP]],Sheet4!$B$2:$B$1605,0),_xlfn.XMATCH("*Tăng trưởng lợi nhuận sau thuế (YoY) (6M)*",Sheet4!$1:$1,2)),"")</f>
        <v>0</v>
      </c>
      <c r="Q1304" s="10" cm="1">
        <f t="array" ref="Q1304">IFERROR(INDEX(Sheet4!$2:$1605,MATCH(ChiTietKQKD[[#This Row],[Mã CP]],Sheet4!$B$2:$B$1605,0),_xlfn.XMATCH("*Tăng trưởng doanh thu thuần (QoQ)*",Sheet4!$1:$1,2)),"")</f>
        <v>0</v>
      </c>
      <c r="R1304" s="10" cm="1">
        <f t="array" ref="R1304">IFERROR(INDEX(Sheet4!$2:$1605,MATCH(ChiTietKQKD[[#This Row],[Mã CP]],Sheet4!$B$2:$B$1605,0),_xlfn.XMATCH("*Tăng trưởng lợi nhuận sau thuế (QoQ)*",Sheet4!$1:$1,2)),"")</f>
        <v>0</v>
      </c>
    </row>
    <row r="1305" spans="1:18" x14ac:dyDescent="0.25">
      <c r="A1305" s="7">
        <f>Sheet4!A1284</f>
        <v>1283</v>
      </c>
      <c r="B1305" t="str">
        <f>Sheet4!B1284</f>
        <v>PSL</v>
      </c>
      <c r="C1305" t="str">
        <f>Sheet4!C1283</f>
        <v>TMại ĐT Dầu khí Nam Sông Hậu</v>
      </c>
      <c r="D1305" t="str">
        <f>Sheet4!D1284</f>
        <v>UPCoM</v>
      </c>
      <c r="E1305" s="7">
        <f>Sheet4!AH1284/1000000000</f>
        <v>73.532812500000006</v>
      </c>
      <c r="F1305" t="str">
        <f>Sheet4!E1284</f>
        <v>Hàng Tiêu dùng</v>
      </c>
      <c r="G1305" t="str">
        <f>Sheet4!F1284</f>
        <v>Thực phẩm và đồ uống</v>
      </c>
      <c r="H1305" t="str">
        <f>Sheet4!G1284</f>
        <v>Nuôi trồng nông &amp; hải sản</v>
      </c>
      <c r="I1305" s="9" t="str" cm="1">
        <f t="array" ref="I130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05" s="9" t="str" cm="1">
        <f t="array" ref="J130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05" s="10" cm="1">
        <f t="array" ref="K130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05" s="10" cm="1">
        <f t="array" ref="L130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05" s="9" t="str" cm="1">
        <f t="array" ref="M130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05" s="9" t="str" cm="1">
        <f t="array" ref="N130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05" s="10" cm="1">
        <f t="array" ref="O1305">IFERROR(INDEX(Sheet4!$2:$1605,MATCH(ChiTietKQKD[[#This Row],[Mã CP]],Sheet4!$B$2:$B$1605,0),_xlfn.XMATCH("*Tăng trưởng lợi nhuận sau thuế (YoY) (Quý*",Sheet4!$1:$1,2)),"")</f>
        <v>0</v>
      </c>
      <c r="P1305" s="10" cm="1">
        <f t="array" ref="P1305">IFERROR(INDEX(Sheet4!$2:$1605,MATCH(ChiTietKQKD[[#This Row],[Mã CP]],Sheet4!$B$2:$B$1605,0),_xlfn.XMATCH("*Tăng trưởng lợi nhuận sau thuế (YoY) (6M)*",Sheet4!$1:$1,2)),"")</f>
        <v>0</v>
      </c>
      <c r="Q1305" s="10" cm="1">
        <f t="array" ref="Q1305">IFERROR(INDEX(Sheet4!$2:$1605,MATCH(ChiTietKQKD[[#This Row],[Mã CP]],Sheet4!$B$2:$B$1605,0),_xlfn.XMATCH("*Tăng trưởng doanh thu thuần (QoQ)*",Sheet4!$1:$1,2)),"")</f>
        <v>0</v>
      </c>
      <c r="R1305" s="10" cm="1">
        <f t="array" ref="R1305">IFERROR(INDEX(Sheet4!$2:$1605,MATCH(ChiTietKQKD[[#This Row],[Mã CP]],Sheet4!$B$2:$B$1605,0),_xlfn.XMATCH("*Tăng trưởng lợi nhuận sau thuế (QoQ)*",Sheet4!$1:$1,2)),"")</f>
        <v>0</v>
      </c>
    </row>
    <row r="1306" spans="1:18" x14ac:dyDescent="0.25">
      <c r="A1306" s="7">
        <f>Sheet4!A1285</f>
        <v>1284</v>
      </c>
      <c r="B1306" t="str">
        <f>Sheet4!B1285</f>
        <v>PSN</v>
      </c>
      <c r="C1306" t="str">
        <f>Sheet4!C1284</f>
        <v>Chăn nuôi Phú Sơn</v>
      </c>
      <c r="D1306" t="str">
        <f>Sheet4!D1285</f>
        <v>UPCoM</v>
      </c>
      <c r="E1306" s="7">
        <f>Sheet4!AH1285/1000000000</f>
        <v>372</v>
      </c>
      <c r="F1306" t="str">
        <f>Sheet4!E1285</f>
        <v>Công nghiệp</v>
      </c>
      <c r="G1306" t="str">
        <f>Sheet4!F1285</f>
        <v>Hàng &amp; Dịch vụ Công nghiệp</v>
      </c>
      <c r="H1306" t="str">
        <f>Sheet4!G1285</f>
        <v>Kho bãi, hậu cần và bảo dưỡng</v>
      </c>
      <c r="I1306" s="9" cm="1">
        <f t="array" ref="I130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584.64462209600003</v>
      </c>
      <c r="J1306" s="9" t="str" cm="1">
        <f t="array" ref="J130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06" s="10" cm="1">
        <f t="array" ref="K130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06" s="10" cm="1">
        <f t="array" ref="L130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0.88749999999999996</v>
      </c>
      <c r="M1306" s="9" cm="1">
        <f t="array" ref="M1306">_xlfn.LET(_xlpm.val,IFERROR(INDEX(Sheet4!$2:$1605,MATCH(ChiTietKQKD[[#This Row],[Mã CP]],Sheet4!$B$2:$B$1605,0),_xlfn.XMATCH("*Lợi nhuận sau thuế*Q2*2026*",Sheet4!$1:$1,2)),0),IF(OR(_xlpm.val="",_xlpm.val=0),"",_xlpm.val/1000000000))</f>
        <v>13.232312682</v>
      </c>
      <c r="N1306" s="9" t="str" cm="1">
        <f t="array" ref="N130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06" s="10" cm="1">
        <f t="array" ref="O1306">IFERROR(INDEX(Sheet4!$2:$1605,MATCH(ChiTietKQKD[[#This Row],[Mã CP]],Sheet4!$B$2:$B$1605,0),_xlfn.XMATCH("*Tăng trưởng lợi nhuận sau thuế (YoY) (Quý*",Sheet4!$1:$1,2)),"")</f>
        <v>0</v>
      </c>
      <c r="P1306" s="10" cm="1">
        <f t="array" ref="P1306">IFERROR(INDEX(Sheet4!$2:$1605,MATCH(ChiTietKQKD[[#This Row],[Mã CP]],Sheet4!$B$2:$B$1605,0),_xlfn.XMATCH("*Tăng trưởng lợi nhuận sau thuế (YoY) (6M)*",Sheet4!$1:$1,2)),"")</f>
        <v>0.5907</v>
      </c>
      <c r="Q1306" s="10" cm="1">
        <f t="array" ref="Q1306">IFERROR(INDEX(Sheet4!$2:$1605,MATCH(ChiTietKQKD[[#This Row],[Mã CP]],Sheet4!$B$2:$B$1605,0),_xlfn.XMATCH("*Tăng trưởng doanh thu thuần (QoQ)*",Sheet4!$1:$1,2)),"")</f>
        <v>0</v>
      </c>
      <c r="R1306" s="10" cm="1">
        <f t="array" ref="R1306">IFERROR(INDEX(Sheet4!$2:$1605,MATCH(ChiTietKQKD[[#This Row],[Mã CP]],Sheet4!$B$2:$B$1605,0),_xlfn.XMATCH("*Tăng trưởng lợi nhuận sau thuế (QoQ)*",Sheet4!$1:$1,2)),"")</f>
        <v>0</v>
      </c>
    </row>
    <row r="1307" spans="1:18" x14ac:dyDescent="0.25">
      <c r="A1307" s="7">
        <f>Sheet4!A1286</f>
        <v>1285</v>
      </c>
      <c r="B1307" t="str">
        <f>Sheet4!B1286</f>
        <v>PSP</v>
      </c>
      <c r="C1307" t="str">
        <f>Sheet4!C1285</f>
        <v>PTSC Thanh Hóa</v>
      </c>
      <c r="D1307" t="str">
        <f>Sheet4!D1286</f>
        <v>UPCoM</v>
      </c>
      <c r="E1307" s="7">
        <f>Sheet4!AH1286/1000000000</f>
        <v>632</v>
      </c>
      <c r="F1307" t="str">
        <f>Sheet4!E1286</f>
        <v>Công nghiệp</v>
      </c>
      <c r="G1307" t="str">
        <f>Sheet4!F1286</f>
        <v>Hàng &amp; Dịch vụ Công nghiệp</v>
      </c>
      <c r="H1307" t="str">
        <f>Sheet4!G1286</f>
        <v>Dịch vụ vận tải</v>
      </c>
      <c r="I1307" s="9" cm="1">
        <f t="array" ref="I130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71.787300978000005</v>
      </c>
      <c r="J1307" s="9" cm="1">
        <f t="array" ref="J130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145.66311052899999</v>
      </c>
      <c r="K1307" s="10" cm="1">
        <f t="array" ref="K130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5.5E-2</v>
      </c>
      <c r="L1307" s="10" cm="1">
        <f t="array" ref="L130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0.1172</v>
      </c>
      <c r="M1307" s="9" cm="1">
        <f t="array" ref="M1307">_xlfn.LET(_xlpm.val,IFERROR(INDEX(Sheet4!$2:$1605,MATCH(ChiTietKQKD[[#This Row],[Mã CP]],Sheet4!$B$2:$B$1605,0),_xlfn.XMATCH("*Lợi nhuận sau thuế*Q2*2026*",Sheet4!$1:$1,2)),0),IF(OR(_xlpm.val="",_xlpm.val=0),"",_xlpm.val/1000000000))</f>
        <v>3.3517279420000001</v>
      </c>
      <c r="N1307" s="9" cm="1">
        <f t="array" ref="N1307">_xlfn.LET(_xlpm.val,IFERROR(INDEX(Sheet4!$2:$1605,MATCH(ChiTietKQKD[[#This Row],[Mã CP]],Sheet4!$B$2:$B$1605,0),_xlfn.XMATCH("*Lợi nhuận sau thuế*6 tháng*2026*",Sheet4!$1:$1,2)),0),IF(OR(_xlpm.val="",_xlpm.val=0),"",_xlpm.val/1000000000))</f>
        <v>6.0568465490000003</v>
      </c>
      <c r="O1307" s="10" cm="1">
        <f t="array" ref="O1307">IFERROR(INDEX(Sheet4!$2:$1605,MATCH(ChiTietKQKD[[#This Row],[Mã CP]],Sheet4!$B$2:$B$1605,0),_xlfn.XMATCH("*Tăng trưởng lợi nhuận sau thuế (YoY) (Quý*",Sheet4!$1:$1,2)),"")</f>
        <v>6.93E-2</v>
      </c>
      <c r="P1307" s="10" cm="1">
        <f t="array" ref="P1307">IFERROR(INDEX(Sheet4!$2:$1605,MATCH(ChiTietKQKD[[#This Row],[Mã CP]],Sheet4!$B$2:$B$1605,0),_xlfn.XMATCH("*Tăng trưởng lợi nhuận sau thuế (YoY) (6M)*",Sheet4!$1:$1,2)),"")</f>
        <v>1.6299999999999999E-2</v>
      </c>
      <c r="Q1307" s="10" cm="1">
        <f t="array" ref="Q1307">IFERROR(INDEX(Sheet4!$2:$1605,MATCH(ChiTietKQKD[[#This Row],[Mã CP]],Sheet4!$B$2:$B$1605,0),_xlfn.XMATCH("*Tăng trưởng doanh thu thuần (QoQ)*",Sheet4!$1:$1,2)),"")</f>
        <v>-2.8299999999999999E-2</v>
      </c>
      <c r="R1307" s="10" cm="1">
        <f t="array" ref="R1307">IFERROR(INDEX(Sheet4!$2:$1605,MATCH(ChiTietKQKD[[#This Row],[Mã CP]],Sheet4!$B$2:$B$1605,0),_xlfn.XMATCH("*Tăng trưởng lợi nhuận sau thuế (QoQ)*",Sheet4!$1:$1,2)),"")</f>
        <v>0.23899999999999999</v>
      </c>
    </row>
    <row r="1308" spans="1:18" x14ac:dyDescent="0.25">
      <c r="A1308" s="7">
        <f>Sheet4!A1287</f>
        <v>1286</v>
      </c>
      <c r="B1308" t="str">
        <f>Sheet4!B1287</f>
        <v>PTE</v>
      </c>
      <c r="C1308" t="str">
        <f>Sheet4!C1286</f>
        <v>DV Dầu Khí Đình Vũ</v>
      </c>
      <c r="D1308" t="str">
        <f>Sheet4!D1287</f>
        <v>UPCoM</v>
      </c>
      <c r="E1308" s="7">
        <f>Sheet4!AH1287/1000000000</f>
        <v>70.358500800000002</v>
      </c>
      <c r="F1308" t="str">
        <f>Sheet4!E1287</f>
        <v>Công nghiệp</v>
      </c>
      <c r="G1308" t="str">
        <f>Sheet4!F1287</f>
        <v>Xây dựng và Vật liệu</v>
      </c>
      <c r="H1308" t="str">
        <f>Sheet4!G1287</f>
        <v>Vật liệu xây dựng &amp; Nội thất</v>
      </c>
      <c r="I1308" s="9" cm="1">
        <f t="array" ref="I130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30.103007603999998</v>
      </c>
      <c r="J1308" s="9" cm="1">
        <f t="array" ref="J130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62.516981590999997</v>
      </c>
      <c r="K1308" s="10" cm="1">
        <f t="array" ref="K130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-0.2384</v>
      </c>
      <c r="L1308" s="10" cm="1">
        <f t="array" ref="L130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-0.21</v>
      </c>
      <c r="M1308" s="9" cm="1">
        <f t="array" ref="M1308">_xlfn.LET(_xlpm.val,IFERROR(INDEX(Sheet4!$2:$1605,MATCH(ChiTietKQKD[[#This Row],[Mã CP]],Sheet4!$B$2:$B$1605,0),_xlfn.XMATCH("*Lợi nhuận sau thuế*Q2*2026*",Sheet4!$1:$1,2)),0),IF(OR(_xlpm.val="",_xlpm.val=0),"",_xlpm.val/1000000000))</f>
        <v>-8.8759274080000008</v>
      </c>
      <c r="N1308" s="9" cm="1">
        <f t="array" ref="N1308">_xlfn.LET(_xlpm.val,IFERROR(INDEX(Sheet4!$2:$1605,MATCH(ChiTietKQKD[[#This Row],[Mã CP]],Sheet4!$B$2:$B$1605,0),_xlfn.XMATCH("*Lợi nhuận sau thuế*6 tháng*2026*",Sheet4!$1:$1,2)),0),IF(OR(_xlpm.val="",_xlpm.val=0),"",_xlpm.val/1000000000))</f>
        <v>-17.890034368999999</v>
      </c>
      <c r="O1308" s="10" cm="1">
        <f t="array" ref="O1308">IFERROR(INDEX(Sheet4!$2:$1605,MATCH(ChiTietKQKD[[#This Row],[Mã CP]],Sheet4!$B$2:$B$1605,0),_xlfn.XMATCH("*Tăng trưởng lợi nhuận sau thuế (YoY) (Quý*",Sheet4!$1:$1,2)),"")</f>
        <v>0.43619999999999998</v>
      </c>
      <c r="P1308" s="10" cm="1">
        <f t="array" ref="P1308">IFERROR(INDEX(Sheet4!$2:$1605,MATCH(ChiTietKQKD[[#This Row],[Mã CP]],Sheet4!$B$2:$B$1605,0),_xlfn.XMATCH("*Tăng trưởng lợi nhuận sau thuế (YoY) (6M)*",Sheet4!$1:$1,2)),"")</f>
        <v>0.2621</v>
      </c>
      <c r="Q1308" s="10" cm="1">
        <f t="array" ref="Q1308">IFERROR(INDEX(Sheet4!$2:$1605,MATCH(ChiTietKQKD[[#This Row],[Mã CP]],Sheet4!$B$2:$B$1605,0),_xlfn.XMATCH("*Tăng trưởng doanh thu thuần (QoQ)*",Sheet4!$1:$1,2)),"")</f>
        <v>-7.1300000000000002E-2</v>
      </c>
      <c r="R1308" s="10" cm="1">
        <f t="array" ref="R1308">IFERROR(INDEX(Sheet4!$2:$1605,MATCH(ChiTietKQKD[[#This Row],[Mã CP]],Sheet4!$B$2:$B$1605,0),_xlfn.XMATCH("*Tăng trưởng lợi nhuận sau thuế (QoQ)*",Sheet4!$1:$1,2)),"")</f>
        <v>1.5299999999999999E-2</v>
      </c>
    </row>
    <row r="1309" spans="1:18" x14ac:dyDescent="0.25">
      <c r="A1309" s="7">
        <f>Sheet4!A1288</f>
        <v>1287</v>
      </c>
      <c r="B1309" t="str">
        <f>Sheet4!B1288</f>
        <v>PTG</v>
      </c>
      <c r="C1309" t="str">
        <f>Sheet4!C1287</f>
        <v>Xi măng Phú Thọ</v>
      </c>
      <c r="D1309" t="str">
        <f>Sheet4!D1288</f>
        <v>UPCoM</v>
      </c>
      <c r="E1309" s="7">
        <f>Sheet4!AH1288/1000000000</f>
        <v>7.9938960000000003</v>
      </c>
      <c r="F1309" t="str">
        <f>Sheet4!E1288</f>
        <v>Hàng Tiêu dùng</v>
      </c>
      <c r="G1309" t="str">
        <f>Sheet4!F1288</f>
        <v>Hàng cá nhân &amp; Gia dụng</v>
      </c>
      <c r="H1309" t="str">
        <f>Sheet4!G1288</f>
        <v>Hàng May mặc</v>
      </c>
      <c r="I1309" s="9" t="str" cm="1">
        <f t="array" ref="I130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09" s="9" t="str" cm="1">
        <f t="array" ref="J130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09" s="10" cm="1">
        <f t="array" ref="K130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09" s="10" cm="1">
        <f t="array" ref="L130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09" s="9" t="str" cm="1">
        <f t="array" ref="M130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09" s="9" t="str" cm="1">
        <f t="array" ref="N130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09" s="10" cm="1">
        <f t="array" ref="O1309">IFERROR(INDEX(Sheet4!$2:$1605,MATCH(ChiTietKQKD[[#This Row],[Mã CP]],Sheet4!$B$2:$B$1605,0),_xlfn.XMATCH("*Tăng trưởng lợi nhuận sau thuế (YoY) (Quý*",Sheet4!$1:$1,2)),"")</f>
        <v>0</v>
      </c>
      <c r="P1309" s="10" cm="1">
        <f t="array" ref="P1309">IFERROR(INDEX(Sheet4!$2:$1605,MATCH(ChiTietKQKD[[#This Row],[Mã CP]],Sheet4!$B$2:$B$1605,0),_xlfn.XMATCH("*Tăng trưởng lợi nhuận sau thuế (YoY) (6M)*",Sheet4!$1:$1,2)),"")</f>
        <v>0</v>
      </c>
      <c r="Q1309" s="10" cm="1">
        <f t="array" ref="Q1309">IFERROR(INDEX(Sheet4!$2:$1605,MATCH(ChiTietKQKD[[#This Row],[Mã CP]],Sheet4!$B$2:$B$1605,0),_xlfn.XMATCH("*Tăng trưởng doanh thu thuần (QoQ)*",Sheet4!$1:$1,2)),"")</f>
        <v>0</v>
      </c>
      <c r="R1309" s="10" cm="1">
        <f t="array" ref="R1309">IFERROR(INDEX(Sheet4!$2:$1605,MATCH(ChiTietKQKD[[#This Row],[Mã CP]],Sheet4!$B$2:$B$1605,0),_xlfn.XMATCH("*Tăng trưởng lợi nhuận sau thuế (QoQ)*",Sheet4!$1:$1,2)),"")</f>
        <v>0</v>
      </c>
    </row>
    <row r="1310" spans="1:18" x14ac:dyDescent="0.25">
      <c r="A1310" s="7">
        <f>Sheet4!A1289</f>
        <v>1288</v>
      </c>
      <c r="B1310" t="str">
        <f>Sheet4!B1289</f>
        <v>PTH</v>
      </c>
      <c r="C1310" t="str">
        <f>Sheet4!C1288</f>
        <v>May Phan Thiết</v>
      </c>
      <c r="D1310" t="str">
        <f>Sheet4!D1289</f>
        <v>UPCoM</v>
      </c>
      <c r="E1310" s="7">
        <f>Sheet4!AH1289/1000000000</f>
        <v>42.037967999999999</v>
      </c>
      <c r="F1310" t="str">
        <f>Sheet4!E1289</f>
        <v>Tiện ích Cộng đồng</v>
      </c>
      <c r="G1310" t="str">
        <f>Sheet4!F1289</f>
        <v>Điện, nước &amp; xăng dầu khí đốt</v>
      </c>
      <c r="H1310" t="str">
        <f>Sheet4!G1289</f>
        <v>Phân phối xăng dầu &amp; khí đốt</v>
      </c>
      <c r="I1310" s="9" t="str" cm="1">
        <f t="array" ref="I131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10" s="9" t="str" cm="1">
        <f t="array" ref="J131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10" s="10" cm="1">
        <f t="array" ref="K131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10" s="10" cm="1">
        <f t="array" ref="L131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10" s="9" t="str" cm="1">
        <f t="array" ref="M131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10" s="9" t="str" cm="1">
        <f t="array" ref="N131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10" s="10" cm="1">
        <f t="array" ref="O1310">IFERROR(INDEX(Sheet4!$2:$1605,MATCH(ChiTietKQKD[[#This Row],[Mã CP]],Sheet4!$B$2:$B$1605,0),_xlfn.XMATCH("*Tăng trưởng lợi nhuận sau thuế (YoY) (Quý*",Sheet4!$1:$1,2)),"")</f>
        <v>0</v>
      </c>
      <c r="P1310" s="10" cm="1">
        <f t="array" ref="P1310">IFERROR(INDEX(Sheet4!$2:$1605,MATCH(ChiTietKQKD[[#This Row],[Mã CP]],Sheet4!$B$2:$B$1605,0),_xlfn.XMATCH("*Tăng trưởng lợi nhuận sau thuế (YoY) (6M)*",Sheet4!$1:$1,2)),"")</f>
        <v>0</v>
      </c>
      <c r="Q1310" s="10" cm="1">
        <f t="array" ref="Q1310">IFERROR(INDEX(Sheet4!$2:$1605,MATCH(ChiTietKQKD[[#This Row],[Mã CP]],Sheet4!$B$2:$B$1605,0),_xlfn.XMATCH("*Tăng trưởng doanh thu thuần (QoQ)*",Sheet4!$1:$1,2)),"")</f>
        <v>0</v>
      </c>
      <c r="R1310" s="10" cm="1">
        <f t="array" ref="R1310">IFERROR(INDEX(Sheet4!$2:$1605,MATCH(ChiTietKQKD[[#This Row],[Mã CP]],Sheet4!$B$2:$B$1605,0),_xlfn.XMATCH("*Tăng trưởng lợi nhuận sau thuế (QoQ)*",Sheet4!$1:$1,2)),"")</f>
        <v>0</v>
      </c>
    </row>
    <row r="1311" spans="1:18" x14ac:dyDescent="0.25">
      <c r="A1311" s="7">
        <f>Sheet4!A1290</f>
        <v>1289</v>
      </c>
      <c r="B1311" t="str">
        <f>Sheet4!B1290</f>
        <v>PTM</v>
      </c>
      <c r="C1311" t="str">
        <f>Sheet4!C1289</f>
        <v>Vận tải và DV Petrolimex Hà Tây</v>
      </c>
      <c r="D1311" t="str">
        <f>Sheet4!D1290</f>
        <v>UPCoM</v>
      </c>
      <c r="E1311" s="7">
        <f>Sheet4!AH1290/1000000000</f>
        <v>401.27992019999999</v>
      </c>
      <c r="F1311" t="str">
        <f>Sheet4!E1290</f>
        <v>Hàng Tiêu dùng</v>
      </c>
      <c r="G1311" t="str">
        <f>Sheet4!F1290</f>
        <v>Ô tô và phụ tùng</v>
      </c>
      <c r="H1311" t="str">
        <f>Sheet4!G1290</f>
        <v>Sản xuất ô tô</v>
      </c>
      <c r="I1311" s="9" t="str" cm="1">
        <f t="array" ref="I131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11" s="9" t="str" cm="1">
        <f t="array" ref="J131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11" s="10" cm="1">
        <f t="array" ref="K131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11" s="10" cm="1">
        <f t="array" ref="L131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11" s="9" t="str" cm="1">
        <f t="array" ref="M131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11" s="9" t="str" cm="1">
        <f t="array" ref="N131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11" s="10" cm="1">
        <f t="array" ref="O1311">IFERROR(INDEX(Sheet4!$2:$1605,MATCH(ChiTietKQKD[[#This Row],[Mã CP]],Sheet4!$B$2:$B$1605,0),_xlfn.XMATCH("*Tăng trưởng lợi nhuận sau thuế (YoY) (Quý*",Sheet4!$1:$1,2)),"")</f>
        <v>0</v>
      </c>
      <c r="P1311" s="10" cm="1">
        <f t="array" ref="P1311">IFERROR(INDEX(Sheet4!$2:$1605,MATCH(ChiTietKQKD[[#This Row],[Mã CP]],Sheet4!$B$2:$B$1605,0),_xlfn.XMATCH("*Tăng trưởng lợi nhuận sau thuế (YoY) (6M)*",Sheet4!$1:$1,2)),"")</f>
        <v>0</v>
      </c>
      <c r="Q1311" s="10" cm="1">
        <f t="array" ref="Q1311">IFERROR(INDEX(Sheet4!$2:$1605,MATCH(ChiTietKQKD[[#This Row],[Mã CP]],Sheet4!$B$2:$B$1605,0),_xlfn.XMATCH("*Tăng trưởng doanh thu thuần (QoQ)*",Sheet4!$1:$1,2)),"")</f>
        <v>0</v>
      </c>
      <c r="R1311" s="10" cm="1">
        <f t="array" ref="R1311">IFERROR(INDEX(Sheet4!$2:$1605,MATCH(ChiTietKQKD[[#This Row],[Mã CP]],Sheet4!$B$2:$B$1605,0),_xlfn.XMATCH("*Tăng trưởng lợi nhuận sau thuế (QoQ)*",Sheet4!$1:$1,2)),"")</f>
        <v>0</v>
      </c>
    </row>
    <row r="1312" spans="1:18" x14ac:dyDescent="0.25">
      <c r="A1312" s="7">
        <f>Sheet4!A1291</f>
        <v>1290</v>
      </c>
      <c r="B1312" t="str">
        <f>Sheet4!B1291</f>
        <v>PTO</v>
      </c>
      <c r="C1312" t="str">
        <f>Sheet4!C1290</f>
        <v>Ô tô PTM</v>
      </c>
      <c r="D1312" t="str">
        <f>Sheet4!D1291</f>
        <v>UPCoM</v>
      </c>
      <c r="E1312" s="7">
        <f>Sheet4!AH1291/1000000000</f>
        <v>24</v>
      </c>
      <c r="F1312" t="str">
        <f>Sheet4!E1291</f>
        <v>Công nghiệp</v>
      </c>
      <c r="G1312" t="str">
        <f>Sheet4!F1291</f>
        <v>Xây dựng và Vật liệu</v>
      </c>
      <c r="H1312" t="str">
        <f>Sheet4!G1291</f>
        <v>Xây dựng</v>
      </c>
      <c r="I1312" s="9" t="str" cm="1">
        <f t="array" ref="I131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12" s="9" t="str" cm="1">
        <f t="array" ref="J131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12" s="10" cm="1">
        <f t="array" ref="K131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12" s="10" cm="1">
        <f t="array" ref="L131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12" s="9" t="str" cm="1">
        <f t="array" ref="M131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12" s="9" t="str" cm="1">
        <f t="array" ref="N131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12" s="10" cm="1">
        <f t="array" ref="O1312">IFERROR(INDEX(Sheet4!$2:$1605,MATCH(ChiTietKQKD[[#This Row],[Mã CP]],Sheet4!$B$2:$B$1605,0),_xlfn.XMATCH("*Tăng trưởng lợi nhuận sau thuế (YoY) (Quý*",Sheet4!$1:$1,2)),"")</f>
        <v>0</v>
      </c>
      <c r="P1312" s="10" cm="1">
        <f t="array" ref="P1312">IFERROR(INDEX(Sheet4!$2:$1605,MATCH(ChiTietKQKD[[#This Row],[Mã CP]],Sheet4!$B$2:$B$1605,0),_xlfn.XMATCH("*Tăng trưởng lợi nhuận sau thuế (YoY) (6M)*",Sheet4!$1:$1,2)),"")</f>
        <v>0</v>
      </c>
      <c r="Q1312" s="10" cm="1">
        <f t="array" ref="Q1312">IFERROR(INDEX(Sheet4!$2:$1605,MATCH(ChiTietKQKD[[#This Row],[Mã CP]],Sheet4!$B$2:$B$1605,0),_xlfn.XMATCH("*Tăng trưởng doanh thu thuần (QoQ)*",Sheet4!$1:$1,2)),"")</f>
        <v>0</v>
      </c>
      <c r="R1312" s="10" cm="1">
        <f t="array" ref="R1312">IFERROR(INDEX(Sheet4!$2:$1605,MATCH(ChiTietKQKD[[#This Row],[Mã CP]],Sheet4!$B$2:$B$1605,0),_xlfn.XMATCH("*Tăng trưởng lợi nhuận sau thuế (QoQ)*",Sheet4!$1:$1,2)),"")</f>
        <v>0</v>
      </c>
    </row>
    <row r="1313" spans="1:18" x14ac:dyDescent="0.25">
      <c r="A1313" s="7">
        <f>Sheet4!A1292</f>
        <v>1291</v>
      </c>
      <c r="B1313" t="str">
        <f>Sheet4!B1292</f>
        <v>PTP</v>
      </c>
      <c r="C1313" t="str">
        <f>Sheet4!C1291</f>
        <v>Xây dựng Công trình Bưu điện</v>
      </c>
      <c r="D1313" t="str">
        <f>Sheet4!D1292</f>
        <v>UPCoM</v>
      </c>
      <c r="E1313" s="7">
        <f>Sheet4!AH1292/1000000000</f>
        <v>73.385036999999997</v>
      </c>
      <c r="F1313" t="str">
        <f>Sheet4!E1292</f>
        <v>Viễn thông</v>
      </c>
      <c r="G1313" t="str">
        <f>Sheet4!F1292</f>
        <v>Viễn thông</v>
      </c>
      <c r="H1313" t="str">
        <f>Sheet4!G1292</f>
        <v>Viễn thông cố định</v>
      </c>
      <c r="I1313" s="9" t="str" cm="1">
        <f t="array" ref="I131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13" s="9" t="str" cm="1">
        <f t="array" ref="J131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13" s="10" cm="1">
        <f t="array" ref="K131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13" s="10" cm="1">
        <f t="array" ref="L131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13" s="9" t="str" cm="1">
        <f t="array" ref="M131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13" s="9" t="str" cm="1">
        <f t="array" ref="N131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13" s="10" cm="1">
        <f t="array" ref="O1313">IFERROR(INDEX(Sheet4!$2:$1605,MATCH(ChiTietKQKD[[#This Row],[Mã CP]],Sheet4!$B$2:$B$1605,0),_xlfn.XMATCH("*Tăng trưởng lợi nhuận sau thuế (YoY) (Quý*",Sheet4!$1:$1,2)),"")</f>
        <v>0</v>
      </c>
      <c r="P1313" s="10" cm="1">
        <f t="array" ref="P1313">IFERROR(INDEX(Sheet4!$2:$1605,MATCH(ChiTietKQKD[[#This Row],[Mã CP]],Sheet4!$B$2:$B$1605,0),_xlfn.XMATCH("*Tăng trưởng lợi nhuận sau thuế (YoY) (6M)*",Sheet4!$1:$1,2)),"")</f>
        <v>0</v>
      </c>
      <c r="Q1313" s="10" cm="1">
        <f t="array" ref="Q1313">IFERROR(INDEX(Sheet4!$2:$1605,MATCH(ChiTietKQKD[[#This Row],[Mã CP]],Sheet4!$B$2:$B$1605,0),_xlfn.XMATCH("*Tăng trưởng doanh thu thuần (QoQ)*",Sheet4!$1:$1,2)),"")</f>
        <v>0</v>
      </c>
      <c r="R1313" s="10" cm="1">
        <f t="array" ref="R1313">IFERROR(INDEX(Sheet4!$2:$1605,MATCH(ChiTietKQKD[[#This Row],[Mã CP]],Sheet4!$B$2:$B$1605,0),_xlfn.XMATCH("*Tăng trưởng lợi nhuận sau thuế (QoQ)*",Sheet4!$1:$1,2)),"")</f>
        <v>0</v>
      </c>
    </row>
    <row r="1314" spans="1:18" x14ac:dyDescent="0.25">
      <c r="A1314" s="7">
        <f>Sheet4!A1293</f>
        <v>1292</v>
      </c>
      <c r="B1314" t="str">
        <f>Sheet4!B1293</f>
        <v>PTT</v>
      </c>
      <c r="C1314" t="str">
        <f>Sheet4!C1292</f>
        <v>Viễn Thông và In Bưu điện</v>
      </c>
      <c r="D1314" t="str">
        <f>Sheet4!D1293</f>
        <v>UPCoM</v>
      </c>
      <c r="E1314" s="7">
        <f>Sheet4!AH1293/1000000000</f>
        <v>148.438548</v>
      </c>
      <c r="F1314" t="str">
        <f>Sheet4!E1293</f>
        <v>Công nghiệp</v>
      </c>
      <c r="G1314" t="str">
        <f>Sheet4!F1293</f>
        <v>Hàng &amp; Dịch vụ Công nghiệp</v>
      </c>
      <c r="H1314" t="str">
        <f>Sheet4!G1293</f>
        <v>Dịch vụ vận tải</v>
      </c>
      <c r="I1314" s="9" t="str" cm="1">
        <f t="array" ref="I131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14" s="9" t="str" cm="1">
        <f t="array" ref="J131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14" s="10" cm="1">
        <f t="array" ref="K131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14" s="10" cm="1">
        <f t="array" ref="L131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14" s="9" t="str" cm="1">
        <f t="array" ref="M131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14" s="9" t="str" cm="1">
        <f t="array" ref="N131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14" s="10" cm="1">
        <f t="array" ref="O1314">IFERROR(INDEX(Sheet4!$2:$1605,MATCH(ChiTietKQKD[[#This Row],[Mã CP]],Sheet4!$B$2:$B$1605,0),_xlfn.XMATCH("*Tăng trưởng lợi nhuận sau thuế (YoY) (Quý*",Sheet4!$1:$1,2)),"")</f>
        <v>0</v>
      </c>
      <c r="P1314" s="10" cm="1">
        <f t="array" ref="P1314">IFERROR(INDEX(Sheet4!$2:$1605,MATCH(ChiTietKQKD[[#This Row],[Mã CP]],Sheet4!$B$2:$B$1605,0),_xlfn.XMATCH("*Tăng trưởng lợi nhuận sau thuế (YoY) (6M)*",Sheet4!$1:$1,2)),"")</f>
        <v>0</v>
      </c>
      <c r="Q1314" s="10" cm="1">
        <f t="array" ref="Q1314">IFERROR(INDEX(Sheet4!$2:$1605,MATCH(ChiTietKQKD[[#This Row],[Mã CP]],Sheet4!$B$2:$B$1605,0),_xlfn.XMATCH("*Tăng trưởng doanh thu thuần (QoQ)*",Sheet4!$1:$1,2)),"")</f>
        <v>0</v>
      </c>
      <c r="R1314" s="10" cm="1">
        <f t="array" ref="R1314">IFERROR(INDEX(Sheet4!$2:$1605,MATCH(ChiTietKQKD[[#This Row],[Mã CP]],Sheet4!$B$2:$B$1605,0),_xlfn.XMATCH("*Tăng trưởng lợi nhuận sau thuế (QoQ)*",Sheet4!$1:$1,2)),"")</f>
        <v>0</v>
      </c>
    </row>
    <row r="1315" spans="1:18" x14ac:dyDescent="0.25">
      <c r="A1315" s="7">
        <f>Sheet4!A1294</f>
        <v>1293</v>
      </c>
      <c r="B1315" t="str">
        <f>Sheet4!B1294</f>
        <v>PTV</v>
      </c>
      <c r="C1315" t="str">
        <f>Sheet4!C1293</f>
        <v>Vận tải Dầu khí Đông Dương</v>
      </c>
      <c r="D1315" t="str">
        <f>Sheet4!D1294</f>
        <v>UPCoM</v>
      </c>
      <c r="E1315" s="7">
        <f>Sheet4!AH1294/1000000000</f>
        <v>87.26</v>
      </c>
      <c r="F1315" t="str">
        <f>Sheet4!E1294</f>
        <v>Dầu khí</v>
      </c>
      <c r="G1315" t="str">
        <f>Sheet4!F1294</f>
        <v>Dầu khí</v>
      </c>
      <c r="H1315" t="str">
        <f>Sheet4!G1294</f>
        <v>Thiết bị và Dịch vụ Dầu khí</v>
      </c>
      <c r="I1315" s="9" t="str" cm="1">
        <f t="array" ref="I131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15" s="9" t="str" cm="1">
        <f t="array" ref="J131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15" s="10" cm="1">
        <f t="array" ref="K131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15" s="10" cm="1">
        <f t="array" ref="L131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15" s="9" t="str" cm="1">
        <f t="array" ref="M131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15" s="9" t="str" cm="1">
        <f t="array" ref="N131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15" s="10" cm="1">
        <f t="array" ref="O1315">IFERROR(INDEX(Sheet4!$2:$1605,MATCH(ChiTietKQKD[[#This Row],[Mã CP]],Sheet4!$B$2:$B$1605,0),_xlfn.XMATCH("*Tăng trưởng lợi nhuận sau thuế (YoY) (Quý*",Sheet4!$1:$1,2)),"")</f>
        <v>0</v>
      </c>
      <c r="P1315" s="10" cm="1">
        <f t="array" ref="P1315">IFERROR(INDEX(Sheet4!$2:$1605,MATCH(ChiTietKQKD[[#This Row],[Mã CP]],Sheet4!$B$2:$B$1605,0),_xlfn.XMATCH("*Tăng trưởng lợi nhuận sau thuế (YoY) (6M)*",Sheet4!$1:$1,2)),"")</f>
        <v>0</v>
      </c>
      <c r="Q1315" s="10" cm="1">
        <f t="array" ref="Q1315">IFERROR(INDEX(Sheet4!$2:$1605,MATCH(ChiTietKQKD[[#This Row],[Mã CP]],Sheet4!$B$2:$B$1605,0),_xlfn.XMATCH("*Tăng trưởng doanh thu thuần (QoQ)*",Sheet4!$1:$1,2)),"")</f>
        <v>0</v>
      </c>
      <c r="R1315" s="10" cm="1">
        <f t="array" ref="R1315">IFERROR(INDEX(Sheet4!$2:$1605,MATCH(ChiTietKQKD[[#This Row],[Mã CP]],Sheet4!$B$2:$B$1605,0),_xlfn.XMATCH("*Tăng trưởng lợi nhuận sau thuế (QoQ)*",Sheet4!$1:$1,2)),"")</f>
        <v>0</v>
      </c>
    </row>
    <row r="1316" spans="1:18" x14ac:dyDescent="0.25">
      <c r="A1316" s="7">
        <f>Sheet4!A1295</f>
        <v>1294</v>
      </c>
      <c r="B1316" t="str">
        <f>Sheet4!B1295</f>
        <v>PVE</v>
      </c>
      <c r="C1316" t="str">
        <f>Sheet4!C1294</f>
        <v>Thương mại dầu khí</v>
      </c>
      <c r="D1316" t="str">
        <f>Sheet4!D1295</f>
        <v>UPCoM</v>
      </c>
      <c r="E1316" s="7">
        <f>Sheet4!AH1295/1000000000</f>
        <v>60</v>
      </c>
      <c r="F1316" t="str">
        <f>Sheet4!E1295</f>
        <v>Dầu khí</v>
      </c>
      <c r="G1316" t="str">
        <f>Sheet4!F1295</f>
        <v>Dầu khí</v>
      </c>
      <c r="H1316" t="str">
        <f>Sheet4!G1295</f>
        <v>Thiết bị và Dịch vụ Dầu khí</v>
      </c>
      <c r="I1316" s="9" t="str" cm="1">
        <f t="array" ref="I131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16" s="9" t="str" cm="1">
        <f t="array" ref="J131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16" s="10" cm="1">
        <f t="array" ref="K131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16" s="10" cm="1">
        <f t="array" ref="L131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16" s="9" t="str" cm="1">
        <f t="array" ref="M131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16" s="9" t="str" cm="1">
        <f t="array" ref="N131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16" s="10" cm="1">
        <f t="array" ref="O1316">IFERROR(INDEX(Sheet4!$2:$1605,MATCH(ChiTietKQKD[[#This Row],[Mã CP]],Sheet4!$B$2:$B$1605,0),_xlfn.XMATCH("*Tăng trưởng lợi nhuận sau thuế (YoY) (Quý*",Sheet4!$1:$1,2)),"")</f>
        <v>0</v>
      </c>
      <c r="P1316" s="10" cm="1">
        <f t="array" ref="P1316">IFERROR(INDEX(Sheet4!$2:$1605,MATCH(ChiTietKQKD[[#This Row],[Mã CP]],Sheet4!$B$2:$B$1605,0),_xlfn.XMATCH("*Tăng trưởng lợi nhuận sau thuế (YoY) (6M)*",Sheet4!$1:$1,2)),"")</f>
        <v>0</v>
      </c>
      <c r="Q1316" s="10" cm="1">
        <f t="array" ref="Q1316">IFERROR(INDEX(Sheet4!$2:$1605,MATCH(ChiTietKQKD[[#This Row],[Mã CP]],Sheet4!$B$2:$B$1605,0),_xlfn.XMATCH("*Tăng trưởng doanh thu thuần (QoQ)*",Sheet4!$1:$1,2)),"")</f>
        <v>0</v>
      </c>
      <c r="R1316" s="10" cm="1">
        <f t="array" ref="R1316">IFERROR(INDEX(Sheet4!$2:$1605,MATCH(ChiTietKQKD[[#This Row],[Mã CP]],Sheet4!$B$2:$B$1605,0),_xlfn.XMATCH("*Tăng trưởng lợi nhuận sau thuế (QoQ)*",Sheet4!$1:$1,2)),"")</f>
        <v>0</v>
      </c>
    </row>
    <row r="1317" spans="1:18" x14ac:dyDescent="0.25">
      <c r="A1317" s="7">
        <f>Sheet4!A1296</f>
        <v>1295</v>
      </c>
      <c r="B1317" t="str">
        <f>Sheet4!B1296</f>
        <v>PVH</v>
      </c>
      <c r="C1317" t="str">
        <f>Sheet4!C1295</f>
        <v>Tư vấn Dầu khí</v>
      </c>
      <c r="D1317" t="str">
        <f>Sheet4!D1296</f>
        <v>UPCoM</v>
      </c>
      <c r="E1317" s="7">
        <f>Sheet4!AH1296/1000000000</f>
        <v>12.6</v>
      </c>
      <c r="F1317" t="str">
        <f>Sheet4!E1296</f>
        <v>Công nghiệp</v>
      </c>
      <c r="G1317" t="str">
        <f>Sheet4!F1296</f>
        <v>Xây dựng và Vật liệu</v>
      </c>
      <c r="H1317" t="str">
        <f>Sheet4!G1296</f>
        <v>Xây dựng</v>
      </c>
      <c r="I1317" s="9" cm="1">
        <f t="array" ref="I131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7.174391805</v>
      </c>
      <c r="J1317" s="9" t="str" cm="1">
        <f t="array" ref="J131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17" s="10" cm="1">
        <f t="array" ref="K131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0.85570000000000002</v>
      </c>
      <c r="L1317" s="10" cm="1">
        <f t="array" ref="L131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1.8221000000000001</v>
      </c>
      <c r="M1317" s="9" cm="1">
        <f t="array" ref="M1317">_xlfn.LET(_xlpm.val,IFERROR(INDEX(Sheet4!$2:$1605,MATCH(ChiTietKQKD[[#This Row],[Mã CP]],Sheet4!$B$2:$B$1605,0),_xlfn.XMATCH("*Lợi nhuận sau thuế*Q2*2026*",Sheet4!$1:$1,2)),0),IF(OR(_xlpm.val="",_xlpm.val=0),"",_xlpm.val/1000000000))</f>
        <v>-1.7936179059999999</v>
      </c>
      <c r="N1317" s="9" t="str" cm="1">
        <f t="array" ref="N131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17" s="10" cm="1">
        <f t="array" ref="O1317">IFERROR(INDEX(Sheet4!$2:$1605,MATCH(ChiTietKQKD[[#This Row],[Mã CP]],Sheet4!$B$2:$B$1605,0),_xlfn.XMATCH("*Tăng trưởng lợi nhuận sau thuế (YoY) (Quý*",Sheet4!$1:$1,2)),"")</f>
        <v>0.1221</v>
      </c>
      <c r="P1317" s="10" cm="1">
        <f t="array" ref="P1317">IFERROR(INDEX(Sheet4!$2:$1605,MATCH(ChiTietKQKD[[#This Row],[Mã CP]],Sheet4!$B$2:$B$1605,0),_xlfn.XMATCH("*Tăng trưởng lợi nhuận sau thuế (YoY) (6M)*",Sheet4!$1:$1,2)),"")</f>
        <v>0.13739999999999999</v>
      </c>
      <c r="Q1317" s="10" cm="1">
        <f t="array" ref="Q1317">IFERROR(INDEX(Sheet4!$2:$1605,MATCH(ChiTietKQKD[[#This Row],[Mã CP]],Sheet4!$B$2:$B$1605,0),_xlfn.XMATCH("*Tăng trưởng doanh thu thuần (QoQ)*",Sheet4!$1:$1,2)),"")</f>
        <v>0.34560000000000002</v>
      </c>
      <c r="R1317" s="10" cm="1">
        <f t="array" ref="R1317">IFERROR(INDEX(Sheet4!$2:$1605,MATCH(ChiTietKQKD[[#This Row],[Mã CP]],Sheet4!$B$2:$B$1605,0),_xlfn.XMATCH("*Tăng trưởng lợi nhuận sau thuế (QoQ)*",Sheet4!$1:$1,2)),"")</f>
        <v>5.9200000000000003E-2</v>
      </c>
    </row>
    <row r="1318" spans="1:18" x14ac:dyDescent="0.25">
      <c r="A1318" s="7">
        <f>Sheet4!A1297</f>
        <v>1296</v>
      </c>
      <c r="B1318" t="str">
        <f>Sheet4!B1297</f>
        <v>PVL</v>
      </c>
      <c r="C1318" t="str">
        <f>Sheet4!C1296</f>
        <v>Xây lắp Dầu khí Thanh Hóa</v>
      </c>
      <c r="D1318" t="str">
        <f>Sheet4!D1297</f>
        <v>UPCoM</v>
      </c>
      <c r="E1318" s="7">
        <f>Sheet4!AH1297/1000000000</f>
        <v>135</v>
      </c>
      <c r="F1318" t="str">
        <f>Sheet4!E1297</f>
        <v>Tài chính</v>
      </c>
      <c r="G1318" t="str">
        <f>Sheet4!F1297</f>
        <v>Bất động sản</v>
      </c>
      <c r="H1318" t="str">
        <f>Sheet4!G1297</f>
        <v>Bất động sản</v>
      </c>
      <c r="I1318" s="9" cm="1">
        <f t="array" ref="I131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3.175729113</v>
      </c>
      <c r="J1318" s="9" cm="1">
        <f t="array" ref="J131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5.739300633</v>
      </c>
      <c r="K1318" s="10" cm="1">
        <f t="array" ref="K131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40.331099999999999</v>
      </c>
      <c r="L1318" s="10" cm="1">
        <f t="array" ref="L131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18" s="9" cm="1">
        <f t="array" ref="M1318">_xlfn.LET(_xlpm.val,IFERROR(INDEX(Sheet4!$2:$1605,MATCH(ChiTietKQKD[[#This Row],[Mã CP]],Sheet4!$B$2:$B$1605,0),_xlfn.XMATCH("*Lợi nhuận sau thuế*Q2*2026*",Sheet4!$1:$1,2)),0),IF(OR(_xlpm.val="",_xlpm.val=0),"",_xlpm.val/1000000000))</f>
        <v>-1.7003152450000001</v>
      </c>
      <c r="N1318" s="9" cm="1">
        <f t="array" ref="N1318">_xlfn.LET(_xlpm.val,IFERROR(INDEX(Sheet4!$2:$1605,MATCH(ChiTietKQKD[[#This Row],[Mã CP]],Sheet4!$B$2:$B$1605,0),_xlfn.XMATCH("*Lợi nhuận sau thuế*6 tháng*2026*",Sheet4!$1:$1,2)),0),IF(OR(_xlpm.val="",_xlpm.val=0),"",_xlpm.val/1000000000))</f>
        <v>-0.44771764800000002</v>
      </c>
      <c r="O1318" s="10" cm="1">
        <f t="array" ref="O1318">IFERROR(INDEX(Sheet4!$2:$1605,MATCH(ChiTietKQKD[[#This Row],[Mã CP]],Sheet4!$B$2:$B$1605,0),_xlfn.XMATCH("*Tăng trưởng lợi nhuận sau thuế (YoY) (Quý*",Sheet4!$1:$1,2)),"")</f>
        <v>-0.316</v>
      </c>
      <c r="P1318" s="10" cm="1">
        <f t="array" ref="P1318">IFERROR(INDEX(Sheet4!$2:$1605,MATCH(ChiTietKQKD[[#This Row],[Mã CP]],Sheet4!$B$2:$B$1605,0),_xlfn.XMATCH("*Tăng trưởng lợi nhuận sau thuế (YoY) (6M)*",Sheet4!$1:$1,2)),"")</f>
        <v>0</v>
      </c>
      <c r="Q1318" s="10" cm="1">
        <f t="array" ref="Q1318">IFERROR(INDEX(Sheet4!$2:$1605,MATCH(ChiTietKQKD[[#This Row],[Mã CP]],Sheet4!$B$2:$B$1605,0),_xlfn.XMATCH("*Tăng trưởng doanh thu thuần (QoQ)*",Sheet4!$1:$1,2)),"")</f>
        <v>0.23880000000000001</v>
      </c>
      <c r="R1318" s="10" cm="1">
        <f t="array" ref="R1318">IFERROR(INDEX(Sheet4!$2:$1605,MATCH(ChiTietKQKD[[#This Row],[Mã CP]],Sheet4!$B$2:$B$1605,0),_xlfn.XMATCH("*Tăng trưởng lợi nhuận sau thuế (QoQ)*",Sheet4!$1:$1,2)),"")</f>
        <v>-2.3574000000000002</v>
      </c>
    </row>
    <row r="1319" spans="1:18" x14ac:dyDescent="0.25">
      <c r="A1319" s="7">
        <f>Sheet4!A1298</f>
        <v>1297</v>
      </c>
      <c r="B1319" t="str">
        <f>Sheet4!B1298</f>
        <v>PVM</v>
      </c>
      <c r="C1319" t="str">
        <f>Sheet4!C1297</f>
        <v>Địa ốc Dầu khí</v>
      </c>
      <c r="D1319" t="str">
        <f>Sheet4!D1298</f>
        <v>UPCoM</v>
      </c>
      <c r="E1319" s="7">
        <f>Sheet4!AH1298/1000000000</f>
        <v>695.49480000000005</v>
      </c>
      <c r="F1319" t="str">
        <f>Sheet4!E1298</f>
        <v>Công nghiệp</v>
      </c>
      <c r="G1319" t="str">
        <f>Sheet4!F1298</f>
        <v>Hàng &amp; Dịch vụ Công nghiệp</v>
      </c>
      <c r="H1319" t="str">
        <f>Sheet4!G1298</f>
        <v>Nhà cung cấp thiết bị</v>
      </c>
      <c r="I1319" s="9" t="str" cm="1">
        <f t="array" ref="I131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19" s="9" t="str" cm="1">
        <f t="array" ref="J131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19" s="10" cm="1">
        <f t="array" ref="K131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19" s="10" cm="1">
        <f t="array" ref="L131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19" s="9" t="str" cm="1">
        <f t="array" ref="M131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19" s="9" t="str" cm="1">
        <f t="array" ref="N131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19" s="10" cm="1">
        <f t="array" ref="O1319">IFERROR(INDEX(Sheet4!$2:$1605,MATCH(ChiTietKQKD[[#This Row],[Mã CP]],Sheet4!$B$2:$B$1605,0),_xlfn.XMATCH("*Tăng trưởng lợi nhuận sau thuế (YoY) (Quý*",Sheet4!$1:$1,2)),"")</f>
        <v>0</v>
      </c>
      <c r="P1319" s="10" cm="1">
        <f t="array" ref="P1319">IFERROR(INDEX(Sheet4!$2:$1605,MATCH(ChiTietKQKD[[#This Row],[Mã CP]],Sheet4!$B$2:$B$1605,0),_xlfn.XMATCH("*Tăng trưởng lợi nhuận sau thuế (YoY) (6M)*",Sheet4!$1:$1,2)),"")</f>
        <v>0</v>
      </c>
      <c r="Q1319" s="10" cm="1">
        <f t="array" ref="Q1319">IFERROR(INDEX(Sheet4!$2:$1605,MATCH(ChiTietKQKD[[#This Row],[Mã CP]],Sheet4!$B$2:$B$1605,0),_xlfn.XMATCH("*Tăng trưởng doanh thu thuần (QoQ)*",Sheet4!$1:$1,2)),"")</f>
        <v>0</v>
      </c>
      <c r="R1319" s="10" cm="1">
        <f t="array" ref="R1319">IFERROR(INDEX(Sheet4!$2:$1605,MATCH(ChiTietKQKD[[#This Row],[Mã CP]],Sheet4!$B$2:$B$1605,0),_xlfn.XMATCH("*Tăng trưởng lợi nhuận sau thuế (QoQ)*",Sheet4!$1:$1,2)),"")</f>
        <v>0</v>
      </c>
    </row>
    <row r="1320" spans="1:18" x14ac:dyDescent="0.25">
      <c r="A1320" s="7">
        <f>Sheet4!A1299</f>
        <v>1298</v>
      </c>
      <c r="B1320" t="str">
        <f>Sheet4!B1299</f>
        <v>PVO</v>
      </c>
      <c r="C1320" t="str">
        <f>Sheet4!C1298</f>
        <v>Thiết bị dầu khí (PV MACHINO)</v>
      </c>
      <c r="D1320" t="str">
        <f>Sheet4!D1299</f>
        <v>UPCoM</v>
      </c>
      <c r="E1320" s="7">
        <f>Sheet4!AH1299/1000000000</f>
        <v>51.130499999999998</v>
      </c>
      <c r="F1320" t="str">
        <f>Sheet4!E1299</f>
        <v>Nguyên vật liệu</v>
      </c>
      <c r="G1320" t="str">
        <f>Sheet4!F1299</f>
        <v>Hóa chất</v>
      </c>
      <c r="H1320" t="str">
        <f>Sheet4!G1299</f>
        <v>Sản phẩm hóa dầu, Nông dược &amp; Hóa chất khác</v>
      </c>
      <c r="I1320" s="9" t="str" cm="1">
        <f t="array" ref="I132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20" s="9" t="str" cm="1">
        <f t="array" ref="J132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20" s="10" cm="1">
        <f t="array" ref="K132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20" s="10" cm="1">
        <f t="array" ref="L132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20" s="9" t="str" cm="1">
        <f t="array" ref="M132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20" s="9" t="str" cm="1">
        <f t="array" ref="N132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20" s="10" cm="1">
        <f t="array" ref="O1320">IFERROR(INDEX(Sheet4!$2:$1605,MATCH(ChiTietKQKD[[#This Row],[Mã CP]],Sheet4!$B$2:$B$1605,0),_xlfn.XMATCH("*Tăng trưởng lợi nhuận sau thuế (YoY) (Quý*",Sheet4!$1:$1,2)),"")</f>
        <v>0</v>
      </c>
      <c r="P1320" s="10" cm="1">
        <f t="array" ref="P1320">IFERROR(INDEX(Sheet4!$2:$1605,MATCH(ChiTietKQKD[[#This Row],[Mã CP]],Sheet4!$B$2:$B$1605,0),_xlfn.XMATCH("*Tăng trưởng lợi nhuận sau thuế (YoY) (6M)*",Sheet4!$1:$1,2)),"")</f>
        <v>0</v>
      </c>
      <c r="Q1320" s="10" cm="1">
        <f t="array" ref="Q1320">IFERROR(INDEX(Sheet4!$2:$1605,MATCH(ChiTietKQKD[[#This Row],[Mã CP]],Sheet4!$B$2:$B$1605,0),_xlfn.XMATCH("*Tăng trưởng doanh thu thuần (QoQ)*",Sheet4!$1:$1,2)),"")</f>
        <v>0</v>
      </c>
      <c r="R1320" s="10" cm="1">
        <f t="array" ref="R1320">IFERROR(INDEX(Sheet4!$2:$1605,MATCH(ChiTietKQKD[[#This Row],[Mã CP]],Sheet4!$B$2:$B$1605,0),_xlfn.XMATCH("*Tăng trưởng lợi nhuận sau thuế (QoQ)*",Sheet4!$1:$1,2)),"")</f>
        <v>0</v>
      </c>
    </row>
    <row r="1321" spans="1:18" x14ac:dyDescent="0.25">
      <c r="A1321" s="7">
        <f>Sheet4!A1300</f>
        <v>1299</v>
      </c>
      <c r="B1321" t="str">
        <f>Sheet4!B1300</f>
        <v>PVR</v>
      </c>
      <c r="C1321" t="str">
        <f>Sheet4!C1299</f>
        <v>Dầu nhờn PV Oil</v>
      </c>
      <c r="D1321" t="str">
        <f>Sheet4!D1300</f>
        <v>UPCoM</v>
      </c>
      <c r="E1321" s="7">
        <f>Sheet4!AH1300/1000000000</f>
        <v>51.906713000000003</v>
      </c>
      <c r="F1321" t="str">
        <f>Sheet4!E1300</f>
        <v>Tài chính</v>
      </c>
      <c r="G1321" t="str">
        <f>Sheet4!F1300</f>
        <v>Bất động sản</v>
      </c>
      <c r="H1321" t="str">
        <f>Sheet4!G1300</f>
        <v>Bất động sản</v>
      </c>
      <c r="I1321" s="9" t="str" cm="1">
        <f t="array" ref="I132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21" s="9" t="str" cm="1">
        <f t="array" ref="J132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21" s="10" cm="1">
        <f t="array" ref="K132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21" s="10" cm="1">
        <f t="array" ref="L132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21" s="9" cm="1">
        <f t="array" ref="M1321">_xlfn.LET(_xlpm.val,IFERROR(INDEX(Sheet4!$2:$1605,MATCH(ChiTietKQKD[[#This Row],[Mã CP]],Sheet4!$B$2:$B$1605,0),_xlfn.XMATCH("*Lợi nhuận sau thuế*Q2*2026*",Sheet4!$1:$1,2)),0),IF(OR(_xlpm.val="",_xlpm.val=0),"",_xlpm.val/1000000000))</f>
        <v>-0.35864784999999999</v>
      </c>
      <c r="N1321" s="9" cm="1">
        <f t="array" ref="N1321">_xlfn.LET(_xlpm.val,IFERROR(INDEX(Sheet4!$2:$1605,MATCH(ChiTietKQKD[[#This Row],[Mã CP]],Sheet4!$B$2:$B$1605,0),_xlfn.XMATCH("*Lợi nhuận sau thuế*6 tháng*2026*",Sheet4!$1:$1,2)),0),IF(OR(_xlpm.val="",_xlpm.val=0),"",_xlpm.val/1000000000))</f>
        <v>-0.72012176999999999</v>
      </c>
      <c r="O1321" s="10" cm="1">
        <f t="array" ref="O1321">IFERROR(INDEX(Sheet4!$2:$1605,MATCH(ChiTietKQKD[[#This Row],[Mã CP]],Sheet4!$B$2:$B$1605,0),_xlfn.XMATCH("*Tăng trưởng lợi nhuận sau thuế (YoY) (Quý*",Sheet4!$1:$1,2)),"")</f>
        <v>-3.8E-3</v>
      </c>
      <c r="P1321" s="10" cm="1">
        <f t="array" ref="P1321">IFERROR(INDEX(Sheet4!$2:$1605,MATCH(ChiTietKQKD[[#This Row],[Mã CP]],Sheet4!$B$2:$B$1605,0),_xlfn.XMATCH("*Tăng trưởng lợi nhuận sau thuế (YoY) (6M)*",Sheet4!$1:$1,2)),"")</f>
        <v>2.6700000000000002E-2</v>
      </c>
      <c r="Q1321" s="10" cm="1">
        <f t="array" ref="Q1321">IFERROR(INDEX(Sheet4!$2:$1605,MATCH(ChiTietKQKD[[#This Row],[Mã CP]],Sheet4!$B$2:$B$1605,0),_xlfn.XMATCH("*Tăng trưởng doanh thu thuần (QoQ)*",Sheet4!$1:$1,2)),"")</f>
        <v>0</v>
      </c>
      <c r="R1321" s="10" cm="1">
        <f t="array" ref="R1321">IFERROR(INDEX(Sheet4!$2:$1605,MATCH(ChiTietKQKD[[#This Row],[Mã CP]],Sheet4!$B$2:$B$1605,0),_xlfn.XMATCH("*Tăng trưởng lợi nhuận sau thuế (QoQ)*",Sheet4!$1:$1,2)),"")</f>
        <v>7.7999999999999996E-3</v>
      </c>
    </row>
    <row r="1322" spans="1:18" x14ac:dyDescent="0.25">
      <c r="A1322" s="7">
        <f>Sheet4!A1301</f>
        <v>1300</v>
      </c>
      <c r="B1322" t="str">
        <f>Sheet4!B1301</f>
        <v>PVV</v>
      </c>
      <c r="C1322" t="str">
        <f>Sheet4!C1300</f>
        <v>Đầu tư PVR Hà Nội</v>
      </c>
      <c r="D1322" t="str">
        <f>Sheet4!D1301</f>
        <v>UPCoM</v>
      </c>
      <c r="E1322" s="7">
        <f>Sheet4!AH1301/1000000000</f>
        <v>48</v>
      </c>
      <c r="F1322" t="str">
        <f>Sheet4!E1301</f>
        <v>Công nghiệp</v>
      </c>
      <c r="G1322" t="str">
        <f>Sheet4!F1301</f>
        <v>Xây dựng và Vật liệu</v>
      </c>
      <c r="H1322" t="str">
        <f>Sheet4!G1301</f>
        <v>Xây dựng</v>
      </c>
      <c r="I1322" s="9" t="str" cm="1">
        <f t="array" ref="I132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22" s="9" t="str" cm="1">
        <f t="array" ref="J132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22" s="10" cm="1">
        <f t="array" ref="K132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22" s="10" cm="1">
        <f t="array" ref="L132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22" s="9" t="str" cm="1">
        <f t="array" ref="M132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22" s="9" t="str" cm="1">
        <f t="array" ref="N132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22" s="10" cm="1">
        <f t="array" ref="O1322">IFERROR(INDEX(Sheet4!$2:$1605,MATCH(ChiTietKQKD[[#This Row],[Mã CP]],Sheet4!$B$2:$B$1605,0),_xlfn.XMATCH("*Tăng trưởng lợi nhuận sau thuế (YoY) (Quý*",Sheet4!$1:$1,2)),"")</f>
        <v>0</v>
      </c>
      <c r="P1322" s="10" cm="1">
        <f t="array" ref="P1322">IFERROR(INDEX(Sheet4!$2:$1605,MATCH(ChiTietKQKD[[#This Row],[Mã CP]],Sheet4!$B$2:$B$1605,0),_xlfn.XMATCH("*Tăng trưởng lợi nhuận sau thuế (YoY) (6M)*",Sheet4!$1:$1,2)),"")</f>
        <v>0</v>
      </c>
      <c r="Q1322" s="10" cm="1">
        <f t="array" ref="Q1322">IFERROR(INDEX(Sheet4!$2:$1605,MATCH(ChiTietKQKD[[#This Row],[Mã CP]],Sheet4!$B$2:$B$1605,0),_xlfn.XMATCH("*Tăng trưởng doanh thu thuần (QoQ)*",Sheet4!$1:$1,2)),"")</f>
        <v>0</v>
      </c>
      <c r="R1322" s="10" cm="1">
        <f t="array" ref="R1322">IFERROR(INDEX(Sheet4!$2:$1605,MATCH(ChiTietKQKD[[#This Row],[Mã CP]],Sheet4!$B$2:$B$1605,0),_xlfn.XMATCH("*Tăng trưởng lợi nhuận sau thuế (QoQ)*",Sheet4!$1:$1,2)),"")</f>
        <v>0</v>
      </c>
    </row>
    <row r="1323" spans="1:18" x14ac:dyDescent="0.25">
      <c r="A1323" s="7">
        <f>Sheet4!A1302</f>
        <v>1301</v>
      </c>
      <c r="B1323" t="str">
        <f>Sheet4!B1302</f>
        <v>PVX</v>
      </c>
      <c r="C1323" t="str">
        <f>Sheet4!C1301</f>
        <v>Vinaconex 39</v>
      </c>
      <c r="D1323" t="str">
        <f>Sheet4!D1302</f>
        <v>UPCoM</v>
      </c>
      <c r="E1323" s="7">
        <f>Sheet4!AH1302/1000000000</f>
        <v>599.99554350000005</v>
      </c>
      <c r="F1323" t="str">
        <f>Sheet4!E1302</f>
        <v>Công nghiệp</v>
      </c>
      <c r="G1323" t="str">
        <f>Sheet4!F1302</f>
        <v>Xây dựng và Vật liệu</v>
      </c>
      <c r="H1323" t="str">
        <f>Sheet4!G1302</f>
        <v>Xây dựng</v>
      </c>
      <c r="I1323" s="9" t="str" cm="1">
        <f t="array" ref="I132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23" s="9" t="str" cm="1">
        <f t="array" ref="J132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23" s="10" cm="1">
        <f t="array" ref="K132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23" s="10" cm="1">
        <f t="array" ref="L132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23" s="9" t="str" cm="1">
        <f t="array" ref="M132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23" s="9" t="str" cm="1">
        <f t="array" ref="N132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23" s="10" cm="1">
        <f t="array" ref="O1323">IFERROR(INDEX(Sheet4!$2:$1605,MATCH(ChiTietKQKD[[#This Row],[Mã CP]],Sheet4!$B$2:$B$1605,0),_xlfn.XMATCH("*Tăng trưởng lợi nhuận sau thuế (YoY) (Quý*",Sheet4!$1:$1,2)),"")</f>
        <v>0</v>
      </c>
      <c r="P1323" s="10" cm="1">
        <f t="array" ref="P1323">IFERROR(INDEX(Sheet4!$2:$1605,MATCH(ChiTietKQKD[[#This Row],[Mã CP]],Sheet4!$B$2:$B$1605,0),_xlfn.XMATCH("*Tăng trưởng lợi nhuận sau thuế (YoY) (6M)*",Sheet4!$1:$1,2)),"")</f>
        <v>0</v>
      </c>
      <c r="Q1323" s="10" cm="1">
        <f t="array" ref="Q1323">IFERROR(INDEX(Sheet4!$2:$1605,MATCH(ChiTietKQKD[[#This Row],[Mã CP]],Sheet4!$B$2:$B$1605,0),_xlfn.XMATCH("*Tăng trưởng doanh thu thuần (QoQ)*",Sheet4!$1:$1,2)),"")</f>
        <v>0</v>
      </c>
      <c r="R1323" s="10" cm="1">
        <f t="array" ref="R1323">IFERROR(INDEX(Sheet4!$2:$1605,MATCH(ChiTietKQKD[[#This Row],[Mã CP]],Sheet4!$B$2:$B$1605,0),_xlfn.XMATCH("*Tăng trưởng lợi nhuận sau thuế (QoQ)*",Sheet4!$1:$1,2)),"")</f>
        <v>0</v>
      </c>
    </row>
    <row r="1324" spans="1:18" x14ac:dyDescent="0.25">
      <c r="A1324" s="7">
        <f>Sheet4!A1303</f>
        <v>1302</v>
      </c>
      <c r="B1324" t="str">
        <f>Sheet4!B1303</f>
        <v>PVY</v>
      </c>
      <c r="C1324" t="str">
        <f>Sheet4!C1302</f>
        <v>Xây lắp Dầu khí Việt Nam</v>
      </c>
      <c r="D1324" t="str">
        <f>Sheet4!D1303</f>
        <v>UPCoM</v>
      </c>
      <c r="E1324" s="7">
        <f>Sheet4!AH1303/1000000000</f>
        <v>107.0816166</v>
      </c>
      <c r="F1324" t="str">
        <f>Sheet4!E1303</f>
        <v>Công nghiệp</v>
      </c>
      <c r="G1324" t="str">
        <f>Sheet4!F1303</f>
        <v>Xây dựng và Vật liệu</v>
      </c>
      <c r="H1324" t="str">
        <f>Sheet4!G1303</f>
        <v>Xây dựng</v>
      </c>
      <c r="I1324" s="9" t="str" cm="1">
        <f t="array" ref="I132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24" s="9" t="str" cm="1">
        <f t="array" ref="J132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24" s="10" cm="1">
        <f t="array" ref="K132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24" s="10" cm="1">
        <f t="array" ref="L132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24" s="9" t="str" cm="1">
        <f t="array" ref="M132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24" s="9" t="str" cm="1">
        <f t="array" ref="N132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24" s="10" cm="1">
        <f t="array" ref="O1324">IFERROR(INDEX(Sheet4!$2:$1605,MATCH(ChiTietKQKD[[#This Row],[Mã CP]],Sheet4!$B$2:$B$1605,0),_xlfn.XMATCH("*Tăng trưởng lợi nhuận sau thuế (YoY) (Quý*",Sheet4!$1:$1,2)),"")</f>
        <v>0</v>
      </c>
      <c r="P1324" s="10" cm="1">
        <f t="array" ref="P1324">IFERROR(INDEX(Sheet4!$2:$1605,MATCH(ChiTietKQKD[[#This Row],[Mã CP]],Sheet4!$B$2:$B$1605,0),_xlfn.XMATCH("*Tăng trưởng lợi nhuận sau thuế (YoY) (6M)*",Sheet4!$1:$1,2)),"")</f>
        <v>0</v>
      </c>
      <c r="Q1324" s="10" cm="1">
        <f t="array" ref="Q1324">IFERROR(INDEX(Sheet4!$2:$1605,MATCH(ChiTietKQKD[[#This Row],[Mã CP]],Sheet4!$B$2:$B$1605,0),_xlfn.XMATCH("*Tăng trưởng doanh thu thuần (QoQ)*",Sheet4!$1:$1,2)),"")</f>
        <v>0</v>
      </c>
      <c r="R1324" s="10" cm="1">
        <f t="array" ref="R1324">IFERROR(INDEX(Sheet4!$2:$1605,MATCH(ChiTietKQKD[[#This Row],[Mã CP]],Sheet4!$B$2:$B$1605,0),_xlfn.XMATCH("*Tăng trưởng lợi nhuận sau thuế (QoQ)*",Sheet4!$1:$1,2)),"")</f>
        <v>0</v>
      </c>
    </row>
    <row r="1325" spans="1:18" x14ac:dyDescent="0.25">
      <c r="A1325" s="7">
        <f>Sheet4!A1304</f>
        <v>1303</v>
      </c>
      <c r="B1325" t="str">
        <f>Sheet4!B1304</f>
        <v>PWA</v>
      </c>
      <c r="C1325" t="str">
        <f>Sheet4!C1303</f>
        <v>Chế tạo Giàn khoan Dầu khí</v>
      </c>
      <c r="D1325" t="str">
        <f>Sheet4!D1304</f>
        <v>UPCoM</v>
      </c>
      <c r="E1325" s="7">
        <f>Sheet4!AH1304/1000000000</f>
        <v>64</v>
      </c>
      <c r="F1325" t="str">
        <f>Sheet4!E1304</f>
        <v>Tài chính</v>
      </c>
      <c r="G1325" t="str">
        <f>Sheet4!F1304</f>
        <v>Bất động sản</v>
      </c>
      <c r="H1325" t="str">
        <f>Sheet4!G1304</f>
        <v>Bất động sản</v>
      </c>
      <c r="I1325" s="9" t="str" cm="1">
        <f t="array" ref="I132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25" s="9" t="str" cm="1">
        <f t="array" ref="J132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25" s="10" cm="1">
        <f t="array" ref="K132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25" s="10" cm="1">
        <f t="array" ref="L132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25" s="9" t="str" cm="1">
        <f t="array" ref="M132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25" s="9" t="str" cm="1">
        <f t="array" ref="N132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25" s="10" cm="1">
        <f t="array" ref="O1325">IFERROR(INDEX(Sheet4!$2:$1605,MATCH(ChiTietKQKD[[#This Row],[Mã CP]],Sheet4!$B$2:$B$1605,0),_xlfn.XMATCH("*Tăng trưởng lợi nhuận sau thuế (YoY) (Quý*",Sheet4!$1:$1,2)),"")</f>
        <v>0</v>
      </c>
      <c r="P1325" s="10" cm="1">
        <f t="array" ref="P1325">IFERROR(INDEX(Sheet4!$2:$1605,MATCH(ChiTietKQKD[[#This Row],[Mã CP]],Sheet4!$B$2:$B$1605,0),_xlfn.XMATCH("*Tăng trưởng lợi nhuận sau thuế (YoY) (6M)*",Sheet4!$1:$1,2)),"")</f>
        <v>0</v>
      </c>
      <c r="Q1325" s="10" cm="1">
        <f t="array" ref="Q1325">IFERROR(INDEX(Sheet4!$2:$1605,MATCH(ChiTietKQKD[[#This Row],[Mã CP]],Sheet4!$B$2:$B$1605,0),_xlfn.XMATCH("*Tăng trưởng doanh thu thuần (QoQ)*",Sheet4!$1:$1,2)),"")</f>
        <v>0</v>
      </c>
      <c r="R1325" s="10" cm="1">
        <f t="array" ref="R1325">IFERROR(INDEX(Sheet4!$2:$1605,MATCH(ChiTietKQKD[[#This Row],[Mã CP]],Sheet4!$B$2:$B$1605,0),_xlfn.XMATCH("*Tăng trưởng lợi nhuận sau thuế (QoQ)*",Sheet4!$1:$1,2)),"")</f>
        <v>0</v>
      </c>
    </row>
    <row r="1326" spans="1:18" x14ac:dyDescent="0.25">
      <c r="A1326" s="7">
        <f>Sheet4!A1305</f>
        <v>1304</v>
      </c>
      <c r="B1326" t="str">
        <f>Sheet4!B1305</f>
        <v>PWS</v>
      </c>
      <c r="C1326" t="str">
        <f>Sheet4!C1304</f>
        <v>Bất động sản dầu khí</v>
      </c>
      <c r="D1326" t="str">
        <f>Sheet4!D1305</f>
        <v>UPCoM</v>
      </c>
      <c r="E1326" s="7">
        <f>Sheet4!AH1305/1000000000</f>
        <v>548.59917970000004</v>
      </c>
      <c r="F1326" t="str">
        <f>Sheet4!E1305</f>
        <v>Tiện ích Cộng đồng</v>
      </c>
      <c r="G1326" t="str">
        <f>Sheet4!F1305</f>
        <v>Điện, nước &amp; xăng dầu khí đốt</v>
      </c>
      <c r="H1326" t="str">
        <f>Sheet4!G1305</f>
        <v>Nước</v>
      </c>
      <c r="I1326" s="9" cm="1">
        <f t="array" ref="I132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36.380843947999999</v>
      </c>
      <c r="J1326" s="9" cm="1">
        <f t="array" ref="J132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68.895315761999996</v>
      </c>
      <c r="K1326" s="10" cm="1">
        <f t="array" ref="K132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3.27E-2</v>
      </c>
      <c r="L1326" s="10" cm="1">
        <f t="array" ref="L132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5.4899999999999997E-2</v>
      </c>
      <c r="M1326" s="9" cm="1">
        <f t="array" ref="M1326">_xlfn.LET(_xlpm.val,IFERROR(INDEX(Sheet4!$2:$1605,MATCH(ChiTietKQKD[[#This Row],[Mã CP]],Sheet4!$B$2:$B$1605,0),_xlfn.XMATCH("*Lợi nhuận sau thuế*Q2*2026*",Sheet4!$1:$1,2)),0),IF(OR(_xlpm.val="",_xlpm.val=0),"",_xlpm.val/1000000000))</f>
        <v>3.238024743</v>
      </c>
      <c r="N1326" s="9" cm="1">
        <f t="array" ref="N1326">_xlfn.LET(_xlpm.val,IFERROR(INDEX(Sheet4!$2:$1605,MATCH(ChiTietKQKD[[#This Row],[Mã CP]],Sheet4!$B$2:$B$1605,0),_xlfn.XMATCH("*Lợi nhuận sau thuế*6 tháng*2026*",Sheet4!$1:$1,2)),0),IF(OR(_xlpm.val="",_xlpm.val=0),"",_xlpm.val/1000000000))</f>
        <v>10.265659375</v>
      </c>
      <c r="O1326" s="10" cm="1">
        <f t="array" ref="O1326">IFERROR(INDEX(Sheet4!$2:$1605,MATCH(ChiTietKQKD[[#This Row],[Mã CP]],Sheet4!$B$2:$B$1605,0),_xlfn.XMATCH("*Tăng trưởng lợi nhuận sau thuế (YoY) (Quý*",Sheet4!$1:$1,2)),"")</f>
        <v>-0.39219999999999999</v>
      </c>
      <c r="P1326" s="10" cm="1">
        <f t="array" ref="P1326">IFERROR(INDEX(Sheet4!$2:$1605,MATCH(ChiTietKQKD[[#This Row],[Mã CP]],Sheet4!$B$2:$B$1605,0),_xlfn.XMATCH("*Tăng trưởng lợi nhuận sau thuế (YoY) (6M)*",Sheet4!$1:$1,2)),"")</f>
        <v>4.3E-3</v>
      </c>
      <c r="Q1326" s="10" cm="1">
        <f t="array" ref="Q1326">IFERROR(INDEX(Sheet4!$2:$1605,MATCH(ChiTietKQKD[[#This Row],[Mã CP]],Sheet4!$B$2:$B$1605,0),_xlfn.XMATCH("*Tăng trưởng doanh thu thuần (QoQ)*",Sheet4!$1:$1,2)),"")</f>
        <v>0.11890000000000001</v>
      </c>
      <c r="R1326" s="10" cm="1">
        <f t="array" ref="R1326">IFERROR(INDEX(Sheet4!$2:$1605,MATCH(ChiTietKQKD[[#This Row],[Mã CP]],Sheet4!$B$2:$B$1605,0),_xlfn.XMATCH("*Tăng trưởng lợi nhuận sau thuế (QoQ)*",Sheet4!$1:$1,2)),"")</f>
        <v>-0.53920000000000001</v>
      </c>
    </row>
    <row r="1327" spans="1:18" x14ac:dyDescent="0.25">
      <c r="A1327" s="7">
        <f>Sheet4!A1306</f>
        <v>1305</v>
      </c>
      <c r="B1327" t="str">
        <f>Sheet4!B1306</f>
        <v>PXA</v>
      </c>
      <c r="C1327" t="str">
        <f>Sheet4!C1305</f>
        <v>Cấp thoát nước Phú Yên</v>
      </c>
      <c r="D1327" t="str">
        <f>Sheet4!D1306</f>
        <v>UPCoM</v>
      </c>
      <c r="E1327" s="7">
        <f>Sheet4!AH1306/1000000000</f>
        <v>12</v>
      </c>
      <c r="F1327" t="str">
        <f>Sheet4!E1306</f>
        <v>Tài chính</v>
      </c>
      <c r="G1327" t="str">
        <f>Sheet4!F1306</f>
        <v>Bất động sản</v>
      </c>
      <c r="H1327" t="str">
        <f>Sheet4!G1306</f>
        <v>Bất động sản</v>
      </c>
      <c r="I1327" s="9" t="str" cm="1">
        <f t="array" ref="I132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27" s="9" t="str" cm="1">
        <f t="array" ref="J132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27" s="10" cm="1">
        <f t="array" ref="K132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27" s="10" cm="1">
        <f t="array" ref="L132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27" s="9" t="str" cm="1">
        <f t="array" ref="M132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27" s="9" t="str" cm="1">
        <f t="array" ref="N132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27" s="10" cm="1">
        <f t="array" ref="O1327">IFERROR(INDEX(Sheet4!$2:$1605,MATCH(ChiTietKQKD[[#This Row],[Mã CP]],Sheet4!$B$2:$B$1605,0),_xlfn.XMATCH("*Tăng trưởng lợi nhuận sau thuế (YoY) (Quý*",Sheet4!$1:$1,2)),"")</f>
        <v>0</v>
      </c>
      <c r="P1327" s="10" cm="1">
        <f t="array" ref="P1327">IFERROR(INDEX(Sheet4!$2:$1605,MATCH(ChiTietKQKD[[#This Row],[Mã CP]],Sheet4!$B$2:$B$1605,0),_xlfn.XMATCH("*Tăng trưởng lợi nhuận sau thuế (YoY) (6M)*",Sheet4!$1:$1,2)),"")</f>
        <v>0</v>
      </c>
      <c r="Q1327" s="10" cm="1">
        <f t="array" ref="Q1327">IFERROR(INDEX(Sheet4!$2:$1605,MATCH(ChiTietKQKD[[#This Row],[Mã CP]],Sheet4!$B$2:$B$1605,0),_xlfn.XMATCH("*Tăng trưởng doanh thu thuần (QoQ)*",Sheet4!$1:$1,2)),"")</f>
        <v>0</v>
      </c>
      <c r="R1327" s="10" cm="1">
        <f t="array" ref="R1327">IFERROR(INDEX(Sheet4!$2:$1605,MATCH(ChiTietKQKD[[#This Row],[Mã CP]],Sheet4!$B$2:$B$1605,0),_xlfn.XMATCH("*Tăng trưởng lợi nhuận sau thuế (QoQ)*",Sheet4!$1:$1,2)),"")</f>
        <v>0</v>
      </c>
    </row>
    <row r="1328" spans="1:18" x14ac:dyDescent="0.25">
      <c r="A1328" s="7">
        <f>Sheet4!A1307</f>
        <v>1306</v>
      </c>
      <c r="B1328" t="str">
        <f>Sheet4!B1307</f>
        <v>PXI</v>
      </c>
      <c r="C1328" t="str">
        <f>Sheet4!C1306</f>
        <v>Đầu tư và Thương mại Dầu khí Nghệ An</v>
      </c>
      <c r="D1328" t="str">
        <f>Sheet4!D1307</f>
        <v>UPCoM</v>
      </c>
      <c r="E1328" s="7">
        <f>Sheet4!AH1307/1000000000</f>
        <v>21</v>
      </c>
      <c r="F1328" t="str">
        <f>Sheet4!E1307</f>
        <v>Công nghiệp</v>
      </c>
      <c r="G1328" t="str">
        <f>Sheet4!F1307</f>
        <v>Xây dựng và Vật liệu</v>
      </c>
      <c r="H1328" t="str">
        <f>Sheet4!G1307</f>
        <v>Xây dựng</v>
      </c>
      <c r="I1328" s="9" cm="1">
        <f t="array" ref="I132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4.19719145</v>
      </c>
      <c r="J1328" s="9" cm="1">
        <f t="array" ref="J132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13.739164473000001</v>
      </c>
      <c r="K1328" s="10" cm="1">
        <f t="array" ref="K132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2.0678999999999998</v>
      </c>
      <c r="L1328" s="10" cm="1">
        <f t="array" ref="L132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6.8552</v>
      </c>
      <c r="M1328" s="9" cm="1">
        <f t="array" ref="M1328">_xlfn.LET(_xlpm.val,IFERROR(INDEX(Sheet4!$2:$1605,MATCH(ChiTietKQKD[[#This Row],[Mã CP]],Sheet4!$B$2:$B$1605,0),_xlfn.XMATCH("*Lợi nhuận sau thuế*Q2*2026*",Sheet4!$1:$1,2)),0),IF(OR(_xlpm.val="",_xlpm.val=0),"",_xlpm.val/1000000000))</f>
        <v>-0.44647605699999998</v>
      </c>
      <c r="N1328" s="9" cm="1">
        <f t="array" ref="N1328">_xlfn.LET(_xlpm.val,IFERROR(INDEX(Sheet4!$2:$1605,MATCH(ChiTietKQKD[[#This Row],[Mã CP]],Sheet4!$B$2:$B$1605,0),_xlfn.XMATCH("*Lợi nhuận sau thuế*6 tháng*2026*",Sheet4!$1:$1,2)),0),IF(OR(_xlpm.val="",_xlpm.val=0),"",_xlpm.val/1000000000))</f>
        <v>-1.2191749140000001</v>
      </c>
      <c r="O1328" s="10" cm="1">
        <f t="array" ref="O1328">IFERROR(INDEX(Sheet4!$2:$1605,MATCH(ChiTietKQKD[[#This Row],[Mã CP]],Sheet4!$B$2:$B$1605,0),_xlfn.XMATCH("*Tăng trưởng lợi nhuận sau thuế (YoY) (Quý*",Sheet4!$1:$1,2)),"")</f>
        <v>0.24429999999999999</v>
      </c>
      <c r="P1328" s="10" cm="1">
        <f t="array" ref="P1328">IFERROR(INDEX(Sheet4!$2:$1605,MATCH(ChiTietKQKD[[#This Row],[Mã CP]],Sheet4!$B$2:$B$1605,0),_xlfn.XMATCH("*Tăng trưởng lợi nhuận sau thuế (YoY) (6M)*",Sheet4!$1:$1,2)),"")</f>
        <v>-0.27750000000000002</v>
      </c>
      <c r="Q1328" s="10" cm="1">
        <f t="array" ref="Q1328">IFERROR(INDEX(Sheet4!$2:$1605,MATCH(ChiTietKQKD[[#This Row],[Mã CP]],Sheet4!$B$2:$B$1605,0),_xlfn.XMATCH("*Tăng trưởng doanh thu thuần (QoQ)*",Sheet4!$1:$1,2)),"")</f>
        <v>-0.56010000000000004</v>
      </c>
      <c r="R1328" s="10" cm="1">
        <f t="array" ref="R1328">IFERROR(INDEX(Sheet4!$2:$1605,MATCH(ChiTietKQKD[[#This Row],[Mã CP]],Sheet4!$B$2:$B$1605,0),_xlfn.XMATCH("*Tăng trưởng lợi nhuận sau thuế (QoQ)*",Sheet4!$1:$1,2)),"")</f>
        <v>0.42220000000000002</v>
      </c>
    </row>
    <row r="1329" spans="1:18" x14ac:dyDescent="0.25">
      <c r="A1329" s="7">
        <f>Sheet4!A1308</f>
        <v>1307</v>
      </c>
      <c r="B1329" t="str">
        <f>Sheet4!B1308</f>
        <v>PXL</v>
      </c>
      <c r="C1329" t="str">
        <f>Sheet4!C1307</f>
        <v>XL CN và dân dụng Dầu khí</v>
      </c>
      <c r="D1329" t="str">
        <f>Sheet4!D1308</f>
        <v>UPCoM</v>
      </c>
      <c r="E1329" s="7">
        <f>Sheet4!AH1308/1000000000</f>
        <v>1888.1033256000001</v>
      </c>
      <c r="F1329" t="str">
        <f>Sheet4!E1308</f>
        <v>Tài chính</v>
      </c>
      <c r="G1329" t="str">
        <f>Sheet4!F1308</f>
        <v>Bất động sản</v>
      </c>
      <c r="H1329" t="str">
        <f>Sheet4!G1308</f>
        <v>Bất động sản</v>
      </c>
      <c r="I1329" s="9" cm="1">
        <f t="array" ref="I132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3.0195890670000001</v>
      </c>
      <c r="J1329" s="9" cm="1">
        <f t="array" ref="J132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6.0067351249999996</v>
      </c>
      <c r="K1329" s="10" cm="1">
        <f t="array" ref="K132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0.81059999999999999</v>
      </c>
      <c r="L1329" s="10" cm="1">
        <f t="array" ref="L132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0.92</v>
      </c>
      <c r="M1329" s="9" cm="1">
        <f t="array" ref="M1329">_xlfn.LET(_xlpm.val,IFERROR(INDEX(Sheet4!$2:$1605,MATCH(ChiTietKQKD[[#This Row],[Mã CP]],Sheet4!$B$2:$B$1605,0),_xlfn.XMATCH("*Lợi nhuận sau thuế*Q2*2026*",Sheet4!$1:$1,2)),0),IF(OR(_xlpm.val="",_xlpm.val=0),"",_xlpm.val/1000000000))</f>
        <v>0.37864684199999998</v>
      </c>
      <c r="N1329" s="9" cm="1">
        <f t="array" ref="N1329">_xlfn.LET(_xlpm.val,IFERROR(INDEX(Sheet4!$2:$1605,MATCH(ChiTietKQKD[[#This Row],[Mã CP]],Sheet4!$B$2:$B$1605,0),_xlfn.XMATCH("*Lợi nhuận sau thuế*6 tháng*2026*",Sheet4!$1:$1,2)),0),IF(OR(_xlpm.val="",_xlpm.val=0),"",_xlpm.val/1000000000))</f>
        <v>0.72044562300000003</v>
      </c>
      <c r="O1329" s="10" cm="1">
        <f t="array" ref="O1329">IFERROR(INDEX(Sheet4!$2:$1605,MATCH(ChiTietKQKD[[#This Row],[Mã CP]],Sheet4!$B$2:$B$1605,0),_xlfn.XMATCH("*Tăng trưởng lợi nhuận sau thuế (YoY) (Quý*",Sheet4!$1:$1,2)),"")</f>
        <v>1.0024999999999999</v>
      </c>
      <c r="P1329" s="10" cm="1">
        <f t="array" ref="P1329">IFERROR(INDEX(Sheet4!$2:$1605,MATCH(ChiTietKQKD[[#This Row],[Mã CP]],Sheet4!$B$2:$B$1605,0),_xlfn.XMATCH("*Tăng trưởng lợi nhuận sau thuế (YoY) (6M)*",Sheet4!$1:$1,2)),"")</f>
        <v>1.5437000000000001</v>
      </c>
      <c r="Q1329" s="10" cm="1">
        <f t="array" ref="Q1329">IFERROR(INDEX(Sheet4!$2:$1605,MATCH(ChiTietKQKD[[#This Row],[Mã CP]],Sheet4!$B$2:$B$1605,0),_xlfn.XMATCH("*Tăng trưởng doanh thu thuần (QoQ)*",Sheet4!$1:$1,2)),"")</f>
        <v>1.09E-2</v>
      </c>
      <c r="R1329" s="10" cm="1">
        <f t="array" ref="R1329">IFERROR(INDEX(Sheet4!$2:$1605,MATCH(ChiTietKQKD[[#This Row],[Mã CP]],Sheet4!$B$2:$B$1605,0),_xlfn.XMATCH("*Tăng trưởng lợi nhuận sau thuế (QoQ)*",Sheet4!$1:$1,2)),"")</f>
        <v>0.10780000000000001</v>
      </c>
    </row>
    <row r="1330" spans="1:18" x14ac:dyDescent="0.25">
      <c r="A1330" s="7">
        <f>Sheet4!A1309</f>
        <v>1308</v>
      </c>
      <c r="B1330" t="str">
        <f>Sheet4!B1309</f>
        <v>PXM</v>
      </c>
      <c r="C1330" t="str">
        <f>Sheet4!C1308</f>
        <v>KCN Dầu khí Long Sơn</v>
      </c>
      <c r="D1330" t="str">
        <f>Sheet4!D1309</f>
        <v>UPCoM</v>
      </c>
      <c r="E1330" s="7">
        <f>Sheet4!AH1309/1000000000</f>
        <v>7.5</v>
      </c>
      <c r="F1330" t="str">
        <f>Sheet4!E1309</f>
        <v>Công nghiệp</v>
      </c>
      <c r="G1330" t="str">
        <f>Sheet4!F1309</f>
        <v>Xây dựng và Vật liệu</v>
      </c>
      <c r="H1330" t="str">
        <f>Sheet4!G1309</f>
        <v>Xây dựng</v>
      </c>
      <c r="I1330" s="9" cm="1">
        <f t="array" ref="I133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0.49879290199999998</v>
      </c>
      <c r="J1330" s="9" cm="1">
        <f t="array" ref="J133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0.56962623400000001</v>
      </c>
      <c r="K1330" s="10" cm="1">
        <f t="array" ref="K133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30" s="10" cm="1">
        <f t="array" ref="L133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30" s="9" cm="1">
        <f t="array" ref="M1330">_xlfn.LET(_xlpm.val,IFERROR(INDEX(Sheet4!$2:$1605,MATCH(ChiTietKQKD[[#This Row],[Mã CP]],Sheet4!$B$2:$B$1605,0),_xlfn.XMATCH("*Lợi nhuận sau thuế*Q2*2026*",Sheet4!$1:$1,2)),0),IF(OR(_xlpm.val="",_xlpm.val=0),"",_xlpm.val/1000000000))</f>
        <v>-4.7733789949999998</v>
      </c>
      <c r="N1330" s="9" cm="1">
        <f t="array" ref="N1330">_xlfn.LET(_xlpm.val,IFERROR(INDEX(Sheet4!$2:$1605,MATCH(ChiTietKQKD[[#This Row],[Mã CP]],Sheet4!$B$2:$B$1605,0),_xlfn.XMATCH("*Lợi nhuận sau thuế*6 tháng*2026*",Sheet4!$1:$1,2)),0),IF(OR(_xlpm.val="",_xlpm.val=0),"",_xlpm.val/1000000000))</f>
        <v>-9.6496017839999997</v>
      </c>
      <c r="O1330" s="10" cm="1">
        <f t="array" ref="O1330">IFERROR(INDEX(Sheet4!$2:$1605,MATCH(ChiTietKQKD[[#This Row],[Mã CP]],Sheet4!$B$2:$B$1605,0),_xlfn.XMATCH("*Tăng trưởng lợi nhuận sau thuế (YoY) (Quý*",Sheet4!$1:$1,2)),"")</f>
        <v>0</v>
      </c>
      <c r="P1330" s="10" cm="1">
        <f t="array" ref="P1330">IFERROR(INDEX(Sheet4!$2:$1605,MATCH(ChiTietKQKD[[#This Row],[Mã CP]],Sheet4!$B$2:$B$1605,0),_xlfn.XMATCH("*Tăng trưởng lợi nhuận sau thuế (YoY) (6M)*",Sheet4!$1:$1,2)),"")</f>
        <v>0</v>
      </c>
      <c r="Q1330" s="10" cm="1">
        <f t="array" ref="Q1330">IFERROR(INDEX(Sheet4!$2:$1605,MATCH(ChiTietKQKD[[#This Row],[Mã CP]],Sheet4!$B$2:$B$1605,0),_xlfn.XMATCH("*Tăng trưởng doanh thu thuần (QoQ)*",Sheet4!$1:$1,2)),"")</f>
        <v>0</v>
      </c>
      <c r="R1330" s="10" cm="1">
        <f t="array" ref="R1330">IFERROR(INDEX(Sheet4!$2:$1605,MATCH(ChiTietKQKD[[#This Row],[Mã CP]],Sheet4!$B$2:$B$1605,0),_xlfn.XMATCH("*Tăng trưởng lợi nhuận sau thuế (QoQ)*",Sheet4!$1:$1,2)),"")</f>
        <v>0</v>
      </c>
    </row>
    <row r="1331" spans="1:18" x14ac:dyDescent="0.25">
      <c r="A1331" s="7">
        <f>Sheet4!A1310</f>
        <v>1309</v>
      </c>
      <c r="B1331" t="str">
        <f>Sheet4!B1310</f>
        <v>PXS</v>
      </c>
      <c r="C1331" t="str">
        <f>Sheet4!C1309</f>
        <v>Xây lắp Dầu khí Miền Trung</v>
      </c>
      <c r="D1331" t="str">
        <f>Sheet4!D1310</f>
        <v>UPCoM</v>
      </c>
      <c r="E1331" s="7">
        <f>Sheet4!AH1310/1000000000</f>
        <v>137.99999539999999</v>
      </c>
      <c r="F1331" t="str">
        <f>Sheet4!E1310</f>
        <v>Công nghiệp</v>
      </c>
      <c r="G1331" t="str">
        <f>Sheet4!F1310</f>
        <v>Xây dựng và Vật liệu</v>
      </c>
      <c r="H1331" t="str">
        <f>Sheet4!G1310</f>
        <v>Xây dựng</v>
      </c>
      <c r="I1331" s="9" t="str" cm="1">
        <f t="array" ref="I133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31" s="9" t="str" cm="1">
        <f t="array" ref="J133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31" s="10" cm="1">
        <f t="array" ref="K133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31" s="10" cm="1">
        <f t="array" ref="L133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31" s="9" t="str" cm="1">
        <f t="array" ref="M133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31" s="9" t="str" cm="1">
        <f t="array" ref="N133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31" s="10" cm="1">
        <f t="array" ref="O1331">IFERROR(INDEX(Sheet4!$2:$1605,MATCH(ChiTietKQKD[[#This Row],[Mã CP]],Sheet4!$B$2:$B$1605,0),_xlfn.XMATCH("*Tăng trưởng lợi nhuận sau thuế (YoY) (Quý*",Sheet4!$1:$1,2)),"")</f>
        <v>0</v>
      </c>
      <c r="P1331" s="10" cm="1">
        <f t="array" ref="P1331">IFERROR(INDEX(Sheet4!$2:$1605,MATCH(ChiTietKQKD[[#This Row],[Mã CP]],Sheet4!$B$2:$B$1605,0),_xlfn.XMATCH("*Tăng trưởng lợi nhuận sau thuế (YoY) (6M)*",Sheet4!$1:$1,2)),"")</f>
        <v>0</v>
      </c>
      <c r="Q1331" s="10" cm="1">
        <f t="array" ref="Q1331">IFERROR(INDEX(Sheet4!$2:$1605,MATCH(ChiTietKQKD[[#This Row],[Mã CP]],Sheet4!$B$2:$B$1605,0),_xlfn.XMATCH("*Tăng trưởng doanh thu thuần (QoQ)*",Sheet4!$1:$1,2)),"")</f>
        <v>0</v>
      </c>
      <c r="R1331" s="10" cm="1">
        <f t="array" ref="R1331">IFERROR(INDEX(Sheet4!$2:$1605,MATCH(ChiTietKQKD[[#This Row],[Mã CP]],Sheet4!$B$2:$B$1605,0),_xlfn.XMATCH("*Tăng trưởng lợi nhuận sau thuế (QoQ)*",Sheet4!$1:$1,2)),"")</f>
        <v>0</v>
      </c>
    </row>
    <row r="1332" spans="1:18" x14ac:dyDescent="0.25">
      <c r="A1332" s="7">
        <f>Sheet4!A1311</f>
        <v>1310</v>
      </c>
      <c r="B1332" t="str">
        <f>Sheet4!B1311</f>
        <v>PXT</v>
      </c>
      <c r="C1332" t="str">
        <f>Sheet4!C1310</f>
        <v>Lắp máy Dầu khí</v>
      </c>
      <c r="D1332" t="str">
        <f>Sheet4!D1311</f>
        <v>UPCoM</v>
      </c>
      <c r="E1332" s="7">
        <f>Sheet4!AH1311/1000000000</f>
        <v>28</v>
      </c>
      <c r="F1332" t="str">
        <f>Sheet4!E1311</f>
        <v>Công nghiệp</v>
      </c>
      <c r="G1332" t="str">
        <f>Sheet4!F1311</f>
        <v>Xây dựng và Vật liệu</v>
      </c>
      <c r="H1332" t="str">
        <f>Sheet4!G1311</f>
        <v>Xây dựng</v>
      </c>
      <c r="I1332" s="9" cm="1">
        <f t="array" ref="I133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55.218999902999997</v>
      </c>
      <c r="J1332" s="9" cm="1">
        <f t="array" ref="J133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88.544170562000005</v>
      </c>
      <c r="K1332" s="10" cm="1">
        <f t="array" ref="K133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1.5665</v>
      </c>
      <c r="L1332" s="10" cm="1">
        <f t="array" ref="L133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32" s="9" cm="1">
        <f t="array" ref="M1332">_xlfn.LET(_xlpm.val,IFERROR(INDEX(Sheet4!$2:$1605,MATCH(ChiTietKQKD[[#This Row],[Mã CP]],Sheet4!$B$2:$B$1605,0),_xlfn.XMATCH("*Lợi nhuận sau thuế*Q2*2026*",Sheet4!$1:$1,2)),0),IF(OR(_xlpm.val="",_xlpm.val=0),"",_xlpm.val/1000000000))</f>
        <v>0.32198107799999998</v>
      </c>
      <c r="N1332" s="9" cm="1">
        <f t="array" ref="N1332">_xlfn.LET(_xlpm.val,IFERROR(INDEX(Sheet4!$2:$1605,MATCH(ChiTietKQKD[[#This Row],[Mã CP]],Sheet4!$B$2:$B$1605,0),_xlfn.XMATCH("*Lợi nhuận sau thuế*6 tháng*2026*",Sheet4!$1:$1,2)),0),IF(OR(_xlpm.val="",_xlpm.val=0),"",_xlpm.val/1000000000))</f>
        <v>0.57010576700000004</v>
      </c>
      <c r="O1332" s="10" cm="1">
        <f t="array" ref="O1332">IFERROR(INDEX(Sheet4!$2:$1605,MATCH(ChiTietKQKD[[#This Row],[Mã CP]],Sheet4!$B$2:$B$1605,0),_xlfn.XMATCH("*Tăng trưởng lợi nhuận sau thuế (YoY) (Quý*",Sheet4!$1:$1,2)),"")</f>
        <v>-0.56989999999999996</v>
      </c>
      <c r="P1332" s="10" cm="1">
        <f t="array" ref="P1332">IFERROR(INDEX(Sheet4!$2:$1605,MATCH(ChiTietKQKD[[#This Row],[Mã CP]],Sheet4!$B$2:$B$1605,0),_xlfn.XMATCH("*Tăng trưởng lợi nhuận sau thuế (YoY) (6M)*",Sheet4!$1:$1,2)),"")</f>
        <v>0</v>
      </c>
      <c r="Q1332" s="10" cm="1">
        <f t="array" ref="Q1332">IFERROR(INDEX(Sheet4!$2:$1605,MATCH(ChiTietKQKD[[#This Row],[Mã CP]],Sheet4!$B$2:$B$1605,0),_xlfn.XMATCH("*Tăng trưởng doanh thu thuần (QoQ)*",Sheet4!$1:$1,2)),"")</f>
        <v>0.65700000000000003</v>
      </c>
      <c r="R1332" s="10" cm="1">
        <f t="array" ref="R1332">IFERROR(INDEX(Sheet4!$2:$1605,MATCH(ChiTietKQKD[[#This Row],[Mã CP]],Sheet4!$B$2:$B$1605,0),_xlfn.XMATCH("*Tăng trưởng lợi nhuận sau thuế (QoQ)*",Sheet4!$1:$1,2)),"")</f>
        <v>0.29770000000000002</v>
      </c>
    </row>
    <row r="1333" spans="1:18" x14ac:dyDescent="0.25">
      <c r="A1333" s="7">
        <f>Sheet4!A1312</f>
        <v>1311</v>
      </c>
      <c r="B1333" t="str">
        <f>Sheet4!B1312</f>
        <v>QBS</v>
      </c>
      <c r="C1333" t="str">
        <f>Sheet4!C1311</f>
        <v>Xây lắp Đường ống Dầu khí</v>
      </c>
      <c r="D1333" t="str">
        <f>Sheet4!D1312</f>
        <v>UPCoM</v>
      </c>
      <c r="E1333" s="7">
        <f>Sheet4!AH1312/1000000000</f>
        <v>34.664963999999998</v>
      </c>
      <c r="F1333" t="str">
        <f>Sheet4!E1312</f>
        <v>Nguyên vật liệu</v>
      </c>
      <c r="G1333" t="str">
        <f>Sheet4!F1312</f>
        <v>Hóa chất</v>
      </c>
      <c r="H1333" t="str">
        <f>Sheet4!G1312</f>
        <v>Sản phẩm hóa dầu, Nông dược &amp; Hóa chất khác</v>
      </c>
      <c r="I1333" s="9" cm="1">
        <f t="array" ref="I133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5.0999999999999997E-2</v>
      </c>
      <c r="J1333" s="9" cm="1">
        <f t="array" ref="J133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7.4999999999999997E-2</v>
      </c>
      <c r="K1333" s="10" cm="1">
        <f t="array" ref="K133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1.125</v>
      </c>
      <c r="L1333" s="10" cm="1">
        <f t="array" ref="L133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33" s="9" cm="1">
        <f t="array" ref="M1333">_xlfn.LET(_xlpm.val,IFERROR(INDEX(Sheet4!$2:$1605,MATCH(ChiTietKQKD[[#This Row],[Mã CP]],Sheet4!$B$2:$B$1605,0),_xlfn.XMATCH("*Lợi nhuận sau thuế*Q2*2026*",Sheet4!$1:$1,2)),0),IF(OR(_xlpm.val="",_xlpm.val=0),"",_xlpm.val/1000000000))</f>
        <v>-13.796541059000001</v>
      </c>
      <c r="N1333" s="9" cm="1">
        <f t="array" ref="N1333">_xlfn.LET(_xlpm.val,IFERROR(INDEX(Sheet4!$2:$1605,MATCH(ChiTietKQKD[[#This Row],[Mã CP]],Sheet4!$B$2:$B$1605,0),_xlfn.XMATCH("*Lợi nhuận sau thuế*6 tháng*2026*",Sheet4!$1:$1,2)),0),IF(OR(_xlpm.val="",_xlpm.val=0),"",_xlpm.val/1000000000))</f>
        <v>-14.398886315</v>
      </c>
      <c r="O1333" s="10" cm="1">
        <f t="array" ref="O1333">IFERROR(INDEX(Sheet4!$2:$1605,MATCH(ChiTietKQKD[[#This Row],[Mã CP]],Sheet4!$B$2:$B$1605,0),_xlfn.XMATCH("*Tăng trưởng lợi nhuận sau thuế (YoY) (Quý*",Sheet4!$1:$1,2)),"")</f>
        <v>-2.0400000000000001E-2</v>
      </c>
      <c r="P1333" s="10" cm="1">
        <f t="array" ref="P1333">IFERROR(INDEX(Sheet4!$2:$1605,MATCH(ChiTietKQKD[[#This Row],[Mã CP]],Sheet4!$B$2:$B$1605,0),_xlfn.XMATCH("*Tăng trưởng lợi nhuận sau thuế (YoY) (6M)*",Sheet4!$1:$1,2)),"")</f>
        <v>-2.18E-2</v>
      </c>
      <c r="Q1333" s="10" cm="1">
        <f t="array" ref="Q1333">IFERROR(INDEX(Sheet4!$2:$1605,MATCH(ChiTietKQKD[[#This Row],[Mã CP]],Sheet4!$B$2:$B$1605,0),_xlfn.XMATCH("*Tăng trưởng doanh thu thuần (QoQ)*",Sheet4!$1:$1,2)),"")</f>
        <v>1.125</v>
      </c>
      <c r="R1333" s="10" cm="1">
        <f t="array" ref="R1333">IFERROR(INDEX(Sheet4!$2:$1605,MATCH(ChiTietKQKD[[#This Row],[Mã CP]],Sheet4!$B$2:$B$1605,0),_xlfn.XMATCH("*Tăng trưởng lợi nhuận sau thuế (QoQ)*",Sheet4!$1:$1,2)),"")</f>
        <v>-21.904699999999998</v>
      </c>
    </row>
    <row r="1334" spans="1:18" x14ac:dyDescent="0.25">
      <c r="A1334" s="7">
        <f>Sheet4!A1313</f>
        <v>1312</v>
      </c>
      <c r="B1334" t="str">
        <f>Sheet4!B1313</f>
        <v>QCC</v>
      </c>
      <c r="C1334" t="str">
        <f>Sheet4!C1312</f>
        <v>Xuất nhập khẩu Quảng Bình</v>
      </c>
      <c r="D1334" t="str">
        <f>Sheet4!D1313</f>
        <v>UPCoM</v>
      </c>
      <c r="E1334" s="7">
        <f>Sheet4!AH1313/1000000000</f>
        <v>21.674109999999999</v>
      </c>
      <c r="F1334" t="str">
        <f>Sheet4!E1313</f>
        <v>Công nghiệp</v>
      </c>
      <c r="G1334" t="str">
        <f>Sheet4!F1313</f>
        <v>Xây dựng và Vật liệu</v>
      </c>
      <c r="H1334" t="str">
        <f>Sheet4!G1313</f>
        <v>Xây dựng</v>
      </c>
      <c r="I1334" s="9" t="str" cm="1">
        <f t="array" ref="I133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34" s="9" t="str" cm="1">
        <f t="array" ref="J133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34" s="10" cm="1">
        <f t="array" ref="K133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34" s="10" cm="1">
        <f t="array" ref="L133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34" s="9" t="str" cm="1">
        <f t="array" ref="M133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34" s="9" t="str" cm="1">
        <f t="array" ref="N133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34" s="10" cm="1">
        <f t="array" ref="O1334">IFERROR(INDEX(Sheet4!$2:$1605,MATCH(ChiTietKQKD[[#This Row],[Mã CP]],Sheet4!$B$2:$B$1605,0),_xlfn.XMATCH("*Tăng trưởng lợi nhuận sau thuế (YoY) (Quý*",Sheet4!$1:$1,2)),"")</f>
        <v>0</v>
      </c>
      <c r="P1334" s="10" cm="1">
        <f t="array" ref="P1334">IFERROR(INDEX(Sheet4!$2:$1605,MATCH(ChiTietKQKD[[#This Row],[Mã CP]],Sheet4!$B$2:$B$1605,0),_xlfn.XMATCH("*Tăng trưởng lợi nhuận sau thuế (YoY) (6M)*",Sheet4!$1:$1,2)),"")</f>
        <v>0</v>
      </c>
      <c r="Q1334" s="10" cm="1">
        <f t="array" ref="Q1334">IFERROR(INDEX(Sheet4!$2:$1605,MATCH(ChiTietKQKD[[#This Row],[Mã CP]],Sheet4!$B$2:$B$1605,0),_xlfn.XMATCH("*Tăng trưởng doanh thu thuần (QoQ)*",Sheet4!$1:$1,2)),"")</f>
        <v>0</v>
      </c>
      <c r="R1334" s="10" cm="1">
        <f t="array" ref="R1334">IFERROR(INDEX(Sheet4!$2:$1605,MATCH(ChiTietKQKD[[#This Row],[Mã CP]],Sheet4!$B$2:$B$1605,0),_xlfn.XMATCH("*Tăng trưởng lợi nhuận sau thuế (QoQ)*",Sheet4!$1:$1,2)),"")</f>
        <v>0</v>
      </c>
    </row>
    <row r="1335" spans="1:18" x14ac:dyDescent="0.25">
      <c r="A1335" s="7">
        <f>Sheet4!A1314</f>
        <v>1313</v>
      </c>
      <c r="B1335" t="str">
        <f>Sheet4!B1314</f>
        <v>QHW</v>
      </c>
      <c r="C1335" t="str">
        <f>Sheet4!C1313</f>
        <v>Đầu tư XD và PT Hạ tầng Viễn Thông</v>
      </c>
      <c r="D1335" t="str">
        <f>Sheet4!D1314</f>
        <v>UPCoM</v>
      </c>
      <c r="E1335" s="7">
        <f>Sheet4!AH1314/1000000000</f>
        <v>272.89548000000002</v>
      </c>
      <c r="F1335" t="str">
        <f>Sheet4!E1314</f>
        <v>Hàng Tiêu dùng</v>
      </c>
      <c r="G1335" t="str">
        <f>Sheet4!F1314</f>
        <v>Thực phẩm và đồ uống</v>
      </c>
      <c r="H1335" t="str">
        <f>Sheet4!G1314</f>
        <v>Đồ uống &amp; giải khát</v>
      </c>
      <c r="I1335" s="9" t="str" cm="1">
        <f t="array" ref="I133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35" s="9" t="str" cm="1">
        <f t="array" ref="J133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35" s="10" cm="1">
        <f t="array" ref="K133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35" s="10" cm="1">
        <f t="array" ref="L133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35" s="9" t="str" cm="1">
        <f t="array" ref="M133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35" s="9" t="str" cm="1">
        <f t="array" ref="N133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35" s="10" cm="1">
        <f t="array" ref="O1335">IFERROR(INDEX(Sheet4!$2:$1605,MATCH(ChiTietKQKD[[#This Row],[Mã CP]],Sheet4!$B$2:$B$1605,0),_xlfn.XMATCH("*Tăng trưởng lợi nhuận sau thuế (YoY) (Quý*",Sheet4!$1:$1,2)),"")</f>
        <v>0</v>
      </c>
      <c r="P1335" s="10" cm="1">
        <f t="array" ref="P1335">IFERROR(INDEX(Sheet4!$2:$1605,MATCH(ChiTietKQKD[[#This Row],[Mã CP]],Sheet4!$B$2:$B$1605,0),_xlfn.XMATCH("*Tăng trưởng lợi nhuận sau thuế (YoY) (6M)*",Sheet4!$1:$1,2)),"")</f>
        <v>0</v>
      </c>
      <c r="Q1335" s="10" cm="1">
        <f t="array" ref="Q1335">IFERROR(INDEX(Sheet4!$2:$1605,MATCH(ChiTietKQKD[[#This Row],[Mã CP]],Sheet4!$B$2:$B$1605,0),_xlfn.XMATCH("*Tăng trưởng doanh thu thuần (QoQ)*",Sheet4!$1:$1,2)),"")</f>
        <v>0</v>
      </c>
      <c r="R1335" s="10" cm="1">
        <f t="array" ref="R1335">IFERROR(INDEX(Sheet4!$2:$1605,MATCH(ChiTietKQKD[[#This Row],[Mã CP]],Sheet4!$B$2:$B$1605,0),_xlfn.XMATCH("*Tăng trưởng lợi nhuận sau thuế (QoQ)*",Sheet4!$1:$1,2)),"")</f>
        <v>0</v>
      </c>
    </row>
    <row r="1336" spans="1:18" x14ac:dyDescent="0.25">
      <c r="A1336" s="7">
        <f>Sheet4!A1315</f>
        <v>1314</v>
      </c>
      <c r="B1336" t="str">
        <f>Sheet4!B1315</f>
        <v>QNC</v>
      </c>
      <c r="C1336" t="str">
        <f>Sheet4!C1314</f>
        <v>Nước khoáng Quảng Ninh</v>
      </c>
      <c r="D1336" t="str">
        <f>Sheet4!D1315</f>
        <v>UPCoM</v>
      </c>
      <c r="E1336" s="7">
        <f>Sheet4!AH1315/1000000000</f>
        <v>311.64640000000003</v>
      </c>
      <c r="F1336" t="str">
        <f>Sheet4!E1315</f>
        <v>Công nghiệp</v>
      </c>
      <c r="G1336" t="str">
        <f>Sheet4!F1315</f>
        <v>Xây dựng và Vật liệu</v>
      </c>
      <c r="H1336" t="str">
        <f>Sheet4!G1315</f>
        <v>Vật liệu xây dựng &amp; Nội thất</v>
      </c>
      <c r="I1336" s="9" t="str" cm="1">
        <f t="array" ref="I133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36" s="9" t="str" cm="1">
        <f t="array" ref="J133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36" s="10" cm="1">
        <f t="array" ref="K133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36" s="10" cm="1">
        <f t="array" ref="L133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36" s="9" t="str" cm="1">
        <f t="array" ref="M133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36" s="9" t="str" cm="1">
        <f t="array" ref="N133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36" s="10" cm="1">
        <f t="array" ref="O1336">IFERROR(INDEX(Sheet4!$2:$1605,MATCH(ChiTietKQKD[[#This Row],[Mã CP]],Sheet4!$B$2:$B$1605,0),_xlfn.XMATCH("*Tăng trưởng lợi nhuận sau thuế (YoY) (Quý*",Sheet4!$1:$1,2)),"")</f>
        <v>0</v>
      </c>
      <c r="P1336" s="10" cm="1">
        <f t="array" ref="P1336">IFERROR(INDEX(Sheet4!$2:$1605,MATCH(ChiTietKQKD[[#This Row],[Mã CP]],Sheet4!$B$2:$B$1605,0),_xlfn.XMATCH("*Tăng trưởng lợi nhuận sau thuế (YoY) (6M)*",Sheet4!$1:$1,2)),"")</f>
        <v>0</v>
      </c>
      <c r="Q1336" s="10" cm="1">
        <f t="array" ref="Q1336">IFERROR(INDEX(Sheet4!$2:$1605,MATCH(ChiTietKQKD[[#This Row],[Mã CP]],Sheet4!$B$2:$B$1605,0),_xlfn.XMATCH("*Tăng trưởng doanh thu thuần (QoQ)*",Sheet4!$1:$1,2)),"")</f>
        <v>0</v>
      </c>
      <c r="R1336" s="10" cm="1">
        <f t="array" ref="R1336">IFERROR(INDEX(Sheet4!$2:$1605,MATCH(ChiTietKQKD[[#This Row],[Mã CP]],Sheet4!$B$2:$B$1605,0),_xlfn.XMATCH("*Tăng trưởng lợi nhuận sau thuế (QoQ)*",Sheet4!$1:$1,2)),"")</f>
        <v>0</v>
      </c>
    </row>
    <row r="1337" spans="1:18" x14ac:dyDescent="0.25">
      <c r="A1337" s="7">
        <f>Sheet4!A1316</f>
        <v>1315</v>
      </c>
      <c r="B1337" t="str">
        <f>Sheet4!B1316</f>
        <v>QNS</v>
      </c>
      <c r="C1337" t="str">
        <f>Sheet4!C1315</f>
        <v>Xi măng Quảng Ninh</v>
      </c>
      <c r="D1337" t="str">
        <f>Sheet4!D1316</f>
        <v>UPCoM</v>
      </c>
      <c r="E1337" s="7">
        <f>Sheet4!AH1316/1000000000</f>
        <v>17656.670195978</v>
      </c>
      <c r="F1337" t="str">
        <f>Sheet4!E1316</f>
        <v>Hàng Tiêu dùng</v>
      </c>
      <c r="G1337" t="str">
        <f>Sheet4!F1316</f>
        <v>Thực phẩm và đồ uống</v>
      </c>
      <c r="H1337" t="str">
        <f>Sheet4!G1316</f>
        <v>Thực phẩm</v>
      </c>
      <c r="I1337" s="9" t="str" cm="1">
        <f t="array" ref="I133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37" s="9" t="str" cm="1">
        <f t="array" ref="J133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37" s="10" cm="1">
        <f t="array" ref="K133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37" s="10" cm="1">
        <f t="array" ref="L133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37" s="9" t="str" cm="1">
        <f t="array" ref="M133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37" s="9" t="str" cm="1">
        <f t="array" ref="N133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37" s="10" cm="1">
        <f t="array" ref="O1337">IFERROR(INDEX(Sheet4!$2:$1605,MATCH(ChiTietKQKD[[#This Row],[Mã CP]],Sheet4!$B$2:$B$1605,0),_xlfn.XMATCH("*Tăng trưởng lợi nhuận sau thuế (YoY) (Quý*",Sheet4!$1:$1,2)),"")</f>
        <v>0</v>
      </c>
      <c r="P1337" s="10" cm="1">
        <f t="array" ref="P1337">IFERROR(INDEX(Sheet4!$2:$1605,MATCH(ChiTietKQKD[[#This Row],[Mã CP]],Sheet4!$B$2:$B$1605,0),_xlfn.XMATCH("*Tăng trưởng lợi nhuận sau thuế (YoY) (6M)*",Sheet4!$1:$1,2)),"")</f>
        <v>0</v>
      </c>
      <c r="Q1337" s="10" cm="1">
        <f t="array" ref="Q1337">IFERROR(INDEX(Sheet4!$2:$1605,MATCH(ChiTietKQKD[[#This Row],[Mã CP]],Sheet4!$B$2:$B$1605,0),_xlfn.XMATCH("*Tăng trưởng doanh thu thuần (QoQ)*",Sheet4!$1:$1,2)),"")</f>
        <v>0</v>
      </c>
      <c r="R1337" s="10" cm="1">
        <f t="array" ref="R1337">IFERROR(INDEX(Sheet4!$2:$1605,MATCH(ChiTietKQKD[[#This Row],[Mã CP]],Sheet4!$B$2:$B$1605,0),_xlfn.XMATCH("*Tăng trưởng lợi nhuận sau thuế (QoQ)*",Sheet4!$1:$1,2)),"")</f>
        <v>0</v>
      </c>
    </row>
    <row r="1338" spans="1:18" x14ac:dyDescent="0.25">
      <c r="A1338" s="7">
        <f>Sheet4!A1317</f>
        <v>1316</v>
      </c>
      <c r="B1338" t="str">
        <f>Sheet4!B1317</f>
        <v>QNT</v>
      </c>
      <c r="C1338" t="str">
        <f>Sheet4!C1316</f>
        <v>Đường Quảng Ngãi</v>
      </c>
      <c r="D1338" t="str">
        <f>Sheet4!D1317</f>
        <v>UPCoM</v>
      </c>
      <c r="E1338" s="7">
        <f>Sheet4!AH1317/1000000000</f>
        <v>29.3202</v>
      </c>
      <c r="F1338" t="str">
        <f>Sheet4!E1317</f>
        <v>Công nghiệp</v>
      </c>
      <c r="G1338" t="str">
        <f>Sheet4!F1317</f>
        <v>Xây dựng và Vật liệu</v>
      </c>
      <c r="H1338" t="str">
        <f>Sheet4!G1317</f>
        <v>Xây dựng</v>
      </c>
      <c r="I1338" s="9" t="str" cm="1">
        <f t="array" ref="I133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38" s="9" t="str" cm="1">
        <f t="array" ref="J133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38" s="10" cm="1">
        <f t="array" ref="K133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38" s="10" cm="1">
        <f t="array" ref="L133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38" s="9" t="str" cm="1">
        <f t="array" ref="M133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38" s="9" t="str" cm="1">
        <f t="array" ref="N133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38" s="10" cm="1">
        <f t="array" ref="O1338">IFERROR(INDEX(Sheet4!$2:$1605,MATCH(ChiTietKQKD[[#This Row],[Mã CP]],Sheet4!$B$2:$B$1605,0),_xlfn.XMATCH("*Tăng trưởng lợi nhuận sau thuế (YoY) (Quý*",Sheet4!$1:$1,2)),"")</f>
        <v>0</v>
      </c>
      <c r="P1338" s="10" cm="1">
        <f t="array" ref="P1338">IFERROR(INDEX(Sheet4!$2:$1605,MATCH(ChiTietKQKD[[#This Row],[Mã CP]],Sheet4!$B$2:$B$1605,0),_xlfn.XMATCH("*Tăng trưởng lợi nhuận sau thuế (YoY) (6M)*",Sheet4!$1:$1,2)),"")</f>
        <v>0</v>
      </c>
      <c r="Q1338" s="10" cm="1">
        <f t="array" ref="Q1338">IFERROR(INDEX(Sheet4!$2:$1605,MATCH(ChiTietKQKD[[#This Row],[Mã CP]],Sheet4!$B$2:$B$1605,0),_xlfn.XMATCH("*Tăng trưởng doanh thu thuần (QoQ)*",Sheet4!$1:$1,2)),"")</f>
        <v>0</v>
      </c>
      <c r="R1338" s="10" cm="1">
        <f t="array" ref="R1338">IFERROR(INDEX(Sheet4!$2:$1605,MATCH(ChiTietKQKD[[#This Row],[Mã CP]],Sheet4!$B$2:$B$1605,0),_xlfn.XMATCH("*Tăng trưởng lợi nhuận sau thuế (QoQ)*",Sheet4!$1:$1,2)),"")</f>
        <v>0</v>
      </c>
    </row>
    <row r="1339" spans="1:18" x14ac:dyDescent="0.25">
      <c r="A1339" s="7">
        <f>Sheet4!A1318</f>
        <v>1317</v>
      </c>
      <c r="B1339" t="str">
        <f>Sheet4!B1318</f>
        <v>QNU</v>
      </c>
      <c r="C1339" t="str">
        <f>Sheet4!C1317</f>
        <v>Tư vấn và Đầu tư Phát triển Quảng Nam</v>
      </c>
      <c r="D1339" t="str">
        <f>Sheet4!D1318</f>
        <v>UPCoM</v>
      </c>
      <c r="E1339" s="7">
        <f>Sheet4!AH1318/1000000000</f>
        <v>66.64</v>
      </c>
      <c r="F1339" t="str">
        <f>Sheet4!E1318</f>
        <v>Công nghiệp</v>
      </c>
      <c r="G1339" t="str">
        <f>Sheet4!F1318</f>
        <v>Hàng &amp; Dịch vụ Công nghiệp</v>
      </c>
      <c r="H1339" t="str">
        <f>Sheet4!G1318</f>
        <v>Chất thải &amp; Môi trường</v>
      </c>
      <c r="I1339" s="9" t="str" cm="1">
        <f t="array" ref="I133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39" s="9" t="str" cm="1">
        <f t="array" ref="J133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39" s="10" cm="1">
        <f t="array" ref="K133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39" s="10" cm="1">
        <f t="array" ref="L133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39" s="9" t="str" cm="1">
        <f t="array" ref="M133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39" s="9" t="str" cm="1">
        <f t="array" ref="N133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39" s="10" cm="1">
        <f t="array" ref="O1339">IFERROR(INDEX(Sheet4!$2:$1605,MATCH(ChiTietKQKD[[#This Row],[Mã CP]],Sheet4!$B$2:$B$1605,0),_xlfn.XMATCH("*Tăng trưởng lợi nhuận sau thuế (YoY) (Quý*",Sheet4!$1:$1,2)),"")</f>
        <v>0</v>
      </c>
      <c r="P1339" s="10" cm="1">
        <f t="array" ref="P1339">IFERROR(INDEX(Sheet4!$2:$1605,MATCH(ChiTietKQKD[[#This Row],[Mã CP]],Sheet4!$B$2:$B$1605,0),_xlfn.XMATCH("*Tăng trưởng lợi nhuận sau thuế (YoY) (6M)*",Sheet4!$1:$1,2)),"")</f>
        <v>0</v>
      </c>
      <c r="Q1339" s="10" cm="1">
        <f t="array" ref="Q1339">IFERROR(INDEX(Sheet4!$2:$1605,MATCH(ChiTietKQKD[[#This Row],[Mã CP]],Sheet4!$B$2:$B$1605,0),_xlfn.XMATCH("*Tăng trưởng doanh thu thuần (QoQ)*",Sheet4!$1:$1,2)),"")</f>
        <v>0</v>
      </c>
      <c r="R1339" s="10" cm="1">
        <f t="array" ref="R1339">IFERROR(INDEX(Sheet4!$2:$1605,MATCH(ChiTietKQKD[[#This Row],[Mã CP]],Sheet4!$B$2:$B$1605,0),_xlfn.XMATCH("*Tăng trưởng lợi nhuận sau thuế (QoQ)*",Sheet4!$1:$1,2)),"")</f>
        <v>0</v>
      </c>
    </row>
    <row r="1340" spans="1:18" x14ac:dyDescent="0.25">
      <c r="A1340" s="7">
        <f>Sheet4!A1319</f>
        <v>1318</v>
      </c>
      <c r="B1340" t="str">
        <f>Sheet4!B1319</f>
        <v>QNW</v>
      </c>
      <c r="C1340" t="str">
        <f>Sheet4!C1318</f>
        <v>Môi trường Đô thị Quảng Nam</v>
      </c>
      <c r="D1340" t="str">
        <f>Sheet4!D1319</f>
        <v>UPCoM</v>
      </c>
      <c r="E1340" s="7">
        <f>Sheet4!AH1319/1000000000</f>
        <v>322</v>
      </c>
      <c r="F1340" t="str">
        <f>Sheet4!E1319</f>
        <v>Tiện ích Cộng đồng</v>
      </c>
      <c r="G1340" t="str">
        <f>Sheet4!F1319</f>
        <v>Điện, nước &amp; xăng dầu khí đốt</v>
      </c>
      <c r="H1340" t="str">
        <f>Sheet4!G1319</f>
        <v>Nước</v>
      </c>
      <c r="I1340" s="9" t="str" cm="1">
        <f t="array" ref="I134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40" s="9" t="str" cm="1">
        <f t="array" ref="J134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40" s="10" cm="1">
        <f t="array" ref="K134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40" s="10" cm="1">
        <f t="array" ref="L134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40" s="9" t="str" cm="1">
        <f t="array" ref="M134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40" s="9" t="str" cm="1">
        <f t="array" ref="N134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40" s="10" cm="1">
        <f t="array" ref="O1340">IFERROR(INDEX(Sheet4!$2:$1605,MATCH(ChiTietKQKD[[#This Row],[Mã CP]],Sheet4!$B$2:$B$1605,0),_xlfn.XMATCH("*Tăng trưởng lợi nhuận sau thuế (YoY) (Quý*",Sheet4!$1:$1,2)),"")</f>
        <v>0</v>
      </c>
      <c r="P1340" s="10" cm="1">
        <f t="array" ref="P1340">IFERROR(INDEX(Sheet4!$2:$1605,MATCH(ChiTietKQKD[[#This Row],[Mã CP]],Sheet4!$B$2:$B$1605,0),_xlfn.XMATCH("*Tăng trưởng lợi nhuận sau thuế (YoY) (6M)*",Sheet4!$1:$1,2)),"")</f>
        <v>0</v>
      </c>
      <c r="Q1340" s="10" cm="1">
        <f t="array" ref="Q1340">IFERROR(INDEX(Sheet4!$2:$1605,MATCH(ChiTietKQKD[[#This Row],[Mã CP]],Sheet4!$B$2:$B$1605,0),_xlfn.XMATCH("*Tăng trưởng doanh thu thuần (QoQ)*",Sheet4!$1:$1,2)),"")</f>
        <v>0</v>
      </c>
      <c r="R1340" s="10" cm="1">
        <f t="array" ref="R1340">IFERROR(INDEX(Sheet4!$2:$1605,MATCH(ChiTietKQKD[[#This Row],[Mã CP]],Sheet4!$B$2:$B$1605,0),_xlfn.XMATCH("*Tăng trưởng lợi nhuận sau thuế (QoQ)*",Sheet4!$1:$1,2)),"")</f>
        <v>0</v>
      </c>
    </row>
    <row r="1341" spans="1:18" x14ac:dyDescent="0.25">
      <c r="A1341" s="7">
        <f>Sheet4!A1320</f>
        <v>1319</v>
      </c>
      <c r="B1341" t="str">
        <f>Sheet4!B1320</f>
        <v>QPH</v>
      </c>
      <c r="C1341" t="str">
        <f>Sheet4!C1319</f>
        <v>Cấp thoát nước và XD Quảng Ngãi</v>
      </c>
      <c r="D1341" t="str">
        <f>Sheet4!D1320</f>
        <v>UPCoM</v>
      </c>
      <c r="E1341" s="7">
        <f>Sheet4!AH1320/1000000000</f>
        <v>641.11694999999997</v>
      </c>
      <c r="F1341" t="str">
        <f>Sheet4!E1320</f>
        <v>Tiện ích Cộng đồng</v>
      </c>
      <c r="G1341" t="str">
        <f>Sheet4!F1320</f>
        <v>Điện, nước &amp; xăng dầu khí đốt</v>
      </c>
      <c r="H1341" t="str">
        <f>Sheet4!G1320</f>
        <v>Sản xuất &amp; Phân phối Điện</v>
      </c>
      <c r="I1341" s="9" t="str" cm="1">
        <f t="array" ref="I134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41" s="9" t="str" cm="1">
        <f t="array" ref="J134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41" s="10" cm="1">
        <f t="array" ref="K134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41" s="10" cm="1">
        <f t="array" ref="L134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41" s="9" t="str" cm="1">
        <f t="array" ref="M134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41" s="9" t="str" cm="1">
        <f t="array" ref="N134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41" s="10" cm="1">
        <f t="array" ref="O1341">IFERROR(INDEX(Sheet4!$2:$1605,MATCH(ChiTietKQKD[[#This Row],[Mã CP]],Sheet4!$B$2:$B$1605,0),_xlfn.XMATCH("*Tăng trưởng lợi nhuận sau thuế (YoY) (Quý*",Sheet4!$1:$1,2)),"")</f>
        <v>0</v>
      </c>
      <c r="P1341" s="10" cm="1">
        <f t="array" ref="P1341">IFERROR(INDEX(Sheet4!$2:$1605,MATCH(ChiTietKQKD[[#This Row],[Mã CP]],Sheet4!$B$2:$B$1605,0),_xlfn.XMATCH("*Tăng trưởng lợi nhuận sau thuế (YoY) (6M)*",Sheet4!$1:$1,2)),"")</f>
        <v>0</v>
      </c>
      <c r="Q1341" s="10" cm="1">
        <f t="array" ref="Q1341">IFERROR(INDEX(Sheet4!$2:$1605,MATCH(ChiTietKQKD[[#This Row],[Mã CP]],Sheet4!$B$2:$B$1605,0),_xlfn.XMATCH("*Tăng trưởng doanh thu thuần (QoQ)*",Sheet4!$1:$1,2)),"")</f>
        <v>0</v>
      </c>
      <c r="R1341" s="10" cm="1">
        <f t="array" ref="R1341">IFERROR(INDEX(Sheet4!$2:$1605,MATCH(ChiTietKQKD[[#This Row],[Mã CP]],Sheet4!$B$2:$B$1605,0),_xlfn.XMATCH("*Tăng trưởng lợi nhuận sau thuế (QoQ)*",Sheet4!$1:$1,2)),"")</f>
        <v>0</v>
      </c>
    </row>
    <row r="1342" spans="1:18" x14ac:dyDescent="0.25">
      <c r="A1342" s="7">
        <f>Sheet4!A1321</f>
        <v>1320</v>
      </c>
      <c r="B1342" t="str">
        <f>Sheet4!B1321</f>
        <v>QSP</v>
      </c>
      <c r="C1342" t="str">
        <f>Sheet4!C1320</f>
        <v>Thủy điện Quế Phong</v>
      </c>
      <c r="D1342" t="str">
        <f>Sheet4!D1321</f>
        <v>UPCoM</v>
      </c>
      <c r="E1342" s="7">
        <f>Sheet4!AH1321/1000000000</f>
        <v>237.43004999999999</v>
      </c>
      <c r="F1342" t="str">
        <f>Sheet4!E1321</f>
        <v>Công nghiệp</v>
      </c>
      <c r="G1342" t="str">
        <f>Sheet4!F1321</f>
        <v>Hàng &amp; Dịch vụ Công nghiệp</v>
      </c>
      <c r="H1342" t="str">
        <f>Sheet4!G1321</f>
        <v>Kho bãi, hậu cần và bảo dưỡng</v>
      </c>
      <c r="I1342" s="9" t="str" cm="1">
        <f t="array" ref="I134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42" s="9" t="str" cm="1">
        <f t="array" ref="J134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42" s="10" cm="1">
        <f t="array" ref="K134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42" s="10" cm="1">
        <f t="array" ref="L134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42" s="9" t="str" cm="1">
        <f t="array" ref="M134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42" s="9" t="str" cm="1">
        <f t="array" ref="N134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42" s="10" cm="1">
        <f t="array" ref="O1342">IFERROR(INDEX(Sheet4!$2:$1605,MATCH(ChiTietKQKD[[#This Row],[Mã CP]],Sheet4!$B$2:$B$1605,0),_xlfn.XMATCH("*Tăng trưởng lợi nhuận sau thuế (YoY) (Quý*",Sheet4!$1:$1,2)),"")</f>
        <v>0</v>
      </c>
      <c r="P1342" s="10" cm="1">
        <f t="array" ref="P1342">IFERROR(INDEX(Sheet4!$2:$1605,MATCH(ChiTietKQKD[[#This Row],[Mã CP]],Sheet4!$B$2:$B$1605,0),_xlfn.XMATCH("*Tăng trưởng lợi nhuận sau thuế (YoY) (6M)*",Sheet4!$1:$1,2)),"")</f>
        <v>0</v>
      </c>
      <c r="Q1342" s="10" cm="1">
        <f t="array" ref="Q1342">IFERROR(INDEX(Sheet4!$2:$1605,MATCH(ChiTietKQKD[[#This Row],[Mã CP]],Sheet4!$B$2:$B$1605,0),_xlfn.XMATCH("*Tăng trưởng doanh thu thuần (QoQ)*",Sheet4!$1:$1,2)),"")</f>
        <v>0</v>
      </c>
      <c r="R1342" s="10" cm="1">
        <f t="array" ref="R1342">IFERROR(INDEX(Sheet4!$2:$1605,MATCH(ChiTietKQKD[[#This Row],[Mã CP]],Sheet4!$B$2:$B$1605,0),_xlfn.XMATCH("*Tăng trưởng lợi nhuận sau thuế (QoQ)*",Sheet4!$1:$1,2)),"")</f>
        <v>0</v>
      </c>
    </row>
    <row r="1343" spans="1:18" x14ac:dyDescent="0.25">
      <c r="A1343" s="7">
        <f>Sheet4!A1322</f>
        <v>1321</v>
      </c>
      <c r="B1343" t="str">
        <f>Sheet4!B1322</f>
        <v>QTP</v>
      </c>
      <c r="C1343" t="str">
        <f>Sheet4!C1321</f>
        <v>Tân cảng Quy Nhơn</v>
      </c>
      <c r="D1343" t="str">
        <f>Sheet4!D1322</f>
        <v>UPCoM</v>
      </c>
      <c r="E1343" s="7">
        <f>Sheet4!AH1322/1000000000</f>
        <v>4966.6499999999996</v>
      </c>
      <c r="F1343" t="str">
        <f>Sheet4!E1322</f>
        <v>Tiện ích Cộng đồng</v>
      </c>
      <c r="G1343" t="str">
        <f>Sheet4!F1322</f>
        <v>Điện, nước &amp; xăng dầu khí đốt</v>
      </c>
      <c r="H1343" t="str">
        <f>Sheet4!G1322</f>
        <v>Sản xuất &amp; Phân phối Điện</v>
      </c>
      <c r="I1343" s="9" cm="1">
        <f t="array" ref="I134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3624.7899800700002</v>
      </c>
      <c r="J1343" s="9" cm="1">
        <f t="array" ref="J134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6358.6952466169996</v>
      </c>
      <c r="K1343" s="10" cm="1">
        <f t="array" ref="K134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0.26569999999999999</v>
      </c>
      <c r="L1343" s="10" cm="1">
        <f t="array" ref="L134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0.1009</v>
      </c>
      <c r="M1343" s="9" cm="1">
        <f t="array" ref="M1343">_xlfn.LET(_xlpm.val,IFERROR(INDEX(Sheet4!$2:$1605,MATCH(ChiTietKQKD[[#This Row],[Mã CP]],Sheet4!$B$2:$B$1605,0),_xlfn.XMATCH("*Lợi nhuận sau thuế*Q2*2026*",Sheet4!$1:$1,2)),0),IF(OR(_xlpm.val="",_xlpm.val=0),"",_xlpm.val/1000000000))</f>
        <v>326.82488157699999</v>
      </c>
      <c r="N1343" s="9" cm="1">
        <f t="array" ref="N1343">_xlfn.LET(_xlpm.val,IFERROR(INDEX(Sheet4!$2:$1605,MATCH(ChiTietKQKD[[#This Row],[Mã CP]],Sheet4!$B$2:$B$1605,0),_xlfn.XMATCH("*Lợi nhuận sau thuế*6 tháng*2026*",Sheet4!$1:$1,2)),0),IF(OR(_xlpm.val="",_xlpm.val=0),"",_xlpm.val/1000000000))</f>
        <v>524.04533159200003</v>
      </c>
      <c r="O1343" s="10" cm="1">
        <f t="array" ref="O1343">IFERROR(INDEX(Sheet4!$2:$1605,MATCH(ChiTietKQKD[[#This Row],[Mã CP]],Sheet4!$B$2:$B$1605,0),_xlfn.XMATCH("*Tăng trưởng lợi nhuận sau thuế (YoY) (Quý*",Sheet4!$1:$1,2)),"")</f>
        <v>0.71479999999999999</v>
      </c>
      <c r="P1343" s="10" cm="1">
        <f t="array" ref="P1343">IFERROR(INDEX(Sheet4!$2:$1605,MATCH(ChiTietKQKD[[#This Row],[Mã CP]],Sheet4!$B$2:$B$1605,0),_xlfn.XMATCH("*Tăng trưởng lợi nhuận sau thuế (YoY) (6M)*",Sheet4!$1:$1,2)),"")</f>
        <v>0.44280000000000003</v>
      </c>
      <c r="Q1343" s="10" cm="1">
        <f t="array" ref="Q1343">IFERROR(INDEX(Sheet4!$2:$1605,MATCH(ChiTietKQKD[[#This Row],[Mã CP]],Sheet4!$B$2:$B$1605,0),_xlfn.XMATCH("*Tăng trưởng doanh thu thuần (QoQ)*",Sheet4!$1:$1,2)),"")</f>
        <v>0.32590000000000002</v>
      </c>
      <c r="R1343" s="10" cm="1">
        <f t="array" ref="R1343">IFERROR(INDEX(Sheet4!$2:$1605,MATCH(ChiTietKQKD[[#This Row],[Mã CP]],Sheet4!$B$2:$B$1605,0),_xlfn.XMATCH("*Tăng trưởng lợi nhuận sau thuế (QoQ)*",Sheet4!$1:$1,2)),"")</f>
        <v>0.65720000000000001</v>
      </c>
    </row>
    <row r="1344" spans="1:18" x14ac:dyDescent="0.25">
      <c r="A1344" s="7">
        <f>Sheet4!A1323</f>
        <v>1322</v>
      </c>
      <c r="B1344" t="str">
        <f>Sheet4!B1323</f>
        <v>RAT</v>
      </c>
      <c r="C1344" t="str">
        <f>Sheet4!C1322</f>
        <v>Nhiệt điện Quảng Ninh</v>
      </c>
      <c r="D1344" t="str">
        <f>Sheet4!D1323</f>
        <v>UPCoM</v>
      </c>
      <c r="E1344" s="7">
        <f>Sheet4!AH1323/1000000000</f>
        <v>100.671297</v>
      </c>
      <c r="F1344" t="str">
        <f>Sheet4!E1323</f>
        <v>Công nghiệp</v>
      </c>
      <c r="G1344" t="str">
        <f>Sheet4!F1323</f>
        <v>Hàng &amp; Dịch vụ Công nghiệp</v>
      </c>
      <c r="H1344" t="str">
        <f>Sheet4!G1323</f>
        <v>Dịch vụ vận tải</v>
      </c>
      <c r="I1344" s="9" t="str" cm="1">
        <f t="array" ref="I134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44" s="9" t="str" cm="1">
        <f t="array" ref="J134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44" s="10" cm="1">
        <f t="array" ref="K134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44" s="10" cm="1">
        <f t="array" ref="L134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44" s="9" t="str" cm="1">
        <f t="array" ref="M134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44" s="9" t="str" cm="1">
        <f t="array" ref="N134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44" s="10" cm="1">
        <f t="array" ref="O1344">IFERROR(INDEX(Sheet4!$2:$1605,MATCH(ChiTietKQKD[[#This Row],[Mã CP]],Sheet4!$B$2:$B$1605,0),_xlfn.XMATCH("*Tăng trưởng lợi nhuận sau thuế (YoY) (Quý*",Sheet4!$1:$1,2)),"")</f>
        <v>0</v>
      </c>
      <c r="P1344" s="10" cm="1">
        <f t="array" ref="P1344">IFERROR(INDEX(Sheet4!$2:$1605,MATCH(ChiTietKQKD[[#This Row],[Mã CP]],Sheet4!$B$2:$B$1605,0),_xlfn.XMATCH("*Tăng trưởng lợi nhuận sau thuế (YoY) (6M)*",Sheet4!$1:$1,2)),"")</f>
        <v>0</v>
      </c>
      <c r="Q1344" s="10" cm="1">
        <f t="array" ref="Q1344">IFERROR(INDEX(Sheet4!$2:$1605,MATCH(ChiTietKQKD[[#This Row],[Mã CP]],Sheet4!$B$2:$B$1605,0),_xlfn.XMATCH("*Tăng trưởng doanh thu thuần (QoQ)*",Sheet4!$1:$1,2)),"")</f>
        <v>0</v>
      </c>
      <c r="R1344" s="10" cm="1">
        <f t="array" ref="R1344">IFERROR(INDEX(Sheet4!$2:$1605,MATCH(ChiTietKQKD[[#This Row],[Mã CP]],Sheet4!$B$2:$B$1605,0),_xlfn.XMATCH("*Tăng trưởng lợi nhuận sau thuế (QoQ)*",Sheet4!$1:$1,2)),"")</f>
        <v>0</v>
      </c>
    </row>
    <row r="1345" spans="1:18" x14ac:dyDescent="0.25">
      <c r="A1345" s="7">
        <f>Sheet4!A1324</f>
        <v>1323</v>
      </c>
      <c r="B1345" t="str">
        <f>Sheet4!B1324</f>
        <v>RBC</v>
      </c>
      <c r="C1345" t="str">
        <f>Sheet4!C1323</f>
        <v>VT và TM Đường sắt</v>
      </c>
      <c r="D1345" t="str">
        <f>Sheet4!D1324</f>
        <v>UPCoM</v>
      </c>
      <c r="E1345" s="7">
        <f>Sheet4!AH1324/1000000000</f>
        <v>49.518540000000002</v>
      </c>
      <c r="F1345" t="str">
        <f>Sheet4!E1324</f>
        <v>Nguyên vật liệu</v>
      </c>
      <c r="G1345" t="str">
        <f>Sheet4!F1324</f>
        <v>Hóa chất</v>
      </c>
      <c r="H1345" t="str">
        <f>Sheet4!G1324</f>
        <v>Nhựa, cao su &amp; sợi</v>
      </c>
      <c r="I1345" s="9" t="str" cm="1">
        <f t="array" ref="I134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45" s="9" t="str" cm="1">
        <f t="array" ref="J134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45" s="10" cm="1">
        <f t="array" ref="K134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45" s="10" cm="1">
        <f t="array" ref="L134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45" s="9" t="str" cm="1">
        <f t="array" ref="M134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45" s="9" t="str" cm="1">
        <f t="array" ref="N134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45" s="10" cm="1">
        <f t="array" ref="O1345">IFERROR(INDEX(Sheet4!$2:$1605,MATCH(ChiTietKQKD[[#This Row],[Mã CP]],Sheet4!$B$2:$B$1605,0),_xlfn.XMATCH("*Tăng trưởng lợi nhuận sau thuế (YoY) (Quý*",Sheet4!$1:$1,2)),"")</f>
        <v>0</v>
      </c>
      <c r="P1345" s="10" cm="1">
        <f t="array" ref="P1345">IFERROR(INDEX(Sheet4!$2:$1605,MATCH(ChiTietKQKD[[#This Row],[Mã CP]],Sheet4!$B$2:$B$1605,0),_xlfn.XMATCH("*Tăng trưởng lợi nhuận sau thuế (YoY) (6M)*",Sheet4!$1:$1,2)),"")</f>
        <v>0</v>
      </c>
      <c r="Q1345" s="10" cm="1">
        <f t="array" ref="Q1345">IFERROR(INDEX(Sheet4!$2:$1605,MATCH(ChiTietKQKD[[#This Row],[Mã CP]],Sheet4!$B$2:$B$1605,0),_xlfn.XMATCH("*Tăng trưởng doanh thu thuần (QoQ)*",Sheet4!$1:$1,2)),"")</f>
        <v>0</v>
      </c>
      <c r="R1345" s="10" cm="1">
        <f t="array" ref="R1345">IFERROR(INDEX(Sheet4!$2:$1605,MATCH(ChiTietKQKD[[#This Row],[Mã CP]],Sheet4!$B$2:$B$1605,0),_xlfn.XMATCH("*Tăng trưởng lợi nhuận sau thuế (QoQ)*",Sheet4!$1:$1,2)),"")</f>
        <v>0</v>
      </c>
    </row>
    <row r="1346" spans="1:18" x14ac:dyDescent="0.25">
      <c r="A1346" s="7">
        <f>Sheet4!A1325</f>
        <v>1324</v>
      </c>
      <c r="B1346" t="str">
        <f>Sheet4!B1325</f>
        <v>RCC</v>
      </c>
      <c r="C1346" t="str">
        <f>Sheet4!C1324</f>
        <v>Công Nghiệp và Xuất nhập khẩu Cao Su</v>
      </c>
      <c r="D1346" t="str">
        <f>Sheet4!D1325</f>
        <v>UPCoM</v>
      </c>
      <c r="E1346" s="7">
        <f>Sheet4!AH1325/1000000000</f>
        <v>708.63095290000001</v>
      </c>
      <c r="F1346" t="str">
        <f>Sheet4!E1325</f>
        <v>Công nghiệp</v>
      </c>
      <c r="G1346" t="str">
        <f>Sheet4!F1325</f>
        <v>Xây dựng và Vật liệu</v>
      </c>
      <c r="H1346" t="str">
        <f>Sheet4!G1325</f>
        <v>Xây dựng</v>
      </c>
      <c r="I1346" s="9" t="str" cm="1">
        <f t="array" ref="I134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46" s="9" t="str" cm="1">
        <f t="array" ref="J134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46" s="10" cm="1">
        <f t="array" ref="K134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46" s="10" cm="1">
        <f t="array" ref="L134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46" s="9" t="str" cm="1">
        <f t="array" ref="M134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46" s="9" t="str" cm="1">
        <f t="array" ref="N134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46" s="10" cm="1">
        <f t="array" ref="O1346">IFERROR(INDEX(Sheet4!$2:$1605,MATCH(ChiTietKQKD[[#This Row],[Mã CP]],Sheet4!$B$2:$B$1605,0),_xlfn.XMATCH("*Tăng trưởng lợi nhuận sau thuế (YoY) (Quý*",Sheet4!$1:$1,2)),"")</f>
        <v>0</v>
      </c>
      <c r="P1346" s="10" cm="1">
        <f t="array" ref="P1346">IFERROR(INDEX(Sheet4!$2:$1605,MATCH(ChiTietKQKD[[#This Row],[Mã CP]],Sheet4!$B$2:$B$1605,0),_xlfn.XMATCH("*Tăng trưởng lợi nhuận sau thuế (YoY) (6M)*",Sheet4!$1:$1,2)),"")</f>
        <v>0</v>
      </c>
      <c r="Q1346" s="10" cm="1">
        <f t="array" ref="Q1346">IFERROR(INDEX(Sheet4!$2:$1605,MATCH(ChiTietKQKD[[#This Row],[Mã CP]],Sheet4!$B$2:$B$1605,0),_xlfn.XMATCH("*Tăng trưởng doanh thu thuần (QoQ)*",Sheet4!$1:$1,2)),"")</f>
        <v>0</v>
      </c>
      <c r="R1346" s="10" cm="1">
        <f t="array" ref="R1346">IFERROR(INDEX(Sheet4!$2:$1605,MATCH(ChiTietKQKD[[#This Row],[Mã CP]],Sheet4!$B$2:$B$1605,0),_xlfn.XMATCH("*Tăng trưởng lợi nhuận sau thuế (QoQ)*",Sheet4!$1:$1,2)),"")</f>
        <v>0</v>
      </c>
    </row>
    <row r="1347" spans="1:18" x14ac:dyDescent="0.25">
      <c r="A1347" s="7">
        <f>Sheet4!A1326</f>
        <v>1325</v>
      </c>
      <c r="B1347" t="str">
        <f>Sheet4!B1326</f>
        <v>RCD</v>
      </c>
      <c r="C1347" t="str">
        <f>Sheet4!C1325</f>
        <v>Công trình Đường sắt Việt Nam</v>
      </c>
      <c r="D1347" t="str">
        <f>Sheet4!D1326</f>
        <v>UPCoM</v>
      </c>
      <c r="E1347" s="7">
        <f>Sheet4!AH1326/1000000000</f>
        <v>9.6996640000000003</v>
      </c>
      <c r="F1347" t="str">
        <f>Sheet4!E1326</f>
        <v>Công nghiệp</v>
      </c>
      <c r="G1347" t="str">
        <f>Sheet4!F1326</f>
        <v>Xây dựng và Vật liệu</v>
      </c>
      <c r="H1347" t="str">
        <f>Sheet4!G1326</f>
        <v>Xây dựng</v>
      </c>
      <c r="I1347" s="9" t="str" cm="1">
        <f t="array" ref="I134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47" s="9" t="str" cm="1">
        <f t="array" ref="J134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47" s="10" cm="1">
        <f t="array" ref="K134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47" s="10" cm="1">
        <f t="array" ref="L134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47" s="9" t="str" cm="1">
        <f t="array" ref="M134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47" s="9" t="str" cm="1">
        <f t="array" ref="N134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47" s="10" cm="1">
        <f t="array" ref="O1347">IFERROR(INDEX(Sheet4!$2:$1605,MATCH(ChiTietKQKD[[#This Row],[Mã CP]],Sheet4!$B$2:$B$1605,0),_xlfn.XMATCH("*Tăng trưởng lợi nhuận sau thuế (YoY) (Quý*",Sheet4!$1:$1,2)),"")</f>
        <v>0</v>
      </c>
      <c r="P1347" s="10" cm="1">
        <f t="array" ref="P1347">IFERROR(INDEX(Sheet4!$2:$1605,MATCH(ChiTietKQKD[[#This Row],[Mã CP]],Sheet4!$B$2:$B$1605,0),_xlfn.XMATCH("*Tăng trưởng lợi nhuận sau thuế (YoY) (6M)*",Sheet4!$1:$1,2)),"")</f>
        <v>0</v>
      </c>
      <c r="Q1347" s="10" cm="1">
        <f t="array" ref="Q1347">IFERROR(INDEX(Sheet4!$2:$1605,MATCH(ChiTietKQKD[[#This Row],[Mã CP]],Sheet4!$B$2:$B$1605,0),_xlfn.XMATCH("*Tăng trưởng doanh thu thuần (QoQ)*",Sheet4!$1:$1,2)),"")</f>
        <v>0</v>
      </c>
      <c r="R1347" s="10" cm="1">
        <f t="array" ref="R1347">IFERROR(INDEX(Sheet4!$2:$1605,MATCH(ChiTietKQKD[[#This Row],[Mã CP]],Sheet4!$B$2:$B$1605,0),_xlfn.XMATCH("*Tăng trưởng lợi nhuận sau thuế (QoQ)*",Sheet4!$1:$1,2)),"")</f>
        <v>0</v>
      </c>
    </row>
    <row r="1348" spans="1:18" x14ac:dyDescent="0.25">
      <c r="A1348" s="7">
        <f>Sheet4!A1327</f>
        <v>1326</v>
      </c>
      <c r="B1348" t="str">
        <f>Sheet4!B1327</f>
        <v>REN</v>
      </c>
      <c r="C1348" t="str">
        <f>Sheet4!C1326</f>
        <v>XD - Địa ốc Cao su</v>
      </c>
      <c r="D1348" t="str">
        <f>Sheet4!D1327</f>
        <v>UPCoM</v>
      </c>
      <c r="E1348" s="7">
        <f>Sheet4!AH1327/1000000000</f>
        <v>0</v>
      </c>
      <c r="F1348" t="str">
        <f>Sheet4!E1327</f>
        <v>Công nghiệp</v>
      </c>
      <c r="G1348" t="str">
        <f>Sheet4!F1327</f>
        <v>Xây dựng và Vật liệu</v>
      </c>
      <c r="H1348" t="str">
        <f>Sheet4!G1327</f>
        <v>Xây dựng</v>
      </c>
      <c r="I1348" s="9" t="str" cm="1">
        <f t="array" ref="I134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48" s="9" t="str" cm="1">
        <f t="array" ref="J134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48" s="10" cm="1">
        <f t="array" ref="K134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48" s="10" cm="1">
        <f t="array" ref="L134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48" s="9" t="str" cm="1">
        <f t="array" ref="M134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48" s="9" t="str" cm="1">
        <f t="array" ref="N134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48" s="10" cm="1">
        <f t="array" ref="O1348">IFERROR(INDEX(Sheet4!$2:$1605,MATCH(ChiTietKQKD[[#This Row],[Mã CP]],Sheet4!$B$2:$B$1605,0),_xlfn.XMATCH("*Tăng trưởng lợi nhuận sau thuế (YoY) (Quý*",Sheet4!$1:$1,2)),"")</f>
        <v>0</v>
      </c>
      <c r="P1348" s="10" cm="1">
        <f t="array" ref="P1348">IFERROR(INDEX(Sheet4!$2:$1605,MATCH(ChiTietKQKD[[#This Row],[Mã CP]],Sheet4!$B$2:$B$1605,0),_xlfn.XMATCH("*Tăng trưởng lợi nhuận sau thuế (YoY) (6M)*",Sheet4!$1:$1,2)),"")</f>
        <v>0</v>
      </c>
      <c r="Q1348" s="10" cm="1">
        <f t="array" ref="Q1348">IFERROR(INDEX(Sheet4!$2:$1605,MATCH(ChiTietKQKD[[#This Row],[Mã CP]],Sheet4!$B$2:$B$1605,0),_xlfn.XMATCH("*Tăng trưởng doanh thu thuần (QoQ)*",Sheet4!$1:$1,2)),"")</f>
        <v>0</v>
      </c>
      <c r="R1348" s="10" cm="1">
        <f t="array" ref="R1348">IFERROR(INDEX(Sheet4!$2:$1605,MATCH(ChiTietKQKD[[#This Row],[Mã CP]],Sheet4!$B$2:$B$1605,0),_xlfn.XMATCH("*Tăng trưởng lợi nhuận sau thuế (QoQ)*",Sheet4!$1:$1,2)),"")</f>
        <v>0</v>
      </c>
    </row>
    <row r="1349" spans="1:18" x14ac:dyDescent="0.25">
      <c r="A1349" s="7">
        <f>Sheet4!A1328</f>
        <v>1327</v>
      </c>
      <c r="B1349" t="str">
        <f>Sheet4!B1328</f>
        <v>RGG</v>
      </c>
      <c r="C1349" t="str">
        <f>Sheet4!C1327</f>
        <v>XD và ĐT Khu du lịch Sinh Thái</v>
      </c>
      <c r="D1349" t="str">
        <f>Sheet4!D1328</f>
        <v>UPCoM</v>
      </c>
      <c r="E1349" s="7">
        <f>Sheet4!AH1328/1000000000</f>
        <v>7414</v>
      </c>
      <c r="F1349" t="str">
        <f>Sheet4!E1328</f>
        <v>Tài chính</v>
      </c>
      <c r="G1349" t="str">
        <f>Sheet4!F1328</f>
        <v>Bất động sản</v>
      </c>
      <c r="H1349" t="str">
        <f>Sheet4!G1328</f>
        <v>Bất động sản</v>
      </c>
      <c r="I1349" s="9" t="str" cm="1">
        <f t="array" ref="I134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49" s="9" t="str" cm="1">
        <f t="array" ref="J134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49" s="10" cm="1">
        <f t="array" ref="K134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49" s="10" cm="1">
        <f t="array" ref="L134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49" s="9" t="str" cm="1">
        <f t="array" ref="M134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49" s="9" t="str" cm="1">
        <f t="array" ref="N134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49" s="10" cm="1">
        <f t="array" ref="O1349">IFERROR(INDEX(Sheet4!$2:$1605,MATCH(ChiTietKQKD[[#This Row],[Mã CP]],Sheet4!$B$2:$B$1605,0),_xlfn.XMATCH("*Tăng trưởng lợi nhuận sau thuế (YoY) (Quý*",Sheet4!$1:$1,2)),"")</f>
        <v>0</v>
      </c>
      <c r="P1349" s="10" cm="1">
        <f t="array" ref="P1349">IFERROR(INDEX(Sheet4!$2:$1605,MATCH(ChiTietKQKD[[#This Row],[Mã CP]],Sheet4!$B$2:$B$1605,0),_xlfn.XMATCH("*Tăng trưởng lợi nhuận sau thuế (YoY) (6M)*",Sheet4!$1:$1,2)),"")</f>
        <v>0</v>
      </c>
      <c r="Q1349" s="10" cm="1">
        <f t="array" ref="Q1349">IFERROR(INDEX(Sheet4!$2:$1605,MATCH(ChiTietKQKD[[#This Row],[Mã CP]],Sheet4!$B$2:$B$1605,0),_xlfn.XMATCH("*Tăng trưởng doanh thu thuần (QoQ)*",Sheet4!$1:$1,2)),"")</f>
        <v>0</v>
      </c>
      <c r="R1349" s="10" cm="1">
        <f t="array" ref="R1349">IFERROR(INDEX(Sheet4!$2:$1605,MATCH(ChiTietKQKD[[#This Row],[Mã CP]],Sheet4!$B$2:$B$1605,0),_xlfn.XMATCH("*Tăng trưởng lợi nhuận sau thuế (QoQ)*",Sheet4!$1:$1,2)),"")</f>
        <v>0</v>
      </c>
    </row>
    <row r="1350" spans="1:18" x14ac:dyDescent="0.25">
      <c r="A1350" s="7">
        <f>Sheet4!A1329</f>
        <v>1328</v>
      </c>
      <c r="B1350" t="str">
        <f>Sheet4!B1329</f>
        <v>RIC</v>
      </c>
      <c r="C1350" t="str">
        <f>Sheet4!C1328</f>
        <v>Regal Group</v>
      </c>
      <c r="D1350" t="str">
        <f>Sheet4!D1329</f>
        <v>UPCoM</v>
      </c>
      <c r="E1350" s="7">
        <f>Sheet4!AH1329/1000000000</f>
        <v>478.50752720000003</v>
      </c>
      <c r="F1350" t="str">
        <f>Sheet4!E1329</f>
        <v>Dịch vụ Tiêu dùng</v>
      </c>
      <c r="G1350" t="str">
        <f>Sheet4!F1329</f>
        <v>Du lịch và Giải trí</v>
      </c>
      <c r="H1350" t="str">
        <f>Sheet4!G1329</f>
        <v>Dịch vụ giải trí</v>
      </c>
      <c r="I1350" s="9" cm="1">
        <f t="array" ref="I135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32.781839337000001</v>
      </c>
      <c r="J1350" s="9" cm="1">
        <f t="array" ref="J135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76.853849534999995</v>
      </c>
      <c r="K1350" s="10" cm="1">
        <f t="array" ref="K135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-0.30480000000000002</v>
      </c>
      <c r="L1350" s="10" cm="1">
        <f t="array" ref="L135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50" s="9" cm="1">
        <f t="array" ref="M1350">_xlfn.LET(_xlpm.val,IFERROR(INDEX(Sheet4!$2:$1605,MATCH(ChiTietKQKD[[#This Row],[Mã CP]],Sheet4!$B$2:$B$1605,0),_xlfn.XMATCH("*Lợi nhuận sau thuế*Q2*2026*",Sheet4!$1:$1,2)),0),IF(OR(_xlpm.val="",_xlpm.val=0),"",_xlpm.val/1000000000))</f>
        <v>-9.0789490619999995</v>
      </c>
      <c r="N1350" s="9" cm="1">
        <f t="array" ref="N1350">_xlfn.LET(_xlpm.val,IFERROR(INDEX(Sheet4!$2:$1605,MATCH(ChiTietKQKD[[#This Row],[Mã CP]],Sheet4!$B$2:$B$1605,0),_xlfn.XMATCH("*Lợi nhuận sau thuế*6 tháng*2026*",Sheet4!$1:$1,2)),0),IF(OR(_xlpm.val="",_xlpm.val=0),"",_xlpm.val/1000000000))</f>
        <v>-1.7021228310000001</v>
      </c>
      <c r="O1350" s="10" cm="1">
        <f t="array" ref="O1350">IFERROR(INDEX(Sheet4!$2:$1605,MATCH(ChiTietKQKD[[#This Row],[Mã CP]],Sheet4!$B$2:$B$1605,0),_xlfn.XMATCH("*Tăng trưởng lợi nhuận sau thuế (YoY) (Quý*",Sheet4!$1:$1,2)),"")</f>
        <v>-1.9159999999999999</v>
      </c>
      <c r="P1350" s="10" cm="1">
        <f t="array" ref="P1350">IFERROR(INDEX(Sheet4!$2:$1605,MATCH(ChiTietKQKD[[#This Row],[Mã CP]],Sheet4!$B$2:$B$1605,0),_xlfn.XMATCH("*Tăng trưởng lợi nhuận sau thuế (YoY) (6M)*",Sheet4!$1:$1,2)),"")</f>
        <v>0</v>
      </c>
      <c r="Q1350" s="10" cm="1">
        <f t="array" ref="Q1350">IFERROR(INDEX(Sheet4!$2:$1605,MATCH(ChiTietKQKD[[#This Row],[Mã CP]],Sheet4!$B$2:$B$1605,0),_xlfn.XMATCH("*Tăng trưởng doanh thu thuần (QoQ)*",Sheet4!$1:$1,2)),"")</f>
        <v>-0.25440000000000002</v>
      </c>
      <c r="R1350" s="10" cm="1">
        <f t="array" ref="R1350">IFERROR(INDEX(Sheet4!$2:$1605,MATCH(ChiTietKQKD[[#This Row],[Mã CP]],Sheet4!$B$2:$B$1605,0),_xlfn.XMATCH("*Tăng trưởng lợi nhuận sau thuế (QoQ)*",Sheet4!$1:$1,2)),"")</f>
        <v>-2.2336999999999998</v>
      </c>
    </row>
    <row r="1351" spans="1:18" x14ac:dyDescent="0.25">
      <c r="A1351" s="7">
        <f>Sheet4!A1330</f>
        <v>1329</v>
      </c>
      <c r="B1351" t="str">
        <f>Sheet4!B1330</f>
        <v>RTB</v>
      </c>
      <c r="C1351" t="str">
        <f>Sheet4!C1329</f>
        <v>Quốc tế Hoàng Gia</v>
      </c>
      <c r="D1351" t="str">
        <f>Sheet4!D1330</f>
        <v>UPCoM</v>
      </c>
      <c r="E1351" s="7">
        <f>Sheet4!AH1330/1000000000</f>
        <v>2258.5155450000002</v>
      </c>
      <c r="F1351" t="str">
        <f>Sheet4!E1330</f>
        <v>Nguyên vật liệu</v>
      </c>
      <c r="G1351" t="str">
        <f>Sheet4!F1330</f>
        <v>Hóa chất</v>
      </c>
      <c r="H1351" t="str">
        <f>Sheet4!G1330</f>
        <v>Nhựa, cao su &amp; sợi</v>
      </c>
      <c r="I1351" s="9" cm="1">
        <f t="array" ref="I135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339.74111482400002</v>
      </c>
      <c r="J1351" s="9" cm="1">
        <f t="array" ref="J135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726.961461353</v>
      </c>
      <c r="K1351" s="10" cm="1">
        <f t="array" ref="K135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0.28689999999999999</v>
      </c>
      <c r="L1351" s="10" cm="1">
        <f t="array" ref="L135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0.55630000000000002</v>
      </c>
      <c r="M1351" s="9" cm="1">
        <f t="array" ref="M1351">_xlfn.LET(_xlpm.val,IFERROR(INDEX(Sheet4!$2:$1605,MATCH(ChiTietKQKD[[#This Row],[Mã CP]],Sheet4!$B$2:$B$1605,0),_xlfn.XMATCH("*Lợi nhuận sau thuế*Q2*2026*",Sheet4!$1:$1,2)),0),IF(OR(_xlpm.val="",_xlpm.val=0),"",_xlpm.val/1000000000))</f>
        <v>73.798533684999995</v>
      </c>
      <c r="N1351" s="9" cm="1">
        <f t="array" ref="N1351">_xlfn.LET(_xlpm.val,IFERROR(INDEX(Sheet4!$2:$1605,MATCH(ChiTietKQKD[[#This Row],[Mã CP]],Sheet4!$B$2:$B$1605,0),_xlfn.XMATCH("*Lợi nhuận sau thuế*6 tháng*2026*",Sheet4!$1:$1,2)),0),IF(OR(_xlpm.val="",_xlpm.val=0),"",_xlpm.val/1000000000))</f>
        <v>262.92622235200002</v>
      </c>
      <c r="O1351" s="10" cm="1">
        <f t="array" ref="O1351">IFERROR(INDEX(Sheet4!$2:$1605,MATCH(ChiTietKQKD[[#This Row],[Mã CP]],Sheet4!$B$2:$B$1605,0),_xlfn.XMATCH("*Tăng trưởng lợi nhuận sau thuế (YoY) (Quý*",Sheet4!$1:$1,2)),"")</f>
        <v>-0.60440000000000005</v>
      </c>
      <c r="P1351" s="10" cm="1">
        <f t="array" ref="P1351">IFERROR(INDEX(Sheet4!$2:$1605,MATCH(ChiTietKQKD[[#This Row],[Mã CP]],Sheet4!$B$2:$B$1605,0),_xlfn.XMATCH("*Tăng trưởng lợi nhuận sau thuế (YoY) (6M)*",Sheet4!$1:$1,2)),"")</f>
        <v>0.14610000000000001</v>
      </c>
      <c r="Q1351" s="10" cm="1">
        <f t="array" ref="Q1351">IFERROR(INDEX(Sheet4!$2:$1605,MATCH(ChiTietKQKD[[#This Row],[Mã CP]],Sheet4!$B$2:$B$1605,0),_xlfn.XMATCH("*Tăng trưởng doanh thu thuần (QoQ)*",Sheet4!$1:$1,2)),"")</f>
        <v>-0.1226</v>
      </c>
      <c r="R1351" s="10" cm="1">
        <f t="array" ref="R1351">IFERROR(INDEX(Sheet4!$2:$1605,MATCH(ChiTietKQKD[[#This Row],[Mã CP]],Sheet4!$B$2:$B$1605,0),_xlfn.XMATCH("*Tăng trưởng lợi nhuận sau thuế (QoQ)*",Sheet4!$1:$1,2)),"")</f>
        <v>-0.60980000000000001</v>
      </c>
    </row>
    <row r="1352" spans="1:18" x14ac:dyDescent="0.25">
      <c r="A1352" s="7">
        <f>Sheet4!A1331</f>
        <v>1330</v>
      </c>
      <c r="B1352" t="str">
        <f>Sheet4!B1331</f>
        <v>S12</v>
      </c>
      <c r="C1352" t="str">
        <f>Sheet4!C1330</f>
        <v>Cao su Tân Biên</v>
      </c>
      <c r="D1352" t="str">
        <f>Sheet4!D1331</f>
        <v>UPCoM</v>
      </c>
      <c r="E1352" s="7">
        <f>Sheet4!AH1331/1000000000</f>
        <v>11.5</v>
      </c>
      <c r="F1352" t="str">
        <f>Sheet4!E1331</f>
        <v>Công nghiệp</v>
      </c>
      <c r="G1352" t="str">
        <f>Sheet4!F1331</f>
        <v>Xây dựng và Vật liệu</v>
      </c>
      <c r="H1352" t="str">
        <f>Sheet4!G1331</f>
        <v>Xây dựng</v>
      </c>
      <c r="I1352" s="9" t="str" cm="1">
        <f t="array" ref="I135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52" s="9" t="str" cm="1">
        <f t="array" ref="J135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52" s="10" cm="1">
        <f t="array" ref="K135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52" s="10" cm="1">
        <f t="array" ref="L135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52" s="9" t="str" cm="1">
        <f t="array" ref="M135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52" s="9" t="str" cm="1">
        <f t="array" ref="N135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52" s="10" cm="1">
        <f t="array" ref="O1352">IFERROR(INDEX(Sheet4!$2:$1605,MATCH(ChiTietKQKD[[#This Row],[Mã CP]],Sheet4!$B$2:$B$1605,0),_xlfn.XMATCH("*Tăng trưởng lợi nhuận sau thuế (YoY) (Quý*",Sheet4!$1:$1,2)),"")</f>
        <v>0</v>
      </c>
      <c r="P1352" s="10" cm="1">
        <f t="array" ref="P1352">IFERROR(INDEX(Sheet4!$2:$1605,MATCH(ChiTietKQKD[[#This Row],[Mã CP]],Sheet4!$B$2:$B$1605,0),_xlfn.XMATCH("*Tăng trưởng lợi nhuận sau thuế (YoY) (6M)*",Sheet4!$1:$1,2)),"")</f>
        <v>0</v>
      </c>
      <c r="Q1352" s="10" cm="1">
        <f t="array" ref="Q1352">IFERROR(INDEX(Sheet4!$2:$1605,MATCH(ChiTietKQKD[[#This Row],[Mã CP]],Sheet4!$B$2:$B$1605,0),_xlfn.XMATCH("*Tăng trưởng doanh thu thuần (QoQ)*",Sheet4!$1:$1,2)),"")</f>
        <v>0</v>
      </c>
      <c r="R1352" s="10" cm="1">
        <f t="array" ref="R1352">IFERROR(INDEX(Sheet4!$2:$1605,MATCH(ChiTietKQKD[[#This Row],[Mã CP]],Sheet4!$B$2:$B$1605,0),_xlfn.XMATCH("*Tăng trưởng lợi nhuận sau thuế (QoQ)*",Sheet4!$1:$1,2)),"")</f>
        <v>0</v>
      </c>
    </row>
    <row r="1353" spans="1:18" x14ac:dyDescent="0.25">
      <c r="A1353" s="7">
        <f>Sheet4!A1332</f>
        <v>1331</v>
      </c>
      <c r="B1353" t="str">
        <f>Sheet4!B1332</f>
        <v>S72</v>
      </c>
      <c r="C1353" t="str">
        <f>Sheet4!C1331</f>
        <v>Sông Đà 12</v>
      </c>
      <c r="D1353" t="str">
        <f>Sheet4!D1332</f>
        <v>UPCoM</v>
      </c>
      <c r="E1353" s="7">
        <f>Sheet4!AH1332/1000000000</f>
        <v>73.2</v>
      </c>
      <c r="F1353" t="str">
        <f>Sheet4!E1332</f>
        <v>Công nghiệp</v>
      </c>
      <c r="G1353" t="str">
        <f>Sheet4!F1332</f>
        <v>Xây dựng và Vật liệu</v>
      </c>
      <c r="H1353" t="str">
        <f>Sheet4!G1332</f>
        <v>Xây dựng</v>
      </c>
      <c r="I1353" s="9" cm="1">
        <f t="array" ref="I135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13.627553240999999</v>
      </c>
      <c r="J1353" s="9" cm="1">
        <f t="array" ref="J135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17.430884239000001</v>
      </c>
      <c r="K1353" s="10" cm="1">
        <f t="array" ref="K135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-7.1499999999999994E-2</v>
      </c>
      <c r="L1353" s="10" cm="1">
        <f t="array" ref="L135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-4.48E-2</v>
      </c>
      <c r="M1353" s="9" cm="1">
        <f t="array" ref="M1353">_xlfn.LET(_xlpm.val,IFERROR(INDEX(Sheet4!$2:$1605,MATCH(ChiTietKQKD[[#This Row],[Mã CP]],Sheet4!$B$2:$B$1605,0),_xlfn.XMATCH("*Lợi nhuận sau thuế*Q2*2026*",Sheet4!$1:$1,2)),0),IF(OR(_xlpm.val="",_xlpm.val=0),"",_xlpm.val/1000000000))</f>
        <v>5.839804</v>
      </c>
      <c r="N1353" s="9" cm="1">
        <f t="array" ref="N1353">_xlfn.LET(_xlpm.val,IFERROR(INDEX(Sheet4!$2:$1605,MATCH(ChiTietKQKD[[#This Row],[Mã CP]],Sheet4!$B$2:$B$1605,0),_xlfn.XMATCH("*Lợi nhuận sau thuế*6 tháng*2026*",Sheet4!$1:$1,2)),0),IF(OR(_xlpm.val="",_xlpm.val=0),"",_xlpm.val/1000000000))</f>
        <v>2.8683866569999998</v>
      </c>
      <c r="O1353" s="10" cm="1">
        <f t="array" ref="O1353">IFERROR(INDEX(Sheet4!$2:$1605,MATCH(ChiTietKQKD[[#This Row],[Mã CP]],Sheet4!$B$2:$B$1605,0),_xlfn.XMATCH("*Tăng trưởng lợi nhuận sau thuế (YoY) (Quý*",Sheet4!$1:$1,2)),"")</f>
        <v>-0.1648</v>
      </c>
      <c r="P1353" s="10" cm="1">
        <f t="array" ref="P1353">IFERROR(INDEX(Sheet4!$2:$1605,MATCH(ChiTietKQKD[[#This Row],[Mã CP]],Sheet4!$B$2:$B$1605,0),_xlfn.XMATCH("*Tăng trưởng lợi nhuận sau thuế (YoY) (6M)*",Sheet4!$1:$1,2)),"")</f>
        <v>-0.34360000000000002</v>
      </c>
      <c r="Q1353" s="10" cm="1">
        <f t="array" ref="Q1353">IFERROR(INDEX(Sheet4!$2:$1605,MATCH(ChiTietKQKD[[#This Row],[Mã CP]],Sheet4!$B$2:$B$1605,0),_xlfn.XMATCH("*Tăng trưởng doanh thu thuần (QoQ)*",Sheet4!$1:$1,2)),"")</f>
        <v>2.5831</v>
      </c>
      <c r="R1353" s="10" cm="1">
        <f t="array" ref="R1353">IFERROR(INDEX(Sheet4!$2:$1605,MATCH(ChiTietKQKD[[#This Row],[Mã CP]],Sheet4!$B$2:$B$1605,0),_xlfn.XMATCH("*Tăng trưởng lợi nhuận sau thuế (QoQ)*",Sheet4!$1:$1,2)),"")</f>
        <v>2.9653</v>
      </c>
    </row>
    <row r="1354" spans="1:18" x14ac:dyDescent="0.25">
      <c r="A1354" s="7">
        <f>Sheet4!A1333</f>
        <v>1332</v>
      </c>
      <c r="B1354" t="str">
        <f>Sheet4!B1333</f>
        <v>S74</v>
      </c>
      <c r="C1354" t="str">
        <f>Sheet4!C1332</f>
        <v>Sông Đà 7.02</v>
      </c>
      <c r="D1354" t="str">
        <f>Sheet4!D1333</f>
        <v>UPCoM</v>
      </c>
      <c r="E1354" s="7">
        <f>Sheet4!AH1333/1000000000</f>
        <v>97.2</v>
      </c>
      <c r="F1354" t="str">
        <f>Sheet4!E1333</f>
        <v>Công nghiệp</v>
      </c>
      <c r="G1354" t="str">
        <f>Sheet4!F1333</f>
        <v>Xây dựng và Vật liệu</v>
      </c>
      <c r="H1354" t="str">
        <f>Sheet4!G1333</f>
        <v>Xây dựng</v>
      </c>
      <c r="I1354" s="9" t="str" cm="1">
        <f t="array" ref="I135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54" s="9" t="str" cm="1">
        <f t="array" ref="J135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54" s="10" cm="1">
        <f t="array" ref="K135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54" s="10" cm="1">
        <f t="array" ref="L135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54" s="9" t="str" cm="1">
        <f t="array" ref="M135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54" s="9" t="str" cm="1">
        <f t="array" ref="N135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54" s="10" cm="1">
        <f t="array" ref="O1354">IFERROR(INDEX(Sheet4!$2:$1605,MATCH(ChiTietKQKD[[#This Row],[Mã CP]],Sheet4!$B$2:$B$1605,0),_xlfn.XMATCH("*Tăng trưởng lợi nhuận sau thuế (YoY) (Quý*",Sheet4!$1:$1,2)),"")</f>
        <v>0</v>
      </c>
      <c r="P1354" s="10" cm="1">
        <f t="array" ref="P1354">IFERROR(INDEX(Sheet4!$2:$1605,MATCH(ChiTietKQKD[[#This Row],[Mã CP]],Sheet4!$B$2:$B$1605,0),_xlfn.XMATCH("*Tăng trưởng lợi nhuận sau thuế (YoY) (6M)*",Sheet4!$1:$1,2)),"")</f>
        <v>0</v>
      </c>
      <c r="Q1354" s="10" cm="1">
        <f t="array" ref="Q1354">IFERROR(INDEX(Sheet4!$2:$1605,MATCH(ChiTietKQKD[[#This Row],[Mã CP]],Sheet4!$B$2:$B$1605,0),_xlfn.XMATCH("*Tăng trưởng doanh thu thuần (QoQ)*",Sheet4!$1:$1,2)),"")</f>
        <v>0</v>
      </c>
      <c r="R1354" s="10" cm="1">
        <f t="array" ref="R1354">IFERROR(INDEX(Sheet4!$2:$1605,MATCH(ChiTietKQKD[[#This Row],[Mã CP]],Sheet4!$B$2:$B$1605,0),_xlfn.XMATCH("*Tăng trưởng lợi nhuận sau thuế (QoQ)*",Sheet4!$1:$1,2)),"")</f>
        <v>0</v>
      </c>
    </row>
    <row r="1355" spans="1:18" x14ac:dyDescent="0.25">
      <c r="A1355" s="7">
        <f>Sheet4!A1334</f>
        <v>1333</v>
      </c>
      <c r="B1355" t="str">
        <f>Sheet4!B1334</f>
        <v>SAC</v>
      </c>
      <c r="C1355" t="str">
        <f>Sheet4!C1333</f>
        <v>Sông Đà 7.04</v>
      </c>
      <c r="D1355" t="str">
        <f>Sheet4!D1334</f>
        <v>UPCoM</v>
      </c>
      <c r="E1355" s="7">
        <f>Sheet4!AH1334/1000000000</f>
        <v>48.418279499999997</v>
      </c>
      <c r="F1355" t="str">
        <f>Sheet4!E1334</f>
        <v>Công nghiệp</v>
      </c>
      <c r="G1355" t="str">
        <f>Sheet4!F1334</f>
        <v>Hàng &amp; Dịch vụ Công nghiệp</v>
      </c>
      <c r="H1355" t="str">
        <f>Sheet4!G1334</f>
        <v>Kho bãi, hậu cần và bảo dưỡng</v>
      </c>
      <c r="I1355" s="9" t="str" cm="1">
        <f t="array" ref="I135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55" s="9" t="str" cm="1">
        <f t="array" ref="J135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55" s="10" cm="1">
        <f t="array" ref="K135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55" s="10" cm="1">
        <f t="array" ref="L135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55" s="9" t="str" cm="1">
        <f t="array" ref="M135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55" s="9" t="str" cm="1">
        <f t="array" ref="N135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55" s="10" cm="1">
        <f t="array" ref="O1355">IFERROR(INDEX(Sheet4!$2:$1605,MATCH(ChiTietKQKD[[#This Row],[Mã CP]],Sheet4!$B$2:$B$1605,0),_xlfn.XMATCH("*Tăng trưởng lợi nhuận sau thuế (YoY) (Quý*",Sheet4!$1:$1,2)),"")</f>
        <v>0</v>
      </c>
      <c r="P1355" s="10" cm="1">
        <f t="array" ref="P1355">IFERROR(INDEX(Sheet4!$2:$1605,MATCH(ChiTietKQKD[[#This Row],[Mã CP]],Sheet4!$B$2:$B$1605,0),_xlfn.XMATCH("*Tăng trưởng lợi nhuận sau thuế (YoY) (6M)*",Sheet4!$1:$1,2)),"")</f>
        <v>0</v>
      </c>
      <c r="Q1355" s="10" cm="1">
        <f t="array" ref="Q1355">IFERROR(INDEX(Sheet4!$2:$1605,MATCH(ChiTietKQKD[[#This Row],[Mã CP]],Sheet4!$B$2:$B$1605,0),_xlfn.XMATCH("*Tăng trưởng doanh thu thuần (QoQ)*",Sheet4!$1:$1,2)),"")</f>
        <v>0</v>
      </c>
      <c r="R1355" s="10" cm="1">
        <f t="array" ref="R1355">IFERROR(INDEX(Sheet4!$2:$1605,MATCH(ChiTietKQKD[[#This Row],[Mã CP]],Sheet4!$B$2:$B$1605,0),_xlfn.XMATCH("*Tăng trưởng lợi nhuận sau thuế (QoQ)*",Sheet4!$1:$1,2)),"")</f>
        <v>0</v>
      </c>
    </row>
    <row r="1356" spans="1:18" x14ac:dyDescent="0.25">
      <c r="A1356" s="7">
        <f>Sheet4!A1335</f>
        <v>1334</v>
      </c>
      <c r="B1356" t="str">
        <f>Sheet4!B1335</f>
        <v>SAL</v>
      </c>
      <c r="C1356" t="str">
        <f>Sheet4!C1334</f>
        <v>Dịch vụ cảng Sài Gòn</v>
      </c>
      <c r="D1356" t="str">
        <f>Sheet4!D1335</f>
        <v>UPCoM</v>
      </c>
      <c r="E1356" s="7">
        <f>Sheet4!AH1335/1000000000</f>
        <v>26.591999999999999</v>
      </c>
      <c r="F1356" t="str">
        <f>Sheet4!E1335</f>
        <v>Công nghiệp</v>
      </c>
      <c r="G1356" t="str">
        <f>Sheet4!F1335</f>
        <v>Hàng &amp; Dịch vụ Công nghiệp</v>
      </c>
      <c r="H1356" t="str">
        <f>Sheet4!G1335</f>
        <v>Xe tải &amp; Đóng tàu</v>
      </c>
      <c r="I1356" s="9" t="str" cm="1">
        <f t="array" ref="I135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56" s="9" t="str" cm="1">
        <f t="array" ref="J135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56" s="10" cm="1">
        <f t="array" ref="K135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56" s="10" cm="1">
        <f t="array" ref="L135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56" s="9" t="str" cm="1">
        <f t="array" ref="M135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56" s="9" t="str" cm="1">
        <f t="array" ref="N135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56" s="10" cm="1">
        <f t="array" ref="O1356">IFERROR(INDEX(Sheet4!$2:$1605,MATCH(ChiTietKQKD[[#This Row],[Mã CP]],Sheet4!$B$2:$B$1605,0),_xlfn.XMATCH("*Tăng trưởng lợi nhuận sau thuế (YoY) (Quý*",Sheet4!$1:$1,2)),"")</f>
        <v>0</v>
      </c>
      <c r="P1356" s="10" cm="1">
        <f t="array" ref="P1356">IFERROR(INDEX(Sheet4!$2:$1605,MATCH(ChiTietKQKD[[#This Row],[Mã CP]],Sheet4!$B$2:$B$1605,0),_xlfn.XMATCH("*Tăng trưởng lợi nhuận sau thuế (YoY) (6M)*",Sheet4!$1:$1,2)),"")</f>
        <v>0</v>
      </c>
      <c r="Q1356" s="10" cm="1">
        <f t="array" ref="Q1356">IFERROR(INDEX(Sheet4!$2:$1605,MATCH(ChiTietKQKD[[#This Row],[Mã CP]],Sheet4!$B$2:$B$1605,0),_xlfn.XMATCH("*Tăng trưởng doanh thu thuần (QoQ)*",Sheet4!$1:$1,2)),"")</f>
        <v>0</v>
      </c>
      <c r="R1356" s="10" cm="1">
        <f t="array" ref="R1356">IFERROR(INDEX(Sheet4!$2:$1605,MATCH(ChiTietKQKD[[#This Row],[Mã CP]],Sheet4!$B$2:$B$1605,0),_xlfn.XMATCH("*Tăng trưởng lợi nhuận sau thuế (QoQ)*",Sheet4!$1:$1,2)),"")</f>
        <v>0</v>
      </c>
    </row>
    <row r="1357" spans="1:18" x14ac:dyDescent="0.25">
      <c r="A1357" s="7">
        <f>Sheet4!A1336</f>
        <v>1335</v>
      </c>
      <c r="B1357" t="str">
        <f>Sheet4!B1336</f>
        <v>SAS</v>
      </c>
      <c r="C1357" t="str">
        <f>Sheet4!C1335</f>
        <v>Trục vớt Cứu hộ Việt Nam</v>
      </c>
      <c r="D1357" t="str">
        <f>Sheet4!D1336</f>
        <v>UPCoM</v>
      </c>
      <c r="E1357" s="7">
        <f>Sheet4!AH1336/1000000000</f>
        <v>4916.7687201299996</v>
      </c>
      <c r="F1357" t="str">
        <f>Sheet4!E1336</f>
        <v>Dịch vụ Tiêu dùng</v>
      </c>
      <c r="G1357" t="str">
        <f>Sheet4!F1336</f>
        <v>Bán lẻ</v>
      </c>
      <c r="H1357" t="str">
        <f>Sheet4!G1336</f>
        <v>Phân phối hàng chuyên dụng</v>
      </c>
      <c r="I1357" s="9" cm="1">
        <f t="array" ref="I135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774.98026213200001</v>
      </c>
      <c r="J1357" s="9" cm="1">
        <f t="array" ref="J135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1553.482127948</v>
      </c>
      <c r="K1357" s="10" cm="1">
        <f t="array" ref="K135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6.1999999999999998E-3</v>
      </c>
      <c r="L1357" s="10" cm="1">
        <f t="array" ref="L135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57" s="9" cm="1">
        <f t="array" ref="M1357">_xlfn.LET(_xlpm.val,IFERROR(INDEX(Sheet4!$2:$1605,MATCH(ChiTietKQKD[[#This Row],[Mã CP]],Sheet4!$B$2:$B$1605,0),_xlfn.XMATCH("*Lợi nhuận sau thuế*Q2*2026*",Sheet4!$1:$1,2)),0),IF(OR(_xlpm.val="",_xlpm.val=0),"",_xlpm.val/1000000000))</f>
        <v>215.700066206</v>
      </c>
      <c r="N1357" s="9" cm="1">
        <f t="array" ref="N1357">_xlfn.LET(_xlpm.val,IFERROR(INDEX(Sheet4!$2:$1605,MATCH(ChiTietKQKD[[#This Row],[Mã CP]],Sheet4!$B$2:$B$1605,0),_xlfn.XMATCH("*Lợi nhuận sau thuế*6 tháng*2026*",Sheet4!$1:$1,2)),0),IF(OR(_xlpm.val="",_xlpm.val=0),"",_xlpm.val/1000000000))</f>
        <v>370.79905122299999</v>
      </c>
      <c r="O1357" s="10" cm="1">
        <f t="array" ref="O1357">IFERROR(INDEX(Sheet4!$2:$1605,MATCH(ChiTietKQKD[[#This Row],[Mã CP]],Sheet4!$B$2:$B$1605,0),_xlfn.XMATCH("*Tăng trưởng lợi nhuận sau thuế (YoY) (Quý*",Sheet4!$1:$1,2)),"")</f>
        <v>0.98860000000000003</v>
      </c>
      <c r="P1357" s="10" cm="1">
        <f t="array" ref="P1357">IFERROR(INDEX(Sheet4!$2:$1605,MATCH(ChiTietKQKD[[#This Row],[Mã CP]],Sheet4!$B$2:$B$1605,0),_xlfn.XMATCH("*Tăng trưởng lợi nhuận sau thuế (YoY) (6M)*",Sheet4!$1:$1,2)),"")</f>
        <v>0</v>
      </c>
      <c r="Q1357" s="10" cm="1">
        <f t="array" ref="Q1357">IFERROR(INDEX(Sheet4!$2:$1605,MATCH(ChiTietKQKD[[#This Row],[Mã CP]],Sheet4!$B$2:$B$1605,0),_xlfn.XMATCH("*Tăng trưởng doanh thu thuần (QoQ)*",Sheet4!$1:$1,2)),"")</f>
        <v>-4.4999999999999997E-3</v>
      </c>
      <c r="R1357" s="10" cm="1">
        <f t="array" ref="R1357">IFERROR(INDEX(Sheet4!$2:$1605,MATCH(ChiTietKQKD[[#This Row],[Mã CP]],Sheet4!$B$2:$B$1605,0),_xlfn.XMATCH("*Tăng trưởng lợi nhuận sau thuế (QoQ)*",Sheet4!$1:$1,2)),"")</f>
        <v>0.39069999999999999</v>
      </c>
    </row>
    <row r="1358" spans="1:18" x14ac:dyDescent="0.25">
      <c r="A1358" s="7">
        <f>Sheet4!A1337</f>
        <v>1336</v>
      </c>
      <c r="B1358" t="str">
        <f>Sheet4!B1337</f>
        <v>SB1</v>
      </c>
      <c r="C1358" t="str">
        <f>Sheet4!C1336</f>
        <v>DV Hàng không sân bay TSN</v>
      </c>
      <c r="D1358" t="str">
        <f>Sheet4!D1337</f>
        <v>UPCoM</v>
      </c>
      <c r="E1358" s="7">
        <f>Sheet4!AH1337/1000000000</f>
        <v>79.621499999999997</v>
      </c>
      <c r="F1358" t="str">
        <f>Sheet4!E1337</f>
        <v>Hàng Tiêu dùng</v>
      </c>
      <c r="G1358" t="str">
        <f>Sheet4!F1337</f>
        <v>Thực phẩm và đồ uống</v>
      </c>
      <c r="H1358" t="str">
        <f>Sheet4!G1337</f>
        <v>Sản xuất bia</v>
      </c>
      <c r="I1358" s="9" t="str" cm="1">
        <f t="array" ref="I135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58" s="9" t="str" cm="1">
        <f t="array" ref="J135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58" s="10" cm="1">
        <f t="array" ref="K135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58" s="10" cm="1">
        <f t="array" ref="L135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58" s="9" t="str" cm="1">
        <f t="array" ref="M135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58" s="9" t="str" cm="1">
        <f t="array" ref="N135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58" s="10" cm="1">
        <f t="array" ref="O1358">IFERROR(INDEX(Sheet4!$2:$1605,MATCH(ChiTietKQKD[[#This Row],[Mã CP]],Sheet4!$B$2:$B$1605,0),_xlfn.XMATCH("*Tăng trưởng lợi nhuận sau thuế (YoY) (Quý*",Sheet4!$1:$1,2)),"")</f>
        <v>0</v>
      </c>
      <c r="P1358" s="10" cm="1">
        <f t="array" ref="P1358">IFERROR(INDEX(Sheet4!$2:$1605,MATCH(ChiTietKQKD[[#This Row],[Mã CP]],Sheet4!$B$2:$B$1605,0),_xlfn.XMATCH("*Tăng trưởng lợi nhuận sau thuế (YoY) (6M)*",Sheet4!$1:$1,2)),"")</f>
        <v>0</v>
      </c>
      <c r="Q1358" s="10" cm="1">
        <f t="array" ref="Q1358">IFERROR(INDEX(Sheet4!$2:$1605,MATCH(ChiTietKQKD[[#This Row],[Mã CP]],Sheet4!$B$2:$B$1605,0),_xlfn.XMATCH("*Tăng trưởng doanh thu thuần (QoQ)*",Sheet4!$1:$1,2)),"")</f>
        <v>0</v>
      </c>
      <c r="R1358" s="10" cm="1">
        <f t="array" ref="R1358">IFERROR(INDEX(Sheet4!$2:$1605,MATCH(ChiTietKQKD[[#This Row],[Mã CP]],Sheet4!$B$2:$B$1605,0),_xlfn.XMATCH("*Tăng trưởng lợi nhuận sau thuế (QoQ)*",Sheet4!$1:$1,2)),"")</f>
        <v>0</v>
      </c>
    </row>
    <row r="1359" spans="1:18" x14ac:dyDescent="0.25">
      <c r="A1359" s="7">
        <f>Sheet4!A1338</f>
        <v>1337</v>
      </c>
      <c r="B1359" t="str">
        <f>Sheet4!B1338</f>
        <v>SBB</v>
      </c>
      <c r="C1359" t="str">
        <f>Sheet4!C1337</f>
        <v>Bia Sài Gòn - Nghệ Tĩnh</v>
      </c>
      <c r="D1359" t="str">
        <f>Sheet4!D1338</f>
        <v>UPCoM</v>
      </c>
      <c r="E1359" s="7">
        <f>Sheet4!AH1338/1000000000</f>
        <v>1729.04720868</v>
      </c>
      <c r="F1359" t="str">
        <f>Sheet4!E1338</f>
        <v>Hàng Tiêu dùng</v>
      </c>
      <c r="G1359" t="str">
        <f>Sheet4!F1338</f>
        <v>Thực phẩm và đồ uống</v>
      </c>
      <c r="H1359" t="str">
        <f>Sheet4!G1338</f>
        <v>Sản xuất bia</v>
      </c>
      <c r="I1359" s="9" t="str" cm="1">
        <f t="array" ref="I135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59" s="9" t="str" cm="1">
        <f t="array" ref="J135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59" s="10" cm="1">
        <f t="array" ref="K135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59" s="10" cm="1">
        <f t="array" ref="L135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59" s="9" t="str" cm="1">
        <f t="array" ref="M135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59" s="9" t="str" cm="1">
        <f t="array" ref="N135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59" s="10" cm="1">
        <f t="array" ref="O1359">IFERROR(INDEX(Sheet4!$2:$1605,MATCH(ChiTietKQKD[[#This Row],[Mã CP]],Sheet4!$B$2:$B$1605,0),_xlfn.XMATCH("*Tăng trưởng lợi nhuận sau thuế (YoY) (Quý*",Sheet4!$1:$1,2)),"")</f>
        <v>0</v>
      </c>
      <c r="P1359" s="10" cm="1">
        <f t="array" ref="P1359">IFERROR(INDEX(Sheet4!$2:$1605,MATCH(ChiTietKQKD[[#This Row],[Mã CP]],Sheet4!$B$2:$B$1605,0),_xlfn.XMATCH("*Tăng trưởng lợi nhuận sau thuế (YoY) (6M)*",Sheet4!$1:$1,2)),"")</f>
        <v>0</v>
      </c>
      <c r="Q1359" s="10" cm="1">
        <f t="array" ref="Q1359">IFERROR(INDEX(Sheet4!$2:$1605,MATCH(ChiTietKQKD[[#This Row],[Mã CP]],Sheet4!$B$2:$B$1605,0),_xlfn.XMATCH("*Tăng trưởng doanh thu thuần (QoQ)*",Sheet4!$1:$1,2)),"")</f>
        <v>0</v>
      </c>
      <c r="R1359" s="10" cm="1">
        <f t="array" ref="R1359">IFERROR(INDEX(Sheet4!$2:$1605,MATCH(ChiTietKQKD[[#This Row],[Mã CP]],Sheet4!$B$2:$B$1605,0),_xlfn.XMATCH("*Tăng trưởng lợi nhuận sau thuế (QoQ)*",Sheet4!$1:$1,2)),"")</f>
        <v>0</v>
      </c>
    </row>
    <row r="1360" spans="1:18" x14ac:dyDescent="0.25">
      <c r="A1360" s="7">
        <f>Sheet4!A1339</f>
        <v>1338</v>
      </c>
      <c r="B1360" t="str">
        <f>Sheet4!B1339</f>
        <v>SBC</v>
      </c>
      <c r="C1360" t="str">
        <f>Sheet4!C1338</f>
        <v>Bia Sài Gòn Bình Tây</v>
      </c>
      <c r="D1360" t="str">
        <f>Sheet4!D1339</f>
        <v>UPCoM</v>
      </c>
      <c r="E1360" s="7">
        <f>Sheet4!AH1339/1000000000</f>
        <v>0</v>
      </c>
      <c r="F1360" t="str">
        <f>Sheet4!E1339</f>
        <v>Công nghiệp</v>
      </c>
      <c r="G1360" t="str">
        <f>Sheet4!F1339</f>
        <v>Hàng &amp; Dịch vụ Công nghiệp</v>
      </c>
      <c r="H1360" t="str">
        <f>Sheet4!G1339</f>
        <v>Dịch vụ vận tải</v>
      </c>
      <c r="I1360" s="9" t="str" cm="1">
        <f t="array" ref="I136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60" s="9" t="str" cm="1">
        <f t="array" ref="J136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60" s="10" cm="1">
        <f t="array" ref="K136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60" s="10" cm="1">
        <f t="array" ref="L136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60" s="9" t="str" cm="1">
        <f t="array" ref="M136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60" s="9" t="str" cm="1">
        <f t="array" ref="N136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60" s="10" cm="1">
        <f t="array" ref="O1360">IFERROR(INDEX(Sheet4!$2:$1605,MATCH(ChiTietKQKD[[#This Row],[Mã CP]],Sheet4!$B$2:$B$1605,0),_xlfn.XMATCH("*Tăng trưởng lợi nhuận sau thuế (YoY) (Quý*",Sheet4!$1:$1,2)),"")</f>
        <v>0</v>
      </c>
      <c r="P1360" s="10" cm="1">
        <f t="array" ref="P1360">IFERROR(INDEX(Sheet4!$2:$1605,MATCH(ChiTietKQKD[[#This Row],[Mã CP]],Sheet4!$B$2:$B$1605,0),_xlfn.XMATCH("*Tăng trưởng lợi nhuận sau thuế (YoY) (6M)*",Sheet4!$1:$1,2)),"")</f>
        <v>0</v>
      </c>
      <c r="Q1360" s="10" cm="1">
        <f t="array" ref="Q1360">IFERROR(INDEX(Sheet4!$2:$1605,MATCH(ChiTietKQKD[[#This Row],[Mã CP]],Sheet4!$B$2:$B$1605,0),_xlfn.XMATCH("*Tăng trưởng doanh thu thuần (QoQ)*",Sheet4!$1:$1,2)),"")</f>
        <v>0</v>
      </c>
      <c r="R1360" s="10" cm="1">
        <f t="array" ref="R1360">IFERROR(INDEX(Sheet4!$2:$1605,MATCH(ChiTietKQKD[[#This Row],[Mã CP]],Sheet4!$B$2:$B$1605,0),_xlfn.XMATCH("*Tăng trưởng lợi nhuận sau thuế (QoQ)*",Sheet4!$1:$1,2)),"")</f>
        <v>0</v>
      </c>
    </row>
    <row r="1361" spans="1:18" x14ac:dyDescent="0.25">
      <c r="A1361" s="7">
        <f>Sheet4!A1340</f>
        <v>1339</v>
      </c>
      <c r="B1361" t="str">
        <f>Sheet4!B1340</f>
        <v>SBD</v>
      </c>
      <c r="C1361" t="str">
        <f>Sheet4!C1339</f>
        <v>Sabetran Jsc.</v>
      </c>
      <c r="D1361" t="str">
        <f>Sheet4!D1340</f>
        <v>UPCoM</v>
      </c>
      <c r="E1361" s="7">
        <f>Sheet4!AH1340/1000000000</f>
        <v>102.98195200000001</v>
      </c>
      <c r="F1361" t="str">
        <f>Sheet4!E1340</f>
        <v>Công nghệ Thông tin</v>
      </c>
      <c r="G1361" t="str">
        <f>Sheet4!F1340</f>
        <v>Công nghệ Thông tin</v>
      </c>
      <c r="H1361" t="str">
        <f>Sheet4!G1340</f>
        <v>Phần mềm</v>
      </c>
      <c r="I1361" s="9" t="str" cm="1">
        <f t="array" ref="I136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61" s="9" t="str" cm="1">
        <f t="array" ref="J136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61" s="10" cm="1">
        <f t="array" ref="K136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61" s="10" cm="1">
        <f t="array" ref="L136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61" s="9" t="str" cm="1">
        <f t="array" ref="M136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61" s="9" t="str" cm="1">
        <f t="array" ref="N136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61" s="10" cm="1">
        <f t="array" ref="O1361">IFERROR(INDEX(Sheet4!$2:$1605,MATCH(ChiTietKQKD[[#This Row],[Mã CP]],Sheet4!$B$2:$B$1605,0),_xlfn.XMATCH("*Tăng trưởng lợi nhuận sau thuế (YoY) (Quý*",Sheet4!$1:$1,2)),"")</f>
        <v>0</v>
      </c>
      <c r="P1361" s="10" cm="1">
        <f t="array" ref="P1361">IFERROR(INDEX(Sheet4!$2:$1605,MATCH(ChiTietKQKD[[#This Row],[Mã CP]],Sheet4!$B$2:$B$1605,0),_xlfn.XMATCH("*Tăng trưởng lợi nhuận sau thuế (YoY) (6M)*",Sheet4!$1:$1,2)),"")</f>
        <v>0</v>
      </c>
      <c r="Q1361" s="10" cm="1">
        <f t="array" ref="Q1361">IFERROR(INDEX(Sheet4!$2:$1605,MATCH(ChiTietKQKD[[#This Row],[Mã CP]],Sheet4!$B$2:$B$1605,0),_xlfn.XMATCH("*Tăng trưởng doanh thu thuần (QoQ)*",Sheet4!$1:$1,2)),"")</f>
        <v>0</v>
      </c>
      <c r="R1361" s="10" cm="1">
        <f t="array" ref="R1361">IFERROR(INDEX(Sheet4!$2:$1605,MATCH(ChiTietKQKD[[#This Row],[Mã CP]],Sheet4!$B$2:$B$1605,0),_xlfn.XMATCH("*Tăng trưởng lợi nhuận sau thuế (QoQ)*",Sheet4!$1:$1,2)),"")</f>
        <v>0</v>
      </c>
    </row>
    <row r="1362" spans="1:18" x14ac:dyDescent="0.25">
      <c r="A1362" s="7">
        <f>Sheet4!A1341</f>
        <v>1340</v>
      </c>
      <c r="B1362" t="str">
        <f>Sheet4!B1341</f>
        <v>SBH</v>
      </c>
      <c r="C1362" t="str">
        <f>Sheet4!C1340</f>
        <v>Công nghệ Sao Bắc Đẩu</v>
      </c>
      <c r="D1362" t="str">
        <f>Sheet4!D1341</f>
        <v>UPCoM</v>
      </c>
      <c r="E1362" s="7">
        <f>Sheet4!AH1341/1000000000</f>
        <v>4969</v>
      </c>
      <c r="F1362" t="str">
        <f>Sheet4!E1341</f>
        <v>Tiện ích Cộng đồng</v>
      </c>
      <c r="G1362" t="str">
        <f>Sheet4!F1341</f>
        <v>Điện, nước &amp; xăng dầu khí đốt</v>
      </c>
      <c r="H1362" t="str">
        <f>Sheet4!G1341</f>
        <v>Sản xuất &amp; Phân phối Điện</v>
      </c>
      <c r="I1362" s="9" t="str" cm="1">
        <f t="array" ref="I136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62" s="9" t="str" cm="1">
        <f t="array" ref="J136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62" s="10" cm="1">
        <f t="array" ref="K136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62" s="10" cm="1">
        <f t="array" ref="L136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62" s="9" t="str" cm="1">
        <f t="array" ref="M136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62" s="9" t="str" cm="1">
        <f t="array" ref="N136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62" s="10" cm="1">
        <f t="array" ref="O1362">IFERROR(INDEX(Sheet4!$2:$1605,MATCH(ChiTietKQKD[[#This Row],[Mã CP]],Sheet4!$B$2:$B$1605,0),_xlfn.XMATCH("*Tăng trưởng lợi nhuận sau thuế (YoY) (Quý*",Sheet4!$1:$1,2)),"")</f>
        <v>0</v>
      </c>
      <c r="P1362" s="10" cm="1">
        <f t="array" ref="P1362">IFERROR(INDEX(Sheet4!$2:$1605,MATCH(ChiTietKQKD[[#This Row],[Mã CP]],Sheet4!$B$2:$B$1605,0),_xlfn.XMATCH("*Tăng trưởng lợi nhuận sau thuế (YoY) (6M)*",Sheet4!$1:$1,2)),"")</f>
        <v>0</v>
      </c>
      <c r="Q1362" s="10" cm="1">
        <f t="array" ref="Q1362">IFERROR(INDEX(Sheet4!$2:$1605,MATCH(ChiTietKQKD[[#This Row],[Mã CP]],Sheet4!$B$2:$B$1605,0),_xlfn.XMATCH("*Tăng trưởng doanh thu thuần (QoQ)*",Sheet4!$1:$1,2)),"")</f>
        <v>0</v>
      </c>
      <c r="R1362" s="10" cm="1">
        <f t="array" ref="R1362">IFERROR(INDEX(Sheet4!$2:$1605,MATCH(ChiTietKQKD[[#This Row],[Mã CP]],Sheet4!$B$2:$B$1605,0),_xlfn.XMATCH("*Tăng trưởng lợi nhuận sau thuế (QoQ)*",Sheet4!$1:$1,2)),"")</f>
        <v>0</v>
      </c>
    </row>
    <row r="1363" spans="1:18" x14ac:dyDescent="0.25">
      <c r="A1363" s="7">
        <f>Sheet4!A1342</f>
        <v>1341</v>
      </c>
      <c r="B1363" t="str">
        <f>Sheet4!B1342</f>
        <v>SBL</v>
      </c>
      <c r="C1363" t="str">
        <f>Sheet4!C1341</f>
        <v>Thủy điện Sông Ba Hạ</v>
      </c>
      <c r="D1363" t="str">
        <f>Sheet4!D1342</f>
        <v>UPCoM</v>
      </c>
      <c r="E1363" s="7">
        <f>Sheet4!AH1342/1000000000</f>
        <v>58.366307999999997</v>
      </c>
      <c r="F1363" t="str">
        <f>Sheet4!E1342</f>
        <v>Hàng Tiêu dùng</v>
      </c>
      <c r="G1363" t="str">
        <f>Sheet4!F1342</f>
        <v>Thực phẩm và đồ uống</v>
      </c>
      <c r="H1363" t="str">
        <f>Sheet4!G1342</f>
        <v>Sản xuất bia</v>
      </c>
      <c r="I1363" s="9" cm="1">
        <f t="array" ref="I136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29.815264148000001</v>
      </c>
      <c r="J1363" s="9" cm="1">
        <f t="array" ref="J136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49.532594977000002</v>
      </c>
      <c r="K1363" s="10" cm="1">
        <f t="array" ref="K136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2.4899999999999999E-2</v>
      </c>
      <c r="L1363" s="10" cm="1">
        <f t="array" ref="L136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-8.6800000000000002E-2</v>
      </c>
      <c r="M1363" s="9" cm="1">
        <f t="array" ref="M1363">_xlfn.LET(_xlpm.val,IFERROR(INDEX(Sheet4!$2:$1605,MATCH(ChiTietKQKD[[#This Row],[Mã CP]],Sheet4!$B$2:$B$1605,0),_xlfn.XMATCH("*Lợi nhuận sau thuế*Q2*2026*",Sheet4!$1:$1,2)),0),IF(OR(_xlpm.val="",_xlpm.val=0),"",_xlpm.val/1000000000))</f>
        <v>4.4373685419999997</v>
      </c>
      <c r="N1363" s="9" cm="1">
        <f t="array" ref="N1363">_xlfn.LET(_xlpm.val,IFERROR(INDEX(Sheet4!$2:$1605,MATCH(ChiTietKQKD[[#This Row],[Mã CP]],Sheet4!$B$2:$B$1605,0),_xlfn.XMATCH("*Lợi nhuận sau thuế*6 tháng*2026*",Sheet4!$1:$1,2)),0),IF(OR(_xlpm.val="",_xlpm.val=0),"",_xlpm.val/1000000000))</f>
        <v>2.4678431160000001</v>
      </c>
      <c r="O1363" s="10" cm="1">
        <f t="array" ref="O1363">IFERROR(INDEX(Sheet4!$2:$1605,MATCH(ChiTietKQKD[[#This Row],[Mã CP]],Sheet4!$B$2:$B$1605,0),_xlfn.XMATCH("*Tăng trưởng lợi nhuận sau thuế (YoY) (Quý*",Sheet4!$1:$1,2)),"")</f>
        <v>4.851</v>
      </c>
      <c r="P1363" s="10" cm="1">
        <f t="array" ref="P1363">IFERROR(INDEX(Sheet4!$2:$1605,MATCH(ChiTietKQKD[[#This Row],[Mã CP]],Sheet4!$B$2:$B$1605,0),_xlfn.XMATCH("*Tăng trưởng lợi nhuận sau thuế (YoY) (6M)*",Sheet4!$1:$1,2)),"")</f>
        <v>11.593299999999999</v>
      </c>
      <c r="Q1363" s="10" cm="1">
        <f t="array" ref="Q1363">IFERROR(INDEX(Sheet4!$2:$1605,MATCH(ChiTietKQKD[[#This Row],[Mã CP]],Sheet4!$B$2:$B$1605,0),_xlfn.XMATCH("*Tăng trưởng doanh thu thuần (QoQ)*",Sheet4!$1:$1,2)),"")</f>
        <v>0.5121</v>
      </c>
      <c r="R1363" s="10" cm="1">
        <f t="array" ref="R1363">IFERROR(INDEX(Sheet4!$2:$1605,MATCH(ChiTietKQKD[[#This Row],[Mã CP]],Sheet4!$B$2:$B$1605,0),_xlfn.XMATCH("*Tăng trưởng lợi nhuận sau thuế (QoQ)*",Sheet4!$1:$1,2)),"")</f>
        <v>3.2530000000000001</v>
      </c>
    </row>
    <row r="1364" spans="1:18" x14ac:dyDescent="0.25">
      <c r="A1364" s="7">
        <f>Sheet4!A1343</f>
        <v>1342</v>
      </c>
      <c r="B1364" t="str">
        <f>Sheet4!B1343</f>
        <v>SBM</v>
      </c>
      <c r="C1364" t="str">
        <f>Sheet4!C1342</f>
        <v>Bia Sài Gòn - Bạc Liêu</v>
      </c>
      <c r="D1364" t="str">
        <f>Sheet4!D1343</f>
        <v>UPCoM</v>
      </c>
      <c r="E1364" s="7">
        <f>Sheet4!AH1343/1000000000</f>
        <v>1436.9340007000001</v>
      </c>
      <c r="F1364" t="str">
        <f>Sheet4!E1343</f>
        <v>Tiện ích Cộng đồng</v>
      </c>
      <c r="G1364" t="str">
        <f>Sheet4!F1343</f>
        <v>Điện, nước &amp; xăng dầu khí đốt</v>
      </c>
      <c r="H1364" t="str">
        <f>Sheet4!G1343</f>
        <v>Sản xuất &amp; Phân phối Điện</v>
      </c>
      <c r="I1364" s="9" cm="1">
        <f t="array" ref="I136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64.118400960000002</v>
      </c>
      <c r="J1364" s="9" cm="1">
        <f t="array" ref="J136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115.920999298</v>
      </c>
      <c r="K1364" s="10" cm="1">
        <f t="array" ref="K136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-1.6000000000000001E-3</v>
      </c>
      <c r="L1364" s="10" cm="1">
        <f t="array" ref="L136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7.2900000000000006E-2</v>
      </c>
      <c r="M1364" s="9" cm="1">
        <f t="array" ref="M1364">_xlfn.LET(_xlpm.val,IFERROR(INDEX(Sheet4!$2:$1605,MATCH(ChiTietKQKD[[#This Row],[Mã CP]],Sheet4!$B$2:$B$1605,0),_xlfn.XMATCH("*Lợi nhuận sau thuế*Q2*2026*",Sheet4!$1:$1,2)),0),IF(OR(_xlpm.val="",_xlpm.val=0),"",_xlpm.val/1000000000))</f>
        <v>28.977224402000001</v>
      </c>
      <c r="N1364" s="9" cm="1">
        <f t="array" ref="N1364">_xlfn.LET(_xlpm.val,IFERROR(INDEX(Sheet4!$2:$1605,MATCH(ChiTietKQKD[[#This Row],[Mã CP]],Sheet4!$B$2:$B$1605,0),_xlfn.XMATCH("*Lợi nhuận sau thuế*6 tháng*2026*",Sheet4!$1:$1,2)),0),IF(OR(_xlpm.val="",_xlpm.val=0),"",_xlpm.val/1000000000))</f>
        <v>52.774932282999998</v>
      </c>
      <c r="O1364" s="10" cm="1">
        <f t="array" ref="O1364">IFERROR(INDEX(Sheet4!$2:$1605,MATCH(ChiTietKQKD[[#This Row],[Mã CP]],Sheet4!$B$2:$B$1605,0),_xlfn.XMATCH("*Tăng trưởng lợi nhuận sau thuế (YoY) (Quý*",Sheet4!$1:$1,2)),"")</f>
        <v>-0.06</v>
      </c>
      <c r="P1364" s="10" cm="1">
        <f t="array" ref="P1364">IFERROR(INDEX(Sheet4!$2:$1605,MATCH(ChiTietKQKD[[#This Row],[Mã CP]],Sheet4!$B$2:$B$1605,0),_xlfn.XMATCH("*Tăng trưởng lợi nhuận sau thuế (YoY) (6M)*",Sheet4!$1:$1,2)),"")</f>
        <v>2.3900000000000001E-2</v>
      </c>
      <c r="Q1364" s="10" cm="1">
        <f t="array" ref="Q1364">IFERROR(INDEX(Sheet4!$2:$1605,MATCH(ChiTietKQKD[[#This Row],[Mã CP]],Sheet4!$B$2:$B$1605,0),_xlfn.XMATCH("*Tăng trưởng doanh thu thuần (QoQ)*",Sheet4!$1:$1,2)),"")</f>
        <v>0.23769999999999999</v>
      </c>
      <c r="R1364" s="10" cm="1">
        <f t="array" ref="R1364">IFERROR(INDEX(Sheet4!$2:$1605,MATCH(ChiTietKQKD[[#This Row],[Mã CP]],Sheet4!$B$2:$B$1605,0),_xlfn.XMATCH("*Tăng trưởng lợi nhuận sau thuế (QoQ)*",Sheet4!$1:$1,2)),"")</f>
        <v>0.21759999999999999</v>
      </c>
    </row>
    <row r="1365" spans="1:18" x14ac:dyDescent="0.25">
      <c r="A1365" s="7">
        <f>Sheet4!A1344</f>
        <v>1343</v>
      </c>
      <c r="B1365" t="str">
        <f>Sheet4!B1344</f>
        <v>SBR</v>
      </c>
      <c r="C1365" t="str">
        <f>Sheet4!C1343</f>
        <v>Đầu tư PT Bắc Minh</v>
      </c>
      <c r="D1365" t="str">
        <f>Sheet4!D1344</f>
        <v>UPCoM</v>
      </c>
      <c r="E1365" s="7">
        <f>Sheet4!AH1344/1000000000</f>
        <v>740.70534720000001</v>
      </c>
      <c r="F1365" t="str">
        <f>Sheet4!E1344</f>
        <v>Nguyên vật liệu</v>
      </c>
      <c r="G1365" t="str">
        <f>Sheet4!F1344</f>
        <v>Hóa chất</v>
      </c>
      <c r="H1365" t="str">
        <f>Sheet4!G1344</f>
        <v>Nhựa, cao su &amp; sợi</v>
      </c>
      <c r="I1365" s="9" cm="1">
        <f t="array" ref="I136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43.827068613000002</v>
      </c>
      <c r="J1365" s="9" cm="1">
        <f t="array" ref="J136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112.639491007</v>
      </c>
      <c r="K1365" s="10" cm="1">
        <f t="array" ref="K136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1.2625</v>
      </c>
      <c r="L1365" s="10" cm="1">
        <f t="array" ref="L136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65" s="9" cm="1">
        <f t="array" ref="M1365">_xlfn.LET(_xlpm.val,IFERROR(INDEX(Sheet4!$2:$1605,MATCH(ChiTietKQKD[[#This Row],[Mã CP]],Sheet4!$B$2:$B$1605,0),_xlfn.XMATCH("*Lợi nhuận sau thuế*Q2*2026*",Sheet4!$1:$1,2)),0),IF(OR(_xlpm.val="",_xlpm.val=0),"",_xlpm.val/1000000000))</f>
        <v>27.695987604999999</v>
      </c>
      <c r="N1365" s="9" cm="1">
        <f t="array" ref="N1365">_xlfn.LET(_xlpm.val,IFERROR(INDEX(Sheet4!$2:$1605,MATCH(ChiTietKQKD[[#This Row],[Mã CP]],Sheet4!$B$2:$B$1605,0),_xlfn.XMATCH("*Lợi nhuận sau thuế*6 tháng*2026*",Sheet4!$1:$1,2)),0),IF(OR(_xlpm.val="",_xlpm.val=0),"",_xlpm.val/1000000000))</f>
        <v>36.301598386000002</v>
      </c>
      <c r="O1365" s="10" cm="1">
        <f t="array" ref="O1365">IFERROR(INDEX(Sheet4!$2:$1605,MATCH(ChiTietKQKD[[#This Row],[Mã CP]],Sheet4!$B$2:$B$1605,0),_xlfn.XMATCH("*Tăng trưởng lợi nhuận sau thuế (YoY) (Quý*",Sheet4!$1:$1,2)),"")</f>
        <v>5.5457999999999998</v>
      </c>
      <c r="P1365" s="10" cm="1">
        <f t="array" ref="P1365">IFERROR(INDEX(Sheet4!$2:$1605,MATCH(ChiTietKQKD[[#This Row],[Mã CP]],Sheet4!$B$2:$B$1605,0),_xlfn.XMATCH("*Tăng trưởng lợi nhuận sau thuế (YoY) (6M)*",Sheet4!$1:$1,2)),"")</f>
        <v>0</v>
      </c>
      <c r="Q1365" s="10" cm="1">
        <f t="array" ref="Q1365">IFERROR(INDEX(Sheet4!$2:$1605,MATCH(ChiTietKQKD[[#This Row],[Mã CP]],Sheet4!$B$2:$B$1605,0),_xlfn.XMATCH("*Tăng trưởng doanh thu thuần (QoQ)*",Sheet4!$1:$1,2)),"")</f>
        <v>-0.36309999999999998</v>
      </c>
      <c r="R1365" s="10" cm="1">
        <f t="array" ref="R1365">IFERROR(INDEX(Sheet4!$2:$1605,MATCH(ChiTietKQKD[[#This Row],[Mã CP]],Sheet4!$B$2:$B$1605,0),_xlfn.XMATCH("*Tăng trưởng lợi nhuận sau thuế (QoQ)*",Sheet4!$1:$1,2)),"")</f>
        <v>2.2183999999999999</v>
      </c>
    </row>
    <row r="1366" spans="1:18" x14ac:dyDescent="0.25">
      <c r="A1366" s="7">
        <f>Sheet4!A1345</f>
        <v>1344</v>
      </c>
      <c r="B1366" t="str">
        <f>Sheet4!B1345</f>
        <v>SBS</v>
      </c>
      <c r="C1366" t="str">
        <f>Sheet4!C1344</f>
        <v>Cao su Sông Bé</v>
      </c>
      <c r="D1366" t="str">
        <f>Sheet4!D1345</f>
        <v>UPCoM</v>
      </c>
      <c r="E1366" s="7">
        <f>Sheet4!AH1345/1000000000</f>
        <v>659.00116200000002</v>
      </c>
      <c r="F1366" t="str">
        <f>Sheet4!E1345</f>
        <v>Tài chính</v>
      </c>
      <c r="G1366" t="str">
        <f>Sheet4!F1345</f>
        <v>Dịch vụ tài chính</v>
      </c>
      <c r="H1366" t="str">
        <f>Sheet4!G1345</f>
        <v>Môi giới chứng khoán</v>
      </c>
      <c r="I1366" s="9" cm="1">
        <f t="array" ref="I136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37.228693395999997</v>
      </c>
      <c r="J1366" s="9" cm="1">
        <f t="array" ref="J136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70.490464025999998</v>
      </c>
      <c r="K1366" s="10" cm="1">
        <f t="array" ref="K136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-3.4799999999999998E-2</v>
      </c>
      <c r="L1366" s="10" cm="1">
        <f t="array" ref="L136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0.25069999999999998</v>
      </c>
      <c r="M1366" s="9" cm="1">
        <f t="array" ref="M1366">_xlfn.LET(_xlpm.val,IFERROR(INDEX(Sheet4!$2:$1605,MATCH(ChiTietKQKD[[#This Row],[Mã CP]],Sheet4!$B$2:$B$1605,0),_xlfn.XMATCH("*Lợi nhuận sau thuế*Q2*2026*",Sheet4!$1:$1,2)),0),IF(OR(_xlpm.val="",_xlpm.val=0),"",_xlpm.val/1000000000))</f>
        <v>42.808667386000003</v>
      </c>
      <c r="N1366" s="9" cm="1">
        <f t="array" ref="N1366">_xlfn.LET(_xlpm.val,IFERROR(INDEX(Sheet4!$2:$1605,MATCH(ChiTietKQKD[[#This Row],[Mã CP]],Sheet4!$B$2:$B$1605,0),_xlfn.XMATCH("*Lợi nhuận sau thuế*6 tháng*2026*",Sheet4!$1:$1,2)),0),IF(OR(_xlpm.val="",_xlpm.val=0),"",_xlpm.val/1000000000))</f>
        <v>37.538091717999997</v>
      </c>
      <c r="O1366" s="10" cm="1">
        <f t="array" ref="O1366">IFERROR(INDEX(Sheet4!$2:$1605,MATCH(ChiTietKQKD[[#This Row],[Mã CP]],Sheet4!$B$2:$B$1605,0),_xlfn.XMATCH("*Tăng trưởng lợi nhuận sau thuế (YoY) (Quý*",Sheet4!$1:$1,2)),"")</f>
        <v>19.479600000000001</v>
      </c>
      <c r="P1366" s="10" cm="1">
        <f t="array" ref="P1366">IFERROR(INDEX(Sheet4!$2:$1605,MATCH(ChiTietKQKD[[#This Row],[Mã CP]],Sheet4!$B$2:$B$1605,0),_xlfn.XMATCH("*Tăng trưởng lợi nhuận sau thuế (YoY) (6M)*",Sheet4!$1:$1,2)),"")</f>
        <v>1.7934000000000001</v>
      </c>
      <c r="Q1366" s="10" cm="1">
        <f t="array" ref="Q1366">IFERROR(INDEX(Sheet4!$2:$1605,MATCH(ChiTietKQKD[[#This Row],[Mã CP]],Sheet4!$B$2:$B$1605,0),_xlfn.XMATCH("*Tăng trưởng doanh thu thuần (QoQ)*",Sheet4!$1:$1,2)),"")</f>
        <v>0.1193</v>
      </c>
      <c r="R1366" s="10" cm="1">
        <f t="array" ref="R1366">IFERROR(INDEX(Sheet4!$2:$1605,MATCH(ChiTietKQKD[[#This Row],[Mã CP]],Sheet4!$B$2:$B$1605,0),_xlfn.XMATCH("*Tăng trưởng lợi nhuận sau thuế (QoQ)*",Sheet4!$1:$1,2)),"")</f>
        <v>9.1221999999999994</v>
      </c>
    </row>
    <row r="1367" spans="1:18" x14ac:dyDescent="0.25">
      <c r="A1367" s="7">
        <f>Sheet4!A1346</f>
        <v>1345</v>
      </c>
      <c r="B1367" t="str">
        <f>Sheet4!B1346</f>
        <v>SCC</v>
      </c>
      <c r="C1367" t="str">
        <f>Sheet4!C1345</f>
        <v>Chứng khoán SBS</v>
      </c>
      <c r="D1367" t="str">
        <f>Sheet4!D1346</f>
        <v>UPCoM</v>
      </c>
      <c r="E1367" s="7">
        <f>Sheet4!AH1346/1000000000</f>
        <v>14.85675</v>
      </c>
      <c r="F1367" t="str">
        <f>Sheet4!E1346</f>
        <v>Công nghiệp</v>
      </c>
      <c r="G1367" t="str">
        <f>Sheet4!F1346</f>
        <v>Xây dựng và Vật liệu</v>
      </c>
      <c r="H1367" t="str">
        <f>Sheet4!G1346</f>
        <v>Vật liệu xây dựng &amp; Nội thất</v>
      </c>
      <c r="I1367" s="9" t="str" cm="1">
        <f t="array" ref="I136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67" s="9" t="str" cm="1">
        <f t="array" ref="J136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67" s="10" cm="1">
        <f t="array" ref="K136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67" s="10" cm="1">
        <f t="array" ref="L136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67" s="9" t="str" cm="1">
        <f t="array" ref="M136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67" s="9" t="str" cm="1">
        <f t="array" ref="N136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67" s="10" cm="1">
        <f t="array" ref="O1367">IFERROR(INDEX(Sheet4!$2:$1605,MATCH(ChiTietKQKD[[#This Row],[Mã CP]],Sheet4!$B$2:$B$1605,0),_xlfn.XMATCH("*Tăng trưởng lợi nhuận sau thuế (YoY) (Quý*",Sheet4!$1:$1,2)),"")</f>
        <v>0</v>
      </c>
      <c r="P1367" s="10" cm="1">
        <f t="array" ref="P1367">IFERROR(INDEX(Sheet4!$2:$1605,MATCH(ChiTietKQKD[[#This Row],[Mã CP]],Sheet4!$B$2:$B$1605,0),_xlfn.XMATCH("*Tăng trưởng lợi nhuận sau thuế (YoY) (6M)*",Sheet4!$1:$1,2)),"")</f>
        <v>0</v>
      </c>
      <c r="Q1367" s="10" cm="1">
        <f t="array" ref="Q1367">IFERROR(INDEX(Sheet4!$2:$1605,MATCH(ChiTietKQKD[[#This Row],[Mã CP]],Sheet4!$B$2:$B$1605,0),_xlfn.XMATCH("*Tăng trưởng doanh thu thuần (QoQ)*",Sheet4!$1:$1,2)),"")</f>
        <v>0</v>
      </c>
      <c r="R1367" s="10" cm="1">
        <f t="array" ref="R1367">IFERROR(INDEX(Sheet4!$2:$1605,MATCH(ChiTietKQKD[[#This Row],[Mã CP]],Sheet4!$B$2:$B$1605,0),_xlfn.XMATCH("*Tăng trưởng lợi nhuận sau thuế (QoQ)*",Sheet4!$1:$1,2)),"")</f>
        <v>0</v>
      </c>
    </row>
    <row r="1368" spans="1:18" x14ac:dyDescent="0.25">
      <c r="A1368" s="7">
        <f>Sheet4!A1347</f>
        <v>1346</v>
      </c>
      <c r="B1368" t="str">
        <f>Sheet4!B1347</f>
        <v>SCD</v>
      </c>
      <c r="C1368" t="str">
        <f>Sheet4!C1346</f>
        <v>Thương mại Đầu tư SHB</v>
      </c>
      <c r="D1368" t="str">
        <f>Sheet4!D1347</f>
        <v>UPCoM</v>
      </c>
      <c r="E1368" s="7">
        <f>Sheet4!AH1347/1000000000</f>
        <v>131.40342000000001</v>
      </c>
      <c r="F1368" t="str">
        <f>Sheet4!E1347</f>
        <v>Hàng Tiêu dùng</v>
      </c>
      <c r="G1368" t="str">
        <f>Sheet4!F1347</f>
        <v>Thực phẩm và đồ uống</v>
      </c>
      <c r="H1368" t="str">
        <f>Sheet4!G1347</f>
        <v>Đồ uống &amp; giải khát</v>
      </c>
      <c r="I1368" s="9" t="str" cm="1">
        <f t="array" ref="I136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68" s="9" t="str" cm="1">
        <f t="array" ref="J136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68" s="10" cm="1">
        <f t="array" ref="K136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68" s="10" cm="1">
        <f t="array" ref="L136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68" s="9" t="str" cm="1">
        <f t="array" ref="M136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68" s="9" t="str" cm="1">
        <f t="array" ref="N136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68" s="10" cm="1">
        <f t="array" ref="O1368">IFERROR(INDEX(Sheet4!$2:$1605,MATCH(ChiTietKQKD[[#This Row],[Mã CP]],Sheet4!$B$2:$B$1605,0),_xlfn.XMATCH("*Tăng trưởng lợi nhuận sau thuế (YoY) (Quý*",Sheet4!$1:$1,2)),"")</f>
        <v>0</v>
      </c>
      <c r="P1368" s="10" cm="1">
        <f t="array" ref="P1368">IFERROR(INDEX(Sheet4!$2:$1605,MATCH(ChiTietKQKD[[#This Row],[Mã CP]],Sheet4!$B$2:$B$1605,0),_xlfn.XMATCH("*Tăng trưởng lợi nhuận sau thuế (YoY) (6M)*",Sheet4!$1:$1,2)),"")</f>
        <v>0</v>
      </c>
      <c r="Q1368" s="10" cm="1">
        <f t="array" ref="Q1368">IFERROR(INDEX(Sheet4!$2:$1605,MATCH(ChiTietKQKD[[#This Row],[Mã CP]],Sheet4!$B$2:$B$1605,0),_xlfn.XMATCH("*Tăng trưởng doanh thu thuần (QoQ)*",Sheet4!$1:$1,2)),"")</f>
        <v>0</v>
      </c>
      <c r="R1368" s="10" cm="1">
        <f t="array" ref="R1368">IFERROR(INDEX(Sheet4!$2:$1605,MATCH(ChiTietKQKD[[#This Row],[Mã CP]],Sheet4!$B$2:$B$1605,0),_xlfn.XMATCH("*Tăng trưởng lợi nhuận sau thuế (QoQ)*",Sheet4!$1:$1,2)),"")</f>
        <v>0</v>
      </c>
    </row>
    <row r="1369" spans="1:18" x14ac:dyDescent="0.25">
      <c r="A1369" s="7">
        <f>Sheet4!A1348</f>
        <v>1347</v>
      </c>
      <c r="B1369" t="str">
        <f>Sheet4!B1348</f>
        <v>SCJ</v>
      </c>
      <c r="C1369" t="str">
        <f>Sheet4!C1347</f>
        <v>Giải khát Chương Dương</v>
      </c>
      <c r="D1369" t="str">
        <f>Sheet4!D1348</f>
        <v>UPCoM</v>
      </c>
      <c r="E1369" s="7">
        <f>Sheet4!AH1348/1000000000</f>
        <v>167.73310000000001</v>
      </c>
      <c r="F1369" t="str">
        <f>Sheet4!E1348</f>
        <v>Công nghiệp</v>
      </c>
      <c r="G1369" t="str">
        <f>Sheet4!F1348</f>
        <v>Xây dựng và Vật liệu</v>
      </c>
      <c r="H1369" t="str">
        <f>Sheet4!G1348</f>
        <v>Vật liệu xây dựng &amp; Nội thất</v>
      </c>
      <c r="I1369" s="9" cm="1">
        <f t="array" ref="I136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221.51644134099999</v>
      </c>
      <c r="J1369" s="9" cm="1">
        <f t="array" ref="J136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421.14192838999998</v>
      </c>
      <c r="K1369" s="10" cm="1">
        <f t="array" ref="K136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-0.2177</v>
      </c>
      <c r="L1369" s="10" cm="1">
        <f t="array" ref="L136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69" s="9" cm="1">
        <f t="array" ref="M1369">_xlfn.LET(_xlpm.val,IFERROR(INDEX(Sheet4!$2:$1605,MATCH(ChiTietKQKD[[#This Row],[Mã CP]],Sheet4!$B$2:$B$1605,0),_xlfn.XMATCH("*Lợi nhuận sau thuế*Q2*2026*",Sheet4!$1:$1,2)),0),IF(OR(_xlpm.val="",_xlpm.val=0),"",_xlpm.val/1000000000))</f>
        <v>1.7077469439999999</v>
      </c>
      <c r="N1369" s="9" cm="1">
        <f t="array" ref="N1369">_xlfn.LET(_xlpm.val,IFERROR(INDEX(Sheet4!$2:$1605,MATCH(ChiTietKQKD[[#This Row],[Mã CP]],Sheet4!$B$2:$B$1605,0),_xlfn.XMATCH("*Lợi nhuận sau thuế*6 tháng*2026*",Sheet4!$1:$1,2)),0),IF(OR(_xlpm.val="",_xlpm.val=0),"",_xlpm.val/1000000000))</f>
        <v>2.7466714830000001</v>
      </c>
      <c r="O1369" s="10" cm="1">
        <f t="array" ref="O1369">IFERROR(INDEX(Sheet4!$2:$1605,MATCH(ChiTietKQKD[[#This Row],[Mã CP]],Sheet4!$B$2:$B$1605,0),_xlfn.XMATCH("*Tăng trưởng lợi nhuận sau thuế (YoY) (Quý*",Sheet4!$1:$1,2)),"")</f>
        <v>-0.68640000000000001</v>
      </c>
      <c r="P1369" s="10" cm="1">
        <f t="array" ref="P1369">IFERROR(INDEX(Sheet4!$2:$1605,MATCH(ChiTietKQKD[[#This Row],[Mã CP]],Sheet4!$B$2:$B$1605,0),_xlfn.XMATCH("*Tăng trưởng lợi nhuận sau thuế (YoY) (6M)*",Sheet4!$1:$1,2)),"")</f>
        <v>0</v>
      </c>
      <c r="Q1369" s="10" cm="1">
        <f t="array" ref="Q1369">IFERROR(INDEX(Sheet4!$2:$1605,MATCH(ChiTietKQKD[[#This Row],[Mã CP]],Sheet4!$B$2:$B$1605,0),_xlfn.XMATCH("*Tăng trưởng doanh thu thuần (QoQ)*",Sheet4!$1:$1,2)),"")</f>
        <v>0.10970000000000001</v>
      </c>
      <c r="R1369" s="10" cm="1">
        <f t="array" ref="R1369">IFERROR(INDEX(Sheet4!$2:$1605,MATCH(ChiTietKQKD[[#This Row],[Mã CP]],Sheet4!$B$2:$B$1605,0),_xlfn.XMATCH("*Tăng trưởng lợi nhuận sau thuế (QoQ)*",Sheet4!$1:$1,2)),"")</f>
        <v>0.64380000000000004</v>
      </c>
    </row>
    <row r="1370" spans="1:18" x14ac:dyDescent="0.25">
      <c r="A1370" s="7">
        <f>Sheet4!A1349</f>
        <v>1348</v>
      </c>
      <c r="B1370" t="str">
        <f>Sheet4!B1349</f>
        <v>SCL</v>
      </c>
      <c r="C1370" t="str">
        <f>Sheet4!C1348</f>
        <v>Xi măng Sài Sơn</v>
      </c>
      <c r="D1370" t="str">
        <f>Sheet4!D1349</f>
        <v>UPCoM</v>
      </c>
      <c r="E1370" s="7">
        <f>Sheet4!AH1349/1000000000</f>
        <v>898.96976683499997</v>
      </c>
      <c r="F1370" t="str">
        <f>Sheet4!E1349</f>
        <v>Công nghiệp</v>
      </c>
      <c r="G1370" t="str">
        <f>Sheet4!F1349</f>
        <v>Xây dựng và Vật liệu</v>
      </c>
      <c r="H1370" t="str">
        <f>Sheet4!G1349</f>
        <v>Vật liệu xây dựng &amp; Nội thất</v>
      </c>
      <c r="I1370" s="9" t="str" cm="1">
        <f t="array" ref="I137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70" s="9" t="str" cm="1">
        <f t="array" ref="J137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70" s="10" cm="1">
        <f t="array" ref="K137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70" s="10" cm="1">
        <f t="array" ref="L137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70" s="9" t="str" cm="1">
        <f t="array" ref="M137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70" s="9" t="str" cm="1">
        <f t="array" ref="N137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70" s="10" cm="1">
        <f t="array" ref="O1370">IFERROR(INDEX(Sheet4!$2:$1605,MATCH(ChiTietKQKD[[#This Row],[Mã CP]],Sheet4!$B$2:$B$1605,0),_xlfn.XMATCH("*Tăng trưởng lợi nhuận sau thuế (YoY) (Quý*",Sheet4!$1:$1,2)),"")</f>
        <v>0</v>
      </c>
      <c r="P1370" s="10" cm="1">
        <f t="array" ref="P1370">IFERROR(INDEX(Sheet4!$2:$1605,MATCH(ChiTietKQKD[[#This Row],[Mã CP]],Sheet4!$B$2:$B$1605,0),_xlfn.XMATCH("*Tăng trưởng lợi nhuận sau thuế (YoY) (6M)*",Sheet4!$1:$1,2)),"")</f>
        <v>0</v>
      </c>
      <c r="Q1370" s="10" cm="1">
        <f t="array" ref="Q1370">IFERROR(INDEX(Sheet4!$2:$1605,MATCH(ChiTietKQKD[[#This Row],[Mã CP]],Sheet4!$B$2:$B$1605,0),_xlfn.XMATCH("*Tăng trưởng doanh thu thuần (QoQ)*",Sheet4!$1:$1,2)),"")</f>
        <v>0</v>
      </c>
      <c r="R1370" s="10" cm="1">
        <f t="array" ref="R1370">IFERROR(INDEX(Sheet4!$2:$1605,MATCH(ChiTietKQKD[[#This Row],[Mã CP]],Sheet4!$B$2:$B$1605,0),_xlfn.XMATCH("*Tăng trưởng lợi nhuận sau thuế (QoQ)*",Sheet4!$1:$1,2)),"")</f>
        <v>0</v>
      </c>
    </row>
    <row r="1371" spans="1:18" x14ac:dyDescent="0.25">
      <c r="A1371" s="7">
        <f>Sheet4!A1350</f>
        <v>1349</v>
      </c>
      <c r="B1371" t="str">
        <f>Sheet4!B1350</f>
        <v>SCO</v>
      </c>
      <c r="C1371" t="str">
        <f>Sheet4!C1349</f>
        <v>Sông Đà Cao Cường</v>
      </c>
      <c r="D1371" t="str">
        <f>Sheet4!D1350</f>
        <v>UPCoM</v>
      </c>
      <c r="E1371" s="7">
        <f>Sheet4!AH1350/1000000000</f>
        <v>46.744050000000001</v>
      </c>
      <c r="F1371" t="str">
        <f>Sheet4!E1350</f>
        <v>Công nghiệp</v>
      </c>
      <c r="G1371" t="str">
        <f>Sheet4!F1350</f>
        <v>Hàng &amp; Dịch vụ Công nghiệp</v>
      </c>
      <c r="H1371" t="str">
        <f>Sheet4!G1350</f>
        <v>Máy công nghiệp</v>
      </c>
      <c r="I1371" s="9" t="str" cm="1">
        <f t="array" ref="I137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71" s="9" t="str" cm="1">
        <f t="array" ref="J137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71" s="10" cm="1">
        <f t="array" ref="K137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71" s="10" cm="1">
        <f t="array" ref="L137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71" s="9" t="str" cm="1">
        <f t="array" ref="M137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71" s="9" t="str" cm="1">
        <f t="array" ref="N137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71" s="10" cm="1">
        <f t="array" ref="O1371">IFERROR(INDEX(Sheet4!$2:$1605,MATCH(ChiTietKQKD[[#This Row],[Mã CP]],Sheet4!$B$2:$B$1605,0),_xlfn.XMATCH("*Tăng trưởng lợi nhuận sau thuế (YoY) (Quý*",Sheet4!$1:$1,2)),"")</f>
        <v>0</v>
      </c>
      <c r="P1371" s="10" cm="1">
        <f t="array" ref="P1371">IFERROR(INDEX(Sheet4!$2:$1605,MATCH(ChiTietKQKD[[#This Row],[Mã CP]],Sheet4!$B$2:$B$1605,0),_xlfn.XMATCH("*Tăng trưởng lợi nhuận sau thuế (YoY) (6M)*",Sheet4!$1:$1,2)),"")</f>
        <v>0</v>
      </c>
      <c r="Q1371" s="10" cm="1">
        <f t="array" ref="Q1371">IFERROR(INDEX(Sheet4!$2:$1605,MATCH(ChiTietKQKD[[#This Row],[Mã CP]],Sheet4!$B$2:$B$1605,0),_xlfn.XMATCH("*Tăng trưởng doanh thu thuần (QoQ)*",Sheet4!$1:$1,2)),"")</f>
        <v>0</v>
      </c>
      <c r="R1371" s="10" cm="1">
        <f t="array" ref="R1371">IFERROR(INDEX(Sheet4!$2:$1605,MATCH(ChiTietKQKD[[#This Row],[Mã CP]],Sheet4!$B$2:$B$1605,0),_xlfn.XMATCH("*Tăng trưởng lợi nhuận sau thuế (QoQ)*",Sheet4!$1:$1,2)),"")</f>
        <v>0</v>
      </c>
    </row>
    <row r="1372" spans="1:18" x14ac:dyDescent="0.25">
      <c r="A1372" s="7">
        <f>Sheet4!A1351</f>
        <v>1350</v>
      </c>
      <c r="B1372" t="str">
        <f>Sheet4!B1351</f>
        <v>SD2</v>
      </c>
      <c r="C1372" t="str">
        <f>Sheet4!C1350</f>
        <v>Công nghiệp Thủy Sản</v>
      </c>
      <c r="D1372" t="str">
        <f>Sheet4!D1351</f>
        <v>UPCoM</v>
      </c>
      <c r="E1372" s="7">
        <f>Sheet4!AH1351/1000000000</f>
        <v>59.136497599999998</v>
      </c>
      <c r="F1372" t="str">
        <f>Sheet4!E1351</f>
        <v>Công nghiệp</v>
      </c>
      <c r="G1372" t="str">
        <f>Sheet4!F1351</f>
        <v>Xây dựng và Vật liệu</v>
      </c>
      <c r="H1372" t="str">
        <f>Sheet4!G1351</f>
        <v>Xây dựng</v>
      </c>
      <c r="I1372" s="9" t="str" cm="1">
        <f t="array" ref="I137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72" s="9" t="str" cm="1">
        <f t="array" ref="J137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72" s="10" cm="1">
        <f t="array" ref="K137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72" s="10" cm="1">
        <f t="array" ref="L137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72" s="9" t="str" cm="1">
        <f t="array" ref="M137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72" s="9" t="str" cm="1">
        <f t="array" ref="N137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72" s="10" cm="1">
        <f t="array" ref="O1372">IFERROR(INDEX(Sheet4!$2:$1605,MATCH(ChiTietKQKD[[#This Row],[Mã CP]],Sheet4!$B$2:$B$1605,0),_xlfn.XMATCH("*Tăng trưởng lợi nhuận sau thuế (YoY) (Quý*",Sheet4!$1:$1,2)),"")</f>
        <v>0</v>
      </c>
      <c r="P1372" s="10" cm="1">
        <f t="array" ref="P1372">IFERROR(INDEX(Sheet4!$2:$1605,MATCH(ChiTietKQKD[[#This Row],[Mã CP]],Sheet4!$B$2:$B$1605,0),_xlfn.XMATCH("*Tăng trưởng lợi nhuận sau thuế (YoY) (6M)*",Sheet4!$1:$1,2)),"")</f>
        <v>0</v>
      </c>
      <c r="Q1372" s="10" cm="1">
        <f t="array" ref="Q1372">IFERROR(INDEX(Sheet4!$2:$1605,MATCH(ChiTietKQKD[[#This Row],[Mã CP]],Sheet4!$B$2:$B$1605,0),_xlfn.XMATCH("*Tăng trưởng doanh thu thuần (QoQ)*",Sheet4!$1:$1,2)),"")</f>
        <v>0</v>
      </c>
      <c r="R1372" s="10" cm="1">
        <f t="array" ref="R1372">IFERROR(INDEX(Sheet4!$2:$1605,MATCH(ChiTietKQKD[[#This Row],[Mã CP]],Sheet4!$B$2:$B$1605,0),_xlfn.XMATCH("*Tăng trưởng lợi nhuận sau thuế (QoQ)*",Sheet4!$1:$1,2)),"")</f>
        <v>0</v>
      </c>
    </row>
    <row r="1373" spans="1:18" x14ac:dyDescent="0.25">
      <c r="A1373" s="7">
        <f>Sheet4!A1352</f>
        <v>1351</v>
      </c>
      <c r="B1373" t="str">
        <f>Sheet4!B1352</f>
        <v>SD3</v>
      </c>
      <c r="C1373" t="str">
        <f>Sheet4!C1351</f>
        <v>Sông Đà 2</v>
      </c>
      <c r="D1373" t="str">
        <f>Sheet4!D1352</f>
        <v>UPCoM</v>
      </c>
      <c r="E1373" s="7">
        <f>Sheet4!AH1352/1000000000</f>
        <v>137.59446159999999</v>
      </c>
      <c r="F1373" t="str">
        <f>Sheet4!E1352</f>
        <v>Công nghiệp</v>
      </c>
      <c r="G1373" t="str">
        <f>Sheet4!F1352</f>
        <v>Xây dựng và Vật liệu</v>
      </c>
      <c r="H1373" t="str">
        <f>Sheet4!G1352</f>
        <v>Xây dựng</v>
      </c>
      <c r="I1373" s="9" cm="1">
        <f t="array" ref="I137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31.433188660999999</v>
      </c>
      <c r="J1373" s="9" cm="1">
        <f t="array" ref="J137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80.454815397999994</v>
      </c>
      <c r="K1373" s="10" cm="1">
        <f t="array" ref="K137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-0.32540000000000002</v>
      </c>
      <c r="L1373" s="10" cm="1">
        <f t="array" ref="L137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-0.1767</v>
      </c>
      <c r="M1373" s="9" cm="1">
        <f t="array" ref="M1373">_xlfn.LET(_xlpm.val,IFERROR(INDEX(Sheet4!$2:$1605,MATCH(ChiTietKQKD[[#This Row],[Mã CP]],Sheet4!$B$2:$B$1605,0),_xlfn.XMATCH("*Lợi nhuận sau thuế*Q2*2026*",Sheet4!$1:$1,2)),0),IF(OR(_xlpm.val="",_xlpm.val=0),"",_xlpm.val/1000000000))</f>
        <v>-9.0617534129999999</v>
      </c>
      <c r="N1373" s="9" cm="1">
        <f t="array" ref="N1373">_xlfn.LET(_xlpm.val,IFERROR(INDEX(Sheet4!$2:$1605,MATCH(ChiTietKQKD[[#This Row],[Mã CP]],Sheet4!$B$2:$B$1605,0),_xlfn.XMATCH("*Lợi nhuận sau thuế*6 tháng*2026*",Sheet4!$1:$1,2)),0),IF(OR(_xlpm.val="",_xlpm.val=0),"",_xlpm.val/1000000000))</f>
        <v>11.501912298000001</v>
      </c>
      <c r="O1373" s="10" cm="1">
        <f t="array" ref="O1373">IFERROR(INDEX(Sheet4!$2:$1605,MATCH(ChiTietKQKD[[#This Row],[Mã CP]],Sheet4!$B$2:$B$1605,0),_xlfn.XMATCH("*Tăng trưởng lợi nhuận sau thuế (YoY) (Quý*",Sheet4!$1:$1,2)),"")</f>
        <v>-0.20710000000000001</v>
      </c>
      <c r="P1373" s="10" cm="1">
        <f t="array" ref="P1373">IFERROR(INDEX(Sheet4!$2:$1605,MATCH(ChiTietKQKD[[#This Row],[Mã CP]],Sheet4!$B$2:$B$1605,0),_xlfn.XMATCH("*Tăng trưởng lợi nhuận sau thuế (YoY) (6M)*",Sheet4!$1:$1,2)),"")</f>
        <v>0.19109999999999999</v>
      </c>
      <c r="Q1373" s="10" cm="1">
        <f t="array" ref="Q1373">IFERROR(INDEX(Sheet4!$2:$1605,MATCH(ChiTietKQKD[[#This Row],[Mã CP]],Sheet4!$B$2:$B$1605,0),_xlfn.XMATCH("*Tăng trưởng doanh thu thuần (QoQ)*",Sheet4!$1:$1,2)),"")</f>
        <v>-0.35880000000000001</v>
      </c>
      <c r="R1373" s="10" cm="1">
        <f t="array" ref="R1373">IFERROR(INDEX(Sheet4!$2:$1605,MATCH(ChiTietKQKD[[#This Row],[Mã CP]],Sheet4!$B$2:$B$1605,0),_xlfn.XMATCH("*Tăng trưởng lợi nhuận sau thuế (QoQ)*",Sheet4!$1:$1,2)),"")</f>
        <v>-1.4448000000000001</v>
      </c>
    </row>
    <row r="1374" spans="1:18" x14ac:dyDescent="0.25">
      <c r="A1374" s="7">
        <f>Sheet4!A1353</f>
        <v>1352</v>
      </c>
      <c r="B1374" t="str">
        <f>Sheet4!B1353</f>
        <v>SD4</v>
      </c>
      <c r="C1374" t="str">
        <f>Sheet4!C1352</f>
        <v>Sông Đà 3</v>
      </c>
      <c r="D1374" t="str">
        <f>Sheet4!D1353</f>
        <v>UPCoM</v>
      </c>
      <c r="E1374" s="7">
        <f>Sheet4!AH1353/1000000000</f>
        <v>19.57</v>
      </c>
      <c r="F1374" t="str">
        <f>Sheet4!E1353</f>
        <v>Công nghiệp</v>
      </c>
      <c r="G1374" t="str">
        <f>Sheet4!F1353</f>
        <v>Xây dựng và Vật liệu</v>
      </c>
      <c r="H1374" t="str">
        <f>Sheet4!G1353</f>
        <v>Xây dựng</v>
      </c>
      <c r="I1374" s="9" t="str" cm="1">
        <f t="array" ref="I137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74" s="9" t="str" cm="1">
        <f t="array" ref="J137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74" s="10" cm="1">
        <f t="array" ref="K137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74" s="10" cm="1">
        <f t="array" ref="L137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74" s="9" t="str" cm="1">
        <f t="array" ref="M137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74" s="9" t="str" cm="1">
        <f t="array" ref="N137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74" s="10" cm="1">
        <f t="array" ref="O1374">IFERROR(INDEX(Sheet4!$2:$1605,MATCH(ChiTietKQKD[[#This Row],[Mã CP]],Sheet4!$B$2:$B$1605,0),_xlfn.XMATCH("*Tăng trưởng lợi nhuận sau thuế (YoY) (Quý*",Sheet4!$1:$1,2)),"")</f>
        <v>0</v>
      </c>
      <c r="P1374" s="10" cm="1">
        <f t="array" ref="P1374">IFERROR(INDEX(Sheet4!$2:$1605,MATCH(ChiTietKQKD[[#This Row],[Mã CP]],Sheet4!$B$2:$B$1605,0),_xlfn.XMATCH("*Tăng trưởng lợi nhuận sau thuế (YoY) (6M)*",Sheet4!$1:$1,2)),"")</f>
        <v>0</v>
      </c>
      <c r="Q1374" s="10" cm="1">
        <f t="array" ref="Q1374">IFERROR(INDEX(Sheet4!$2:$1605,MATCH(ChiTietKQKD[[#This Row],[Mã CP]],Sheet4!$B$2:$B$1605,0),_xlfn.XMATCH("*Tăng trưởng doanh thu thuần (QoQ)*",Sheet4!$1:$1,2)),"")</f>
        <v>0</v>
      </c>
      <c r="R1374" s="10" cm="1">
        <f t="array" ref="R1374">IFERROR(INDEX(Sheet4!$2:$1605,MATCH(ChiTietKQKD[[#This Row],[Mã CP]],Sheet4!$B$2:$B$1605,0),_xlfn.XMATCH("*Tăng trưởng lợi nhuận sau thuế (QoQ)*",Sheet4!$1:$1,2)),"")</f>
        <v>0</v>
      </c>
    </row>
    <row r="1375" spans="1:18" x14ac:dyDescent="0.25">
      <c r="A1375" s="7">
        <f>Sheet4!A1354</f>
        <v>1353</v>
      </c>
      <c r="B1375" t="str">
        <f>Sheet4!B1354</f>
        <v>SD6</v>
      </c>
      <c r="C1375" t="str">
        <f>Sheet4!C1353</f>
        <v>Sông Đà 4</v>
      </c>
      <c r="D1375" t="str">
        <f>Sheet4!D1354</f>
        <v>UPCoM</v>
      </c>
      <c r="E1375" s="7">
        <f>Sheet4!AH1354/1000000000</f>
        <v>69.543222</v>
      </c>
      <c r="F1375" t="str">
        <f>Sheet4!E1354</f>
        <v>Công nghiệp</v>
      </c>
      <c r="G1375" t="str">
        <f>Sheet4!F1354</f>
        <v>Xây dựng và Vật liệu</v>
      </c>
      <c r="H1375" t="str">
        <f>Sheet4!G1354</f>
        <v>Xây dựng</v>
      </c>
      <c r="I1375" s="9" cm="1">
        <f t="array" ref="I137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48.367321509</v>
      </c>
      <c r="J1375" s="9" cm="1">
        <f t="array" ref="J137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69.147913991999999</v>
      </c>
      <c r="K1375" s="10" cm="1">
        <f t="array" ref="K137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11.174899999999999</v>
      </c>
      <c r="L1375" s="10" cm="1">
        <f t="array" ref="L137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1.8416999999999999</v>
      </c>
      <c r="M1375" s="9" cm="1">
        <f t="array" ref="M1375">_xlfn.LET(_xlpm.val,IFERROR(INDEX(Sheet4!$2:$1605,MATCH(ChiTietKQKD[[#This Row],[Mã CP]],Sheet4!$B$2:$B$1605,0),_xlfn.XMATCH("*Lợi nhuận sau thuế*Q2*2026*",Sheet4!$1:$1,2)),0),IF(OR(_xlpm.val="",_xlpm.val=0),"",_xlpm.val/1000000000))</f>
        <v>2.8625215370000001</v>
      </c>
      <c r="N1375" s="9" cm="1">
        <f t="array" ref="N1375">_xlfn.LET(_xlpm.val,IFERROR(INDEX(Sheet4!$2:$1605,MATCH(ChiTietKQKD[[#This Row],[Mã CP]],Sheet4!$B$2:$B$1605,0),_xlfn.XMATCH("*Lợi nhuận sau thuế*6 tháng*2026*",Sheet4!$1:$1,2)),0),IF(OR(_xlpm.val="",_xlpm.val=0),"",_xlpm.val/1000000000))</f>
        <v>2.9308420069999999</v>
      </c>
      <c r="O1375" s="10" cm="1">
        <f t="array" ref="O1375">IFERROR(INDEX(Sheet4!$2:$1605,MATCH(ChiTietKQKD[[#This Row],[Mã CP]],Sheet4!$B$2:$B$1605,0),_xlfn.XMATCH("*Tăng trưởng lợi nhuận sau thuế (YoY) (Quý*",Sheet4!$1:$1,2)),"")</f>
        <v>1.5005999999999999</v>
      </c>
      <c r="P1375" s="10" cm="1">
        <f t="array" ref="P1375">IFERROR(INDEX(Sheet4!$2:$1605,MATCH(ChiTietKQKD[[#This Row],[Mã CP]],Sheet4!$B$2:$B$1605,0),_xlfn.XMATCH("*Tăng trưởng lợi nhuận sau thuế (YoY) (6M)*",Sheet4!$1:$1,2)),"")</f>
        <v>1.0640000000000001</v>
      </c>
      <c r="Q1375" s="10" cm="1">
        <f t="array" ref="Q1375">IFERROR(INDEX(Sheet4!$2:$1605,MATCH(ChiTietKQKD[[#This Row],[Mã CP]],Sheet4!$B$2:$B$1605,0),_xlfn.XMATCH("*Tăng trưởng doanh thu thuần (QoQ)*",Sheet4!$1:$1,2)),"")</f>
        <v>1.3274999999999999</v>
      </c>
      <c r="R1375" s="10" cm="1">
        <f t="array" ref="R1375">IFERROR(INDEX(Sheet4!$2:$1605,MATCH(ChiTietKQKD[[#This Row],[Mã CP]],Sheet4!$B$2:$B$1605,0),_xlfn.XMATCH("*Tăng trưởng lợi nhuận sau thuế (QoQ)*",Sheet4!$1:$1,2)),"")</f>
        <v>40.898400000000002</v>
      </c>
    </row>
    <row r="1376" spans="1:18" x14ac:dyDescent="0.25">
      <c r="A1376" s="7">
        <f>Sheet4!A1355</f>
        <v>1354</v>
      </c>
      <c r="B1376" t="str">
        <f>Sheet4!B1355</f>
        <v>SD7</v>
      </c>
      <c r="C1376" t="str">
        <f>Sheet4!C1354</f>
        <v>Sông Đà 6</v>
      </c>
      <c r="D1376" t="str">
        <f>Sheet4!D1355</f>
        <v>UPCoM</v>
      </c>
      <c r="E1376" s="7">
        <f>Sheet4!AH1355/1000000000</f>
        <v>27.56</v>
      </c>
      <c r="F1376" t="str">
        <f>Sheet4!E1355</f>
        <v>Công nghiệp</v>
      </c>
      <c r="G1376" t="str">
        <f>Sheet4!F1355</f>
        <v>Xây dựng và Vật liệu</v>
      </c>
      <c r="H1376" t="str">
        <f>Sheet4!G1355</f>
        <v>Xây dựng</v>
      </c>
      <c r="I1376" s="9" t="str" cm="1">
        <f t="array" ref="I137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76" s="9" t="str" cm="1">
        <f t="array" ref="J137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76" s="10" cm="1">
        <f t="array" ref="K137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76" s="10" cm="1">
        <f t="array" ref="L137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76" s="9" t="str" cm="1">
        <f t="array" ref="M137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76" s="9" t="str" cm="1">
        <f t="array" ref="N137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76" s="10" cm="1">
        <f t="array" ref="O1376">IFERROR(INDEX(Sheet4!$2:$1605,MATCH(ChiTietKQKD[[#This Row],[Mã CP]],Sheet4!$B$2:$B$1605,0),_xlfn.XMATCH("*Tăng trưởng lợi nhuận sau thuế (YoY) (Quý*",Sheet4!$1:$1,2)),"")</f>
        <v>0</v>
      </c>
      <c r="P1376" s="10" cm="1">
        <f t="array" ref="P1376">IFERROR(INDEX(Sheet4!$2:$1605,MATCH(ChiTietKQKD[[#This Row],[Mã CP]],Sheet4!$B$2:$B$1605,0),_xlfn.XMATCH("*Tăng trưởng lợi nhuận sau thuế (YoY) (6M)*",Sheet4!$1:$1,2)),"")</f>
        <v>0</v>
      </c>
      <c r="Q1376" s="10" cm="1">
        <f t="array" ref="Q1376">IFERROR(INDEX(Sheet4!$2:$1605,MATCH(ChiTietKQKD[[#This Row],[Mã CP]],Sheet4!$B$2:$B$1605,0),_xlfn.XMATCH("*Tăng trưởng doanh thu thuần (QoQ)*",Sheet4!$1:$1,2)),"")</f>
        <v>0</v>
      </c>
      <c r="R1376" s="10" cm="1">
        <f t="array" ref="R1376">IFERROR(INDEX(Sheet4!$2:$1605,MATCH(ChiTietKQKD[[#This Row],[Mã CP]],Sheet4!$B$2:$B$1605,0),_xlfn.XMATCH("*Tăng trưởng lợi nhuận sau thuế (QoQ)*",Sheet4!$1:$1,2)),"")</f>
        <v>0</v>
      </c>
    </row>
    <row r="1377" spans="1:18" x14ac:dyDescent="0.25">
      <c r="A1377" s="7">
        <f>Sheet4!A1356</f>
        <v>1355</v>
      </c>
      <c r="B1377" t="str">
        <f>Sheet4!B1356</f>
        <v>SD8</v>
      </c>
      <c r="C1377" t="str">
        <f>Sheet4!C1355</f>
        <v>Sông Đà 7</v>
      </c>
      <c r="D1377" t="str">
        <f>Sheet4!D1356</f>
        <v>UPCoM</v>
      </c>
      <c r="E1377" s="7">
        <f>Sheet4!AH1356/1000000000</f>
        <v>4.2</v>
      </c>
      <c r="F1377" t="str">
        <f>Sheet4!E1356</f>
        <v>Công nghiệp</v>
      </c>
      <c r="G1377" t="str">
        <f>Sheet4!F1356</f>
        <v>Xây dựng và Vật liệu</v>
      </c>
      <c r="H1377" t="str">
        <f>Sheet4!G1356</f>
        <v>Xây dựng</v>
      </c>
      <c r="I1377" s="9" t="str" cm="1">
        <f t="array" ref="I137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77" s="9" t="str" cm="1">
        <f t="array" ref="J137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77" s="10" cm="1">
        <f t="array" ref="K137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77" s="10" cm="1">
        <f t="array" ref="L137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77" s="9" t="str" cm="1">
        <f t="array" ref="M137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77" s="9" t="str" cm="1">
        <f t="array" ref="N137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77" s="10" cm="1">
        <f t="array" ref="O1377">IFERROR(INDEX(Sheet4!$2:$1605,MATCH(ChiTietKQKD[[#This Row],[Mã CP]],Sheet4!$B$2:$B$1605,0),_xlfn.XMATCH("*Tăng trưởng lợi nhuận sau thuế (YoY) (Quý*",Sheet4!$1:$1,2)),"")</f>
        <v>0</v>
      </c>
      <c r="P1377" s="10" cm="1">
        <f t="array" ref="P1377">IFERROR(INDEX(Sheet4!$2:$1605,MATCH(ChiTietKQKD[[#This Row],[Mã CP]],Sheet4!$B$2:$B$1605,0),_xlfn.XMATCH("*Tăng trưởng lợi nhuận sau thuế (YoY) (6M)*",Sheet4!$1:$1,2)),"")</f>
        <v>0</v>
      </c>
      <c r="Q1377" s="10" cm="1">
        <f t="array" ref="Q1377">IFERROR(INDEX(Sheet4!$2:$1605,MATCH(ChiTietKQKD[[#This Row],[Mã CP]],Sheet4!$B$2:$B$1605,0),_xlfn.XMATCH("*Tăng trưởng doanh thu thuần (QoQ)*",Sheet4!$1:$1,2)),"")</f>
        <v>0</v>
      </c>
      <c r="R1377" s="10" cm="1">
        <f t="array" ref="R1377">IFERROR(INDEX(Sheet4!$2:$1605,MATCH(ChiTietKQKD[[#This Row],[Mã CP]],Sheet4!$B$2:$B$1605,0),_xlfn.XMATCH("*Tăng trưởng lợi nhuận sau thuế (QoQ)*",Sheet4!$1:$1,2)),"")</f>
        <v>0</v>
      </c>
    </row>
    <row r="1378" spans="1:18" x14ac:dyDescent="0.25">
      <c r="A1378" s="7">
        <f>Sheet4!A1357</f>
        <v>1356</v>
      </c>
      <c r="B1378" t="str">
        <f>Sheet4!B1357</f>
        <v>SDA</v>
      </c>
      <c r="C1378" t="str">
        <f>Sheet4!C1356</f>
        <v>Sông Đà 8</v>
      </c>
      <c r="D1378" t="str">
        <f>Sheet4!D1357</f>
        <v>UPCoM</v>
      </c>
      <c r="E1378" s="7">
        <f>Sheet4!AH1357/1000000000</f>
        <v>49.11002526</v>
      </c>
      <c r="F1378" t="str">
        <f>Sheet4!E1357</f>
        <v>Công nghiệp</v>
      </c>
      <c r="G1378" t="str">
        <f>Sheet4!F1357</f>
        <v>Hàng &amp; Dịch vụ Công nghiệp</v>
      </c>
      <c r="H1378" t="str">
        <f>Sheet4!G1357</f>
        <v>Đào tạo &amp; Việc làm</v>
      </c>
      <c r="I1378" s="9" t="str" cm="1">
        <f t="array" ref="I137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78" s="9" t="str" cm="1">
        <f t="array" ref="J137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78" s="10" cm="1">
        <f t="array" ref="K137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78" s="10" cm="1">
        <f t="array" ref="L137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78" s="9" t="str" cm="1">
        <f t="array" ref="M137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78" s="9" t="str" cm="1">
        <f t="array" ref="N137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78" s="10" cm="1">
        <f t="array" ref="O1378">IFERROR(INDEX(Sheet4!$2:$1605,MATCH(ChiTietKQKD[[#This Row],[Mã CP]],Sheet4!$B$2:$B$1605,0),_xlfn.XMATCH("*Tăng trưởng lợi nhuận sau thuế (YoY) (Quý*",Sheet4!$1:$1,2)),"")</f>
        <v>0</v>
      </c>
      <c r="P1378" s="10" cm="1">
        <f t="array" ref="P1378">IFERROR(INDEX(Sheet4!$2:$1605,MATCH(ChiTietKQKD[[#This Row],[Mã CP]],Sheet4!$B$2:$B$1605,0),_xlfn.XMATCH("*Tăng trưởng lợi nhuận sau thuế (YoY) (6M)*",Sheet4!$1:$1,2)),"")</f>
        <v>0</v>
      </c>
      <c r="Q1378" s="10" cm="1">
        <f t="array" ref="Q1378">IFERROR(INDEX(Sheet4!$2:$1605,MATCH(ChiTietKQKD[[#This Row],[Mã CP]],Sheet4!$B$2:$B$1605,0),_xlfn.XMATCH("*Tăng trưởng doanh thu thuần (QoQ)*",Sheet4!$1:$1,2)),"")</f>
        <v>0</v>
      </c>
      <c r="R1378" s="10" cm="1">
        <f t="array" ref="R1378">IFERROR(INDEX(Sheet4!$2:$1605,MATCH(ChiTietKQKD[[#This Row],[Mã CP]],Sheet4!$B$2:$B$1605,0),_xlfn.XMATCH("*Tăng trưởng lợi nhuận sau thuế (QoQ)*",Sheet4!$1:$1,2)),"")</f>
        <v>0</v>
      </c>
    </row>
    <row r="1379" spans="1:18" x14ac:dyDescent="0.25">
      <c r="A1379" s="7">
        <f>Sheet4!A1358</f>
        <v>1357</v>
      </c>
      <c r="B1379" t="str">
        <f>Sheet4!B1358</f>
        <v>SDD</v>
      </c>
      <c r="C1379" t="str">
        <f>Sheet4!C1357</f>
        <v>XKLĐ Sông Đà</v>
      </c>
      <c r="D1379" t="str">
        <f>Sheet4!D1358</f>
        <v>UPCoM</v>
      </c>
      <c r="E1379" s="7">
        <f>Sheet4!AH1358/1000000000</f>
        <v>20.809534200000002</v>
      </c>
      <c r="F1379" t="str">
        <f>Sheet4!E1358</f>
        <v>Công nghiệp</v>
      </c>
      <c r="G1379" t="str">
        <f>Sheet4!F1358</f>
        <v>Xây dựng và Vật liệu</v>
      </c>
      <c r="H1379" t="str">
        <f>Sheet4!G1358</f>
        <v>Xây dựng</v>
      </c>
      <c r="I1379" s="9" cm="1">
        <f t="array" ref="I137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3.022733465</v>
      </c>
      <c r="J1379" s="9" t="str" cm="1">
        <f t="array" ref="J137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79" s="10" cm="1">
        <f t="array" ref="K137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0.42030000000000001</v>
      </c>
      <c r="L1379" s="10" cm="1">
        <f t="array" ref="L137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0.40010000000000001</v>
      </c>
      <c r="M1379" s="9" cm="1">
        <f t="array" ref="M1379">_xlfn.LET(_xlpm.val,IFERROR(INDEX(Sheet4!$2:$1605,MATCH(ChiTietKQKD[[#This Row],[Mã CP]],Sheet4!$B$2:$B$1605,0),_xlfn.XMATCH("*Lợi nhuận sau thuế*Q2*2026*",Sheet4!$1:$1,2)),0),IF(OR(_xlpm.val="",_xlpm.val=0),"",_xlpm.val/1000000000))</f>
        <v>-2.4087203009999998</v>
      </c>
      <c r="N1379" s="9" t="str" cm="1">
        <f t="array" ref="N137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79" s="10" cm="1">
        <f t="array" ref="O1379">IFERROR(INDEX(Sheet4!$2:$1605,MATCH(ChiTietKQKD[[#This Row],[Mã CP]],Sheet4!$B$2:$B$1605,0),_xlfn.XMATCH("*Tăng trưởng lợi nhuận sau thuế (YoY) (Quý*",Sheet4!$1:$1,2)),"")</f>
        <v>-3.5000000000000001E-3</v>
      </c>
      <c r="P1379" s="10" cm="1">
        <f t="array" ref="P1379">IFERROR(INDEX(Sheet4!$2:$1605,MATCH(ChiTietKQKD[[#This Row],[Mã CP]],Sheet4!$B$2:$B$1605,0),_xlfn.XMATCH("*Tăng trưởng lợi nhuận sau thuế (YoY) (6M)*",Sheet4!$1:$1,2)),"")</f>
        <v>7.1099999999999997E-2</v>
      </c>
      <c r="Q1379" s="10" cm="1">
        <f t="array" ref="Q1379">IFERROR(INDEX(Sheet4!$2:$1605,MATCH(ChiTietKQKD[[#This Row],[Mã CP]],Sheet4!$B$2:$B$1605,0),_xlfn.XMATCH("*Tăng trưởng doanh thu thuần (QoQ)*",Sheet4!$1:$1,2)),"")</f>
        <v>1.0051000000000001</v>
      </c>
      <c r="R1379" s="10" cm="1">
        <f t="array" ref="R1379">IFERROR(INDEX(Sheet4!$2:$1605,MATCH(ChiTietKQKD[[#This Row],[Mã CP]],Sheet4!$B$2:$B$1605,0),_xlfn.XMATCH("*Tăng trưởng lợi nhuận sau thuế (QoQ)*",Sheet4!$1:$1,2)),"")</f>
        <v>0.33639999999999998</v>
      </c>
    </row>
    <row r="1380" spans="1:18" x14ac:dyDescent="0.25">
      <c r="A1380" s="7">
        <f>Sheet4!A1359</f>
        <v>1358</v>
      </c>
      <c r="B1380" t="str">
        <f>Sheet4!B1359</f>
        <v>SDK</v>
      </c>
      <c r="C1380" t="str">
        <f>Sheet4!C1358</f>
        <v>Xây lắp Sông Đà</v>
      </c>
      <c r="D1380" t="str">
        <f>Sheet4!D1359</f>
        <v>UPCoM</v>
      </c>
      <c r="E1380" s="7">
        <f>Sheet4!AH1359/1000000000</f>
        <v>29.015888400000001</v>
      </c>
      <c r="F1380" t="str">
        <f>Sheet4!E1359</f>
        <v>Công nghiệp</v>
      </c>
      <c r="G1380" t="str">
        <f>Sheet4!F1359</f>
        <v>Hàng &amp; Dịch vụ Công nghiệp</v>
      </c>
      <c r="H1380" t="str">
        <f>Sheet4!G1359</f>
        <v>Máy công nghiệp</v>
      </c>
      <c r="I1380" s="9" t="str" cm="1">
        <f t="array" ref="I138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80" s="9" t="str" cm="1">
        <f t="array" ref="J138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80" s="10" cm="1">
        <f t="array" ref="K138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80" s="10" cm="1">
        <f t="array" ref="L138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80" s="9" t="str" cm="1">
        <f t="array" ref="M138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80" s="9" t="str" cm="1">
        <f t="array" ref="N138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80" s="10" cm="1">
        <f t="array" ref="O1380">IFERROR(INDEX(Sheet4!$2:$1605,MATCH(ChiTietKQKD[[#This Row],[Mã CP]],Sheet4!$B$2:$B$1605,0),_xlfn.XMATCH("*Tăng trưởng lợi nhuận sau thuế (YoY) (Quý*",Sheet4!$1:$1,2)),"")</f>
        <v>0</v>
      </c>
      <c r="P1380" s="10" cm="1">
        <f t="array" ref="P1380">IFERROR(INDEX(Sheet4!$2:$1605,MATCH(ChiTietKQKD[[#This Row],[Mã CP]],Sheet4!$B$2:$B$1605,0),_xlfn.XMATCH("*Tăng trưởng lợi nhuận sau thuế (YoY) (6M)*",Sheet4!$1:$1,2)),"")</f>
        <v>0</v>
      </c>
      <c r="Q1380" s="10" cm="1">
        <f t="array" ref="Q1380">IFERROR(INDEX(Sheet4!$2:$1605,MATCH(ChiTietKQKD[[#This Row],[Mã CP]],Sheet4!$B$2:$B$1605,0),_xlfn.XMATCH("*Tăng trưởng doanh thu thuần (QoQ)*",Sheet4!$1:$1,2)),"")</f>
        <v>0</v>
      </c>
      <c r="R1380" s="10" cm="1">
        <f t="array" ref="R1380">IFERROR(INDEX(Sheet4!$2:$1605,MATCH(ChiTietKQKD[[#This Row],[Mã CP]],Sheet4!$B$2:$B$1605,0),_xlfn.XMATCH("*Tăng trưởng lợi nhuận sau thuế (QoQ)*",Sheet4!$1:$1,2)),"")</f>
        <v>0</v>
      </c>
    </row>
    <row r="1381" spans="1:18" x14ac:dyDescent="0.25">
      <c r="A1381" s="7">
        <f>Sheet4!A1360</f>
        <v>1359</v>
      </c>
      <c r="B1381" t="str">
        <f>Sheet4!B1360</f>
        <v>SDP</v>
      </c>
      <c r="C1381" t="str">
        <f>Sheet4!C1359</f>
        <v>Cơ khí Luyện Kim</v>
      </c>
      <c r="D1381" t="str">
        <f>Sheet4!D1360</f>
        <v>UPCoM</v>
      </c>
      <c r="E1381" s="7">
        <f>Sheet4!AH1360/1000000000</f>
        <v>8.8915775999999997</v>
      </c>
      <c r="F1381" t="str">
        <f>Sheet4!E1360</f>
        <v>Công nghiệp</v>
      </c>
      <c r="G1381" t="str">
        <f>Sheet4!F1360</f>
        <v>Xây dựng và Vật liệu</v>
      </c>
      <c r="H1381" t="str">
        <f>Sheet4!G1360</f>
        <v>Xây dựng</v>
      </c>
      <c r="I1381" s="9" t="str" cm="1">
        <f t="array" ref="I138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81" s="9" t="str" cm="1">
        <f t="array" ref="J138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81" s="10" cm="1">
        <f t="array" ref="K138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81" s="10" cm="1">
        <f t="array" ref="L138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81" s="9" t="str" cm="1">
        <f t="array" ref="M138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81" s="9" t="str" cm="1">
        <f t="array" ref="N138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81" s="10" cm="1">
        <f t="array" ref="O1381">IFERROR(INDEX(Sheet4!$2:$1605,MATCH(ChiTietKQKD[[#This Row],[Mã CP]],Sheet4!$B$2:$B$1605,0),_xlfn.XMATCH("*Tăng trưởng lợi nhuận sau thuế (YoY) (Quý*",Sheet4!$1:$1,2)),"")</f>
        <v>0</v>
      </c>
      <c r="P1381" s="10" cm="1">
        <f t="array" ref="P1381">IFERROR(INDEX(Sheet4!$2:$1605,MATCH(ChiTietKQKD[[#This Row],[Mã CP]],Sheet4!$B$2:$B$1605,0),_xlfn.XMATCH("*Tăng trưởng lợi nhuận sau thuế (YoY) (6M)*",Sheet4!$1:$1,2)),"")</f>
        <v>0</v>
      </c>
      <c r="Q1381" s="10" cm="1">
        <f t="array" ref="Q1381">IFERROR(INDEX(Sheet4!$2:$1605,MATCH(ChiTietKQKD[[#This Row],[Mã CP]],Sheet4!$B$2:$B$1605,0),_xlfn.XMATCH("*Tăng trưởng doanh thu thuần (QoQ)*",Sheet4!$1:$1,2)),"")</f>
        <v>0</v>
      </c>
      <c r="R1381" s="10" cm="1">
        <f t="array" ref="R1381">IFERROR(INDEX(Sheet4!$2:$1605,MATCH(ChiTietKQKD[[#This Row],[Mã CP]],Sheet4!$B$2:$B$1605,0),_xlfn.XMATCH("*Tăng trưởng lợi nhuận sau thuế (QoQ)*",Sheet4!$1:$1,2)),"")</f>
        <v>0</v>
      </c>
    </row>
    <row r="1382" spans="1:18" x14ac:dyDescent="0.25">
      <c r="A1382" s="7">
        <f>Sheet4!A1361</f>
        <v>1360</v>
      </c>
      <c r="B1382" t="str">
        <f>Sheet4!B1361</f>
        <v>SDT</v>
      </c>
      <c r="C1382" t="str">
        <f>Sheet4!C1360</f>
        <v>Công ty Cổ phần SDP</v>
      </c>
      <c r="D1382" t="str">
        <f>Sheet4!D1361</f>
        <v>UPCoM</v>
      </c>
      <c r="E1382" s="7">
        <f>Sheet4!AH1361/1000000000</f>
        <v>191.184359414</v>
      </c>
      <c r="F1382" t="str">
        <f>Sheet4!E1361</f>
        <v>Công nghiệp</v>
      </c>
      <c r="G1382" t="str">
        <f>Sheet4!F1361</f>
        <v>Xây dựng và Vật liệu</v>
      </c>
      <c r="H1382" t="str">
        <f>Sheet4!G1361</f>
        <v>Xây dựng</v>
      </c>
      <c r="I1382" s="9" t="str" cm="1">
        <f t="array" ref="I138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82" s="9" t="str" cm="1">
        <f t="array" ref="J138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82" s="10" cm="1">
        <f t="array" ref="K138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82" s="10" cm="1">
        <f t="array" ref="L138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82" s="9" t="str" cm="1">
        <f t="array" ref="M138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82" s="9" t="str" cm="1">
        <f t="array" ref="N138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82" s="10" cm="1">
        <f t="array" ref="O1382">IFERROR(INDEX(Sheet4!$2:$1605,MATCH(ChiTietKQKD[[#This Row],[Mã CP]],Sheet4!$B$2:$B$1605,0),_xlfn.XMATCH("*Tăng trưởng lợi nhuận sau thuế (YoY) (Quý*",Sheet4!$1:$1,2)),"")</f>
        <v>0</v>
      </c>
      <c r="P1382" s="10" cm="1">
        <f t="array" ref="P1382">IFERROR(INDEX(Sheet4!$2:$1605,MATCH(ChiTietKQKD[[#This Row],[Mã CP]],Sheet4!$B$2:$B$1605,0),_xlfn.XMATCH("*Tăng trưởng lợi nhuận sau thuế (YoY) (6M)*",Sheet4!$1:$1,2)),"")</f>
        <v>0</v>
      </c>
      <c r="Q1382" s="10" cm="1">
        <f t="array" ref="Q1382">IFERROR(INDEX(Sheet4!$2:$1605,MATCH(ChiTietKQKD[[#This Row],[Mã CP]],Sheet4!$B$2:$B$1605,0),_xlfn.XMATCH("*Tăng trưởng doanh thu thuần (QoQ)*",Sheet4!$1:$1,2)),"")</f>
        <v>0</v>
      </c>
      <c r="R1382" s="10" cm="1">
        <f t="array" ref="R1382">IFERROR(INDEX(Sheet4!$2:$1605,MATCH(ChiTietKQKD[[#This Row],[Mã CP]],Sheet4!$B$2:$B$1605,0),_xlfn.XMATCH("*Tăng trưởng lợi nhuận sau thuế (QoQ)*",Sheet4!$1:$1,2)),"")</f>
        <v>0</v>
      </c>
    </row>
    <row r="1383" spans="1:18" x14ac:dyDescent="0.25">
      <c r="A1383" s="7">
        <f>Sheet4!A1362</f>
        <v>1361</v>
      </c>
      <c r="B1383" t="str">
        <f>Sheet4!B1362</f>
        <v>SDV</v>
      </c>
      <c r="C1383" t="str">
        <f>Sheet4!C1361</f>
        <v>Sông Đà 10</v>
      </c>
      <c r="D1383" t="str">
        <f>Sheet4!D1362</f>
        <v>UPCoM</v>
      </c>
      <c r="E1383" s="7">
        <f>Sheet4!AH1362/1000000000</f>
        <v>329</v>
      </c>
      <c r="F1383" t="str">
        <f>Sheet4!E1362</f>
        <v>Công nghiệp</v>
      </c>
      <c r="G1383" t="str">
        <f>Sheet4!F1362</f>
        <v>Hàng &amp; Dịch vụ Công nghiệp</v>
      </c>
      <c r="H1383" t="str">
        <f>Sheet4!G1362</f>
        <v>Chất thải &amp; Môi trường</v>
      </c>
      <c r="I1383" s="9" t="str" cm="1">
        <f t="array" ref="I138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83" s="9" t="str" cm="1">
        <f t="array" ref="J138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83" s="10" cm="1">
        <f t="array" ref="K138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83" s="10" cm="1">
        <f t="array" ref="L138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83" s="9" t="str" cm="1">
        <f t="array" ref="M138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83" s="9" t="str" cm="1">
        <f t="array" ref="N138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83" s="10" cm="1">
        <f t="array" ref="O1383">IFERROR(INDEX(Sheet4!$2:$1605,MATCH(ChiTietKQKD[[#This Row],[Mã CP]],Sheet4!$B$2:$B$1605,0),_xlfn.XMATCH("*Tăng trưởng lợi nhuận sau thuế (YoY) (Quý*",Sheet4!$1:$1,2)),"")</f>
        <v>0</v>
      </c>
      <c r="P1383" s="10" cm="1">
        <f t="array" ref="P1383">IFERROR(INDEX(Sheet4!$2:$1605,MATCH(ChiTietKQKD[[#This Row],[Mã CP]],Sheet4!$B$2:$B$1605,0),_xlfn.XMATCH("*Tăng trưởng lợi nhuận sau thuế (YoY) (6M)*",Sheet4!$1:$1,2)),"")</f>
        <v>0</v>
      </c>
      <c r="Q1383" s="10" cm="1">
        <f t="array" ref="Q1383">IFERROR(INDEX(Sheet4!$2:$1605,MATCH(ChiTietKQKD[[#This Row],[Mã CP]],Sheet4!$B$2:$B$1605,0),_xlfn.XMATCH("*Tăng trưởng doanh thu thuần (QoQ)*",Sheet4!$1:$1,2)),"")</f>
        <v>0</v>
      </c>
      <c r="R1383" s="10" cm="1">
        <f t="array" ref="R1383">IFERROR(INDEX(Sheet4!$2:$1605,MATCH(ChiTietKQKD[[#This Row],[Mã CP]],Sheet4!$B$2:$B$1605,0),_xlfn.XMATCH("*Tăng trưởng lợi nhuận sau thuế (QoQ)*",Sheet4!$1:$1,2)),"")</f>
        <v>0</v>
      </c>
    </row>
    <row r="1384" spans="1:18" x14ac:dyDescent="0.25">
      <c r="A1384" s="7">
        <f>Sheet4!A1363</f>
        <v>1362</v>
      </c>
      <c r="B1384" t="str">
        <f>Sheet4!B1363</f>
        <v>SDY</v>
      </c>
      <c r="C1384" t="str">
        <f>Sheet4!C1362</f>
        <v>Dịch vụ Sonadezi</v>
      </c>
      <c r="D1384" t="str">
        <f>Sheet4!D1363</f>
        <v>UPCoM</v>
      </c>
      <c r="E1384" s="7">
        <f>Sheet4!AH1363/1000000000</f>
        <v>3.6</v>
      </c>
      <c r="F1384" t="str">
        <f>Sheet4!E1363</f>
        <v>Công nghiệp</v>
      </c>
      <c r="G1384" t="str">
        <f>Sheet4!F1363</f>
        <v>Xây dựng và Vật liệu</v>
      </c>
      <c r="H1384" t="str">
        <f>Sheet4!G1363</f>
        <v>Vật liệu xây dựng &amp; Nội thất</v>
      </c>
      <c r="I1384" s="9" t="str" cm="1">
        <f t="array" ref="I138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84" s="9" t="str" cm="1">
        <f t="array" ref="J138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84" s="10" cm="1">
        <f t="array" ref="K138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84" s="10" cm="1">
        <f t="array" ref="L138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84" s="9" t="str" cm="1">
        <f t="array" ref="M138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84" s="9" t="str" cm="1">
        <f t="array" ref="N138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84" s="10" cm="1">
        <f t="array" ref="O1384">IFERROR(INDEX(Sheet4!$2:$1605,MATCH(ChiTietKQKD[[#This Row],[Mã CP]],Sheet4!$B$2:$B$1605,0),_xlfn.XMATCH("*Tăng trưởng lợi nhuận sau thuế (YoY) (Quý*",Sheet4!$1:$1,2)),"")</f>
        <v>0</v>
      </c>
      <c r="P1384" s="10" cm="1">
        <f t="array" ref="P1384">IFERROR(INDEX(Sheet4!$2:$1605,MATCH(ChiTietKQKD[[#This Row],[Mã CP]],Sheet4!$B$2:$B$1605,0),_xlfn.XMATCH("*Tăng trưởng lợi nhuận sau thuế (YoY) (6M)*",Sheet4!$1:$1,2)),"")</f>
        <v>0</v>
      </c>
      <c r="Q1384" s="10" cm="1">
        <f t="array" ref="Q1384">IFERROR(INDEX(Sheet4!$2:$1605,MATCH(ChiTietKQKD[[#This Row],[Mã CP]],Sheet4!$B$2:$B$1605,0),_xlfn.XMATCH("*Tăng trưởng doanh thu thuần (QoQ)*",Sheet4!$1:$1,2)),"")</f>
        <v>0</v>
      </c>
      <c r="R1384" s="10" cm="1">
        <f t="array" ref="R1384">IFERROR(INDEX(Sheet4!$2:$1605,MATCH(ChiTietKQKD[[#This Row],[Mã CP]],Sheet4!$B$2:$B$1605,0),_xlfn.XMATCH("*Tăng trưởng lợi nhuận sau thuế (QoQ)*",Sheet4!$1:$1,2)),"")</f>
        <v>0</v>
      </c>
    </row>
    <row r="1385" spans="1:18" x14ac:dyDescent="0.25">
      <c r="A1385" s="7">
        <f>Sheet4!A1364</f>
        <v>1363</v>
      </c>
      <c r="B1385" t="str">
        <f>Sheet4!B1364</f>
        <v>SEA</v>
      </c>
      <c r="C1385" t="str">
        <f>Sheet4!C1363</f>
        <v>Xi măng Sông Đà Yaly</v>
      </c>
      <c r="D1385" t="str">
        <f>Sheet4!D1364</f>
        <v>UPCoM</v>
      </c>
      <c r="E1385" s="7">
        <f>Sheet4!AH1364/1000000000</f>
        <v>6169.1561085000003</v>
      </c>
      <c r="F1385" t="str">
        <f>Sheet4!E1364</f>
        <v>Hàng Tiêu dùng</v>
      </c>
      <c r="G1385" t="str">
        <f>Sheet4!F1364</f>
        <v>Thực phẩm và đồ uống</v>
      </c>
      <c r="H1385" t="str">
        <f>Sheet4!G1364</f>
        <v>Nuôi trồng nông &amp; hải sản</v>
      </c>
      <c r="I1385" s="9" t="str" cm="1">
        <f t="array" ref="I138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85" s="9" t="str" cm="1">
        <f t="array" ref="J138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85" s="10" cm="1">
        <f t="array" ref="K138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85" s="10" cm="1">
        <f t="array" ref="L138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85" s="9" t="str" cm="1">
        <f t="array" ref="M138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85" s="9" t="str" cm="1">
        <f t="array" ref="N138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85" s="10" cm="1">
        <f t="array" ref="O1385">IFERROR(INDEX(Sheet4!$2:$1605,MATCH(ChiTietKQKD[[#This Row],[Mã CP]],Sheet4!$B$2:$B$1605,0),_xlfn.XMATCH("*Tăng trưởng lợi nhuận sau thuế (YoY) (Quý*",Sheet4!$1:$1,2)),"")</f>
        <v>0</v>
      </c>
      <c r="P1385" s="10" cm="1">
        <f t="array" ref="P1385">IFERROR(INDEX(Sheet4!$2:$1605,MATCH(ChiTietKQKD[[#This Row],[Mã CP]],Sheet4!$B$2:$B$1605,0),_xlfn.XMATCH("*Tăng trưởng lợi nhuận sau thuế (YoY) (6M)*",Sheet4!$1:$1,2)),"")</f>
        <v>0</v>
      </c>
      <c r="Q1385" s="10" cm="1">
        <f t="array" ref="Q1385">IFERROR(INDEX(Sheet4!$2:$1605,MATCH(ChiTietKQKD[[#This Row],[Mã CP]],Sheet4!$B$2:$B$1605,0),_xlfn.XMATCH("*Tăng trưởng doanh thu thuần (QoQ)*",Sheet4!$1:$1,2)),"")</f>
        <v>0</v>
      </c>
      <c r="R1385" s="10" cm="1">
        <f t="array" ref="R1385">IFERROR(INDEX(Sheet4!$2:$1605,MATCH(ChiTietKQKD[[#This Row],[Mã CP]],Sheet4!$B$2:$B$1605,0),_xlfn.XMATCH("*Tăng trưởng lợi nhuận sau thuế (QoQ)*",Sheet4!$1:$1,2)),"")</f>
        <v>0</v>
      </c>
    </row>
    <row r="1386" spans="1:18" x14ac:dyDescent="0.25">
      <c r="A1386" s="7">
        <f>Sheet4!A1365</f>
        <v>1364</v>
      </c>
      <c r="B1386" t="str">
        <f>Sheet4!B1365</f>
        <v>SEP</v>
      </c>
      <c r="C1386" t="str">
        <f>Sheet4!C1364</f>
        <v>SEAPRODEX</v>
      </c>
      <c r="D1386" t="str">
        <f>Sheet4!D1365</f>
        <v>UPCoM</v>
      </c>
      <c r="E1386" s="7">
        <f>Sheet4!AH1365/1000000000</f>
        <v>159.6</v>
      </c>
      <c r="F1386" t="str">
        <f>Sheet4!E1365</f>
        <v>Nguyên vật liệu</v>
      </c>
      <c r="G1386" t="str">
        <f>Sheet4!F1365</f>
        <v>Hóa chất</v>
      </c>
      <c r="H1386" t="str">
        <f>Sheet4!G1365</f>
        <v>Nhựa, cao su &amp; sợi</v>
      </c>
      <c r="I1386" s="9" t="str" cm="1">
        <f t="array" ref="I138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86" s="9" t="str" cm="1">
        <f t="array" ref="J138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86" s="10" cm="1">
        <f t="array" ref="K138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86" s="10" cm="1">
        <f t="array" ref="L138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86" s="9" t="str" cm="1">
        <f t="array" ref="M138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86" s="9" t="str" cm="1">
        <f t="array" ref="N138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86" s="10" cm="1">
        <f t="array" ref="O1386">IFERROR(INDEX(Sheet4!$2:$1605,MATCH(ChiTietKQKD[[#This Row],[Mã CP]],Sheet4!$B$2:$B$1605,0),_xlfn.XMATCH("*Tăng trưởng lợi nhuận sau thuế (YoY) (Quý*",Sheet4!$1:$1,2)),"")</f>
        <v>0</v>
      </c>
      <c r="P1386" s="10" cm="1">
        <f t="array" ref="P1386">IFERROR(INDEX(Sheet4!$2:$1605,MATCH(ChiTietKQKD[[#This Row],[Mã CP]],Sheet4!$B$2:$B$1605,0),_xlfn.XMATCH("*Tăng trưởng lợi nhuận sau thuế (YoY) (6M)*",Sheet4!$1:$1,2)),"")</f>
        <v>0</v>
      </c>
      <c r="Q1386" s="10" cm="1">
        <f t="array" ref="Q1386">IFERROR(INDEX(Sheet4!$2:$1605,MATCH(ChiTietKQKD[[#This Row],[Mã CP]],Sheet4!$B$2:$B$1605,0),_xlfn.XMATCH("*Tăng trưởng doanh thu thuần (QoQ)*",Sheet4!$1:$1,2)),"")</f>
        <v>0</v>
      </c>
      <c r="R1386" s="10" cm="1">
        <f t="array" ref="R1386">IFERROR(INDEX(Sheet4!$2:$1605,MATCH(ChiTietKQKD[[#This Row],[Mã CP]],Sheet4!$B$2:$B$1605,0),_xlfn.XMATCH("*Tăng trưởng lợi nhuận sau thuế (QoQ)*",Sheet4!$1:$1,2)),"")</f>
        <v>0</v>
      </c>
    </row>
    <row r="1387" spans="1:18" x14ac:dyDescent="0.25">
      <c r="A1387" s="7">
        <f>Sheet4!A1366</f>
        <v>1365</v>
      </c>
      <c r="B1387" t="str">
        <f>Sheet4!B1366</f>
        <v>SGB</v>
      </c>
      <c r="C1387" t="str">
        <f>Sheet4!C1365</f>
        <v>Thương mại Quảng Trị</v>
      </c>
      <c r="D1387" t="str">
        <f>Sheet4!D1366</f>
        <v>UPCoM</v>
      </c>
      <c r="E1387" s="7">
        <f>Sheet4!AH1366/1000000000</f>
        <v>4596.4825659480002</v>
      </c>
      <c r="F1387" t="str">
        <f>Sheet4!E1366</f>
        <v>Ngân hàng</v>
      </c>
      <c r="G1387" t="str">
        <f>Sheet4!F1366</f>
        <v>Ngân hàng</v>
      </c>
      <c r="H1387" t="str">
        <f>Sheet4!G1366</f>
        <v>Ngân hàng</v>
      </c>
      <c r="I1387" s="9" t="str" cm="1">
        <f t="array" ref="I138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87" s="9" t="str" cm="1">
        <f t="array" ref="J138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87" s="10" t="str" cm="1">
        <f t="array" ref="K138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/>
      </c>
      <c r="L1387" s="10" t="str" cm="1">
        <f t="array" ref="L138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/>
      </c>
      <c r="M1387" s="9" t="str" cm="1">
        <f t="array" ref="M138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87" s="9" t="str" cm="1">
        <f t="array" ref="N138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87" s="10" cm="1">
        <f t="array" ref="O1387">IFERROR(INDEX(Sheet4!$2:$1605,MATCH(ChiTietKQKD[[#This Row],[Mã CP]],Sheet4!$B$2:$B$1605,0),_xlfn.XMATCH("*Tăng trưởng lợi nhuận sau thuế (YoY) (Quý*",Sheet4!$1:$1,2)),"")</f>
        <v>0</v>
      </c>
      <c r="P1387" s="10" cm="1">
        <f t="array" ref="P1387">IFERROR(INDEX(Sheet4!$2:$1605,MATCH(ChiTietKQKD[[#This Row],[Mã CP]],Sheet4!$B$2:$B$1605,0),_xlfn.XMATCH("*Tăng trưởng lợi nhuận sau thuế (YoY) (6M)*",Sheet4!$1:$1,2)),"")</f>
        <v>0</v>
      </c>
      <c r="Q1387" s="10" cm="1">
        <f t="array" ref="Q1387">IFERROR(INDEX(Sheet4!$2:$1605,MATCH(ChiTietKQKD[[#This Row],[Mã CP]],Sheet4!$B$2:$B$1605,0),_xlfn.XMATCH("*Tăng trưởng doanh thu thuần (QoQ)*",Sheet4!$1:$1,2)),"")</f>
        <v>0</v>
      </c>
      <c r="R1387" s="10" cm="1">
        <f t="array" ref="R1387">IFERROR(INDEX(Sheet4!$2:$1605,MATCH(ChiTietKQKD[[#This Row],[Mã CP]],Sheet4!$B$2:$B$1605,0),_xlfn.XMATCH("*Tăng trưởng lợi nhuận sau thuế (QoQ)*",Sheet4!$1:$1,2)),"")</f>
        <v>0</v>
      </c>
    </row>
    <row r="1388" spans="1:18" x14ac:dyDescent="0.25">
      <c r="A1388" s="7">
        <f>Sheet4!A1367</f>
        <v>1366</v>
      </c>
      <c r="B1388" t="str">
        <f>Sheet4!B1367</f>
        <v>SGI</v>
      </c>
      <c r="C1388" t="str">
        <f>Sheet4!C1366</f>
        <v>Sài Gòn Công thương</v>
      </c>
      <c r="D1388" t="str">
        <f>Sheet4!D1367</f>
        <v>UPCoM</v>
      </c>
      <c r="E1388" s="7">
        <f>Sheet4!AH1367/1000000000</f>
        <v>684.16297020000002</v>
      </c>
      <c r="F1388" t="str">
        <f>Sheet4!E1367</f>
        <v>Hàng Tiêu dùng</v>
      </c>
      <c r="G1388" t="str">
        <f>Sheet4!F1367</f>
        <v>Hàng cá nhân &amp; Gia dụng</v>
      </c>
      <c r="H1388" t="str">
        <f>Sheet4!G1367</f>
        <v>Hàng May mặc</v>
      </c>
      <c r="I1388" s="9" t="str" cm="1">
        <f t="array" ref="I138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88" s="9" t="str" cm="1">
        <f t="array" ref="J138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88" s="10" cm="1">
        <f t="array" ref="K138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88" s="10" cm="1">
        <f t="array" ref="L138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88" s="9" t="str" cm="1">
        <f t="array" ref="M138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88" s="9" t="str" cm="1">
        <f t="array" ref="N138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88" s="10" cm="1">
        <f t="array" ref="O1388">IFERROR(INDEX(Sheet4!$2:$1605,MATCH(ChiTietKQKD[[#This Row],[Mã CP]],Sheet4!$B$2:$B$1605,0),_xlfn.XMATCH("*Tăng trưởng lợi nhuận sau thuế (YoY) (Quý*",Sheet4!$1:$1,2)),"")</f>
        <v>0</v>
      </c>
      <c r="P1388" s="10" cm="1">
        <f t="array" ref="P1388">IFERROR(INDEX(Sheet4!$2:$1605,MATCH(ChiTietKQKD[[#This Row],[Mã CP]],Sheet4!$B$2:$B$1605,0),_xlfn.XMATCH("*Tăng trưởng lợi nhuận sau thuế (YoY) (6M)*",Sheet4!$1:$1,2)),"")</f>
        <v>0</v>
      </c>
      <c r="Q1388" s="10" cm="1">
        <f t="array" ref="Q1388">IFERROR(INDEX(Sheet4!$2:$1605,MATCH(ChiTietKQKD[[#This Row],[Mã CP]],Sheet4!$B$2:$B$1605,0),_xlfn.XMATCH("*Tăng trưởng doanh thu thuần (QoQ)*",Sheet4!$1:$1,2)),"")</f>
        <v>0</v>
      </c>
      <c r="R1388" s="10" cm="1">
        <f t="array" ref="R1388">IFERROR(INDEX(Sheet4!$2:$1605,MATCH(ChiTietKQKD[[#This Row],[Mã CP]],Sheet4!$B$2:$B$1605,0),_xlfn.XMATCH("*Tăng trưởng lợi nhuận sau thuế (QoQ)*",Sheet4!$1:$1,2)),"")</f>
        <v>0</v>
      </c>
    </row>
    <row r="1389" spans="1:18" x14ac:dyDescent="0.25">
      <c r="A1389" s="7">
        <f>Sheet4!A1368</f>
        <v>1367</v>
      </c>
      <c r="B1389" t="str">
        <f>Sheet4!B1368</f>
        <v>SGP</v>
      </c>
      <c r="C1389" t="str">
        <f>Sheet4!C1367</f>
        <v>Đầu tư SGI Holdings</v>
      </c>
      <c r="D1389" t="str">
        <f>Sheet4!D1368</f>
        <v>UPCoM</v>
      </c>
      <c r="E1389" s="7">
        <f>Sheet4!AH1368/1000000000</f>
        <v>4296.915695226</v>
      </c>
      <c r="F1389" t="str">
        <f>Sheet4!E1368</f>
        <v>Công nghiệp</v>
      </c>
      <c r="G1389" t="str">
        <f>Sheet4!F1368</f>
        <v>Hàng &amp; Dịch vụ Công nghiệp</v>
      </c>
      <c r="H1389" t="str">
        <f>Sheet4!G1368</f>
        <v>Kho bãi, hậu cần và bảo dưỡng</v>
      </c>
      <c r="I1389" s="9" t="str" cm="1">
        <f t="array" ref="I138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89" s="9" t="str" cm="1">
        <f t="array" ref="J138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89" s="10" cm="1">
        <f t="array" ref="K138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89" s="10" cm="1">
        <f t="array" ref="L138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89" s="9" t="str" cm="1">
        <f t="array" ref="M138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89" s="9" t="str" cm="1">
        <f t="array" ref="N138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89" s="10" cm="1">
        <f t="array" ref="O1389">IFERROR(INDEX(Sheet4!$2:$1605,MATCH(ChiTietKQKD[[#This Row],[Mã CP]],Sheet4!$B$2:$B$1605,0),_xlfn.XMATCH("*Tăng trưởng lợi nhuận sau thuế (YoY) (Quý*",Sheet4!$1:$1,2)),"")</f>
        <v>0</v>
      </c>
      <c r="P1389" s="10" cm="1">
        <f t="array" ref="P1389">IFERROR(INDEX(Sheet4!$2:$1605,MATCH(ChiTietKQKD[[#This Row],[Mã CP]],Sheet4!$B$2:$B$1605,0),_xlfn.XMATCH("*Tăng trưởng lợi nhuận sau thuế (YoY) (6M)*",Sheet4!$1:$1,2)),"")</f>
        <v>0</v>
      </c>
      <c r="Q1389" s="10" cm="1">
        <f t="array" ref="Q1389">IFERROR(INDEX(Sheet4!$2:$1605,MATCH(ChiTietKQKD[[#This Row],[Mã CP]],Sheet4!$B$2:$B$1605,0),_xlfn.XMATCH("*Tăng trưởng doanh thu thuần (QoQ)*",Sheet4!$1:$1,2)),"")</f>
        <v>0</v>
      </c>
      <c r="R1389" s="10" cm="1">
        <f t="array" ref="R1389">IFERROR(INDEX(Sheet4!$2:$1605,MATCH(ChiTietKQKD[[#This Row],[Mã CP]],Sheet4!$B$2:$B$1605,0),_xlfn.XMATCH("*Tăng trưởng lợi nhuận sau thuế (QoQ)*",Sheet4!$1:$1,2)),"")</f>
        <v>0</v>
      </c>
    </row>
    <row r="1390" spans="1:18" x14ac:dyDescent="0.25">
      <c r="A1390" s="7">
        <f>Sheet4!A1369</f>
        <v>1368</v>
      </c>
      <c r="B1390" t="str">
        <f>Sheet4!B1369</f>
        <v>SGS</v>
      </c>
      <c r="C1390" t="str">
        <f>Sheet4!C1368</f>
        <v>Cảng Sài Gòn</v>
      </c>
      <c r="D1390" t="str">
        <f>Sheet4!D1369</f>
        <v>UPCoM</v>
      </c>
      <c r="E1390" s="7">
        <f>Sheet4!AH1369/1000000000</f>
        <v>194.67</v>
      </c>
      <c r="F1390" t="str">
        <f>Sheet4!E1369</f>
        <v>Công nghiệp</v>
      </c>
      <c r="G1390" t="str">
        <f>Sheet4!F1369</f>
        <v>Hàng &amp; Dịch vụ Công nghiệp</v>
      </c>
      <c r="H1390" t="str">
        <f>Sheet4!G1369</f>
        <v>Vận tải Thủy</v>
      </c>
      <c r="I1390" s="9" t="str" cm="1">
        <f t="array" ref="I139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90" s="9" t="str" cm="1">
        <f t="array" ref="J139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90" s="10" cm="1">
        <f t="array" ref="K139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90" s="10" cm="1">
        <f t="array" ref="L139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90" s="9" t="str" cm="1">
        <f t="array" ref="M139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90" s="9" t="str" cm="1">
        <f t="array" ref="N139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90" s="10" cm="1">
        <f t="array" ref="O1390">IFERROR(INDEX(Sheet4!$2:$1605,MATCH(ChiTietKQKD[[#This Row],[Mã CP]],Sheet4!$B$2:$B$1605,0),_xlfn.XMATCH("*Tăng trưởng lợi nhuận sau thuế (YoY) (Quý*",Sheet4!$1:$1,2)),"")</f>
        <v>0</v>
      </c>
      <c r="P1390" s="10" cm="1">
        <f t="array" ref="P1390">IFERROR(INDEX(Sheet4!$2:$1605,MATCH(ChiTietKQKD[[#This Row],[Mã CP]],Sheet4!$B$2:$B$1605,0),_xlfn.XMATCH("*Tăng trưởng lợi nhuận sau thuế (YoY) (6M)*",Sheet4!$1:$1,2)),"")</f>
        <v>0</v>
      </c>
      <c r="Q1390" s="10" cm="1">
        <f t="array" ref="Q1390">IFERROR(INDEX(Sheet4!$2:$1605,MATCH(ChiTietKQKD[[#This Row],[Mã CP]],Sheet4!$B$2:$B$1605,0),_xlfn.XMATCH("*Tăng trưởng doanh thu thuần (QoQ)*",Sheet4!$1:$1,2)),"")</f>
        <v>0</v>
      </c>
      <c r="R1390" s="10" cm="1">
        <f t="array" ref="R1390">IFERROR(INDEX(Sheet4!$2:$1605,MATCH(ChiTietKQKD[[#This Row],[Mã CP]],Sheet4!$B$2:$B$1605,0),_xlfn.XMATCH("*Tăng trưởng lợi nhuận sau thuế (QoQ)*",Sheet4!$1:$1,2)),"")</f>
        <v>0</v>
      </c>
    </row>
    <row r="1391" spans="1:18" x14ac:dyDescent="0.25">
      <c r="A1391" s="7">
        <f>Sheet4!A1370</f>
        <v>1369</v>
      </c>
      <c r="B1391" t="str">
        <f>Sheet4!B1370</f>
        <v>SGV</v>
      </c>
      <c r="C1391" t="str">
        <f>Sheet4!C1369</f>
        <v>Vận tải biển Sài Gòn</v>
      </c>
      <c r="D1391" t="str">
        <f>Sheet4!D1370</f>
        <v>UPCoM</v>
      </c>
      <c r="E1391" s="7">
        <f>Sheet4!AH1370/1000000000</f>
        <v>0</v>
      </c>
      <c r="F1391" t="str">
        <f>Sheet4!E1370</f>
        <v>Công nghiệp</v>
      </c>
      <c r="G1391" t="str">
        <f>Sheet4!F1370</f>
        <v>Xây dựng và Vật liệu</v>
      </c>
      <c r="H1391" t="str">
        <f>Sheet4!G1370</f>
        <v>Xây dựng</v>
      </c>
      <c r="I1391" s="9" t="str" cm="1">
        <f t="array" ref="I139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91" s="9" t="str" cm="1">
        <f t="array" ref="J139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91" s="10" cm="1">
        <f t="array" ref="K139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91" s="10" cm="1">
        <f t="array" ref="L139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91" s="9" t="str" cm="1">
        <f t="array" ref="M139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91" s="9" t="str" cm="1">
        <f t="array" ref="N139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91" s="10" cm="1">
        <f t="array" ref="O1391">IFERROR(INDEX(Sheet4!$2:$1605,MATCH(ChiTietKQKD[[#This Row],[Mã CP]],Sheet4!$B$2:$B$1605,0),_xlfn.XMATCH("*Tăng trưởng lợi nhuận sau thuế (YoY) (Quý*",Sheet4!$1:$1,2)),"")</f>
        <v>0</v>
      </c>
      <c r="P1391" s="10" cm="1">
        <f t="array" ref="P1391">IFERROR(INDEX(Sheet4!$2:$1605,MATCH(ChiTietKQKD[[#This Row],[Mã CP]],Sheet4!$B$2:$B$1605,0),_xlfn.XMATCH("*Tăng trưởng lợi nhuận sau thuế (YoY) (6M)*",Sheet4!$1:$1,2)),"")</f>
        <v>0</v>
      </c>
      <c r="Q1391" s="10" cm="1">
        <f t="array" ref="Q1391">IFERROR(INDEX(Sheet4!$2:$1605,MATCH(ChiTietKQKD[[#This Row],[Mã CP]],Sheet4!$B$2:$B$1605,0),_xlfn.XMATCH("*Tăng trưởng doanh thu thuần (QoQ)*",Sheet4!$1:$1,2)),"")</f>
        <v>0</v>
      </c>
      <c r="R1391" s="10" cm="1">
        <f t="array" ref="R1391">IFERROR(INDEX(Sheet4!$2:$1605,MATCH(ChiTietKQKD[[#This Row],[Mã CP]],Sheet4!$B$2:$B$1605,0),_xlfn.XMATCH("*Tăng trưởng lợi nhuận sau thuế (QoQ)*",Sheet4!$1:$1,2)),"")</f>
        <v>0</v>
      </c>
    </row>
    <row r="1392" spans="1:18" x14ac:dyDescent="0.25">
      <c r="A1392" s="7">
        <f>Sheet4!A1371</f>
        <v>1370</v>
      </c>
      <c r="B1392" t="str">
        <f>Sheet4!B1371</f>
        <v>SHC</v>
      </c>
      <c r="C1392" t="str">
        <f>Sheet4!C1370</f>
        <v>Vinaconex Sài Gòn</v>
      </c>
      <c r="D1392" t="str">
        <f>Sheet4!D1371</f>
        <v>UPCoM</v>
      </c>
      <c r="E1392" s="7">
        <f>Sheet4!AH1371/1000000000</f>
        <v>53.438420000000001</v>
      </c>
      <c r="F1392" t="str">
        <f>Sheet4!E1371</f>
        <v>Công nghiệp</v>
      </c>
      <c r="G1392" t="str">
        <f>Sheet4!F1371</f>
        <v>Hàng &amp; Dịch vụ Công nghiệp</v>
      </c>
      <c r="H1392" t="str">
        <f>Sheet4!G1371</f>
        <v>Vận tải Thủy</v>
      </c>
      <c r="I1392" s="9" t="str" cm="1">
        <f t="array" ref="I139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92" s="9" t="str" cm="1">
        <f t="array" ref="J139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92" s="10" cm="1">
        <f t="array" ref="K139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92" s="10" cm="1">
        <f t="array" ref="L139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92" s="9" t="str" cm="1">
        <f t="array" ref="M139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92" s="9" t="str" cm="1">
        <f t="array" ref="N139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92" s="10" cm="1">
        <f t="array" ref="O1392">IFERROR(INDEX(Sheet4!$2:$1605,MATCH(ChiTietKQKD[[#This Row],[Mã CP]],Sheet4!$B$2:$B$1605,0),_xlfn.XMATCH("*Tăng trưởng lợi nhuận sau thuế (YoY) (Quý*",Sheet4!$1:$1,2)),"")</f>
        <v>0</v>
      </c>
      <c r="P1392" s="10" cm="1">
        <f t="array" ref="P1392">IFERROR(INDEX(Sheet4!$2:$1605,MATCH(ChiTietKQKD[[#This Row],[Mã CP]],Sheet4!$B$2:$B$1605,0),_xlfn.XMATCH("*Tăng trưởng lợi nhuận sau thuế (YoY) (6M)*",Sheet4!$1:$1,2)),"")</f>
        <v>0</v>
      </c>
      <c r="Q1392" s="10" cm="1">
        <f t="array" ref="Q1392">IFERROR(INDEX(Sheet4!$2:$1605,MATCH(ChiTietKQKD[[#This Row],[Mã CP]],Sheet4!$B$2:$B$1605,0),_xlfn.XMATCH("*Tăng trưởng doanh thu thuần (QoQ)*",Sheet4!$1:$1,2)),"")</f>
        <v>0</v>
      </c>
      <c r="R1392" s="10" cm="1">
        <f t="array" ref="R1392">IFERROR(INDEX(Sheet4!$2:$1605,MATCH(ChiTietKQKD[[#This Row],[Mã CP]],Sheet4!$B$2:$B$1605,0),_xlfn.XMATCH("*Tăng trưởng lợi nhuận sau thuế (QoQ)*",Sheet4!$1:$1,2)),"")</f>
        <v>0</v>
      </c>
    </row>
    <row r="1393" spans="1:18" x14ac:dyDescent="0.25">
      <c r="A1393" s="7">
        <f>Sheet4!A1372</f>
        <v>1371</v>
      </c>
      <c r="B1393" t="str">
        <f>Sheet4!B1372</f>
        <v>SID</v>
      </c>
      <c r="C1393" t="str">
        <f>Sheet4!C1371</f>
        <v>Hàng hải Sài Gòn</v>
      </c>
      <c r="D1393" t="str">
        <f>Sheet4!D1372</f>
        <v>UPCoM</v>
      </c>
      <c r="E1393" s="7">
        <f>Sheet4!AH1372/1000000000</f>
        <v>1364.1</v>
      </c>
      <c r="F1393" t="str">
        <f>Sheet4!E1372</f>
        <v>Tài chính</v>
      </c>
      <c r="G1393" t="str">
        <f>Sheet4!F1372</f>
        <v>Bất động sản</v>
      </c>
      <c r="H1393" t="str">
        <f>Sheet4!G1372</f>
        <v>Bất động sản</v>
      </c>
      <c r="I1393" s="9" t="str" cm="1">
        <f t="array" ref="I139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93" s="9" t="str" cm="1">
        <f t="array" ref="J139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93" s="10" cm="1">
        <f t="array" ref="K139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93" s="10" cm="1">
        <f t="array" ref="L139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93" s="9" t="str" cm="1">
        <f t="array" ref="M139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93" s="9" t="str" cm="1">
        <f t="array" ref="N139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93" s="10" cm="1">
        <f t="array" ref="O1393">IFERROR(INDEX(Sheet4!$2:$1605,MATCH(ChiTietKQKD[[#This Row],[Mã CP]],Sheet4!$B$2:$B$1605,0),_xlfn.XMATCH("*Tăng trưởng lợi nhuận sau thuế (YoY) (Quý*",Sheet4!$1:$1,2)),"")</f>
        <v>0</v>
      </c>
      <c r="P1393" s="10" cm="1">
        <f t="array" ref="P1393">IFERROR(INDEX(Sheet4!$2:$1605,MATCH(ChiTietKQKD[[#This Row],[Mã CP]],Sheet4!$B$2:$B$1605,0),_xlfn.XMATCH("*Tăng trưởng lợi nhuận sau thuế (YoY) (6M)*",Sheet4!$1:$1,2)),"")</f>
        <v>0</v>
      </c>
      <c r="Q1393" s="10" cm="1">
        <f t="array" ref="Q1393">IFERROR(INDEX(Sheet4!$2:$1605,MATCH(ChiTietKQKD[[#This Row],[Mã CP]],Sheet4!$B$2:$B$1605,0),_xlfn.XMATCH("*Tăng trưởng doanh thu thuần (QoQ)*",Sheet4!$1:$1,2)),"")</f>
        <v>0</v>
      </c>
      <c r="R1393" s="10" cm="1">
        <f t="array" ref="R1393">IFERROR(INDEX(Sheet4!$2:$1605,MATCH(ChiTietKQKD[[#This Row],[Mã CP]],Sheet4!$B$2:$B$1605,0),_xlfn.XMATCH("*Tăng trưởng lợi nhuận sau thuế (QoQ)*",Sheet4!$1:$1,2)),"")</f>
        <v>0</v>
      </c>
    </row>
    <row r="1394" spans="1:18" x14ac:dyDescent="0.25">
      <c r="A1394" s="7">
        <f>Sheet4!A1373</f>
        <v>1372</v>
      </c>
      <c r="B1394" t="str">
        <f>Sheet4!B1373</f>
        <v>SIG</v>
      </c>
      <c r="C1394" t="str">
        <f>Sheet4!C1372</f>
        <v>Đầu tư PT Sài Gòn Co.op</v>
      </c>
      <c r="D1394" t="str">
        <f>Sheet4!D1373</f>
        <v>UPCoM</v>
      </c>
      <c r="E1394" s="7">
        <f>Sheet4!AH1373/1000000000</f>
        <v>95.63</v>
      </c>
      <c r="F1394" t="str">
        <f>Sheet4!E1373</f>
        <v>Công nghiệp</v>
      </c>
      <c r="G1394" t="str">
        <f>Sheet4!F1373</f>
        <v>Xây dựng và Vật liệu</v>
      </c>
      <c r="H1394" t="str">
        <f>Sheet4!G1373</f>
        <v>Xây dựng</v>
      </c>
      <c r="I1394" s="9" t="str" cm="1">
        <f t="array" ref="I139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94" s="9" t="str" cm="1">
        <f t="array" ref="J139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94" s="10" cm="1">
        <f t="array" ref="K139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94" s="10" cm="1">
        <f t="array" ref="L139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94" s="9" t="str" cm="1">
        <f t="array" ref="M139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94" s="9" t="str" cm="1">
        <f t="array" ref="N139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94" s="10" cm="1">
        <f t="array" ref="O1394">IFERROR(INDEX(Sheet4!$2:$1605,MATCH(ChiTietKQKD[[#This Row],[Mã CP]],Sheet4!$B$2:$B$1605,0),_xlfn.XMATCH("*Tăng trưởng lợi nhuận sau thuế (YoY) (Quý*",Sheet4!$1:$1,2)),"")</f>
        <v>0</v>
      </c>
      <c r="P1394" s="10" cm="1">
        <f t="array" ref="P1394">IFERROR(INDEX(Sheet4!$2:$1605,MATCH(ChiTietKQKD[[#This Row],[Mã CP]],Sheet4!$B$2:$B$1605,0),_xlfn.XMATCH("*Tăng trưởng lợi nhuận sau thuế (YoY) (6M)*",Sheet4!$1:$1,2)),"")</f>
        <v>0</v>
      </c>
      <c r="Q1394" s="10" cm="1">
        <f t="array" ref="Q1394">IFERROR(INDEX(Sheet4!$2:$1605,MATCH(ChiTietKQKD[[#This Row],[Mã CP]],Sheet4!$B$2:$B$1605,0),_xlfn.XMATCH("*Tăng trưởng doanh thu thuần (QoQ)*",Sheet4!$1:$1,2)),"")</f>
        <v>0</v>
      </c>
      <c r="R1394" s="10" cm="1">
        <f t="array" ref="R1394">IFERROR(INDEX(Sheet4!$2:$1605,MATCH(ChiTietKQKD[[#This Row],[Mã CP]],Sheet4!$B$2:$B$1605,0),_xlfn.XMATCH("*Tăng trưởng lợi nhuận sau thuế (QoQ)*",Sheet4!$1:$1,2)),"")</f>
        <v>0</v>
      </c>
    </row>
    <row r="1395" spans="1:18" x14ac:dyDescent="0.25">
      <c r="A1395" s="7">
        <f>Sheet4!A1374</f>
        <v>1373</v>
      </c>
      <c r="B1395" t="str">
        <f>Sheet4!B1374</f>
        <v>SII</v>
      </c>
      <c r="C1395" t="str">
        <f>Sheet4!C1373</f>
        <v>Đầu tư và Thương mại Sông Đà</v>
      </c>
      <c r="D1395" t="str">
        <f>Sheet4!D1374</f>
        <v>UPCoM</v>
      </c>
      <c r="E1395" s="7">
        <f>Sheet4!AH1374/1000000000</f>
        <v>1032.353664</v>
      </c>
      <c r="F1395" t="str">
        <f>Sheet4!E1374</f>
        <v>Tiện ích Cộng đồng</v>
      </c>
      <c r="G1395" t="str">
        <f>Sheet4!F1374</f>
        <v>Điện, nước &amp; xăng dầu khí đốt</v>
      </c>
      <c r="H1395" t="str">
        <f>Sheet4!G1374</f>
        <v>Nước</v>
      </c>
      <c r="I1395" s="9" t="str" cm="1">
        <f t="array" ref="I139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95" s="9" t="str" cm="1">
        <f t="array" ref="J139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95" s="10" cm="1">
        <f t="array" ref="K139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95" s="10" cm="1">
        <f t="array" ref="L139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95" s="9" t="str" cm="1">
        <f t="array" ref="M139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95" s="9" t="str" cm="1">
        <f t="array" ref="N139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95" s="10" cm="1">
        <f t="array" ref="O1395">IFERROR(INDEX(Sheet4!$2:$1605,MATCH(ChiTietKQKD[[#This Row],[Mã CP]],Sheet4!$B$2:$B$1605,0),_xlfn.XMATCH("*Tăng trưởng lợi nhuận sau thuế (YoY) (Quý*",Sheet4!$1:$1,2)),"")</f>
        <v>0</v>
      </c>
      <c r="P1395" s="10" cm="1">
        <f t="array" ref="P1395">IFERROR(INDEX(Sheet4!$2:$1605,MATCH(ChiTietKQKD[[#This Row],[Mã CP]],Sheet4!$B$2:$B$1605,0),_xlfn.XMATCH("*Tăng trưởng lợi nhuận sau thuế (YoY) (6M)*",Sheet4!$1:$1,2)),"")</f>
        <v>0</v>
      </c>
      <c r="Q1395" s="10" cm="1">
        <f t="array" ref="Q1395">IFERROR(INDEX(Sheet4!$2:$1605,MATCH(ChiTietKQKD[[#This Row],[Mã CP]],Sheet4!$B$2:$B$1605,0),_xlfn.XMATCH("*Tăng trưởng doanh thu thuần (QoQ)*",Sheet4!$1:$1,2)),"")</f>
        <v>0</v>
      </c>
      <c r="R1395" s="10" cm="1">
        <f t="array" ref="R1395">IFERROR(INDEX(Sheet4!$2:$1605,MATCH(ChiTietKQKD[[#This Row],[Mã CP]],Sheet4!$B$2:$B$1605,0),_xlfn.XMATCH("*Tăng trưởng lợi nhuận sau thuế (QoQ)*",Sheet4!$1:$1,2)),"")</f>
        <v>0</v>
      </c>
    </row>
    <row r="1396" spans="1:18" x14ac:dyDescent="0.25">
      <c r="A1396" s="7">
        <f>Sheet4!A1375</f>
        <v>1374</v>
      </c>
      <c r="B1396" t="str">
        <f>Sheet4!B1375</f>
        <v>SIV</v>
      </c>
      <c r="C1396" t="str">
        <f>Sheet4!C1374</f>
        <v>Hạ tầng Nước Sài Gòn</v>
      </c>
      <c r="D1396" t="str">
        <f>Sheet4!D1375</f>
        <v>UPCoM</v>
      </c>
      <c r="E1396" s="7">
        <f>Sheet4!AH1375/1000000000</f>
        <v>138.56711999999999</v>
      </c>
      <c r="F1396" t="str">
        <f>Sheet4!E1375</f>
        <v>Công nghiệp</v>
      </c>
      <c r="G1396" t="str">
        <f>Sheet4!F1375</f>
        <v>Xây dựng và Vật liệu</v>
      </c>
      <c r="H1396" t="str">
        <f>Sheet4!G1375</f>
        <v>Vật liệu xây dựng &amp; Nội thất</v>
      </c>
      <c r="I1396" s="9" t="str" cm="1">
        <f t="array" ref="I139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96" s="9" t="str" cm="1">
        <f t="array" ref="J139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96" s="10" cm="1">
        <f t="array" ref="K139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96" s="10" cm="1">
        <f t="array" ref="L139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96" s="9" t="str" cm="1">
        <f t="array" ref="M139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96" s="9" t="str" cm="1">
        <f t="array" ref="N139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96" s="10" cm="1">
        <f t="array" ref="O1396">IFERROR(INDEX(Sheet4!$2:$1605,MATCH(ChiTietKQKD[[#This Row],[Mã CP]],Sheet4!$B$2:$B$1605,0),_xlfn.XMATCH("*Tăng trưởng lợi nhuận sau thuế (YoY) (Quý*",Sheet4!$1:$1,2)),"")</f>
        <v>0</v>
      </c>
      <c r="P1396" s="10" cm="1">
        <f t="array" ref="P1396">IFERROR(INDEX(Sheet4!$2:$1605,MATCH(ChiTietKQKD[[#This Row],[Mã CP]],Sheet4!$B$2:$B$1605,0),_xlfn.XMATCH("*Tăng trưởng lợi nhuận sau thuế (YoY) (6M)*",Sheet4!$1:$1,2)),"")</f>
        <v>0</v>
      </c>
      <c r="Q1396" s="10" cm="1">
        <f t="array" ref="Q1396">IFERROR(INDEX(Sheet4!$2:$1605,MATCH(ChiTietKQKD[[#This Row],[Mã CP]],Sheet4!$B$2:$B$1605,0),_xlfn.XMATCH("*Tăng trưởng doanh thu thuần (QoQ)*",Sheet4!$1:$1,2)),"")</f>
        <v>0</v>
      </c>
      <c r="R1396" s="10" cm="1">
        <f t="array" ref="R1396">IFERROR(INDEX(Sheet4!$2:$1605,MATCH(ChiTietKQKD[[#This Row],[Mã CP]],Sheet4!$B$2:$B$1605,0),_xlfn.XMATCH("*Tăng trưởng lợi nhuận sau thuế (QoQ)*",Sheet4!$1:$1,2)),"")</f>
        <v>0</v>
      </c>
    </row>
    <row r="1397" spans="1:18" x14ac:dyDescent="0.25">
      <c r="A1397" s="7">
        <f>Sheet4!A1376</f>
        <v>1375</v>
      </c>
      <c r="B1397" t="str">
        <f>Sheet4!B1376</f>
        <v>SJF</v>
      </c>
      <c r="C1397" t="str">
        <f>Sheet4!C1375</f>
        <v>SIVICO</v>
      </c>
      <c r="D1397" t="str">
        <f>Sheet4!D1376</f>
        <v>UPCoM</v>
      </c>
      <c r="E1397" s="7">
        <f>Sheet4!AH1376/1000000000</f>
        <v>134.63999999999999</v>
      </c>
      <c r="F1397" t="str">
        <f>Sheet4!E1376</f>
        <v>Nguyên vật liệu</v>
      </c>
      <c r="G1397" t="str">
        <f>Sheet4!F1376</f>
        <v>Tài nguyên Cơ bản</v>
      </c>
      <c r="H1397" t="str">
        <f>Sheet4!G1376</f>
        <v>Lâm sản và Chế biến gỗ</v>
      </c>
      <c r="I1397" s="9" t="str" cm="1">
        <f t="array" ref="I139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97" s="9" t="str" cm="1">
        <f t="array" ref="J139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97" s="10" cm="1">
        <f t="array" ref="K139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97" s="10" cm="1">
        <f t="array" ref="L139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97" s="9" t="str" cm="1">
        <f t="array" ref="M139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97" s="9" t="str" cm="1">
        <f t="array" ref="N139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97" s="10" cm="1">
        <f t="array" ref="O1397">IFERROR(INDEX(Sheet4!$2:$1605,MATCH(ChiTietKQKD[[#This Row],[Mã CP]],Sheet4!$B$2:$B$1605,0),_xlfn.XMATCH("*Tăng trưởng lợi nhuận sau thuế (YoY) (Quý*",Sheet4!$1:$1,2)),"")</f>
        <v>0</v>
      </c>
      <c r="P1397" s="10" cm="1">
        <f t="array" ref="P1397">IFERROR(INDEX(Sheet4!$2:$1605,MATCH(ChiTietKQKD[[#This Row],[Mã CP]],Sheet4!$B$2:$B$1605,0),_xlfn.XMATCH("*Tăng trưởng lợi nhuận sau thuế (YoY) (6M)*",Sheet4!$1:$1,2)),"")</f>
        <v>0</v>
      </c>
      <c r="Q1397" s="10" cm="1">
        <f t="array" ref="Q1397">IFERROR(INDEX(Sheet4!$2:$1605,MATCH(ChiTietKQKD[[#This Row],[Mã CP]],Sheet4!$B$2:$B$1605,0),_xlfn.XMATCH("*Tăng trưởng doanh thu thuần (QoQ)*",Sheet4!$1:$1,2)),"")</f>
        <v>0</v>
      </c>
      <c r="R1397" s="10" cm="1">
        <f t="array" ref="R1397">IFERROR(INDEX(Sheet4!$2:$1605,MATCH(ChiTietKQKD[[#This Row],[Mã CP]],Sheet4!$B$2:$B$1605,0),_xlfn.XMATCH("*Tăng trưởng lợi nhuận sau thuế (QoQ)*",Sheet4!$1:$1,2)),"")</f>
        <v>0</v>
      </c>
    </row>
    <row r="1398" spans="1:18" x14ac:dyDescent="0.25">
      <c r="A1398" s="7">
        <f>Sheet4!A1377</f>
        <v>1376</v>
      </c>
      <c r="B1398" t="str">
        <f>Sheet4!B1377</f>
        <v>SJG</v>
      </c>
      <c r="C1398" t="str">
        <f>Sheet4!C1376</f>
        <v>Đầu tư Sao Thái Dương</v>
      </c>
      <c r="D1398" t="str">
        <f>Sheet4!D1377</f>
        <v>UPCoM</v>
      </c>
      <c r="E1398" s="7">
        <f>Sheet4!AH1377/1000000000</f>
        <v>9170.5570848000007</v>
      </c>
      <c r="F1398" t="str">
        <f>Sheet4!E1377</f>
        <v>Công nghiệp</v>
      </c>
      <c r="G1398" t="str">
        <f>Sheet4!F1377</f>
        <v>Xây dựng và Vật liệu</v>
      </c>
      <c r="H1398" t="str">
        <f>Sheet4!G1377</f>
        <v>Xây dựng</v>
      </c>
      <c r="I1398" s="9" t="str" cm="1">
        <f t="array" ref="I139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98" s="9" t="str" cm="1">
        <f t="array" ref="J139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98" s="10" cm="1">
        <f t="array" ref="K139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98" s="10" cm="1">
        <f t="array" ref="L139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98" s="9" t="str" cm="1">
        <f t="array" ref="M139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98" s="9" t="str" cm="1">
        <f t="array" ref="N139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98" s="10" cm="1">
        <f t="array" ref="O1398">IFERROR(INDEX(Sheet4!$2:$1605,MATCH(ChiTietKQKD[[#This Row],[Mã CP]],Sheet4!$B$2:$B$1605,0),_xlfn.XMATCH("*Tăng trưởng lợi nhuận sau thuế (YoY) (Quý*",Sheet4!$1:$1,2)),"")</f>
        <v>0</v>
      </c>
      <c r="P1398" s="10" cm="1">
        <f t="array" ref="P1398">IFERROR(INDEX(Sheet4!$2:$1605,MATCH(ChiTietKQKD[[#This Row],[Mã CP]],Sheet4!$B$2:$B$1605,0),_xlfn.XMATCH("*Tăng trưởng lợi nhuận sau thuế (YoY) (6M)*",Sheet4!$1:$1,2)),"")</f>
        <v>0</v>
      </c>
      <c r="Q1398" s="10" cm="1">
        <f t="array" ref="Q1398">IFERROR(INDEX(Sheet4!$2:$1605,MATCH(ChiTietKQKD[[#This Row],[Mã CP]],Sheet4!$B$2:$B$1605,0),_xlfn.XMATCH("*Tăng trưởng doanh thu thuần (QoQ)*",Sheet4!$1:$1,2)),"")</f>
        <v>0</v>
      </c>
      <c r="R1398" s="10" cm="1">
        <f t="array" ref="R1398">IFERROR(INDEX(Sheet4!$2:$1605,MATCH(ChiTietKQKD[[#This Row],[Mã CP]],Sheet4!$B$2:$B$1605,0),_xlfn.XMATCH("*Tăng trưởng lợi nhuận sau thuế (QoQ)*",Sheet4!$1:$1,2)),"")</f>
        <v>0</v>
      </c>
    </row>
    <row r="1399" spans="1:18" x14ac:dyDescent="0.25">
      <c r="A1399" s="7">
        <f>Sheet4!A1378</f>
        <v>1377</v>
      </c>
      <c r="B1399" t="str">
        <f>Sheet4!B1378</f>
        <v>SJM</v>
      </c>
      <c r="C1399" t="str">
        <f>Sheet4!C1377</f>
        <v>Tổng Công ty Sông Đà</v>
      </c>
      <c r="D1399" t="str">
        <f>Sheet4!D1378</f>
        <v>UPCoM</v>
      </c>
      <c r="E1399" s="7">
        <f>Sheet4!AH1378/1000000000</f>
        <v>32.5</v>
      </c>
      <c r="F1399" t="str">
        <f>Sheet4!E1378</f>
        <v>Công nghiệp</v>
      </c>
      <c r="G1399" t="str">
        <f>Sheet4!F1378</f>
        <v>Xây dựng và Vật liệu</v>
      </c>
      <c r="H1399" t="str">
        <f>Sheet4!G1378</f>
        <v>Xây dựng</v>
      </c>
      <c r="I1399" s="9" t="str" cm="1">
        <f t="array" ref="I139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399" s="9" t="str" cm="1">
        <f t="array" ref="J139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399" s="10" cm="1">
        <f t="array" ref="K139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399" s="10" cm="1">
        <f t="array" ref="L139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399" s="9" t="str" cm="1">
        <f t="array" ref="M139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399" s="9" t="str" cm="1">
        <f t="array" ref="N139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399" s="10" cm="1">
        <f t="array" ref="O1399">IFERROR(INDEX(Sheet4!$2:$1605,MATCH(ChiTietKQKD[[#This Row],[Mã CP]],Sheet4!$B$2:$B$1605,0),_xlfn.XMATCH("*Tăng trưởng lợi nhuận sau thuế (YoY) (Quý*",Sheet4!$1:$1,2)),"")</f>
        <v>0</v>
      </c>
      <c r="P1399" s="10" cm="1">
        <f t="array" ref="P1399">IFERROR(INDEX(Sheet4!$2:$1605,MATCH(ChiTietKQKD[[#This Row],[Mã CP]],Sheet4!$B$2:$B$1605,0),_xlfn.XMATCH("*Tăng trưởng lợi nhuận sau thuế (YoY) (6M)*",Sheet4!$1:$1,2)),"")</f>
        <v>0</v>
      </c>
      <c r="Q1399" s="10" cm="1">
        <f t="array" ref="Q1399">IFERROR(INDEX(Sheet4!$2:$1605,MATCH(ChiTietKQKD[[#This Row],[Mã CP]],Sheet4!$B$2:$B$1605,0),_xlfn.XMATCH("*Tăng trưởng doanh thu thuần (QoQ)*",Sheet4!$1:$1,2)),"")</f>
        <v>0</v>
      </c>
      <c r="R1399" s="10" cm="1">
        <f t="array" ref="R1399">IFERROR(INDEX(Sheet4!$2:$1605,MATCH(ChiTietKQKD[[#This Row],[Mã CP]],Sheet4!$B$2:$B$1605,0),_xlfn.XMATCH("*Tăng trưởng lợi nhuận sau thuế (QoQ)*",Sheet4!$1:$1,2)),"")</f>
        <v>0</v>
      </c>
    </row>
    <row r="1400" spans="1:18" x14ac:dyDescent="0.25">
      <c r="A1400" s="7">
        <f>Sheet4!A1379</f>
        <v>1378</v>
      </c>
      <c r="B1400" t="str">
        <f>Sheet4!B1379</f>
        <v>SKH</v>
      </c>
      <c r="C1400" t="str">
        <f>Sheet4!C1378</f>
        <v>Sunspace Holdings</v>
      </c>
      <c r="D1400" t="str">
        <f>Sheet4!D1379</f>
        <v>UPCoM</v>
      </c>
      <c r="E1400" s="7">
        <f>Sheet4!AH1379/1000000000</f>
        <v>693</v>
      </c>
      <c r="F1400" t="str">
        <f>Sheet4!E1379</f>
        <v>Hàng Tiêu dùng</v>
      </c>
      <c r="G1400" t="str">
        <f>Sheet4!F1379</f>
        <v>Thực phẩm và đồ uống</v>
      </c>
      <c r="H1400" t="str">
        <f>Sheet4!G1379</f>
        <v>Đồ uống &amp; giải khát</v>
      </c>
      <c r="I1400" s="9" t="str" cm="1">
        <f t="array" ref="I140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00" s="9" t="str" cm="1">
        <f t="array" ref="J140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00" s="10" cm="1">
        <f t="array" ref="K140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00" s="10" cm="1">
        <f t="array" ref="L140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00" s="9" t="str" cm="1">
        <f t="array" ref="M140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00" s="9" t="str" cm="1">
        <f t="array" ref="N140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00" s="10" cm="1">
        <f t="array" ref="O1400">IFERROR(INDEX(Sheet4!$2:$1605,MATCH(ChiTietKQKD[[#This Row],[Mã CP]],Sheet4!$B$2:$B$1605,0),_xlfn.XMATCH("*Tăng trưởng lợi nhuận sau thuế (YoY) (Quý*",Sheet4!$1:$1,2)),"")</f>
        <v>0</v>
      </c>
      <c r="P1400" s="10" cm="1">
        <f t="array" ref="P1400">IFERROR(INDEX(Sheet4!$2:$1605,MATCH(ChiTietKQKD[[#This Row],[Mã CP]],Sheet4!$B$2:$B$1605,0),_xlfn.XMATCH("*Tăng trưởng lợi nhuận sau thuế (YoY) (6M)*",Sheet4!$1:$1,2)),"")</f>
        <v>0</v>
      </c>
      <c r="Q1400" s="10" cm="1">
        <f t="array" ref="Q1400">IFERROR(INDEX(Sheet4!$2:$1605,MATCH(ChiTietKQKD[[#This Row],[Mã CP]],Sheet4!$B$2:$B$1605,0),_xlfn.XMATCH("*Tăng trưởng doanh thu thuần (QoQ)*",Sheet4!$1:$1,2)),"")</f>
        <v>0</v>
      </c>
      <c r="R1400" s="10" cm="1">
        <f t="array" ref="R1400">IFERROR(INDEX(Sheet4!$2:$1605,MATCH(ChiTietKQKD[[#This Row],[Mã CP]],Sheet4!$B$2:$B$1605,0),_xlfn.XMATCH("*Tăng trưởng lợi nhuận sau thuế (QoQ)*",Sheet4!$1:$1,2)),"")</f>
        <v>0</v>
      </c>
    </row>
    <row r="1401" spans="1:18" x14ac:dyDescent="0.25">
      <c r="A1401" s="7">
        <f>Sheet4!A1380</f>
        <v>1379</v>
      </c>
      <c r="B1401" t="str">
        <f>Sheet4!B1380</f>
        <v>SKN</v>
      </c>
      <c r="C1401" t="str">
        <f>Sheet4!C1379</f>
        <v>NGK Sanest Khánh Hòa</v>
      </c>
      <c r="D1401" t="str">
        <f>Sheet4!D1380</f>
        <v>UPCoM</v>
      </c>
      <c r="E1401" s="7">
        <f>Sheet4!AH1380/1000000000</f>
        <v>35.5</v>
      </c>
      <c r="F1401" t="str">
        <f>Sheet4!E1380</f>
        <v>Hàng Tiêu dùng</v>
      </c>
      <c r="G1401" t="str">
        <f>Sheet4!F1380</f>
        <v>Thực phẩm và đồ uống</v>
      </c>
      <c r="H1401" t="str">
        <f>Sheet4!G1380</f>
        <v>Đồ uống &amp; giải khát</v>
      </c>
      <c r="I1401" s="9" t="str" cm="1">
        <f t="array" ref="I140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01" s="9" t="str" cm="1">
        <f t="array" ref="J140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01" s="10" cm="1">
        <f t="array" ref="K140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01" s="10" cm="1">
        <f t="array" ref="L140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01" s="9" t="str" cm="1">
        <f t="array" ref="M140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01" s="9" t="str" cm="1">
        <f t="array" ref="N140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01" s="10" cm="1">
        <f t="array" ref="O1401">IFERROR(INDEX(Sheet4!$2:$1605,MATCH(ChiTietKQKD[[#This Row],[Mã CP]],Sheet4!$B$2:$B$1605,0),_xlfn.XMATCH("*Tăng trưởng lợi nhuận sau thuế (YoY) (Quý*",Sheet4!$1:$1,2)),"")</f>
        <v>0</v>
      </c>
      <c r="P1401" s="10" cm="1">
        <f t="array" ref="P1401">IFERROR(INDEX(Sheet4!$2:$1605,MATCH(ChiTietKQKD[[#This Row],[Mã CP]],Sheet4!$B$2:$B$1605,0),_xlfn.XMATCH("*Tăng trưởng lợi nhuận sau thuế (YoY) (6M)*",Sheet4!$1:$1,2)),"")</f>
        <v>0</v>
      </c>
      <c r="Q1401" s="10" cm="1">
        <f t="array" ref="Q1401">IFERROR(INDEX(Sheet4!$2:$1605,MATCH(ChiTietKQKD[[#This Row],[Mã CP]],Sheet4!$B$2:$B$1605,0),_xlfn.XMATCH("*Tăng trưởng doanh thu thuần (QoQ)*",Sheet4!$1:$1,2)),"")</f>
        <v>0</v>
      </c>
      <c r="R1401" s="10" cm="1">
        <f t="array" ref="R1401">IFERROR(INDEX(Sheet4!$2:$1605,MATCH(ChiTietKQKD[[#This Row],[Mã CP]],Sheet4!$B$2:$B$1605,0),_xlfn.XMATCH("*Tăng trưởng lợi nhuận sau thuế (QoQ)*",Sheet4!$1:$1,2)),"")</f>
        <v>0</v>
      </c>
    </row>
    <row r="1402" spans="1:18" x14ac:dyDescent="0.25">
      <c r="A1402" s="7">
        <f>Sheet4!A1381</f>
        <v>1380</v>
      </c>
      <c r="B1402" t="str">
        <f>Sheet4!B1381</f>
        <v>SKV</v>
      </c>
      <c r="C1402" t="str">
        <f>Sheet4!C1380</f>
        <v>NGK Sanna Khánh Hòa</v>
      </c>
      <c r="D1402" t="str">
        <f>Sheet4!D1381</f>
        <v>UPCoM</v>
      </c>
      <c r="E1402" s="7">
        <f>Sheet4!AH1381/1000000000</f>
        <v>580.75</v>
      </c>
      <c r="F1402" t="str">
        <f>Sheet4!E1381</f>
        <v>Hàng Tiêu dùng</v>
      </c>
      <c r="G1402" t="str">
        <f>Sheet4!F1381</f>
        <v>Thực phẩm và đồ uống</v>
      </c>
      <c r="H1402" t="str">
        <f>Sheet4!G1381</f>
        <v>Đồ uống &amp; giải khát</v>
      </c>
      <c r="I1402" s="9" t="str" cm="1">
        <f t="array" ref="I140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02" s="9" t="str" cm="1">
        <f t="array" ref="J140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02" s="10" cm="1">
        <f t="array" ref="K140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02" s="10" cm="1">
        <f t="array" ref="L140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02" s="9" t="str" cm="1">
        <f t="array" ref="M140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02" s="9" t="str" cm="1">
        <f t="array" ref="N140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02" s="10" cm="1">
        <f t="array" ref="O1402">IFERROR(INDEX(Sheet4!$2:$1605,MATCH(ChiTietKQKD[[#This Row],[Mã CP]],Sheet4!$B$2:$B$1605,0),_xlfn.XMATCH("*Tăng trưởng lợi nhuận sau thuế (YoY) (Quý*",Sheet4!$1:$1,2)),"")</f>
        <v>0</v>
      </c>
      <c r="P1402" s="10" cm="1">
        <f t="array" ref="P1402">IFERROR(INDEX(Sheet4!$2:$1605,MATCH(ChiTietKQKD[[#This Row],[Mã CP]],Sheet4!$B$2:$B$1605,0),_xlfn.XMATCH("*Tăng trưởng lợi nhuận sau thuế (YoY) (6M)*",Sheet4!$1:$1,2)),"")</f>
        <v>0</v>
      </c>
      <c r="Q1402" s="10" cm="1">
        <f t="array" ref="Q1402">IFERROR(INDEX(Sheet4!$2:$1605,MATCH(ChiTietKQKD[[#This Row],[Mã CP]],Sheet4!$B$2:$B$1605,0),_xlfn.XMATCH("*Tăng trưởng doanh thu thuần (QoQ)*",Sheet4!$1:$1,2)),"")</f>
        <v>0</v>
      </c>
      <c r="R1402" s="10" cm="1">
        <f t="array" ref="R1402">IFERROR(INDEX(Sheet4!$2:$1605,MATCH(ChiTietKQKD[[#This Row],[Mã CP]],Sheet4!$B$2:$B$1605,0),_xlfn.XMATCH("*Tăng trưởng lợi nhuận sau thuế (QoQ)*",Sheet4!$1:$1,2)),"")</f>
        <v>0</v>
      </c>
    </row>
    <row r="1403" spans="1:18" x14ac:dyDescent="0.25">
      <c r="A1403" s="7">
        <f>Sheet4!A1382</f>
        <v>1381</v>
      </c>
      <c r="B1403" t="str">
        <f>Sheet4!B1382</f>
        <v>SLD</v>
      </c>
      <c r="C1403" t="str">
        <f>Sheet4!C1381</f>
        <v>NGK Yến sào Khánh Hòa</v>
      </c>
      <c r="D1403" t="str">
        <f>Sheet4!D1382</f>
        <v>UPCoM</v>
      </c>
      <c r="E1403" s="7">
        <f>Sheet4!AH1382/1000000000</f>
        <v>801.44556899999998</v>
      </c>
      <c r="F1403" t="str">
        <f>Sheet4!E1382</f>
        <v>Tài chính</v>
      </c>
      <c r="G1403" t="str">
        <f>Sheet4!F1382</f>
        <v>Bất động sản</v>
      </c>
      <c r="H1403" t="str">
        <f>Sheet4!G1382</f>
        <v>Bất động sản</v>
      </c>
      <c r="I1403" s="9" cm="1">
        <f t="array" ref="I140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4.2668062E-2</v>
      </c>
      <c r="J1403" s="9" cm="1">
        <f t="array" ref="J140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4.2668062E-2</v>
      </c>
      <c r="K1403" s="10" cm="1">
        <f t="array" ref="K140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03" s="10" cm="1">
        <f t="array" ref="L140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03" s="9" cm="1">
        <f t="array" ref="M1403">_xlfn.LET(_xlpm.val,IFERROR(INDEX(Sheet4!$2:$1605,MATCH(ChiTietKQKD[[#This Row],[Mã CP]],Sheet4!$B$2:$B$1605,0),_xlfn.XMATCH("*Lợi nhuận sau thuế*Q2*2026*",Sheet4!$1:$1,2)),0),IF(OR(_xlpm.val="",_xlpm.val=0),"",_xlpm.val/1000000000))</f>
        <v>0.32031541699999999</v>
      </c>
      <c r="N1403" s="9" cm="1">
        <f t="array" ref="N1403">_xlfn.LET(_xlpm.val,IFERROR(INDEX(Sheet4!$2:$1605,MATCH(ChiTietKQKD[[#This Row],[Mã CP]],Sheet4!$B$2:$B$1605,0),_xlfn.XMATCH("*Lợi nhuận sau thuế*6 tháng*2026*",Sheet4!$1:$1,2)),0),IF(OR(_xlpm.val="",_xlpm.val=0),"",_xlpm.val/1000000000))</f>
        <v>0.52458210100000002</v>
      </c>
      <c r="O1403" s="10" cm="1">
        <f t="array" ref="O1403">IFERROR(INDEX(Sheet4!$2:$1605,MATCH(ChiTietKQKD[[#This Row],[Mã CP]],Sheet4!$B$2:$B$1605,0),_xlfn.XMATCH("*Tăng trưởng lợi nhuận sau thuế (YoY) (Quý*",Sheet4!$1:$1,2)),"")</f>
        <v>-0.93799999999999994</v>
      </c>
      <c r="P1403" s="10" cm="1">
        <f t="array" ref="P1403">IFERROR(INDEX(Sheet4!$2:$1605,MATCH(ChiTietKQKD[[#This Row],[Mã CP]],Sheet4!$B$2:$B$1605,0),_xlfn.XMATCH("*Tăng trưởng lợi nhuận sau thuế (YoY) (6M)*",Sheet4!$1:$1,2)),"")</f>
        <v>0</v>
      </c>
      <c r="Q1403" s="10" cm="1">
        <f t="array" ref="Q1403">IFERROR(INDEX(Sheet4!$2:$1605,MATCH(ChiTietKQKD[[#This Row],[Mã CP]],Sheet4!$B$2:$B$1605,0),_xlfn.XMATCH("*Tăng trưởng doanh thu thuần (QoQ)*",Sheet4!$1:$1,2)),"")</f>
        <v>0</v>
      </c>
      <c r="R1403" s="10" cm="1">
        <f t="array" ref="R1403">IFERROR(INDEX(Sheet4!$2:$1605,MATCH(ChiTietKQKD[[#This Row],[Mã CP]],Sheet4!$B$2:$B$1605,0),_xlfn.XMATCH("*Tăng trưởng lợi nhuận sau thuế (QoQ)*",Sheet4!$1:$1,2)),"")</f>
        <v>0.56810000000000005</v>
      </c>
    </row>
    <row r="1404" spans="1:18" x14ac:dyDescent="0.25">
      <c r="A1404" s="7">
        <f>Sheet4!A1383</f>
        <v>1382</v>
      </c>
      <c r="B1404" t="str">
        <f>Sheet4!B1383</f>
        <v>SNC</v>
      </c>
      <c r="C1404" t="str">
        <f>Sheet4!C1382</f>
        <v>Địa Ốc Sacom</v>
      </c>
      <c r="D1404" t="str">
        <f>Sheet4!D1383</f>
        <v>UPCoM</v>
      </c>
      <c r="E1404" s="7">
        <f>Sheet4!AH1383/1000000000</f>
        <v>99.902000000000001</v>
      </c>
      <c r="F1404" t="str">
        <f>Sheet4!E1383</f>
        <v>Hàng Tiêu dùng</v>
      </c>
      <c r="G1404" t="str">
        <f>Sheet4!F1383</f>
        <v>Thực phẩm và đồ uống</v>
      </c>
      <c r="H1404" t="str">
        <f>Sheet4!G1383</f>
        <v>Nuôi trồng nông &amp; hải sản</v>
      </c>
      <c r="I1404" s="9" t="str" cm="1">
        <f t="array" ref="I140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04" s="9" t="str" cm="1">
        <f t="array" ref="J140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04" s="10" cm="1">
        <f t="array" ref="K140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04" s="10" cm="1">
        <f t="array" ref="L140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04" s="9" t="str" cm="1">
        <f t="array" ref="M140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04" s="9" t="str" cm="1">
        <f t="array" ref="N140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04" s="10" cm="1">
        <f t="array" ref="O1404">IFERROR(INDEX(Sheet4!$2:$1605,MATCH(ChiTietKQKD[[#This Row],[Mã CP]],Sheet4!$B$2:$B$1605,0),_xlfn.XMATCH("*Tăng trưởng lợi nhuận sau thuế (YoY) (Quý*",Sheet4!$1:$1,2)),"")</f>
        <v>0</v>
      </c>
      <c r="P1404" s="10" cm="1">
        <f t="array" ref="P1404">IFERROR(INDEX(Sheet4!$2:$1605,MATCH(ChiTietKQKD[[#This Row],[Mã CP]],Sheet4!$B$2:$B$1605,0),_xlfn.XMATCH("*Tăng trưởng lợi nhuận sau thuế (YoY) (6M)*",Sheet4!$1:$1,2)),"")</f>
        <v>0</v>
      </c>
      <c r="Q1404" s="10" cm="1">
        <f t="array" ref="Q1404">IFERROR(INDEX(Sheet4!$2:$1605,MATCH(ChiTietKQKD[[#This Row],[Mã CP]],Sheet4!$B$2:$B$1605,0),_xlfn.XMATCH("*Tăng trưởng doanh thu thuần (QoQ)*",Sheet4!$1:$1,2)),"")</f>
        <v>0</v>
      </c>
      <c r="R1404" s="10" cm="1">
        <f t="array" ref="R1404">IFERROR(INDEX(Sheet4!$2:$1605,MATCH(ChiTietKQKD[[#This Row],[Mã CP]],Sheet4!$B$2:$B$1605,0),_xlfn.XMATCH("*Tăng trưởng lợi nhuận sau thuế (QoQ)*",Sheet4!$1:$1,2)),"")</f>
        <v>0</v>
      </c>
    </row>
    <row r="1405" spans="1:18" x14ac:dyDescent="0.25">
      <c r="A1405" s="7">
        <f>Sheet4!A1384</f>
        <v>1383</v>
      </c>
      <c r="B1405" t="str">
        <f>Sheet4!B1384</f>
        <v>SNZ</v>
      </c>
      <c r="C1405" t="str">
        <f>Sheet4!C1383</f>
        <v>Thủy sản Năm Căn</v>
      </c>
      <c r="D1405" t="str">
        <f>Sheet4!D1384</f>
        <v>UPCoM</v>
      </c>
      <c r="E1405" s="7">
        <f>Sheet4!AH1384/1000000000</f>
        <v>9506.4179499999991</v>
      </c>
      <c r="F1405" t="str">
        <f>Sheet4!E1384</f>
        <v>Công nghiệp</v>
      </c>
      <c r="G1405" t="str">
        <f>Sheet4!F1384</f>
        <v>Xây dựng và Vật liệu</v>
      </c>
      <c r="H1405" t="str">
        <f>Sheet4!G1384</f>
        <v>Xây dựng</v>
      </c>
      <c r="I1405" s="9" t="str" cm="1">
        <f t="array" ref="I140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05" s="9" t="str" cm="1">
        <f t="array" ref="J140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05" s="10" cm="1">
        <f t="array" ref="K140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05" s="10" cm="1">
        <f t="array" ref="L140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05" s="9" t="str" cm="1">
        <f t="array" ref="M140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05" s="9" t="str" cm="1">
        <f t="array" ref="N140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05" s="10" cm="1">
        <f t="array" ref="O1405">IFERROR(INDEX(Sheet4!$2:$1605,MATCH(ChiTietKQKD[[#This Row],[Mã CP]],Sheet4!$B$2:$B$1605,0),_xlfn.XMATCH("*Tăng trưởng lợi nhuận sau thuế (YoY) (Quý*",Sheet4!$1:$1,2)),"")</f>
        <v>0</v>
      </c>
      <c r="P1405" s="10" cm="1">
        <f t="array" ref="P1405">IFERROR(INDEX(Sheet4!$2:$1605,MATCH(ChiTietKQKD[[#This Row],[Mã CP]],Sheet4!$B$2:$B$1605,0),_xlfn.XMATCH("*Tăng trưởng lợi nhuận sau thuế (YoY) (6M)*",Sheet4!$1:$1,2)),"")</f>
        <v>0</v>
      </c>
      <c r="Q1405" s="10" cm="1">
        <f t="array" ref="Q1405">IFERROR(INDEX(Sheet4!$2:$1605,MATCH(ChiTietKQKD[[#This Row],[Mã CP]],Sheet4!$B$2:$B$1605,0),_xlfn.XMATCH("*Tăng trưởng doanh thu thuần (QoQ)*",Sheet4!$1:$1,2)),"")</f>
        <v>0</v>
      </c>
      <c r="R1405" s="10" cm="1">
        <f t="array" ref="R1405">IFERROR(INDEX(Sheet4!$2:$1605,MATCH(ChiTietKQKD[[#This Row],[Mã CP]],Sheet4!$B$2:$B$1605,0),_xlfn.XMATCH("*Tăng trưởng lợi nhuận sau thuế (QoQ)*",Sheet4!$1:$1,2)),"")</f>
        <v>0</v>
      </c>
    </row>
    <row r="1406" spans="1:18" x14ac:dyDescent="0.25">
      <c r="A1406" s="7">
        <f>Sheet4!A1385</f>
        <v>1384</v>
      </c>
      <c r="B1406" t="str">
        <f>Sheet4!B1385</f>
        <v>SP2</v>
      </c>
      <c r="C1406" t="str">
        <f>Sheet4!C1384</f>
        <v>SONADEZI</v>
      </c>
      <c r="D1406" t="str">
        <f>Sheet4!D1385</f>
        <v>UPCoM</v>
      </c>
      <c r="E1406" s="7">
        <f>Sheet4!AH1385/1000000000</f>
        <v>495.50882100000001</v>
      </c>
      <c r="F1406" t="str">
        <f>Sheet4!E1385</f>
        <v>Tiện ích Cộng đồng</v>
      </c>
      <c r="G1406" t="str">
        <f>Sheet4!F1385</f>
        <v>Điện, nước &amp; xăng dầu khí đốt</v>
      </c>
      <c r="H1406" t="str">
        <f>Sheet4!G1385</f>
        <v>Sản xuất &amp; Phân phối Điện</v>
      </c>
      <c r="I1406" s="9" cm="1">
        <f t="array" ref="I140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52.983510441</v>
      </c>
      <c r="J1406" s="9" t="str" cm="1">
        <f t="array" ref="J140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06" s="10" cm="1">
        <f t="array" ref="K140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2.64E-2</v>
      </c>
      <c r="L1406" s="10" cm="1">
        <f t="array" ref="L140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4.9700000000000001E-2</v>
      </c>
      <c r="M1406" s="9" cm="1">
        <f t="array" ref="M1406">_xlfn.LET(_xlpm.val,IFERROR(INDEX(Sheet4!$2:$1605,MATCH(ChiTietKQKD[[#This Row],[Mã CP]],Sheet4!$B$2:$B$1605,0),_xlfn.XMATCH("*Lợi nhuận sau thuế*Q2*2026*",Sheet4!$1:$1,2)),0),IF(OR(_xlpm.val="",_xlpm.val=0),"",_xlpm.val/1000000000))</f>
        <v>22.650812289000001</v>
      </c>
      <c r="N1406" s="9" t="str" cm="1">
        <f t="array" ref="N140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06" s="10" cm="1">
        <f t="array" ref="O1406">IFERROR(INDEX(Sheet4!$2:$1605,MATCH(ChiTietKQKD[[#This Row],[Mã CP]],Sheet4!$B$2:$B$1605,0),_xlfn.XMATCH("*Tăng trưởng lợi nhuận sau thuế (YoY) (Quý*",Sheet4!$1:$1,2)),"")</f>
        <v>4.8500000000000001E-2</v>
      </c>
      <c r="P1406" s="10" cm="1">
        <f t="array" ref="P1406">IFERROR(INDEX(Sheet4!$2:$1605,MATCH(ChiTietKQKD[[#This Row],[Mã CP]],Sheet4!$B$2:$B$1605,0),_xlfn.XMATCH("*Tăng trưởng lợi nhuận sau thuế (YoY) (6M)*",Sheet4!$1:$1,2)),"")</f>
        <v>0.38600000000000001</v>
      </c>
      <c r="Q1406" s="10" cm="1">
        <f t="array" ref="Q1406">IFERROR(INDEX(Sheet4!$2:$1605,MATCH(ChiTietKQKD[[#This Row],[Mã CP]],Sheet4!$B$2:$B$1605,0),_xlfn.XMATCH("*Tăng trưởng doanh thu thuần (QoQ)*",Sheet4!$1:$1,2)),"")</f>
        <v>2.2031000000000001</v>
      </c>
      <c r="R1406" s="10" cm="1">
        <f t="array" ref="R1406">IFERROR(INDEX(Sheet4!$2:$1605,MATCH(ChiTietKQKD[[#This Row],[Mã CP]],Sheet4!$B$2:$B$1605,0),_xlfn.XMATCH("*Tăng trưởng lợi nhuận sau thuế (QoQ)*",Sheet4!$1:$1,2)),"")</f>
        <v>4.6740000000000004</v>
      </c>
    </row>
    <row r="1407" spans="1:18" x14ac:dyDescent="0.25">
      <c r="A1407" s="7">
        <f>Sheet4!A1386</f>
        <v>1385</v>
      </c>
      <c r="B1407" t="str">
        <f>Sheet4!B1386</f>
        <v>SPB</v>
      </c>
      <c r="C1407" t="str">
        <f>Sheet4!C1385</f>
        <v>Thủy điện Sử Pán 2</v>
      </c>
      <c r="D1407" t="str">
        <f>Sheet4!D1386</f>
        <v>UPCoM</v>
      </c>
      <c r="E1407" s="7">
        <f>Sheet4!AH1386/1000000000</f>
        <v>199.501305</v>
      </c>
      <c r="F1407" t="str">
        <f>Sheet4!E1386</f>
        <v>Hàng Tiêu dùng</v>
      </c>
      <c r="G1407" t="str">
        <f>Sheet4!F1386</f>
        <v>Hàng cá nhân &amp; Gia dụng</v>
      </c>
      <c r="H1407" t="str">
        <f>Sheet4!G1386</f>
        <v>Hàng May mặc</v>
      </c>
      <c r="I1407" s="9" t="str" cm="1">
        <f t="array" ref="I140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07" s="9" t="str" cm="1">
        <f t="array" ref="J140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07" s="10" cm="1">
        <f t="array" ref="K140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07" s="10" cm="1">
        <f t="array" ref="L140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07" s="9" t="str" cm="1">
        <f t="array" ref="M140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07" s="9" t="str" cm="1">
        <f t="array" ref="N140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07" s="10" cm="1">
        <f t="array" ref="O1407">IFERROR(INDEX(Sheet4!$2:$1605,MATCH(ChiTietKQKD[[#This Row],[Mã CP]],Sheet4!$B$2:$B$1605,0),_xlfn.XMATCH("*Tăng trưởng lợi nhuận sau thuế (YoY) (Quý*",Sheet4!$1:$1,2)),"")</f>
        <v>0</v>
      </c>
      <c r="P1407" s="10" cm="1">
        <f t="array" ref="P1407">IFERROR(INDEX(Sheet4!$2:$1605,MATCH(ChiTietKQKD[[#This Row],[Mã CP]],Sheet4!$B$2:$B$1605,0),_xlfn.XMATCH("*Tăng trưởng lợi nhuận sau thuế (YoY) (6M)*",Sheet4!$1:$1,2)),"")</f>
        <v>0</v>
      </c>
      <c r="Q1407" s="10" cm="1">
        <f t="array" ref="Q1407">IFERROR(INDEX(Sheet4!$2:$1605,MATCH(ChiTietKQKD[[#This Row],[Mã CP]],Sheet4!$B$2:$B$1605,0),_xlfn.XMATCH("*Tăng trưởng doanh thu thuần (QoQ)*",Sheet4!$1:$1,2)),"")</f>
        <v>0</v>
      </c>
      <c r="R1407" s="10" cm="1">
        <f t="array" ref="R1407">IFERROR(INDEX(Sheet4!$2:$1605,MATCH(ChiTietKQKD[[#This Row],[Mã CP]],Sheet4!$B$2:$B$1605,0),_xlfn.XMATCH("*Tăng trưởng lợi nhuận sau thuế (QoQ)*",Sheet4!$1:$1,2)),"")</f>
        <v>0</v>
      </c>
    </row>
    <row r="1408" spans="1:18" x14ac:dyDescent="0.25">
      <c r="A1408" s="7">
        <f>Sheet4!A1387</f>
        <v>1386</v>
      </c>
      <c r="B1408" t="str">
        <f>Sheet4!B1387</f>
        <v>SPD</v>
      </c>
      <c r="C1408" t="str">
        <f>Sheet4!C1386</f>
        <v>Sợi Phú Bài</v>
      </c>
      <c r="D1408" t="str">
        <f>Sheet4!D1387</f>
        <v>UPCoM</v>
      </c>
      <c r="E1408" s="7">
        <f>Sheet4!AH1387/1000000000</f>
        <v>91.2</v>
      </c>
      <c r="F1408" t="str">
        <f>Sheet4!E1387</f>
        <v>Hàng Tiêu dùng</v>
      </c>
      <c r="G1408" t="str">
        <f>Sheet4!F1387</f>
        <v>Thực phẩm và đồ uống</v>
      </c>
      <c r="H1408" t="str">
        <f>Sheet4!G1387</f>
        <v>Nuôi trồng nông &amp; hải sản</v>
      </c>
      <c r="I1408" s="9" t="str" cm="1">
        <f t="array" ref="I140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08" s="9" t="str" cm="1">
        <f t="array" ref="J140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08" s="10" cm="1">
        <f t="array" ref="K140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08" s="10" cm="1">
        <f t="array" ref="L140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08" s="9" t="str" cm="1">
        <f t="array" ref="M140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08" s="9" t="str" cm="1">
        <f t="array" ref="N140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08" s="10" cm="1">
        <f t="array" ref="O1408">IFERROR(INDEX(Sheet4!$2:$1605,MATCH(ChiTietKQKD[[#This Row],[Mã CP]],Sheet4!$B$2:$B$1605,0),_xlfn.XMATCH("*Tăng trưởng lợi nhuận sau thuế (YoY) (Quý*",Sheet4!$1:$1,2)),"")</f>
        <v>0</v>
      </c>
      <c r="P1408" s="10" cm="1">
        <f t="array" ref="P1408">IFERROR(INDEX(Sheet4!$2:$1605,MATCH(ChiTietKQKD[[#This Row],[Mã CP]],Sheet4!$B$2:$B$1605,0),_xlfn.XMATCH("*Tăng trưởng lợi nhuận sau thuế (YoY) (6M)*",Sheet4!$1:$1,2)),"")</f>
        <v>0</v>
      </c>
      <c r="Q1408" s="10" cm="1">
        <f t="array" ref="Q1408">IFERROR(INDEX(Sheet4!$2:$1605,MATCH(ChiTietKQKD[[#This Row],[Mã CP]],Sheet4!$B$2:$B$1605,0),_xlfn.XMATCH("*Tăng trưởng doanh thu thuần (QoQ)*",Sheet4!$1:$1,2)),"")</f>
        <v>0</v>
      </c>
      <c r="R1408" s="10" cm="1">
        <f t="array" ref="R1408">IFERROR(INDEX(Sheet4!$2:$1605,MATCH(ChiTietKQKD[[#This Row],[Mã CP]],Sheet4!$B$2:$B$1605,0),_xlfn.XMATCH("*Tăng trưởng lợi nhuận sau thuế (QoQ)*",Sheet4!$1:$1,2)),"")</f>
        <v>0</v>
      </c>
    </row>
    <row r="1409" spans="1:18" x14ac:dyDescent="0.25">
      <c r="A1409" s="7">
        <f>Sheet4!A1388</f>
        <v>1387</v>
      </c>
      <c r="B1409" t="str">
        <f>Sheet4!B1388</f>
        <v>SPH</v>
      </c>
      <c r="C1409" t="str">
        <f>Sheet4!C1387</f>
        <v>Thủy sản Miền Trung</v>
      </c>
      <c r="D1409" t="str">
        <f>Sheet4!D1388</f>
        <v>UPCoM</v>
      </c>
      <c r="E1409" s="7">
        <f>Sheet4!AH1388/1000000000</f>
        <v>68</v>
      </c>
      <c r="F1409" t="str">
        <f>Sheet4!E1388</f>
        <v>Hàng Tiêu dùng</v>
      </c>
      <c r="G1409" t="str">
        <f>Sheet4!F1388</f>
        <v>Thực phẩm và đồ uống</v>
      </c>
      <c r="H1409" t="str">
        <f>Sheet4!G1388</f>
        <v>Nuôi trồng nông &amp; hải sản</v>
      </c>
      <c r="I1409" s="9" t="str" cm="1">
        <f t="array" ref="I140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09" s="9" t="str" cm="1">
        <f t="array" ref="J140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09" s="10" cm="1">
        <f t="array" ref="K140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09" s="10" cm="1">
        <f t="array" ref="L140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09" s="9" t="str" cm="1">
        <f t="array" ref="M140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09" s="9" t="str" cm="1">
        <f t="array" ref="N140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09" s="10" cm="1">
        <f t="array" ref="O1409">IFERROR(INDEX(Sheet4!$2:$1605,MATCH(ChiTietKQKD[[#This Row],[Mã CP]],Sheet4!$B$2:$B$1605,0),_xlfn.XMATCH("*Tăng trưởng lợi nhuận sau thuế (YoY) (Quý*",Sheet4!$1:$1,2)),"")</f>
        <v>0</v>
      </c>
      <c r="P1409" s="10" cm="1">
        <f t="array" ref="P1409">IFERROR(INDEX(Sheet4!$2:$1605,MATCH(ChiTietKQKD[[#This Row],[Mã CP]],Sheet4!$B$2:$B$1605,0),_xlfn.XMATCH("*Tăng trưởng lợi nhuận sau thuế (YoY) (6M)*",Sheet4!$1:$1,2)),"")</f>
        <v>0</v>
      </c>
      <c r="Q1409" s="10" cm="1">
        <f t="array" ref="Q1409">IFERROR(INDEX(Sheet4!$2:$1605,MATCH(ChiTietKQKD[[#This Row],[Mã CP]],Sheet4!$B$2:$B$1605,0),_xlfn.XMATCH("*Tăng trưởng doanh thu thuần (QoQ)*",Sheet4!$1:$1,2)),"")</f>
        <v>0</v>
      </c>
      <c r="R1409" s="10" cm="1">
        <f t="array" ref="R1409">IFERROR(INDEX(Sheet4!$2:$1605,MATCH(ChiTietKQKD[[#This Row],[Mã CP]],Sheet4!$B$2:$B$1605,0),_xlfn.XMATCH("*Tăng trưởng lợi nhuận sau thuế (QoQ)*",Sheet4!$1:$1,2)),"")</f>
        <v>0</v>
      </c>
    </row>
    <row r="1410" spans="1:18" x14ac:dyDescent="0.25">
      <c r="A1410" s="7">
        <f>Sheet4!A1389</f>
        <v>1388</v>
      </c>
      <c r="B1410" t="str">
        <f>Sheet4!B1389</f>
        <v>SPI</v>
      </c>
      <c r="C1410" t="str">
        <f>Sheet4!C1388</f>
        <v>XNK Thủy sản Hà Nội</v>
      </c>
      <c r="D1410" t="str">
        <f>Sheet4!D1389</f>
        <v>UPCoM</v>
      </c>
      <c r="E1410" s="7">
        <f>Sheet4!AH1389/1000000000</f>
        <v>30.266999999999999</v>
      </c>
      <c r="F1410" t="str">
        <f>Sheet4!E1389</f>
        <v>Nguyên vật liệu</v>
      </c>
      <c r="G1410" t="str">
        <f>Sheet4!F1389</f>
        <v>Tài nguyên Cơ bản</v>
      </c>
      <c r="H1410" t="str">
        <f>Sheet4!G1389</f>
        <v>Khai khoáng</v>
      </c>
      <c r="I1410" s="9" t="str" cm="1">
        <f t="array" ref="I141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10" s="9" t="str" cm="1">
        <f t="array" ref="J141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10" s="10" cm="1">
        <f t="array" ref="K141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10" s="10" cm="1">
        <f t="array" ref="L141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10" s="9" t="str" cm="1">
        <f t="array" ref="M141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10" s="9" t="str" cm="1">
        <f t="array" ref="N141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10" s="10" cm="1">
        <f t="array" ref="O1410">IFERROR(INDEX(Sheet4!$2:$1605,MATCH(ChiTietKQKD[[#This Row],[Mã CP]],Sheet4!$B$2:$B$1605,0),_xlfn.XMATCH("*Tăng trưởng lợi nhuận sau thuế (YoY) (Quý*",Sheet4!$1:$1,2)),"")</f>
        <v>0</v>
      </c>
      <c r="P1410" s="10" cm="1">
        <f t="array" ref="P1410">IFERROR(INDEX(Sheet4!$2:$1605,MATCH(ChiTietKQKD[[#This Row],[Mã CP]],Sheet4!$B$2:$B$1605,0),_xlfn.XMATCH("*Tăng trưởng lợi nhuận sau thuế (YoY) (6M)*",Sheet4!$1:$1,2)),"")</f>
        <v>0</v>
      </c>
      <c r="Q1410" s="10" cm="1">
        <f t="array" ref="Q1410">IFERROR(INDEX(Sheet4!$2:$1605,MATCH(ChiTietKQKD[[#This Row],[Mã CP]],Sheet4!$B$2:$B$1605,0),_xlfn.XMATCH("*Tăng trưởng doanh thu thuần (QoQ)*",Sheet4!$1:$1,2)),"")</f>
        <v>0</v>
      </c>
      <c r="R1410" s="10" cm="1">
        <f t="array" ref="R1410">IFERROR(INDEX(Sheet4!$2:$1605,MATCH(ChiTietKQKD[[#This Row],[Mã CP]],Sheet4!$B$2:$B$1605,0),_xlfn.XMATCH("*Tăng trưởng lợi nhuận sau thuế (QoQ)*",Sheet4!$1:$1,2)),"")</f>
        <v>0</v>
      </c>
    </row>
    <row r="1411" spans="1:18" x14ac:dyDescent="0.25">
      <c r="A1411" s="7">
        <f>Sheet4!A1390</f>
        <v>1389</v>
      </c>
      <c r="B1411" t="str">
        <f>Sheet4!B1390</f>
        <v>SPV</v>
      </c>
      <c r="C1411" t="str">
        <f>Sheet4!C1389</f>
        <v>Spiral Galaxy</v>
      </c>
      <c r="D1411" t="str">
        <f>Sheet4!D1390</f>
        <v>UPCoM</v>
      </c>
      <c r="E1411" s="7">
        <f>Sheet4!AH1390/1000000000</f>
        <v>415.86006285600001</v>
      </c>
      <c r="F1411" t="str">
        <f>Sheet4!E1390</f>
        <v>Hàng Tiêu dùng</v>
      </c>
      <c r="G1411" t="str">
        <f>Sheet4!F1390</f>
        <v>Thực phẩm và đồ uống</v>
      </c>
      <c r="H1411" t="str">
        <f>Sheet4!G1390</f>
        <v>Nuôi trồng nông &amp; hải sản</v>
      </c>
      <c r="I1411" s="9" t="str" cm="1">
        <f t="array" ref="I141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11" s="9" t="str" cm="1">
        <f t="array" ref="J141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11" s="10" cm="1">
        <f t="array" ref="K141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11" s="10" cm="1">
        <f t="array" ref="L141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11" s="9" t="str" cm="1">
        <f t="array" ref="M141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11" s="9" t="str" cm="1">
        <f t="array" ref="N141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11" s="10" cm="1">
        <f t="array" ref="O1411">IFERROR(INDEX(Sheet4!$2:$1605,MATCH(ChiTietKQKD[[#This Row],[Mã CP]],Sheet4!$B$2:$B$1605,0),_xlfn.XMATCH("*Tăng trưởng lợi nhuận sau thuế (YoY) (Quý*",Sheet4!$1:$1,2)),"")</f>
        <v>0</v>
      </c>
      <c r="P1411" s="10" cm="1">
        <f t="array" ref="P1411">IFERROR(INDEX(Sheet4!$2:$1605,MATCH(ChiTietKQKD[[#This Row],[Mã CP]],Sheet4!$B$2:$B$1605,0),_xlfn.XMATCH("*Tăng trưởng lợi nhuận sau thuế (YoY) (6M)*",Sheet4!$1:$1,2)),"")</f>
        <v>0</v>
      </c>
      <c r="Q1411" s="10" cm="1">
        <f t="array" ref="Q1411">IFERROR(INDEX(Sheet4!$2:$1605,MATCH(ChiTietKQKD[[#This Row],[Mã CP]],Sheet4!$B$2:$B$1605,0),_xlfn.XMATCH("*Tăng trưởng doanh thu thuần (QoQ)*",Sheet4!$1:$1,2)),"")</f>
        <v>0</v>
      </c>
      <c r="R1411" s="10" cm="1">
        <f t="array" ref="R1411">IFERROR(INDEX(Sheet4!$2:$1605,MATCH(ChiTietKQKD[[#This Row],[Mã CP]],Sheet4!$B$2:$B$1605,0),_xlfn.XMATCH("*Tăng trưởng lợi nhuận sau thuế (QoQ)*",Sheet4!$1:$1,2)),"")</f>
        <v>0</v>
      </c>
    </row>
    <row r="1412" spans="1:18" x14ac:dyDescent="0.25">
      <c r="A1412" s="7">
        <f>Sheet4!A1391</f>
        <v>1390</v>
      </c>
      <c r="B1412" t="str">
        <f>Sheet4!B1391</f>
        <v>SRB</v>
      </c>
      <c r="C1412" t="str">
        <f>Sheet4!C1390</f>
        <v>Thủy đặc sản</v>
      </c>
      <c r="D1412" t="str">
        <f>Sheet4!D1391</f>
        <v>UPCoM</v>
      </c>
      <c r="E1412" s="7">
        <f>Sheet4!AH1391/1000000000</f>
        <v>12.75</v>
      </c>
      <c r="F1412" t="str">
        <f>Sheet4!E1391</f>
        <v>Công nghệ Thông tin</v>
      </c>
      <c r="G1412" t="str">
        <f>Sheet4!F1391</f>
        <v>Công nghệ Thông tin</v>
      </c>
      <c r="H1412" t="str">
        <f>Sheet4!G1391</f>
        <v>Phần mềm</v>
      </c>
      <c r="I1412" s="9" t="str" cm="1">
        <f t="array" ref="I141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12" s="9" t="str" cm="1">
        <f t="array" ref="J141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12" s="10" cm="1">
        <f t="array" ref="K141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12" s="10" cm="1">
        <f t="array" ref="L141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12" s="9" t="str" cm="1">
        <f t="array" ref="M141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12" s="9" t="str" cm="1">
        <f t="array" ref="N141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12" s="10" cm="1">
        <f t="array" ref="O1412">IFERROR(INDEX(Sheet4!$2:$1605,MATCH(ChiTietKQKD[[#This Row],[Mã CP]],Sheet4!$B$2:$B$1605,0),_xlfn.XMATCH("*Tăng trưởng lợi nhuận sau thuế (YoY) (Quý*",Sheet4!$1:$1,2)),"")</f>
        <v>0</v>
      </c>
      <c r="P1412" s="10" cm="1">
        <f t="array" ref="P1412">IFERROR(INDEX(Sheet4!$2:$1605,MATCH(ChiTietKQKD[[#This Row],[Mã CP]],Sheet4!$B$2:$B$1605,0),_xlfn.XMATCH("*Tăng trưởng lợi nhuận sau thuế (YoY) (6M)*",Sheet4!$1:$1,2)),"")</f>
        <v>0</v>
      </c>
      <c r="Q1412" s="10" cm="1">
        <f t="array" ref="Q1412">IFERROR(INDEX(Sheet4!$2:$1605,MATCH(ChiTietKQKD[[#This Row],[Mã CP]],Sheet4!$B$2:$B$1605,0),_xlfn.XMATCH("*Tăng trưởng doanh thu thuần (QoQ)*",Sheet4!$1:$1,2)),"")</f>
        <v>0</v>
      </c>
      <c r="R1412" s="10" cm="1">
        <f t="array" ref="R1412">IFERROR(INDEX(Sheet4!$2:$1605,MATCH(ChiTietKQKD[[#This Row],[Mã CP]],Sheet4!$B$2:$B$1605,0),_xlfn.XMATCH("*Tăng trưởng lợi nhuận sau thuế (QoQ)*",Sheet4!$1:$1,2)),"")</f>
        <v>0</v>
      </c>
    </row>
    <row r="1413" spans="1:18" x14ac:dyDescent="0.25">
      <c r="A1413" s="7">
        <f>Sheet4!A1392</f>
        <v>1391</v>
      </c>
      <c r="B1413" t="str">
        <f>Sheet4!B1392</f>
        <v>SSG</v>
      </c>
      <c r="C1413" t="str">
        <f>Sheet4!C1391</f>
        <v>SARA</v>
      </c>
      <c r="D1413" t="str">
        <f>Sheet4!D1392</f>
        <v>UPCoM</v>
      </c>
      <c r="E1413" s="7">
        <f>Sheet4!AH1392/1000000000</f>
        <v>34.370210999999998</v>
      </c>
      <c r="F1413" t="str">
        <f>Sheet4!E1392</f>
        <v>Công nghiệp</v>
      </c>
      <c r="G1413" t="str">
        <f>Sheet4!F1392</f>
        <v>Hàng &amp; Dịch vụ Công nghiệp</v>
      </c>
      <c r="H1413" t="str">
        <f>Sheet4!G1392</f>
        <v>Vận tải Thủy</v>
      </c>
      <c r="I1413" s="9" t="str" cm="1">
        <f t="array" ref="I141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13" s="9" t="str" cm="1">
        <f t="array" ref="J141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13" s="10" cm="1">
        <f t="array" ref="K141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13" s="10" cm="1">
        <f t="array" ref="L141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13" s="9" t="str" cm="1">
        <f t="array" ref="M141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13" s="9" t="str" cm="1">
        <f t="array" ref="N141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13" s="10" cm="1">
        <f t="array" ref="O1413">IFERROR(INDEX(Sheet4!$2:$1605,MATCH(ChiTietKQKD[[#This Row],[Mã CP]],Sheet4!$B$2:$B$1605,0),_xlfn.XMATCH("*Tăng trưởng lợi nhuận sau thuế (YoY) (Quý*",Sheet4!$1:$1,2)),"")</f>
        <v>0</v>
      </c>
      <c r="P1413" s="10" cm="1">
        <f t="array" ref="P1413">IFERROR(INDEX(Sheet4!$2:$1605,MATCH(ChiTietKQKD[[#This Row],[Mã CP]],Sheet4!$B$2:$B$1605,0),_xlfn.XMATCH("*Tăng trưởng lợi nhuận sau thuế (YoY) (6M)*",Sheet4!$1:$1,2)),"")</f>
        <v>0</v>
      </c>
      <c r="Q1413" s="10" cm="1">
        <f t="array" ref="Q1413">IFERROR(INDEX(Sheet4!$2:$1605,MATCH(ChiTietKQKD[[#This Row],[Mã CP]],Sheet4!$B$2:$B$1605,0),_xlfn.XMATCH("*Tăng trưởng doanh thu thuần (QoQ)*",Sheet4!$1:$1,2)),"")</f>
        <v>0</v>
      </c>
      <c r="R1413" s="10" cm="1">
        <f t="array" ref="R1413">IFERROR(INDEX(Sheet4!$2:$1605,MATCH(ChiTietKQKD[[#This Row],[Mã CP]],Sheet4!$B$2:$B$1605,0),_xlfn.XMATCH("*Tăng trưởng lợi nhuận sau thuế (QoQ)*",Sheet4!$1:$1,2)),"")</f>
        <v>0</v>
      </c>
    </row>
    <row r="1414" spans="1:18" x14ac:dyDescent="0.25">
      <c r="A1414" s="7">
        <f>Sheet4!A1393</f>
        <v>1392</v>
      </c>
      <c r="B1414" t="str">
        <f>Sheet4!B1393</f>
        <v>SSH</v>
      </c>
      <c r="C1414" t="str">
        <f>Sheet4!C1392</f>
        <v>Vận tải Biển Hải Âu</v>
      </c>
      <c r="D1414" t="str">
        <f>Sheet4!D1393</f>
        <v>UPCoM</v>
      </c>
      <c r="E1414" s="7">
        <f>Sheet4!AH1393/1000000000</f>
        <v>23137.5</v>
      </c>
      <c r="F1414" t="str">
        <f>Sheet4!E1393</f>
        <v>Tài chính</v>
      </c>
      <c r="G1414" t="str">
        <f>Sheet4!F1393</f>
        <v>Bất động sản</v>
      </c>
      <c r="H1414" t="str">
        <f>Sheet4!G1393</f>
        <v>Bất động sản</v>
      </c>
      <c r="I1414" s="9" t="str" cm="1">
        <f t="array" ref="I141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14" s="9" t="str" cm="1">
        <f t="array" ref="J141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14" s="10" cm="1">
        <f t="array" ref="K141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14" s="10" cm="1">
        <f t="array" ref="L141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14" s="9" t="str" cm="1">
        <f t="array" ref="M141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14" s="9" t="str" cm="1">
        <f t="array" ref="N141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14" s="10" cm="1">
        <f t="array" ref="O1414">IFERROR(INDEX(Sheet4!$2:$1605,MATCH(ChiTietKQKD[[#This Row],[Mã CP]],Sheet4!$B$2:$B$1605,0),_xlfn.XMATCH("*Tăng trưởng lợi nhuận sau thuế (YoY) (Quý*",Sheet4!$1:$1,2)),"")</f>
        <v>0</v>
      </c>
      <c r="P1414" s="10" cm="1">
        <f t="array" ref="P1414">IFERROR(INDEX(Sheet4!$2:$1605,MATCH(ChiTietKQKD[[#This Row],[Mã CP]],Sheet4!$B$2:$B$1605,0),_xlfn.XMATCH("*Tăng trưởng lợi nhuận sau thuế (YoY) (6M)*",Sheet4!$1:$1,2)),"")</f>
        <v>0</v>
      </c>
      <c r="Q1414" s="10" cm="1">
        <f t="array" ref="Q1414">IFERROR(INDEX(Sheet4!$2:$1605,MATCH(ChiTietKQKD[[#This Row],[Mã CP]],Sheet4!$B$2:$B$1605,0),_xlfn.XMATCH("*Tăng trưởng doanh thu thuần (QoQ)*",Sheet4!$1:$1,2)),"")</f>
        <v>0</v>
      </c>
      <c r="R1414" s="10" cm="1">
        <f t="array" ref="R1414">IFERROR(INDEX(Sheet4!$2:$1605,MATCH(ChiTietKQKD[[#This Row],[Mã CP]],Sheet4!$B$2:$B$1605,0),_xlfn.XMATCH("*Tăng trưởng lợi nhuận sau thuế (QoQ)*",Sheet4!$1:$1,2)),"")</f>
        <v>0</v>
      </c>
    </row>
    <row r="1415" spans="1:18" x14ac:dyDescent="0.25">
      <c r="A1415" s="7">
        <f>Sheet4!A1394</f>
        <v>1393</v>
      </c>
      <c r="B1415" t="str">
        <f>Sheet4!B1394</f>
        <v>SST</v>
      </c>
      <c r="C1415" t="str">
        <f>Sheet4!C1393</f>
        <v>Phát triển Sunshine Homes</v>
      </c>
      <c r="D1415" t="str">
        <f>Sheet4!D1394</f>
        <v>UPCoM</v>
      </c>
      <c r="E1415" s="7">
        <f>Sheet4!AH1394/1000000000</f>
        <v>0</v>
      </c>
      <c r="F1415" t="str">
        <f>Sheet4!E1394</f>
        <v>Hàng Tiêu dùng</v>
      </c>
      <c r="G1415" t="str">
        <f>Sheet4!F1394</f>
        <v>Thực phẩm và đồ uống</v>
      </c>
      <c r="H1415" t="str">
        <f>Sheet4!G1394</f>
        <v>Sản xuất bia</v>
      </c>
      <c r="I1415" s="9" t="str" cm="1">
        <f t="array" ref="I141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15" s="9" t="str" cm="1">
        <f t="array" ref="J141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15" s="10" cm="1">
        <f t="array" ref="K141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15" s="10" cm="1">
        <f t="array" ref="L141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15" s="9" t="str" cm="1">
        <f t="array" ref="M141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15" s="9" t="str" cm="1">
        <f t="array" ref="N141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15" s="10" cm="1">
        <f t="array" ref="O1415">IFERROR(INDEX(Sheet4!$2:$1605,MATCH(ChiTietKQKD[[#This Row],[Mã CP]],Sheet4!$B$2:$B$1605,0),_xlfn.XMATCH("*Tăng trưởng lợi nhuận sau thuế (YoY) (Quý*",Sheet4!$1:$1,2)),"")</f>
        <v>0</v>
      </c>
      <c r="P1415" s="10" cm="1">
        <f t="array" ref="P1415">IFERROR(INDEX(Sheet4!$2:$1605,MATCH(ChiTietKQKD[[#This Row],[Mã CP]],Sheet4!$B$2:$B$1605,0),_xlfn.XMATCH("*Tăng trưởng lợi nhuận sau thuế (YoY) (6M)*",Sheet4!$1:$1,2)),"")</f>
        <v>0</v>
      </c>
      <c r="Q1415" s="10" cm="1">
        <f t="array" ref="Q1415">IFERROR(INDEX(Sheet4!$2:$1605,MATCH(ChiTietKQKD[[#This Row],[Mã CP]],Sheet4!$B$2:$B$1605,0),_xlfn.XMATCH("*Tăng trưởng doanh thu thuần (QoQ)*",Sheet4!$1:$1,2)),"")</f>
        <v>0</v>
      </c>
      <c r="R1415" s="10" cm="1">
        <f t="array" ref="R1415">IFERROR(INDEX(Sheet4!$2:$1605,MATCH(ChiTietKQKD[[#This Row],[Mã CP]],Sheet4!$B$2:$B$1605,0),_xlfn.XMATCH("*Tăng trưởng lợi nhuận sau thuế (QoQ)*",Sheet4!$1:$1,2)),"")</f>
        <v>0</v>
      </c>
    </row>
    <row r="1416" spans="1:18" x14ac:dyDescent="0.25">
      <c r="A1416" s="7">
        <f>Sheet4!A1395</f>
        <v>1394</v>
      </c>
      <c r="B1416" t="str">
        <f>Sheet4!B1395</f>
        <v>STD</v>
      </c>
      <c r="C1416" t="str">
        <f>Sheet4!C1394</f>
        <v>TM Sabeco Sông Tiền</v>
      </c>
      <c r="D1416" t="str">
        <f>Sheet4!D1395</f>
        <v>UPCoM</v>
      </c>
      <c r="E1416" s="7">
        <f>Sheet4!AH1395/1000000000</f>
        <v>114</v>
      </c>
      <c r="F1416" t="str">
        <f>Sheet4!E1395</f>
        <v>Hàng Tiêu dùng</v>
      </c>
      <c r="G1416" t="str">
        <f>Sheet4!F1395</f>
        <v>Thực phẩm và đồ uống</v>
      </c>
      <c r="H1416" t="str">
        <f>Sheet4!G1395</f>
        <v>Sản xuất bia</v>
      </c>
      <c r="I1416" s="9" t="str" cm="1">
        <f t="array" ref="I141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16" s="9" t="str" cm="1">
        <f t="array" ref="J141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16" s="10" cm="1">
        <f t="array" ref="K141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16" s="10" cm="1">
        <f t="array" ref="L141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16" s="9" t="str" cm="1">
        <f t="array" ref="M141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16" s="9" t="str" cm="1">
        <f t="array" ref="N141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16" s="10" cm="1">
        <f t="array" ref="O1416">IFERROR(INDEX(Sheet4!$2:$1605,MATCH(ChiTietKQKD[[#This Row],[Mã CP]],Sheet4!$B$2:$B$1605,0),_xlfn.XMATCH("*Tăng trưởng lợi nhuận sau thuế (YoY) (Quý*",Sheet4!$1:$1,2)),"")</f>
        <v>0</v>
      </c>
      <c r="P1416" s="10" cm="1">
        <f t="array" ref="P1416">IFERROR(INDEX(Sheet4!$2:$1605,MATCH(ChiTietKQKD[[#This Row],[Mã CP]],Sheet4!$B$2:$B$1605,0),_xlfn.XMATCH("*Tăng trưởng lợi nhuận sau thuế (YoY) (6M)*",Sheet4!$1:$1,2)),"")</f>
        <v>0</v>
      </c>
      <c r="Q1416" s="10" cm="1">
        <f t="array" ref="Q1416">IFERROR(INDEX(Sheet4!$2:$1605,MATCH(ChiTietKQKD[[#This Row],[Mã CP]],Sheet4!$B$2:$B$1605,0),_xlfn.XMATCH("*Tăng trưởng doanh thu thuần (QoQ)*",Sheet4!$1:$1,2)),"")</f>
        <v>0</v>
      </c>
      <c r="R1416" s="10" cm="1">
        <f t="array" ref="R1416">IFERROR(INDEX(Sheet4!$2:$1605,MATCH(ChiTietKQKD[[#This Row],[Mã CP]],Sheet4!$B$2:$B$1605,0),_xlfn.XMATCH("*Tăng trưởng lợi nhuận sau thuế (QoQ)*",Sheet4!$1:$1,2)),"")</f>
        <v>0</v>
      </c>
    </row>
    <row r="1417" spans="1:18" x14ac:dyDescent="0.25">
      <c r="A1417" s="7">
        <f>Sheet4!A1396</f>
        <v>1395</v>
      </c>
      <c r="B1417" t="str">
        <f>Sheet4!B1396</f>
        <v>STH</v>
      </c>
      <c r="C1417" t="str">
        <f>Sheet4!C1395</f>
        <v>Bia - NGK Sài Gòn - Tây Đô</v>
      </c>
      <c r="D1417" t="str">
        <f>Sheet4!D1396</f>
        <v>UPCoM</v>
      </c>
      <c r="E1417" s="7">
        <f>Sheet4!AH1396/1000000000</f>
        <v>405.21</v>
      </c>
      <c r="F1417" t="str">
        <f>Sheet4!E1396</f>
        <v>Dịch vụ Tiêu dùng</v>
      </c>
      <c r="G1417" t="str">
        <f>Sheet4!F1396</f>
        <v>Truyền thông</v>
      </c>
      <c r="H1417" t="str">
        <f>Sheet4!G1396</f>
        <v>Sách, ấn bản &amp; sản phẩm văn hóa</v>
      </c>
      <c r="I1417" s="9" t="str" cm="1">
        <f t="array" ref="I141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17" s="9" t="str" cm="1">
        <f t="array" ref="J141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17" s="10" cm="1">
        <f t="array" ref="K141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17" s="10" cm="1">
        <f t="array" ref="L141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17" s="9" t="str" cm="1">
        <f t="array" ref="M141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17" s="9" t="str" cm="1">
        <f t="array" ref="N141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17" s="10" cm="1">
        <f t="array" ref="O1417">IFERROR(INDEX(Sheet4!$2:$1605,MATCH(ChiTietKQKD[[#This Row],[Mã CP]],Sheet4!$B$2:$B$1605,0),_xlfn.XMATCH("*Tăng trưởng lợi nhuận sau thuế (YoY) (Quý*",Sheet4!$1:$1,2)),"")</f>
        <v>0</v>
      </c>
      <c r="P1417" s="10" cm="1">
        <f t="array" ref="P1417">IFERROR(INDEX(Sheet4!$2:$1605,MATCH(ChiTietKQKD[[#This Row],[Mã CP]],Sheet4!$B$2:$B$1605,0),_xlfn.XMATCH("*Tăng trưởng lợi nhuận sau thuế (YoY) (6M)*",Sheet4!$1:$1,2)),"")</f>
        <v>0</v>
      </c>
      <c r="Q1417" s="10" cm="1">
        <f t="array" ref="Q1417">IFERROR(INDEX(Sheet4!$2:$1605,MATCH(ChiTietKQKD[[#This Row],[Mã CP]],Sheet4!$B$2:$B$1605,0),_xlfn.XMATCH("*Tăng trưởng doanh thu thuần (QoQ)*",Sheet4!$1:$1,2)),"")</f>
        <v>0</v>
      </c>
      <c r="R1417" s="10" cm="1">
        <f t="array" ref="R1417">IFERROR(INDEX(Sheet4!$2:$1605,MATCH(ChiTietKQKD[[#This Row],[Mã CP]],Sheet4!$B$2:$B$1605,0),_xlfn.XMATCH("*Tăng trưởng lợi nhuận sau thuế (QoQ)*",Sheet4!$1:$1,2)),"")</f>
        <v>0</v>
      </c>
    </row>
    <row r="1418" spans="1:18" x14ac:dyDescent="0.25">
      <c r="A1418" s="7">
        <f>Sheet4!A1397</f>
        <v>1396</v>
      </c>
      <c r="B1418" t="str">
        <f>Sheet4!B1397</f>
        <v>STS</v>
      </c>
      <c r="C1418" t="str">
        <f>Sheet4!C1396</f>
        <v>STH Holdings</v>
      </c>
      <c r="D1418" t="str">
        <f>Sheet4!D1397</f>
        <v>UPCoM</v>
      </c>
      <c r="E1418" s="7">
        <f>Sheet4!AH1397/1000000000</f>
        <v>368.27928939999998</v>
      </c>
      <c r="F1418" t="str">
        <f>Sheet4!E1397</f>
        <v>Công nghiệp</v>
      </c>
      <c r="G1418" t="str">
        <f>Sheet4!F1397</f>
        <v>Hàng &amp; Dịch vụ Công nghiệp</v>
      </c>
      <c r="H1418" t="str">
        <f>Sheet4!G1397</f>
        <v>Dịch vụ vận tải</v>
      </c>
      <c r="I1418" s="9" t="str" cm="1">
        <f t="array" ref="I141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18" s="9" t="str" cm="1">
        <f t="array" ref="J141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18" s="10" cm="1">
        <f t="array" ref="K141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18" s="10" cm="1">
        <f t="array" ref="L141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18" s="9" t="str" cm="1">
        <f t="array" ref="M141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18" s="9" t="str" cm="1">
        <f t="array" ref="N141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18" s="10" cm="1">
        <f t="array" ref="O1418">IFERROR(INDEX(Sheet4!$2:$1605,MATCH(ChiTietKQKD[[#This Row],[Mã CP]],Sheet4!$B$2:$B$1605,0),_xlfn.XMATCH("*Tăng trưởng lợi nhuận sau thuế (YoY) (Quý*",Sheet4!$1:$1,2)),"")</f>
        <v>0</v>
      </c>
      <c r="P1418" s="10" cm="1">
        <f t="array" ref="P1418">IFERROR(INDEX(Sheet4!$2:$1605,MATCH(ChiTietKQKD[[#This Row],[Mã CP]],Sheet4!$B$2:$B$1605,0),_xlfn.XMATCH("*Tăng trưởng lợi nhuận sau thuế (YoY) (6M)*",Sheet4!$1:$1,2)),"")</f>
        <v>0</v>
      </c>
      <c r="Q1418" s="10" cm="1">
        <f t="array" ref="Q1418">IFERROR(INDEX(Sheet4!$2:$1605,MATCH(ChiTietKQKD[[#This Row],[Mã CP]],Sheet4!$B$2:$B$1605,0),_xlfn.XMATCH("*Tăng trưởng doanh thu thuần (QoQ)*",Sheet4!$1:$1,2)),"")</f>
        <v>0</v>
      </c>
      <c r="R1418" s="10" cm="1">
        <f t="array" ref="R1418">IFERROR(INDEX(Sheet4!$2:$1605,MATCH(ChiTietKQKD[[#This Row],[Mã CP]],Sheet4!$B$2:$B$1605,0),_xlfn.XMATCH("*Tăng trưởng lợi nhuận sau thuế (QoQ)*",Sheet4!$1:$1,2)),"")</f>
        <v>0</v>
      </c>
    </row>
    <row r="1419" spans="1:18" x14ac:dyDescent="0.25">
      <c r="A1419" s="7">
        <f>Sheet4!A1398</f>
        <v>1397</v>
      </c>
      <c r="B1419" t="str">
        <f>Sheet4!B1398</f>
        <v>STT</v>
      </c>
      <c r="C1419" t="str">
        <f>Sheet4!C1397</f>
        <v>Dịch vụ vận tải Sài Gòn</v>
      </c>
      <c r="D1419" t="str">
        <f>Sheet4!D1398</f>
        <v>UPCoM</v>
      </c>
      <c r="E1419" s="7">
        <f>Sheet4!AH1398/1000000000</f>
        <v>10.4</v>
      </c>
      <c r="F1419" t="str">
        <f>Sheet4!E1398</f>
        <v>Dịch vụ Tiêu dùng</v>
      </c>
      <c r="G1419" t="str">
        <f>Sheet4!F1398</f>
        <v>Du lịch và Giải trí</v>
      </c>
      <c r="H1419" t="str">
        <f>Sheet4!G1398</f>
        <v>Vận tải hành khách &amp; Du lịch</v>
      </c>
      <c r="I1419" s="9" t="str" cm="1">
        <f t="array" ref="I141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19" s="9" t="str" cm="1">
        <f t="array" ref="J141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19" s="10" cm="1">
        <f t="array" ref="K141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19" s="10" cm="1">
        <f t="array" ref="L141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19" s="9" t="str" cm="1">
        <f t="array" ref="M141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19" s="9" t="str" cm="1">
        <f t="array" ref="N141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19" s="10" cm="1">
        <f t="array" ref="O1419">IFERROR(INDEX(Sheet4!$2:$1605,MATCH(ChiTietKQKD[[#This Row],[Mã CP]],Sheet4!$B$2:$B$1605,0),_xlfn.XMATCH("*Tăng trưởng lợi nhuận sau thuế (YoY) (Quý*",Sheet4!$1:$1,2)),"")</f>
        <v>0</v>
      </c>
      <c r="P1419" s="10" cm="1">
        <f t="array" ref="P1419">IFERROR(INDEX(Sheet4!$2:$1605,MATCH(ChiTietKQKD[[#This Row],[Mã CP]],Sheet4!$B$2:$B$1605,0),_xlfn.XMATCH("*Tăng trưởng lợi nhuận sau thuế (YoY) (6M)*",Sheet4!$1:$1,2)),"")</f>
        <v>0</v>
      </c>
      <c r="Q1419" s="10" cm="1">
        <f t="array" ref="Q1419">IFERROR(INDEX(Sheet4!$2:$1605,MATCH(ChiTietKQKD[[#This Row],[Mã CP]],Sheet4!$B$2:$B$1605,0),_xlfn.XMATCH("*Tăng trưởng doanh thu thuần (QoQ)*",Sheet4!$1:$1,2)),"")</f>
        <v>0</v>
      </c>
      <c r="R1419" s="10" cm="1">
        <f t="array" ref="R1419">IFERROR(INDEX(Sheet4!$2:$1605,MATCH(ChiTietKQKD[[#This Row],[Mã CP]],Sheet4!$B$2:$B$1605,0),_xlfn.XMATCH("*Tăng trưởng lợi nhuận sau thuế (QoQ)*",Sheet4!$1:$1,2)),"")</f>
        <v>0</v>
      </c>
    </row>
    <row r="1420" spans="1:18" x14ac:dyDescent="0.25">
      <c r="A1420" s="7">
        <f>Sheet4!A1399</f>
        <v>1398</v>
      </c>
      <c r="B1420" t="str">
        <f>Sheet4!B1399</f>
        <v>STW</v>
      </c>
      <c r="C1420" t="str">
        <f>Sheet4!C1398</f>
        <v>Vận chuyển Sài Gòn Tourist</v>
      </c>
      <c r="D1420" t="str">
        <f>Sheet4!D1399</f>
        <v>UPCoM</v>
      </c>
      <c r="E1420" s="7">
        <f>Sheet4!AH1399/1000000000</f>
        <v>475.89398999999997</v>
      </c>
      <c r="F1420" t="str">
        <f>Sheet4!E1399</f>
        <v>Tiện ích Cộng đồng</v>
      </c>
      <c r="G1420" t="str">
        <f>Sheet4!F1399</f>
        <v>Điện, nước &amp; xăng dầu khí đốt</v>
      </c>
      <c r="H1420" t="str">
        <f>Sheet4!G1399</f>
        <v>Nước</v>
      </c>
      <c r="I1420" s="9" t="str" cm="1">
        <f t="array" ref="I142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20" s="9" t="str" cm="1">
        <f t="array" ref="J142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20" s="10" cm="1">
        <f t="array" ref="K142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20" s="10" cm="1">
        <f t="array" ref="L142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20" s="9" t="str" cm="1">
        <f t="array" ref="M142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20" s="9" t="str" cm="1">
        <f t="array" ref="N142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20" s="10" cm="1">
        <f t="array" ref="O1420">IFERROR(INDEX(Sheet4!$2:$1605,MATCH(ChiTietKQKD[[#This Row],[Mã CP]],Sheet4!$B$2:$B$1605,0),_xlfn.XMATCH("*Tăng trưởng lợi nhuận sau thuế (YoY) (Quý*",Sheet4!$1:$1,2)),"")</f>
        <v>0</v>
      </c>
      <c r="P1420" s="10" cm="1">
        <f t="array" ref="P1420">IFERROR(INDEX(Sheet4!$2:$1605,MATCH(ChiTietKQKD[[#This Row],[Mã CP]],Sheet4!$B$2:$B$1605,0),_xlfn.XMATCH("*Tăng trưởng lợi nhuận sau thuế (YoY) (6M)*",Sheet4!$1:$1,2)),"")</f>
        <v>0</v>
      </c>
      <c r="Q1420" s="10" cm="1">
        <f t="array" ref="Q1420">IFERROR(INDEX(Sheet4!$2:$1605,MATCH(ChiTietKQKD[[#This Row],[Mã CP]],Sheet4!$B$2:$B$1605,0),_xlfn.XMATCH("*Tăng trưởng doanh thu thuần (QoQ)*",Sheet4!$1:$1,2)),"")</f>
        <v>0</v>
      </c>
      <c r="R1420" s="10" cm="1">
        <f t="array" ref="R1420">IFERROR(INDEX(Sheet4!$2:$1605,MATCH(ChiTietKQKD[[#This Row],[Mã CP]],Sheet4!$B$2:$B$1605,0),_xlfn.XMATCH("*Tăng trưởng lợi nhuận sau thuế (QoQ)*",Sheet4!$1:$1,2)),"")</f>
        <v>0</v>
      </c>
    </row>
    <row r="1421" spans="1:18" x14ac:dyDescent="0.25">
      <c r="A1421" s="7">
        <f>Sheet4!A1400</f>
        <v>1399</v>
      </c>
      <c r="B1421" t="str">
        <f>Sheet4!B1400</f>
        <v>SVG</v>
      </c>
      <c r="C1421" t="str">
        <f>Sheet4!C1399</f>
        <v>Cấp nước Sóc Trăng</v>
      </c>
      <c r="D1421" t="str">
        <f>Sheet4!D1400</f>
        <v>UPCoM</v>
      </c>
      <c r="E1421" s="7">
        <f>Sheet4!AH1400/1000000000</f>
        <v>217.19</v>
      </c>
      <c r="F1421" t="str">
        <f>Sheet4!E1400</f>
        <v>Công nghiệp</v>
      </c>
      <c r="G1421" t="str">
        <f>Sheet4!F1400</f>
        <v>Hàng &amp; Dịch vụ Công nghiệp</v>
      </c>
      <c r="H1421" t="str">
        <f>Sheet4!G1400</f>
        <v>Công nghiệp phức hợp</v>
      </c>
      <c r="I1421" s="9" t="str" cm="1">
        <f t="array" ref="I142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21" s="9" t="str" cm="1">
        <f t="array" ref="J142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21" s="10" cm="1">
        <f t="array" ref="K142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21" s="10" cm="1">
        <f t="array" ref="L142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21" s="9" t="str" cm="1">
        <f t="array" ref="M142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21" s="9" t="str" cm="1">
        <f t="array" ref="N142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21" s="10" cm="1">
        <f t="array" ref="O1421">IFERROR(INDEX(Sheet4!$2:$1605,MATCH(ChiTietKQKD[[#This Row],[Mã CP]],Sheet4!$B$2:$B$1605,0),_xlfn.XMATCH("*Tăng trưởng lợi nhuận sau thuế (YoY) (Quý*",Sheet4!$1:$1,2)),"")</f>
        <v>0</v>
      </c>
      <c r="P1421" s="10" cm="1">
        <f t="array" ref="P1421">IFERROR(INDEX(Sheet4!$2:$1605,MATCH(ChiTietKQKD[[#This Row],[Mã CP]],Sheet4!$B$2:$B$1605,0),_xlfn.XMATCH("*Tăng trưởng lợi nhuận sau thuế (YoY) (6M)*",Sheet4!$1:$1,2)),"")</f>
        <v>0</v>
      </c>
      <c r="Q1421" s="10" cm="1">
        <f t="array" ref="Q1421">IFERROR(INDEX(Sheet4!$2:$1605,MATCH(ChiTietKQKD[[#This Row],[Mã CP]],Sheet4!$B$2:$B$1605,0),_xlfn.XMATCH("*Tăng trưởng doanh thu thuần (QoQ)*",Sheet4!$1:$1,2)),"")</f>
        <v>0</v>
      </c>
      <c r="R1421" s="10" cm="1">
        <f t="array" ref="R1421">IFERROR(INDEX(Sheet4!$2:$1605,MATCH(ChiTietKQKD[[#This Row],[Mã CP]],Sheet4!$B$2:$B$1605,0),_xlfn.XMATCH("*Tăng trưởng lợi nhuận sau thuế (QoQ)*",Sheet4!$1:$1,2)),"")</f>
        <v>0</v>
      </c>
    </row>
    <row r="1422" spans="1:18" x14ac:dyDescent="0.25">
      <c r="A1422" s="7">
        <f>Sheet4!A1401</f>
        <v>1400</v>
      </c>
      <c r="B1422" t="str">
        <f>Sheet4!B1401</f>
        <v>SVH</v>
      </c>
      <c r="C1422" t="str">
        <f>Sheet4!C1400</f>
        <v>Hơi kỹ nghệ Que hàn</v>
      </c>
      <c r="D1422" t="str">
        <f>Sheet4!D1401</f>
        <v>UPCoM</v>
      </c>
      <c r="E1422" s="7">
        <f>Sheet4!AH1401/1000000000</f>
        <v>88.923972000000006</v>
      </c>
      <c r="F1422" t="str">
        <f>Sheet4!E1401</f>
        <v>Tiện ích Cộng đồng</v>
      </c>
      <c r="G1422" t="str">
        <f>Sheet4!F1401</f>
        <v>Điện, nước &amp; xăng dầu khí đốt</v>
      </c>
      <c r="H1422" t="str">
        <f>Sheet4!G1401</f>
        <v>Sản xuất &amp; Phân phối Điện</v>
      </c>
      <c r="I1422" s="9" cm="1">
        <f t="array" ref="I142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13.82662071</v>
      </c>
      <c r="J1422" s="9" cm="1">
        <f t="array" ref="J142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38.471360865000001</v>
      </c>
      <c r="K1422" s="10" cm="1">
        <f t="array" ref="K142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-0.26519999999999999</v>
      </c>
      <c r="L1422" s="10" cm="1">
        <f t="array" ref="L142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-0.12709999999999999</v>
      </c>
      <c r="M1422" s="9" cm="1">
        <f t="array" ref="M1422">_xlfn.LET(_xlpm.val,IFERROR(INDEX(Sheet4!$2:$1605,MATCH(ChiTietKQKD[[#This Row],[Mã CP]],Sheet4!$B$2:$B$1605,0),_xlfn.XMATCH("*Lợi nhuận sau thuế*Q2*2026*",Sheet4!$1:$1,2)),0),IF(OR(_xlpm.val="",_xlpm.val=0),"",_xlpm.val/1000000000))</f>
        <v>5.5277812659999999</v>
      </c>
      <c r="N1422" s="9" cm="1">
        <f t="array" ref="N1422">_xlfn.LET(_xlpm.val,IFERROR(INDEX(Sheet4!$2:$1605,MATCH(ChiTietKQKD[[#This Row],[Mã CP]],Sheet4!$B$2:$B$1605,0),_xlfn.XMATCH("*Lợi nhuận sau thuế*6 tháng*2026*",Sheet4!$1:$1,2)),0),IF(OR(_xlpm.val="",_xlpm.val=0),"",_xlpm.val/1000000000))</f>
        <v>19.713036633000002</v>
      </c>
      <c r="O1422" s="10" cm="1">
        <f t="array" ref="O1422">IFERROR(INDEX(Sheet4!$2:$1605,MATCH(ChiTietKQKD[[#This Row],[Mã CP]],Sheet4!$B$2:$B$1605,0),_xlfn.XMATCH("*Tăng trưởng lợi nhuận sau thuế (YoY) (Quý*",Sheet4!$1:$1,2)),"")</f>
        <v>-0.46960000000000002</v>
      </c>
      <c r="P1422" s="10" cm="1">
        <f t="array" ref="P1422">IFERROR(INDEX(Sheet4!$2:$1605,MATCH(ChiTietKQKD[[#This Row],[Mã CP]],Sheet4!$B$2:$B$1605,0),_xlfn.XMATCH("*Tăng trưởng lợi nhuận sau thuế (YoY) (6M)*",Sheet4!$1:$1,2)),"")</f>
        <v>-0.29189999999999999</v>
      </c>
      <c r="Q1422" s="10" cm="1">
        <f t="array" ref="Q1422">IFERROR(INDEX(Sheet4!$2:$1605,MATCH(ChiTietKQKD[[#This Row],[Mã CP]],Sheet4!$B$2:$B$1605,0),_xlfn.XMATCH("*Tăng trưởng doanh thu thuần (QoQ)*",Sheet4!$1:$1,2)),"")</f>
        <v>-0.439</v>
      </c>
      <c r="R1422" s="10" cm="1">
        <f t="array" ref="R1422">IFERROR(INDEX(Sheet4!$2:$1605,MATCH(ChiTietKQKD[[#This Row],[Mã CP]],Sheet4!$B$2:$B$1605,0),_xlfn.XMATCH("*Tăng trưởng lợi nhuận sau thuế (QoQ)*",Sheet4!$1:$1,2)),"")</f>
        <v>-0.61029999999999995</v>
      </c>
    </row>
    <row r="1423" spans="1:18" x14ac:dyDescent="0.25">
      <c r="A1423" s="7">
        <f>Sheet4!A1402</f>
        <v>1401</v>
      </c>
      <c r="B1423" t="str">
        <f>Sheet4!B1402</f>
        <v>SWC</v>
      </c>
      <c r="C1423" t="str">
        <f>Sheet4!C1401</f>
        <v>Thủy điện Sông Vàng</v>
      </c>
      <c r="D1423" t="str">
        <f>Sheet4!D1402</f>
        <v>UPCoM</v>
      </c>
      <c r="E1423" s="7">
        <f>Sheet4!AH1402/1000000000</f>
        <v>1617.11</v>
      </c>
      <c r="F1423" t="str">
        <f>Sheet4!E1402</f>
        <v>Công nghiệp</v>
      </c>
      <c r="G1423" t="str">
        <f>Sheet4!F1402</f>
        <v>Hàng &amp; Dịch vụ Công nghiệp</v>
      </c>
      <c r="H1423" t="str">
        <f>Sheet4!G1402</f>
        <v>Vận tải Thủy</v>
      </c>
      <c r="I1423" s="9" t="str" cm="1">
        <f t="array" ref="I142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23" s="9" t="str" cm="1">
        <f t="array" ref="J142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23" s="10" cm="1">
        <f t="array" ref="K142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23" s="10" cm="1">
        <f t="array" ref="L142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23" s="9" t="str" cm="1">
        <f t="array" ref="M142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23" s="9" t="str" cm="1">
        <f t="array" ref="N142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23" s="10" cm="1">
        <f t="array" ref="O1423">IFERROR(INDEX(Sheet4!$2:$1605,MATCH(ChiTietKQKD[[#This Row],[Mã CP]],Sheet4!$B$2:$B$1605,0),_xlfn.XMATCH("*Tăng trưởng lợi nhuận sau thuế (YoY) (Quý*",Sheet4!$1:$1,2)),"")</f>
        <v>0</v>
      </c>
      <c r="P1423" s="10" cm="1">
        <f t="array" ref="P1423">IFERROR(INDEX(Sheet4!$2:$1605,MATCH(ChiTietKQKD[[#This Row],[Mã CP]],Sheet4!$B$2:$B$1605,0),_xlfn.XMATCH("*Tăng trưởng lợi nhuận sau thuế (YoY) (6M)*",Sheet4!$1:$1,2)),"")</f>
        <v>0</v>
      </c>
      <c r="Q1423" s="10" cm="1">
        <f t="array" ref="Q1423">IFERROR(INDEX(Sheet4!$2:$1605,MATCH(ChiTietKQKD[[#This Row],[Mã CP]],Sheet4!$B$2:$B$1605,0),_xlfn.XMATCH("*Tăng trưởng doanh thu thuần (QoQ)*",Sheet4!$1:$1,2)),"")</f>
        <v>0</v>
      </c>
      <c r="R1423" s="10" cm="1">
        <f t="array" ref="R1423">IFERROR(INDEX(Sheet4!$2:$1605,MATCH(ChiTietKQKD[[#This Row],[Mã CP]],Sheet4!$B$2:$B$1605,0),_xlfn.XMATCH("*Tăng trưởng lợi nhuận sau thuế (QoQ)*",Sheet4!$1:$1,2)),"")</f>
        <v>0</v>
      </c>
    </row>
    <row r="1424" spans="1:18" x14ac:dyDescent="0.25">
      <c r="A1424" s="7">
        <f>Sheet4!A1403</f>
        <v>1402</v>
      </c>
      <c r="B1424" t="str">
        <f>Sheet4!B1403</f>
        <v>SZE</v>
      </c>
      <c r="C1424" t="str">
        <f>Sheet4!C1402</f>
        <v>Đường Sông Miền Nam</v>
      </c>
      <c r="D1424" t="str">
        <f>Sheet4!D1403</f>
        <v>UPCoM</v>
      </c>
      <c r="E1424" s="7">
        <f>Sheet4!AH1403/1000000000</f>
        <v>217.5</v>
      </c>
      <c r="F1424" t="str">
        <f>Sheet4!E1403</f>
        <v>Công nghiệp</v>
      </c>
      <c r="G1424" t="str">
        <f>Sheet4!F1403</f>
        <v>Hàng &amp; Dịch vụ Công nghiệp</v>
      </c>
      <c r="H1424" t="str">
        <f>Sheet4!G1403</f>
        <v>Chất thải &amp; Môi trường</v>
      </c>
      <c r="I1424" s="9" cm="1">
        <f t="array" ref="I142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82.603684860000001</v>
      </c>
      <c r="J1424" s="9" cm="1">
        <f t="array" ref="J142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162.26888229100001</v>
      </c>
      <c r="K1424" s="10" cm="1">
        <f t="array" ref="K142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-0.48370000000000002</v>
      </c>
      <c r="L1424" s="10" cm="1">
        <f t="array" ref="L142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-0.36899999999999999</v>
      </c>
      <c r="M1424" s="9" cm="1">
        <f t="array" ref="M1424">_xlfn.LET(_xlpm.val,IFERROR(INDEX(Sheet4!$2:$1605,MATCH(ChiTietKQKD[[#This Row],[Mã CP]],Sheet4!$B$2:$B$1605,0),_xlfn.XMATCH("*Lợi nhuận sau thuế*Q2*2026*",Sheet4!$1:$1,2)),0),IF(OR(_xlpm.val="",_xlpm.val=0),"",_xlpm.val/1000000000))</f>
        <v>3.4124935760000001</v>
      </c>
      <c r="N1424" s="9" cm="1">
        <f t="array" ref="N1424">_xlfn.LET(_xlpm.val,IFERROR(INDEX(Sheet4!$2:$1605,MATCH(ChiTietKQKD[[#This Row],[Mã CP]],Sheet4!$B$2:$B$1605,0),_xlfn.XMATCH("*Lợi nhuận sau thuế*6 tháng*2026*",Sheet4!$1:$1,2)),0),IF(OR(_xlpm.val="",_xlpm.val=0),"",_xlpm.val/1000000000))</f>
        <v>5.9967829500000001</v>
      </c>
      <c r="O1424" s="10" cm="1">
        <f t="array" ref="O1424">IFERROR(INDEX(Sheet4!$2:$1605,MATCH(ChiTietKQKD[[#This Row],[Mã CP]],Sheet4!$B$2:$B$1605,0),_xlfn.XMATCH("*Tăng trưởng lợi nhuận sau thuế (YoY) (Quý*",Sheet4!$1:$1,2)),"")</f>
        <v>-0.25509999999999999</v>
      </c>
      <c r="P1424" s="10" cm="1">
        <f t="array" ref="P1424">IFERROR(INDEX(Sheet4!$2:$1605,MATCH(ChiTietKQKD[[#This Row],[Mã CP]],Sheet4!$B$2:$B$1605,0),_xlfn.XMATCH("*Tăng trưởng lợi nhuận sau thuế (YoY) (6M)*",Sheet4!$1:$1,2)),"")</f>
        <v>-0.50090000000000001</v>
      </c>
      <c r="Q1424" s="10" cm="1">
        <f t="array" ref="Q1424">IFERROR(INDEX(Sheet4!$2:$1605,MATCH(ChiTietKQKD[[#This Row],[Mã CP]],Sheet4!$B$2:$B$1605,0),_xlfn.XMATCH("*Tăng trưởng doanh thu thuần (QoQ)*",Sheet4!$1:$1,2)),"")</f>
        <v>3.6900000000000002E-2</v>
      </c>
      <c r="R1424" s="10" cm="1">
        <f t="array" ref="R1424">IFERROR(INDEX(Sheet4!$2:$1605,MATCH(ChiTietKQKD[[#This Row],[Mã CP]],Sheet4!$B$2:$B$1605,0),_xlfn.XMATCH("*Tăng trưởng lợi nhuận sau thuế (QoQ)*",Sheet4!$1:$1,2)),"")</f>
        <v>0.32050000000000001</v>
      </c>
    </row>
    <row r="1425" spans="1:18" x14ac:dyDescent="0.25">
      <c r="A1425" s="7">
        <f>Sheet4!A1404</f>
        <v>1403</v>
      </c>
      <c r="B1425" t="str">
        <f>Sheet4!B1404</f>
        <v>SZG</v>
      </c>
      <c r="C1425" t="str">
        <f>Sheet4!C1403</f>
        <v>Môi trường Sonadezi</v>
      </c>
      <c r="D1425" t="str">
        <f>Sheet4!D1404</f>
        <v>UPCoM</v>
      </c>
      <c r="E1425" s="7">
        <f>Sheet4!AH1404/1000000000</f>
        <v>1872.0218</v>
      </c>
      <c r="F1425" t="str">
        <f>Sheet4!E1404</f>
        <v>Tài chính</v>
      </c>
      <c r="G1425" t="str">
        <f>Sheet4!F1404</f>
        <v>Bất động sản</v>
      </c>
      <c r="H1425" t="str">
        <f>Sheet4!G1404</f>
        <v>Bất động sản</v>
      </c>
      <c r="I1425" s="9" cm="1">
        <f t="array" ref="I142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132.408110577</v>
      </c>
      <c r="J1425" s="9" cm="1">
        <f t="array" ref="J142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265.47302668399999</v>
      </c>
      <c r="K1425" s="10" cm="1">
        <f t="array" ref="K142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-6.2199999999999998E-2</v>
      </c>
      <c r="L1425" s="10" cm="1">
        <f t="array" ref="L142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25" s="9" cm="1">
        <f t="array" ref="M1425">_xlfn.LET(_xlpm.val,IFERROR(INDEX(Sheet4!$2:$1605,MATCH(ChiTietKQKD[[#This Row],[Mã CP]],Sheet4!$B$2:$B$1605,0),_xlfn.XMATCH("*Lợi nhuận sau thuế*Q2*2026*",Sheet4!$1:$1,2)),0),IF(OR(_xlpm.val="",_xlpm.val=0),"",_xlpm.val/1000000000))</f>
        <v>43.602436609000002</v>
      </c>
      <c r="N1425" s="9" cm="1">
        <f t="array" ref="N1425">_xlfn.LET(_xlpm.val,IFERROR(INDEX(Sheet4!$2:$1605,MATCH(ChiTietKQKD[[#This Row],[Mã CP]],Sheet4!$B$2:$B$1605,0),_xlfn.XMATCH("*Lợi nhuận sau thuế*6 tháng*2026*",Sheet4!$1:$1,2)),0),IF(OR(_xlpm.val="",_xlpm.val=0),"",_xlpm.val/1000000000))</f>
        <v>111.547056289</v>
      </c>
      <c r="O1425" s="10" cm="1">
        <f t="array" ref="O1425">IFERROR(INDEX(Sheet4!$2:$1605,MATCH(ChiTietKQKD[[#This Row],[Mã CP]],Sheet4!$B$2:$B$1605,0),_xlfn.XMATCH("*Tăng trưởng lợi nhuận sau thuế (YoY) (Quý*",Sheet4!$1:$1,2)),"")</f>
        <v>-0.26</v>
      </c>
      <c r="P1425" s="10" cm="1">
        <f t="array" ref="P1425">IFERROR(INDEX(Sheet4!$2:$1605,MATCH(ChiTietKQKD[[#This Row],[Mã CP]],Sheet4!$B$2:$B$1605,0),_xlfn.XMATCH("*Tăng trưởng lợi nhuận sau thuế (YoY) (6M)*",Sheet4!$1:$1,2)),"")</f>
        <v>0</v>
      </c>
      <c r="Q1425" s="10" cm="1">
        <f t="array" ref="Q1425">IFERROR(INDEX(Sheet4!$2:$1605,MATCH(ChiTietKQKD[[#This Row],[Mã CP]],Sheet4!$B$2:$B$1605,0),_xlfn.XMATCH("*Tăng trưởng doanh thu thuần (QoQ)*",Sheet4!$1:$1,2)),"")</f>
        <v>-4.8999999999999998E-3</v>
      </c>
      <c r="R1425" s="10" cm="1">
        <f t="array" ref="R1425">IFERROR(INDEX(Sheet4!$2:$1605,MATCH(ChiTietKQKD[[#This Row],[Mã CP]],Sheet4!$B$2:$B$1605,0),_xlfn.XMATCH("*Tăng trưởng lợi nhuận sau thuế (QoQ)*",Sheet4!$1:$1,2)),"")</f>
        <v>-0.35830000000000001</v>
      </c>
    </row>
    <row r="1426" spans="1:18" x14ac:dyDescent="0.25">
      <c r="A1426" s="7">
        <f>Sheet4!A1405</f>
        <v>1404</v>
      </c>
      <c r="B1426" t="str">
        <f>Sheet4!B1405</f>
        <v>TA6</v>
      </c>
      <c r="C1426" t="str">
        <f>Sheet4!C1404</f>
        <v>Sonadezi Giang Điền</v>
      </c>
      <c r="D1426" t="str">
        <f>Sheet4!D1405</f>
        <v>UPCoM</v>
      </c>
      <c r="E1426" s="7">
        <f>Sheet4!AH1405/1000000000</f>
        <v>23.1</v>
      </c>
      <c r="F1426" t="str">
        <f>Sheet4!E1405</f>
        <v>Công nghiệp</v>
      </c>
      <c r="G1426" t="str">
        <f>Sheet4!F1405</f>
        <v>Xây dựng và Vật liệu</v>
      </c>
      <c r="H1426" t="str">
        <f>Sheet4!G1405</f>
        <v>Xây dựng</v>
      </c>
      <c r="I1426" s="9" t="str" cm="1">
        <f t="array" ref="I142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26" s="9" t="str" cm="1">
        <f t="array" ref="J142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26" s="10" cm="1">
        <f t="array" ref="K142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26" s="10" cm="1">
        <f t="array" ref="L142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26" s="9" t="str" cm="1">
        <f t="array" ref="M142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26" s="9" t="str" cm="1">
        <f t="array" ref="N142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26" s="10" cm="1">
        <f t="array" ref="O1426">IFERROR(INDEX(Sheet4!$2:$1605,MATCH(ChiTietKQKD[[#This Row],[Mã CP]],Sheet4!$B$2:$B$1605,0),_xlfn.XMATCH("*Tăng trưởng lợi nhuận sau thuế (YoY) (Quý*",Sheet4!$1:$1,2)),"")</f>
        <v>0</v>
      </c>
      <c r="P1426" s="10" cm="1">
        <f t="array" ref="P1426">IFERROR(INDEX(Sheet4!$2:$1605,MATCH(ChiTietKQKD[[#This Row],[Mã CP]],Sheet4!$B$2:$B$1605,0),_xlfn.XMATCH("*Tăng trưởng lợi nhuận sau thuế (YoY) (6M)*",Sheet4!$1:$1,2)),"")</f>
        <v>0</v>
      </c>
      <c r="Q1426" s="10" cm="1">
        <f t="array" ref="Q1426">IFERROR(INDEX(Sheet4!$2:$1605,MATCH(ChiTietKQKD[[#This Row],[Mã CP]],Sheet4!$B$2:$B$1605,0),_xlfn.XMATCH("*Tăng trưởng doanh thu thuần (QoQ)*",Sheet4!$1:$1,2)),"")</f>
        <v>0</v>
      </c>
      <c r="R1426" s="10" cm="1">
        <f t="array" ref="R1426">IFERROR(INDEX(Sheet4!$2:$1605,MATCH(ChiTietKQKD[[#This Row],[Mã CP]],Sheet4!$B$2:$B$1605,0),_xlfn.XMATCH("*Tăng trưởng lợi nhuận sau thuế (QoQ)*",Sheet4!$1:$1,2)),"")</f>
        <v>0</v>
      </c>
    </row>
    <row r="1427" spans="1:18" x14ac:dyDescent="0.25">
      <c r="A1427" s="7">
        <f>Sheet4!A1406</f>
        <v>1405</v>
      </c>
      <c r="B1427" t="str">
        <f>Sheet4!B1406</f>
        <v>TAB</v>
      </c>
      <c r="C1427" t="str">
        <f>Sheet4!C1405</f>
        <v>Đầu tư và Xây lắp Thành An 665</v>
      </c>
      <c r="D1427" t="str">
        <f>Sheet4!D1406</f>
        <v>UPCoM</v>
      </c>
      <c r="E1427" s="7">
        <f>Sheet4!AH1406/1000000000</f>
        <v>214.5</v>
      </c>
      <c r="F1427" t="str">
        <f>Sheet4!E1406</f>
        <v>Công nghiệp</v>
      </c>
      <c r="G1427" t="str">
        <f>Sheet4!F1406</f>
        <v>Hàng &amp; Dịch vụ Công nghiệp</v>
      </c>
      <c r="H1427" t="str">
        <f>Sheet4!G1406</f>
        <v>Dịch vụ vận tải</v>
      </c>
      <c r="I1427" s="9" t="str" cm="1">
        <f t="array" ref="I142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27" s="9" t="str" cm="1">
        <f t="array" ref="J142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27" s="10" cm="1">
        <f t="array" ref="K142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27" s="10" cm="1">
        <f t="array" ref="L142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27" s="9" t="str" cm="1">
        <f t="array" ref="M142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27" s="9" t="str" cm="1">
        <f t="array" ref="N142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27" s="10" cm="1">
        <f t="array" ref="O1427">IFERROR(INDEX(Sheet4!$2:$1605,MATCH(ChiTietKQKD[[#This Row],[Mã CP]],Sheet4!$B$2:$B$1605,0),_xlfn.XMATCH("*Tăng trưởng lợi nhuận sau thuế (YoY) (Quý*",Sheet4!$1:$1,2)),"")</f>
        <v>0</v>
      </c>
      <c r="P1427" s="10" cm="1">
        <f t="array" ref="P1427">IFERROR(INDEX(Sheet4!$2:$1605,MATCH(ChiTietKQKD[[#This Row],[Mã CP]],Sheet4!$B$2:$B$1605,0),_xlfn.XMATCH("*Tăng trưởng lợi nhuận sau thuế (YoY) (6M)*",Sheet4!$1:$1,2)),"")</f>
        <v>0</v>
      </c>
      <c r="Q1427" s="10" cm="1">
        <f t="array" ref="Q1427">IFERROR(INDEX(Sheet4!$2:$1605,MATCH(ChiTietKQKD[[#This Row],[Mã CP]],Sheet4!$B$2:$B$1605,0),_xlfn.XMATCH("*Tăng trưởng doanh thu thuần (QoQ)*",Sheet4!$1:$1,2)),"")</f>
        <v>0</v>
      </c>
      <c r="R1427" s="10" cm="1">
        <f t="array" ref="R1427">IFERROR(INDEX(Sheet4!$2:$1605,MATCH(ChiTietKQKD[[#This Row],[Mã CP]],Sheet4!$B$2:$B$1605,0),_xlfn.XMATCH("*Tăng trưởng lợi nhuận sau thuế (QoQ)*",Sheet4!$1:$1,2)),"")</f>
        <v>0</v>
      </c>
    </row>
    <row r="1428" spans="1:18" x14ac:dyDescent="0.25">
      <c r="A1428" s="7">
        <f>Sheet4!A1407</f>
        <v>1406</v>
      </c>
      <c r="B1428" t="str">
        <f>Sheet4!B1407</f>
        <v>TAH</v>
      </c>
      <c r="C1428" t="str">
        <f>Sheet4!C1406</f>
        <v>Freco Việt Nam</v>
      </c>
      <c r="D1428" t="str">
        <f>Sheet4!D1407</f>
        <v>UPCoM</v>
      </c>
      <c r="E1428" s="7">
        <f>Sheet4!AH1407/1000000000</f>
        <v>6642</v>
      </c>
      <c r="F1428" t="str">
        <f>Sheet4!E1407</f>
        <v>Nguyên vật liệu</v>
      </c>
      <c r="G1428" t="str">
        <f>Sheet4!F1407</f>
        <v>Tài nguyên Cơ bản</v>
      </c>
      <c r="H1428" t="str">
        <f>Sheet4!G1407</f>
        <v>Sản xuất giấy</v>
      </c>
      <c r="I1428" s="9" t="str" cm="1">
        <f t="array" ref="I142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28" s="9" t="str" cm="1">
        <f t="array" ref="J142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28" s="10" cm="1">
        <f t="array" ref="K142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28" s="10" cm="1">
        <f t="array" ref="L142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28" s="9" t="str" cm="1">
        <f t="array" ref="M142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28" s="9" t="str" cm="1">
        <f t="array" ref="N142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28" s="10" cm="1">
        <f t="array" ref="O1428">IFERROR(INDEX(Sheet4!$2:$1605,MATCH(ChiTietKQKD[[#This Row],[Mã CP]],Sheet4!$B$2:$B$1605,0),_xlfn.XMATCH("*Tăng trưởng lợi nhuận sau thuế (YoY) (Quý*",Sheet4!$1:$1,2)),"")</f>
        <v>0</v>
      </c>
      <c r="P1428" s="10" cm="1">
        <f t="array" ref="P1428">IFERROR(INDEX(Sheet4!$2:$1605,MATCH(ChiTietKQKD[[#This Row],[Mã CP]],Sheet4!$B$2:$B$1605,0),_xlfn.XMATCH("*Tăng trưởng lợi nhuận sau thuế (YoY) (6M)*",Sheet4!$1:$1,2)),"")</f>
        <v>0</v>
      </c>
      <c r="Q1428" s="10" cm="1">
        <f t="array" ref="Q1428">IFERROR(INDEX(Sheet4!$2:$1605,MATCH(ChiTietKQKD[[#This Row],[Mã CP]],Sheet4!$B$2:$B$1605,0),_xlfn.XMATCH("*Tăng trưởng doanh thu thuần (QoQ)*",Sheet4!$1:$1,2)),"")</f>
        <v>0</v>
      </c>
      <c r="R1428" s="10" cm="1">
        <f t="array" ref="R1428">IFERROR(INDEX(Sheet4!$2:$1605,MATCH(ChiTietKQKD[[#This Row],[Mã CP]],Sheet4!$B$2:$B$1605,0),_xlfn.XMATCH("*Tăng trưởng lợi nhuận sau thuế (QoQ)*",Sheet4!$1:$1,2)),"")</f>
        <v>0</v>
      </c>
    </row>
    <row r="1429" spans="1:18" x14ac:dyDescent="0.25">
      <c r="A1429" s="7">
        <f>Sheet4!A1408</f>
        <v>1407</v>
      </c>
      <c r="B1429" t="str">
        <f>Sheet4!B1408</f>
        <v>TAN</v>
      </c>
      <c r="C1429" t="str">
        <f>Sheet4!C1407</f>
        <v>Giấy Thuận An</v>
      </c>
      <c r="D1429" t="str">
        <f>Sheet4!D1408</f>
        <v>UPCoM</v>
      </c>
      <c r="E1429" s="7">
        <f>Sheet4!AH1408/1000000000</f>
        <v>75.359323000000003</v>
      </c>
      <c r="F1429" t="str">
        <f>Sheet4!E1408</f>
        <v>Hàng Tiêu dùng</v>
      </c>
      <c r="G1429" t="str">
        <f>Sheet4!F1408</f>
        <v>Thực phẩm và đồ uống</v>
      </c>
      <c r="H1429" t="str">
        <f>Sheet4!G1408</f>
        <v>Đồ uống &amp; giải khát</v>
      </c>
      <c r="I1429" s="9" t="str" cm="1">
        <f t="array" ref="I142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29" s="9" t="str" cm="1">
        <f t="array" ref="J142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29" s="10" cm="1">
        <f t="array" ref="K142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29" s="10" cm="1">
        <f t="array" ref="L142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29" s="9" t="str" cm="1">
        <f t="array" ref="M142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29" s="9" t="str" cm="1">
        <f t="array" ref="N142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29" s="10" cm="1">
        <f t="array" ref="O1429">IFERROR(INDEX(Sheet4!$2:$1605,MATCH(ChiTietKQKD[[#This Row],[Mã CP]],Sheet4!$B$2:$B$1605,0),_xlfn.XMATCH("*Tăng trưởng lợi nhuận sau thuế (YoY) (Quý*",Sheet4!$1:$1,2)),"")</f>
        <v>0</v>
      </c>
      <c r="P1429" s="10" cm="1">
        <f t="array" ref="P1429">IFERROR(INDEX(Sheet4!$2:$1605,MATCH(ChiTietKQKD[[#This Row],[Mã CP]],Sheet4!$B$2:$B$1605,0),_xlfn.XMATCH("*Tăng trưởng lợi nhuận sau thuế (YoY) (6M)*",Sheet4!$1:$1,2)),"")</f>
        <v>0</v>
      </c>
      <c r="Q1429" s="10" cm="1">
        <f t="array" ref="Q1429">IFERROR(INDEX(Sheet4!$2:$1605,MATCH(ChiTietKQKD[[#This Row],[Mã CP]],Sheet4!$B$2:$B$1605,0),_xlfn.XMATCH("*Tăng trưởng doanh thu thuần (QoQ)*",Sheet4!$1:$1,2)),"")</f>
        <v>0</v>
      </c>
      <c r="R1429" s="10" cm="1">
        <f t="array" ref="R1429">IFERROR(INDEX(Sheet4!$2:$1605,MATCH(ChiTietKQKD[[#This Row],[Mã CP]],Sheet4!$B$2:$B$1605,0),_xlfn.XMATCH("*Tăng trưởng lợi nhuận sau thuế (QoQ)*",Sheet4!$1:$1,2)),"")</f>
        <v>0</v>
      </c>
    </row>
    <row r="1430" spans="1:18" x14ac:dyDescent="0.25">
      <c r="A1430" s="7">
        <f>Sheet4!A1409</f>
        <v>1408</v>
      </c>
      <c r="B1430" t="str">
        <f>Sheet4!B1409</f>
        <v>TAR</v>
      </c>
      <c r="C1430" t="str">
        <f>Sheet4!C1408</f>
        <v>Cà phê Thuận An</v>
      </c>
      <c r="D1430" t="str">
        <f>Sheet4!D1409</f>
        <v>UPCoM</v>
      </c>
      <c r="E1430" s="7">
        <f>Sheet4!AH1409/1000000000</f>
        <v>203.63142020000001</v>
      </c>
      <c r="F1430" t="str">
        <f>Sheet4!E1409</f>
        <v>Hàng Tiêu dùng</v>
      </c>
      <c r="G1430" t="str">
        <f>Sheet4!F1409</f>
        <v>Thực phẩm và đồ uống</v>
      </c>
      <c r="H1430" t="str">
        <f>Sheet4!G1409</f>
        <v>Nuôi trồng nông &amp; hải sản</v>
      </c>
      <c r="I1430" s="9" t="str" cm="1">
        <f t="array" ref="I143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30" s="9" t="str" cm="1">
        <f t="array" ref="J143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30" s="10" cm="1">
        <f t="array" ref="K143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30" s="10" cm="1">
        <f t="array" ref="L143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30" s="9" t="str" cm="1">
        <f t="array" ref="M143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30" s="9" t="str" cm="1">
        <f t="array" ref="N143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30" s="10" cm="1">
        <f t="array" ref="O1430">IFERROR(INDEX(Sheet4!$2:$1605,MATCH(ChiTietKQKD[[#This Row],[Mã CP]],Sheet4!$B$2:$B$1605,0),_xlfn.XMATCH("*Tăng trưởng lợi nhuận sau thuế (YoY) (Quý*",Sheet4!$1:$1,2)),"")</f>
        <v>0</v>
      </c>
      <c r="P1430" s="10" cm="1">
        <f t="array" ref="P1430">IFERROR(INDEX(Sheet4!$2:$1605,MATCH(ChiTietKQKD[[#This Row],[Mã CP]],Sheet4!$B$2:$B$1605,0),_xlfn.XMATCH("*Tăng trưởng lợi nhuận sau thuế (YoY) (6M)*",Sheet4!$1:$1,2)),"")</f>
        <v>0</v>
      </c>
      <c r="Q1430" s="10" cm="1">
        <f t="array" ref="Q1430">IFERROR(INDEX(Sheet4!$2:$1605,MATCH(ChiTietKQKD[[#This Row],[Mã CP]],Sheet4!$B$2:$B$1605,0),_xlfn.XMATCH("*Tăng trưởng doanh thu thuần (QoQ)*",Sheet4!$1:$1,2)),"")</f>
        <v>0</v>
      </c>
      <c r="R1430" s="10" cm="1">
        <f t="array" ref="R1430">IFERROR(INDEX(Sheet4!$2:$1605,MATCH(ChiTietKQKD[[#This Row],[Mã CP]],Sheet4!$B$2:$B$1605,0),_xlfn.XMATCH("*Tăng trưởng lợi nhuận sau thuế (QoQ)*",Sheet4!$1:$1,2)),"")</f>
        <v>0</v>
      </c>
    </row>
    <row r="1431" spans="1:18" x14ac:dyDescent="0.25">
      <c r="A1431" s="7">
        <f>Sheet4!A1410</f>
        <v>1409</v>
      </c>
      <c r="B1431" t="str">
        <f>Sheet4!B1410</f>
        <v>TAW</v>
      </c>
      <c r="C1431" t="str">
        <f>Sheet4!C1409</f>
        <v>Nông nghiệp CN cao Trung An</v>
      </c>
      <c r="D1431" t="str">
        <f>Sheet4!D1410</f>
        <v>UPCoM</v>
      </c>
      <c r="E1431" s="7">
        <f>Sheet4!AH1410/1000000000</f>
        <v>106.5</v>
      </c>
      <c r="F1431" t="str">
        <f>Sheet4!E1410</f>
        <v>Tiện ích Cộng đồng</v>
      </c>
      <c r="G1431" t="str">
        <f>Sheet4!F1410</f>
        <v>Điện, nước &amp; xăng dầu khí đốt</v>
      </c>
      <c r="H1431" t="str">
        <f>Sheet4!G1410</f>
        <v>Nước</v>
      </c>
      <c r="I1431" s="9" t="str" cm="1">
        <f t="array" ref="I143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31" s="9" t="str" cm="1">
        <f t="array" ref="J143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31" s="10" cm="1">
        <f t="array" ref="K143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31" s="10" cm="1">
        <f t="array" ref="L143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31" s="9" t="str" cm="1">
        <f t="array" ref="M143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31" s="9" t="str" cm="1">
        <f t="array" ref="N143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31" s="10" cm="1">
        <f t="array" ref="O1431">IFERROR(INDEX(Sheet4!$2:$1605,MATCH(ChiTietKQKD[[#This Row],[Mã CP]],Sheet4!$B$2:$B$1605,0),_xlfn.XMATCH("*Tăng trưởng lợi nhuận sau thuế (YoY) (Quý*",Sheet4!$1:$1,2)),"")</f>
        <v>0</v>
      </c>
      <c r="P1431" s="10" cm="1">
        <f t="array" ref="P1431">IFERROR(INDEX(Sheet4!$2:$1605,MATCH(ChiTietKQKD[[#This Row],[Mã CP]],Sheet4!$B$2:$B$1605,0),_xlfn.XMATCH("*Tăng trưởng lợi nhuận sau thuế (YoY) (6M)*",Sheet4!$1:$1,2)),"")</f>
        <v>0</v>
      </c>
      <c r="Q1431" s="10" cm="1">
        <f t="array" ref="Q1431">IFERROR(INDEX(Sheet4!$2:$1605,MATCH(ChiTietKQKD[[#This Row],[Mã CP]],Sheet4!$B$2:$B$1605,0),_xlfn.XMATCH("*Tăng trưởng doanh thu thuần (QoQ)*",Sheet4!$1:$1,2)),"")</f>
        <v>0</v>
      </c>
      <c r="R1431" s="10" cm="1">
        <f t="array" ref="R1431">IFERROR(INDEX(Sheet4!$2:$1605,MATCH(ChiTietKQKD[[#This Row],[Mã CP]],Sheet4!$B$2:$B$1605,0),_xlfn.XMATCH("*Tăng trưởng lợi nhuận sau thuế (QoQ)*",Sheet4!$1:$1,2)),"")</f>
        <v>0</v>
      </c>
    </row>
    <row r="1432" spans="1:18" x14ac:dyDescent="0.25">
      <c r="A1432" s="7">
        <f>Sheet4!A1411</f>
        <v>1410</v>
      </c>
      <c r="B1432" t="str">
        <f>Sheet4!B1411</f>
        <v>TBD</v>
      </c>
      <c r="C1432" t="str">
        <f>Sheet4!C1410</f>
        <v>Cấp nước Trung An</v>
      </c>
      <c r="D1432" t="str">
        <f>Sheet4!D1411</f>
        <v>UPCoM</v>
      </c>
      <c r="E1432" s="7">
        <f>Sheet4!AH1411/1000000000</f>
        <v>4376.4829200000004</v>
      </c>
      <c r="F1432" t="str">
        <f>Sheet4!E1411</f>
        <v>Công nghiệp</v>
      </c>
      <c r="G1432" t="str">
        <f>Sheet4!F1411</f>
        <v>Hàng &amp; Dịch vụ Công nghiệp</v>
      </c>
      <c r="H1432" t="str">
        <f>Sheet4!G1411</f>
        <v>Thiết bị điện</v>
      </c>
      <c r="I1432" s="9" t="str" cm="1">
        <f t="array" ref="I143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32" s="9" t="str" cm="1">
        <f t="array" ref="J143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32" s="10" cm="1">
        <f t="array" ref="K143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32" s="10" cm="1">
        <f t="array" ref="L143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32" s="9" t="str" cm="1">
        <f t="array" ref="M143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32" s="9" t="str" cm="1">
        <f t="array" ref="N143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32" s="10" cm="1">
        <f t="array" ref="O1432">IFERROR(INDEX(Sheet4!$2:$1605,MATCH(ChiTietKQKD[[#This Row],[Mã CP]],Sheet4!$B$2:$B$1605,0),_xlfn.XMATCH("*Tăng trưởng lợi nhuận sau thuế (YoY) (Quý*",Sheet4!$1:$1,2)),"")</f>
        <v>0</v>
      </c>
      <c r="P1432" s="10" cm="1">
        <f t="array" ref="P1432">IFERROR(INDEX(Sheet4!$2:$1605,MATCH(ChiTietKQKD[[#This Row],[Mã CP]],Sheet4!$B$2:$B$1605,0),_xlfn.XMATCH("*Tăng trưởng lợi nhuận sau thuế (YoY) (6M)*",Sheet4!$1:$1,2)),"")</f>
        <v>0</v>
      </c>
      <c r="Q1432" s="10" cm="1">
        <f t="array" ref="Q1432">IFERROR(INDEX(Sheet4!$2:$1605,MATCH(ChiTietKQKD[[#This Row],[Mã CP]],Sheet4!$B$2:$B$1605,0),_xlfn.XMATCH("*Tăng trưởng doanh thu thuần (QoQ)*",Sheet4!$1:$1,2)),"")</f>
        <v>0</v>
      </c>
      <c r="R1432" s="10" cm="1">
        <f t="array" ref="R1432">IFERROR(INDEX(Sheet4!$2:$1605,MATCH(ChiTietKQKD[[#This Row],[Mã CP]],Sheet4!$B$2:$B$1605,0),_xlfn.XMATCH("*Tăng trưởng lợi nhuận sau thuế (QoQ)*",Sheet4!$1:$1,2)),"")</f>
        <v>0</v>
      </c>
    </row>
    <row r="1433" spans="1:18" x14ac:dyDescent="0.25">
      <c r="A1433" s="7">
        <f>Sheet4!A1412</f>
        <v>1411</v>
      </c>
      <c r="B1433" t="str">
        <f>Sheet4!B1412</f>
        <v>TBR</v>
      </c>
      <c r="C1433" t="str">
        <f>Sheet4!C1411</f>
        <v>Thiết bị điện Đông Anh</v>
      </c>
      <c r="D1433" t="str">
        <f>Sheet4!D1412</f>
        <v>UPCoM</v>
      </c>
      <c r="E1433" s="7">
        <f>Sheet4!AH1412/1000000000</f>
        <v>74.152000000000001</v>
      </c>
      <c r="F1433" t="str">
        <f>Sheet4!E1412</f>
        <v>Tài chính</v>
      </c>
      <c r="G1433" t="str">
        <f>Sheet4!F1412</f>
        <v>Bất động sản</v>
      </c>
      <c r="H1433" t="str">
        <f>Sheet4!G1412</f>
        <v>Bất động sản</v>
      </c>
      <c r="I1433" s="9" t="str" cm="1">
        <f t="array" ref="I143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33" s="9" t="str" cm="1">
        <f t="array" ref="J143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33" s="10" cm="1">
        <f t="array" ref="K143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33" s="10" cm="1">
        <f t="array" ref="L143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33" s="9" t="str" cm="1">
        <f t="array" ref="M143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33" s="9" t="str" cm="1">
        <f t="array" ref="N143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33" s="10" cm="1">
        <f t="array" ref="O1433">IFERROR(INDEX(Sheet4!$2:$1605,MATCH(ChiTietKQKD[[#This Row],[Mã CP]],Sheet4!$B$2:$B$1605,0),_xlfn.XMATCH("*Tăng trưởng lợi nhuận sau thuế (YoY) (Quý*",Sheet4!$1:$1,2)),"")</f>
        <v>0</v>
      </c>
      <c r="P1433" s="10" cm="1">
        <f t="array" ref="P1433">IFERROR(INDEX(Sheet4!$2:$1605,MATCH(ChiTietKQKD[[#This Row],[Mã CP]],Sheet4!$B$2:$B$1605,0),_xlfn.XMATCH("*Tăng trưởng lợi nhuận sau thuế (YoY) (6M)*",Sheet4!$1:$1,2)),"")</f>
        <v>0</v>
      </c>
      <c r="Q1433" s="10" cm="1">
        <f t="array" ref="Q1433">IFERROR(INDEX(Sheet4!$2:$1605,MATCH(ChiTietKQKD[[#This Row],[Mã CP]],Sheet4!$B$2:$B$1605,0),_xlfn.XMATCH("*Tăng trưởng doanh thu thuần (QoQ)*",Sheet4!$1:$1,2)),"")</f>
        <v>0</v>
      </c>
      <c r="R1433" s="10" cm="1">
        <f t="array" ref="R1433">IFERROR(INDEX(Sheet4!$2:$1605,MATCH(ChiTietKQKD[[#This Row],[Mã CP]],Sheet4!$B$2:$B$1605,0),_xlfn.XMATCH("*Tăng trưởng lợi nhuận sau thuế (QoQ)*",Sheet4!$1:$1,2)),"")</f>
        <v>0</v>
      </c>
    </row>
    <row r="1434" spans="1:18" x14ac:dyDescent="0.25">
      <c r="A1434" s="7">
        <f>Sheet4!A1413</f>
        <v>1412</v>
      </c>
      <c r="B1434" t="str">
        <f>Sheet4!B1413</f>
        <v>TBW</v>
      </c>
      <c r="C1434" t="str">
        <f>Sheet4!C1412</f>
        <v>Địa ốc Tân Bình</v>
      </c>
      <c r="D1434" t="str">
        <f>Sheet4!D1413</f>
        <v>UPCoM</v>
      </c>
      <c r="E1434" s="7">
        <f>Sheet4!AH1413/1000000000</f>
        <v>112.13039999999999</v>
      </c>
      <c r="F1434" t="str">
        <f>Sheet4!E1413</f>
        <v>Tiện ích Cộng đồng</v>
      </c>
      <c r="G1434" t="str">
        <f>Sheet4!F1413</f>
        <v>Điện, nước &amp; xăng dầu khí đốt</v>
      </c>
      <c r="H1434" t="str">
        <f>Sheet4!G1413</f>
        <v>Nước</v>
      </c>
      <c r="I1434" s="9" t="str" cm="1">
        <f t="array" ref="I143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34" s="9" t="str" cm="1">
        <f t="array" ref="J143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34" s="10" cm="1">
        <f t="array" ref="K143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34" s="10" cm="1">
        <f t="array" ref="L143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34" s="9" t="str" cm="1">
        <f t="array" ref="M143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34" s="9" t="str" cm="1">
        <f t="array" ref="N143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34" s="10" cm="1">
        <f t="array" ref="O1434">IFERROR(INDEX(Sheet4!$2:$1605,MATCH(ChiTietKQKD[[#This Row],[Mã CP]],Sheet4!$B$2:$B$1605,0),_xlfn.XMATCH("*Tăng trưởng lợi nhuận sau thuế (YoY) (Quý*",Sheet4!$1:$1,2)),"")</f>
        <v>0</v>
      </c>
      <c r="P1434" s="10" cm="1">
        <f t="array" ref="P1434">IFERROR(INDEX(Sheet4!$2:$1605,MATCH(ChiTietKQKD[[#This Row],[Mã CP]],Sheet4!$B$2:$B$1605,0),_xlfn.XMATCH("*Tăng trưởng lợi nhuận sau thuế (YoY) (6M)*",Sheet4!$1:$1,2)),"")</f>
        <v>0</v>
      </c>
      <c r="Q1434" s="10" cm="1">
        <f t="array" ref="Q1434">IFERROR(INDEX(Sheet4!$2:$1605,MATCH(ChiTietKQKD[[#This Row],[Mã CP]],Sheet4!$B$2:$B$1605,0),_xlfn.XMATCH("*Tăng trưởng doanh thu thuần (QoQ)*",Sheet4!$1:$1,2)),"")</f>
        <v>0</v>
      </c>
      <c r="R1434" s="10" cm="1">
        <f t="array" ref="R1434">IFERROR(INDEX(Sheet4!$2:$1605,MATCH(ChiTietKQKD[[#This Row],[Mã CP]],Sheet4!$B$2:$B$1605,0),_xlfn.XMATCH("*Tăng trưởng lợi nhuận sau thuế (QoQ)*",Sheet4!$1:$1,2)),"")</f>
        <v>0</v>
      </c>
    </row>
    <row r="1435" spans="1:18" x14ac:dyDescent="0.25">
      <c r="A1435" s="7">
        <f>Sheet4!A1414</f>
        <v>1413</v>
      </c>
      <c r="B1435" t="str">
        <f>Sheet4!B1414</f>
        <v>TCD</v>
      </c>
      <c r="C1435" t="str">
        <f>Sheet4!C1413</f>
        <v>Nước sạch Thái Bình</v>
      </c>
      <c r="D1435" t="str">
        <f>Sheet4!D1414</f>
        <v>UPCoM</v>
      </c>
      <c r="E1435" s="7">
        <f>Sheet4!AH1414/1000000000</f>
        <v>0</v>
      </c>
      <c r="F1435" t="str">
        <f>Sheet4!E1414</f>
        <v>Công nghiệp</v>
      </c>
      <c r="G1435" t="str">
        <f>Sheet4!F1414</f>
        <v>Xây dựng và Vật liệu</v>
      </c>
      <c r="H1435" t="str">
        <f>Sheet4!G1414</f>
        <v>Xây dựng</v>
      </c>
      <c r="I1435" s="9" t="str" cm="1">
        <f t="array" ref="I143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35" s="9" t="str" cm="1">
        <f t="array" ref="J143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35" s="10" cm="1">
        <f t="array" ref="K143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35" s="10" cm="1">
        <f t="array" ref="L143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35" s="9" t="str" cm="1">
        <f t="array" ref="M143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35" s="9" t="str" cm="1">
        <f t="array" ref="N143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35" s="10" cm="1">
        <f t="array" ref="O1435">IFERROR(INDEX(Sheet4!$2:$1605,MATCH(ChiTietKQKD[[#This Row],[Mã CP]],Sheet4!$B$2:$B$1605,0),_xlfn.XMATCH("*Tăng trưởng lợi nhuận sau thuế (YoY) (Quý*",Sheet4!$1:$1,2)),"")</f>
        <v>0</v>
      </c>
      <c r="P1435" s="10" cm="1">
        <f t="array" ref="P1435">IFERROR(INDEX(Sheet4!$2:$1605,MATCH(ChiTietKQKD[[#This Row],[Mã CP]],Sheet4!$B$2:$B$1605,0),_xlfn.XMATCH("*Tăng trưởng lợi nhuận sau thuế (YoY) (6M)*",Sheet4!$1:$1,2)),"")</f>
        <v>0</v>
      </c>
      <c r="Q1435" s="10" cm="1">
        <f t="array" ref="Q1435">IFERROR(INDEX(Sheet4!$2:$1605,MATCH(ChiTietKQKD[[#This Row],[Mã CP]],Sheet4!$B$2:$B$1605,0),_xlfn.XMATCH("*Tăng trưởng doanh thu thuần (QoQ)*",Sheet4!$1:$1,2)),"")</f>
        <v>0</v>
      </c>
      <c r="R1435" s="10" cm="1">
        <f t="array" ref="R1435">IFERROR(INDEX(Sheet4!$2:$1605,MATCH(ChiTietKQKD[[#This Row],[Mã CP]],Sheet4!$B$2:$B$1605,0),_xlfn.XMATCH("*Tăng trưởng lợi nhuận sau thuế (QoQ)*",Sheet4!$1:$1,2)),"")</f>
        <v>0</v>
      </c>
    </row>
    <row r="1436" spans="1:18" x14ac:dyDescent="0.25">
      <c r="A1436" s="7">
        <f>Sheet4!A1415</f>
        <v>1414</v>
      </c>
      <c r="B1436" t="str">
        <f>Sheet4!B1415</f>
        <v>TCJ</v>
      </c>
      <c r="C1436" t="str">
        <f>Sheet4!C1414</f>
        <v>Tập đoàn Xây dựng Tracodi</v>
      </c>
      <c r="D1436" t="str">
        <f>Sheet4!D1415</f>
        <v>UPCoM</v>
      </c>
      <c r="E1436" s="7">
        <f>Sheet4!AH1415/1000000000</f>
        <v>36</v>
      </c>
      <c r="F1436" t="str">
        <f>Sheet4!E1415</f>
        <v>Hàng Tiêu dùng</v>
      </c>
      <c r="G1436" t="str">
        <f>Sheet4!F1415</f>
        <v>Thực phẩm và đồ uống</v>
      </c>
      <c r="H1436" t="str">
        <f>Sheet4!G1415</f>
        <v>Nuôi trồng nông &amp; hải sản</v>
      </c>
      <c r="I1436" s="9" t="str" cm="1">
        <f t="array" ref="I143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36" s="9" t="str" cm="1">
        <f t="array" ref="J143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36" s="10" cm="1">
        <f t="array" ref="K143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36" s="10" cm="1">
        <f t="array" ref="L143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36" s="9" t="str" cm="1">
        <f t="array" ref="M143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36" s="9" t="str" cm="1">
        <f t="array" ref="N143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36" s="10" cm="1">
        <f t="array" ref="O1436">IFERROR(INDEX(Sheet4!$2:$1605,MATCH(ChiTietKQKD[[#This Row],[Mã CP]],Sheet4!$B$2:$B$1605,0),_xlfn.XMATCH("*Tăng trưởng lợi nhuận sau thuế (YoY) (Quý*",Sheet4!$1:$1,2)),"")</f>
        <v>0</v>
      </c>
      <c r="P1436" s="10" cm="1">
        <f t="array" ref="P1436">IFERROR(INDEX(Sheet4!$2:$1605,MATCH(ChiTietKQKD[[#This Row],[Mã CP]],Sheet4!$B$2:$B$1605,0),_xlfn.XMATCH("*Tăng trưởng lợi nhuận sau thuế (YoY) (6M)*",Sheet4!$1:$1,2)),"")</f>
        <v>0</v>
      </c>
      <c r="Q1436" s="10" cm="1">
        <f t="array" ref="Q1436">IFERROR(INDEX(Sheet4!$2:$1605,MATCH(ChiTietKQKD[[#This Row],[Mã CP]],Sheet4!$B$2:$B$1605,0),_xlfn.XMATCH("*Tăng trưởng doanh thu thuần (QoQ)*",Sheet4!$1:$1,2)),"")</f>
        <v>0</v>
      </c>
      <c r="R1436" s="10" cm="1">
        <f t="array" ref="R1436">IFERROR(INDEX(Sheet4!$2:$1605,MATCH(ChiTietKQKD[[#This Row],[Mã CP]],Sheet4!$B$2:$B$1605,0),_xlfn.XMATCH("*Tăng trưởng lợi nhuận sau thuế (QoQ)*",Sheet4!$1:$1,2)),"")</f>
        <v>0</v>
      </c>
    </row>
    <row r="1437" spans="1:18" x14ac:dyDescent="0.25">
      <c r="A1437" s="7">
        <f>Sheet4!A1416</f>
        <v>1415</v>
      </c>
      <c r="B1437" t="str">
        <f>Sheet4!B1416</f>
        <v>TCK</v>
      </c>
      <c r="C1437" t="str">
        <f>Sheet4!C1415</f>
        <v>Tô Châu</v>
      </c>
      <c r="D1437" t="str">
        <f>Sheet4!D1416</f>
        <v>UPCoM</v>
      </c>
      <c r="E1437" s="7">
        <f>Sheet4!AH1416/1000000000</f>
        <v>71.55</v>
      </c>
      <c r="F1437" t="str">
        <f>Sheet4!E1416</f>
        <v>Công nghiệp</v>
      </c>
      <c r="G1437" t="str">
        <f>Sheet4!F1416</f>
        <v>Xây dựng và Vật liệu</v>
      </c>
      <c r="H1437" t="str">
        <f>Sheet4!G1416</f>
        <v>Xây dựng</v>
      </c>
      <c r="I1437" s="9" t="str" cm="1">
        <f t="array" ref="I143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37" s="9" t="str" cm="1">
        <f t="array" ref="J143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37" s="10" cm="1">
        <f t="array" ref="K143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37" s="10" cm="1">
        <f t="array" ref="L143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37" s="9" t="str" cm="1">
        <f t="array" ref="M143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37" s="9" t="str" cm="1">
        <f t="array" ref="N143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37" s="10" cm="1">
        <f t="array" ref="O1437">IFERROR(INDEX(Sheet4!$2:$1605,MATCH(ChiTietKQKD[[#This Row],[Mã CP]],Sheet4!$B$2:$B$1605,0),_xlfn.XMATCH("*Tăng trưởng lợi nhuận sau thuế (YoY) (Quý*",Sheet4!$1:$1,2)),"")</f>
        <v>0</v>
      </c>
      <c r="P1437" s="10" cm="1">
        <f t="array" ref="P1437">IFERROR(INDEX(Sheet4!$2:$1605,MATCH(ChiTietKQKD[[#This Row],[Mã CP]],Sheet4!$B$2:$B$1605,0),_xlfn.XMATCH("*Tăng trưởng lợi nhuận sau thuế (YoY) (6M)*",Sheet4!$1:$1,2)),"")</f>
        <v>0</v>
      </c>
      <c r="Q1437" s="10" cm="1">
        <f t="array" ref="Q1437">IFERROR(INDEX(Sheet4!$2:$1605,MATCH(ChiTietKQKD[[#This Row],[Mã CP]],Sheet4!$B$2:$B$1605,0),_xlfn.XMATCH("*Tăng trưởng doanh thu thuần (QoQ)*",Sheet4!$1:$1,2)),"")</f>
        <v>0</v>
      </c>
      <c r="R1437" s="10" cm="1">
        <f t="array" ref="R1437">IFERROR(INDEX(Sheet4!$2:$1605,MATCH(ChiTietKQKD[[#This Row],[Mã CP]],Sheet4!$B$2:$B$1605,0),_xlfn.XMATCH("*Tăng trưởng lợi nhuận sau thuế (QoQ)*",Sheet4!$1:$1,2)),"")</f>
        <v>0</v>
      </c>
    </row>
    <row r="1438" spans="1:18" x14ac:dyDescent="0.25">
      <c r="A1438" s="7">
        <f>Sheet4!A1417</f>
        <v>1416</v>
      </c>
      <c r="B1438" t="str">
        <f>Sheet4!B1417</f>
        <v>TCP</v>
      </c>
      <c r="C1438" t="str">
        <f>Sheet4!C1416</f>
        <v>COMA</v>
      </c>
      <c r="D1438" t="str">
        <f>Sheet4!D1417</f>
        <v>UPCoM</v>
      </c>
      <c r="E1438" s="7">
        <f>Sheet4!AH1417/1000000000</f>
        <v>0</v>
      </c>
      <c r="F1438" t="str">
        <f>Sheet4!E1417</f>
        <v>Nguyên vật liệu</v>
      </c>
      <c r="G1438" t="str">
        <f>Sheet4!F1417</f>
        <v>Tài nguyên Cơ bản</v>
      </c>
      <c r="H1438" t="str">
        <f>Sheet4!G1417</f>
        <v>Khai thác Than</v>
      </c>
      <c r="I1438" s="9" t="str" cm="1">
        <f t="array" ref="I143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38" s="9" t="str" cm="1">
        <f t="array" ref="J143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38" s="10" cm="1">
        <f t="array" ref="K143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38" s="10" cm="1">
        <f t="array" ref="L143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38" s="9" t="str" cm="1">
        <f t="array" ref="M143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38" s="9" t="str" cm="1">
        <f t="array" ref="N143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38" s="10" cm="1">
        <f t="array" ref="O1438">IFERROR(INDEX(Sheet4!$2:$1605,MATCH(ChiTietKQKD[[#This Row],[Mã CP]],Sheet4!$B$2:$B$1605,0),_xlfn.XMATCH("*Tăng trưởng lợi nhuận sau thuế (YoY) (Quý*",Sheet4!$1:$1,2)),"")</f>
        <v>0</v>
      </c>
      <c r="P1438" s="10" cm="1">
        <f t="array" ref="P1438">IFERROR(INDEX(Sheet4!$2:$1605,MATCH(ChiTietKQKD[[#This Row],[Mã CP]],Sheet4!$B$2:$B$1605,0),_xlfn.XMATCH("*Tăng trưởng lợi nhuận sau thuế (YoY) (6M)*",Sheet4!$1:$1,2)),"")</f>
        <v>0</v>
      </c>
      <c r="Q1438" s="10" cm="1">
        <f t="array" ref="Q1438">IFERROR(INDEX(Sheet4!$2:$1605,MATCH(ChiTietKQKD[[#This Row],[Mã CP]],Sheet4!$B$2:$B$1605,0),_xlfn.XMATCH("*Tăng trưởng doanh thu thuần (QoQ)*",Sheet4!$1:$1,2)),"")</f>
        <v>0</v>
      </c>
      <c r="R1438" s="10" cm="1">
        <f t="array" ref="R1438">IFERROR(INDEX(Sheet4!$2:$1605,MATCH(ChiTietKQKD[[#This Row],[Mã CP]],Sheet4!$B$2:$B$1605,0),_xlfn.XMATCH("*Tăng trưởng lợi nhuận sau thuế (QoQ)*",Sheet4!$1:$1,2)),"")</f>
        <v>0</v>
      </c>
    </row>
    <row r="1439" spans="1:18" x14ac:dyDescent="0.25">
      <c r="A1439" s="7">
        <f>Sheet4!A1418</f>
        <v>1417</v>
      </c>
      <c r="B1439" t="str">
        <f>Sheet4!B1418</f>
        <v>TCW</v>
      </c>
      <c r="C1439" t="str">
        <f>Sheet4!C1417</f>
        <v>Than Cẩm Phả - Vinacomin</v>
      </c>
      <c r="D1439" t="str">
        <f>Sheet4!D1418</f>
        <v>UPCoM</v>
      </c>
      <c r="E1439" s="7">
        <f>Sheet4!AH1418/1000000000</f>
        <v>582.81819708</v>
      </c>
      <c r="F1439" t="str">
        <f>Sheet4!E1418</f>
        <v>Công nghiệp</v>
      </c>
      <c r="G1439" t="str">
        <f>Sheet4!F1418</f>
        <v>Hàng &amp; Dịch vụ Công nghiệp</v>
      </c>
      <c r="H1439" t="str">
        <f>Sheet4!G1418</f>
        <v>Kho bãi, hậu cần và bảo dưỡng</v>
      </c>
      <c r="I1439" s="9" t="str" cm="1">
        <f t="array" ref="I143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39" s="9" t="str" cm="1">
        <f t="array" ref="J143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39" s="10" cm="1">
        <f t="array" ref="K143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39" s="10" cm="1">
        <f t="array" ref="L143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39" s="9" t="str" cm="1">
        <f t="array" ref="M143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39" s="9" t="str" cm="1">
        <f t="array" ref="N143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39" s="10" cm="1">
        <f t="array" ref="O1439">IFERROR(INDEX(Sheet4!$2:$1605,MATCH(ChiTietKQKD[[#This Row],[Mã CP]],Sheet4!$B$2:$B$1605,0),_xlfn.XMATCH("*Tăng trưởng lợi nhuận sau thuế (YoY) (Quý*",Sheet4!$1:$1,2)),"")</f>
        <v>0</v>
      </c>
      <c r="P1439" s="10" cm="1">
        <f t="array" ref="P1439">IFERROR(INDEX(Sheet4!$2:$1605,MATCH(ChiTietKQKD[[#This Row],[Mã CP]],Sheet4!$B$2:$B$1605,0),_xlfn.XMATCH("*Tăng trưởng lợi nhuận sau thuế (YoY) (6M)*",Sheet4!$1:$1,2)),"")</f>
        <v>0</v>
      </c>
      <c r="Q1439" s="10" cm="1">
        <f t="array" ref="Q1439">IFERROR(INDEX(Sheet4!$2:$1605,MATCH(ChiTietKQKD[[#This Row],[Mã CP]],Sheet4!$B$2:$B$1605,0),_xlfn.XMATCH("*Tăng trưởng doanh thu thuần (QoQ)*",Sheet4!$1:$1,2)),"")</f>
        <v>0</v>
      </c>
      <c r="R1439" s="10" cm="1">
        <f t="array" ref="R1439">IFERROR(INDEX(Sheet4!$2:$1605,MATCH(ChiTietKQKD[[#This Row],[Mã CP]],Sheet4!$B$2:$B$1605,0),_xlfn.XMATCH("*Tăng trưởng lợi nhuận sau thuế (QoQ)*",Sheet4!$1:$1,2)),"")</f>
        <v>0</v>
      </c>
    </row>
    <row r="1440" spans="1:18" x14ac:dyDescent="0.25">
      <c r="A1440" s="7">
        <f>Sheet4!A1419</f>
        <v>1418</v>
      </c>
      <c r="B1440" t="str">
        <f>Sheet4!B1419</f>
        <v>TDB</v>
      </c>
      <c r="C1440" t="str">
        <f>Sheet4!C1418</f>
        <v>Kho Vận Tân Cảng</v>
      </c>
      <c r="D1440" t="str">
        <f>Sheet4!D1419</f>
        <v>UPCoM</v>
      </c>
      <c r="E1440" s="7">
        <f>Sheet4!AH1419/1000000000</f>
        <v>320.97000000000003</v>
      </c>
      <c r="F1440" t="str">
        <f>Sheet4!E1419</f>
        <v>Tiện ích Cộng đồng</v>
      </c>
      <c r="G1440" t="str">
        <f>Sheet4!F1419</f>
        <v>Điện, nước &amp; xăng dầu khí đốt</v>
      </c>
      <c r="H1440" t="str">
        <f>Sheet4!G1419</f>
        <v>Sản xuất &amp; Phân phối Điện</v>
      </c>
      <c r="I1440" s="9" t="str" cm="1">
        <f t="array" ref="I144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40" s="9" t="str" cm="1">
        <f t="array" ref="J144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40" s="10" cm="1">
        <f t="array" ref="K144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40" s="10" cm="1">
        <f t="array" ref="L144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40" s="9" t="str" cm="1">
        <f t="array" ref="M144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40" s="9" t="str" cm="1">
        <f t="array" ref="N144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40" s="10" cm="1">
        <f t="array" ref="O1440">IFERROR(INDEX(Sheet4!$2:$1605,MATCH(ChiTietKQKD[[#This Row],[Mã CP]],Sheet4!$B$2:$B$1605,0),_xlfn.XMATCH("*Tăng trưởng lợi nhuận sau thuế (YoY) (Quý*",Sheet4!$1:$1,2)),"")</f>
        <v>0</v>
      </c>
      <c r="P1440" s="10" cm="1">
        <f t="array" ref="P1440">IFERROR(INDEX(Sheet4!$2:$1605,MATCH(ChiTietKQKD[[#This Row],[Mã CP]],Sheet4!$B$2:$B$1605,0),_xlfn.XMATCH("*Tăng trưởng lợi nhuận sau thuế (YoY) (6M)*",Sheet4!$1:$1,2)),"")</f>
        <v>0</v>
      </c>
      <c r="Q1440" s="10" cm="1">
        <f t="array" ref="Q1440">IFERROR(INDEX(Sheet4!$2:$1605,MATCH(ChiTietKQKD[[#This Row],[Mã CP]],Sheet4!$B$2:$B$1605,0),_xlfn.XMATCH("*Tăng trưởng doanh thu thuần (QoQ)*",Sheet4!$1:$1,2)),"")</f>
        <v>0</v>
      </c>
      <c r="R1440" s="10" cm="1">
        <f t="array" ref="R1440">IFERROR(INDEX(Sheet4!$2:$1605,MATCH(ChiTietKQKD[[#This Row],[Mã CP]],Sheet4!$B$2:$B$1605,0),_xlfn.XMATCH("*Tăng trưởng lợi nhuận sau thuế (QoQ)*",Sheet4!$1:$1,2)),"")</f>
        <v>0</v>
      </c>
    </row>
    <row r="1441" spans="1:18" x14ac:dyDescent="0.25">
      <c r="A1441" s="7">
        <f>Sheet4!A1420</f>
        <v>1419</v>
      </c>
      <c r="B1441" t="str">
        <f>Sheet4!B1420</f>
        <v>TDF</v>
      </c>
      <c r="C1441" t="str">
        <f>Sheet4!C1419</f>
        <v>Thủy điện Định Bình</v>
      </c>
      <c r="D1441" t="str">
        <f>Sheet4!D1420</f>
        <v>UPCoM</v>
      </c>
      <c r="E1441" s="7">
        <f>Sheet4!AH1420/1000000000</f>
        <v>280</v>
      </c>
      <c r="F1441" t="str">
        <f>Sheet4!E1420</f>
        <v>Công nghiệp</v>
      </c>
      <c r="G1441" t="str">
        <f>Sheet4!F1420</f>
        <v>Xây dựng và Vật liệu</v>
      </c>
      <c r="H1441" t="str">
        <f>Sheet4!G1420</f>
        <v>Vật liệu xây dựng &amp; Nội thất</v>
      </c>
      <c r="I1441" s="9" t="str" cm="1">
        <f t="array" ref="I144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41" s="9" t="str" cm="1">
        <f t="array" ref="J144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41" s="10" cm="1">
        <f t="array" ref="K144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41" s="10" cm="1">
        <f t="array" ref="L144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41" s="9" t="str" cm="1">
        <f t="array" ref="M144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41" s="9" t="str" cm="1">
        <f t="array" ref="N144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41" s="10" cm="1">
        <f t="array" ref="O1441">IFERROR(INDEX(Sheet4!$2:$1605,MATCH(ChiTietKQKD[[#This Row],[Mã CP]],Sheet4!$B$2:$B$1605,0),_xlfn.XMATCH("*Tăng trưởng lợi nhuận sau thuế (YoY) (Quý*",Sheet4!$1:$1,2)),"")</f>
        <v>0</v>
      </c>
      <c r="P1441" s="10" cm="1">
        <f t="array" ref="P1441">IFERROR(INDEX(Sheet4!$2:$1605,MATCH(ChiTietKQKD[[#This Row],[Mã CP]],Sheet4!$B$2:$B$1605,0),_xlfn.XMATCH("*Tăng trưởng lợi nhuận sau thuế (YoY) (6M)*",Sheet4!$1:$1,2)),"")</f>
        <v>0</v>
      </c>
      <c r="Q1441" s="10" cm="1">
        <f t="array" ref="Q1441">IFERROR(INDEX(Sheet4!$2:$1605,MATCH(ChiTietKQKD[[#This Row],[Mã CP]],Sheet4!$B$2:$B$1605,0),_xlfn.XMATCH("*Tăng trưởng doanh thu thuần (QoQ)*",Sheet4!$1:$1,2)),"")</f>
        <v>0</v>
      </c>
      <c r="R1441" s="10" cm="1">
        <f t="array" ref="R1441">IFERROR(INDEX(Sheet4!$2:$1605,MATCH(ChiTietKQKD[[#This Row],[Mã CP]],Sheet4!$B$2:$B$1605,0),_xlfn.XMATCH("*Tăng trưởng lợi nhuận sau thuế (QoQ)*",Sheet4!$1:$1,2)),"")</f>
        <v>0</v>
      </c>
    </row>
    <row r="1442" spans="1:18" x14ac:dyDescent="0.25">
      <c r="A1442" s="7">
        <f>Sheet4!A1421</f>
        <v>1420</v>
      </c>
      <c r="B1442" t="str">
        <f>Sheet4!B1421</f>
        <v>TDS</v>
      </c>
      <c r="C1442" t="str">
        <f>Sheet4!C1420</f>
        <v>Xây dựng Trung Đô</v>
      </c>
      <c r="D1442" t="str">
        <f>Sheet4!D1421</f>
        <v>UPCoM</v>
      </c>
      <c r="E1442" s="7">
        <f>Sheet4!AH1421/1000000000</f>
        <v>97.094071205999995</v>
      </c>
      <c r="F1442" t="str">
        <f>Sheet4!E1421</f>
        <v>Nguyên vật liệu</v>
      </c>
      <c r="G1442" t="str">
        <f>Sheet4!F1421</f>
        <v>Tài nguyên Cơ bản</v>
      </c>
      <c r="H1442" t="str">
        <f>Sheet4!G1421</f>
        <v>Thép và sản phẩm thép</v>
      </c>
      <c r="I1442" s="9" cm="1">
        <f t="array" ref="I144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514.54177411800003</v>
      </c>
      <c r="J1442" s="9" cm="1">
        <f t="array" ref="J144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1350.101965094</v>
      </c>
      <c r="K1442" s="10" cm="1">
        <f t="array" ref="K144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-6.1199999999999997E-2</v>
      </c>
      <c r="L1442" s="10" cm="1">
        <f t="array" ref="L144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0.42220000000000002</v>
      </c>
      <c r="M1442" s="9" cm="1">
        <f t="array" ref="M1442">_xlfn.LET(_xlpm.val,IFERROR(INDEX(Sheet4!$2:$1605,MATCH(ChiTietKQKD[[#This Row],[Mã CP]],Sheet4!$B$2:$B$1605,0),_xlfn.XMATCH("*Lợi nhuận sau thuế*Q2*2026*",Sheet4!$1:$1,2)),0),IF(OR(_xlpm.val="",_xlpm.val=0),"",_xlpm.val/1000000000))</f>
        <v>7.8896846570000001</v>
      </c>
      <c r="N1442" s="9" cm="1">
        <f t="array" ref="N1442">_xlfn.LET(_xlpm.val,IFERROR(INDEX(Sheet4!$2:$1605,MATCH(ChiTietKQKD[[#This Row],[Mã CP]],Sheet4!$B$2:$B$1605,0),_xlfn.XMATCH("*Lợi nhuận sau thuế*6 tháng*2026*",Sheet4!$1:$1,2)),0),IF(OR(_xlpm.val="",_xlpm.val=0),"",_xlpm.val/1000000000))</f>
        <v>11.986573341</v>
      </c>
      <c r="O1442" s="10" cm="1">
        <f t="array" ref="O1442">IFERROR(INDEX(Sheet4!$2:$1605,MATCH(ChiTietKQKD[[#This Row],[Mã CP]],Sheet4!$B$2:$B$1605,0),_xlfn.XMATCH("*Tăng trưởng lợi nhuận sau thuế (YoY) (Quý*",Sheet4!$1:$1,2)),"")</f>
        <v>2.0482999999999998</v>
      </c>
      <c r="P1442" s="10" cm="1">
        <f t="array" ref="P1442">IFERROR(INDEX(Sheet4!$2:$1605,MATCH(ChiTietKQKD[[#This Row],[Mã CP]],Sheet4!$B$2:$B$1605,0),_xlfn.XMATCH("*Tăng trưởng lợi nhuận sau thuế (YoY) (6M)*",Sheet4!$1:$1,2)),"")</f>
        <v>1.5238</v>
      </c>
      <c r="Q1442" s="10" cm="1">
        <f t="array" ref="Q1442">IFERROR(INDEX(Sheet4!$2:$1605,MATCH(ChiTietKQKD[[#This Row],[Mã CP]],Sheet4!$B$2:$B$1605,0),_xlfn.XMATCH("*Tăng trưởng doanh thu thuần (QoQ)*",Sheet4!$1:$1,2)),"")</f>
        <v>-0.38419999999999999</v>
      </c>
      <c r="R1442" s="10" cm="1">
        <f t="array" ref="R1442">IFERROR(INDEX(Sheet4!$2:$1605,MATCH(ChiTietKQKD[[#This Row],[Mã CP]],Sheet4!$B$2:$B$1605,0),_xlfn.XMATCH("*Tăng trưởng lợi nhuận sau thuế (QoQ)*",Sheet4!$1:$1,2)),"")</f>
        <v>0.92579999999999996</v>
      </c>
    </row>
    <row r="1443" spans="1:18" x14ac:dyDescent="0.25">
      <c r="A1443" s="7">
        <f>Sheet4!A1422</f>
        <v>1421</v>
      </c>
      <c r="B1443" t="str">
        <f>Sheet4!B1422</f>
        <v>TED</v>
      </c>
      <c r="C1443" t="str">
        <f>Sheet4!C1421</f>
        <v>Thép Thủ Đức</v>
      </c>
      <c r="D1443" t="str">
        <f>Sheet4!D1422</f>
        <v>UPCoM</v>
      </c>
      <c r="E1443" s="7">
        <f>Sheet4!AH1422/1000000000</f>
        <v>761.25</v>
      </c>
      <c r="F1443" t="str">
        <f>Sheet4!E1422</f>
        <v>Công nghiệp</v>
      </c>
      <c r="G1443" t="str">
        <f>Sheet4!F1422</f>
        <v>Xây dựng và Vật liệu</v>
      </c>
      <c r="H1443" t="str">
        <f>Sheet4!G1422</f>
        <v>Xây dựng</v>
      </c>
      <c r="I1443" s="9" t="str" cm="1">
        <f t="array" ref="I144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43" s="9" t="str" cm="1">
        <f t="array" ref="J144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43" s="10" cm="1">
        <f t="array" ref="K144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43" s="10" cm="1">
        <f t="array" ref="L144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43" s="9" t="str" cm="1">
        <f t="array" ref="M144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43" s="9" t="str" cm="1">
        <f t="array" ref="N144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43" s="10" cm="1">
        <f t="array" ref="O1443">IFERROR(INDEX(Sheet4!$2:$1605,MATCH(ChiTietKQKD[[#This Row],[Mã CP]],Sheet4!$B$2:$B$1605,0),_xlfn.XMATCH("*Tăng trưởng lợi nhuận sau thuế (YoY) (Quý*",Sheet4!$1:$1,2)),"")</f>
        <v>0</v>
      </c>
      <c r="P1443" s="10" cm="1">
        <f t="array" ref="P1443">IFERROR(INDEX(Sheet4!$2:$1605,MATCH(ChiTietKQKD[[#This Row],[Mã CP]],Sheet4!$B$2:$B$1605,0),_xlfn.XMATCH("*Tăng trưởng lợi nhuận sau thuế (YoY) (6M)*",Sheet4!$1:$1,2)),"")</f>
        <v>0</v>
      </c>
      <c r="Q1443" s="10" cm="1">
        <f t="array" ref="Q1443">IFERROR(INDEX(Sheet4!$2:$1605,MATCH(ChiTietKQKD[[#This Row],[Mã CP]],Sheet4!$B$2:$B$1605,0),_xlfn.XMATCH("*Tăng trưởng doanh thu thuần (QoQ)*",Sheet4!$1:$1,2)),"")</f>
        <v>0</v>
      </c>
      <c r="R1443" s="10" cm="1">
        <f t="array" ref="R1443">IFERROR(INDEX(Sheet4!$2:$1605,MATCH(ChiTietKQKD[[#This Row],[Mã CP]],Sheet4!$B$2:$B$1605,0),_xlfn.XMATCH("*Tăng trưởng lợi nhuận sau thuế (QoQ)*",Sheet4!$1:$1,2)),"")</f>
        <v>0</v>
      </c>
    </row>
    <row r="1444" spans="1:18" x14ac:dyDescent="0.25">
      <c r="A1444" s="7">
        <f>Sheet4!A1423</f>
        <v>1422</v>
      </c>
      <c r="B1444" t="str">
        <f>Sheet4!B1423</f>
        <v>TGG</v>
      </c>
      <c r="C1444" t="str">
        <f>Sheet4!C1422</f>
        <v>Thiết kế GTVT</v>
      </c>
      <c r="D1444" t="str">
        <f>Sheet4!D1423</f>
        <v>UPCoM</v>
      </c>
      <c r="E1444" s="7">
        <f>Sheet4!AH1423/1000000000</f>
        <v>62.789977</v>
      </c>
      <c r="F1444" t="str">
        <f>Sheet4!E1423</f>
        <v>Công nghiệp</v>
      </c>
      <c r="G1444" t="str">
        <f>Sheet4!F1423</f>
        <v>Xây dựng và Vật liệu</v>
      </c>
      <c r="H1444" t="str">
        <f>Sheet4!G1423</f>
        <v>Xây dựng</v>
      </c>
      <c r="I1444" s="9" t="str" cm="1">
        <f t="array" ref="I144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44" s="9" t="str" cm="1">
        <f t="array" ref="J144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44" s="10" cm="1">
        <f t="array" ref="K144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44" s="10" cm="1">
        <f t="array" ref="L144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44" s="9" t="str" cm="1">
        <f t="array" ref="M144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44" s="9" t="str" cm="1">
        <f t="array" ref="N144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44" s="10" cm="1">
        <f t="array" ref="O1444">IFERROR(INDEX(Sheet4!$2:$1605,MATCH(ChiTietKQKD[[#This Row],[Mã CP]],Sheet4!$B$2:$B$1605,0),_xlfn.XMATCH("*Tăng trưởng lợi nhuận sau thuế (YoY) (Quý*",Sheet4!$1:$1,2)),"")</f>
        <v>0</v>
      </c>
      <c r="P1444" s="10" cm="1">
        <f t="array" ref="P1444">IFERROR(INDEX(Sheet4!$2:$1605,MATCH(ChiTietKQKD[[#This Row],[Mã CP]],Sheet4!$B$2:$B$1605,0),_xlfn.XMATCH("*Tăng trưởng lợi nhuận sau thuế (YoY) (6M)*",Sheet4!$1:$1,2)),"")</f>
        <v>0</v>
      </c>
      <c r="Q1444" s="10" cm="1">
        <f t="array" ref="Q1444">IFERROR(INDEX(Sheet4!$2:$1605,MATCH(ChiTietKQKD[[#This Row],[Mã CP]],Sheet4!$B$2:$B$1605,0),_xlfn.XMATCH("*Tăng trưởng doanh thu thuần (QoQ)*",Sheet4!$1:$1,2)),"")</f>
        <v>0</v>
      </c>
      <c r="R1444" s="10" cm="1">
        <f t="array" ref="R1444">IFERROR(INDEX(Sheet4!$2:$1605,MATCH(ChiTietKQKD[[#This Row],[Mã CP]],Sheet4!$B$2:$B$1605,0),_xlfn.XMATCH("*Tăng trưởng lợi nhuận sau thuế (QoQ)*",Sheet4!$1:$1,2)),"")</f>
        <v>0</v>
      </c>
    </row>
    <row r="1445" spans="1:18" x14ac:dyDescent="0.25">
      <c r="A1445" s="7">
        <f>Sheet4!A1424</f>
        <v>1423</v>
      </c>
      <c r="B1445" t="str">
        <f>Sheet4!B1424</f>
        <v>TGP</v>
      </c>
      <c r="C1445" t="str">
        <f>Sheet4!C1423</f>
        <v>The Golden Group</v>
      </c>
      <c r="D1445" t="str">
        <f>Sheet4!D1424</f>
        <v>UPCoM</v>
      </c>
      <c r="E1445" s="7">
        <f>Sheet4!AH1424/1000000000</f>
        <v>77.057160124999996</v>
      </c>
      <c r="F1445" t="str">
        <f>Sheet4!E1424</f>
        <v>Công nghiệp</v>
      </c>
      <c r="G1445" t="str">
        <f>Sheet4!F1424</f>
        <v>Hàng &amp; Dịch vụ Công nghiệp</v>
      </c>
      <c r="H1445" t="str">
        <f>Sheet4!G1424</f>
        <v>Hàng điện &amp; điện tử</v>
      </c>
      <c r="I1445" s="9" t="str" cm="1">
        <f t="array" ref="I144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45" s="9" t="str" cm="1">
        <f t="array" ref="J144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45" s="10" cm="1">
        <f t="array" ref="K144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45" s="10" cm="1">
        <f t="array" ref="L144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45" s="9" t="str" cm="1">
        <f t="array" ref="M144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45" s="9" t="str" cm="1">
        <f t="array" ref="N144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45" s="10" cm="1">
        <f t="array" ref="O1445">IFERROR(INDEX(Sheet4!$2:$1605,MATCH(ChiTietKQKD[[#This Row],[Mã CP]],Sheet4!$B$2:$B$1605,0),_xlfn.XMATCH("*Tăng trưởng lợi nhuận sau thuế (YoY) (Quý*",Sheet4!$1:$1,2)),"")</f>
        <v>0</v>
      </c>
      <c r="P1445" s="10" cm="1">
        <f t="array" ref="P1445">IFERROR(INDEX(Sheet4!$2:$1605,MATCH(ChiTietKQKD[[#This Row],[Mã CP]],Sheet4!$B$2:$B$1605,0),_xlfn.XMATCH("*Tăng trưởng lợi nhuận sau thuế (YoY) (6M)*",Sheet4!$1:$1,2)),"")</f>
        <v>0</v>
      </c>
      <c r="Q1445" s="10" cm="1">
        <f t="array" ref="Q1445">IFERROR(INDEX(Sheet4!$2:$1605,MATCH(ChiTietKQKD[[#This Row],[Mã CP]],Sheet4!$B$2:$B$1605,0),_xlfn.XMATCH("*Tăng trưởng doanh thu thuần (QoQ)*",Sheet4!$1:$1,2)),"")</f>
        <v>0</v>
      </c>
      <c r="R1445" s="10" cm="1">
        <f t="array" ref="R1445">IFERROR(INDEX(Sheet4!$2:$1605,MATCH(ChiTietKQKD[[#This Row],[Mã CP]],Sheet4!$B$2:$B$1605,0),_xlfn.XMATCH("*Tăng trưởng lợi nhuận sau thuế (QoQ)*",Sheet4!$1:$1,2)),"")</f>
        <v>0</v>
      </c>
    </row>
    <row r="1446" spans="1:18" x14ac:dyDescent="0.25">
      <c r="A1446" s="7">
        <f>Sheet4!A1425</f>
        <v>1424</v>
      </c>
      <c r="B1446" t="str">
        <f>Sheet4!B1425</f>
        <v>TH1</v>
      </c>
      <c r="C1446" t="str">
        <f>Sheet4!C1424</f>
        <v>Cáp Trường Phú</v>
      </c>
      <c r="D1446" t="str">
        <f>Sheet4!D1425</f>
        <v>UPCoM</v>
      </c>
      <c r="E1446" s="7">
        <f>Sheet4!AH1425/1000000000</f>
        <v>77.173588199999998</v>
      </c>
      <c r="F1446" t="str">
        <f>Sheet4!E1425</f>
        <v>Dịch vụ Tiêu dùng</v>
      </c>
      <c r="G1446" t="str">
        <f>Sheet4!F1425</f>
        <v>Bán lẻ</v>
      </c>
      <c r="H1446" t="str">
        <f>Sheet4!G1425</f>
        <v>Phân phối thực phẩm</v>
      </c>
      <c r="I1446" s="9" cm="1">
        <f t="array" ref="I144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657.75252792799995</v>
      </c>
      <c r="J1446" s="9" t="str" cm="1">
        <f t="array" ref="J144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46" s="10" cm="1">
        <f t="array" ref="K144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0.36759999999999998</v>
      </c>
      <c r="L1446" s="10" cm="1">
        <f t="array" ref="L144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0.4819</v>
      </c>
      <c r="M1446" s="9" cm="1">
        <f t="array" ref="M1446">_xlfn.LET(_xlpm.val,IFERROR(INDEX(Sheet4!$2:$1605,MATCH(ChiTietKQKD[[#This Row],[Mã CP]],Sheet4!$B$2:$B$1605,0),_xlfn.XMATCH("*Lợi nhuận sau thuế*Q2*2026*",Sheet4!$1:$1,2)),0),IF(OR(_xlpm.val="",_xlpm.val=0),"",_xlpm.val/1000000000))</f>
        <v>24.402875761000001</v>
      </c>
      <c r="N1446" s="9" t="str" cm="1">
        <f t="array" ref="N144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46" s="10" cm="1">
        <f t="array" ref="O1446">IFERROR(INDEX(Sheet4!$2:$1605,MATCH(ChiTietKQKD[[#This Row],[Mã CP]],Sheet4!$B$2:$B$1605,0),_xlfn.XMATCH("*Tăng trưởng lợi nhuận sau thuế (YoY) (Quý*",Sheet4!$1:$1,2)),"")</f>
        <v>5.2398999999999996</v>
      </c>
      <c r="P1446" s="10" cm="1">
        <f t="array" ref="P1446">IFERROR(INDEX(Sheet4!$2:$1605,MATCH(ChiTietKQKD[[#This Row],[Mã CP]],Sheet4!$B$2:$B$1605,0),_xlfn.XMATCH("*Tăng trưởng lợi nhuận sau thuế (YoY) (6M)*",Sheet4!$1:$1,2)),"")</f>
        <v>28.035799999999998</v>
      </c>
      <c r="Q1446" s="10" cm="1">
        <f t="array" ref="Q1446">IFERROR(INDEX(Sheet4!$2:$1605,MATCH(ChiTietKQKD[[#This Row],[Mã CP]],Sheet4!$B$2:$B$1605,0),_xlfn.XMATCH("*Tăng trưởng doanh thu thuần (QoQ)*",Sheet4!$1:$1,2)),"")</f>
        <v>0.30380000000000001</v>
      </c>
      <c r="R1446" s="10" cm="1">
        <f t="array" ref="R1446">IFERROR(INDEX(Sheet4!$2:$1605,MATCH(ChiTietKQKD[[#This Row],[Mã CP]],Sheet4!$B$2:$B$1605,0),_xlfn.XMATCH("*Tăng trưởng lợi nhuận sau thuế (QoQ)*",Sheet4!$1:$1,2)),"")</f>
        <v>2.1957</v>
      </c>
    </row>
    <row r="1447" spans="1:18" x14ac:dyDescent="0.25">
      <c r="A1447" s="7">
        <f>Sheet4!A1426</f>
        <v>1425</v>
      </c>
      <c r="B1447" t="str">
        <f>Sheet4!B1426</f>
        <v>THM</v>
      </c>
      <c r="C1447" t="str">
        <f>Sheet4!C1425</f>
        <v>XNK Tổng hợp 1</v>
      </c>
      <c r="D1447" t="str">
        <f>Sheet4!D1426</f>
        <v>UPCoM</v>
      </c>
      <c r="E1447" s="7">
        <f>Sheet4!AH1426/1000000000</f>
        <v>111.80576000000001</v>
      </c>
      <c r="F1447" t="str">
        <f>Sheet4!E1426</f>
        <v>Hàng Tiêu dùng</v>
      </c>
      <c r="G1447" t="str">
        <f>Sheet4!F1426</f>
        <v>Hàng cá nhân &amp; Gia dụng</v>
      </c>
      <c r="H1447" t="str">
        <f>Sheet4!G1426</f>
        <v>Hàng May mặc</v>
      </c>
      <c r="I1447" s="9" cm="1">
        <f t="array" ref="I144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35.185786597000003</v>
      </c>
      <c r="J1447" s="9" cm="1">
        <f t="array" ref="J144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46.086093945999998</v>
      </c>
      <c r="K1447" s="10" cm="1">
        <f t="array" ref="K144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0.10100000000000001</v>
      </c>
      <c r="L1447" s="10" cm="1">
        <f t="array" ref="L144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8.4599999999999995E-2</v>
      </c>
      <c r="M1447" s="9" cm="1">
        <f t="array" ref="M1447">_xlfn.LET(_xlpm.val,IFERROR(INDEX(Sheet4!$2:$1605,MATCH(ChiTietKQKD[[#This Row],[Mã CP]],Sheet4!$B$2:$B$1605,0),_xlfn.XMATCH("*Lợi nhuận sau thuế*Q2*2026*",Sheet4!$1:$1,2)),0),IF(OR(_xlpm.val="",_xlpm.val=0),"",_xlpm.val/1000000000))</f>
        <v>0.95231357100000003</v>
      </c>
      <c r="N1447" s="9" cm="1">
        <f t="array" ref="N1447">_xlfn.LET(_xlpm.val,IFERROR(INDEX(Sheet4!$2:$1605,MATCH(ChiTietKQKD[[#This Row],[Mã CP]],Sheet4!$B$2:$B$1605,0),_xlfn.XMATCH("*Lợi nhuận sau thuế*6 tháng*2026*",Sheet4!$1:$1,2)),0),IF(OR(_xlpm.val="",_xlpm.val=0),"",_xlpm.val/1000000000))</f>
        <v>-2.7357088549999999</v>
      </c>
      <c r="O1447" s="10" cm="1">
        <f t="array" ref="O1447">IFERROR(INDEX(Sheet4!$2:$1605,MATCH(ChiTietKQKD[[#This Row],[Mã CP]],Sheet4!$B$2:$B$1605,0),_xlfn.XMATCH("*Tăng trưởng lợi nhuận sau thuế (YoY) (Quý*",Sheet4!$1:$1,2)),"")</f>
        <v>28.066400000000002</v>
      </c>
      <c r="P1447" s="10" cm="1">
        <f t="array" ref="P1447">IFERROR(INDEX(Sheet4!$2:$1605,MATCH(ChiTietKQKD[[#This Row],[Mã CP]],Sheet4!$B$2:$B$1605,0),_xlfn.XMATCH("*Tăng trưởng lợi nhuận sau thuế (YoY) (6M)*",Sheet4!$1:$1,2)),"")</f>
        <v>0.21410000000000001</v>
      </c>
      <c r="Q1447" s="10" cm="1">
        <f t="array" ref="Q1447">IFERROR(INDEX(Sheet4!$2:$1605,MATCH(ChiTietKQKD[[#This Row],[Mã CP]],Sheet4!$B$2:$B$1605,0),_xlfn.XMATCH("*Tăng trưởng doanh thu thuần (QoQ)*",Sheet4!$1:$1,2)),"")</f>
        <v>2.2280000000000002</v>
      </c>
      <c r="R1447" s="10" cm="1">
        <f t="array" ref="R1447">IFERROR(INDEX(Sheet4!$2:$1605,MATCH(ChiTietKQKD[[#This Row],[Mã CP]],Sheet4!$B$2:$B$1605,0),_xlfn.XMATCH("*Tăng trưởng lợi nhuận sau thuế (QoQ)*",Sheet4!$1:$1,2)),"")</f>
        <v>1.3927</v>
      </c>
    </row>
    <row r="1448" spans="1:18" x14ac:dyDescent="0.25">
      <c r="A1448" s="7">
        <f>Sheet4!A1427</f>
        <v>1426</v>
      </c>
      <c r="B1448" t="str">
        <f>Sheet4!B1427</f>
        <v>THN</v>
      </c>
      <c r="C1448" t="str">
        <f>Sheet4!C1426</f>
        <v>Tứ Hải Hà Nam</v>
      </c>
      <c r="D1448" t="str">
        <f>Sheet4!D1427</f>
        <v>UPCoM</v>
      </c>
      <c r="E1448" s="7">
        <f>Sheet4!AH1427/1000000000</f>
        <v>125.3825618</v>
      </c>
      <c r="F1448" t="str">
        <f>Sheet4!E1427</f>
        <v>Tiện ích Cộng đồng</v>
      </c>
      <c r="G1448" t="str">
        <f>Sheet4!F1427</f>
        <v>Điện, nước &amp; xăng dầu khí đốt</v>
      </c>
      <c r="H1448" t="str">
        <f>Sheet4!G1427</f>
        <v>Nước</v>
      </c>
      <c r="I1448" s="9" cm="1">
        <f t="array" ref="I144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133.59736938099999</v>
      </c>
      <c r="J1448" s="9" cm="1">
        <f t="array" ref="J144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248.459306505</v>
      </c>
      <c r="K1448" s="10" cm="1">
        <f t="array" ref="K144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0.1012</v>
      </c>
      <c r="L1448" s="10" cm="1">
        <f t="array" ref="L144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9.2100000000000001E-2</v>
      </c>
      <c r="M1448" s="9" cm="1">
        <f t="array" ref="M1448">_xlfn.LET(_xlpm.val,IFERROR(INDEX(Sheet4!$2:$1605,MATCH(ChiTietKQKD[[#This Row],[Mã CP]],Sheet4!$B$2:$B$1605,0),_xlfn.XMATCH("*Lợi nhuận sau thuế*Q2*2026*",Sheet4!$1:$1,2)),0),IF(OR(_xlpm.val="",_xlpm.val=0),"",_xlpm.val/1000000000))</f>
        <v>17.693860967999999</v>
      </c>
      <c r="N1448" s="9" cm="1">
        <f t="array" ref="N1448">_xlfn.LET(_xlpm.val,IFERROR(INDEX(Sheet4!$2:$1605,MATCH(ChiTietKQKD[[#This Row],[Mã CP]],Sheet4!$B$2:$B$1605,0),_xlfn.XMATCH("*Lợi nhuận sau thuế*6 tháng*2026*",Sheet4!$1:$1,2)),0),IF(OR(_xlpm.val="",_xlpm.val=0),"",_xlpm.val/1000000000))</f>
        <v>28.699388191000001</v>
      </c>
      <c r="O1448" s="10" cm="1">
        <f t="array" ref="O1448">IFERROR(INDEX(Sheet4!$2:$1605,MATCH(ChiTietKQKD[[#This Row],[Mã CP]],Sheet4!$B$2:$B$1605,0),_xlfn.XMATCH("*Tăng trưởng lợi nhuận sau thuế (YoY) (Quý*",Sheet4!$1:$1,2)),"")</f>
        <v>1.66E-2</v>
      </c>
      <c r="P1448" s="10" cm="1">
        <f t="array" ref="P1448">IFERROR(INDEX(Sheet4!$2:$1605,MATCH(ChiTietKQKD[[#This Row],[Mã CP]],Sheet4!$B$2:$B$1605,0),_xlfn.XMATCH("*Tăng trưởng lợi nhuận sau thuế (YoY) (6M)*",Sheet4!$1:$1,2)),"")</f>
        <v>3.9E-2</v>
      </c>
      <c r="Q1448" s="10" cm="1">
        <f t="array" ref="Q1448">IFERROR(INDEX(Sheet4!$2:$1605,MATCH(ChiTietKQKD[[#This Row],[Mã CP]],Sheet4!$B$2:$B$1605,0),_xlfn.XMATCH("*Tăng trưởng doanh thu thuần (QoQ)*",Sheet4!$1:$1,2)),"")</f>
        <v>0.16309999999999999</v>
      </c>
      <c r="R1448" s="10" cm="1">
        <f t="array" ref="R1448">IFERROR(INDEX(Sheet4!$2:$1605,MATCH(ChiTietKQKD[[#This Row],[Mã CP]],Sheet4!$B$2:$B$1605,0),_xlfn.XMATCH("*Tăng trưởng lợi nhuận sau thuế (QoQ)*",Sheet4!$1:$1,2)),"")</f>
        <v>0.60770000000000002</v>
      </c>
    </row>
    <row r="1449" spans="1:18" x14ac:dyDescent="0.25">
      <c r="A1449" s="7">
        <f>Sheet4!A1428</f>
        <v>1427</v>
      </c>
      <c r="B1449" t="str">
        <f>Sheet4!B1428</f>
        <v>THO</v>
      </c>
      <c r="C1449" t="str">
        <f>Sheet4!C1427</f>
        <v>Cấp nước Thanh Hóa</v>
      </c>
      <c r="D1449" t="str">
        <f>Sheet4!D1428</f>
        <v>UPCoM</v>
      </c>
      <c r="E1449" s="7">
        <f>Sheet4!AH1428/1000000000</f>
        <v>0</v>
      </c>
      <c r="F1449" t="str">
        <f>Sheet4!E1428</f>
        <v>Công nghiệp</v>
      </c>
      <c r="G1449" t="str">
        <f>Sheet4!F1428</f>
        <v>Xây dựng và Vật liệu</v>
      </c>
      <c r="H1449" t="str">
        <f>Sheet4!G1428</f>
        <v>Xây dựng</v>
      </c>
      <c r="I1449" s="9" t="str" cm="1">
        <f t="array" ref="I144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49" s="9" t="str" cm="1">
        <f t="array" ref="J144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49" s="10" cm="1">
        <f t="array" ref="K144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49" s="10" cm="1">
        <f t="array" ref="L144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49" s="9" t="str" cm="1">
        <f t="array" ref="M144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49" s="9" t="str" cm="1">
        <f t="array" ref="N144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49" s="10" cm="1">
        <f t="array" ref="O1449">IFERROR(INDEX(Sheet4!$2:$1605,MATCH(ChiTietKQKD[[#This Row],[Mã CP]],Sheet4!$B$2:$B$1605,0),_xlfn.XMATCH("*Tăng trưởng lợi nhuận sau thuế (YoY) (Quý*",Sheet4!$1:$1,2)),"")</f>
        <v>0</v>
      </c>
      <c r="P1449" s="10" cm="1">
        <f t="array" ref="P1449">IFERROR(INDEX(Sheet4!$2:$1605,MATCH(ChiTietKQKD[[#This Row],[Mã CP]],Sheet4!$B$2:$B$1605,0),_xlfn.XMATCH("*Tăng trưởng lợi nhuận sau thuế (YoY) (6M)*",Sheet4!$1:$1,2)),"")</f>
        <v>0</v>
      </c>
      <c r="Q1449" s="10" cm="1">
        <f t="array" ref="Q1449">IFERROR(INDEX(Sheet4!$2:$1605,MATCH(ChiTietKQKD[[#This Row],[Mã CP]],Sheet4!$B$2:$B$1605,0),_xlfn.XMATCH("*Tăng trưởng doanh thu thuần (QoQ)*",Sheet4!$1:$1,2)),"")</f>
        <v>0</v>
      </c>
      <c r="R1449" s="10" cm="1">
        <f t="array" ref="R1449">IFERROR(INDEX(Sheet4!$2:$1605,MATCH(ChiTietKQKD[[#This Row],[Mã CP]],Sheet4!$B$2:$B$1605,0),_xlfn.XMATCH("*Tăng trưởng lợi nhuận sau thuế (QoQ)*",Sheet4!$1:$1,2)),"")</f>
        <v>0</v>
      </c>
    </row>
    <row r="1450" spans="1:18" x14ac:dyDescent="0.25">
      <c r="A1450" s="7">
        <f>Sheet4!A1429</f>
        <v>1428</v>
      </c>
      <c r="B1450" t="str">
        <f>Sheet4!B1429</f>
        <v>THP</v>
      </c>
      <c r="C1450" t="str">
        <f>Sheet4!C1428</f>
        <v>Xây Lắp Tây Hồ</v>
      </c>
      <c r="D1450" t="str">
        <f>Sheet4!D1429</f>
        <v>UPCoM</v>
      </c>
      <c r="E1450" s="7">
        <f>Sheet4!AH1429/1000000000</f>
        <v>205.3024575</v>
      </c>
      <c r="F1450" t="str">
        <f>Sheet4!E1429</f>
        <v>Hàng Tiêu dùng</v>
      </c>
      <c r="G1450" t="str">
        <f>Sheet4!F1429</f>
        <v>Thực phẩm và đồ uống</v>
      </c>
      <c r="H1450" t="str">
        <f>Sheet4!G1429</f>
        <v>Nuôi trồng nông &amp; hải sản</v>
      </c>
      <c r="I1450" s="9" t="str" cm="1">
        <f t="array" ref="I145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50" s="9" t="str" cm="1">
        <f t="array" ref="J145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50" s="10" cm="1">
        <f t="array" ref="K145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50" s="10" cm="1">
        <f t="array" ref="L145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50" s="9" t="str" cm="1">
        <f t="array" ref="M145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50" s="9" t="str" cm="1">
        <f t="array" ref="N145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50" s="10" cm="1">
        <f t="array" ref="O1450">IFERROR(INDEX(Sheet4!$2:$1605,MATCH(ChiTietKQKD[[#This Row],[Mã CP]],Sheet4!$B$2:$B$1605,0),_xlfn.XMATCH("*Tăng trưởng lợi nhuận sau thuế (YoY) (Quý*",Sheet4!$1:$1,2)),"")</f>
        <v>0</v>
      </c>
      <c r="P1450" s="10" cm="1">
        <f t="array" ref="P1450">IFERROR(INDEX(Sheet4!$2:$1605,MATCH(ChiTietKQKD[[#This Row],[Mã CP]],Sheet4!$B$2:$B$1605,0),_xlfn.XMATCH("*Tăng trưởng lợi nhuận sau thuế (YoY) (6M)*",Sheet4!$1:$1,2)),"")</f>
        <v>0</v>
      </c>
      <c r="Q1450" s="10" cm="1">
        <f t="array" ref="Q1450">IFERROR(INDEX(Sheet4!$2:$1605,MATCH(ChiTietKQKD[[#This Row],[Mã CP]],Sheet4!$B$2:$B$1605,0),_xlfn.XMATCH("*Tăng trưởng doanh thu thuần (QoQ)*",Sheet4!$1:$1,2)),"")</f>
        <v>0</v>
      </c>
      <c r="R1450" s="10" cm="1">
        <f t="array" ref="R1450">IFERROR(INDEX(Sheet4!$2:$1605,MATCH(ChiTietKQKD[[#This Row],[Mã CP]],Sheet4!$B$2:$B$1605,0),_xlfn.XMATCH("*Tăng trưởng lợi nhuận sau thuế (QoQ)*",Sheet4!$1:$1,2)),"")</f>
        <v>0</v>
      </c>
    </row>
    <row r="1451" spans="1:18" x14ac:dyDescent="0.25">
      <c r="A1451" s="7">
        <f>Sheet4!A1430</f>
        <v>1429</v>
      </c>
      <c r="B1451" t="str">
        <f>Sheet4!B1430</f>
        <v>THU</v>
      </c>
      <c r="C1451" t="str">
        <f>Sheet4!C1429</f>
        <v>Thủy sản và TMại Thuận Phước</v>
      </c>
      <c r="D1451" t="str">
        <f>Sheet4!D1430</f>
        <v>UPCoM</v>
      </c>
      <c r="E1451" s="7">
        <f>Sheet4!AH1430/1000000000</f>
        <v>34.626795000000001</v>
      </c>
      <c r="F1451" t="str">
        <f>Sheet4!E1430</f>
        <v>Công nghiệp</v>
      </c>
      <c r="G1451" t="str">
        <f>Sheet4!F1430</f>
        <v>Hàng &amp; Dịch vụ Công nghiệp</v>
      </c>
      <c r="H1451" t="str">
        <f>Sheet4!G1430</f>
        <v>Chất thải &amp; Môi trường</v>
      </c>
      <c r="I1451" s="9" t="str" cm="1">
        <f t="array" ref="I145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51" s="9" t="str" cm="1">
        <f t="array" ref="J145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51" s="10" cm="1">
        <f t="array" ref="K145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51" s="10" cm="1">
        <f t="array" ref="L145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51" s="9" t="str" cm="1">
        <f t="array" ref="M145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51" s="9" t="str" cm="1">
        <f t="array" ref="N145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51" s="10" cm="1">
        <f t="array" ref="O1451">IFERROR(INDEX(Sheet4!$2:$1605,MATCH(ChiTietKQKD[[#This Row],[Mã CP]],Sheet4!$B$2:$B$1605,0),_xlfn.XMATCH("*Tăng trưởng lợi nhuận sau thuế (YoY) (Quý*",Sheet4!$1:$1,2)),"")</f>
        <v>0</v>
      </c>
      <c r="P1451" s="10" cm="1">
        <f t="array" ref="P1451">IFERROR(INDEX(Sheet4!$2:$1605,MATCH(ChiTietKQKD[[#This Row],[Mã CP]],Sheet4!$B$2:$B$1605,0),_xlfn.XMATCH("*Tăng trưởng lợi nhuận sau thuế (YoY) (6M)*",Sheet4!$1:$1,2)),"")</f>
        <v>0</v>
      </c>
      <c r="Q1451" s="10" cm="1">
        <f t="array" ref="Q1451">IFERROR(INDEX(Sheet4!$2:$1605,MATCH(ChiTietKQKD[[#This Row],[Mã CP]],Sheet4!$B$2:$B$1605,0),_xlfn.XMATCH("*Tăng trưởng doanh thu thuần (QoQ)*",Sheet4!$1:$1,2)),"")</f>
        <v>0</v>
      </c>
      <c r="R1451" s="10" cm="1">
        <f t="array" ref="R1451">IFERROR(INDEX(Sheet4!$2:$1605,MATCH(ChiTietKQKD[[#This Row],[Mã CP]],Sheet4!$B$2:$B$1605,0),_xlfn.XMATCH("*Tăng trưởng lợi nhuận sau thuế (QoQ)*",Sheet4!$1:$1,2)),"")</f>
        <v>0</v>
      </c>
    </row>
    <row r="1452" spans="1:18" x14ac:dyDescent="0.25">
      <c r="A1452" s="7">
        <f>Sheet4!A1431</f>
        <v>1430</v>
      </c>
      <c r="B1452" t="str">
        <f>Sheet4!B1431</f>
        <v>THW</v>
      </c>
      <c r="C1452" t="str">
        <f>Sheet4!C1430</f>
        <v>Môi trường và CTĐT Thanh Hóa</v>
      </c>
      <c r="D1452" t="str">
        <f>Sheet4!D1431</f>
        <v>UPCoM</v>
      </c>
      <c r="E1452" s="7">
        <f>Sheet4!AH1431/1000000000</f>
        <v>94.462199999999996</v>
      </c>
      <c r="F1452" t="str">
        <f>Sheet4!E1431</f>
        <v>Tiện ích Cộng đồng</v>
      </c>
      <c r="G1452" t="str">
        <f>Sheet4!F1431</f>
        <v>Điện, nước &amp; xăng dầu khí đốt</v>
      </c>
      <c r="H1452" t="str">
        <f>Sheet4!G1431</f>
        <v>Nước</v>
      </c>
      <c r="I1452" s="9" t="str" cm="1">
        <f t="array" ref="I145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52" s="9" t="str" cm="1">
        <f t="array" ref="J145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52" s="10" cm="1">
        <f t="array" ref="K145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52" s="10" cm="1">
        <f t="array" ref="L145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52" s="9" t="str" cm="1">
        <f t="array" ref="M145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52" s="9" t="str" cm="1">
        <f t="array" ref="N145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52" s="10" cm="1">
        <f t="array" ref="O1452">IFERROR(INDEX(Sheet4!$2:$1605,MATCH(ChiTietKQKD[[#This Row],[Mã CP]],Sheet4!$B$2:$B$1605,0),_xlfn.XMATCH("*Tăng trưởng lợi nhuận sau thuế (YoY) (Quý*",Sheet4!$1:$1,2)),"")</f>
        <v>0</v>
      </c>
      <c r="P1452" s="10" cm="1">
        <f t="array" ref="P1452">IFERROR(INDEX(Sheet4!$2:$1605,MATCH(ChiTietKQKD[[#This Row],[Mã CP]],Sheet4!$B$2:$B$1605,0),_xlfn.XMATCH("*Tăng trưởng lợi nhuận sau thuế (YoY) (6M)*",Sheet4!$1:$1,2)),"")</f>
        <v>0</v>
      </c>
      <c r="Q1452" s="10" cm="1">
        <f t="array" ref="Q1452">IFERROR(INDEX(Sheet4!$2:$1605,MATCH(ChiTietKQKD[[#This Row],[Mã CP]],Sheet4!$B$2:$B$1605,0),_xlfn.XMATCH("*Tăng trưởng doanh thu thuần (QoQ)*",Sheet4!$1:$1,2)),"")</f>
        <v>0</v>
      </c>
      <c r="R1452" s="10" cm="1">
        <f t="array" ref="R1452">IFERROR(INDEX(Sheet4!$2:$1605,MATCH(ChiTietKQKD[[#This Row],[Mã CP]],Sheet4!$B$2:$B$1605,0),_xlfn.XMATCH("*Tăng trưởng lợi nhuận sau thuế (QoQ)*",Sheet4!$1:$1,2)),"")</f>
        <v>0</v>
      </c>
    </row>
    <row r="1453" spans="1:18" x14ac:dyDescent="0.25">
      <c r="A1453" s="7">
        <f>Sheet4!A1432</f>
        <v>1431</v>
      </c>
      <c r="B1453" t="str">
        <f>Sheet4!B1432</f>
        <v>TID</v>
      </c>
      <c r="C1453" t="str">
        <f>Sheet4!C1431</f>
        <v>Cấp nước Tân Hòa</v>
      </c>
      <c r="D1453" t="str">
        <f>Sheet4!D1432</f>
        <v>UPCoM</v>
      </c>
      <c r="E1453" s="7">
        <f>Sheet4!AH1432/1000000000</f>
        <v>3868.8</v>
      </c>
      <c r="F1453" t="str">
        <f>Sheet4!E1432</f>
        <v>Tài chính</v>
      </c>
      <c r="G1453" t="str">
        <f>Sheet4!F1432</f>
        <v>Bất động sản</v>
      </c>
      <c r="H1453" t="str">
        <f>Sheet4!G1432</f>
        <v>Bất động sản</v>
      </c>
      <c r="I1453" s="9" t="str" cm="1">
        <f t="array" ref="I145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53" s="9" t="str" cm="1">
        <f t="array" ref="J145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53" s="10" cm="1">
        <f t="array" ref="K145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53" s="10" cm="1">
        <f t="array" ref="L145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53" s="9" t="str" cm="1">
        <f t="array" ref="M145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53" s="9" t="str" cm="1">
        <f t="array" ref="N145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53" s="10" cm="1">
        <f t="array" ref="O1453">IFERROR(INDEX(Sheet4!$2:$1605,MATCH(ChiTietKQKD[[#This Row],[Mã CP]],Sheet4!$B$2:$B$1605,0),_xlfn.XMATCH("*Tăng trưởng lợi nhuận sau thuế (YoY) (Quý*",Sheet4!$1:$1,2)),"")</f>
        <v>0</v>
      </c>
      <c r="P1453" s="10" cm="1">
        <f t="array" ref="P1453">IFERROR(INDEX(Sheet4!$2:$1605,MATCH(ChiTietKQKD[[#This Row],[Mã CP]],Sheet4!$B$2:$B$1605,0),_xlfn.XMATCH("*Tăng trưởng lợi nhuận sau thuế (YoY) (6M)*",Sheet4!$1:$1,2)),"")</f>
        <v>0</v>
      </c>
      <c r="Q1453" s="10" cm="1">
        <f t="array" ref="Q1453">IFERROR(INDEX(Sheet4!$2:$1605,MATCH(ChiTietKQKD[[#This Row],[Mã CP]],Sheet4!$B$2:$B$1605,0),_xlfn.XMATCH("*Tăng trưởng doanh thu thuần (QoQ)*",Sheet4!$1:$1,2)),"")</f>
        <v>0</v>
      </c>
      <c r="R1453" s="10" cm="1">
        <f t="array" ref="R1453">IFERROR(INDEX(Sheet4!$2:$1605,MATCH(ChiTietKQKD[[#This Row],[Mã CP]],Sheet4!$B$2:$B$1605,0),_xlfn.XMATCH("*Tăng trưởng lợi nhuận sau thuế (QoQ)*",Sheet4!$1:$1,2)),"")</f>
        <v>0</v>
      </c>
    </row>
    <row r="1454" spans="1:18" x14ac:dyDescent="0.25">
      <c r="A1454" s="7">
        <f>Sheet4!A1433</f>
        <v>1432</v>
      </c>
      <c r="B1454" t="str">
        <f>Sheet4!B1433</f>
        <v>TIE</v>
      </c>
      <c r="C1454" t="str">
        <f>Sheet4!C1432</f>
        <v>Tổng Công ty Tín Nghĩa</v>
      </c>
      <c r="D1454" t="str">
        <f>Sheet4!D1433</f>
        <v>UPCoM</v>
      </c>
      <c r="E1454" s="7">
        <f>Sheet4!AH1433/1000000000</f>
        <v>30.62368</v>
      </c>
      <c r="F1454" t="str">
        <f>Sheet4!E1433</f>
        <v>Công nghiệp</v>
      </c>
      <c r="G1454" t="str">
        <f>Sheet4!F1433</f>
        <v>Hàng &amp; Dịch vụ Công nghiệp</v>
      </c>
      <c r="H1454" t="str">
        <f>Sheet4!G1433</f>
        <v>Hàng điện &amp; điện tử</v>
      </c>
      <c r="I1454" s="9" t="str" cm="1">
        <f t="array" ref="I145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54" s="9" t="str" cm="1">
        <f t="array" ref="J145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54" s="10" cm="1">
        <f t="array" ref="K145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54" s="10" cm="1">
        <f t="array" ref="L145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54" s="9" t="str" cm="1">
        <f t="array" ref="M145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54" s="9" t="str" cm="1">
        <f t="array" ref="N145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54" s="10" cm="1">
        <f t="array" ref="O1454">IFERROR(INDEX(Sheet4!$2:$1605,MATCH(ChiTietKQKD[[#This Row],[Mã CP]],Sheet4!$B$2:$B$1605,0),_xlfn.XMATCH("*Tăng trưởng lợi nhuận sau thuế (YoY) (Quý*",Sheet4!$1:$1,2)),"")</f>
        <v>0</v>
      </c>
      <c r="P1454" s="10" cm="1">
        <f t="array" ref="P1454">IFERROR(INDEX(Sheet4!$2:$1605,MATCH(ChiTietKQKD[[#This Row],[Mã CP]],Sheet4!$B$2:$B$1605,0),_xlfn.XMATCH("*Tăng trưởng lợi nhuận sau thuế (YoY) (6M)*",Sheet4!$1:$1,2)),"")</f>
        <v>0</v>
      </c>
      <c r="Q1454" s="10" cm="1">
        <f t="array" ref="Q1454">IFERROR(INDEX(Sheet4!$2:$1605,MATCH(ChiTietKQKD[[#This Row],[Mã CP]],Sheet4!$B$2:$B$1605,0),_xlfn.XMATCH("*Tăng trưởng doanh thu thuần (QoQ)*",Sheet4!$1:$1,2)),"")</f>
        <v>0</v>
      </c>
      <c r="R1454" s="10" cm="1">
        <f t="array" ref="R1454">IFERROR(INDEX(Sheet4!$2:$1605,MATCH(ChiTietKQKD[[#This Row],[Mã CP]],Sheet4!$B$2:$B$1605,0),_xlfn.XMATCH("*Tăng trưởng lợi nhuận sau thuế (QoQ)*",Sheet4!$1:$1,2)),"")</f>
        <v>0</v>
      </c>
    </row>
    <row r="1455" spans="1:18" x14ac:dyDescent="0.25">
      <c r="A1455" s="7">
        <f>Sheet4!A1434</f>
        <v>1433</v>
      </c>
      <c r="B1455" t="str">
        <f>Sheet4!B1434</f>
        <v>TIN</v>
      </c>
      <c r="C1455" t="str">
        <f>Sheet4!C1433</f>
        <v>Điện tử TIE</v>
      </c>
      <c r="D1455" t="str">
        <f>Sheet4!D1434</f>
        <v>UPCoM</v>
      </c>
      <c r="E1455" s="7">
        <f>Sheet4!AH1434/1000000000</f>
        <v>9101.1474654270005</v>
      </c>
      <c r="F1455" t="str">
        <f>Sheet4!E1434</f>
        <v>Tài chính</v>
      </c>
      <c r="G1455" t="str">
        <f>Sheet4!F1434</f>
        <v>Dịch vụ tài chính</v>
      </c>
      <c r="H1455" t="str">
        <f>Sheet4!G1434</f>
        <v>Quản lý tài sản</v>
      </c>
      <c r="I1455" s="9" t="str" cm="1">
        <f t="array" ref="I145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55" s="9" t="str" cm="1">
        <f t="array" ref="J145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55" s="10" cm="1">
        <f t="array" ref="K145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1.8812</v>
      </c>
      <c r="L1455" s="10" cm="1">
        <f t="array" ref="L145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55" s="9" cm="1">
        <f t="array" ref="M1455">_xlfn.LET(_xlpm.val,IFERROR(INDEX(Sheet4!$2:$1605,MATCH(ChiTietKQKD[[#This Row],[Mã CP]],Sheet4!$B$2:$B$1605,0),_xlfn.XMATCH("*Lợi nhuận sau thuế*Q2*2026*",Sheet4!$1:$1,2)),0),IF(OR(_xlpm.val="",_xlpm.val=0),"",_xlpm.val/1000000000))</f>
        <v>376.63875514699998</v>
      </c>
      <c r="N1455" s="9" cm="1">
        <f t="array" ref="N1455">_xlfn.LET(_xlpm.val,IFERROR(INDEX(Sheet4!$2:$1605,MATCH(ChiTietKQKD[[#This Row],[Mã CP]],Sheet4!$B$2:$B$1605,0),_xlfn.XMATCH("*Lợi nhuận sau thuế*6 tháng*2026*",Sheet4!$1:$1,2)),0),IF(OR(_xlpm.val="",_xlpm.val=0),"",_xlpm.val/1000000000))</f>
        <v>838.18583935000004</v>
      </c>
      <c r="O1455" s="10" cm="1">
        <f t="array" ref="O1455">IFERROR(INDEX(Sheet4!$2:$1605,MATCH(ChiTietKQKD[[#This Row],[Mã CP]],Sheet4!$B$2:$B$1605,0),_xlfn.XMATCH("*Tăng trưởng lợi nhuận sau thuế (YoY) (Quý*",Sheet4!$1:$1,2)),"")</f>
        <v>0.80249999999999999</v>
      </c>
      <c r="P1455" s="10" cm="1">
        <f t="array" ref="P1455">IFERROR(INDEX(Sheet4!$2:$1605,MATCH(ChiTietKQKD[[#This Row],[Mã CP]],Sheet4!$B$2:$B$1605,0),_xlfn.XMATCH("*Tăng trưởng lợi nhuận sau thuế (YoY) (6M)*",Sheet4!$1:$1,2)),"")</f>
        <v>0</v>
      </c>
      <c r="Q1455" s="10" cm="1">
        <f t="array" ref="Q1455">IFERROR(INDEX(Sheet4!$2:$1605,MATCH(ChiTietKQKD[[#This Row],[Mã CP]],Sheet4!$B$2:$B$1605,0),_xlfn.XMATCH("*Tăng trưởng doanh thu thuần (QoQ)*",Sheet4!$1:$1,2)),"")</f>
        <v>0.18859999999999999</v>
      </c>
      <c r="R1455" s="10" cm="1">
        <f t="array" ref="R1455">IFERROR(INDEX(Sheet4!$2:$1605,MATCH(ChiTietKQKD[[#This Row],[Mã CP]],Sheet4!$B$2:$B$1605,0),_xlfn.XMATCH("*Tăng trưởng lợi nhuận sau thuế (QoQ)*",Sheet4!$1:$1,2)),"")</f>
        <v>-0.184</v>
      </c>
    </row>
    <row r="1456" spans="1:18" x14ac:dyDescent="0.25">
      <c r="A1456" s="7">
        <f>Sheet4!A1435</f>
        <v>1434</v>
      </c>
      <c r="B1456" t="str">
        <f>Sheet4!B1435</f>
        <v>TIS</v>
      </c>
      <c r="C1456" t="str">
        <f>Sheet4!C1434</f>
        <v>Tài chính Cổ phần Tín Việt</v>
      </c>
      <c r="D1456" t="str">
        <f>Sheet4!D1435</f>
        <v>UPCoM</v>
      </c>
      <c r="E1456" s="7">
        <f>Sheet4!AH1435/1000000000</f>
        <v>735.9556</v>
      </c>
      <c r="F1456" t="str">
        <f>Sheet4!E1435</f>
        <v>Nguyên vật liệu</v>
      </c>
      <c r="G1456" t="str">
        <f>Sheet4!F1435</f>
        <v>Tài nguyên Cơ bản</v>
      </c>
      <c r="H1456" t="str">
        <f>Sheet4!G1435</f>
        <v>Thép và sản phẩm thép</v>
      </c>
      <c r="I1456" s="9" cm="1">
        <f t="array" ref="I145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3259.5509517679998</v>
      </c>
      <c r="J1456" s="9" cm="1">
        <f t="array" ref="J145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6902.0206872340004</v>
      </c>
      <c r="K1456" s="10" cm="1">
        <f t="array" ref="K145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-4.1099999999999998E-2</v>
      </c>
      <c r="L1456" s="10" cm="1">
        <f t="array" ref="L145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0.1076</v>
      </c>
      <c r="M1456" s="9" cm="1">
        <f t="array" ref="M1456">_xlfn.LET(_xlpm.val,IFERROR(INDEX(Sheet4!$2:$1605,MATCH(ChiTietKQKD[[#This Row],[Mã CP]],Sheet4!$B$2:$B$1605,0),_xlfn.XMATCH("*Lợi nhuận sau thuế*Q2*2026*",Sheet4!$1:$1,2)),0),IF(OR(_xlpm.val="",_xlpm.val=0),"",_xlpm.val/1000000000))</f>
        <v>8.2977663350000004</v>
      </c>
      <c r="N1456" s="9" cm="1">
        <f t="array" ref="N1456">_xlfn.LET(_xlpm.val,IFERROR(INDEX(Sheet4!$2:$1605,MATCH(ChiTietKQKD[[#This Row],[Mã CP]],Sheet4!$B$2:$B$1605,0),_xlfn.XMATCH("*Lợi nhuận sau thuế*6 tháng*2026*",Sheet4!$1:$1,2)),0),IF(OR(_xlpm.val="",_xlpm.val=0),"",_xlpm.val/1000000000))</f>
        <v>23.361601697000001</v>
      </c>
      <c r="O1456" s="10" cm="1">
        <f t="array" ref="O1456">IFERROR(INDEX(Sheet4!$2:$1605,MATCH(ChiTietKQKD[[#This Row],[Mã CP]],Sheet4!$B$2:$B$1605,0),_xlfn.XMATCH("*Tăng trưởng lợi nhuận sau thuế (YoY) (Quý*",Sheet4!$1:$1,2)),"")</f>
        <v>-0.42659999999999998</v>
      </c>
      <c r="P1456" s="10" cm="1">
        <f t="array" ref="P1456">IFERROR(INDEX(Sheet4!$2:$1605,MATCH(ChiTietKQKD[[#This Row],[Mã CP]],Sheet4!$B$2:$B$1605,0),_xlfn.XMATCH("*Tăng trưởng lợi nhuận sau thuế (YoY) (6M)*",Sheet4!$1:$1,2)),"")</f>
        <v>3.4352</v>
      </c>
      <c r="Q1456" s="10" cm="1">
        <f t="array" ref="Q1456">IFERROR(INDEX(Sheet4!$2:$1605,MATCH(ChiTietKQKD[[#This Row],[Mã CP]],Sheet4!$B$2:$B$1605,0),_xlfn.XMATCH("*Tăng trưởng doanh thu thuần (QoQ)*",Sheet4!$1:$1,2)),"")</f>
        <v>-0.1051</v>
      </c>
      <c r="R1456" s="10" cm="1">
        <f t="array" ref="R1456">IFERROR(INDEX(Sheet4!$2:$1605,MATCH(ChiTietKQKD[[#This Row],[Mã CP]],Sheet4!$B$2:$B$1605,0),_xlfn.XMATCH("*Tăng trưởng lợi nhuận sau thuế (QoQ)*",Sheet4!$1:$1,2)),"")</f>
        <v>-0.44919999999999999</v>
      </c>
    </row>
    <row r="1457" spans="1:18" x14ac:dyDescent="0.25">
      <c r="A1457" s="7">
        <f>Sheet4!A1436</f>
        <v>1435</v>
      </c>
      <c r="B1457" t="str">
        <f>Sheet4!B1436</f>
        <v>TKA</v>
      </c>
      <c r="C1457" t="str">
        <f>Sheet4!C1435</f>
        <v>Gang thép Thái Nguyên</v>
      </c>
      <c r="D1457" t="str">
        <f>Sheet4!D1436</f>
        <v>UPCoM</v>
      </c>
      <c r="E1457" s="7">
        <f>Sheet4!AH1436/1000000000</f>
        <v>11.4</v>
      </c>
      <c r="F1457" t="str">
        <f>Sheet4!E1436</f>
        <v>Công nghiệp</v>
      </c>
      <c r="G1457" t="str">
        <f>Sheet4!F1436</f>
        <v>Hàng &amp; Dịch vụ Công nghiệp</v>
      </c>
      <c r="H1457" t="str">
        <f>Sheet4!G1436</f>
        <v>Containers &amp; Đóng gói</v>
      </c>
      <c r="I1457" s="9" t="str" cm="1">
        <f t="array" ref="I145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57" s="9" t="str" cm="1">
        <f t="array" ref="J145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57" s="10" cm="1">
        <f t="array" ref="K145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57" s="10" cm="1">
        <f t="array" ref="L145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57" s="9" t="str" cm="1">
        <f t="array" ref="M145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57" s="9" t="str" cm="1">
        <f t="array" ref="N145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57" s="10" cm="1">
        <f t="array" ref="O1457">IFERROR(INDEX(Sheet4!$2:$1605,MATCH(ChiTietKQKD[[#This Row],[Mã CP]],Sheet4!$B$2:$B$1605,0),_xlfn.XMATCH("*Tăng trưởng lợi nhuận sau thuế (YoY) (Quý*",Sheet4!$1:$1,2)),"")</f>
        <v>0</v>
      </c>
      <c r="P1457" s="10" cm="1">
        <f t="array" ref="P1457">IFERROR(INDEX(Sheet4!$2:$1605,MATCH(ChiTietKQKD[[#This Row],[Mã CP]],Sheet4!$B$2:$B$1605,0),_xlfn.XMATCH("*Tăng trưởng lợi nhuận sau thuế (YoY) (6M)*",Sheet4!$1:$1,2)),"")</f>
        <v>0</v>
      </c>
      <c r="Q1457" s="10" cm="1">
        <f t="array" ref="Q1457">IFERROR(INDEX(Sheet4!$2:$1605,MATCH(ChiTietKQKD[[#This Row],[Mã CP]],Sheet4!$B$2:$B$1605,0),_xlfn.XMATCH("*Tăng trưởng doanh thu thuần (QoQ)*",Sheet4!$1:$1,2)),"")</f>
        <v>0</v>
      </c>
      <c r="R1457" s="10" cm="1">
        <f t="array" ref="R1457">IFERROR(INDEX(Sheet4!$2:$1605,MATCH(ChiTietKQKD[[#This Row],[Mã CP]],Sheet4!$B$2:$B$1605,0),_xlfn.XMATCH("*Tăng trưởng lợi nhuận sau thuế (QoQ)*",Sheet4!$1:$1,2)),"")</f>
        <v>0</v>
      </c>
    </row>
    <row r="1458" spans="1:18" x14ac:dyDescent="0.25">
      <c r="A1458" s="7">
        <f>Sheet4!A1437</f>
        <v>1436</v>
      </c>
      <c r="B1458" t="str">
        <f>Sheet4!B1437</f>
        <v>TKD</v>
      </c>
      <c r="C1458" t="str">
        <f>Sheet4!C1436</f>
        <v>Bao bì Tân Khánh An</v>
      </c>
      <c r="D1458" t="str">
        <f>Sheet4!D1437</f>
        <v>UPCoM</v>
      </c>
      <c r="E1458" s="7">
        <f>Sheet4!AH1437/1000000000</f>
        <v>0</v>
      </c>
      <c r="F1458" t="str">
        <f>Sheet4!E1437</f>
        <v>Công nghiệp</v>
      </c>
      <c r="G1458" t="str">
        <f>Sheet4!F1437</f>
        <v>Hàng &amp; Dịch vụ Công nghiệp</v>
      </c>
      <c r="H1458" t="str">
        <f>Sheet4!G1437</f>
        <v>Tư vấn &amp; Hỗ trợ KD</v>
      </c>
      <c r="I1458" s="9" t="str" cm="1">
        <f t="array" ref="I145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58" s="9" t="str" cm="1">
        <f t="array" ref="J145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58" s="10" cm="1">
        <f t="array" ref="K145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58" s="10" cm="1">
        <f t="array" ref="L145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58" s="9" t="str" cm="1">
        <f t="array" ref="M145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58" s="9" t="str" cm="1">
        <f t="array" ref="N145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58" s="10" cm="1">
        <f t="array" ref="O1458">IFERROR(INDEX(Sheet4!$2:$1605,MATCH(ChiTietKQKD[[#This Row],[Mã CP]],Sheet4!$B$2:$B$1605,0),_xlfn.XMATCH("*Tăng trưởng lợi nhuận sau thuế (YoY) (Quý*",Sheet4!$1:$1,2)),"")</f>
        <v>0</v>
      </c>
      <c r="P1458" s="10" cm="1">
        <f t="array" ref="P1458">IFERROR(INDEX(Sheet4!$2:$1605,MATCH(ChiTietKQKD[[#This Row],[Mã CP]],Sheet4!$B$2:$B$1605,0),_xlfn.XMATCH("*Tăng trưởng lợi nhuận sau thuế (YoY) (6M)*",Sheet4!$1:$1,2)),"")</f>
        <v>0</v>
      </c>
      <c r="Q1458" s="10" cm="1">
        <f t="array" ref="Q1458">IFERROR(INDEX(Sheet4!$2:$1605,MATCH(ChiTietKQKD[[#This Row],[Mã CP]],Sheet4!$B$2:$B$1605,0),_xlfn.XMATCH("*Tăng trưởng doanh thu thuần (QoQ)*",Sheet4!$1:$1,2)),"")</f>
        <v>0</v>
      </c>
      <c r="R1458" s="10" cm="1">
        <f t="array" ref="R1458">IFERROR(INDEX(Sheet4!$2:$1605,MATCH(ChiTietKQKD[[#This Row],[Mã CP]],Sheet4!$B$2:$B$1605,0),_xlfn.XMATCH("*Tăng trưởng lợi nhuận sau thuế (QoQ)*",Sheet4!$1:$1,2)),"")</f>
        <v>0</v>
      </c>
    </row>
    <row r="1459" spans="1:18" x14ac:dyDescent="0.25">
      <c r="A1459" s="7">
        <f>Sheet4!A1438</f>
        <v>1437</v>
      </c>
      <c r="B1459" t="str">
        <f>Sheet4!B1438</f>
        <v>TL4</v>
      </c>
      <c r="C1459" t="str">
        <f>Sheet4!C1437</f>
        <v>Tư vấn thiết kế đường bộ</v>
      </c>
      <c r="D1459" t="str">
        <f>Sheet4!D1438</f>
        <v>UPCoM</v>
      </c>
      <c r="E1459" s="7">
        <f>Sheet4!AH1438/1000000000</f>
        <v>147.2000448</v>
      </c>
      <c r="F1459" t="str">
        <f>Sheet4!E1438</f>
        <v>Công nghiệp</v>
      </c>
      <c r="G1459" t="str">
        <f>Sheet4!F1438</f>
        <v>Xây dựng và Vật liệu</v>
      </c>
      <c r="H1459" t="str">
        <f>Sheet4!G1438</f>
        <v>Xây dựng</v>
      </c>
      <c r="I1459" s="9" t="str" cm="1">
        <f t="array" ref="I145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59" s="9" t="str" cm="1">
        <f t="array" ref="J145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59" s="10" cm="1">
        <f t="array" ref="K145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59" s="10" cm="1">
        <f t="array" ref="L145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59" s="9" t="str" cm="1">
        <f t="array" ref="M145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59" s="9" t="str" cm="1">
        <f t="array" ref="N145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59" s="10" cm="1">
        <f t="array" ref="O1459">IFERROR(INDEX(Sheet4!$2:$1605,MATCH(ChiTietKQKD[[#This Row],[Mã CP]],Sheet4!$B$2:$B$1605,0),_xlfn.XMATCH("*Tăng trưởng lợi nhuận sau thuế (YoY) (Quý*",Sheet4!$1:$1,2)),"")</f>
        <v>0</v>
      </c>
      <c r="P1459" s="10" cm="1">
        <f t="array" ref="P1459">IFERROR(INDEX(Sheet4!$2:$1605,MATCH(ChiTietKQKD[[#This Row],[Mã CP]],Sheet4!$B$2:$B$1605,0),_xlfn.XMATCH("*Tăng trưởng lợi nhuận sau thuế (YoY) (6M)*",Sheet4!$1:$1,2)),"")</f>
        <v>0</v>
      </c>
      <c r="Q1459" s="10" cm="1">
        <f t="array" ref="Q1459">IFERROR(INDEX(Sheet4!$2:$1605,MATCH(ChiTietKQKD[[#This Row],[Mã CP]],Sheet4!$B$2:$B$1605,0),_xlfn.XMATCH("*Tăng trưởng doanh thu thuần (QoQ)*",Sheet4!$1:$1,2)),"")</f>
        <v>0</v>
      </c>
      <c r="R1459" s="10" cm="1">
        <f t="array" ref="R1459">IFERROR(INDEX(Sheet4!$2:$1605,MATCH(ChiTietKQKD[[#This Row],[Mã CP]],Sheet4!$B$2:$B$1605,0),_xlfn.XMATCH("*Tăng trưởng lợi nhuận sau thuế (QoQ)*",Sheet4!$1:$1,2)),"")</f>
        <v>0</v>
      </c>
    </row>
    <row r="1460" spans="1:18" x14ac:dyDescent="0.25">
      <c r="A1460" s="7">
        <f>Sheet4!A1439</f>
        <v>1438</v>
      </c>
      <c r="B1460" t="str">
        <f>Sheet4!B1439</f>
        <v>TLP</v>
      </c>
      <c r="C1460" t="str">
        <f>Sheet4!C1438</f>
        <v>XD Thủy lợi 4</v>
      </c>
      <c r="D1460" t="str">
        <f>Sheet4!D1439</f>
        <v>UPCoM</v>
      </c>
      <c r="E1460" s="7">
        <f>Sheet4!AH1439/1000000000</f>
        <v>1482.4096534</v>
      </c>
      <c r="F1460" t="str">
        <f>Sheet4!E1439</f>
        <v>Tiện ích Cộng đồng</v>
      </c>
      <c r="G1460" t="str">
        <f>Sheet4!F1439</f>
        <v>Điện, nước &amp; xăng dầu khí đốt</v>
      </c>
      <c r="H1460" t="str">
        <f>Sheet4!G1439</f>
        <v>Phân phối xăng dầu &amp; khí đốt</v>
      </c>
      <c r="I1460" s="9" t="str" cm="1">
        <f t="array" ref="I146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60" s="9" t="str" cm="1">
        <f t="array" ref="J146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60" s="10" cm="1">
        <f t="array" ref="K146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60" s="10" cm="1">
        <f t="array" ref="L146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60" s="9" t="str" cm="1">
        <f t="array" ref="M146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60" s="9" t="str" cm="1">
        <f t="array" ref="N146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60" s="10" cm="1">
        <f t="array" ref="O1460">IFERROR(INDEX(Sheet4!$2:$1605,MATCH(ChiTietKQKD[[#This Row],[Mã CP]],Sheet4!$B$2:$B$1605,0),_xlfn.XMATCH("*Tăng trưởng lợi nhuận sau thuế (YoY) (Quý*",Sheet4!$1:$1,2)),"")</f>
        <v>0</v>
      </c>
      <c r="P1460" s="10" cm="1">
        <f t="array" ref="P1460">IFERROR(INDEX(Sheet4!$2:$1605,MATCH(ChiTietKQKD[[#This Row],[Mã CP]],Sheet4!$B$2:$B$1605,0),_xlfn.XMATCH("*Tăng trưởng lợi nhuận sau thuế (YoY) (6M)*",Sheet4!$1:$1,2)),"")</f>
        <v>0</v>
      </c>
      <c r="Q1460" s="10" cm="1">
        <f t="array" ref="Q1460">IFERROR(INDEX(Sheet4!$2:$1605,MATCH(ChiTietKQKD[[#This Row],[Mã CP]],Sheet4!$B$2:$B$1605,0),_xlfn.XMATCH("*Tăng trưởng doanh thu thuần (QoQ)*",Sheet4!$1:$1,2)),"")</f>
        <v>0</v>
      </c>
      <c r="R1460" s="10" cm="1">
        <f t="array" ref="R1460">IFERROR(INDEX(Sheet4!$2:$1605,MATCH(ChiTietKQKD[[#This Row],[Mã CP]],Sheet4!$B$2:$B$1605,0),_xlfn.XMATCH("*Tăng trưởng lợi nhuận sau thuế (QoQ)*",Sheet4!$1:$1,2)),"")</f>
        <v>0</v>
      </c>
    </row>
    <row r="1461" spans="1:18" x14ac:dyDescent="0.25">
      <c r="A1461" s="7">
        <f>Sheet4!A1440</f>
        <v>1439</v>
      </c>
      <c r="B1461" t="str">
        <f>Sheet4!B1440</f>
        <v>TMG</v>
      </c>
      <c r="C1461" t="str">
        <f>Sheet4!C1439</f>
        <v>Thương mại XNK Thanh Lễ</v>
      </c>
      <c r="D1461" t="str">
        <f>Sheet4!D1440</f>
        <v>UPCoM</v>
      </c>
      <c r="E1461" s="7">
        <f>Sheet4!AH1440/1000000000</f>
        <v>982.8</v>
      </c>
      <c r="F1461" t="str">
        <f>Sheet4!E1440</f>
        <v>Nguyên vật liệu</v>
      </c>
      <c r="G1461" t="str">
        <f>Sheet4!F1440</f>
        <v>Tài nguyên Cơ bản</v>
      </c>
      <c r="H1461" t="str">
        <f>Sheet4!G1440</f>
        <v>Thép và sản phẩm thép</v>
      </c>
      <c r="I1461" s="9" cm="1">
        <f t="array" ref="I146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390.51683668700002</v>
      </c>
      <c r="J1461" s="9" cm="1">
        <f t="array" ref="J146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720.66780879600003</v>
      </c>
      <c r="K1461" s="10" cm="1">
        <f t="array" ref="K146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0.30580000000000002</v>
      </c>
      <c r="L1461" s="10" cm="1">
        <f t="array" ref="L146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0.1817</v>
      </c>
      <c r="M1461" s="9" cm="1">
        <f t="array" ref="M1461">_xlfn.LET(_xlpm.val,IFERROR(INDEX(Sheet4!$2:$1605,MATCH(ChiTietKQKD[[#This Row],[Mã CP]],Sheet4!$B$2:$B$1605,0),_xlfn.XMATCH("*Lợi nhuận sau thuế*Q2*2026*",Sheet4!$1:$1,2)),0),IF(OR(_xlpm.val="",_xlpm.val=0),"",_xlpm.val/1000000000))</f>
        <v>53.873580756999999</v>
      </c>
      <c r="N1461" s="9" cm="1">
        <f t="array" ref="N1461">_xlfn.LET(_xlpm.val,IFERROR(INDEX(Sheet4!$2:$1605,MATCH(ChiTietKQKD[[#This Row],[Mã CP]],Sheet4!$B$2:$B$1605,0),_xlfn.XMATCH("*Lợi nhuận sau thuế*6 tháng*2026*",Sheet4!$1:$1,2)),0),IF(OR(_xlpm.val="",_xlpm.val=0),"",_xlpm.val/1000000000))</f>
        <v>81.851085165000001</v>
      </c>
      <c r="O1461" s="10" cm="1">
        <f t="array" ref="O1461">IFERROR(INDEX(Sheet4!$2:$1605,MATCH(ChiTietKQKD[[#This Row],[Mã CP]],Sheet4!$B$2:$B$1605,0),_xlfn.XMATCH("*Tăng trưởng lợi nhuận sau thuế (YoY) (Quý*",Sheet4!$1:$1,2)),"")</f>
        <v>1.4154</v>
      </c>
      <c r="P1461" s="10" cm="1">
        <f t="array" ref="P1461">IFERROR(INDEX(Sheet4!$2:$1605,MATCH(ChiTietKQKD[[#This Row],[Mã CP]],Sheet4!$B$2:$B$1605,0),_xlfn.XMATCH("*Tăng trưởng lợi nhuận sau thuế (YoY) (6M)*",Sheet4!$1:$1,2)),"")</f>
        <v>1.3199000000000001</v>
      </c>
      <c r="Q1461" s="10" cm="1">
        <f t="array" ref="Q1461">IFERROR(INDEX(Sheet4!$2:$1605,MATCH(ChiTietKQKD[[#This Row],[Mã CP]],Sheet4!$B$2:$B$1605,0),_xlfn.XMATCH("*Tăng trưởng doanh thu thuần (QoQ)*",Sheet4!$1:$1,2)),"")</f>
        <v>0.18279999999999999</v>
      </c>
      <c r="R1461" s="10" cm="1">
        <f t="array" ref="R1461">IFERROR(INDEX(Sheet4!$2:$1605,MATCH(ChiTietKQKD[[#This Row],[Mã CP]],Sheet4!$B$2:$B$1605,0),_xlfn.XMATCH("*Tăng trưởng lợi nhuận sau thuế (QoQ)*",Sheet4!$1:$1,2)),"")</f>
        <v>0.92559999999999998</v>
      </c>
    </row>
    <row r="1462" spans="1:18" x14ac:dyDescent="0.25">
      <c r="A1462" s="7">
        <f>Sheet4!A1441</f>
        <v>1440</v>
      </c>
      <c r="B1462" t="str">
        <f>Sheet4!B1441</f>
        <v>TMW</v>
      </c>
      <c r="C1462" t="str">
        <f>Sheet4!C1440</f>
        <v>Kim loại màu Thái Nguyên - Vimico</v>
      </c>
      <c r="D1462" t="str">
        <f>Sheet4!D1441</f>
        <v>UPCoM</v>
      </c>
      <c r="E1462" s="7">
        <f>Sheet4!AH1441/1000000000</f>
        <v>111.8964</v>
      </c>
      <c r="F1462" t="str">
        <f>Sheet4!E1441</f>
        <v>Nguyên vật liệu</v>
      </c>
      <c r="G1462" t="str">
        <f>Sheet4!F1441</f>
        <v>Tài nguyên Cơ bản</v>
      </c>
      <c r="H1462" t="str">
        <f>Sheet4!G1441</f>
        <v>Lâm sản và Chế biến gỗ</v>
      </c>
      <c r="I1462" s="9" t="str" cm="1">
        <f t="array" ref="I146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62" s="9" t="str" cm="1">
        <f t="array" ref="J146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62" s="10" cm="1">
        <f t="array" ref="K146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62" s="10" cm="1">
        <f t="array" ref="L146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62" s="9" t="str" cm="1">
        <f t="array" ref="M146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62" s="9" t="str" cm="1">
        <f t="array" ref="N146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62" s="10" cm="1">
        <f t="array" ref="O1462">IFERROR(INDEX(Sheet4!$2:$1605,MATCH(ChiTietKQKD[[#This Row],[Mã CP]],Sheet4!$B$2:$B$1605,0),_xlfn.XMATCH("*Tăng trưởng lợi nhuận sau thuế (YoY) (Quý*",Sheet4!$1:$1,2)),"")</f>
        <v>0</v>
      </c>
      <c r="P1462" s="10" cm="1">
        <f t="array" ref="P1462">IFERROR(INDEX(Sheet4!$2:$1605,MATCH(ChiTietKQKD[[#This Row],[Mã CP]],Sheet4!$B$2:$B$1605,0),_xlfn.XMATCH("*Tăng trưởng lợi nhuận sau thuế (YoY) (6M)*",Sheet4!$1:$1,2)),"")</f>
        <v>0</v>
      </c>
      <c r="Q1462" s="10" cm="1">
        <f t="array" ref="Q1462">IFERROR(INDEX(Sheet4!$2:$1605,MATCH(ChiTietKQKD[[#This Row],[Mã CP]],Sheet4!$B$2:$B$1605,0),_xlfn.XMATCH("*Tăng trưởng doanh thu thuần (QoQ)*",Sheet4!$1:$1,2)),"")</f>
        <v>0</v>
      </c>
      <c r="R1462" s="10" cm="1">
        <f t="array" ref="R1462">IFERROR(INDEX(Sheet4!$2:$1605,MATCH(ChiTietKQKD[[#This Row],[Mã CP]],Sheet4!$B$2:$B$1605,0),_xlfn.XMATCH("*Tăng trưởng lợi nhuận sau thuế (QoQ)*",Sheet4!$1:$1,2)),"")</f>
        <v>0</v>
      </c>
    </row>
    <row r="1463" spans="1:18" x14ac:dyDescent="0.25">
      <c r="A1463" s="7">
        <f>Sheet4!A1442</f>
        <v>1441</v>
      </c>
      <c r="B1463" t="str">
        <f>Sheet4!B1442</f>
        <v>TNA</v>
      </c>
      <c r="C1463" t="str">
        <f>Sheet4!C1441</f>
        <v>Gỗ Tân Mai</v>
      </c>
      <c r="D1463" t="str">
        <f>Sheet4!D1442</f>
        <v>UPCoM</v>
      </c>
      <c r="E1463" s="7">
        <f>Sheet4!AH1442/1000000000</f>
        <v>182.15584699999999</v>
      </c>
      <c r="F1463" t="str">
        <f>Sheet4!E1442</f>
        <v>Nguyên vật liệu</v>
      </c>
      <c r="G1463" t="str">
        <f>Sheet4!F1442</f>
        <v>Tài nguyên Cơ bản</v>
      </c>
      <c r="H1463" t="str">
        <f>Sheet4!G1442</f>
        <v>Thép và sản phẩm thép</v>
      </c>
      <c r="I1463" s="9" t="str" cm="1">
        <f t="array" ref="I146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63" s="9" t="str" cm="1">
        <f t="array" ref="J146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63" s="10" cm="1">
        <f t="array" ref="K146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63" s="10" cm="1">
        <f t="array" ref="L146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63" s="9" t="str" cm="1">
        <f t="array" ref="M146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63" s="9" t="str" cm="1">
        <f t="array" ref="N146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63" s="10" cm="1">
        <f t="array" ref="O1463">IFERROR(INDEX(Sheet4!$2:$1605,MATCH(ChiTietKQKD[[#This Row],[Mã CP]],Sheet4!$B$2:$B$1605,0),_xlfn.XMATCH("*Tăng trưởng lợi nhuận sau thuế (YoY) (Quý*",Sheet4!$1:$1,2)),"")</f>
        <v>0</v>
      </c>
      <c r="P1463" s="10" cm="1">
        <f t="array" ref="P1463">IFERROR(INDEX(Sheet4!$2:$1605,MATCH(ChiTietKQKD[[#This Row],[Mã CP]],Sheet4!$B$2:$B$1605,0),_xlfn.XMATCH("*Tăng trưởng lợi nhuận sau thuế (YoY) (6M)*",Sheet4!$1:$1,2)),"")</f>
        <v>0</v>
      </c>
      <c r="Q1463" s="10" cm="1">
        <f t="array" ref="Q1463">IFERROR(INDEX(Sheet4!$2:$1605,MATCH(ChiTietKQKD[[#This Row],[Mã CP]],Sheet4!$B$2:$B$1605,0),_xlfn.XMATCH("*Tăng trưởng doanh thu thuần (QoQ)*",Sheet4!$1:$1,2)),"")</f>
        <v>0</v>
      </c>
      <c r="R1463" s="10" cm="1">
        <f t="array" ref="R1463">IFERROR(INDEX(Sheet4!$2:$1605,MATCH(ChiTietKQKD[[#This Row],[Mã CP]],Sheet4!$B$2:$B$1605,0),_xlfn.XMATCH("*Tăng trưởng lợi nhuận sau thuế (QoQ)*",Sheet4!$1:$1,2)),"")</f>
        <v>0</v>
      </c>
    </row>
    <row r="1464" spans="1:18" x14ac:dyDescent="0.25">
      <c r="A1464" s="7">
        <f>Sheet4!A1443</f>
        <v>1442</v>
      </c>
      <c r="B1464" t="str">
        <f>Sheet4!B1443</f>
        <v>TNB</v>
      </c>
      <c r="C1464" t="str">
        <f>Sheet4!C1442</f>
        <v>XNK Thiên Nam</v>
      </c>
      <c r="D1464" t="str">
        <f>Sheet4!D1443</f>
        <v>UPCoM</v>
      </c>
      <c r="E1464" s="7">
        <f>Sheet4!AH1443/1000000000</f>
        <v>297.23165770000003</v>
      </c>
      <c r="F1464" t="str">
        <f>Sheet4!E1443</f>
        <v>Nguyên vật liệu</v>
      </c>
      <c r="G1464" t="str">
        <f>Sheet4!F1443</f>
        <v>Tài nguyên Cơ bản</v>
      </c>
      <c r="H1464" t="str">
        <f>Sheet4!G1443</f>
        <v>Thép và sản phẩm thép</v>
      </c>
      <c r="I1464" s="9" cm="1">
        <f t="array" ref="I146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476.30901568000002</v>
      </c>
      <c r="J1464" s="9" t="str" cm="1">
        <f t="array" ref="J146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64" s="10" cm="1">
        <f t="array" ref="K146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8.4599999999999995E-2</v>
      </c>
      <c r="L1464" s="10" cm="1">
        <f t="array" ref="L146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0.52580000000000005</v>
      </c>
      <c r="M1464" s="9" cm="1">
        <f t="array" ref="M1464">_xlfn.LET(_xlpm.val,IFERROR(INDEX(Sheet4!$2:$1605,MATCH(ChiTietKQKD[[#This Row],[Mã CP]],Sheet4!$B$2:$B$1605,0),_xlfn.XMATCH("*Lợi nhuận sau thuế*Q2*2026*",Sheet4!$1:$1,2)),0),IF(OR(_xlpm.val="",_xlpm.val=0),"",_xlpm.val/1000000000))</f>
        <v>3.2647226659999999</v>
      </c>
      <c r="N1464" s="9" t="str" cm="1">
        <f t="array" ref="N146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64" s="10" cm="1">
        <f t="array" ref="O1464">IFERROR(INDEX(Sheet4!$2:$1605,MATCH(ChiTietKQKD[[#This Row],[Mã CP]],Sheet4!$B$2:$B$1605,0),_xlfn.XMATCH("*Tăng trưởng lợi nhuận sau thuế (YoY) (Quý*",Sheet4!$1:$1,2)),"")</f>
        <v>0.52190000000000003</v>
      </c>
      <c r="P1464" s="10" cm="1">
        <f t="array" ref="P1464">IFERROR(INDEX(Sheet4!$2:$1605,MATCH(ChiTietKQKD[[#This Row],[Mã CP]],Sheet4!$B$2:$B$1605,0),_xlfn.XMATCH("*Tăng trưởng lợi nhuận sau thuế (YoY) (6M)*",Sheet4!$1:$1,2)),"")</f>
        <v>2.8380000000000001</v>
      </c>
      <c r="Q1464" s="10" cm="1">
        <f t="array" ref="Q1464">IFERROR(INDEX(Sheet4!$2:$1605,MATCH(ChiTietKQKD[[#This Row],[Mã CP]],Sheet4!$B$2:$B$1605,0),_xlfn.XMATCH("*Tăng trưởng doanh thu thuần (QoQ)*",Sheet4!$1:$1,2)),"")</f>
        <v>-0.32390000000000002</v>
      </c>
      <c r="R1464" s="10" cm="1">
        <f t="array" ref="R1464">IFERROR(INDEX(Sheet4!$2:$1605,MATCH(ChiTietKQKD[[#This Row],[Mã CP]],Sheet4!$B$2:$B$1605,0),_xlfn.XMATCH("*Tăng trưởng lợi nhuận sau thuế (QoQ)*",Sheet4!$1:$1,2)),"")</f>
        <v>-0.37859999999999999</v>
      </c>
    </row>
    <row r="1465" spans="1:18" x14ac:dyDescent="0.25">
      <c r="A1465" s="7">
        <f>Sheet4!A1444</f>
        <v>1443</v>
      </c>
      <c r="B1465" t="str">
        <f>Sheet4!B1444</f>
        <v>TNP</v>
      </c>
      <c r="C1465" t="str">
        <f>Sheet4!C1443</f>
        <v>Thép Nhà Bè</v>
      </c>
      <c r="D1465" t="str">
        <f>Sheet4!D1444</f>
        <v>UPCoM</v>
      </c>
      <c r="E1465" s="7">
        <f>Sheet4!AH1444/1000000000</f>
        <v>156.91</v>
      </c>
      <c r="F1465" t="str">
        <f>Sheet4!E1444</f>
        <v>Công nghiệp</v>
      </c>
      <c r="G1465" t="str">
        <f>Sheet4!F1444</f>
        <v>Hàng &amp; Dịch vụ Công nghiệp</v>
      </c>
      <c r="H1465" t="str">
        <f>Sheet4!G1444</f>
        <v>Kho bãi, hậu cần và bảo dưỡng</v>
      </c>
      <c r="I1465" s="9" t="str" cm="1">
        <f t="array" ref="I146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65" s="9" t="str" cm="1">
        <f t="array" ref="J146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65" s="10" cm="1">
        <f t="array" ref="K146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65" s="10" cm="1">
        <f t="array" ref="L146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65" s="9" t="str" cm="1">
        <f t="array" ref="M146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65" s="9" t="str" cm="1">
        <f t="array" ref="N146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65" s="10" cm="1">
        <f t="array" ref="O1465">IFERROR(INDEX(Sheet4!$2:$1605,MATCH(ChiTietKQKD[[#This Row],[Mã CP]],Sheet4!$B$2:$B$1605,0),_xlfn.XMATCH("*Tăng trưởng lợi nhuận sau thuế (YoY) (Quý*",Sheet4!$1:$1,2)),"")</f>
        <v>0</v>
      </c>
      <c r="P1465" s="10" cm="1">
        <f t="array" ref="P1465">IFERROR(INDEX(Sheet4!$2:$1605,MATCH(ChiTietKQKD[[#This Row],[Mã CP]],Sheet4!$B$2:$B$1605,0),_xlfn.XMATCH("*Tăng trưởng lợi nhuận sau thuế (YoY) (6M)*",Sheet4!$1:$1,2)),"")</f>
        <v>0</v>
      </c>
      <c r="Q1465" s="10" cm="1">
        <f t="array" ref="Q1465">IFERROR(INDEX(Sheet4!$2:$1605,MATCH(ChiTietKQKD[[#This Row],[Mã CP]],Sheet4!$B$2:$B$1605,0),_xlfn.XMATCH("*Tăng trưởng doanh thu thuần (QoQ)*",Sheet4!$1:$1,2)),"")</f>
        <v>0</v>
      </c>
      <c r="R1465" s="10" cm="1">
        <f t="array" ref="R1465">IFERROR(INDEX(Sheet4!$2:$1605,MATCH(ChiTietKQKD[[#This Row],[Mã CP]],Sheet4!$B$2:$B$1605,0),_xlfn.XMATCH("*Tăng trưởng lợi nhuận sau thuế (QoQ)*",Sheet4!$1:$1,2)),"")</f>
        <v>0</v>
      </c>
    </row>
    <row r="1466" spans="1:18" x14ac:dyDescent="0.25">
      <c r="A1466" s="7">
        <f>Sheet4!A1445</f>
        <v>1444</v>
      </c>
      <c r="B1466" t="str">
        <f>Sheet4!B1445</f>
        <v>TNS</v>
      </c>
      <c r="C1466" t="str">
        <f>Sheet4!C1444</f>
        <v>Cảng Thị Nại</v>
      </c>
      <c r="D1466" t="str">
        <f>Sheet4!D1445</f>
        <v>UPCoM</v>
      </c>
      <c r="E1466" s="7">
        <f>Sheet4!AH1445/1000000000</f>
        <v>72</v>
      </c>
      <c r="F1466" t="str">
        <f>Sheet4!E1445</f>
        <v>Nguyên vật liệu</v>
      </c>
      <c r="G1466" t="str">
        <f>Sheet4!F1445</f>
        <v>Tài nguyên Cơ bản</v>
      </c>
      <c r="H1466" t="str">
        <f>Sheet4!G1445</f>
        <v>Thép và sản phẩm thép</v>
      </c>
      <c r="I1466" s="9" cm="1">
        <f t="array" ref="I146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257.372824568</v>
      </c>
      <c r="J1466" s="9" cm="1">
        <f t="array" ref="J146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669.32325015900005</v>
      </c>
      <c r="K1466" s="10" cm="1">
        <f t="array" ref="K146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-0.10489999999999999</v>
      </c>
      <c r="L1466" s="10" cm="1">
        <f t="array" ref="L146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-9.2499999999999999E-2</v>
      </c>
      <c r="M1466" s="9" cm="1">
        <f t="array" ref="M1466">_xlfn.LET(_xlpm.val,IFERROR(INDEX(Sheet4!$2:$1605,MATCH(ChiTietKQKD[[#This Row],[Mã CP]],Sheet4!$B$2:$B$1605,0),_xlfn.XMATCH("*Lợi nhuận sau thuế*Q2*2026*",Sheet4!$1:$1,2)),0),IF(OR(_xlpm.val="",_xlpm.val=0),"",_xlpm.val/1000000000))</f>
        <v>3.4154730689999999</v>
      </c>
      <c r="N1466" s="9" cm="1">
        <f t="array" ref="N1466">_xlfn.LET(_xlpm.val,IFERROR(INDEX(Sheet4!$2:$1605,MATCH(ChiTietKQKD[[#This Row],[Mã CP]],Sheet4!$B$2:$B$1605,0),_xlfn.XMATCH("*Lợi nhuận sau thuế*6 tháng*2026*",Sheet4!$1:$1,2)),0),IF(OR(_xlpm.val="",_xlpm.val=0),"",_xlpm.val/1000000000))</f>
        <v>3.7120761280000001</v>
      </c>
      <c r="O1466" s="10" cm="1">
        <f t="array" ref="O1466">IFERROR(INDEX(Sheet4!$2:$1605,MATCH(ChiTietKQKD[[#This Row],[Mã CP]],Sheet4!$B$2:$B$1605,0),_xlfn.XMATCH("*Tăng trưởng lợi nhuận sau thuế (YoY) (Quý*",Sheet4!$1:$1,2)),"")</f>
        <v>0.1008</v>
      </c>
      <c r="P1466" s="10" cm="1">
        <f t="array" ref="P1466">IFERROR(INDEX(Sheet4!$2:$1605,MATCH(ChiTietKQKD[[#This Row],[Mã CP]],Sheet4!$B$2:$B$1605,0),_xlfn.XMATCH("*Tăng trưởng lợi nhuận sau thuế (YoY) (6M)*",Sheet4!$1:$1,2)),"")</f>
        <v>-0.68710000000000004</v>
      </c>
      <c r="Q1466" s="10" cm="1">
        <f t="array" ref="Q1466">IFERROR(INDEX(Sheet4!$2:$1605,MATCH(ChiTietKQKD[[#This Row],[Mã CP]],Sheet4!$B$2:$B$1605,0),_xlfn.XMATCH("*Tăng trưởng doanh thu thuần (QoQ)*",Sheet4!$1:$1,2)),"")</f>
        <v>-0.37519999999999998</v>
      </c>
      <c r="R1466" s="10" cm="1">
        <f t="array" ref="R1466">IFERROR(INDEX(Sheet4!$2:$1605,MATCH(ChiTietKQKD[[#This Row],[Mã CP]],Sheet4!$B$2:$B$1605,0),_xlfn.XMATCH("*Tăng trưởng lợi nhuận sau thuế (QoQ)*",Sheet4!$1:$1,2)),"")</f>
        <v>10.5153</v>
      </c>
    </row>
    <row r="1467" spans="1:18" x14ac:dyDescent="0.25">
      <c r="A1467" s="7">
        <f>Sheet4!A1446</f>
        <v>1445</v>
      </c>
      <c r="B1467" t="str">
        <f>Sheet4!B1446</f>
        <v>TNW</v>
      </c>
      <c r="C1467" t="str">
        <f>Sheet4!C1445</f>
        <v>Thép tấm lá Thống Nhất</v>
      </c>
      <c r="D1467" t="str">
        <f>Sheet4!D1446</f>
        <v>UPCoM</v>
      </c>
      <c r="E1467" s="7">
        <f>Sheet4!AH1446/1000000000</f>
        <v>219.2</v>
      </c>
      <c r="F1467" t="str">
        <f>Sheet4!E1446</f>
        <v>Tiện ích Cộng đồng</v>
      </c>
      <c r="G1467" t="str">
        <f>Sheet4!F1446</f>
        <v>Điện, nước &amp; xăng dầu khí đốt</v>
      </c>
      <c r="H1467" t="str">
        <f>Sheet4!G1446</f>
        <v>Nước</v>
      </c>
      <c r="I1467" s="9" t="str" cm="1">
        <f t="array" ref="I146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67" s="9" t="str" cm="1">
        <f t="array" ref="J146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67" s="10" cm="1">
        <f t="array" ref="K146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67" s="10" cm="1">
        <f t="array" ref="L146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67" s="9" t="str" cm="1">
        <f t="array" ref="M146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67" s="9" t="str" cm="1">
        <f t="array" ref="N146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67" s="10" cm="1">
        <f t="array" ref="O1467">IFERROR(INDEX(Sheet4!$2:$1605,MATCH(ChiTietKQKD[[#This Row],[Mã CP]],Sheet4!$B$2:$B$1605,0),_xlfn.XMATCH("*Tăng trưởng lợi nhuận sau thuế (YoY) (Quý*",Sheet4!$1:$1,2)),"")</f>
        <v>0</v>
      </c>
      <c r="P1467" s="10" cm="1">
        <f t="array" ref="P1467">IFERROR(INDEX(Sheet4!$2:$1605,MATCH(ChiTietKQKD[[#This Row],[Mã CP]],Sheet4!$B$2:$B$1605,0),_xlfn.XMATCH("*Tăng trưởng lợi nhuận sau thuế (YoY) (6M)*",Sheet4!$1:$1,2)),"")</f>
        <v>0</v>
      </c>
      <c r="Q1467" s="10" cm="1">
        <f t="array" ref="Q1467">IFERROR(INDEX(Sheet4!$2:$1605,MATCH(ChiTietKQKD[[#This Row],[Mã CP]],Sheet4!$B$2:$B$1605,0),_xlfn.XMATCH("*Tăng trưởng doanh thu thuần (QoQ)*",Sheet4!$1:$1,2)),"")</f>
        <v>0</v>
      </c>
      <c r="R1467" s="10" cm="1">
        <f t="array" ref="R1467">IFERROR(INDEX(Sheet4!$2:$1605,MATCH(ChiTietKQKD[[#This Row],[Mã CP]],Sheet4!$B$2:$B$1605,0),_xlfn.XMATCH("*Tăng trưởng lợi nhuận sau thuế (QoQ)*",Sheet4!$1:$1,2)),"")</f>
        <v>0</v>
      </c>
    </row>
    <row r="1468" spans="1:18" x14ac:dyDescent="0.25">
      <c r="A1468" s="7">
        <f>Sheet4!A1447</f>
        <v>1446</v>
      </c>
      <c r="B1468" t="str">
        <f>Sheet4!B1447</f>
        <v>TOP</v>
      </c>
      <c r="C1468" t="str">
        <f>Sheet4!C1446</f>
        <v>Nước sạch Thái Nguyên</v>
      </c>
      <c r="D1468" t="str">
        <f>Sheet4!D1447</f>
        <v>UPCoM</v>
      </c>
      <c r="E1468" s="7">
        <f>Sheet4!AH1447/1000000000</f>
        <v>22.815000000000001</v>
      </c>
      <c r="F1468" t="str">
        <f>Sheet4!E1447</f>
        <v>Dịch vụ Tiêu dùng</v>
      </c>
      <c r="G1468" t="str">
        <f>Sheet4!F1447</f>
        <v>Bán lẻ</v>
      </c>
      <c r="H1468" t="str">
        <f>Sheet4!G1447</f>
        <v>Bán lẻ phức hợp</v>
      </c>
      <c r="I1468" s="9" t="str" cm="1">
        <f t="array" ref="I146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68" s="9" t="str" cm="1">
        <f t="array" ref="J146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68" s="10" cm="1">
        <f t="array" ref="K146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68" s="10" cm="1">
        <f t="array" ref="L146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68" s="9" t="str" cm="1">
        <f t="array" ref="M146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68" s="9" t="str" cm="1">
        <f t="array" ref="N146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68" s="10" cm="1">
        <f t="array" ref="O1468">IFERROR(INDEX(Sheet4!$2:$1605,MATCH(ChiTietKQKD[[#This Row],[Mã CP]],Sheet4!$B$2:$B$1605,0),_xlfn.XMATCH("*Tăng trưởng lợi nhuận sau thuế (YoY) (Quý*",Sheet4!$1:$1,2)),"")</f>
        <v>0</v>
      </c>
      <c r="P1468" s="10" cm="1">
        <f t="array" ref="P1468">IFERROR(INDEX(Sheet4!$2:$1605,MATCH(ChiTietKQKD[[#This Row],[Mã CP]],Sheet4!$B$2:$B$1605,0),_xlfn.XMATCH("*Tăng trưởng lợi nhuận sau thuế (YoY) (6M)*",Sheet4!$1:$1,2)),"")</f>
        <v>0</v>
      </c>
      <c r="Q1468" s="10" cm="1">
        <f t="array" ref="Q1468">IFERROR(INDEX(Sheet4!$2:$1605,MATCH(ChiTietKQKD[[#This Row],[Mã CP]],Sheet4!$B$2:$B$1605,0),_xlfn.XMATCH("*Tăng trưởng doanh thu thuần (QoQ)*",Sheet4!$1:$1,2)),"")</f>
        <v>0</v>
      </c>
      <c r="R1468" s="10" cm="1">
        <f t="array" ref="R1468">IFERROR(INDEX(Sheet4!$2:$1605,MATCH(ChiTietKQKD[[#This Row],[Mã CP]],Sheet4!$B$2:$B$1605,0),_xlfn.XMATCH("*Tăng trưởng lợi nhuận sau thuế (QoQ)*",Sheet4!$1:$1,2)),"")</f>
        <v>0</v>
      </c>
    </row>
    <row r="1469" spans="1:18" x14ac:dyDescent="0.25">
      <c r="A1469" s="7">
        <f>Sheet4!A1448</f>
        <v>1447</v>
      </c>
      <c r="B1469" t="str">
        <f>Sheet4!B1448</f>
        <v>TOS</v>
      </c>
      <c r="C1469" t="str">
        <f>Sheet4!C1447</f>
        <v>Phân phối Top One</v>
      </c>
      <c r="D1469" t="str">
        <f>Sheet4!D1448</f>
        <v>UPCoM</v>
      </c>
      <c r="E1469" s="7">
        <f>Sheet4!AH1448/1000000000</f>
        <v>7635.6358714420003</v>
      </c>
      <c r="F1469" t="str">
        <f>Sheet4!E1448</f>
        <v>Dầu khí</v>
      </c>
      <c r="G1469" t="str">
        <f>Sheet4!F1448</f>
        <v>Dầu khí</v>
      </c>
      <c r="H1469" t="str">
        <f>Sheet4!G1448</f>
        <v>Thiết bị và Dịch vụ Dầu khí</v>
      </c>
      <c r="I1469" s="9" t="str" cm="1">
        <f t="array" ref="I146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69" s="9" t="str" cm="1">
        <f t="array" ref="J146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69" s="10" cm="1">
        <f t="array" ref="K146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69" s="10" cm="1">
        <f t="array" ref="L146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69" s="9" t="str" cm="1">
        <f t="array" ref="M146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69" s="9" t="str" cm="1">
        <f t="array" ref="N146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69" s="10" cm="1">
        <f t="array" ref="O1469">IFERROR(INDEX(Sheet4!$2:$1605,MATCH(ChiTietKQKD[[#This Row],[Mã CP]],Sheet4!$B$2:$B$1605,0),_xlfn.XMATCH("*Tăng trưởng lợi nhuận sau thuế (YoY) (Quý*",Sheet4!$1:$1,2)),"")</f>
        <v>0</v>
      </c>
      <c r="P1469" s="10" cm="1">
        <f t="array" ref="P1469">IFERROR(INDEX(Sheet4!$2:$1605,MATCH(ChiTietKQKD[[#This Row],[Mã CP]],Sheet4!$B$2:$B$1605,0),_xlfn.XMATCH("*Tăng trưởng lợi nhuận sau thuế (YoY) (6M)*",Sheet4!$1:$1,2)),"")</f>
        <v>0</v>
      </c>
      <c r="Q1469" s="10" cm="1">
        <f t="array" ref="Q1469">IFERROR(INDEX(Sheet4!$2:$1605,MATCH(ChiTietKQKD[[#This Row],[Mã CP]],Sheet4!$B$2:$B$1605,0),_xlfn.XMATCH("*Tăng trưởng doanh thu thuần (QoQ)*",Sheet4!$1:$1,2)),"")</f>
        <v>0</v>
      </c>
      <c r="R1469" s="10" cm="1">
        <f t="array" ref="R1469">IFERROR(INDEX(Sheet4!$2:$1605,MATCH(ChiTietKQKD[[#This Row],[Mã CP]],Sheet4!$B$2:$B$1605,0),_xlfn.XMATCH("*Tăng trưởng lợi nhuận sau thuế (QoQ)*",Sheet4!$1:$1,2)),"")</f>
        <v>0</v>
      </c>
    </row>
    <row r="1470" spans="1:18" x14ac:dyDescent="0.25">
      <c r="A1470" s="7">
        <f>Sheet4!A1449</f>
        <v>1448</v>
      </c>
      <c r="B1470" t="str">
        <f>Sheet4!B1449</f>
        <v>TOW</v>
      </c>
      <c r="C1470" t="str">
        <f>Sheet4!C1448</f>
        <v>Dịch vụ biển Tân Cảng</v>
      </c>
      <c r="D1470" t="str">
        <f>Sheet4!D1449</f>
        <v>UPCoM</v>
      </c>
      <c r="E1470" s="7">
        <f>Sheet4!AH1449/1000000000</f>
        <v>259.28665749999999</v>
      </c>
      <c r="F1470" t="str">
        <f>Sheet4!E1449</f>
        <v>Tiện ích Cộng đồng</v>
      </c>
      <c r="G1470" t="str">
        <f>Sheet4!F1449</f>
        <v>Điện, nước &amp; xăng dầu khí đốt</v>
      </c>
      <c r="H1470" t="str">
        <f>Sheet4!G1449</f>
        <v>Nước</v>
      </c>
      <c r="I1470" s="9" t="str" cm="1">
        <f t="array" ref="I147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70" s="9" t="str" cm="1">
        <f t="array" ref="J147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70" s="10" cm="1">
        <f t="array" ref="K147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70" s="10" cm="1">
        <f t="array" ref="L147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70" s="9" t="str" cm="1">
        <f t="array" ref="M147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70" s="9" t="str" cm="1">
        <f t="array" ref="N147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70" s="10" cm="1">
        <f t="array" ref="O1470">IFERROR(INDEX(Sheet4!$2:$1605,MATCH(ChiTietKQKD[[#This Row],[Mã CP]],Sheet4!$B$2:$B$1605,0),_xlfn.XMATCH("*Tăng trưởng lợi nhuận sau thuế (YoY) (Quý*",Sheet4!$1:$1,2)),"")</f>
        <v>0</v>
      </c>
      <c r="P1470" s="10" cm="1">
        <f t="array" ref="P1470">IFERROR(INDEX(Sheet4!$2:$1605,MATCH(ChiTietKQKD[[#This Row],[Mã CP]],Sheet4!$B$2:$B$1605,0),_xlfn.XMATCH("*Tăng trưởng lợi nhuận sau thuế (YoY) (6M)*",Sheet4!$1:$1,2)),"")</f>
        <v>0</v>
      </c>
      <c r="Q1470" s="10" cm="1">
        <f t="array" ref="Q1470">IFERROR(INDEX(Sheet4!$2:$1605,MATCH(ChiTietKQKD[[#This Row],[Mã CP]],Sheet4!$B$2:$B$1605,0),_xlfn.XMATCH("*Tăng trưởng doanh thu thuần (QoQ)*",Sheet4!$1:$1,2)),"")</f>
        <v>0</v>
      </c>
      <c r="R1470" s="10" cm="1">
        <f t="array" ref="R1470">IFERROR(INDEX(Sheet4!$2:$1605,MATCH(ChiTietKQKD[[#This Row],[Mã CP]],Sheet4!$B$2:$B$1605,0),_xlfn.XMATCH("*Tăng trưởng lợi nhuận sau thuế (QoQ)*",Sheet4!$1:$1,2)),"")</f>
        <v>0</v>
      </c>
    </row>
    <row r="1471" spans="1:18" x14ac:dyDescent="0.25">
      <c r="A1471" s="7">
        <f>Sheet4!A1450</f>
        <v>1449</v>
      </c>
      <c r="B1471" t="str">
        <f>Sheet4!B1450</f>
        <v>TPS</v>
      </c>
      <c r="C1471" t="str">
        <f>Sheet4!C1449</f>
        <v>Cấp nước Trà Nóc - Ô Môn</v>
      </c>
      <c r="D1471" t="str">
        <f>Sheet4!D1450</f>
        <v>UPCoM</v>
      </c>
      <c r="E1471" s="7">
        <f>Sheet4!AH1450/1000000000</f>
        <v>237</v>
      </c>
      <c r="F1471" t="str">
        <f>Sheet4!E1450</f>
        <v>Dịch vụ Tiêu dùng</v>
      </c>
      <c r="G1471" t="str">
        <f>Sheet4!F1450</f>
        <v>Du lịch và Giải trí</v>
      </c>
      <c r="H1471" t="str">
        <f>Sheet4!G1450</f>
        <v>Vận tải hành khách &amp; Du lịch</v>
      </c>
      <c r="I1471" s="9" t="str" cm="1">
        <f t="array" ref="I147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71" s="9" t="str" cm="1">
        <f t="array" ref="J147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71" s="10" cm="1">
        <f t="array" ref="K147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71" s="10" cm="1">
        <f t="array" ref="L147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71" s="9" t="str" cm="1">
        <f t="array" ref="M147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71" s="9" t="str" cm="1">
        <f t="array" ref="N147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71" s="10" cm="1">
        <f t="array" ref="O1471">IFERROR(INDEX(Sheet4!$2:$1605,MATCH(ChiTietKQKD[[#This Row],[Mã CP]],Sheet4!$B$2:$B$1605,0),_xlfn.XMATCH("*Tăng trưởng lợi nhuận sau thuế (YoY) (Quý*",Sheet4!$1:$1,2)),"")</f>
        <v>0</v>
      </c>
      <c r="P1471" s="10" cm="1">
        <f t="array" ref="P1471">IFERROR(INDEX(Sheet4!$2:$1605,MATCH(ChiTietKQKD[[#This Row],[Mã CP]],Sheet4!$B$2:$B$1605,0),_xlfn.XMATCH("*Tăng trưởng lợi nhuận sau thuế (YoY) (6M)*",Sheet4!$1:$1,2)),"")</f>
        <v>0</v>
      </c>
      <c r="Q1471" s="10" cm="1">
        <f t="array" ref="Q1471">IFERROR(INDEX(Sheet4!$2:$1605,MATCH(ChiTietKQKD[[#This Row],[Mã CP]],Sheet4!$B$2:$B$1605,0),_xlfn.XMATCH("*Tăng trưởng doanh thu thuần (QoQ)*",Sheet4!$1:$1,2)),"")</f>
        <v>0</v>
      </c>
      <c r="R1471" s="10" cm="1">
        <f t="array" ref="R1471">IFERROR(INDEX(Sheet4!$2:$1605,MATCH(ChiTietKQKD[[#This Row],[Mã CP]],Sheet4!$B$2:$B$1605,0),_xlfn.XMATCH("*Tăng trưởng lợi nhuận sau thuế (QoQ)*",Sheet4!$1:$1,2)),"")</f>
        <v>0</v>
      </c>
    </row>
    <row r="1472" spans="1:18" x14ac:dyDescent="0.25">
      <c r="A1472" s="7">
        <f>Sheet4!A1451</f>
        <v>1450</v>
      </c>
      <c r="B1472" t="str">
        <f>Sheet4!B1451</f>
        <v>TQW</v>
      </c>
      <c r="C1472" t="str">
        <f>Sheet4!C1450</f>
        <v>Bến bãi vận tải Sài Gòn</v>
      </c>
      <c r="D1472" t="str">
        <f>Sheet4!D1451</f>
        <v>UPCoM</v>
      </c>
      <c r="E1472" s="7">
        <f>Sheet4!AH1451/1000000000</f>
        <v>67.892319999999998</v>
      </c>
      <c r="F1472" t="str">
        <f>Sheet4!E1451</f>
        <v>Tiện ích Cộng đồng</v>
      </c>
      <c r="G1472" t="str">
        <f>Sheet4!F1451</f>
        <v>Điện, nước &amp; xăng dầu khí đốt</v>
      </c>
      <c r="H1472" t="str">
        <f>Sheet4!G1451</f>
        <v>Nước</v>
      </c>
      <c r="I1472" s="9" t="str" cm="1">
        <f t="array" ref="I147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72" s="9" t="str" cm="1">
        <f t="array" ref="J147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72" s="10" cm="1">
        <f t="array" ref="K147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72" s="10" cm="1">
        <f t="array" ref="L147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72" s="9" t="str" cm="1">
        <f t="array" ref="M147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72" s="9" t="str" cm="1">
        <f t="array" ref="N147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72" s="10" cm="1">
        <f t="array" ref="O1472">IFERROR(INDEX(Sheet4!$2:$1605,MATCH(ChiTietKQKD[[#This Row],[Mã CP]],Sheet4!$B$2:$B$1605,0),_xlfn.XMATCH("*Tăng trưởng lợi nhuận sau thuế (YoY) (Quý*",Sheet4!$1:$1,2)),"")</f>
        <v>0</v>
      </c>
      <c r="P1472" s="10" cm="1">
        <f t="array" ref="P1472">IFERROR(INDEX(Sheet4!$2:$1605,MATCH(ChiTietKQKD[[#This Row],[Mã CP]],Sheet4!$B$2:$B$1605,0),_xlfn.XMATCH("*Tăng trưởng lợi nhuận sau thuế (YoY) (6M)*",Sheet4!$1:$1,2)),"")</f>
        <v>0</v>
      </c>
      <c r="Q1472" s="10" cm="1">
        <f t="array" ref="Q1472">IFERROR(INDEX(Sheet4!$2:$1605,MATCH(ChiTietKQKD[[#This Row],[Mã CP]],Sheet4!$B$2:$B$1605,0),_xlfn.XMATCH("*Tăng trưởng doanh thu thuần (QoQ)*",Sheet4!$1:$1,2)),"")</f>
        <v>0</v>
      </c>
      <c r="R1472" s="10" cm="1">
        <f t="array" ref="R1472">IFERROR(INDEX(Sheet4!$2:$1605,MATCH(ChiTietKQKD[[#This Row],[Mã CP]],Sheet4!$B$2:$B$1605,0),_xlfn.XMATCH("*Tăng trưởng lợi nhuận sau thuế (QoQ)*",Sheet4!$1:$1,2)),"")</f>
        <v>0</v>
      </c>
    </row>
    <row r="1473" spans="1:18" x14ac:dyDescent="0.25">
      <c r="A1473" s="7">
        <f>Sheet4!A1452</f>
        <v>1451</v>
      </c>
      <c r="B1473" t="str">
        <f>Sheet4!B1452</f>
        <v>TR1</v>
      </c>
      <c r="C1473" t="str">
        <f>Sheet4!C1451</f>
        <v>Cấp thoát nước Tuyên Quang</v>
      </c>
      <c r="D1473" t="str">
        <f>Sheet4!D1452</f>
        <v>UPCoM</v>
      </c>
      <c r="E1473" s="7">
        <f>Sheet4!AH1452/1000000000</f>
        <v>75.776084999999995</v>
      </c>
      <c r="F1473" t="str">
        <f>Sheet4!E1452</f>
        <v>Công nghiệp</v>
      </c>
      <c r="G1473" t="str">
        <f>Sheet4!F1452</f>
        <v>Hàng &amp; Dịch vụ Công nghiệp</v>
      </c>
      <c r="H1473" t="str">
        <f>Sheet4!G1452</f>
        <v>Kho bãi, hậu cần và bảo dưỡng</v>
      </c>
      <c r="I1473" s="9" t="str" cm="1">
        <f t="array" ref="I147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73" s="9" t="str" cm="1">
        <f t="array" ref="J147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73" s="10" cm="1">
        <f t="array" ref="K147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73" s="10" cm="1">
        <f t="array" ref="L147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73" s="9" t="str" cm="1">
        <f t="array" ref="M147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73" s="9" t="str" cm="1">
        <f t="array" ref="N147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73" s="10" cm="1">
        <f t="array" ref="O1473">IFERROR(INDEX(Sheet4!$2:$1605,MATCH(ChiTietKQKD[[#This Row],[Mã CP]],Sheet4!$B$2:$B$1605,0),_xlfn.XMATCH("*Tăng trưởng lợi nhuận sau thuế (YoY) (Quý*",Sheet4!$1:$1,2)),"")</f>
        <v>0</v>
      </c>
      <c r="P1473" s="10" cm="1">
        <f t="array" ref="P1473">IFERROR(INDEX(Sheet4!$2:$1605,MATCH(ChiTietKQKD[[#This Row],[Mã CP]],Sheet4!$B$2:$B$1605,0),_xlfn.XMATCH("*Tăng trưởng lợi nhuận sau thuế (YoY) (6M)*",Sheet4!$1:$1,2)),"")</f>
        <v>0</v>
      </c>
      <c r="Q1473" s="10" cm="1">
        <f t="array" ref="Q1473">IFERROR(INDEX(Sheet4!$2:$1605,MATCH(ChiTietKQKD[[#This Row],[Mã CP]],Sheet4!$B$2:$B$1605,0),_xlfn.XMATCH("*Tăng trưởng doanh thu thuần (QoQ)*",Sheet4!$1:$1,2)),"")</f>
        <v>0</v>
      </c>
      <c r="R1473" s="10" cm="1">
        <f t="array" ref="R1473">IFERROR(INDEX(Sheet4!$2:$1605,MATCH(ChiTietKQKD[[#This Row],[Mã CP]],Sheet4!$B$2:$B$1605,0),_xlfn.XMATCH("*Tăng trưởng lợi nhuận sau thuế (QoQ)*",Sheet4!$1:$1,2)),"")</f>
        <v>0</v>
      </c>
    </row>
    <row r="1474" spans="1:18" x14ac:dyDescent="0.25">
      <c r="A1474" s="7">
        <f>Sheet4!A1453</f>
        <v>1452</v>
      </c>
      <c r="B1474" t="str">
        <f>Sheet4!B1453</f>
        <v>TRS</v>
      </c>
      <c r="C1474" t="str">
        <f>Sheet4!C1452</f>
        <v>Vận Tải 1 Traco</v>
      </c>
      <c r="D1474" t="str">
        <f>Sheet4!D1453</f>
        <v>UPCoM</v>
      </c>
      <c r="E1474" s="7">
        <f>Sheet4!AH1453/1000000000</f>
        <v>286.95587879999999</v>
      </c>
      <c r="F1474" t="str">
        <f>Sheet4!E1453</f>
        <v>Công nghiệp</v>
      </c>
      <c r="G1474" t="str">
        <f>Sheet4!F1453</f>
        <v>Hàng &amp; Dịch vụ Công nghiệp</v>
      </c>
      <c r="H1474" t="str">
        <f>Sheet4!G1453</f>
        <v>Vận tải Thủy</v>
      </c>
      <c r="I1474" s="9" t="str" cm="1">
        <f t="array" ref="I147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74" s="9" t="str" cm="1">
        <f t="array" ref="J147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74" s="10" cm="1">
        <f t="array" ref="K147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74" s="10" cm="1">
        <f t="array" ref="L147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74" s="9" t="str" cm="1">
        <f t="array" ref="M147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74" s="9" t="str" cm="1">
        <f t="array" ref="N147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74" s="10" cm="1">
        <f t="array" ref="O1474">IFERROR(INDEX(Sheet4!$2:$1605,MATCH(ChiTietKQKD[[#This Row],[Mã CP]],Sheet4!$B$2:$B$1605,0),_xlfn.XMATCH("*Tăng trưởng lợi nhuận sau thuế (YoY) (Quý*",Sheet4!$1:$1,2)),"")</f>
        <v>0</v>
      </c>
      <c r="P1474" s="10" cm="1">
        <f t="array" ref="P1474">IFERROR(INDEX(Sheet4!$2:$1605,MATCH(ChiTietKQKD[[#This Row],[Mã CP]],Sheet4!$B$2:$B$1605,0),_xlfn.XMATCH("*Tăng trưởng lợi nhuận sau thuế (YoY) (6M)*",Sheet4!$1:$1,2)),"")</f>
        <v>0</v>
      </c>
      <c r="Q1474" s="10" cm="1">
        <f t="array" ref="Q1474">IFERROR(INDEX(Sheet4!$2:$1605,MATCH(ChiTietKQKD[[#This Row],[Mã CP]],Sheet4!$B$2:$B$1605,0),_xlfn.XMATCH("*Tăng trưởng doanh thu thuần (QoQ)*",Sheet4!$1:$1,2)),"")</f>
        <v>0</v>
      </c>
      <c r="R1474" s="10" cm="1">
        <f t="array" ref="R1474">IFERROR(INDEX(Sheet4!$2:$1605,MATCH(ChiTietKQKD[[#This Row],[Mã CP]],Sheet4!$B$2:$B$1605,0),_xlfn.XMATCH("*Tăng trưởng lợi nhuận sau thuế (QoQ)*",Sheet4!$1:$1,2)),"")</f>
        <v>0</v>
      </c>
    </row>
    <row r="1475" spans="1:18" x14ac:dyDescent="0.25">
      <c r="A1475" s="7">
        <f>Sheet4!A1454</f>
        <v>1453</v>
      </c>
      <c r="B1475" t="str">
        <f>Sheet4!B1454</f>
        <v>TRT</v>
      </c>
      <c r="C1475" t="str">
        <f>Sheet4!C1453</f>
        <v>Vận tải và Dịch vụ Hàng Hải</v>
      </c>
      <c r="D1475" t="str">
        <f>Sheet4!D1454</f>
        <v>UPCoM</v>
      </c>
      <c r="E1475" s="7">
        <f>Sheet4!AH1454/1000000000</f>
        <v>39.501964800000003</v>
      </c>
      <c r="F1475" t="str">
        <f>Sheet4!E1454</f>
        <v>Công nghiệp</v>
      </c>
      <c r="G1475" t="str">
        <f>Sheet4!F1454</f>
        <v>Xây dựng và Vật liệu</v>
      </c>
      <c r="H1475" t="str">
        <f>Sheet4!G1454</f>
        <v>Vật liệu xây dựng &amp; Nội thất</v>
      </c>
      <c r="I1475" s="9" t="str" cm="1">
        <f t="array" ref="I147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75" s="9" t="str" cm="1">
        <f t="array" ref="J147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75" s="10" cm="1">
        <f t="array" ref="K147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75" s="10" cm="1">
        <f t="array" ref="L147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75" s="9" t="str" cm="1">
        <f t="array" ref="M147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75" s="9" t="str" cm="1">
        <f t="array" ref="N147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75" s="10" cm="1">
        <f t="array" ref="O1475">IFERROR(INDEX(Sheet4!$2:$1605,MATCH(ChiTietKQKD[[#This Row],[Mã CP]],Sheet4!$B$2:$B$1605,0),_xlfn.XMATCH("*Tăng trưởng lợi nhuận sau thuế (YoY) (Quý*",Sheet4!$1:$1,2)),"")</f>
        <v>0</v>
      </c>
      <c r="P1475" s="10" cm="1">
        <f t="array" ref="P1475">IFERROR(INDEX(Sheet4!$2:$1605,MATCH(ChiTietKQKD[[#This Row],[Mã CP]],Sheet4!$B$2:$B$1605,0),_xlfn.XMATCH("*Tăng trưởng lợi nhuận sau thuế (YoY) (6M)*",Sheet4!$1:$1,2)),"")</f>
        <v>0</v>
      </c>
      <c r="Q1475" s="10" cm="1">
        <f t="array" ref="Q1475">IFERROR(INDEX(Sheet4!$2:$1605,MATCH(ChiTietKQKD[[#This Row],[Mã CP]],Sheet4!$B$2:$B$1605,0),_xlfn.XMATCH("*Tăng trưởng doanh thu thuần (QoQ)*",Sheet4!$1:$1,2)),"")</f>
        <v>0</v>
      </c>
      <c r="R1475" s="10" cm="1">
        <f t="array" ref="R1475">IFERROR(INDEX(Sheet4!$2:$1605,MATCH(ChiTietKQKD[[#This Row],[Mã CP]],Sheet4!$B$2:$B$1605,0),_xlfn.XMATCH("*Tăng trưởng lợi nhuận sau thuế (QoQ)*",Sheet4!$1:$1,2)),"")</f>
        <v>0</v>
      </c>
    </row>
    <row r="1476" spans="1:18" x14ac:dyDescent="0.25">
      <c r="A1476" s="7">
        <f>Sheet4!A1455</f>
        <v>1454</v>
      </c>
      <c r="B1476" t="str">
        <f>Sheet4!B1455</f>
        <v>TRV</v>
      </c>
      <c r="C1476" t="str">
        <f>Sheet4!C1454</f>
        <v>CTCP RedstarCera</v>
      </c>
      <c r="D1476" t="str">
        <f>Sheet4!D1455</f>
        <v>UPCoM</v>
      </c>
      <c r="E1476" s="7">
        <f>Sheet4!AH1455/1000000000</f>
        <v>1339.6715357200001</v>
      </c>
      <c r="F1476" t="str">
        <f>Sheet4!E1455</f>
        <v>Công nghiệp</v>
      </c>
      <c r="G1476" t="str">
        <f>Sheet4!F1455</f>
        <v>Hàng &amp; Dịch vụ Công nghiệp</v>
      </c>
      <c r="H1476" t="str">
        <f>Sheet4!G1455</f>
        <v>Đường sắt</v>
      </c>
      <c r="I1476" s="9" t="str" cm="1">
        <f t="array" ref="I147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76" s="9" t="str" cm="1">
        <f t="array" ref="J147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76" s="10" cm="1">
        <f t="array" ref="K147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76" s="10" cm="1">
        <f t="array" ref="L147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76" s="9" t="str" cm="1">
        <f t="array" ref="M147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76" s="9" t="str" cm="1">
        <f t="array" ref="N147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76" s="10" cm="1">
        <f t="array" ref="O1476">IFERROR(INDEX(Sheet4!$2:$1605,MATCH(ChiTietKQKD[[#This Row],[Mã CP]],Sheet4!$B$2:$B$1605,0),_xlfn.XMATCH("*Tăng trưởng lợi nhuận sau thuế (YoY) (Quý*",Sheet4!$1:$1,2)),"")</f>
        <v>0</v>
      </c>
      <c r="P1476" s="10" cm="1">
        <f t="array" ref="P1476">IFERROR(INDEX(Sheet4!$2:$1605,MATCH(ChiTietKQKD[[#This Row],[Mã CP]],Sheet4!$B$2:$B$1605,0),_xlfn.XMATCH("*Tăng trưởng lợi nhuận sau thuế (YoY) (6M)*",Sheet4!$1:$1,2)),"")</f>
        <v>0</v>
      </c>
      <c r="Q1476" s="10" cm="1">
        <f t="array" ref="Q1476">IFERROR(INDEX(Sheet4!$2:$1605,MATCH(ChiTietKQKD[[#This Row],[Mã CP]],Sheet4!$B$2:$B$1605,0),_xlfn.XMATCH("*Tăng trưởng doanh thu thuần (QoQ)*",Sheet4!$1:$1,2)),"")</f>
        <v>0</v>
      </c>
      <c r="R1476" s="10" cm="1">
        <f t="array" ref="R1476">IFERROR(INDEX(Sheet4!$2:$1605,MATCH(ChiTietKQKD[[#This Row],[Mã CP]],Sheet4!$B$2:$B$1605,0),_xlfn.XMATCH("*Tăng trưởng lợi nhuận sau thuế (QoQ)*",Sheet4!$1:$1,2)),"")</f>
        <v>0</v>
      </c>
    </row>
    <row r="1477" spans="1:18" x14ac:dyDescent="0.25">
      <c r="A1477" s="7">
        <f>Sheet4!A1456</f>
        <v>1455</v>
      </c>
      <c r="B1477" t="str">
        <f>Sheet4!B1456</f>
        <v>TS3</v>
      </c>
      <c r="C1477" t="str">
        <f>Sheet4!C1455</f>
        <v>Vận tải Đường sắt</v>
      </c>
      <c r="D1477" t="str">
        <f>Sheet4!D1456</f>
        <v>UPCoM</v>
      </c>
      <c r="E1477" s="7">
        <f>Sheet4!AH1456/1000000000</f>
        <v>20.029775999999998</v>
      </c>
      <c r="F1477" t="str">
        <f>Sheet4!E1456</f>
        <v>Công nghiệp</v>
      </c>
      <c r="G1477" t="str">
        <f>Sheet4!F1456</f>
        <v>Xây dựng và Vật liệu</v>
      </c>
      <c r="H1477" t="str">
        <f>Sheet4!G1456</f>
        <v>Xây dựng</v>
      </c>
      <c r="I1477" s="9" t="str" cm="1">
        <f t="array" ref="I147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77" s="9" t="str" cm="1">
        <f t="array" ref="J147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77" s="10" cm="1">
        <f t="array" ref="K147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77" s="10" cm="1">
        <f t="array" ref="L147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77" s="9" t="str" cm="1">
        <f t="array" ref="M147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77" s="9" t="str" cm="1">
        <f t="array" ref="N147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77" s="10" cm="1">
        <f t="array" ref="O1477">IFERROR(INDEX(Sheet4!$2:$1605,MATCH(ChiTietKQKD[[#This Row],[Mã CP]],Sheet4!$B$2:$B$1605,0),_xlfn.XMATCH("*Tăng trưởng lợi nhuận sau thuế (YoY) (Quý*",Sheet4!$1:$1,2)),"")</f>
        <v>0</v>
      </c>
      <c r="P1477" s="10" cm="1">
        <f t="array" ref="P1477">IFERROR(INDEX(Sheet4!$2:$1605,MATCH(ChiTietKQKD[[#This Row],[Mã CP]],Sheet4!$B$2:$B$1605,0),_xlfn.XMATCH("*Tăng trưởng lợi nhuận sau thuế (YoY) (6M)*",Sheet4!$1:$1,2)),"")</f>
        <v>0</v>
      </c>
      <c r="Q1477" s="10" cm="1">
        <f t="array" ref="Q1477">IFERROR(INDEX(Sheet4!$2:$1605,MATCH(ChiTietKQKD[[#This Row],[Mã CP]],Sheet4!$B$2:$B$1605,0),_xlfn.XMATCH("*Tăng trưởng doanh thu thuần (QoQ)*",Sheet4!$1:$1,2)),"")</f>
        <v>0</v>
      </c>
      <c r="R1477" s="10" cm="1">
        <f t="array" ref="R1477">IFERROR(INDEX(Sheet4!$2:$1605,MATCH(ChiTietKQKD[[#This Row],[Mã CP]],Sheet4!$B$2:$B$1605,0),_xlfn.XMATCH("*Tăng trưởng lợi nhuận sau thuế (QoQ)*",Sheet4!$1:$1,2)),"")</f>
        <v>0</v>
      </c>
    </row>
    <row r="1478" spans="1:18" x14ac:dyDescent="0.25">
      <c r="A1478" s="7">
        <f>Sheet4!A1457</f>
        <v>1456</v>
      </c>
      <c r="B1478" t="str">
        <f>Sheet4!B1457</f>
        <v>TSD</v>
      </c>
      <c r="C1478" t="str">
        <f>Sheet4!C1456</f>
        <v>Trường Sơn 532</v>
      </c>
      <c r="D1478" t="str">
        <f>Sheet4!D1457</f>
        <v>UPCoM</v>
      </c>
      <c r="E1478" s="7">
        <f>Sheet4!AH1457/1000000000</f>
        <v>4.4589999999999996</v>
      </c>
      <c r="F1478" t="str">
        <f>Sheet4!E1457</f>
        <v>Dịch vụ Tiêu dùng</v>
      </c>
      <c r="G1478" t="str">
        <f>Sheet4!F1457</f>
        <v>Du lịch và Giải trí</v>
      </c>
      <c r="H1478" t="str">
        <f>Sheet4!G1457</f>
        <v>Vận tải hành khách &amp; Du lịch</v>
      </c>
      <c r="I1478" s="9" t="str" cm="1">
        <f t="array" ref="I147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78" s="9" t="str" cm="1">
        <f t="array" ref="J147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78" s="10" cm="1">
        <f t="array" ref="K147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78" s="10" cm="1">
        <f t="array" ref="L147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78" s="9" t="str" cm="1">
        <f t="array" ref="M147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78" s="9" t="str" cm="1">
        <f t="array" ref="N147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78" s="10" cm="1">
        <f t="array" ref="O1478">IFERROR(INDEX(Sheet4!$2:$1605,MATCH(ChiTietKQKD[[#This Row],[Mã CP]],Sheet4!$B$2:$B$1605,0),_xlfn.XMATCH("*Tăng trưởng lợi nhuận sau thuế (YoY) (Quý*",Sheet4!$1:$1,2)),"")</f>
        <v>0</v>
      </c>
      <c r="P1478" s="10" cm="1">
        <f t="array" ref="P1478">IFERROR(INDEX(Sheet4!$2:$1605,MATCH(ChiTietKQKD[[#This Row],[Mã CP]],Sheet4!$B$2:$B$1605,0),_xlfn.XMATCH("*Tăng trưởng lợi nhuận sau thuế (YoY) (6M)*",Sheet4!$1:$1,2)),"")</f>
        <v>0</v>
      </c>
      <c r="Q1478" s="10" cm="1">
        <f t="array" ref="Q1478">IFERROR(INDEX(Sheet4!$2:$1605,MATCH(ChiTietKQKD[[#This Row],[Mã CP]],Sheet4!$B$2:$B$1605,0),_xlfn.XMATCH("*Tăng trưởng doanh thu thuần (QoQ)*",Sheet4!$1:$1,2)),"")</f>
        <v>0</v>
      </c>
      <c r="R1478" s="10" cm="1">
        <f t="array" ref="R1478">IFERROR(INDEX(Sheet4!$2:$1605,MATCH(ChiTietKQKD[[#This Row],[Mã CP]],Sheet4!$B$2:$B$1605,0),_xlfn.XMATCH("*Tăng trưởng lợi nhuận sau thuế (QoQ)*",Sheet4!$1:$1,2)),"")</f>
        <v>0</v>
      </c>
    </row>
    <row r="1479" spans="1:18" x14ac:dyDescent="0.25">
      <c r="A1479" s="7">
        <f>Sheet4!A1458</f>
        <v>1457</v>
      </c>
      <c r="B1479" t="str">
        <f>Sheet4!B1458</f>
        <v>TSG</v>
      </c>
      <c r="C1479" t="str">
        <f>Sheet4!C1457</f>
        <v>Du lịch Trường Sơn Coecco</v>
      </c>
      <c r="D1479" t="str">
        <f>Sheet4!D1458</f>
        <v>UPCoM</v>
      </c>
      <c r="E1479" s="7">
        <f>Sheet4!AH1458/1000000000</f>
        <v>30.741</v>
      </c>
      <c r="F1479" t="str">
        <f>Sheet4!E1458</f>
        <v>Công nghiệp</v>
      </c>
      <c r="G1479" t="str">
        <f>Sheet4!F1458</f>
        <v>Hàng &amp; Dịch vụ Công nghiệp</v>
      </c>
      <c r="H1479" t="str">
        <f>Sheet4!G1458</f>
        <v>Đường sắt</v>
      </c>
      <c r="I1479" s="9" t="str" cm="1">
        <f t="array" ref="I147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79" s="9" t="str" cm="1">
        <f t="array" ref="J147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79" s="10" cm="1">
        <f t="array" ref="K147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79" s="10" cm="1">
        <f t="array" ref="L147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79" s="9" t="str" cm="1">
        <f t="array" ref="M147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79" s="9" t="str" cm="1">
        <f t="array" ref="N147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79" s="10" cm="1">
        <f t="array" ref="O1479">IFERROR(INDEX(Sheet4!$2:$1605,MATCH(ChiTietKQKD[[#This Row],[Mã CP]],Sheet4!$B$2:$B$1605,0),_xlfn.XMATCH("*Tăng trưởng lợi nhuận sau thuế (YoY) (Quý*",Sheet4!$1:$1,2)),"")</f>
        <v>0</v>
      </c>
      <c r="P1479" s="10" cm="1">
        <f t="array" ref="P1479">IFERROR(INDEX(Sheet4!$2:$1605,MATCH(ChiTietKQKD[[#This Row],[Mã CP]],Sheet4!$B$2:$B$1605,0),_xlfn.XMATCH("*Tăng trưởng lợi nhuận sau thuế (YoY) (6M)*",Sheet4!$1:$1,2)),"")</f>
        <v>0</v>
      </c>
      <c r="Q1479" s="10" cm="1">
        <f t="array" ref="Q1479">IFERROR(INDEX(Sheet4!$2:$1605,MATCH(ChiTietKQKD[[#This Row],[Mã CP]],Sheet4!$B$2:$B$1605,0),_xlfn.XMATCH("*Tăng trưởng doanh thu thuần (QoQ)*",Sheet4!$1:$1,2)),"")</f>
        <v>0</v>
      </c>
      <c r="R1479" s="10" cm="1">
        <f t="array" ref="R1479">IFERROR(INDEX(Sheet4!$2:$1605,MATCH(ChiTietKQKD[[#This Row],[Mã CP]],Sheet4!$B$2:$B$1605,0),_xlfn.XMATCH("*Tăng trưởng lợi nhuận sau thuế (QoQ)*",Sheet4!$1:$1,2)),"")</f>
        <v>0</v>
      </c>
    </row>
    <row r="1480" spans="1:18" x14ac:dyDescent="0.25">
      <c r="A1480" s="7">
        <f>Sheet4!A1459</f>
        <v>1458</v>
      </c>
      <c r="B1480" t="str">
        <f>Sheet4!B1459</f>
        <v>TSJ</v>
      </c>
      <c r="C1480" t="str">
        <f>Sheet4!C1458</f>
        <v>TTTH Đường sắt Sài Gòn</v>
      </c>
      <c r="D1480" t="str">
        <f>Sheet4!D1459</f>
        <v>UPCoM</v>
      </c>
      <c r="E1480" s="7">
        <f>Sheet4!AH1459/1000000000</f>
        <v>1735.2996800000001</v>
      </c>
      <c r="F1480" t="str">
        <f>Sheet4!E1459</f>
        <v>Dịch vụ Tiêu dùng</v>
      </c>
      <c r="G1480" t="str">
        <f>Sheet4!F1459</f>
        <v>Du lịch và Giải trí</v>
      </c>
      <c r="H1480" t="str">
        <f>Sheet4!G1459</f>
        <v>Vận tải hành khách &amp; Du lịch</v>
      </c>
      <c r="I1480" s="9" cm="1">
        <f t="array" ref="I148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35.824896547999998</v>
      </c>
      <c r="J1480" s="9" cm="1">
        <f t="array" ref="J148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60.971172565000003</v>
      </c>
      <c r="K1480" s="10" cm="1">
        <f t="array" ref="K148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-3.2899999999999999E-2</v>
      </c>
      <c r="L1480" s="10" cm="1">
        <f t="array" ref="L148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80" s="9" cm="1">
        <f t="array" ref="M1480">_xlfn.LET(_xlpm.val,IFERROR(INDEX(Sheet4!$2:$1605,MATCH(ChiTietKQKD[[#This Row],[Mã CP]],Sheet4!$B$2:$B$1605,0),_xlfn.XMATCH("*Lợi nhuận sau thuế*Q2*2026*",Sheet4!$1:$1,2)),0),IF(OR(_xlpm.val="",_xlpm.val=0),"",_xlpm.val/1000000000))</f>
        <v>248.790959391</v>
      </c>
      <c r="N1480" s="9" cm="1">
        <f t="array" ref="N1480">_xlfn.LET(_xlpm.val,IFERROR(INDEX(Sheet4!$2:$1605,MATCH(ChiTietKQKD[[#This Row],[Mã CP]],Sheet4!$B$2:$B$1605,0),_xlfn.XMATCH("*Lợi nhuận sau thuế*6 tháng*2026*",Sheet4!$1:$1,2)),0),IF(OR(_xlpm.val="",_xlpm.val=0),"",_xlpm.val/1000000000))</f>
        <v>259.24231646700002</v>
      </c>
      <c r="O1480" s="10" cm="1">
        <f t="array" ref="O1480">IFERROR(INDEX(Sheet4!$2:$1605,MATCH(ChiTietKQKD[[#This Row],[Mã CP]],Sheet4!$B$2:$B$1605,0),_xlfn.XMATCH("*Tăng trưởng lợi nhuận sau thuế (YoY) (Quý*",Sheet4!$1:$1,2)),"")</f>
        <v>3.2435</v>
      </c>
      <c r="P1480" s="10" cm="1">
        <f t="array" ref="P1480">IFERROR(INDEX(Sheet4!$2:$1605,MATCH(ChiTietKQKD[[#This Row],[Mã CP]],Sheet4!$B$2:$B$1605,0),_xlfn.XMATCH("*Tăng trưởng lợi nhuận sau thuế (YoY) (6M)*",Sheet4!$1:$1,2)),"")</f>
        <v>0</v>
      </c>
      <c r="Q1480" s="10" cm="1">
        <f t="array" ref="Q1480">IFERROR(INDEX(Sheet4!$2:$1605,MATCH(ChiTietKQKD[[#This Row],[Mã CP]],Sheet4!$B$2:$B$1605,0),_xlfn.XMATCH("*Tăng trưởng doanh thu thuần (QoQ)*",Sheet4!$1:$1,2)),"")</f>
        <v>0.42470000000000002</v>
      </c>
      <c r="R1480" s="10" cm="1">
        <f t="array" ref="R1480">IFERROR(INDEX(Sheet4!$2:$1605,MATCH(ChiTietKQKD[[#This Row],[Mã CP]],Sheet4!$B$2:$B$1605,0),_xlfn.XMATCH("*Tăng trưởng lợi nhuận sau thuế (QoQ)*",Sheet4!$1:$1,2)),"")</f>
        <v>22.8047</v>
      </c>
    </row>
    <row r="1481" spans="1:18" x14ac:dyDescent="0.25">
      <c r="A1481" s="7">
        <f>Sheet4!A1460</f>
        <v>1459</v>
      </c>
      <c r="B1481" t="str">
        <f>Sheet4!B1460</f>
        <v>TST</v>
      </c>
      <c r="C1481" t="str">
        <f>Sheet4!C1459</f>
        <v>Hanoi Toserco</v>
      </c>
      <c r="D1481" t="str">
        <f>Sheet4!D1460</f>
        <v>UPCoM</v>
      </c>
      <c r="E1481" s="7">
        <f>Sheet4!AH1460/1000000000</f>
        <v>38.880000000000003</v>
      </c>
      <c r="F1481" t="str">
        <f>Sheet4!E1460</f>
        <v>Công nghệ Thông tin</v>
      </c>
      <c r="G1481" t="str">
        <f>Sheet4!F1460</f>
        <v>Công nghệ Thông tin</v>
      </c>
      <c r="H1481" t="str">
        <f>Sheet4!G1460</f>
        <v>Dịch vụ Máy tính</v>
      </c>
      <c r="I1481" s="9" t="str" cm="1">
        <f t="array" ref="I148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81" s="9" t="str" cm="1">
        <f t="array" ref="J148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81" s="10" cm="1">
        <f t="array" ref="K148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81" s="10" cm="1">
        <f t="array" ref="L148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81" s="9" t="str" cm="1">
        <f t="array" ref="M148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81" s="9" t="str" cm="1">
        <f t="array" ref="N148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81" s="10" cm="1">
        <f t="array" ref="O1481">IFERROR(INDEX(Sheet4!$2:$1605,MATCH(ChiTietKQKD[[#This Row],[Mã CP]],Sheet4!$B$2:$B$1605,0),_xlfn.XMATCH("*Tăng trưởng lợi nhuận sau thuế (YoY) (Quý*",Sheet4!$1:$1,2)),"")</f>
        <v>0</v>
      </c>
      <c r="P1481" s="10" cm="1">
        <f t="array" ref="P1481">IFERROR(INDEX(Sheet4!$2:$1605,MATCH(ChiTietKQKD[[#This Row],[Mã CP]],Sheet4!$B$2:$B$1605,0),_xlfn.XMATCH("*Tăng trưởng lợi nhuận sau thuế (YoY) (6M)*",Sheet4!$1:$1,2)),"")</f>
        <v>0</v>
      </c>
      <c r="Q1481" s="10" cm="1">
        <f t="array" ref="Q1481">IFERROR(INDEX(Sheet4!$2:$1605,MATCH(ChiTietKQKD[[#This Row],[Mã CP]],Sheet4!$B$2:$B$1605,0),_xlfn.XMATCH("*Tăng trưởng doanh thu thuần (QoQ)*",Sheet4!$1:$1,2)),"")</f>
        <v>0</v>
      </c>
      <c r="R1481" s="10" cm="1">
        <f t="array" ref="R1481">IFERROR(INDEX(Sheet4!$2:$1605,MATCH(ChiTietKQKD[[#This Row],[Mã CP]],Sheet4!$B$2:$B$1605,0),_xlfn.XMATCH("*Tăng trưởng lợi nhuận sau thuế (QoQ)*",Sheet4!$1:$1,2)),"")</f>
        <v>0</v>
      </c>
    </row>
    <row r="1482" spans="1:18" x14ac:dyDescent="0.25">
      <c r="A1482" s="7">
        <f>Sheet4!A1461</f>
        <v>1460</v>
      </c>
      <c r="B1482" t="str">
        <f>Sheet4!B1461</f>
        <v>TT6</v>
      </c>
      <c r="C1482" t="str">
        <f>Sheet4!C1460</f>
        <v>Dịch vụ KT Viễn Thông</v>
      </c>
      <c r="D1482" t="str">
        <f>Sheet4!D1461</f>
        <v>UPCoM</v>
      </c>
      <c r="E1482" s="7">
        <f>Sheet4!AH1461/1000000000</f>
        <v>274.694495985</v>
      </c>
      <c r="F1482" t="str">
        <f>Sheet4!E1461</f>
        <v>Hàng Tiêu dùng</v>
      </c>
      <c r="G1482" t="str">
        <f>Sheet4!F1461</f>
        <v>Thực phẩm và đồ uống</v>
      </c>
      <c r="H1482" t="str">
        <f>Sheet4!G1461</f>
        <v>Thực phẩm</v>
      </c>
      <c r="I1482" s="9" t="str" cm="1">
        <f t="array" ref="I148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82" s="9" t="str" cm="1">
        <f t="array" ref="J148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82" s="10" cm="1">
        <f t="array" ref="K148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82" s="10" cm="1">
        <f t="array" ref="L148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82" s="9" t="str" cm="1">
        <f t="array" ref="M148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82" s="9" t="str" cm="1">
        <f t="array" ref="N148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82" s="10" cm="1">
        <f t="array" ref="O1482">IFERROR(INDEX(Sheet4!$2:$1605,MATCH(ChiTietKQKD[[#This Row],[Mã CP]],Sheet4!$B$2:$B$1605,0),_xlfn.XMATCH("*Tăng trưởng lợi nhuận sau thuế (YoY) (Quý*",Sheet4!$1:$1,2)),"")</f>
        <v>0</v>
      </c>
      <c r="P1482" s="10" cm="1">
        <f t="array" ref="P1482">IFERROR(INDEX(Sheet4!$2:$1605,MATCH(ChiTietKQKD[[#This Row],[Mã CP]],Sheet4!$B$2:$B$1605,0),_xlfn.XMATCH("*Tăng trưởng lợi nhuận sau thuế (YoY) (6M)*",Sheet4!$1:$1,2)),"")</f>
        <v>0</v>
      </c>
      <c r="Q1482" s="10" cm="1">
        <f t="array" ref="Q1482">IFERROR(INDEX(Sheet4!$2:$1605,MATCH(ChiTietKQKD[[#This Row],[Mã CP]],Sheet4!$B$2:$B$1605,0),_xlfn.XMATCH("*Tăng trưởng doanh thu thuần (QoQ)*",Sheet4!$1:$1,2)),"")</f>
        <v>0</v>
      </c>
      <c r="R1482" s="10" cm="1">
        <f t="array" ref="R1482">IFERROR(INDEX(Sheet4!$2:$1605,MATCH(ChiTietKQKD[[#This Row],[Mã CP]],Sheet4!$B$2:$B$1605,0),_xlfn.XMATCH("*Tăng trưởng lợi nhuận sau thuế (QoQ)*",Sheet4!$1:$1,2)),"")</f>
        <v>0</v>
      </c>
    </row>
    <row r="1483" spans="1:18" x14ac:dyDescent="0.25">
      <c r="A1483" s="7">
        <f>Sheet4!A1462</f>
        <v>1461</v>
      </c>
      <c r="B1483" t="str">
        <f>Sheet4!B1462</f>
        <v>TTB</v>
      </c>
      <c r="C1483" t="str">
        <f>Sheet4!C1461</f>
        <v>Tien Thinh Group</v>
      </c>
      <c r="D1483" t="str">
        <f>Sheet4!D1462</f>
        <v>UPCoM</v>
      </c>
      <c r="E1483" s="7">
        <f>Sheet4!AH1462/1000000000</f>
        <v>182.71724939999999</v>
      </c>
      <c r="F1483" t="str">
        <f>Sheet4!E1462</f>
        <v>Công nghiệp</v>
      </c>
      <c r="G1483" t="str">
        <f>Sheet4!F1462</f>
        <v>Xây dựng và Vật liệu</v>
      </c>
      <c r="H1483" t="str">
        <f>Sheet4!G1462</f>
        <v>Vật liệu xây dựng &amp; Nội thất</v>
      </c>
      <c r="I1483" s="9" cm="1">
        <f t="array" ref="I148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56.449466630000003</v>
      </c>
      <c r="J1483" s="9" cm="1">
        <f t="array" ref="J148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91.549992837000005</v>
      </c>
      <c r="K1483" s="10" cm="1">
        <f t="array" ref="K148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1.1167</v>
      </c>
      <c r="L1483" s="10" cm="1">
        <f t="array" ref="L148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83" s="9" cm="1">
        <f t="array" ref="M1483">_xlfn.LET(_xlpm.val,IFERROR(INDEX(Sheet4!$2:$1605,MATCH(ChiTietKQKD[[#This Row],[Mã CP]],Sheet4!$B$2:$B$1605,0),_xlfn.XMATCH("*Lợi nhuận sau thuế*Q2*2026*",Sheet4!$1:$1,2)),0),IF(OR(_xlpm.val="",_xlpm.val=0),"",_xlpm.val/1000000000))</f>
        <v>4.9508563999999998E-2</v>
      </c>
      <c r="N1483" s="9" cm="1">
        <f t="array" ref="N1483">_xlfn.LET(_xlpm.val,IFERROR(INDEX(Sheet4!$2:$1605,MATCH(ChiTietKQKD[[#This Row],[Mã CP]],Sheet4!$B$2:$B$1605,0),_xlfn.XMATCH("*Lợi nhuận sau thuế*6 tháng*2026*",Sheet4!$1:$1,2)),0),IF(OR(_xlpm.val="",_xlpm.val=0),"",_xlpm.val/1000000000))</f>
        <v>0.10933014200000001</v>
      </c>
      <c r="O1483" s="10" cm="1">
        <f t="array" ref="O1483">IFERROR(INDEX(Sheet4!$2:$1605,MATCH(ChiTietKQKD[[#This Row],[Mã CP]],Sheet4!$B$2:$B$1605,0),_xlfn.XMATCH("*Tăng trưởng lợi nhuận sau thuế (YoY) (Quý*",Sheet4!$1:$1,2)),"")</f>
        <v>-8.0100000000000005E-2</v>
      </c>
      <c r="P1483" s="10" cm="1">
        <f t="array" ref="P1483">IFERROR(INDEX(Sheet4!$2:$1605,MATCH(ChiTietKQKD[[#This Row],[Mã CP]],Sheet4!$B$2:$B$1605,0),_xlfn.XMATCH("*Tăng trưởng lợi nhuận sau thuế (YoY) (6M)*",Sheet4!$1:$1,2)),"")</f>
        <v>0</v>
      </c>
      <c r="Q1483" s="10" cm="1">
        <f t="array" ref="Q1483">IFERROR(INDEX(Sheet4!$2:$1605,MATCH(ChiTietKQKD[[#This Row],[Mã CP]],Sheet4!$B$2:$B$1605,0),_xlfn.XMATCH("*Tăng trưởng doanh thu thuần (QoQ)*",Sheet4!$1:$1,2)),"")</f>
        <v>0.60819999999999996</v>
      </c>
      <c r="R1483" s="10" cm="1">
        <f t="array" ref="R1483">IFERROR(INDEX(Sheet4!$2:$1605,MATCH(ChiTietKQKD[[#This Row],[Mã CP]],Sheet4!$B$2:$B$1605,0),_xlfn.XMATCH("*Tăng trưởng lợi nhuận sau thuế (QoQ)*",Sheet4!$1:$1,2)),"")</f>
        <v>-0.1724</v>
      </c>
    </row>
    <row r="1484" spans="1:18" x14ac:dyDescent="0.25">
      <c r="A1484" s="7">
        <f>Sheet4!A1463</f>
        <v>1462</v>
      </c>
      <c r="B1484" t="str">
        <f>Sheet4!B1463</f>
        <v>TTD</v>
      </c>
      <c r="C1484" t="str">
        <f>Sheet4!C1462</f>
        <v>Tập đoàn Tiến Bộ</v>
      </c>
      <c r="D1484" t="str">
        <f>Sheet4!D1463</f>
        <v>UPCoM</v>
      </c>
      <c r="E1484" s="7">
        <f>Sheet4!AH1463/1000000000</f>
        <v>3753.2574719999998</v>
      </c>
      <c r="F1484" t="str">
        <f>Sheet4!E1463</f>
        <v>Dược phẩm và Y tế</v>
      </c>
      <c r="G1484" t="str">
        <f>Sheet4!F1463</f>
        <v>Y tế</v>
      </c>
      <c r="H1484" t="str">
        <f>Sheet4!G1463</f>
        <v>Chăm sóc y tế</v>
      </c>
      <c r="I1484" s="9" cm="1">
        <f t="array" ref="I148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207.58488420800001</v>
      </c>
      <c r="J1484" s="9" cm="1">
        <f t="array" ref="J148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399.31919360199998</v>
      </c>
      <c r="K1484" s="10" cm="1">
        <f t="array" ref="K148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-5.7599999999999998E-2</v>
      </c>
      <c r="L1484" s="10" cm="1">
        <f t="array" ref="L148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84" s="9" cm="1">
        <f t="array" ref="M1484">_xlfn.LET(_xlpm.val,IFERROR(INDEX(Sheet4!$2:$1605,MATCH(ChiTietKQKD[[#This Row],[Mã CP]],Sheet4!$B$2:$B$1605,0),_xlfn.XMATCH("*Lợi nhuận sau thuế*Q2*2026*",Sheet4!$1:$1,2)),0),IF(OR(_xlpm.val="",_xlpm.val=0),"",_xlpm.val/1000000000))</f>
        <v>21.37217802</v>
      </c>
      <c r="N1484" s="9" cm="1">
        <f t="array" ref="N1484">_xlfn.LET(_xlpm.val,IFERROR(INDEX(Sheet4!$2:$1605,MATCH(ChiTietKQKD[[#This Row],[Mã CP]],Sheet4!$B$2:$B$1605,0),_xlfn.XMATCH("*Lợi nhuận sau thuế*6 tháng*2026*",Sheet4!$1:$1,2)),0),IF(OR(_xlpm.val="",_xlpm.val=0),"",_xlpm.val/1000000000))</f>
        <v>34.745924455999997</v>
      </c>
      <c r="O1484" s="10" cm="1">
        <f t="array" ref="O1484">IFERROR(INDEX(Sheet4!$2:$1605,MATCH(ChiTietKQKD[[#This Row],[Mã CP]],Sheet4!$B$2:$B$1605,0),_xlfn.XMATCH("*Tăng trưởng lợi nhuận sau thuế (YoY) (Quý*",Sheet4!$1:$1,2)),"")</f>
        <v>-0.25580000000000003</v>
      </c>
      <c r="P1484" s="10" cm="1">
        <f t="array" ref="P1484">IFERROR(INDEX(Sheet4!$2:$1605,MATCH(ChiTietKQKD[[#This Row],[Mã CP]],Sheet4!$B$2:$B$1605,0),_xlfn.XMATCH("*Tăng trưởng lợi nhuận sau thuế (YoY) (6M)*",Sheet4!$1:$1,2)),"")</f>
        <v>0</v>
      </c>
      <c r="Q1484" s="10" cm="1">
        <f t="array" ref="Q1484">IFERROR(INDEX(Sheet4!$2:$1605,MATCH(ChiTietKQKD[[#This Row],[Mã CP]],Sheet4!$B$2:$B$1605,0),_xlfn.XMATCH("*Tăng trưởng doanh thu thuần (QoQ)*",Sheet4!$1:$1,2)),"")</f>
        <v>8.2699999999999996E-2</v>
      </c>
      <c r="R1484" s="10" cm="1">
        <f t="array" ref="R1484">IFERROR(INDEX(Sheet4!$2:$1605,MATCH(ChiTietKQKD[[#This Row],[Mã CP]],Sheet4!$B$2:$B$1605,0),_xlfn.XMATCH("*Tăng trưởng lợi nhuận sau thuế (QoQ)*",Sheet4!$1:$1,2)),"")</f>
        <v>0.59809999999999997</v>
      </c>
    </row>
    <row r="1485" spans="1:18" x14ac:dyDescent="0.25">
      <c r="A1485" s="7">
        <f>Sheet4!A1464</f>
        <v>1463</v>
      </c>
      <c r="B1485" t="str">
        <f>Sheet4!B1464</f>
        <v>TTG</v>
      </c>
      <c r="C1485" t="str">
        <f>Sheet4!C1463</f>
        <v>Bệnh viện Tim Tâm Đức</v>
      </c>
      <c r="D1485" t="str">
        <f>Sheet4!D1464</f>
        <v>UPCoM</v>
      </c>
      <c r="E1485" s="7">
        <f>Sheet4!AH1464/1000000000</f>
        <v>43.52</v>
      </c>
      <c r="F1485" t="str">
        <f>Sheet4!E1464</f>
        <v>Hàng Tiêu dùng</v>
      </c>
      <c r="G1485" t="str">
        <f>Sheet4!F1464</f>
        <v>Hàng cá nhân &amp; Gia dụng</v>
      </c>
      <c r="H1485" t="str">
        <f>Sheet4!G1464</f>
        <v>Hàng May mặc</v>
      </c>
      <c r="I1485" s="9" t="str" cm="1">
        <f t="array" ref="I148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85" s="9" t="str" cm="1">
        <f t="array" ref="J148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85" s="10" cm="1">
        <f t="array" ref="K148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85" s="10" cm="1">
        <f t="array" ref="L148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85" s="9" t="str" cm="1">
        <f t="array" ref="M148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85" s="9" t="str" cm="1">
        <f t="array" ref="N148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85" s="10" cm="1">
        <f t="array" ref="O1485">IFERROR(INDEX(Sheet4!$2:$1605,MATCH(ChiTietKQKD[[#This Row],[Mã CP]],Sheet4!$B$2:$B$1605,0),_xlfn.XMATCH("*Tăng trưởng lợi nhuận sau thuế (YoY) (Quý*",Sheet4!$1:$1,2)),"")</f>
        <v>0</v>
      </c>
      <c r="P1485" s="10" cm="1">
        <f t="array" ref="P1485">IFERROR(INDEX(Sheet4!$2:$1605,MATCH(ChiTietKQKD[[#This Row],[Mã CP]],Sheet4!$B$2:$B$1605,0),_xlfn.XMATCH("*Tăng trưởng lợi nhuận sau thuế (YoY) (6M)*",Sheet4!$1:$1,2)),"")</f>
        <v>0</v>
      </c>
      <c r="Q1485" s="10" cm="1">
        <f t="array" ref="Q1485">IFERROR(INDEX(Sheet4!$2:$1605,MATCH(ChiTietKQKD[[#This Row],[Mã CP]],Sheet4!$B$2:$B$1605,0),_xlfn.XMATCH("*Tăng trưởng doanh thu thuần (QoQ)*",Sheet4!$1:$1,2)),"")</f>
        <v>0</v>
      </c>
      <c r="R1485" s="10" cm="1">
        <f t="array" ref="R1485">IFERROR(INDEX(Sheet4!$2:$1605,MATCH(ChiTietKQKD[[#This Row],[Mã CP]],Sheet4!$B$2:$B$1605,0),_xlfn.XMATCH("*Tăng trưởng lợi nhuận sau thuế (QoQ)*",Sheet4!$1:$1,2)),"")</f>
        <v>0</v>
      </c>
    </row>
    <row r="1486" spans="1:18" x14ac:dyDescent="0.25">
      <c r="A1486" s="7">
        <f>Sheet4!A1465</f>
        <v>1464</v>
      </c>
      <c r="B1486" t="str">
        <f>Sheet4!B1465</f>
        <v>TTN</v>
      </c>
      <c r="C1486" t="str">
        <f>Sheet4!C1464</f>
        <v>Royal Healthtech TTG</v>
      </c>
      <c r="D1486" t="str">
        <f>Sheet4!D1465</f>
        <v>UPCoM</v>
      </c>
      <c r="E1486" s="7">
        <f>Sheet4!AH1465/1000000000</f>
        <v>441.50127750000001</v>
      </c>
      <c r="F1486" t="str">
        <f>Sheet4!E1465</f>
        <v>Viễn thông</v>
      </c>
      <c r="G1486" t="str">
        <f>Sheet4!F1465</f>
        <v>Viễn thông</v>
      </c>
      <c r="H1486" t="str">
        <f>Sheet4!G1465</f>
        <v>Viễn thông cố định</v>
      </c>
      <c r="I1486" s="9" t="str" cm="1">
        <f t="array" ref="I148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86" s="9" t="str" cm="1">
        <f t="array" ref="J148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86" s="10" cm="1">
        <f t="array" ref="K148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86" s="10" cm="1">
        <f t="array" ref="L148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86" s="9" t="str" cm="1">
        <f t="array" ref="M148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86" s="9" t="str" cm="1">
        <f t="array" ref="N148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86" s="10" cm="1">
        <f t="array" ref="O1486">IFERROR(INDEX(Sheet4!$2:$1605,MATCH(ChiTietKQKD[[#This Row],[Mã CP]],Sheet4!$B$2:$B$1605,0),_xlfn.XMATCH("*Tăng trưởng lợi nhuận sau thuế (YoY) (Quý*",Sheet4!$1:$1,2)),"")</f>
        <v>0</v>
      </c>
      <c r="P1486" s="10" cm="1">
        <f t="array" ref="P1486">IFERROR(INDEX(Sheet4!$2:$1605,MATCH(ChiTietKQKD[[#This Row],[Mã CP]],Sheet4!$B$2:$B$1605,0),_xlfn.XMATCH("*Tăng trưởng lợi nhuận sau thuế (YoY) (6M)*",Sheet4!$1:$1,2)),"")</f>
        <v>0</v>
      </c>
      <c r="Q1486" s="10" cm="1">
        <f t="array" ref="Q1486">IFERROR(INDEX(Sheet4!$2:$1605,MATCH(ChiTietKQKD[[#This Row],[Mã CP]],Sheet4!$B$2:$B$1605,0),_xlfn.XMATCH("*Tăng trưởng doanh thu thuần (QoQ)*",Sheet4!$1:$1,2)),"")</f>
        <v>0</v>
      </c>
      <c r="R1486" s="10" cm="1">
        <f t="array" ref="R1486">IFERROR(INDEX(Sheet4!$2:$1605,MATCH(ChiTietKQKD[[#This Row],[Mã CP]],Sheet4!$B$2:$B$1605,0),_xlfn.XMATCH("*Tăng trưởng lợi nhuận sau thuế (QoQ)*",Sheet4!$1:$1,2)),"")</f>
        <v>0</v>
      </c>
    </row>
    <row r="1487" spans="1:18" x14ac:dyDescent="0.25">
      <c r="A1487" s="7">
        <f>Sheet4!A1466</f>
        <v>1465</v>
      </c>
      <c r="B1487" t="str">
        <f>Sheet4!B1466</f>
        <v>TTS</v>
      </c>
      <c r="C1487" t="str">
        <f>Sheet4!C1465</f>
        <v>Công nghệ và Truyền thông VN</v>
      </c>
      <c r="D1487" t="str">
        <f>Sheet4!D1466</f>
        <v>UPCoM</v>
      </c>
      <c r="E1487" s="7">
        <f>Sheet4!AH1466/1000000000</f>
        <v>345.44</v>
      </c>
      <c r="F1487" t="str">
        <f>Sheet4!E1466</f>
        <v>Nguyên vật liệu</v>
      </c>
      <c r="G1487" t="str">
        <f>Sheet4!F1466</f>
        <v>Tài nguyên Cơ bản</v>
      </c>
      <c r="H1487" t="str">
        <f>Sheet4!G1466</f>
        <v>Thép và sản phẩm thép</v>
      </c>
      <c r="I1487" s="9" cm="1">
        <f t="array" ref="I148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1603.20523658</v>
      </c>
      <c r="J1487" s="9" cm="1">
        <f t="array" ref="J148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3139.39840508</v>
      </c>
      <c r="K1487" s="10" cm="1">
        <f t="array" ref="K148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1.37E-2</v>
      </c>
      <c r="L1487" s="10" cm="1">
        <f t="array" ref="L148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3.7000000000000002E-3</v>
      </c>
      <c r="M1487" s="9" cm="1">
        <f t="array" ref="M1487">_xlfn.LET(_xlpm.val,IFERROR(INDEX(Sheet4!$2:$1605,MATCH(ChiTietKQKD[[#This Row],[Mã CP]],Sheet4!$B$2:$B$1605,0),_xlfn.XMATCH("*Lợi nhuận sau thuế*Q2*2026*",Sheet4!$1:$1,2)),0),IF(OR(_xlpm.val="",_xlpm.val=0),"",_xlpm.val/1000000000))</f>
        <v>-0.92859001399999996</v>
      </c>
      <c r="N1487" s="9" cm="1">
        <f t="array" ref="N1487">_xlfn.LET(_xlpm.val,IFERROR(INDEX(Sheet4!$2:$1605,MATCH(ChiTietKQKD[[#This Row],[Mã CP]],Sheet4!$B$2:$B$1605,0),_xlfn.XMATCH("*Lợi nhuận sau thuế*6 tháng*2026*",Sheet4!$1:$1,2)),0),IF(OR(_xlpm.val="",_xlpm.val=0),"",_xlpm.val/1000000000))</f>
        <v>-2.7754791390000002</v>
      </c>
      <c r="O1487" s="10" cm="1">
        <f t="array" ref="O1487">IFERROR(INDEX(Sheet4!$2:$1605,MATCH(ChiTietKQKD[[#This Row],[Mã CP]],Sheet4!$B$2:$B$1605,0),_xlfn.XMATCH("*Tăng trưởng lợi nhuận sau thuế (YoY) (Quý*",Sheet4!$1:$1,2)),"")</f>
        <v>-1.869</v>
      </c>
      <c r="P1487" s="10" cm="1">
        <f t="array" ref="P1487">IFERROR(INDEX(Sheet4!$2:$1605,MATCH(ChiTietKQKD[[#This Row],[Mã CP]],Sheet4!$B$2:$B$1605,0),_xlfn.XMATCH("*Tăng trưởng lợi nhuận sau thuế (YoY) (6M)*",Sheet4!$1:$1,2)),"")</f>
        <v>-2.6951000000000001</v>
      </c>
      <c r="Q1487" s="10" cm="1">
        <f t="array" ref="Q1487">IFERROR(INDEX(Sheet4!$2:$1605,MATCH(ChiTietKQKD[[#This Row],[Mã CP]],Sheet4!$B$2:$B$1605,0),_xlfn.XMATCH("*Tăng trưởng doanh thu thuần (QoQ)*",Sheet4!$1:$1,2)),"")</f>
        <v>4.36E-2</v>
      </c>
      <c r="R1487" s="10" cm="1">
        <f t="array" ref="R1487">IFERROR(INDEX(Sheet4!$2:$1605,MATCH(ChiTietKQKD[[#This Row],[Mã CP]],Sheet4!$B$2:$B$1605,0),_xlfn.XMATCH("*Tăng trưởng lợi nhuận sau thuế (QoQ)*",Sheet4!$1:$1,2)),"")</f>
        <v>0.49719999999999998</v>
      </c>
    </row>
    <row r="1488" spans="1:18" x14ac:dyDescent="0.25">
      <c r="A1488" s="7">
        <f>Sheet4!A1467</f>
        <v>1466</v>
      </c>
      <c r="B1488" t="str">
        <f>Sheet4!B1467</f>
        <v>TTZ</v>
      </c>
      <c r="C1488" t="str">
        <f>Sheet4!C1466</f>
        <v>Cán thép Thái Trung</v>
      </c>
      <c r="D1488" t="str">
        <f>Sheet4!D1467</f>
        <v>UPCoM</v>
      </c>
      <c r="E1488" s="7">
        <f>Sheet4!AH1467/1000000000</f>
        <v>13.626799200000001</v>
      </c>
      <c r="F1488" t="str">
        <f>Sheet4!E1467</f>
        <v>Công nghiệp</v>
      </c>
      <c r="G1488" t="str">
        <f>Sheet4!F1467</f>
        <v>Xây dựng và Vật liệu</v>
      </c>
      <c r="H1488" t="str">
        <f>Sheet4!G1467</f>
        <v>Vật liệu xây dựng &amp; Nội thất</v>
      </c>
      <c r="I1488" s="9" t="str" cm="1">
        <f t="array" ref="I148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88" s="9" t="str" cm="1">
        <f t="array" ref="J148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88" s="10" cm="1">
        <f t="array" ref="K148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88" s="10" cm="1">
        <f t="array" ref="L148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88" s="9" t="str" cm="1">
        <f t="array" ref="M148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88" s="9" t="str" cm="1">
        <f t="array" ref="N148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88" s="10" cm="1">
        <f t="array" ref="O1488">IFERROR(INDEX(Sheet4!$2:$1605,MATCH(ChiTietKQKD[[#This Row],[Mã CP]],Sheet4!$B$2:$B$1605,0),_xlfn.XMATCH("*Tăng trưởng lợi nhuận sau thuế (YoY) (Quý*",Sheet4!$1:$1,2)),"")</f>
        <v>0</v>
      </c>
      <c r="P1488" s="10" cm="1">
        <f t="array" ref="P1488">IFERROR(INDEX(Sheet4!$2:$1605,MATCH(ChiTietKQKD[[#This Row],[Mã CP]],Sheet4!$B$2:$B$1605,0),_xlfn.XMATCH("*Tăng trưởng lợi nhuận sau thuế (YoY) (6M)*",Sheet4!$1:$1,2)),"")</f>
        <v>0</v>
      </c>
      <c r="Q1488" s="10" cm="1">
        <f t="array" ref="Q1488">IFERROR(INDEX(Sheet4!$2:$1605,MATCH(ChiTietKQKD[[#This Row],[Mã CP]],Sheet4!$B$2:$B$1605,0),_xlfn.XMATCH("*Tăng trưởng doanh thu thuần (QoQ)*",Sheet4!$1:$1,2)),"")</f>
        <v>0</v>
      </c>
      <c r="R1488" s="10" cm="1">
        <f t="array" ref="R1488">IFERROR(INDEX(Sheet4!$2:$1605,MATCH(ChiTietKQKD[[#This Row],[Mã CP]],Sheet4!$B$2:$B$1605,0),_xlfn.XMATCH("*Tăng trưởng lợi nhuận sau thuế (QoQ)*",Sheet4!$1:$1,2)),"")</f>
        <v>0</v>
      </c>
    </row>
    <row r="1489" spans="1:18" x14ac:dyDescent="0.25">
      <c r="A1489" s="7">
        <f>Sheet4!A1468</f>
        <v>1467</v>
      </c>
      <c r="B1489" t="str">
        <f>Sheet4!B1468</f>
        <v>TUG</v>
      </c>
      <c r="C1489" t="str">
        <f>Sheet4!C1467</f>
        <v>Xây dựng Tiến Trung</v>
      </c>
      <c r="D1489" t="str">
        <f>Sheet4!D1468</f>
        <v>UPCoM</v>
      </c>
      <c r="E1489" s="7">
        <f>Sheet4!AH1468/1000000000</f>
        <v>108.57659580000001</v>
      </c>
      <c r="F1489" t="str">
        <f>Sheet4!E1468</f>
        <v>Công nghiệp</v>
      </c>
      <c r="G1489" t="str">
        <f>Sheet4!F1468</f>
        <v>Hàng &amp; Dịch vụ Công nghiệp</v>
      </c>
      <c r="H1489" t="str">
        <f>Sheet4!G1468</f>
        <v>Kho bãi, hậu cần và bảo dưỡng</v>
      </c>
      <c r="I1489" s="9" t="str" cm="1">
        <f t="array" ref="I148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89" s="9" t="str" cm="1">
        <f t="array" ref="J148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89" s="10" cm="1">
        <f t="array" ref="K148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89" s="10" cm="1">
        <f t="array" ref="L148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89" s="9" t="str" cm="1">
        <f t="array" ref="M148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89" s="9" t="str" cm="1">
        <f t="array" ref="N148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89" s="10" cm="1">
        <f t="array" ref="O1489">IFERROR(INDEX(Sheet4!$2:$1605,MATCH(ChiTietKQKD[[#This Row],[Mã CP]],Sheet4!$B$2:$B$1605,0),_xlfn.XMATCH("*Tăng trưởng lợi nhuận sau thuế (YoY) (Quý*",Sheet4!$1:$1,2)),"")</f>
        <v>0</v>
      </c>
      <c r="P1489" s="10" cm="1">
        <f t="array" ref="P1489">IFERROR(INDEX(Sheet4!$2:$1605,MATCH(ChiTietKQKD[[#This Row],[Mã CP]],Sheet4!$B$2:$B$1605,0),_xlfn.XMATCH("*Tăng trưởng lợi nhuận sau thuế (YoY) (6M)*",Sheet4!$1:$1,2)),"")</f>
        <v>0</v>
      </c>
      <c r="Q1489" s="10" cm="1">
        <f t="array" ref="Q1489">IFERROR(INDEX(Sheet4!$2:$1605,MATCH(ChiTietKQKD[[#This Row],[Mã CP]],Sheet4!$B$2:$B$1605,0),_xlfn.XMATCH("*Tăng trưởng doanh thu thuần (QoQ)*",Sheet4!$1:$1,2)),"")</f>
        <v>0</v>
      </c>
      <c r="R1489" s="10" cm="1">
        <f t="array" ref="R1489">IFERROR(INDEX(Sheet4!$2:$1605,MATCH(ChiTietKQKD[[#This Row],[Mã CP]],Sheet4!$B$2:$B$1605,0),_xlfn.XMATCH("*Tăng trưởng lợi nhuận sau thuế (QoQ)*",Sheet4!$1:$1,2)),"")</f>
        <v>0</v>
      </c>
    </row>
    <row r="1490" spans="1:18" x14ac:dyDescent="0.25">
      <c r="A1490" s="7">
        <f>Sheet4!A1469</f>
        <v>1468</v>
      </c>
      <c r="B1490" t="str">
        <f>Sheet4!B1469</f>
        <v>TV1</v>
      </c>
      <c r="C1490" t="str">
        <f>Sheet4!C1468</f>
        <v>Lai dắt và VT cảng Hải Phòng</v>
      </c>
      <c r="D1490" t="str">
        <f>Sheet4!D1469</f>
        <v>UPCoM</v>
      </c>
      <c r="E1490" s="7">
        <f>Sheet4!AH1469/1000000000</f>
        <v>530.67680435800003</v>
      </c>
      <c r="F1490" t="str">
        <f>Sheet4!E1469</f>
        <v>Công nghiệp</v>
      </c>
      <c r="G1490" t="str">
        <f>Sheet4!F1469</f>
        <v>Hàng &amp; Dịch vụ Công nghiệp</v>
      </c>
      <c r="H1490" t="str">
        <f>Sheet4!G1469</f>
        <v>Tư vấn &amp; Hỗ trợ KD</v>
      </c>
      <c r="I1490" s="9" t="str" cm="1">
        <f t="array" ref="I149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90" s="9" t="str" cm="1">
        <f t="array" ref="J149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90" s="10" cm="1">
        <f t="array" ref="K149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90" s="10" cm="1">
        <f t="array" ref="L149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90" s="9" t="str" cm="1">
        <f t="array" ref="M149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90" s="9" t="str" cm="1">
        <f t="array" ref="N149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90" s="10" cm="1">
        <f t="array" ref="O1490">IFERROR(INDEX(Sheet4!$2:$1605,MATCH(ChiTietKQKD[[#This Row],[Mã CP]],Sheet4!$B$2:$B$1605,0),_xlfn.XMATCH("*Tăng trưởng lợi nhuận sau thuế (YoY) (Quý*",Sheet4!$1:$1,2)),"")</f>
        <v>0</v>
      </c>
      <c r="P1490" s="10" cm="1">
        <f t="array" ref="P1490">IFERROR(INDEX(Sheet4!$2:$1605,MATCH(ChiTietKQKD[[#This Row],[Mã CP]],Sheet4!$B$2:$B$1605,0),_xlfn.XMATCH("*Tăng trưởng lợi nhuận sau thuế (YoY) (6M)*",Sheet4!$1:$1,2)),"")</f>
        <v>0</v>
      </c>
      <c r="Q1490" s="10" cm="1">
        <f t="array" ref="Q1490">IFERROR(INDEX(Sheet4!$2:$1605,MATCH(ChiTietKQKD[[#This Row],[Mã CP]],Sheet4!$B$2:$B$1605,0),_xlfn.XMATCH("*Tăng trưởng doanh thu thuần (QoQ)*",Sheet4!$1:$1,2)),"")</f>
        <v>0</v>
      </c>
      <c r="R1490" s="10" cm="1">
        <f t="array" ref="R1490">IFERROR(INDEX(Sheet4!$2:$1605,MATCH(ChiTietKQKD[[#This Row],[Mã CP]],Sheet4!$B$2:$B$1605,0),_xlfn.XMATCH("*Tăng trưởng lợi nhuận sau thuế (QoQ)*",Sheet4!$1:$1,2)),"")</f>
        <v>0</v>
      </c>
    </row>
    <row r="1491" spans="1:18" x14ac:dyDescent="0.25">
      <c r="A1491" s="7">
        <f>Sheet4!A1470</f>
        <v>1469</v>
      </c>
      <c r="B1491" t="str">
        <f>Sheet4!B1470</f>
        <v>TV6</v>
      </c>
      <c r="C1491" t="str">
        <f>Sheet4!C1469</f>
        <v>Tư vấn XD Điện 1</v>
      </c>
      <c r="D1491" t="str">
        <f>Sheet4!D1470</f>
        <v>UPCoM</v>
      </c>
      <c r="E1491" s="7">
        <f>Sheet4!AH1470/1000000000</f>
        <v>27.3</v>
      </c>
      <c r="F1491" t="str">
        <f>Sheet4!E1470</f>
        <v>Tài chính</v>
      </c>
      <c r="G1491" t="str">
        <f>Sheet4!F1470</f>
        <v>Bất động sản</v>
      </c>
      <c r="H1491" t="str">
        <f>Sheet4!G1470</f>
        <v>Tư Vấn, Định giá, Môi giới Bất động sản</v>
      </c>
      <c r="I1491" s="9" t="str" cm="1">
        <f t="array" ref="I149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91" s="9" t="str" cm="1">
        <f t="array" ref="J149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91" s="10" cm="1">
        <f t="array" ref="K149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91" s="10" cm="1">
        <f t="array" ref="L149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91" s="9" t="str" cm="1">
        <f t="array" ref="M149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91" s="9" t="str" cm="1">
        <f t="array" ref="N149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91" s="10" cm="1">
        <f t="array" ref="O1491">IFERROR(INDEX(Sheet4!$2:$1605,MATCH(ChiTietKQKD[[#This Row],[Mã CP]],Sheet4!$B$2:$B$1605,0),_xlfn.XMATCH("*Tăng trưởng lợi nhuận sau thuế (YoY) (Quý*",Sheet4!$1:$1,2)),"")</f>
        <v>0</v>
      </c>
      <c r="P1491" s="10" cm="1">
        <f t="array" ref="P1491">IFERROR(INDEX(Sheet4!$2:$1605,MATCH(ChiTietKQKD[[#This Row],[Mã CP]],Sheet4!$B$2:$B$1605,0),_xlfn.XMATCH("*Tăng trưởng lợi nhuận sau thuế (YoY) (6M)*",Sheet4!$1:$1,2)),"")</f>
        <v>0</v>
      </c>
      <c r="Q1491" s="10" cm="1">
        <f t="array" ref="Q1491">IFERROR(INDEX(Sheet4!$2:$1605,MATCH(ChiTietKQKD[[#This Row],[Mã CP]],Sheet4!$B$2:$B$1605,0),_xlfn.XMATCH("*Tăng trưởng doanh thu thuần (QoQ)*",Sheet4!$1:$1,2)),"")</f>
        <v>0</v>
      </c>
      <c r="R1491" s="10" cm="1">
        <f t="array" ref="R1491">IFERROR(INDEX(Sheet4!$2:$1605,MATCH(ChiTietKQKD[[#This Row],[Mã CP]],Sheet4!$B$2:$B$1605,0),_xlfn.XMATCH("*Tăng trưởng lợi nhuận sau thuế (QoQ)*",Sheet4!$1:$1,2)),"")</f>
        <v>0</v>
      </c>
    </row>
    <row r="1492" spans="1:18" x14ac:dyDescent="0.25">
      <c r="A1492" s="7">
        <f>Sheet4!A1471</f>
        <v>1470</v>
      </c>
      <c r="B1492" t="str">
        <f>Sheet4!B1471</f>
        <v>TVA</v>
      </c>
      <c r="C1492" t="str">
        <f>Sheet4!C1470</f>
        <v>Tập đoàn EMA LAND</v>
      </c>
      <c r="D1492" t="str">
        <f>Sheet4!D1471</f>
        <v>UPCoM</v>
      </c>
      <c r="E1492" s="7">
        <f>Sheet4!AH1471/1000000000</f>
        <v>88.2</v>
      </c>
      <c r="F1492" t="str">
        <f>Sheet4!E1471</f>
        <v>Công nghiệp</v>
      </c>
      <c r="G1492" t="str">
        <f>Sheet4!F1471</f>
        <v>Xây dựng và Vật liệu</v>
      </c>
      <c r="H1492" t="str">
        <f>Sheet4!G1471</f>
        <v>Vật liệu xây dựng &amp; Nội thất</v>
      </c>
      <c r="I1492" s="9" t="str" cm="1">
        <f t="array" ref="I149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92" s="9" t="str" cm="1">
        <f t="array" ref="J149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92" s="10" cm="1">
        <f t="array" ref="K149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92" s="10" cm="1">
        <f t="array" ref="L149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92" s="9" t="str" cm="1">
        <f t="array" ref="M149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92" s="9" t="str" cm="1">
        <f t="array" ref="N149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92" s="10" cm="1">
        <f t="array" ref="O1492">IFERROR(INDEX(Sheet4!$2:$1605,MATCH(ChiTietKQKD[[#This Row],[Mã CP]],Sheet4!$B$2:$B$1605,0),_xlfn.XMATCH("*Tăng trưởng lợi nhuận sau thuế (YoY) (Quý*",Sheet4!$1:$1,2)),"")</f>
        <v>0</v>
      </c>
      <c r="P1492" s="10" cm="1">
        <f t="array" ref="P1492">IFERROR(INDEX(Sheet4!$2:$1605,MATCH(ChiTietKQKD[[#This Row],[Mã CP]],Sheet4!$B$2:$B$1605,0),_xlfn.XMATCH("*Tăng trưởng lợi nhuận sau thuế (YoY) (6M)*",Sheet4!$1:$1,2)),"")</f>
        <v>0</v>
      </c>
      <c r="Q1492" s="10" cm="1">
        <f t="array" ref="Q1492">IFERROR(INDEX(Sheet4!$2:$1605,MATCH(ChiTietKQKD[[#This Row],[Mã CP]],Sheet4!$B$2:$B$1605,0),_xlfn.XMATCH("*Tăng trưởng doanh thu thuần (QoQ)*",Sheet4!$1:$1,2)),"")</f>
        <v>0</v>
      </c>
      <c r="R1492" s="10" cm="1">
        <f t="array" ref="R1492">IFERROR(INDEX(Sheet4!$2:$1605,MATCH(ChiTietKQKD[[#This Row],[Mã CP]],Sheet4!$B$2:$B$1605,0),_xlfn.XMATCH("*Tăng trưởng lợi nhuận sau thuế (QoQ)*",Sheet4!$1:$1,2)),"")</f>
        <v>0</v>
      </c>
    </row>
    <row r="1493" spans="1:18" x14ac:dyDescent="0.25">
      <c r="A1493" s="7">
        <f>Sheet4!A1472</f>
        <v>1471</v>
      </c>
      <c r="B1493" t="str">
        <f>Sheet4!B1472</f>
        <v>TVG</v>
      </c>
      <c r="C1493" t="str">
        <f>Sheet4!C1471</f>
        <v>Sứ Viglacera Thanh Trì</v>
      </c>
      <c r="D1493" t="str">
        <f>Sheet4!D1472</f>
        <v>UPCoM</v>
      </c>
      <c r="E1493" s="7">
        <f>Sheet4!AH1472/1000000000</f>
        <v>32.473424000000001</v>
      </c>
      <c r="F1493" t="str">
        <f>Sheet4!E1472</f>
        <v>Công nghiệp</v>
      </c>
      <c r="G1493" t="str">
        <f>Sheet4!F1472</f>
        <v>Xây dựng và Vật liệu</v>
      </c>
      <c r="H1493" t="str">
        <f>Sheet4!G1472</f>
        <v>Xây dựng</v>
      </c>
      <c r="I1493" s="9" t="str" cm="1">
        <f t="array" ref="I149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93" s="9" t="str" cm="1">
        <f t="array" ref="J149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93" s="10" cm="1">
        <f t="array" ref="K149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93" s="10" cm="1">
        <f t="array" ref="L149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93" s="9" t="str" cm="1">
        <f t="array" ref="M149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93" s="9" t="str" cm="1">
        <f t="array" ref="N149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93" s="10" cm="1">
        <f t="array" ref="O1493">IFERROR(INDEX(Sheet4!$2:$1605,MATCH(ChiTietKQKD[[#This Row],[Mã CP]],Sheet4!$B$2:$B$1605,0),_xlfn.XMATCH("*Tăng trưởng lợi nhuận sau thuế (YoY) (Quý*",Sheet4!$1:$1,2)),"")</f>
        <v>0</v>
      </c>
      <c r="P1493" s="10" cm="1">
        <f t="array" ref="P1493">IFERROR(INDEX(Sheet4!$2:$1605,MATCH(ChiTietKQKD[[#This Row],[Mã CP]],Sheet4!$B$2:$B$1605,0),_xlfn.XMATCH("*Tăng trưởng lợi nhuận sau thuế (YoY) (6M)*",Sheet4!$1:$1,2)),"")</f>
        <v>0</v>
      </c>
      <c r="Q1493" s="10" cm="1">
        <f t="array" ref="Q1493">IFERROR(INDEX(Sheet4!$2:$1605,MATCH(ChiTietKQKD[[#This Row],[Mã CP]],Sheet4!$B$2:$B$1605,0),_xlfn.XMATCH("*Tăng trưởng doanh thu thuần (QoQ)*",Sheet4!$1:$1,2)),"")</f>
        <v>0</v>
      </c>
      <c r="R1493" s="10" cm="1">
        <f t="array" ref="R1493">IFERROR(INDEX(Sheet4!$2:$1605,MATCH(ChiTietKQKD[[#This Row],[Mã CP]],Sheet4!$B$2:$B$1605,0),_xlfn.XMATCH("*Tăng trưởng lợi nhuận sau thuế (QoQ)*",Sheet4!$1:$1,2)),"")</f>
        <v>0</v>
      </c>
    </row>
    <row r="1494" spans="1:18" x14ac:dyDescent="0.25">
      <c r="A1494" s="7">
        <f>Sheet4!A1473</f>
        <v>1472</v>
      </c>
      <c r="B1494" t="str">
        <f>Sheet4!B1473</f>
        <v>TVH</v>
      </c>
      <c r="C1494" t="str">
        <f>Sheet4!C1472</f>
        <v>XD Giao thông Vận tải</v>
      </c>
      <c r="D1494" t="str">
        <f>Sheet4!D1473</f>
        <v>UPCoM</v>
      </c>
      <c r="E1494" s="7">
        <f>Sheet4!AH1473/1000000000</f>
        <v>398.39800000000002</v>
      </c>
      <c r="F1494" t="str">
        <f>Sheet4!E1473</f>
        <v>Công nghiệp</v>
      </c>
      <c r="G1494" t="str">
        <f>Sheet4!F1473</f>
        <v>Xây dựng và Vật liệu</v>
      </c>
      <c r="H1494" t="str">
        <f>Sheet4!G1473</f>
        <v>Xây dựng</v>
      </c>
      <c r="I1494" s="9" t="str" cm="1">
        <f t="array" ref="I149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94" s="9" t="str" cm="1">
        <f t="array" ref="J149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94" s="10" cm="1">
        <f t="array" ref="K149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94" s="10" cm="1">
        <f t="array" ref="L149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94" s="9" t="str" cm="1">
        <f t="array" ref="M149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94" s="9" t="str" cm="1">
        <f t="array" ref="N149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94" s="10" cm="1">
        <f t="array" ref="O1494">IFERROR(INDEX(Sheet4!$2:$1605,MATCH(ChiTietKQKD[[#This Row],[Mã CP]],Sheet4!$B$2:$B$1605,0),_xlfn.XMATCH("*Tăng trưởng lợi nhuận sau thuế (YoY) (Quý*",Sheet4!$1:$1,2)),"")</f>
        <v>0</v>
      </c>
      <c r="P1494" s="10" cm="1">
        <f t="array" ref="P1494">IFERROR(INDEX(Sheet4!$2:$1605,MATCH(ChiTietKQKD[[#This Row],[Mã CP]],Sheet4!$B$2:$B$1605,0),_xlfn.XMATCH("*Tăng trưởng lợi nhuận sau thuế (YoY) (6M)*",Sheet4!$1:$1,2)),"")</f>
        <v>0</v>
      </c>
      <c r="Q1494" s="10" cm="1">
        <f t="array" ref="Q1494">IFERROR(INDEX(Sheet4!$2:$1605,MATCH(ChiTietKQKD[[#This Row],[Mã CP]],Sheet4!$B$2:$B$1605,0),_xlfn.XMATCH("*Tăng trưởng doanh thu thuần (QoQ)*",Sheet4!$1:$1,2)),"")</f>
        <v>0</v>
      </c>
      <c r="R1494" s="10" cm="1">
        <f t="array" ref="R1494">IFERROR(INDEX(Sheet4!$2:$1605,MATCH(ChiTietKQKD[[#This Row],[Mã CP]],Sheet4!$B$2:$B$1605,0),_xlfn.XMATCH("*Tăng trưởng lợi nhuận sau thuế (QoQ)*",Sheet4!$1:$1,2)),"")</f>
        <v>0</v>
      </c>
    </row>
    <row r="1495" spans="1:18" x14ac:dyDescent="0.25">
      <c r="A1495" s="7">
        <f>Sheet4!A1474</f>
        <v>1473</v>
      </c>
      <c r="B1495" t="str">
        <f>Sheet4!B1474</f>
        <v>TVM</v>
      </c>
      <c r="C1495" t="str">
        <f>Sheet4!C1473</f>
        <v>Tư vấn XD công trình Hàng hải</v>
      </c>
      <c r="D1495" t="str">
        <f>Sheet4!D1474</f>
        <v>UPCoM</v>
      </c>
      <c r="E1495" s="7">
        <f>Sheet4!AH1474/1000000000</f>
        <v>16.079999999999998</v>
      </c>
      <c r="F1495" t="str">
        <f>Sheet4!E1474</f>
        <v>Công nghiệp</v>
      </c>
      <c r="G1495" t="str">
        <f>Sheet4!F1474</f>
        <v>Hàng &amp; Dịch vụ Công nghiệp</v>
      </c>
      <c r="H1495" t="str">
        <f>Sheet4!G1474</f>
        <v>Tư vấn &amp; Hỗ trợ KD</v>
      </c>
      <c r="I1495" s="9" t="str" cm="1">
        <f t="array" ref="I149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95" s="9" t="str" cm="1">
        <f t="array" ref="J149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95" s="10" cm="1">
        <f t="array" ref="K149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95" s="10" cm="1">
        <f t="array" ref="L149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95" s="9" t="str" cm="1">
        <f t="array" ref="M149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95" s="9" t="str" cm="1">
        <f t="array" ref="N149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95" s="10" cm="1">
        <f t="array" ref="O1495">IFERROR(INDEX(Sheet4!$2:$1605,MATCH(ChiTietKQKD[[#This Row],[Mã CP]],Sheet4!$B$2:$B$1605,0),_xlfn.XMATCH("*Tăng trưởng lợi nhuận sau thuế (YoY) (Quý*",Sheet4!$1:$1,2)),"")</f>
        <v>0</v>
      </c>
      <c r="P1495" s="10" cm="1">
        <f t="array" ref="P1495">IFERROR(INDEX(Sheet4!$2:$1605,MATCH(ChiTietKQKD[[#This Row],[Mã CP]],Sheet4!$B$2:$B$1605,0),_xlfn.XMATCH("*Tăng trưởng lợi nhuận sau thuế (YoY) (6M)*",Sheet4!$1:$1,2)),"")</f>
        <v>0</v>
      </c>
      <c r="Q1495" s="10" cm="1">
        <f t="array" ref="Q1495">IFERROR(INDEX(Sheet4!$2:$1605,MATCH(ChiTietKQKD[[#This Row],[Mã CP]],Sheet4!$B$2:$B$1605,0),_xlfn.XMATCH("*Tăng trưởng doanh thu thuần (QoQ)*",Sheet4!$1:$1,2)),"")</f>
        <v>0</v>
      </c>
      <c r="R1495" s="10" cm="1">
        <f t="array" ref="R1495">IFERROR(INDEX(Sheet4!$2:$1605,MATCH(ChiTietKQKD[[#This Row],[Mã CP]],Sheet4!$B$2:$B$1605,0),_xlfn.XMATCH("*Tăng trưởng lợi nhuận sau thuế (QoQ)*",Sheet4!$1:$1,2)),"")</f>
        <v>0</v>
      </c>
    </row>
    <row r="1496" spans="1:18" x14ac:dyDescent="0.25">
      <c r="A1496" s="7">
        <f>Sheet4!A1475</f>
        <v>1474</v>
      </c>
      <c r="B1496" t="str">
        <f>Sheet4!B1475</f>
        <v>TVN</v>
      </c>
      <c r="C1496" t="str">
        <f>Sheet4!C1474</f>
        <v>Tư vấn đầu tư Mỏ</v>
      </c>
      <c r="D1496" t="str">
        <f>Sheet4!D1475</f>
        <v>UPCoM</v>
      </c>
      <c r="E1496" s="7">
        <f>Sheet4!AH1475/1000000000</f>
        <v>5855.8860000000004</v>
      </c>
      <c r="F1496" t="str">
        <f>Sheet4!E1475</f>
        <v>Nguyên vật liệu</v>
      </c>
      <c r="G1496" t="str">
        <f>Sheet4!F1475</f>
        <v>Tài nguyên Cơ bản</v>
      </c>
      <c r="H1496" t="str">
        <f>Sheet4!G1475</f>
        <v>Thép và sản phẩm thép</v>
      </c>
      <c r="I1496" s="9" t="str" cm="1">
        <f t="array" ref="I149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96" s="9" t="str" cm="1">
        <f t="array" ref="J149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96" s="10" cm="1">
        <f t="array" ref="K149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96" s="10" cm="1">
        <f t="array" ref="L149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96" s="9" t="str" cm="1">
        <f t="array" ref="M149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96" s="9" t="str" cm="1">
        <f t="array" ref="N149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96" s="10" cm="1">
        <f t="array" ref="O1496">IFERROR(INDEX(Sheet4!$2:$1605,MATCH(ChiTietKQKD[[#This Row],[Mã CP]],Sheet4!$B$2:$B$1605,0),_xlfn.XMATCH("*Tăng trưởng lợi nhuận sau thuế (YoY) (Quý*",Sheet4!$1:$1,2)),"")</f>
        <v>0</v>
      </c>
      <c r="P1496" s="10" cm="1">
        <f t="array" ref="P1496">IFERROR(INDEX(Sheet4!$2:$1605,MATCH(ChiTietKQKD[[#This Row],[Mã CP]],Sheet4!$B$2:$B$1605,0),_xlfn.XMATCH("*Tăng trưởng lợi nhuận sau thuế (YoY) (6M)*",Sheet4!$1:$1,2)),"")</f>
        <v>0</v>
      </c>
      <c r="Q1496" s="10" cm="1">
        <f t="array" ref="Q1496">IFERROR(INDEX(Sheet4!$2:$1605,MATCH(ChiTietKQKD[[#This Row],[Mã CP]],Sheet4!$B$2:$B$1605,0),_xlfn.XMATCH("*Tăng trưởng doanh thu thuần (QoQ)*",Sheet4!$1:$1,2)),"")</f>
        <v>0</v>
      </c>
      <c r="R1496" s="10" cm="1">
        <f t="array" ref="R1496">IFERROR(INDEX(Sheet4!$2:$1605,MATCH(ChiTietKQKD[[#This Row],[Mã CP]],Sheet4!$B$2:$B$1605,0),_xlfn.XMATCH("*Tăng trưởng lợi nhuận sau thuế (QoQ)*",Sheet4!$1:$1,2)),"")</f>
        <v>0</v>
      </c>
    </row>
    <row r="1497" spans="1:18" x14ac:dyDescent="0.25">
      <c r="A1497" s="7">
        <f>Sheet4!A1476</f>
        <v>1475</v>
      </c>
      <c r="B1497" t="str">
        <f>Sheet4!B1476</f>
        <v>TW3</v>
      </c>
      <c r="C1497" t="str">
        <f>Sheet4!C1475</f>
        <v>Thép Việt Nam</v>
      </c>
      <c r="D1497" t="str">
        <f>Sheet4!D1476</f>
        <v>UPCoM</v>
      </c>
      <c r="E1497" s="7">
        <f>Sheet4!AH1476/1000000000</f>
        <v>22.133800000000001</v>
      </c>
      <c r="F1497" t="str">
        <f>Sheet4!E1476</f>
        <v>Dược phẩm và Y tế</v>
      </c>
      <c r="G1497" t="str">
        <f>Sheet4!F1476</f>
        <v>Y tế</v>
      </c>
      <c r="H1497" t="str">
        <f>Sheet4!G1476</f>
        <v>Dược phẩm</v>
      </c>
      <c r="I1497" s="9" t="str" cm="1">
        <f t="array" ref="I149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97" s="9" t="str" cm="1">
        <f t="array" ref="J149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97" s="10" cm="1">
        <f t="array" ref="K149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97" s="10" cm="1">
        <f t="array" ref="L149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97" s="9" t="str" cm="1">
        <f t="array" ref="M149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97" s="9" t="str" cm="1">
        <f t="array" ref="N149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97" s="10" cm="1">
        <f t="array" ref="O1497">IFERROR(INDEX(Sheet4!$2:$1605,MATCH(ChiTietKQKD[[#This Row],[Mã CP]],Sheet4!$B$2:$B$1605,0),_xlfn.XMATCH("*Tăng trưởng lợi nhuận sau thuế (YoY) (Quý*",Sheet4!$1:$1,2)),"")</f>
        <v>0</v>
      </c>
      <c r="P1497" s="10" cm="1">
        <f t="array" ref="P1497">IFERROR(INDEX(Sheet4!$2:$1605,MATCH(ChiTietKQKD[[#This Row],[Mã CP]],Sheet4!$B$2:$B$1605,0),_xlfn.XMATCH("*Tăng trưởng lợi nhuận sau thuế (YoY) (6M)*",Sheet4!$1:$1,2)),"")</f>
        <v>0</v>
      </c>
      <c r="Q1497" s="10" cm="1">
        <f t="array" ref="Q1497">IFERROR(INDEX(Sheet4!$2:$1605,MATCH(ChiTietKQKD[[#This Row],[Mã CP]],Sheet4!$B$2:$B$1605,0),_xlfn.XMATCH("*Tăng trưởng doanh thu thuần (QoQ)*",Sheet4!$1:$1,2)),"")</f>
        <v>0</v>
      </c>
      <c r="R1497" s="10" cm="1">
        <f t="array" ref="R1497">IFERROR(INDEX(Sheet4!$2:$1605,MATCH(ChiTietKQKD[[#This Row],[Mã CP]],Sheet4!$B$2:$B$1605,0),_xlfn.XMATCH("*Tăng trưởng lợi nhuận sau thuế (QoQ)*",Sheet4!$1:$1,2)),"")</f>
        <v>0</v>
      </c>
    </row>
    <row r="1498" spans="1:18" x14ac:dyDescent="0.25">
      <c r="A1498" s="7">
        <f>Sheet4!A1477</f>
        <v>1476</v>
      </c>
      <c r="B1498" t="str">
        <f>Sheet4!B1477</f>
        <v>UCT</v>
      </c>
      <c r="C1498" t="str">
        <f>Sheet4!C1476</f>
        <v>Dược TW3</v>
      </c>
      <c r="D1498" t="str">
        <f>Sheet4!D1477</f>
        <v>UPCoM</v>
      </c>
      <c r="E1498" s="7">
        <f>Sheet4!AH1477/1000000000</f>
        <v>37.410415</v>
      </c>
      <c r="F1498" t="str">
        <f>Sheet4!E1477</f>
        <v>Công nghiệp</v>
      </c>
      <c r="G1498" t="str">
        <f>Sheet4!F1477</f>
        <v>Hàng &amp; Dịch vụ Công nghiệp</v>
      </c>
      <c r="H1498" t="str">
        <f>Sheet4!G1477</f>
        <v>Chất thải &amp; Môi trường</v>
      </c>
      <c r="I1498" s="9" t="str" cm="1">
        <f t="array" ref="I149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98" s="9" t="str" cm="1">
        <f t="array" ref="J149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98" s="10" cm="1">
        <f t="array" ref="K149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98" s="10" cm="1">
        <f t="array" ref="L149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98" s="9" t="str" cm="1">
        <f t="array" ref="M149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98" s="9" t="str" cm="1">
        <f t="array" ref="N149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98" s="10" cm="1">
        <f t="array" ref="O1498">IFERROR(INDEX(Sheet4!$2:$1605,MATCH(ChiTietKQKD[[#This Row],[Mã CP]],Sheet4!$B$2:$B$1605,0),_xlfn.XMATCH("*Tăng trưởng lợi nhuận sau thuế (YoY) (Quý*",Sheet4!$1:$1,2)),"")</f>
        <v>0</v>
      </c>
      <c r="P1498" s="10" cm="1">
        <f t="array" ref="P1498">IFERROR(INDEX(Sheet4!$2:$1605,MATCH(ChiTietKQKD[[#This Row],[Mã CP]],Sheet4!$B$2:$B$1605,0),_xlfn.XMATCH("*Tăng trưởng lợi nhuận sau thuế (YoY) (6M)*",Sheet4!$1:$1,2)),"")</f>
        <v>0</v>
      </c>
      <c r="Q1498" s="10" cm="1">
        <f t="array" ref="Q1498">IFERROR(INDEX(Sheet4!$2:$1605,MATCH(ChiTietKQKD[[#This Row],[Mã CP]],Sheet4!$B$2:$B$1605,0),_xlfn.XMATCH("*Tăng trưởng doanh thu thuần (QoQ)*",Sheet4!$1:$1,2)),"")</f>
        <v>0</v>
      </c>
      <c r="R1498" s="10" cm="1">
        <f t="array" ref="R1498">IFERROR(INDEX(Sheet4!$2:$1605,MATCH(ChiTietKQKD[[#This Row],[Mã CP]],Sheet4!$B$2:$B$1605,0),_xlfn.XMATCH("*Tăng trưởng lợi nhuận sau thuế (QoQ)*",Sheet4!$1:$1,2)),"")</f>
        <v>0</v>
      </c>
    </row>
    <row r="1499" spans="1:18" x14ac:dyDescent="0.25">
      <c r="A1499" s="7">
        <f>Sheet4!A1478</f>
        <v>1477</v>
      </c>
      <c r="B1499" t="str">
        <f>Sheet4!B1478</f>
        <v>UDC</v>
      </c>
      <c r="C1499" t="str">
        <f>Sheet4!C1477</f>
        <v>Đô thị Cần Thơ</v>
      </c>
      <c r="D1499" t="str">
        <f>Sheet4!D1478</f>
        <v>UPCoM</v>
      </c>
      <c r="E1499" s="7">
        <f>Sheet4!AH1478/1000000000</f>
        <v>97.1768</v>
      </c>
      <c r="F1499" t="str">
        <f>Sheet4!E1478</f>
        <v>Công nghiệp</v>
      </c>
      <c r="G1499" t="str">
        <f>Sheet4!F1478</f>
        <v>Xây dựng và Vật liệu</v>
      </c>
      <c r="H1499" t="str">
        <f>Sheet4!G1478</f>
        <v>Xây dựng</v>
      </c>
      <c r="I1499" s="9" t="str" cm="1">
        <f t="array" ref="I149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499" s="9" t="str" cm="1">
        <f t="array" ref="J149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499" s="10" cm="1">
        <f t="array" ref="K149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499" s="10" cm="1">
        <f t="array" ref="L149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499" s="9" t="str" cm="1">
        <f t="array" ref="M149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499" s="9" t="str" cm="1">
        <f t="array" ref="N149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499" s="10" cm="1">
        <f t="array" ref="O1499">IFERROR(INDEX(Sheet4!$2:$1605,MATCH(ChiTietKQKD[[#This Row],[Mã CP]],Sheet4!$B$2:$B$1605,0),_xlfn.XMATCH("*Tăng trưởng lợi nhuận sau thuế (YoY) (Quý*",Sheet4!$1:$1,2)),"")</f>
        <v>0</v>
      </c>
      <c r="P1499" s="10" cm="1">
        <f t="array" ref="P1499">IFERROR(INDEX(Sheet4!$2:$1605,MATCH(ChiTietKQKD[[#This Row],[Mã CP]],Sheet4!$B$2:$B$1605,0),_xlfn.XMATCH("*Tăng trưởng lợi nhuận sau thuế (YoY) (6M)*",Sheet4!$1:$1,2)),"")</f>
        <v>0</v>
      </c>
      <c r="Q1499" s="10" cm="1">
        <f t="array" ref="Q1499">IFERROR(INDEX(Sheet4!$2:$1605,MATCH(ChiTietKQKD[[#This Row],[Mã CP]],Sheet4!$B$2:$B$1605,0),_xlfn.XMATCH("*Tăng trưởng doanh thu thuần (QoQ)*",Sheet4!$1:$1,2)),"")</f>
        <v>0</v>
      </c>
      <c r="R1499" s="10" cm="1">
        <f t="array" ref="R1499">IFERROR(INDEX(Sheet4!$2:$1605,MATCH(ChiTietKQKD[[#This Row],[Mã CP]],Sheet4!$B$2:$B$1605,0),_xlfn.XMATCH("*Tăng trưởng lợi nhuận sau thuế (QoQ)*",Sheet4!$1:$1,2)),"")</f>
        <v>0</v>
      </c>
    </row>
    <row r="1500" spans="1:18" x14ac:dyDescent="0.25">
      <c r="A1500" s="7">
        <f>Sheet4!A1479</f>
        <v>1478</v>
      </c>
      <c r="B1500" t="str">
        <f>Sheet4!B1479</f>
        <v>UDJ</v>
      </c>
      <c r="C1500" t="str">
        <f>Sheet4!C1478</f>
        <v>Đầu tư Xây dựng UDCons</v>
      </c>
      <c r="D1500" t="str">
        <f>Sheet4!D1479</f>
        <v>UPCoM</v>
      </c>
      <c r="E1500" s="7">
        <f>Sheet4!AH1479/1000000000</f>
        <v>95.914500000000004</v>
      </c>
      <c r="F1500" t="str">
        <f>Sheet4!E1479</f>
        <v>Công nghiệp</v>
      </c>
      <c r="G1500" t="str">
        <f>Sheet4!F1479</f>
        <v>Xây dựng và Vật liệu</v>
      </c>
      <c r="H1500" t="str">
        <f>Sheet4!G1479</f>
        <v>Xây dựng</v>
      </c>
      <c r="I1500" s="9" cm="1">
        <f t="array" ref="I150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3.0000000000000001E-3</v>
      </c>
      <c r="J1500" s="9" cm="1">
        <f t="array" ref="J150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6.0000000000000001E-3</v>
      </c>
      <c r="K1500" s="10" cm="1">
        <f t="array" ref="K150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-0.99990000000000001</v>
      </c>
      <c r="L1500" s="10" cm="1">
        <f t="array" ref="L150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-0.99980000000000002</v>
      </c>
      <c r="M1500" s="9" cm="1">
        <f t="array" ref="M1500">_xlfn.LET(_xlpm.val,IFERROR(INDEX(Sheet4!$2:$1605,MATCH(ChiTietKQKD[[#This Row],[Mã CP]],Sheet4!$B$2:$B$1605,0),_xlfn.XMATCH("*Lợi nhuận sau thuế*Q2*2026*",Sheet4!$1:$1,2)),0),IF(OR(_xlpm.val="",_xlpm.val=0),"",_xlpm.val/1000000000))</f>
        <v>-5.208795877</v>
      </c>
      <c r="N1500" s="9" cm="1">
        <f t="array" ref="N1500">_xlfn.LET(_xlpm.val,IFERROR(INDEX(Sheet4!$2:$1605,MATCH(ChiTietKQKD[[#This Row],[Mã CP]],Sheet4!$B$2:$B$1605,0),_xlfn.XMATCH("*Lợi nhuận sau thuế*6 tháng*2026*",Sheet4!$1:$1,2)),0),IF(OR(_xlpm.val="",_xlpm.val=0),"",_xlpm.val/1000000000))</f>
        <v>-6.3106104180000004</v>
      </c>
      <c r="O1500" s="10" cm="1">
        <f t="array" ref="O1500">IFERROR(INDEX(Sheet4!$2:$1605,MATCH(ChiTietKQKD[[#This Row],[Mã CP]],Sheet4!$B$2:$B$1605,0),_xlfn.XMATCH("*Tăng trưởng lợi nhuận sau thuế (YoY) (Quý*",Sheet4!$1:$1,2)),"")</f>
        <v>-8.6643000000000008</v>
      </c>
      <c r="P1500" s="10" cm="1">
        <f t="array" ref="P1500">IFERROR(INDEX(Sheet4!$2:$1605,MATCH(ChiTietKQKD[[#This Row],[Mã CP]],Sheet4!$B$2:$B$1605,0),_xlfn.XMATCH("*Tăng trưởng lợi nhuận sau thuế (YoY) (6M)*",Sheet4!$1:$1,2)),"")</f>
        <v>-11.450100000000001</v>
      </c>
      <c r="Q1500" s="10" cm="1">
        <f t="array" ref="Q1500">IFERROR(INDEX(Sheet4!$2:$1605,MATCH(ChiTietKQKD[[#This Row],[Mã CP]],Sheet4!$B$2:$B$1605,0),_xlfn.XMATCH("*Tăng trưởng doanh thu thuần (QoQ)*",Sheet4!$1:$1,2)),"")</f>
        <v>0</v>
      </c>
      <c r="R1500" s="10" cm="1">
        <f t="array" ref="R1500">IFERROR(INDEX(Sheet4!$2:$1605,MATCH(ChiTietKQKD[[#This Row],[Mã CP]],Sheet4!$B$2:$B$1605,0),_xlfn.XMATCH("*Tăng trưởng lợi nhuận sau thuế (QoQ)*",Sheet4!$1:$1,2)),"")</f>
        <v>-3.7275</v>
      </c>
    </row>
    <row r="1501" spans="1:18" x14ac:dyDescent="0.25">
      <c r="A1501" s="7">
        <f>Sheet4!A1480</f>
        <v>1479</v>
      </c>
      <c r="B1501" t="str">
        <f>Sheet4!B1480</f>
        <v>UDL</v>
      </c>
      <c r="C1501" t="str">
        <f>Sheet4!C1479</f>
        <v>Becamex UDJ</v>
      </c>
      <c r="D1501" t="str">
        <f>Sheet4!D1480</f>
        <v>UPCoM</v>
      </c>
      <c r="E1501" s="7">
        <f>Sheet4!AH1480/1000000000</f>
        <v>250.23743999999999</v>
      </c>
      <c r="F1501" t="str">
        <f>Sheet4!E1480</f>
        <v>Công nghiệp</v>
      </c>
      <c r="G1501" t="str">
        <f>Sheet4!F1480</f>
        <v>Hàng &amp; Dịch vụ Công nghiệp</v>
      </c>
      <c r="H1501" t="str">
        <f>Sheet4!G1480</f>
        <v>Chất thải &amp; Môi trường</v>
      </c>
      <c r="I1501" s="9" t="str" cm="1">
        <f t="array" ref="I150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01" s="9" t="str" cm="1">
        <f t="array" ref="J150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01" s="10" cm="1">
        <f t="array" ref="K150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01" s="10" cm="1">
        <f t="array" ref="L150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01" s="9" t="str" cm="1">
        <f t="array" ref="M150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01" s="9" t="str" cm="1">
        <f t="array" ref="N150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01" s="10" cm="1">
        <f t="array" ref="O1501">IFERROR(INDEX(Sheet4!$2:$1605,MATCH(ChiTietKQKD[[#This Row],[Mã CP]],Sheet4!$B$2:$B$1605,0),_xlfn.XMATCH("*Tăng trưởng lợi nhuận sau thuế (YoY) (Quý*",Sheet4!$1:$1,2)),"")</f>
        <v>0</v>
      </c>
      <c r="P1501" s="10" cm="1">
        <f t="array" ref="P1501">IFERROR(INDEX(Sheet4!$2:$1605,MATCH(ChiTietKQKD[[#This Row],[Mã CP]],Sheet4!$B$2:$B$1605,0),_xlfn.XMATCH("*Tăng trưởng lợi nhuận sau thuế (YoY) (6M)*",Sheet4!$1:$1,2)),"")</f>
        <v>0</v>
      </c>
      <c r="Q1501" s="10" cm="1">
        <f t="array" ref="Q1501">IFERROR(INDEX(Sheet4!$2:$1605,MATCH(ChiTietKQKD[[#This Row],[Mã CP]],Sheet4!$B$2:$B$1605,0),_xlfn.XMATCH("*Tăng trưởng doanh thu thuần (QoQ)*",Sheet4!$1:$1,2)),"")</f>
        <v>0</v>
      </c>
      <c r="R1501" s="10" cm="1">
        <f t="array" ref="R1501">IFERROR(INDEX(Sheet4!$2:$1605,MATCH(ChiTietKQKD[[#This Row],[Mã CP]],Sheet4!$B$2:$B$1605,0),_xlfn.XMATCH("*Tăng trưởng lợi nhuận sau thuế (QoQ)*",Sheet4!$1:$1,2)),"")</f>
        <v>0</v>
      </c>
    </row>
    <row r="1502" spans="1:18" x14ac:dyDescent="0.25">
      <c r="A1502" s="7">
        <f>Sheet4!A1481</f>
        <v>1480</v>
      </c>
      <c r="B1502" t="str">
        <f>Sheet4!B1481</f>
        <v>UEM</v>
      </c>
      <c r="C1502" t="str">
        <f>Sheet4!C1480</f>
        <v>Đô thị và Môi trường Đắk Lắk</v>
      </c>
      <c r="D1502" t="str">
        <f>Sheet4!D1481</f>
        <v>UPCoM</v>
      </c>
      <c r="E1502" s="7">
        <f>Sheet4!AH1481/1000000000</f>
        <v>24.381</v>
      </c>
      <c r="F1502" t="str">
        <f>Sheet4!E1481</f>
        <v>Công nghiệp</v>
      </c>
      <c r="G1502" t="str">
        <f>Sheet4!F1481</f>
        <v>Hàng &amp; Dịch vụ Công nghiệp</v>
      </c>
      <c r="H1502" t="str">
        <f>Sheet4!G1481</f>
        <v>Máy công nghiệp</v>
      </c>
      <c r="I1502" s="9" t="str" cm="1">
        <f t="array" ref="I150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02" s="9" t="str" cm="1">
        <f t="array" ref="J150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02" s="10" cm="1">
        <f t="array" ref="K150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02" s="10" cm="1">
        <f t="array" ref="L150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02" s="9" t="str" cm="1">
        <f t="array" ref="M150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02" s="9" t="str" cm="1">
        <f t="array" ref="N150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02" s="10" cm="1">
        <f t="array" ref="O1502">IFERROR(INDEX(Sheet4!$2:$1605,MATCH(ChiTietKQKD[[#This Row],[Mã CP]],Sheet4!$B$2:$B$1605,0),_xlfn.XMATCH("*Tăng trưởng lợi nhuận sau thuế (YoY) (Quý*",Sheet4!$1:$1,2)),"")</f>
        <v>0</v>
      </c>
      <c r="P1502" s="10" cm="1">
        <f t="array" ref="P1502">IFERROR(INDEX(Sheet4!$2:$1605,MATCH(ChiTietKQKD[[#This Row],[Mã CP]],Sheet4!$B$2:$B$1605,0),_xlfn.XMATCH("*Tăng trưởng lợi nhuận sau thuế (YoY) (6M)*",Sheet4!$1:$1,2)),"")</f>
        <v>0</v>
      </c>
      <c r="Q1502" s="10" cm="1">
        <f t="array" ref="Q1502">IFERROR(INDEX(Sheet4!$2:$1605,MATCH(ChiTietKQKD[[#This Row],[Mã CP]],Sheet4!$B$2:$B$1605,0),_xlfn.XMATCH("*Tăng trưởng doanh thu thuần (QoQ)*",Sheet4!$1:$1,2)),"")</f>
        <v>0</v>
      </c>
      <c r="R1502" s="10" cm="1">
        <f t="array" ref="R1502">IFERROR(INDEX(Sheet4!$2:$1605,MATCH(ChiTietKQKD[[#This Row],[Mã CP]],Sheet4!$B$2:$B$1605,0),_xlfn.XMATCH("*Tăng trưởng lợi nhuận sau thuế (QoQ)*",Sheet4!$1:$1,2)),"")</f>
        <v>0</v>
      </c>
    </row>
    <row r="1503" spans="1:18" x14ac:dyDescent="0.25">
      <c r="A1503" s="7">
        <f>Sheet4!A1482</f>
        <v>1481</v>
      </c>
      <c r="B1503" t="str">
        <f>Sheet4!B1482</f>
        <v>ULG</v>
      </c>
      <c r="C1503" t="str">
        <f>Sheet4!C1481</f>
        <v>Cơ điện Uông Bí - Vinacomin</v>
      </c>
      <c r="D1503" t="str">
        <f>Sheet4!D1482</f>
        <v>UPCoM</v>
      </c>
      <c r="E1503" s="7">
        <f>Sheet4!AH1482/1000000000</f>
        <v>0</v>
      </c>
      <c r="F1503" t="str">
        <f>Sheet4!E1482</f>
        <v>Công nghiệp</v>
      </c>
      <c r="G1503" t="str">
        <f>Sheet4!F1482</f>
        <v>Hàng &amp; Dịch vụ Công nghiệp</v>
      </c>
      <c r="H1503" t="str">
        <f>Sheet4!G1482</f>
        <v>Kho bãi, hậu cần và bảo dưỡng</v>
      </c>
      <c r="I1503" s="9" t="str" cm="1">
        <f t="array" ref="I150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03" s="9" t="str" cm="1">
        <f t="array" ref="J150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03" s="10" cm="1">
        <f t="array" ref="K150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03" s="10" cm="1">
        <f t="array" ref="L150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03" s="9" t="str" cm="1">
        <f t="array" ref="M150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03" s="9" t="str" cm="1">
        <f t="array" ref="N150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03" s="10" cm="1">
        <f t="array" ref="O1503">IFERROR(INDEX(Sheet4!$2:$1605,MATCH(ChiTietKQKD[[#This Row],[Mã CP]],Sheet4!$B$2:$B$1605,0),_xlfn.XMATCH("*Tăng trưởng lợi nhuận sau thuế (YoY) (Quý*",Sheet4!$1:$1,2)),"")</f>
        <v>0</v>
      </c>
      <c r="P1503" s="10" cm="1">
        <f t="array" ref="P1503">IFERROR(INDEX(Sheet4!$2:$1605,MATCH(ChiTietKQKD[[#This Row],[Mã CP]],Sheet4!$B$2:$B$1605,0),_xlfn.XMATCH("*Tăng trưởng lợi nhuận sau thuế (YoY) (6M)*",Sheet4!$1:$1,2)),"")</f>
        <v>0</v>
      </c>
      <c r="Q1503" s="10" cm="1">
        <f t="array" ref="Q1503">IFERROR(INDEX(Sheet4!$2:$1605,MATCH(ChiTietKQKD[[#This Row],[Mã CP]],Sheet4!$B$2:$B$1605,0),_xlfn.XMATCH("*Tăng trưởng doanh thu thuần (QoQ)*",Sheet4!$1:$1,2)),"")</f>
        <v>0</v>
      </c>
      <c r="R1503" s="10" cm="1">
        <f t="array" ref="R1503">IFERROR(INDEX(Sheet4!$2:$1605,MATCH(ChiTietKQKD[[#This Row],[Mã CP]],Sheet4!$B$2:$B$1605,0),_xlfn.XMATCH("*Tăng trưởng lợi nhuận sau thuế (QoQ)*",Sheet4!$1:$1,2)),"")</f>
        <v>0</v>
      </c>
    </row>
    <row r="1504" spans="1:18" x14ac:dyDescent="0.25">
      <c r="A1504" s="7">
        <f>Sheet4!A1483</f>
        <v>1482</v>
      </c>
      <c r="B1504" t="str">
        <f>Sheet4!B1483</f>
        <v>UMC</v>
      </c>
      <c r="C1504" t="str">
        <f>Sheet4!C1482</f>
        <v>U&amp;I Logistics</v>
      </c>
      <c r="D1504" t="str">
        <f>Sheet4!D1483</f>
        <v>UPCoM</v>
      </c>
      <c r="E1504" s="7">
        <f>Sheet4!AH1483/1000000000</f>
        <v>12.338833899999999</v>
      </c>
      <c r="F1504" t="str">
        <f>Sheet4!E1483</f>
        <v>Công nghiệp</v>
      </c>
      <c r="G1504" t="str">
        <f>Sheet4!F1483</f>
        <v>Xây dựng và Vật liệu</v>
      </c>
      <c r="H1504" t="str">
        <f>Sheet4!G1483</f>
        <v>Xây dựng</v>
      </c>
      <c r="I1504" s="9" t="str" cm="1">
        <f t="array" ref="I150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04" s="9" t="str" cm="1">
        <f t="array" ref="J150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04" s="10" cm="1">
        <f t="array" ref="K150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04" s="10" cm="1">
        <f t="array" ref="L150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04" s="9" t="str" cm="1">
        <f t="array" ref="M150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04" s="9" t="str" cm="1">
        <f t="array" ref="N150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04" s="10" cm="1">
        <f t="array" ref="O1504">IFERROR(INDEX(Sheet4!$2:$1605,MATCH(ChiTietKQKD[[#This Row],[Mã CP]],Sheet4!$B$2:$B$1605,0),_xlfn.XMATCH("*Tăng trưởng lợi nhuận sau thuế (YoY) (Quý*",Sheet4!$1:$1,2)),"")</f>
        <v>0</v>
      </c>
      <c r="P1504" s="10" cm="1">
        <f t="array" ref="P1504">IFERROR(INDEX(Sheet4!$2:$1605,MATCH(ChiTietKQKD[[#This Row],[Mã CP]],Sheet4!$B$2:$B$1605,0),_xlfn.XMATCH("*Tăng trưởng lợi nhuận sau thuế (YoY) (6M)*",Sheet4!$1:$1,2)),"")</f>
        <v>0</v>
      </c>
      <c r="Q1504" s="10" cm="1">
        <f t="array" ref="Q1504">IFERROR(INDEX(Sheet4!$2:$1605,MATCH(ChiTietKQKD[[#This Row],[Mã CP]],Sheet4!$B$2:$B$1605,0),_xlfn.XMATCH("*Tăng trưởng doanh thu thuần (QoQ)*",Sheet4!$1:$1,2)),"")</f>
        <v>0</v>
      </c>
      <c r="R1504" s="10" cm="1">
        <f t="array" ref="R1504">IFERROR(INDEX(Sheet4!$2:$1605,MATCH(ChiTietKQKD[[#This Row],[Mã CP]],Sheet4!$B$2:$B$1605,0),_xlfn.XMATCH("*Tăng trưởng lợi nhuận sau thuế (QoQ)*",Sheet4!$1:$1,2)),"")</f>
        <v>0</v>
      </c>
    </row>
    <row r="1505" spans="1:18" x14ac:dyDescent="0.25">
      <c r="A1505" s="7">
        <f>Sheet4!A1484</f>
        <v>1483</v>
      </c>
      <c r="B1505" t="str">
        <f>Sheet4!B1484</f>
        <v>UPC</v>
      </c>
      <c r="C1505" t="str">
        <f>Sheet4!C1483</f>
        <v>Công trình đô thị Nam Định</v>
      </c>
      <c r="D1505" t="str">
        <f>Sheet4!D1484</f>
        <v>UPCoM</v>
      </c>
      <c r="E1505" s="7">
        <f>Sheet4!AH1484/1000000000</f>
        <v>106.08</v>
      </c>
      <c r="F1505" t="str">
        <f>Sheet4!E1484</f>
        <v>Tiện ích Cộng đồng</v>
      </c>
      <c r="G1505" t="str">
        <f>Sheet4!F1484</f>
        <v>Điện, nước &amp; xăng dầu khí đốt</v>
      </c>
      <c r="H1505" t="str">
        <f>Sheet4!G1484</f>
        <v>Tiện ích khác</v>
      </c>
      <c r="I1505" s="9" t="str" cm="1">
        <f t="array" ref="I150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05" s="9" t="str" cm="1">
        <f t="array" ref="J150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05" s="10" cm="1">
        <f t="array" ref="K150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05" s="10" cm="1">
        <f t="array" ref="L150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05" s="9" t="str" cm="1">
        <f t="array" ref="M150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05" s="9" t="str" cm="1">
        <f t="array" ref="N150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05" s="10" cm="1">
        <f t="array" ref="O1505">IFERROR(INDEX(Sheet4!$2:$1605,MATCH(ChiTietKQKD[[#This Row],[Mã CP]],Sheet4!$B$2:$B$1605,0),_xlfn.XMATCH("*Tăng trưởng lợi nhuận sau thuế (YoY) (Quý*",Sheet4!$1:$1,2)),"")</f>
        <v>0</v>
      </c>
      <c r="P1505" s="10" cm="1">
        <f t="array" ref="P1505">IFERROR(INDEX(Sheet4!$2:$1605,MATCH(ChiTietKQKD[[#This Row],[Mã CP]],Sheet4!$B$2:$B$1605,0),_xlfn.XMATCH("*Tăng trưởng lợi nhuận sau thuế (YoY) (6M)*",Sheet4!$1:$1,2)),"")</f>
        <v>0</v>
      </c>
      <c r="Q1505" s="10" cm="1">
        <f t="array" ref="Q1505">IFERROR(INDEX(Sheet4!$2:$1605,MATCH(ChiTietKQKD[[#This Row],[Mã CP]],Sheet4!$B$2:$B$1605,0),_xlfn.XMATCH("*Tăng trưởng doanh thu thuần (QoQ)*",Sheet4!$1:$1,2)),"")</f>
        <v>0</v>
      </c>
      <c r="R1505" s="10" cm="1">
        <f t="array" ref="R1505">IFERROR(INDEX(Sheet4!$2:$1605,MATCH(ChiTietKQKD[[#This Row],[Mã CP]],Sheet4!$B$2:$B$1605,0),_xlfn.XMATCH("*Tăng trưởng lợi nhuận sau thuế (QoQ)*",Sheet4!$1:$1,2)),"")</f>
        <v>0</v>
      </c>
    </row>
    <row r="1506" spans="1:18" x14ac:dyDescent="0.25">
      <c r="A1506" s="7">
        <f>Sheet4!A1485</f>
        <v>1484</v>
      </c>
      <c r="B1506" t="str">
        <f>Sheet4!B1485</f>
        <v>UPH</v>
      </c>
      <c r="C1506" t="str">
        <f>Sheet4!C1484</f>
        <v>Cây xanh Vũng Tàu</v>
      </c>
      <c r="D1506" t="str">
        <f>Sheet4!D1485</f>
        <v>UPCoM</v>
      </c>
      <c r="E1506" s="7">
        <f>Sheet4!AH1485/1000000000</f>
        <v>51.849099899999999</v>
      </c>
      <c r="F1506" t="str">
        <f>Sheet4!E1485</f>
        <v>Dược phẩm và Y tế</v>
      </c>
      <c r="G1506" t="str">
        <f>Sheet4!F1485</f>
        <v>Y tế</v>
      </c>
      <c r="H1506" t="str">
        <f>Sheet4!G1485</f>
        <v>Dược phẩm</v>
      </c>
      <c r="I1506" s="9" cm="1">
        <f t="array" ref="I150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19.386111888999999</v>
      </c>
      <c r="J1506" s="9" cm="1">
        <f t="array" ref="J150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45.381591759000003</v>
      </c>
      <c r="K1506" s="10" cm="1">
        <f t="array" ref="K150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-5.62E-2</v>
      </c>
      <c r="L1506" s="10" cm="1">
        <f t="array" ref="L150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0.1527</v>
      </c>
      <c r="M1506" s="9" cm="1">
        <f t="array" ref="M1506">_xlfn.LET(_xlpm.val,IFERROR(INDEX(Sheet4!$2:$1605,MATCH(ChiTietKQKD[[#This Row],[Mã CP]],Sheet4!$B$2:$B$1605,0),_xlfn.XMATCH("*Lợi nhuận sau thuế*Q2*2026*",Sheet4!$1:$1,2)),0),IF(OR(_xlpm.val="",_xlpm.val=0),"",_xlpm.val/1000000000))</f>
        <v>2.4862751040000002</v>
      </c>
      <c r="N1506" s="9" cm="1">
        <f t="array" ref="N1506">_xlfn.LET(_xlpm.val,IFERROR(INDEX(Sheet4!$2:$1605,MATCH(ChiTietKQKD[[#This Row],[Mã CP]],Sheet4!$B$2:$B$1605,0),_xlfn.XMATCH("*Lợi nhuận sau thuế*6 tháng*2026*",Sheet4!$1:$1,2)),0),IF(OR(_xlpm.val="",_xlpm.val=0),"",_xlpm.val/1000000000))</f>
        <v>3.0419131529999999</v>
      </c>
      <c r="O1506" s="10" cm="1">
        <f t="array" ref="O1506">IFERROR(INDEX(Sheet4!$2:$1605,MATCH(ChiTietKQKD[[#This Row],[Mã CP]],Sheet4!$B$2:$B$1605,0),_xlfn.XMATCH("*Tăng trưởng lợi nhuận sau thuế (YoY) (Quý*",Sheet4!$1:$1,2)),"")</f>
        <v>23.712700000000002</v>
      </c>
      <c r="P1506" s="10" cm="1">
        <f t="array" ref="P1506">IFERROR(INDEX(Sheet4!$2:$1605,MATCH(ChiTietKQKD[[#This Row],[Mã CP]],Sheet4!$B$2:$B$1605,0),_xlfn.XMATCH("*Tăng trưởng lợi nhuận sau thuế (YoY) (6M)*",Sheet4!$1:$1,2)),"")</f>
        <v>16.0151</v>
      </c>
      <c r="Q1506" s="10" cm="1">
        <f t="array" ref="Q1506">IFERROR(INDEX(Sheet4!$2:$1605,MATCH(ChiTietKQKD[[#This Row],[Mã CP]],Sheet4!$B$2:$B$1605,0),_xlfn.XMATCH("*Tăng trưởng doanh thu thuần (QoQ)*",Sheet4!$1:$1,2)),"")</f>
        <v>-0.25430000000000003</v>
      </c>
      <c r="R1506" s="10" cm="1">
        <f t="array" ref="R1506">IFERROR(INDEX(Sheet4!$2:$1605,MATCH(ChiTietKQKD[[#This Row],[Mã CP]],Sheet4!$B$2:$B$1605,0),_xlfn.XMATCH("*Tăng trưởng lợi nhuận sau thuế (QoQ)*",Sheet4!$1:$1,2)),"")</f>
        <v>3.4746000000000001</v>
      </c>
    </row>
    <row r="1507" spans="1:18" x14ac:dyDescent="0.25">
      <c r="A1507" s="7">
        <f>Sheet4!A1486</f>
        <v>1485</v>
      </c>
      <c r="B1507" t="str">
        <f>Sheet4!B1486</f>
        <v>UPS</v>
      </c>
      <c r="C1507" t="str">
        <f>Sheet4!C1485</f>
        <v>Dược phẩm TW25</v>
      </c>
      <c r="D1507" t="str">
        <f>Sheet4!D1486</f>
        <v>UPCoM</v>
      </c>
      <c r="E1507" s="7">
        <f>Sheet4!AH1486/1000000000</f>
        <v>833.4846</v>
      </c>
      <c r="F1507" t="str">
        <f>Sheet4!E1486</f>
        <v>Tài chính</v>
      </c>
      <c r="G1507" t="str">
        <f>Sheet4!F1486</f>
        <v>Dịch vụ tài chính</v>
      </c>
      <c r="H1507" t="str">
        <f>Sheet4!G1486</f>
        <v>Môi giới chứng khoán</v>
      </c>
      <c r="I1507" s="9" cm="1">
        <f t="array" ref="I150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29.650223786000002</v>
      </c>
      <c r="J1507" s="9" cm="1">
        <f t="array" ref="J150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92.149164956999996</v>
      </c>
      <c r="K1507" s="10" cm="1">
        <f t="array" ref="K150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-0.21820000000000001</v>
      </c>
      <c r="L1507" s="10" cm="1">
        <f t="array" ref="L150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1.1657</v>
      </c>
      <c r="M1507" s="9" cm="1">
        <f t="array" ref="M1507">_xlfn.LET(_xlpm.val,IFERROR(INDEX(Sheet4!$2:$1605,MATCH(ChiTietKQKD[[#This Row],[Mã CP]],Sheet4!$B$2:$B$1605,0),_xlfn.XMATCH("*Lợi nhuận sau thuế*Q2*2026*",Sheet4!$1:$1,2)),0),IF(OR(_xlpm.val="",_xlpm.val=0),"",_xlpm.val/1000000000))</f>
        <v>3.0900560590000001</v>
      </c>
      <c r="N1507" s="9" cm="1">
        <f t="array" ref="N1507">_xlfn.LET(_xlpm.val,IFERROR(INDEX(Sheet4!$2:$1605,MATCH(ChiTietKQKD[[#This Row],[Mã CP]],Sheet4!$B$2:$B$1605,0),_xlfn.XMATCH("*Lợi nhuận sau thuế*6 tháng*2026*",Sheet4!$1:$1,2)),0),IF(OR(_xlpm.val="",_xlpm.val=0),"",_xlpm.val/1000000000))</f>
        <v>13.055578653</v>
      </c>
      <c r="O1507" s="10" cm="1">
        <f t="array" ref="O1507">IFERROR(INDEX(Sheet4!$2:$1605,MATCH(ChiTietKQKD[[#This Row],[Mã CP]],Sheet4!$B$2:$B$1605,0),_xlfn.XMATCH("*Tăng trưởng lợi nhuận sau thuế (YoY) (Quý*",Sheet4!$1:$1,2)),"")</f>
        <v>-0.79049999999999998</v>
      </c>
      <c r="P1507" s="10" cm="1">
        <f t="array" ref="P1507">IFERROR(INDEX(Sheet4!$2:$1605,MATCH(ChiTietKQKD[[#This Row],[Mã CP]],Sheet4!$B$2:$B$1605,0),_xlfn.XMATCH("*Tăng trưởng lợi nhuận sau thuế (YoY) (6M)*",Sheet4!$1:$1,2)),"")</f>
        <v>1.1496999999999999</v>
      </c>
      <c r="Q1507" s="10" cm="1">
        <f t="array" ref="Q1507">IFERROR(INDEX(Sheet4!$2:$1605,MATCH(ChiTietKQKD[[#This Row],[Mã CP]],Sheet4!$B$2:$B$1605,0),_xlfn.XMATCH("*Tăng trưởng doanh thu thuần (QoQ)*",Sheet4!$1:$1,2)),"")</f>
        <v>-0.52559999999999996</v>
      </c>
      <c r="R1507" s="10" cm="1">
        <f t="array" ref="R1507">IFERROR(INDEX(Sheet4!$2:$1605,MATCH(ChiTietKQKD[[#This Row],[Mã CP]],Sheet4!$B$2:$B$1605,0),_xlfn.XMATCH("*Tăng trưởng lợi nhuận sau thuế (QoQ)*",Sheet4!$1:$1,2)),"")</f>
        <v>-0.68989999999999996</v>
      </c>
    </row>
    <row r="1508" spans="1:18" x14ac:dyDescent="0.25">
      <c r="A1508" s="7">
        <f>Sheet4!A1487</f>
        <v>1486</v>
      </c>
      <c r="B1508" t="str">
        <f>Sheet4!B1487</f>
        <v>USC</v>
      </c>
      <c r="C1508" t="str">
        <f>Sheet4!C1486</f>
        <v>Chứng khoán UP</v>
      </c>
      <c r="D1508" t="str">
        <f>Sheet4!D1487</f>
        <v>UPCoM</v>
      </c>
      <c r="E1508" s="7">
        <f>Sheet4!AH1487/1000000000</f>
        <v>51.15</v>
      </c>
      <c r="F1508" t="str">
        <f>Sheet4!E1487</f>
        <v>Công nghiệp</v>
      </c>
      <c r="G1508" t="str">
        <f>Sheet4!F1487</f>
        <v>Xây dựng và Vật liệu</v>
      </c>
      <c r="H1508" t="str">
        <f>Sheet4!G1487</f>
        <v>Xây dựng</v>
      </c>
      <c r="I1508" s="9" t="str" cm="1">
        <f t="array" ref="I150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08" s="9" t="str" cm="1">
        <f t="array" ref="J150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08" s="10" cm="1">
        <f t="array" ref="K150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08" s="10" cm="1">
        <f t="array" ref="L150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08" s="9" t="str" cm="1">
        <f t="array" ref="M150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08" s="9" t="str" cm="1">
        <f t="array" ref="N150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08" s="10" cm="1">
        <f t="array" ref="O1508">IFERROR(INDEX(Sheet4!$2:$1605,MATCH(ChiTietKQKD[[#This Row],[Mã CP]],Sheet4!$B$2:$B$1605,0),_xlfn.XMATCH("*Tăng trưởng lợi nhuận sau thuế (YoY) (Quý*",Sheet4!$1:$1,2)),"")</f>
        <v>0</v>
      </c>
      <c r="P1508" s="10" cm="1">
        <f t="array" ref="P1508">IFERROR(INDEX(Sheet4!$2:$1605,MATCH(ChiTietKQKD[[#This Row],[Mã CP]],Sheet4!$B$2:$B$1605,0),_xlfn.XMATCH("*Tăng trưởng lợi nhuận sau thuế (YoY) (6M)*",Sheet4!$1:$1,2)),"")</f>
        <v>0</v>
      </c>
      <c r="Q1508" s="10" cm="1">
        <f t="array" ref="Q1508">IFERROR(INDEX(Sheet4!$2:$1605,MATCH(ChiTietKQKD[[#This Row],[Mã CP]],Sheet4!$B$2:$B$1605,0),_xlfn.XMATCH("*Tăng trưởng doanh thu thuần (QoQ)*",Sheet4!$1:$1,2)),"")</f>
        <v>0</v>
      </c>
      <c r="R1508" s="10" cm="1">
        <f t="array" ref="R1508">IFERROR(INDEX(Sheet4!$2:$1605,MATCH(ChiTietKQKD[[#This Row],[Mã CP]],Sheet4!$B$2:$B$1605,0),_xlfn.XMATCH("*Tăng trưởng lợi nhuận sau thuế (QoQ)*",Sheet4!$1:$1,2)),"")</f>
        <v>0</v>
      </c>
    </row>
    <row r="1509" spans="1:18" x14ac:dyDescent="0.25">
      <c r="A1509" s="7">
        <f>Sheet4!A1488</f>
        <v>1487</v>
      </c>
      <c r="B1509" t="str">
        <f>Sheet4!B1488</f>
        <v>USD</v>
      </c>
      <c r="C1509" t="str">
        <f>Sheet4!C1487</f>
        <v>Khảo sát và Xây dựng - USCO</v>
      </c>
      <c r="D1509" t="str">
        <f>Sheet4!D1488</f>
        <v>UPCoM</v>
      </c>
      <c r="E1509" s="7">
        <f>Sheet4!AH1488/1000000000</f>
        <v>92.377600000000001</v>
      </c>
      <c r="F1509" t="str">
        <f>Sheet4!E1488</f>
        <v>Công nghiệp</v>
      </c>
      <c r="G1509" t="str">
        <f>Sheet4!F1488</f>
        <v>Hàng &amp; Dịch vụ Công nghiệp</v>
      </c>
      <c r="H1509" t="str">
        <f>Sheet4!G1488</f>
        <v>Chất thải &amp; Môi trường</v>
      </c>
      <c r="I1509" s="9" t="str" cm="1">
        <f t="array" ref="I150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09" s="9" t="str" cm="1">
        <f t="array" ref="J150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09" s="10" cm="1">
        <f t="array" ref="K150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09" s="10" cm="1">
        <f t="array" ref="L150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09" s="9" t="str" cm="1">
        <f t="array" ref="M150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09" s="9" t="str" cm="1">
        <f t="array" ref="N150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09" s="10" cm="1">
        <f t="array" ref="O1509">IFERROR(INDEX(Sheet4!$2:$1605,MATCH(ChiTietKQKD[[#This Row],[Mã CP]],Sheet4!$B$2:$B$1605,0),_xlfn.XMATCH("*Tăng trưởng lợi nhuận sau thuế (YoY) (Quý*",Sheet4!$1:$1,2)),"")</f>
        <v>0</v>
      </c>
      <c r="P1509" s="10" cm="1">
        <f t="array" ref="P1509">IFERROR(INDEX(Sheet4!$2:$1605,MATCH(ChiTietKQKD[[#This Row],[Mã CP]],Sheet4!$B$2:$B$1605,0),_xlfn.XMATCH("*Tăng trưởng lợi nhuận sau thuế (YoY) (6M)*",Sheet4!$1:$1,2)),"")</f>
        <v>0</v>
      </c>
      <c r="Q1509" s="10" cm="1">
        <f t="array" ref="Q1509">IFERROR(INDEX(Sheet4!$2:$1605,MATCH(ChiTietKQKD[[#This Row],[Mã CP]],Sheet4!$B$2:$B$1605,0),_xlfn.XMATCH("*Tăng trưởng doanh thu thuần (QoQ)*",Sheet4!$1:$1,2)),"")</f>
        <v>0</v>
      </c>
      <c r="R1509" s="10" cm="1">
        <f t="array" ref="R1509">IFERROR(INDEX(Sheet4!$2:$1605,MATCH(ChiTietKQKD[[#This Row],[Mã CP]],Sheet4!$B$2:$B$1605,0),_xlfn.XMATCH("*Tăng trưởng lợi nhuận sau thuế (QoQ)*",Sheet4!$1:$1,2)),"")</f>
        <v>0</v>
      </c>
    </row>
    <row r="1510" spans="1:18" x14ac:dyDescent="0.25">
      <c r="A1510" s="7">
        <f>Sheet4!A1489</f>
        <v>1488</v>
      </c>
      <c r="B1510" t="str">
        <f>Sheet4!B1489</f>
        <v>UTT</v>
      </c>
      <c r="C1510" t="str">
        <f>Sheet4!C1488</f>
        <v>Công trình Đô thị Sóc Trăng</v>
      </c>
      <c r="D1510" t="str">
        <f>Sheet4!D1489</f>
        <v>UPCoM</v>
      </c>
      <c r="E1510" s="7">
        <f>Sheet4!AH1489/1000000000</f>
        <v>27.6</v>
      </c>
      <c r="F1510" t="str">
        <f>Sheet4!E1489</f>
        <v>Công nghiệp</v>
      </c>
      <c r="G1510" t="str">
        <f>Sheet4!F1489</f>
        <v>Hàng &amp; Dịch vụ Công nghiệp</v>
      </c>
      <c r="H1510" t="str">
        <f>Sheet4!G1489</f>
        <v>Chất thải &amp; Môi trường</v>
      </c>
      <c r="I1510" s="9" t="str" cm="1">
        <f t="array" ref="I151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10" s="9" t="str" cm="1">
        <f t="array" ref="J151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10" s="10" cm="1">
        <f t="array" ref="K151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10" s="10" cm="1">
        <f t="array" ref="L151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10" s="9" t="str" cm="1">
        <f t="array" ref="M151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10" s="9" t="str" cm="1">
        <f t="array" ref="N151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10" s="10" cm="1">
        <f t="array" ref="O1510">IFERROR(INDEX(Sheet4!$2:$1605,MATCH(ChiTietKQKD[[#This Row],[Mã CP]],Sheet4!$B$2:$B$1605,0),_xlfn.XMATCH("*Tăng trưởng lợi nhuận sau thuế (YoY) (Quý*",Sheet4!$1:$1,2)),"")</f>
        <v>0</v>
      </c>
      <c r="P1510" s="10" cm="1">
        <f t="array" ref="P1510">IFERROR(INDEX(Sheet4!$2:$1605,MATCH(ChiTietKQKD[[#This Row],[Mã CP]],Sheet4!$B$2:$B$1605,0),_xlfn.XMATCH("*Tăng trưởng lợi nhuận sau thuế (YoY) (6M)*",Sheet4!$1:$1,2)),"")</f>
        <v>0</v>
      </c>
      <c r="Q1510" s="10" cm="1">
        <f t="array" ref="Q1510">IFERROR(INDEX(Sheet4!$2:$1605,MATCH(ChiTietKQKD[[#This Row],[Mã CP]],Sheet4!$B$2:$B$1605,0),_xlfn.XMATCH("*Tăng trưởng doanh thu thuần (QoQ)*",Sheet4!$1:$1,2)),"")</f>
        <v>0</v>
      </c>
      <c r="R1510" s="10" cm="1">
        <f t="array" ref="R1510">IFERROR(INDEX(Sheet4!$2:$1605,MATCH(ChiTietKQKD[[#This Row],[Mã CP]],Sheet4!$B$2:$B$1605,0),_xlfn.XMATCH("*Tăng trưởng lợi nhuận sau thuế (QoQ)*",Sheet4!$1:$1,2)),"")</f>
        <v>0</v>
      </c>
    </row>
    <row r="1511" spans="1:18" x14ac:dyDescent="0.25">
      <c r="A1511" s="7">
        <f>Sheet4!A1490</f>
        <v>1489</v>
      </c>
      <c r="B1511" t="str">
        <f>Sheet4!B1490</f>
        <v>UXC</v>
      </c>
      <c r="C1511" t="str">
        <f>Sheet4!C1489</f>
        <v>Môi trường Nam Thành</v>
      </c>
      <c r="D1511" t="str">
        <f>Sheet4!D1490</f>
        <v>UPCoM</v>
      </c>
      <c r="E1511" s="7">
        <f>Sheet4!AH1490/1000000000</f>
        <v>38.939964799999998</v>
      </c>
      <c r="F1511" t="str">
        <f>Sheet4!E1490</f>
        <v>Hàng Tiêu dùng</v>
      </c>
      <c r="G1511" t="str">
        <f>Sheet4!F1490</f>
        <v>Thực phẩm và đồ uống</v>
      </c>
      <c r="H1511" t="str">
        <f>Sheet4!G1490</f>
        <v>Nuôi trồng nông &amp; hải sản</v>
      </c>
      <c r="I1511" s="9" t="str" cm="1">
        <f t="array" ref="I151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11" s="9" t="str" cm="1">
        <f t="array" ref="J151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11" s="10" cm="1">
        <f t="array" ref="K151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11" s="10" cm="1">
        <f t="array" ref="L151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11" s="9" t="str" cm="1">
        <f t="array" ref="M151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11" s="9" t="str" cm="1">
        <f t="array" ref="N151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11" s="10" cm="1">
        <f t="array" ref="O1511">IFERROR(INDEX(Sheet4!$2:$1605,MATCH(ChiTietKQKD[[#This Row],[Mã CP]],Sheet4!$B$2:$B$1605,0),_xlfn.XMATCH("*Tăng trưởng lợi nhuận sau thuế (YoY) (Quý*",Sheet4!$1:$1,2)),"")</f>
        <v>0</v>
      </c>
      <c r="P1511" s="10" cm="1">
        <f t="array" ref="P1511">IFERROR(INDEX(Sheet4!$2:$1605,MATCH(ChiTietKQKD[[#This Row],[Mã CP]],Sheet4!$B$2:$B$1605,0),_xlfn.XMATCH("*Tăng trưởng lợi nhuận sau thuế (YoY) (6M)*",Sheet4!$1:$1,2)),"")</f>
        <v>0</v>
      </c>
      <c r="Q1511" s="10" cm="1">
        <f t="array" ref="Q1511">IFERROR(INDEX(Sheet4!$2:$1605,MATCH(ChiTietKQKD[[#This Row],[Mã CP]],Sheet4!$B$2:$B$1605,0),_xlfn.XMATCH("*Tăng trưởng doanh thu thuần (QoQ)*",Sheet4!$1:$1,2)),"")</f>
        <v>0</v>
      </c>
      <c r="R1511" s="10" cm="1">
        <f t="array" ref="R1511">IFERROR(INDEX(Sheet4!$2:$1605,MATCH(ChiTietKQKD[[#This Row],[Mã CP]],Sheet4!$B$2:$B$1605,0),_xlfn.XMATCH("*Tăng trưởng lợi nhuận sau thuế (QoQ)*",Sheet4!$1:$1,2)),"")</f>
        <v>0</v>
      </c>
    </row>
    <row r="1512" spans="1:18" x14ac:dyDescent="0.25">
      <c r="A1512" s="7">
        <f>Sheet4!A1491</f>
        <v>1490</v>
      </c>
      <c r="B1512" t="str">
        <f>Sheet4!B1491</f>
        <v>V45</v>
      </c>
      <c r="C1512" t="str">
        <f>Sheet4!C1490</f>
        <v>Chế biến Thủy sản Út Xi</v>
      </c>
      <c r="D1512" t="str">
        <f>Sheet4!D1491</f>
        <v>UPCoM</v>
      </c>
      <c r="E1512" s="7">
        <f>Sheet4!AH1491/1000000000</f>
        <v>0</v>
      </c>
      <c r="F1512" t="str">
        <f>Sheet4!E1491</f>
        <v>Công nghiệp</v>
      </c>
      <c r="G1512" t="str">
        <f>Sheet4!F1491</f>
        <v>Xây dựng và Vật liệu</v>
      </c>
      <c r="H1512" t="str">
        <f>Sheet4!G1491</f>
        <v>Vật liệu xây dựng &amp; Nội thất</v>
      </c>
      <c r="I1512" s="9" t="str" cm="1">
        <f t="array" ref="I151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12" s="9" t="str" cm="1">
        <f t="array" ref="J151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12" s="10" cm="1">
        <f t="array" ref="K151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12" s="10" cm="1">
        <f t="array" ref="L151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12" s="9" t="str" cm="1">
        <f t="array" ref="M151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12" s="9" t="str" cm="1">
        <f t="array" ref="N151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12" s="10" cm="1">
        <f t="array" ref="O1512">IFERROR(INDEX(Sheet4!$2:$1605,MATCH(ChiTietKQKD[[#This Row],[Mã CP]],Sheet4!$B$2:$B$1605,0),_xlfn.XMATCH("*Tăng trưởng lợi nhuận sau thuế (YoY) (Quý*",Sheet4!$1:$1,2)),"")</f>
        <v>0</v>
      </c>
      <c r="P1512" s="10" cm="1">
        <f t="array" ref="P1512">IFERROR(INDEX(Sheet4!$2:$1605,MATCH(ChiTietKQKD[[#This Row],[Mã CP]],Sheet4!$B$2:$B$1605,0),_xlfn.XMATCH("*Tăng trưởng lợi nhuận sau thuế (YoY) (6M)*",Sheet4!$1:$1,2)),"")</f>
        <v>0</v>
      </c>
      <c r="Q1512" s="10" cm="1">
        <f t="array" ref="Q1512">IFERROR(INDEX(Sheet4!$2:$1605,MATCH(ChiTietKQKD[[#This Row],[Mã CP]],Sheet4!$B$2:$B$1605,0),_xlfn.XMATCH("*Tăng trưởng doanh thu thuần (QoQ)*",Sheet4!$1:$1,2)),"")</f>
        <v>0</v>
      </c>
      <c r="R1512" s="10" cm="1">
        <f t="array" ref="R1512">IFERROR(INDEX(Sheet4!$2:$1605,MATCH(ChiTietKQKD[[#This Row],[Mã CP]],Sheet4!$B$2:$B$1605,0),_xlfn.XMATCH("*Tăng trưởng lợi nhuận sau thuế (QoQ)*",Sheet4!$1:$1,2)),"")</f>
        <v>0</v>
      </c>
    </row>
    <row r="1513" spans="1:18" x14ac:dyDescent="0.25">
      <c r="A1513" s="7">
        <f>Sheet4!A1492</f>
        <v>1491</v>
      </c>
      <c r="B1513" t="str">
        <f>Sheet4!B1492</f>
        <v>V68</v>
      </c>
      <c r="C1513" t="str">
        <f>Sheet4!C1491</f>
        <v>Xây dựng số 45</v>
      </c>
      <c r="D1513" t="str">
        <f>Sheet4!D1492</f>
        <v>UPCoM</v>
      </c>
      <c r="E1513" s="7">
        <f>Sheet4!AH1492/1000000000</f>
        <v>0</v>
      </c>
      <c r="F1513" t="str">
        <f>Sheet4!E1492</f>
        <v>Nguyên vật liệu</v>
      </c>
      <c r="G1513" t="str">
        <f>Sheet4!F1492</f>
        <v>Hóa chất</v>
      </c>
      <c r="H1513" t="str">
        <f>Sheet4!G1492</f>
        <v>Nhựa, cao su &amp; sợi</v>
      </c>
      <c r="I1513" s="9" t="str" cm="1">
        <f t="array" ref="I151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13" s="9" t="str" cm="1">
        <f t="array" ref="J151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13" s="10" cm="1">
        <f t="array" ref="K151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13" s="10" cm="1">
        <f t="array" ref="L151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13" s="9" t="str" cm="1">
        <f t="array" ref="M151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13" s="9" t="str" cm="1">
        <f t="array" ref="N151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13" s="10" cm="1">
        <f t="array" ref="O1513">IFERROR(INDEX(Sheet4!$2:$1605,MATCH(ChiTietKQKD[[#This Row],[Mã CP]],Sheet4!$B$2:$B$1605,0),_xlfn.XMATCH("*Tăng trưởng lợi nhuận sau thuế (YoY) (Quý*",Sheet4!$1:$1,2)),"")</f>
        <v>0</v>
      </c>
      <c r="P1513" s="10" cm="1">
        <f t="array" ref="P1513">IFERROR(INDEX(Sheet4!$2:$1605,MATCH(ChiTietKQKD[[#This Row],[Mã CP]],Sheet4!$B$2:$B$1605,0),_xlfn.XMATCH("*Tăng trưởng lợi nhuận sau thuế (YoY) (6M)*",Sheet4!$1:$1,2)),"")</f>
        <v>0</v>
      </c>
      <c r="Q1513" s="10" cm="1">
        <f t="array" ref="Q1513">IFERROR(INDEX(Sheet4!$2:$1605,MATCH(ChiTietKQKD[[#This Row],[Mã CP]],Sheet4!$B$2:$B$1605,0),_xlfn.XMATCH("*Tăng trưởng doanh thu thuần (QoQ)*",Sheet4!$1:$1,2)),"")</f>
        <v>0</v>
      </c>
      <c r="R1513" s="10" cm="1">
        <f t="array" ref="R1513">IFERROR(INDEX(Sheet4!$2:$1605,MATCH(ChiTietKQKD[[#This Row],[Mã CP]],Sheet4!$B$2:$B$1605,0),_xlfn.XMATCH("*Tăng trưởng lợi nhuận sau thuế (QoQ)*",Sheet4!$1:$1,2)),"")</f>
        <v>0</v>
      </c>
    </row>
    <row r="1514" spans="1:18" x14ac:dyDescent="0.25">
      <c r="A1514" s="7">
        <f>Sheet4!A1493</f>
        <v>1492</v>
      </c>
      <c r="B1514" t="str">
        <f>Sheet4!B1493</f>
        <v>VAF</v>
      </c>
      <c r="C1514" t="str">
        <f>Sheet4!C1492</f>
        <v>Tuan Anh Investment Jsc</v>
      </c>
      <c r="D1514" t="str">
        <f>Sheet4!D1493</f>
        <v>UPCoM</v>
      </c>
      <c r="E1514" s="7">
        <f>Sheet4!AH1493/1000000000</f>
        <v>808.75035225600004</v>
      </c>
      <c r="F1514" t="str">
        <f>Sheet4!E1493</f>
        <v>Nguyên vật liệu</v>
      </c>
      <c r="G1514" t="str">
        <f>Sheet4!F1493</f>
        <v>Hóa chất</v>
      </c>
      <c r="H1514" t="str">
        <f>Sheet4!G1493</f>
        <v>Sản phẩm hóa dầu, Nông dược &amp; Hóa chất khác</v>
      </c>
      <c r="I1514" s="9" t="str" cm="1">
        <f t="array" ref="I151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14" s="9" t="str" cm="1">
        <f t="array" ref="J151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14" s="10" cm="1">
        <f t="array" ref="K151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14" s="10" cm="1">
        <f t="array" ref="L151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14" s="9" t="str" cm="1">
        <f t="array" ref="M151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14" s="9" t="str" cm="1">
        <f t="array" ref="N151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14" s="10" cm="1">
        <f t="array" ref="O1514">IFERROR(INDEX(Sheet4!$2:$1605,MATCH(ChiTietKQKD[[#This Row],[Mã CP]],Sheet4!$B$2:$B$1605,0),_xlfn.XMATCH("*Tăng trưởng lợi nhuận sau thuế (YoY) (Quý*",Sheet4!$1:$1,2)),"")</f>
        <v>0</v>
      </c>
      <c r="P1514" s="10" cm="1">
        <f t="array" ref="P1514">IFERROR(INDEX(Sheet4!$2:$1605,MATCH(ChiTietKQKD[[#This Row],[Mã CP]],Sheet4!$B$2:$B$1605,0),_xlfn.XMATCH("*Tăng trưởng lợi nhuận sau thuế (YoY) (6M)*",Sheet4!$1:$1,2)),"")</f>
        <v>0</v>
      </c>
      <c r="Q1514" s="10" cm="1">
        <f t="array" ref="Q1514">IFERROR(INDEX(Sheet4!$2:$1605,MATCH(ChiTietKQKD[[#This Row],[Mã CP]],Sheet4!$B$2:$B$1605,0),_xlfn.XMATCH("*Tăng trưởng doanh thu thuần (QoQ)*",Sheet4!$1:$1,2)),"")</f>
        <v>0</v>
      </c>
      <c r="R1514" s="10" cm="1">
        <f t="array" ref="R1514">IFERROR(INDEX(Sheet4!$2:$1605,MATCH(ChiTietKQKD[[#This Row],[Mã CP]],Sheet4!$B$2:$B$1605,0),_xlfn.XMATCH("*Tăng trưởng lợi nhuận sau thuế (QoQ)*",Sheet4!$1:$1,2)),"")</f>
        <v>0</v>
      </c>
    </row>
    <row r="1515" spans="1:18" x14ac:dyDescent="0.25">
      <c r="A1515" s="7">
        <f>Sheet4!A1494</f>
        <v>1493</v>
      </c>
      <c r="B1515" t="str">
        <f>Sheet4!B1494</f>
        <v>VAV</v>
      </c>
      <c r="C1515" t="str">
        <f>Sheet4!C1493</f>
        <v>Phân lân Văn Điển</v>
      </c>
      <c r="D1515" t="str">
        <f>Sheet4!D1494</f>
        <v>UPCoM</v>
      </c>
      <c r="E1515" s="7">
        <f>Sheet4!AH1494/1000000000</f>
        <v>1631.99983</v>
      </c>
      <c r="F1515" t="str">
        <f>Sheet4!E1494</f>
        <v>Tiện ích Cộng đồng</v>
      </c>
      <c r="G1515" t="str">
        <f>Sheet4!F1494</f>
        <v>Điện, nước &amp; xăng dầu khí đốt</v>
      </c>
      <c r="H1515" t="str">
        <f>Sheet4!G1494</f>
        <v>Nước</v>
      </c>
      <c r="I1515" s="9" cm="1">
        <f t="array" ref="I151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305.60209669900001</v>
      </c>
      <c r="J1515" s="9" t="str" cm="1">
        <f t="array" ref="J151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15" s="10" cm="1">
        <f t="array" ref="K151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4.9099999999999998E-2</v>
      </c>
      <c r="L1515" s="10" cm="1">
        <f t="array" ref="L151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3.15E-2</v>
      </c>
      <c r="M1515" s="9" cm="1">
        <f t="array" ref="M1515">_xlfn.LET(_xlpm.val,IFERROR(INDEX(Sheet4!$2:$1605,MATCH(ChiTietKQKD[[#This Row],[Mã CP]],Sheet4!$B$2:$B$1605,0),_xlfn.XMATCH("*Lợi nhuận sau thuế*Q2*2026*",Sheet4!$1:$1,2)),0),IF(OR(_xlpm.val="",_xlpm.val=0),"",_xlpm.val/1000000000))</f>
        <v>40.419468117000001</v>
      </c>
      <c r="N1515" s="9" t="str" cm="1">
        <f t="array" ref="N151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15" s="10" cm="1">
        <f t="array" ref="O1515">IFERROR(INDEX(Sheet4!$2:$1605,MATCH(ChiTietKQKD[[#This Row],[Mã CP]],Sheet4!$B$2:$B$1605,0),_xlfn.XMATCH("*Tăng trưởng lợi nhuận sau thuế (YoY) (Quý*",Sheet4!$1:$1,2)),"")</f>
        <v>0.129</v>
      </c>
      <c r="P1515" s="10" cm="1">
        <f t="array" ref="P1515">IFERROR(INDEX(Sheet4!$2:$1605,MATCH(ChiTietKQKD[[#This Row],[Mã CP]],Sheet4!$B$2:$B$1605,0),_xlfn.XMATCH("*Tăng trưởng lợi nhuận sau thuế (YoY) (6M)*",Sheet4!$1:$1,2)),"")</f>
        <v>-0.2384</v>
      </c>
      <c r="Q1515" s="10" cm="1">
        <f t="array" ref="Q1515">IFERROR(INDEX(Sheet4!$2:$1605,MATCH(ChiTietKQKD[[#This Row],[Mã CP]],Sheet4!$B$2:$B$1605,0),_xlfn.XMATCH("*Tăng trưởng doanh thu thuần (QoQ)*",Sheet4!$1:$1,2)),"")</f>
        <v>0.27039999999999997</v>
      </c>
      <c r="R1515" s="10" cm="1">
        <f t="array" ref="R1515">IFERROR(INDEX(Sheet4!$2:$1605,MATCH(ChiTietKQKD[[#This Row],[Mã CP]],Sheet4!$B$2:$B$1605,0),_xlfn.XMATCH("*Tăng trưởng lợi nhuận sau thuế (QoQ)*",Sheet4!$1:$1,2)),"")</f>
        <v>0.4355</v>
      </c>
    </row>
    <row r="1516" spans="1:18" x14ac:dyDescent="0.25">
      <c r="A1516" s="7">
        <f>Sheet4!A1495</f>
        <v>1494</v>
      </c>
      <c r="B1516" t="str">
        <f>Sheet4!B1495</f>
        <v>VBG</v>
      </c>
      <c r="C1516" t="str">
        <f>Sheet4!C1494</f>
        <v>VIWACO</v>
      </c>
      <c r="D1516" t="str">
        <f>Sheet4!D1495</f>
        <v>UPCoM</v>
      </c>
      <c r="E1516" s="7">
        <f>Sheet4!AH1495/1000000000</f>
        <v>43</v>
      </c>
      <c r="F1516" t="str">
        <f>Sheet4!E1495</f>
        <v>Nguyên vật liệu</v>
      </c>
      <c r="G1516" t="str">
        <f>Sheet4!F1495</f>
        <v>Tài nguyên Cơ bản</v>
      </c>
      <c r="H1516" t="str">
        <f>Sheet4!G1495</f>
        <v>Khai khoáng</v>
      </c>
      <c r="I1516" s="9" t="str" cm="1">
        <f t="array" ref="I151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16" s="9" t="str" cm="1">
        <f t="array" ref="J151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16" s="10" cm="1">
        <f t="array" ref="K151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16" s="10" cm="1">
        <f t="array" ref="L151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16" s="9" t="str" cm="1">
        <f t="array" ref="M151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16" s="9" t="str" cm="1">
        <f t="array" ref="N151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16" s="10" cm="1">
        <f t="array" ref="O1516">IFERROR(INDEX(Sheet4!$2:$1605,MATCH(ChiTietKQKD[[#This Row],[Mã CP]],Sheet4!$B$2:$B$1605,0),_xlfn.XMATCH("*Tăng trưởng lợi nhuận sau thuế (YoY) (Quý*",Sheet4!$1:$1,2)),"")</f>
        <v>0</v>
      </c>
      <c r="P1516" s="10" cm="1">
        <f t="array" ref="P1516">IFERROR(INDEX(Sheet4!$2:$1605,MATCH(ChiTietKQKD[[#This Row],[Mã CP]],Sheet4!$B$2:$B$1605,0),_xlfn.XMATCH("*Tăng trưởng lợi nhuận sau thuế (YoY) (6M)*",Sheet4!$1:$1,2)),"")</f>
        <v>0</v>
      </c>
      <c r="Q1516" s="10" cm="1">
        <f t="array" ref="Q1516">IFERROR(INDEX(Sheet4!$2:$1605,MATCH(ChiTietKQKD[[#This Row],[Mã CP]],Sheet4!$B$2:$B$1605,0),_xlfn.XMATCH("*Tăng trưởng doanh thu thuần (QoQ)*",Sheet4!$1:$1,2)),"")</f>
        <v>0</v>
      </c>
      <c r="R1516" s="10" cm="1">
        <f t="array" ref="R1516">IFERROR(INDEX(Sheet4!$2:$1605,MATCH(ChiTietKQKD[[#This Row],[Mã CP]],Sheet4!$B$2:$B$1605,0),_xlfn.XMATCH("*Tăng trưởng lợi nhuận sau thuế (QoQ)*",Sheet4!$1:$1,2)),"")</f>
        <v>0</v>
      </c>
    </row>
    <row r="1517" spans="1:18" x14ac:dyDescent="0.25">
      <c r="A1517" s="7">
        <f>Sheet4!A1496</f>
        <v>1495</v>
      </c>
      <c r="B1517" t="str">
        <f>Sheet4!B1496</f>
        <v>VBH</v>
      </c>
      <c r="C1517" t="str">
        <f>Sheet4!C1495</f>
        <v>Địa chất Việt Bắc - TKV</v>
      </c>
      <c r="D1517" t="str">
        <f>Sheet4!D1496</f>
        <v>UPCoM</v>
      </c>
      <c r="E1517" s="7">
        <f>Sheet4!AH1496/1000000000</f>
        <v>55.68</v>
      </c>
      <c r="F1517" t="str">
        <f>Sheet4!E1496</f>
        <v>Công nghiệp</v>
      </c>
      <c r="G1517" t="str">
        <f>Sheet4!F1496</f>
        <v>Hàng &amp; Dịch vụ Công nghiệp</v>
      </c>
      <c r="H1517" t="str">
        <f>Sheet4!G1496</f>
        <v>Hàng điện &amp; điện tử</v>
      </c>
      <c r="I1517" s="9" t="str" cm="1">
        <f t="array" ref="I151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17" s="9" t="str" cm="1">
        <f t="array" ref="J151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17" s="10" cm="1">
        <f t="array" ref="K151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17" s="10" cm="1">
        <f t="array" ref="L151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17" s="9" t="str" cm="1">
        <f t="array" ref="M151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17" s="9" t="str" cm="1">
        <f t="array" ref="N151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17" s="10" cm="1">
        <f t="array" ref="O1517">IFERROR(INDEX(Sheet4!$2:$1605,MATCH(ChiTietKQKD[[#This Row],[Mã CP]],Sheet4!$B$2:$B$1605,0),_xlfn.XMATCH("*Tăng trưởng lợi nhuận sau thuế (YoY) (Quý*",Sheet4!$1:$1,2)),"")</f>
        <v>0</v>
      </c>
      <c r="P1517" s="10" cm="1">
        <f t="array" ref="P1517">IFERROR(INDEX(Sheet4!$2:$1605,MATCH(ChiTietKQKD[[#This Row],[Mã CP]],Sheet4!$B$2:$B$1605,0),_xlfn.XMATCH("*Tăng trưởng lợi nhuận sau thuế (YoY) (6M)*",Sheet4!$1:$1,2)),"")</f>
        <v>0</v>
      </c>
      <c r="Q1517" s="10" cm="1">
        <f t="array" ref="Q1517">IFERROR(INDEX(Sheet4!$2:$1605,MATCH(ChiTietKQKD[[#This Row],[Mã CP]],Sheet4!$B$2:$B$1605,0),_xlfn.XMATCH("*Tăng trưởng doanh thu thuần (QoQ)*",Sheet4!$1:$1,2)),"")</f>
        <v>0</v>
      </c>
      <c r="R1517" s="10" cm="1">
        <f t="array" ref="R1517">IFERROR(INDEX(Sheet4!$2:$1605,MATCH(ChiTietKQKD[[#This Row],[Mã CP]],Sheet4!$B$2:$B$1605,0),_xlfn.XMATCH("*Tăng trưởng lợi nhuận sau thuế (QoQ)*",Sheet4!$1:$1,2)),"")</f>
        <v>0</v>
      </c>
    </row>
    <row r="1518" spans="1:18" x14ac:dyDescent="0.25">
      <c r="A1518" s="7">
        <f>Sheet4!A1497</f>
        <v>1496</v>
      </c>
      <c r="B1518" t="str">
        <f>Sheet4!B1497</f>
        <v>VBT</v>
      </c>
      <c r="C1518" t="str">
        <f>Sheet4!C1496</f>
        <v>Điện tử Bình Hòa</v>
      </c>
      <c r="D1518" t="str">
        <f>Sheet4!D1497</f>
        <v>UPCoM</v>
      </c>
      <c r="E1518" s="7">
        <f>Sheet4!AH1497/1000000000</f>
        <v>14.4</v>
      </c>
      <c r="F1518" t="str">
        <f>Sheet4!E1497</f>
        <v>Công nghiệp</v>
      </c>
      <c r="G1518" t="str">
        <f>Sheet4!F1497</f>
        <v>Hàng &amp; Dịch vụ Công nghiệp</v>
      </c>
      <c r="H1518" t="str">
        <f>Sheet4!G1497</f>
        <v>Dịch vụ vận tải</v>
      </c>
      <c r="I1518" s="9" t="str" cm="1">
        <f t="array" ref="I151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18" s="9" t="str" cm="1">
        <f t="array" ref="J151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18" s="10" cm="1">
        <f t="array" ref="K151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18" s="10" cm="1">
        <f t="array" ref="L151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18" s="9" t="str" cm="1">
        <f t="array" ref="M151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18" s="9" t="str" cm="1">
        <f t="array" ref="N151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18" s="10" cm="1">
        <f t="array" ref="O1518">IFERROR(INDEX(Sheet4!$2:$1605,MATCH(ChiTietKQKD[[#This Row],[Mã CP]],Sheet4!$B$2:$B$1605,0),_xlfn.XMATCH("*Tăng trưởng lợi nhuận sau thuế (YoY) (Quý*",Sheet4!$1:$1,2)),"")</f>
        <v>0</v>
      </c>
      <c r="P1518" s="10" cm="1">
        <f t="array" ref="P1518">IFERROR(INDEX(Sheet4!$2:$1605,MATCH(ChiTietKQKD[[#This Row],[Mã CP]],Sheet4!$B$2:$B$1605,0),_xlfn.XMATCH("*Tăng trưởng lợi nhuận sau thuế (YoY) (6M)*",Sheet4!$1:$1,2)),"")</f>
        <v>0</v>
      </c>
      <c r="Q1518" s="10" cm="1">
        <f t="array" ref="Q1518">IFERROR(INDEX(Sheet4!$2:$1605,MATCH(ChiTietKQKD[[#This Row],[Mã CP]],Sheet4!$B$2:$B$1605,0),_xlfn.XMATCH("*Tăng trưởng doanh thu thuần (QoQ)*",Sheet4!$1:$1,2)),"")</f>
        <v>0</v>
      </c>
      <c r="R1518" s="10" cm="1">
        <f t="array" ref="R1518">IFERROR(INDEX(Sheet4!$2:$1605,MATCH(ChiTietKQKD[[#This Row],[Mã CP]],Sheet4!$B$2:$B$1605,0),_xlfn.XMATCH("*Tăng trưởng lợi nhuận sau thuế (QoQ)*",Sheet4!$1:$1,2)),"")</f>
        <v>0</v>
      </c>
    </row>
    <row r="1519" spans="1:18" x14ac:dyDescent="0.25">
      <c r="A1519" s="7">
        <f>Sheet4!A1498</f>
        <v>1497</v>
      </c>
      <c r="B1519" t="str">
        <f>Sheet4!B1498</f>
        <v>VCE</v>
      </c>
      <c r="C1519" t="str">
        <f>Sheet4!C1497</f>
        <v>Vận tải Bảo Thắng</v>
      </c>
      <c r="D1519" t="str">
        <f>Sheet4!D1498</f>
        <v>UPCoM</v>
      </c>
      <c r="E1519" s="7">
        <f>Sheet4!AH1498/1000000000</f>
        <v>40</v>
      </c>
      <c r="F1519" t="str">
        <f>Sheet4!E1498</f>
        <v>Công nghiệp</v>
      </c>
      <c r="G1519" t="str">
        <f>Sheet4!F1498</f>
        <v>Xây dựng và Vật liệu</v>
      </c>
      <c r="H1519" t="str">
        <f>Sheet4!G1498</f>
        <v>Xây dựng</v>
      </c>
      <c r="I1519" s="9" t="str" cm="1">
        <f t="array" ref="I151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19" s="9" t="str" cm="1">
        <f t="array" ref="J151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19" s="10" cm="1">
        <f t="array" ref="K151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19" s="10" cm="1">
        <f t="array" ref="L151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19" s="9" t="str" cm="1">
        <f t="array" ref="M151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19" s="9" t="str" cm="1">
        <f t="array" ref="N151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19" s="10" cm="1">
        <f t="array" ref="O1519">IFERROR(INDEX(Sheet4!$2:$1605,MATCH(ChiTietKQKD[[#This Row],[Mã CP]],Sheet4!$B$2:$B$1605,0),_xlfn.XMATCH("*Tăng trưởng lợi nhuận sau thuế (YoY) (Quý*",Sheet4!$1:$1,2)),"")</f>
        <v>0</v>
      </c>
      <c r="P1519" s="10" cm="1">
        <f t="array" ref="P1519">IFERROR(INDEX(Sheet4!$2:$1605,MATCH(ChiTietKQKD[[#This Row],[Mã CP]],Sheet4!$B$2:$B$1605,0),_xlfn.XMATCH("*Tăng trưởng lợi nhuận sau thuế (YoY) (6M)*",Sheet4!$1:$1,2)),"")</f>
        <v>0</v>
      </c>
      <c r="Q1519" s="10" cm="1">
        <f t="array" ref="Q1519">IFERROR(INDEX(Sheet4!$2:$1605,MATCH(ChiTietKQKD[[#This Row],[Mã CP]],Sheet4!$B$2:$B$1605,0),_xlfn.XMATCH("*Tăng trưởng doanh thu thuần (QoQ)*",Sheet4!$1:$1,2)),"")</f>
        <v>0</v>
      </c>
      <c r="R1519" s="10" cm="1">
        <f t="array" ref="R1519">IFERROR(INDEX(Sheet4!$2:$1605,MATCH(ChiTietKQKD[[#This Row],[Mã CP]],Sheet4!$B$2:$B$1605,0),_xlfn.XMATCH("*Tăng trưởng lợi nhuận sau thuế (QoQ)*",Sheet4!$1:$1,2)),"")</f>
        <v>0</v>
      </c>
    </row>
    <row r="1520" spans="1:18" x14ac:dyDescent="0.25">
      <c r="A1520" s="7">
        <f>Sheet4!A1499</f>
        <v>1498</v>
      </c>
      <c r="B1520" t="str">
        <f>Sheet4!B1499</f>
        <v>VCP</v>
      </c>
      <c r="C1520" t="str">
        <f>Sheet4!C1498</f>
        <v>Xây lắp Môi trường</v>
      </c>
      <c r="D1520" t="str">
        <f>Sheet4!D1499</f>
        <v>UPCoM</v>
      </c>
      <c r="E1520" s="7">
        <f>Sheet4!AH1499/1000000000</f>
        <v>1902.360395232</v>
      </c>
      <c r="F1520" t="str">
        <f>Sheet4!E1499</f>
        <v>Tiện ích Cộng đồng</v>
      </c>
      <c r="G1520" t="str">
        <f>Sheet4!F1499</f>
        <v>Điện, nước &amp; xăng dầu khí đốt</v>
      </c>
      <c r="H1520" t="str">
        <f>Sheet4!G1499</f>
        <v>Sản xuất &amp; Phân phối Điện</v>
      </c>
      <c r="I1520" s="9" t="str" cm="1">
        <f t="array" ref="I152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20" s="9" t="str" cm="1">
        <f t="array" ref="J152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20" s="10" cm="1">
        <f t="array" ref="K152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20" s="10" cm="1">
        <f t="array" ref="L152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20" s="9" t="str" cm="1">
        <f t="array" ref="M152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20" s="9" t="str" cm="1">
        <f t="array" ref="N152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20" s="10" cm="1">
        <f t="array" ref="O1520">IFERROR(INDEX(Sheet4!$2:$1605,MATCH(ChiTietKQKD[[#This Row],[Mã CP]],Sheet4!$B$2:$B$1605,0),_xlfn.XMATCH("*Tăng trưởng lợi nhuận sau thuế (YoY) (Quý*",Sheet4!$1:$1,2)),"")</f>
        <v>0</v>
      </c>
      <c r="P1520" s="10" cm="1">
        <f t="array" ref="P1520">IFERROR(INDEX(Sheet4!$2:$1605,MATCH(ChiTietKQKD[[#This Row],[Mã CP]],Sheet4!$B$2:$B$1605,0),_xlfn.XMATCH("*Tăng trưởng lợi nhuận sau thuế (YoY) (6M)*",Sheet4!$1:$1,2)),"")</f>
        <v>0</v>
      </c>
      <c r="Q1520" s="10" cm="1">
        <f t="array" ref="Q1520">IFERROR(INDEX(Sheet4!$2:$1605,MATCH(ChiTietKQKD[[#This Row],[Mã CP]],Sheet4!$B$2:$B$1605,0),_xlfn.XMATCH("*Tăng trưởng doanh thu thuần (QoQ)*",Sheet4!$1:$1,2)),"")</f>
        <v>0</v>
      </c>
      <c r="R1520" s="10" cm="1">
        <f t="array" ref="R1520">IFERROR(INDEX(Sheet4!$2:$1605,MATCH(ChiTietKQKD[[#This Row],[Mã CP]],Sheet4!$B$2:$B$1605,0),_xlfn.XMATCH("*Tăng trưởng lợi nhuận sau thuế (QoQ)*",Sheet4!$1:$1,2)),"")</f>
        <v>0</v>
      </c>
    </row>
    <row r="1521" spans="1:18" x14ac:dyDescent="0.25">
      <c r="A1521" s="7">
        <f>Sheet4!A1500</f>
        <v>1499</v>
      </c>
      <c r="B1521" t="str">
        <f>Sheet4!B1500</f>
        <v>VCR</v>
      </c>
      <c r="C1521" t="str">
        <f>Sheet4!C1499</f>
        <v>Xây dựng và Năng lượng VCP</v>
      </c>
      <c r="D1521" t="str">
        <f>Sheet4!D1500</f>
        <v>UPCoM</v>
      </c>
      <c r="E1521" s="7">
        <f>Sheet4!AH1500/1000000000</f>
        <v>8820</v>
      </c>
      <c r="F1521" t="str">
        <f>Sheet4!E1500</f>
        <v>Tài chính</v>
      </c>
      <c r="G1521" t="str">
        <f>Sheet4!F1500</f>
        <v>Bất động sản</v>
      </c>
      <c r="H1521" t="str">
        <f>Sheet4!G1500</f>
        <v>Bất động sản</v>
      </c>
      <c r="I1521" s="9" t="str" cm="1">
        <f t="array" ref="I152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21" s="9" t="str" cm="1">
        <f t="array" ref="J152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21" s="10" cm="1">
        <f t="array" ref="K152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21" s="10" cm="1">
        <f t="array" ref="L152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21" s="9" t="str" cm="1">
        <f t="array" ref="M152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21" s="9" t="str" cm="1">
        <f t="array" ref="N152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21" s="10" cm="1">
        <f t="array" ref="O1521">IFERROR(INDEX(Sheet4!$2:$1605,MATCH(ChiTietKQKD[[#This Row],[Mã CP]],Sheet4!$B$2:$B$1605,0),_xlfn.XMATCH("*Tăng trưởng lợi nhuận sau thuế (YoY) (Quý*",Sheet4!$1:$1,2)),"")</f>
        <v>0</v>
      </c>
      <c r="P1521" s="10" cm="1">
        <f t="array" ref="P1521">IFERROR(INDEX(Sheet4!$2:$1605,MATCH(ChiTietKQKD[[#This Row],[Mã CP]],Sheet4!$B$2:$B$1605,0),_xlfn.XMATCH("*Tăng trưởng lợi nhuận sau thuế (YoY) (6M)*",Sheet4!$1:$1,2)),"")</f>
        <v>0</v>
      </c>
      <c r="Q1521" s="10" cm="1">
        <f t="array" ref="Q1521">IFERROR(INDEX(Sheet4!$2:$1605,MATCH(ChiTietKQKD[[#This Row],[Mã CP]],Sheet4!$B$2:$B$1605,0),_xlfn.XMATCH("*Tăng trưởng doanh thu thuần (QoQ)*",Sheet4!$1:$1,2)),"")</f>
        <v>0</v>
      </c>
      <c r="R1521" s="10" cm="1">
        <f t="array" ref="R1521">IFERROR(INDEX(Sheet4!$2:$1605,MATCH(ChiTietKQKD[[#This Row],[Mã CP]],Sheet4!$B$2:$B$1605,0),_xlfn.XMATCH("*Tăng trưởng lợi nhuận sau thuế (QoQ)*",Sheet4!$1:$1,2)),"")</f>
        <v>0</v>
      </c>
    </row>
    <row r="1522" spans="1:18" x14ac:dyDescent="0.25">
      <c r="A1522" s="7">
        <f>Sheet4!A1501</f>
        <v>1500</v>
      </c>
      <c r="B1522" t="str">
        <f>Sheet4!B1501</f>
        <v>VCT</v>
      </c>
      <c r="C1522" t="str">
        <f>Sheet4!C1500</f>
        <v>Đầu tư và Phát triển Du lịch ITC</v>
      </c>
      <c r="D1522" t="str">
        <f>Sheet4!D1501</f>
        <v>UPCoM</v>
      </c>
      <c r="E1522" s="7">
        <f>Sheet4!AH1501/1000000000</f>
        <v>9.4600000000000009</v>
      </c>
      <c r="F1522" t="str">
        <f>Sheet4!E1501</f>
        <v>Công nghiệp</v>
      </c>
      <c r="G1522" t="str">
        <f>Sheet4!F1501</f>
        <v>Hàng &amp; Dịch vụ Công nghiệp</v>
      </c>
      <c r="H1522" t="str">
        <f>Sheet4!G1501</f>
        <v>Tư vấn &amp; Hỗ trợ KD</v>
      </c>
      <c r="I1522" s="9" t="str" cm="1">
        <f t="array" ref="I152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22" s="9" t="str" cm="1">
        <f t="array" ref="J152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22" s="10" cm="1">
        <f t="array" ref="K152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22" s="10" cm="1">
        <f t="array" ref="L152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22" s="9" t="str" cm="1">
        <f t="array" ref="M152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22" s="9" t="str" cm="1">
        <f t="array" ref="N152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22" s="10" cm="1">
        <f t="array" ref="O1522">IFERROR(INDEX(Sheet4!$2:$1605,MATCH(ChiTietKQKD[[#This Row],[Mã CP]],Sheet4!$B$2:$B$1605,0),_xlfn.XMATCH("*Tăng trưởng lợi nhuận sau thuế (YoY) (Quý*",Sheet4!$1:$1,2)),"")</f>
        <v>0</v>
      </c>
      <c r="P1522" s="10" cm="1">
        <f t="array" ref="P1522">IFERROR(INDEX(Sheet4!$2:$1605,MATCH(ChiTietKQKD[[#This Row],[Mã CP]],Sheet4!$B$2:$B$1605,0),_xlfn.XMATCH("*Tăng trưởng lợi nhuận sau thuế (YoY) (6M)*",Sheet4!$1:$1,2)),"")</f>
        <v>0</v>
      </c>
      <c r="Q1522" s="10" cm="1">
        <f t="array" ref="Q1522">IFERROR(INDEX(Sheet4!$2:$1605,MATCH(ChiTietKQKD[[#This Row],[Mã CP]],Sheet4!$B$2:$B$1605,0),_xlfn.XMATCH("*Tăng trưởng doanh thu thuần (QoQ)*",Sheet4!$1:$1,2)),"")</f>
        <v>0</v>
      </c>
      <c r="R1522" s="10" cm="1">
        <f t="array" ref="R1522">IFERROR(INDEX(Sheet4!$2:$1605,MATCH(ChiTietKQKD[[#This Row],[Mã CP]],Sheet4!$B$2:$B$1605,0),_xlfn.XMATCH("*Tăng trưởng lợi nhuận sau thuế (QoQ)*",Sheet4!$1:$1,2)),"")</f>
        <v>0</v>
      </c>
    </row>
    <row r="1523" spans="1:18" x14ac:dyDescent="0.25">
      <c r="A1523" s="7">
        <f>Sheet4!A1502</f>
        <v>1501</v>
      </c>
      <c r="B1523" t="str">
        <f>Sheet4!B1502</f>
        <v>VCX</v>
      </c>
      <c r="C1523" t="str">
        <f>Sheet4!C1501</f>
        <v>Tư vấn XD Vinaconex</v>
      </c>
      <c r="D1523" t="str">
        <f>Sheet4!D1502</f>
        <v>UPCoM</v>
      </c>
      <c r="E1523" s="7">
        <f>Sheet4!AH1502/1000000000</f>
        <v>302.44200000000001</v>
      </c>
      <c r="F1523" t="str">
        <f>Sheet4!E1502</f>
        <v>Công nghiệp</v>
      </c>
      <c r="G1523" t="str">
        <f>Sheet4!F1502</f>
        <v>Xây dựng và Vật liệu</v>
      </c>
      <c r="H1523" t="str">
        <f>Sheet4!G1502</f>
        <v>Vật liệu xây dựng &amp; Nội thất</v>
      </c>
      <c r="I1523" s="9" cm="1">
        <f t="array" ref="I152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187.98435006599999</v>
      </c>
      <c r="J1523" s="9" cm="1">
        <f t="array" ref="J152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363.76874629899999</v>
      </c>
      <c r="K1523" s="10" cm="1">
        <f t="array" ref="K152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-0.15010000000000001</v>
      </c>
      <c r="L1523" s="10" cm="1">
        <f t="array" ref="L152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-0.13969999999999999</v>
      </c>
      <c r="M1523" s="9" cm="1">
        <f t="array" ref="M1523">_xlfn.LET(_xlpm.val,IFERROR(INDEX(Sheet4!$2:$1605,MATCH(ChiTietKQKD[[#This Row],[Mã CP]],Sheet4!$B$2:$B$1605,0),_xlfn.XMATCH("*Lợi nhuận sau thuế*Q2*2026*",Sheet4!$1:$1,2)),0),IF(OR(_xlpm.val="",_xlpm.val=0),"",_xlpm.val/1000000000))</f>
        <v>9.1954928739999993</v>
      </c>
      <c r="N1523" s="9" cm="1">
        <f t="array" ref="N1523">_xlfn.LET(_xlpm.val,IFERROR(INDEX(Sheet4!$2:$1605,MATCH(ChiTietKQKD[[#This Row],[Mã CP]],Sheet4!$B$2:$B$1605,0),_xlfn.XMATCH("*Lợi nhuận sau thuế*6 tháng*2026*",Sheet4!$1:$1,2)),0),IF(OR(_xlpm.val="",_xlpm.val=0),"",_xlpm.val/1000000000))</f>
        <v>4.1838564720000004</v>
      </c>
      <c r="O1523" s="10" cm="1">
        <f t="array" ref="O1523">IFERROR(INDEX(Sheet4!$2:$1605,MATCH(ChiTietKQKD[[#This Row],[Mã CP]],Sheet4!$B$2:$B$1605,0),_xlfn.XMATCH("*Tăng trưởng lợi nhuận sau thuế (YoY) (Quý*",Sheet4!$1:$1,2)),"")</f>
        <v>0.10009999999999999</v>
      </c>
      <c r="P1523" s="10" cm="1">
        <f t="array" ref="P1523">IFERROR(INDEX(Sheet4!$2:$1605,MATCH(ChiTietKQKD[[#This Row],[Mã CP]],Sheet4!$B$2:$B$1605,0),_xlfn.XMATCH("*Tăng trưởng lợi nhuận sau thuế (YoY) (6M)*",Sheet4!$1:$1,2)),"")</f>
        <v>-0.70099999999999996</v>
      </c>
      <c r="Q1523" s="10" cm="1">
        <f t="array" ref="Q1523">IFERROR(INDEX(Sheet4!$2:$1605,MATCH(ChiTietKQKD[[#This Row],[Mã CP]],Sheet4!$B$2:$B$1605,0),_xlfn.XMATCH("*Tăng trưởng doanh thu thuần (QoQ)*",Sheet4!$1:$1,2)),"")</f>
        <v>6.9400000000000003E-2</v>
      </c>
      <c r="R1523" s="10" cm="1">
        <f t="array" ref="R1523">IFERROR(INDEX(Sheet4!$2:$1605,MATCH(ChiTietKQKD[[#This Row],[Mã CP]],Sheet4!$B$2:$B$1605,0),_xlfn.XMATCH("*Tăng trưởng lợi nhuận sau thuế (QoQ)*",Sheet4!$1:$1,2)),"")</f>
        <v>2.8348</v>
      </c>
    </row>
    <row r="1524" spans="1:18" x14ac:dyDescent="0.25">
      <c r="A1524" s="7">
        <f>Sheet4!A1503</f>
        <v>1502</v>
      </c>
      <c r="B1524" t="str">
        <f>Sheet4!B1503</f>
        <v>VDB</v>
      </c>
      <c r="C1524" t="str">
        <f>Sheet4!C1502</f>
        <v>Xi măng Yên Bình</v>
      </c>
      <c r="D1524" t="str">
        <f>Sheet4!D1503</f>
        <v>UPCoM</v>
      </c>
      <c r="E1524" s="7">
        <f>Sheet4!AH1503/1000000000</f>
        <v>7.8104142000000003</v>
      </c>
      <c r="F1524" t="str">
        <f>Sheet4!E1503</f>
        <v>Nguyên vật liệu</v>
      </c>
      <c r="G1524" t="str">
        <f>Sheet4!F1503</f>
        <v>Tài nguyên Cơ bản</v>
      </c>
      <c r="H1524" t="str">
        <f>Sheet4!G1503</f>
        <v>Khai thác Than</v>
      </c>
      <c r="I1524" s="9" t="str" cm="1">
        <f t="array" ref="I152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24" s="9" t="str" cm="1">
        <f t="array" ref="J152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24" s="10" cm="1">
        <f t="array" ref="K152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24" s="10" cm="1">
        <f t="array" ref="L152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24" s="9" t="str" cm="1">
        <f t="array" ref="M152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24" s="9" t="str" cm="1">
        <f t="array" ref="N152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24" s="10" cm="1">
        <f t="array" ref="O1524">IFERROR(INDEX(Sheet4!$2:$1605,MATCH(ChiTietKQKD[[#This Row],[Mã CP]],Sheet4!$B$2:$B$1605,0),_xlfn.XMATCH("*Tăng trưởng lợi nhuận sau thuế (YoY) (Quý*",Sheet4!$1:$1,2)),"")</f>
        <v>0</v>
      </c>
      <c r="P1524" s="10" cm="1">
        <f t="array" ref="P1524">IFERROR(INDEX(Sheet4!$2:$1605,MATCH(ChiTietKQKD[[#This Row],[Mã CP]],Sheet4!$B$2:$B$1605,0),_xlfn.XMATCH("*Tăng trưởng lợi nhuận sau thuế (YoY) (6M)*",Sheet4!$1:$1,2)),"")</f>
        <v>0</v>
      </c>
      <c r="Q1524" s="10" cm="1">
        <f t="array" ref="Q1524">IFERROR(INDEX(Sheet4!$2:$1605,MATCH(ChiTietKQKD[[#This Row],[Mã CP]],Sheet4!$B$2:$B$1605,0),_xlfn.XMATCH("*Tăng trưởng doanh thu thuần (QoQ)*",Sheet4!$1:$1,2)),"")</f>
        <v>0</v>
      </c>
      <c r="R1524" s="10" cm="1">
        <f t="array" ref="R1524">IFERROR(INDEX(Sheet4!$2:$1605,MATCH(ChiTietKQKD[[#This Row],[Mã CP]],Sheet4!$B$2:$B$1605,0),_xlfn.XMATCH("*Tăng trưởng lợi nhuận sau thuế (QoQ)*",Sheet4!$1:$1,2)),"")</f>
        <v>0</v>
      </c>
    </row>
    <row r="1525" spans="1:18" x14ac:dyDescent="0.25">
      <c r="A1525" s="7">
        <f>Sheet4!A1504</f>
        <v>1503</v>
      </c>
      <c r="B1525" t="str">
        <f>Sheet4!B1504</f>
        <v>VDG</v>
      </c>
      <c r="C1525" t="str">
        <f>Sheet4!C1503</f>
        <v>Vận tải và CB Than Đông Bắc</v>
      </c>
      <c r="D1525" t="str">
        <f>Sheet4!D1504</f>
        <v>UPCoM</v>
      </c>
      <c r="E1525" s="7">
        <f>Sheet4!AH1504/1000000000</f>
        <v>103.7463856</v>
      </c>
      <c r="F1525" t="str">
        <f>Sheet4!E1504</f>
        <v>Hàng Tiêu dùng</v>
      </c>
      <c r="G1525" t="str">
        <f>Sheet4!F1504</f>
        <v>Hàng cá nhân &amp; Gia dụng</v>
      </c>
      <c r="H1525" t="str">
        <f>Sheet4!G1504</f>
        <v>Hàng May mặc</v>
      </c>
      <c r="I1525" s="9" t="str" cm="1">
        <f t="array" ref="I152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25" s="9" t="str" cm="1">
        <f t="array" ref="J152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25" s="10" cm="1">
        <f t="array" ref="K152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25" s="10" cm="1">
        <f t="array" ref="L152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25" s="9" t="str" cm="1">
        <f t="array" ref="M152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25" s="9" t="str" cm="1">
        <f t="array" ref="N152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25" s="10" cm="1">
        <f t="array" ref="O1525">IFERROR(INDEX(Sheet4!$2:$1605,MATCH(ChiTietKQKD[[#This Row],[Mã CP]],Sheet4!$B$2:$B$1605,0),_xlfn.XMATCH("*Tăng trưởng lợi nhuận sau thuế (YoY) (Quý*",Sheet4!$1:$1,2)),"")</f>
        <v>0</v>
      </c>
      <c r="P1525" s="10" cm="1">
        <f t="array" ref="P1525">IFERROR(INDEX(Sheet4!$2:$1605,MATCH(ChiTietKQKD[[#This Row],[Mã CP]],Sheet4!$B$2:$B$1605,0),_xlfn.XMATCH("*Tăng trưởng lợi nhuận sau thuế (YoY) (6M)*",Sheet4!$1:$1,2)),"")</f>
        <v>0</v>
      </c>
      <c r="Q1525" s="10" cm="1">
        <f t="array" ref="Q1525">IFERROR(INDEX(Sheet4!$2:$1605,MATCH(ChiTietKQKD[[#This Row],[Mã CP]],Sheet4!$B$2:$B$1605,0),_xlfn.XMATCH("*Tăng trưởng doanh thu thuần (QoQ)*",Sheet4!$1:$1,2)),"")</f>
        <v>0</v>
      </c>
      <c r="R1525" s="10" cm="1">
        <f t="array" ref="R1525">IFERROR(INDEX(Sheet4!$2:$1605,MATCH(ChiTietKQKD[[#This Row],[Mã CP]],Sheet4!$B$2:$B$1605,0),_xlfn.XMATCH("*Tăng trưởng lợi nhuận sau thuế (QoQ)*",Sheet4!$1:$1,2)),"")</f>
        <v>0</v>
      </c>
    </row>
    <row r="1526" spans="1:18" x14ac:dyDescent="0.25">
      <c r="A1526" s="7">
        <f>Sheet4!A1505</f>
        <v>1504</v>
      </c>
      <c r="B1526" t="str">
        <f>Sheet4!B1505</f>
        <v>VDN</v>
      </c>
      <c r="C1526" t="str">
        <f>Sheet4!C1504</f>
        <v>Vạn Đạt Group</v>
      </c>
      <c r="D1526" t="str">
        <f>Sheet4!D1505</f>
        <v>UPCoM</v>
      </c>
      <c r="E1526" s="7">
        <f>Sheet4!AH1505/1000000000</f>
        <v>120.622991</v>
      </c>
      <c r="F1526" t="str">
        <f>Sheet4!E1505</f>
        <v>Hàng Tiêu dùng</v>
      </c>
      <c r="G1526" t="str">
        <f>Sheet4!F1505</f>
        <v>Hàng cá nhân &amp; Gia dụng</v>
      </c>
      <c r="H1526" t="str">
        <f>Sheet4!G1505</f>
        <v>Hàng May mặc</v>
      </c>
      <c r="I1526" s="9" t="str" cm="1">
        <f t="array" ref="I152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26" s="9" t="str" cm="1">
        <f t="array" ref="J152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26" s="10" cm="1">
        <f t="array" ref="K152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26" s="10" cm="1">
        <f t="array" ref="L152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26" s="9" t="str" cm="1">
        <f t="array" ref="M152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26" s="9" t="str" cm="1">
        <f t="array" ref="N152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26" s="10" cm="1">
        <f t="array" ref="O1526">IFERROR(INDEX(Sheet4!$2:$1605,MATCH(ChiTietKQKD[[#This Row],[Mã CP]],Sheet4!$B$2:$B$1605,0),_xlfn.XMATCH("*Tăng trưởng lợi nhuận sau thuế (YoY) (Quý*",Sheet4!$1:$1,2)),"")</f>
        <v>0</v>
      </c>
      <c r="P1526" s="10" cm="1">
        <f t="array" ref="P1526">IFERROR(INDEX(Sheet4!$2:$1605,MATCH(ChiTietKQKD[[#This Row],[Mã CP]],Sheet4!$B$2:$B$1605,0),_xlfn.XMATCH("*Tăng trưởng lợi nhuận sau thuế (YoY) (6M)*",Sheet4!$1:$1,2)),"")</f>
        <v>0</v>
      </c>
      <c r="Q1526" s="10" cm="1">
        <f t="array" ref="Q1526">IFERROR(INDEX(Sheet4!$2:$1605,MATCH(ChiTietKQKD[[#This Row],[Mã CP]],Sheet4!$B$2:$B$1605,0),_xlfn.XMATCH("*Tăng trưởng doanh thu thuần (QoQ)*",Sheet4!$1:$1,2)),"")</f>
        <v>0</v>
      </c>
      <c r="R1526" s="10" cm="1">
        <f t="array" ref="R1526">IFERROR(INDEX(Sheet4!$2:$1605,MATCH(ChiTietKQKD[[#This Row],[Mã CP]],Sheet4!$B$2:$B$1605,0),_xlfn.XMATCH("*Tăng trưởng lợi nhuận sau thuế (QoQ)*",Sheet4!$1:$1,2)),"")</f>
        <v>0</v>
      </c>
    </row>
    <row r="1527" spans="1:18" x14ac:dyDescent="0.25">
      <c r="A1527" s="7">
        <f>Sheet4!A1506</f>
        <v>1505</v>
      </c>
      <c r="B1527" t="str">
        <f>Sheet4!B1506</f>
        <v>VDT</v>
      </c>
      <c r="C1527" t="str">
        <f>Sheet4!C1505</f>
        <v>Vinatex Đà Nẵng</v>
      </c>
      <c r="D1527" t="str">
        <f>Sheet4!D1506</f>
        <v>UPCoM</v>
      </c>
      <c r="E1527" s="7">
        <f>Sheet4!AH1506/1000000000</f>
        <v>19.654399999999999</v>
      </c>
      <c r="F1527" t="str">
        <f>Sheet4!E1506</f>
        <v>Nguyên vật liệu</v>
      </c>
      <c r="G1527" t="str">
        <f>Sheet4!F1506</f>
        <v>Tài nguyên Cơ bản</v>
      </c>
      <c r="H1527" t="str">
        <f>Sheet4!G1506</f>
        <v>Thép và sản phẩm thép</v>
      </c>
      <c r="I1527" s="9" t="str" cm="1">
        <f t="array" ref="I152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27" s="9" t="str" cm="1">
        <f t="array" ref="J152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27" s="10" cm="1">
        <f t="array" ref="K152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27" s="10" cm="1">
        <f t="array" ref="L152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27" s="9" t="str" cm="1">
        <f t="array" ref="M152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27" s="9" t="str" cm="1">
        <f t="array" ref="N152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27" s="10" cm="1">
        <f t="array" ref="O1527">IFERROR(INDEX(Sheet4!$2:$1605,MATCH(ChiTietKQKD[[#This Row],[Mã CP]],Sheet4!$B$2:$B$1605,0),_xlfn.XMATCH("*Tăng trưởng lợi nhuận sau thuế (YoY) (Quý*",Sheet4!$1:$1,2)),"")</f>
        <v>0</v>
      </c>
      <c r="P1527" s="10" cm="1">
        <f t="array" ref="P1527">IFERROR(INDEX(Sheet4!$2:$1605,MATCH(ChiTietKQKD[[#This Row],[Mã CP]],Sheet4!$B$2:$B$1605,0),_xlfn.XMATCH("*Tăng trưởng lợi nhuận sau thuế (YoY) (6M)*",Sheet4!$1:$1,2)),"")</f>
        <v>0</v>
      </c>
      <c r="Q1527" s="10" cm="1">
        <f t="array" ref="Q1527">IFERROR(INDEX(Sheet4!$2:$1605,MATCH(ChiTietKQKD[[#This Row],[Mã CP]],Sheet4!$B$2:$B$1605,0),_xlfn.XMATCH("*Tăng trưởng doanh thu thuần (QoQ)*",Sheet4!$1:$1,2)),"")</f>
        <v>0</v>
      </c>
      <c r="R1527" s="10" cm="1">
        <f t="array" ref="R1527">IFERROR(INDEX(Sheet4!$2:$1605,MATCH(ChiTietKQKD[[#This Row],[Mã CP]],Sheet4!$B$2:$B$1605,0),_xlfn.XMATCH("*Tăng trưởng lợi nhuận sau thuế (QoQ)*",Sheet4!$1:$1,2)),"")</f>
        <v>0</v>
      </c>
    </row>
    <row r="1528" spans="1:18" x14ac:dyDescent="0.25">
      <c r="A1528" s="7">
        <f>Sheet4!A1507</f>
        <v>1506</v>
      </c>
      <c r="B1528" t="str">
        <f>Sheet4!B1507</f>
        <v>VE8</v>
      </c>
      <c r="C1528" t="str">
        <f>Sheet4!C1506</f>
        <v>Lưới thép Bình Tây</v>
      </c>
      <c r="D1528" t="str">
        <f>Sheet4!D1507</f>
        <v>UPCoM</v>
      </c>
      <c r="E1528" s="7">
        <f>Sheet4!AH1507/1000000000</f>
        <v>3.42</v>
      </c>
      <c r="F1528" t="str">
        <f>Sheet4!E1507</f>
        <v>Công nghiệp</v>
      </c>
      <c r="G1528" t="str">
        <f>Sheet4!F1507</f>
        <v>Xây dựng và Vật liệu</v>
      </c>
      <c r="H1528" t="str">
        <f>Sheet4!G1507</f>
        <v>Xây dựng</v>
      </c>
      <c r="I1528" s="9" t="str" cm="1">
        <f t="array" ref="I152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28" s="9" t="str" cm="1">
        <f t="array" ref="J152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28" s="10" cm="1">
        <f t="array" ref="K152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28" s="10" cm="1">
        <f t="array" ref="L152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28" s="9" t="str" cm="1">
        <f t="array" ref="M152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28" s="9" t="str" cm="1">
        <f t="array" ref="N152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28" s="10" cm="1">
        <f t="array" ref="O1528">IFERROR(INDEX(Sheet4!$2:$1605,MATCH(ChiTietKQKD[[#This Row],[Mã CP]],Sheet4!$B$2:$B$1605,0),_xlfn.XMATCH("*Tăng trưởng lợi nhuận sau thuế (YoY) (Quý*",Sheet4!$1:$1,2)),"")</f>
        <v>0</v>
      </c>
      <c r="P1528" s="10" cm="1">
        <f t="array" ref="P1528">IFERROR(INDEX(Sheet4!$2:$1605,MATCH(ChiTietKQKD[[#This Row],[Mã CP]],Sheet4!$B$2:$B$1605,0),_xlfn.XMATCH("*Tăng trưởng lợi nhuận sau thuế (YoY) (6M)*",Sheet4!$1:$1,2)),"")</f>
        <v>0</v>
      </c>
      <c r="Q1528" s="10" cm="1">
        <f t="array" ref="Q1528">IFERROR(INDEX(Sheet4!$2:$1605,MATCH(ChiTietKQKD[[#This Row],[Mã CP]],Sheet4!$B$2:$B$1605,0),_xlfn.XMATCH("*Tăng trưởng doanh thu thuần (QoQ)*",Sheet4!$1:$1,2)),"")</f>
        <v>0</v>
      </c>
      <c r="R1528" s="10" cm="1">
        <f t="array" ref="R1528">IFERROR(INDEX(Sheet4!$2:$1605,MATCH(ChiTietKQKD[[#This Row],[Mã CP]],Sheet4!$B$2:$B$1605,0),_xlfn.XMATCH("*Tăng trưởng lợi nhuận sau thuế (QoQ)*",Sheet4!$1:$1,2)),"")</f>
        <v>0</v>
      </c>
    </row>
    <row r="1529" spans="1:18" x14ac:dyDescent="0.25">
      <c r="A1529" s="7">
        <f>Sheet4!A1508</f>
        <v>1507</v>
      </c>
      <c r="B1529" t="str">
        <f>Sheet4!B1508</f>
        <v>VE9</v>
      </c>
      <c r="C1529" t="str">
        <f>Sheet4!C1507</f>
        <v>Xây dựng Điện Vneco 8</v>
      </c>
      <c r="D1529" t="str">
        <f>Sheet4!D1508</f>
        <v>UPCoM</v>
      </c>
      <c r="E1529" s="7">
        <f>Sheet4!AH1508/1000000000</f>
        <v>34.892524926</v>
      </c>
      <c r="F1529" t="str">
        <f>Sheet4!E1508</f>
        <v>Công nghiệp</v>
      </c>
      <c r="G1529" t="str">
        <f>Sheet4!F1508</f>
        <v>Xây dựng và Vật liệu</v>
      </c>
      <c r="H1529" t="str">
        <f>Sheet4!G1508</f>
        <v>Xây dựng</v>
      </c>
      <c r="I1529" s="9" cm="1">
        <f t="array" ref="I152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6.6666666999999999E-2</v>
      </c>
      <c r="J1529" s="9" cm="1">
        <f t="array" ref="J152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2.3830836369999999</v>
      </c>
      <c r="K1529" s="10" cm="1">
        <f t="array" ref="K152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29" s="10" cm="1">
        <f t="array" ref="L152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29" s="9" cm="1">
        <f t="array" ref="M1529">_xlfn.LET(_xlpm.val,IFERROR(INDEX(Sheet4!$2:$1605,MATCH(ChiTietKQKD[[#This Row],[Mã CP]],Sheet4!$B$2:$B$1605,0),_xlfn.XMATCH("*Lợi nhuận sau thuế*Q2*2026*",Sheet4!$1:$1,2)),0),IF(OR(_xlpm.val="",_xlpm.val=0),"",_xlpm.val/1000000000))</f>
        <v>-0.37847405899999997</v>
      </c>
      <c r="N1529" s="9" cm="1">
        <f t="array" ref="N1529">_xlfn.LET(_xlpm.val,IFERROR(INDEX(Sheet4!$2:$1605,MATCH(ChiTietKQKD[[#This Row],[Mã CP]],Sheet4!$B$2:$B$1605,0),_xlfn.XMATCH("*Lợi nhuận sau thuế*6 tháng*2026*",Sheet4!$1:$1,2)),0),IF(OR(_xlpm.val="",_xlpm.val=0),"",_xlpm.val/1000000000))</f>
        <v>-0.614670092</v>
      </c>
      <c r="O1529" s="10" cm="1">
        <f t="array" ref="O1529">IFERROR(INDEX(Sheet4!$2:$1605,MATCH(ChiTietKQKD[[#This Row],[Mã CP]],Sheet4!$B$2:$B$1605,0),_xlfn.XMATCH("*Tăng trưởng lợi nhuận sau thuế (YoY) (Quý*",Sheet4!$1:$1,2)),"")</f>
        <v>0</v>
      </c>
      <c r="P1529" s="10" cm="1">
        <f t="array" ref="P1529">IFERROR(INDEX(Sheet4!$2:$1605,MATCH(ChiTietKQKD[[#This Row],[Mã CP]],Sheet4!$B$2:$B$1605,0),_xlfn.XMATCH("*Tăng trưởng lợi nhuận sau thuế (YoY) (6M)*",Sheet4!$1:$1,2)),"")</f>
        <v>0</v>
      </c>
      <c r="Q1529" s="10" cm="1">
        <f t="array" ref="Q1529">IFERROR(INDEX(Sheet4!$2:$1605,MATCH(ChiTietKQKD[[#This Row],[Mã CP]],Sheet4!$B$2:$B$1605,0),_xlfn.XMATCH("*Tăng trưởng doanh thu thuần (QoQ)*",Sheet4!$1:$1,2)),"")</f>
        <v>0</v>
      </c>
      <c r="R1529" s="10" cm="1">
        <f t="array" ref="R1529">IFERROR(INDEX(Sheet4!$2:$1605,MATCH(ChiTietKQKD[[#This Row],[Mã CP]],Sheet4!$B$2:$B$1605,0),_xlfn.XMATCH("*Tăng trưởng lợi nhuận sau thuế (QoQ)*",Sheet4!$1:$1,2)),"")</f>
        <v>0</v>
      </c>
    </row>
    <row r="1530" spans="1:18" x14ac:dyDescent="0.25">
      <c r="A1530" s="7">
        <f>Sheet4!A1509</f>
        <v>1508</v>
      </c>
      <c r="B1530" t="str">
        <f>Sheet4!B1509</f>
        <v>VEA</v>
      </c>
      <c r="C1530" t="str">
        <f>Sheet4!C1508</f>
        <v>VNECO 9</v>
      </c>
      <c r="D1530" t="str">
        <f>Sheet4!D1509</f>
        <v>UPCoM</v>
      </c>
      <c r="E1530" s="7">
        <f>Sheet4!AH1509/1000000000</f>
        <v>45211.091200000003</v>
      </c>
      <c r="F1530" t="str">
        <f>Sheet4!E1509</f>
        <v>Công nghiệp</v>
      </c>
      <c r="G1530" t="str">
        <f>Sheet4!F1509</f>
        <v>Hàng &amp; Dịch vụ Công nghiệp</v>
      </c>
      <c r="H1530" t="str">
        <f>Sheet4!G1509</f>
        <v>Máy công nghiệp</v>
      </c>
      <c r="I1530" s="9" t="str" cm="1">
        <f t="array" ref="I153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30" s="9" t="str" cm="1">
        <f t="array" ref="J153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30" s="10" cm="1">
        <f t="array" ref="K153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30" s="10" cm="1">
        <f t="array" ref="L153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30" s="9" t="str" cm="1">
        <f t="array" ref="M153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30" s="9" t="str" cm="1">
        <f t="array" ref="N153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30" s="10" cm="1">
        <f t="array" ref="O1530">IFERROR(INDEX(Sheet4!$2:$1605,MATCH(ChiTietKQKD[[#This Row],[Mã CP]],Sheet4!$B$2:$B$1605,0),_xlfn.XMATCH("*Tăng trưởng lợi nhuận sau thuế (YoY) (Quý*",Sheet4!$1:$1,2)),"")</f>
        <v>0</v>
      </c>
      <c r="P1530" s="10" cm="1">
        <f t="array" ref="P1530">IFERROR(INDEX(Sheet4!$2:$1605,MATCH(ChiTietKQKD[[#This Row],[Mã CP]],Sheet4!$B$2:$B$1605,0),_xlfn.XMATCH("*Tăng trưởng lợi nhuận sau thuế (YoY) (6M)*",Sheet4!$1:$1,2)),"")</f>
        <v>0</v>
      </c>
      <c r="Q1530" s="10" cm="1">
        <f t="array" ref="Q1530">IFERROR(INDEX(Sheet4!$2:$1605,MATCH(ChiTietKQKD[[#This Row],[Mã CP]],Sheet4!$B$2:$B$1605,0),_xlfn.XMATCH("*Tăng trưởng doanh thu thuần (QoQ)*",Sheet4!$1:$1,2)),"")</f>
        <v>0</v>
      </c>
      <c r="R1530" s="10" cm="1">
        <f t="array" ref="R1530">IFERROR(INDEX(Sheet4!$2:$1605,MATCH(ChiTietKQKD[[#This Row],[Mã CP]],Sheet4!$B$2:$B$1605,0),_xlfn.XMATCH("*Tăng trưởng lợi nhuận sau thuế (QoQ)*",Sheet4!$1:$1,2)),"")</f>
        <v>0</v>
      </c>
    </row>
    <row r="1531" spans="1:18" x14ac:dyDescent="0.25">
      <c r="A1531" s="7">
        <f>Sheet4!A1510</f>
        <v>1509</v>
      </c>
      <c r="B1531" t="str">
        <f>Sheet4!B1510</f>
        <v>VEC</v>
      </c>
      <c r="C1531" t="str">
        <f>Sheet4!C1509</f>
        <v>Máy động lực và Máy NN</v>
      </c>
      <c r="D1531" t="str">
        <f>Sheet4!D1510</f>
        <v>UPCoM</v>
      </c>
      <c r="E1531" s="7">
        <f>Sheet4!AH1510/1000000000</f>
        <v>1314</v>
      </c>
      <c r="F1531" t="str">
        <f>Sheet4!E1510</f>
        <v>Công nghệ Thông tin</v>
      </c>
      <c r="G1531" t="str">
        <f>Sheet4!F1510</f>
        <v>Công nghệ Thông tin</v>
      </c>
      <c r="H1531" t="str">
        <f>Sheet4!G1510</f>
        <v>Phần cứng</v>
      </c>
      <c r="I1531" s="9" t="str" cm="1">
        <f t="array" ref="I153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31" s="9" t="str" cm="1">
        <f t="array" ref="J153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31" s="10" cm="1">
        <f t="array" ref="K153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31" s="10" cm="1">
        <f t="array" ref="L153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31" s="9" t="str" cm="1">
        <f t="array" ref="M153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31" s="9" t="str" cm="1">
        <f t="array" ref="N153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31" s="10" cm="1">
        <f t="array" ref="O1531">IFERROR(INDEX(Sheet4!$2:$1605,MATCH(ChiTietKQKD[[#This Row],[Mã CP]],Sheet4!$B$2:$B$1605,0),_xlfn.XMATCH("*Tăng trưởng lợi nhuận sau thuế (YoY) (Quý*",Sheet4!$1:$1,2)),"")</f>
        <v>0</v>
      </c>
      <c r="P1531" s="10" cm="1">
        <f t="array" ref="P1531">IFERROR(INDEX(Sheet4!$2:$1605,MATCH(ChiTietKQKD[[#This Row],[Mã CP]],Sheet4!$B$2:$B$1605,0),_xlfn.XMATCH("*Tăng trưởng lợi nhuận sau thuế (YoY) (6M)*",Sheet4!$1:$1,2)),"")</f>
        <v>0</v>
      </c>
      <c r="Q1531" s="10" cm="1">
        <f t="array" ref="Q1531">IFERROR(INDEX(Sheet4!$2:$1605,MATCH(ChiTietKQKD[[#This Row],[Mã CP]],Sheet4!$B$2:$B$1605,0),_xlfn.XMATCH("*Tăng trưởng doanh thu thuần (QoQ)*",Sheet4!$1:$1,2)),"")</f>
        <v>0</v>
      </c>
      <c r="R1531" s="10" cm="1">
        <f t="array" ref="R1531">IFERROR(INDEX(Sheet4!$2:$1605,MATCH(ChiTietKQKD[[#This Row],[Mã CP]],Sheet4!$B$2:$B$1605,0),_xlfn.XMATCH("*Tăng trưởng lợi nhuận sau thuế (QoQ)*",Sheet4!$1:$1,2)),"")</f>
        <v>0</v>
      </c>
    </row>
    <row r="1532" spans="1:18" x14ac:dyDescent="0.25">
      <c r="A1532" s="7">
        <f>Sheet4!A1511</f>
        <v>1510</v>
      </c>
      <c r="B1532" t="str">
        <f>Sheet4!B1511</f>
        <v>VEF</v>
      </c>
      <c r="C1532" t="str">
        <f>Sheet4!C1510</f>
        <v>Điện tử và Tin học VN</v>
      </c>
      <c r="D1532" t="str">
        <f>Sheet4!D1511</f>
        <v>UPCoM</v>
      </c>
      <c r="E1532" s="7">
        <f>Sheet4!AH1511/1000000000</f>
        <v>11630.7525026</v>
      </c>
      <c r="F1532" t="str">
        <f>Sheet4!E1511</f>
        <v>Tài chính</v>
      </c>
      <c r="G1532" t="str">
        <f>Sheet4!F1511</f>
        <v>Bất động sản</v>
      </c>
      <c r="H1532" t="str">
        <f>Sheet4!G1511</f>
        <v>Bất động sản</v>
      </c>
      <c r="I1532" s="9" cm="1">
        <f t="array" ref="I153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388.00599999999997</v>
      </c>
      <c r="J1532" s="9" cm="1">
        <f t="array" ref="J153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509.589</v>
      </c>
      <c r="K1532" s="10" cm="1">
        <f t="array" ref="K153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78.8202</v>
      </c>
      <c r="L1532" s="10" cm="1">
        <f t="array" ref="L153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-0.98860000000000003</v>
      </c>
      <c r="M1532" s="9" cm="1">
        <f t="array" ref="M1532">_xlfn.LET(_xlpm.val,IFERROR(INDEX(Sheet4!$2:$1605,MATCH(ChiTietKQKD[[#This Row],[Mã CP]],Sheet4!$B$2:$B$1605,0),_xlfn.XMATCH("*Lợi nhuận sau thuế*Q2*2026*",Sheet4!$1:$1,2)),0),IF(OR(_xlpm.val="",_xlpm.val=0),"",_xlpm.val/1000000000))</f>
        <v>401.11200000000002</v>
      </c>
      <c r="N1532" s="9" cm="1">
        <f t="array" ref="N1532">_xlfn.LET(_xlpm.val,IFERROR(INDEX(Sheet4!$2:$1605,MATCH(ChiTietKQKD[[#This Row],[Mã CP]],Sheet4!$B$2:$B$1605,0),_xlfn.XMATCH("*Lợi nhuận sau thuế*6 tháng*2026*",Sheet4!$1:$1,2)),0),IF(OR(_xlpm.val="",_xlpm.val=0),"",_xlpm.val/1000000000))</f>
        <v>540.92999999999995</v>
      </c>
      <c r="O1532" s="10" cm="1">
        <f t="array" ref="O1532">IFERROR(INDEX(Sheet4!$2:$1605,MATCH(ChiTietKQKD[[#This Row],[Mã CP]],Sheet4!$B$2:$B$1605,0),_xlfn.XMATCH("*Tăng trưởng lợi nhuận sau thuế (YoY) (Quý*",Sheet4!$1:$1,2)),"")</f>
        <v>6.3500000000000001E-2</v>
      </c>
      <c r="P1532" s="10" cm="1">
        <f t="array" ref="P1532">IFERROR(INDEX(Sheet4!$2:$1605,MATCH(ChiTietKQKD[[#This Row],[Mã CP]],Sheet4!$B$2:$B$1605,0),_xlfn.XMATCH("*Tăng trưởng lợi nhuận sau thuế (YoY) (6M)*",Sheet4!$1:$1,2)),"")</f>
        <v>-0.96450000000000002</v>
      </c>
      <c r="Q1532" s="10" cm="1">
        <f t="array" ref="Q1532">IFERROR(INDEX(Sheet4!$2:$1605,MATCH(ChiTietKQKD[[#This Row],[Mã CP]],Sheet4!$B$2:$B$1605,0),_xlfn.XMATCH("*Tăng trưởng doanh thu thuần (QoQ)*",Sheet4!$1:$1,2)),"")</f>
        <v>2.1913</v>
      </c>
      <c r="R1532" s="10" cm="1">
        <f t="array" ref="R1532">IFERROR(INDEX(Sheet4!$2:$1605,MATCH(ChiTietKQKD[[#This Row],[Mã CP]],Sheet4!$B$2:$B$1605,0),_xlfn.XMATCH("*Tăng trưởng lợi nhuận sau thuế (QoQ)*",Sheet4!$1:$1,2)),"")</f>
        <v>1.8688</v>
      </c>
    </row>
    <row r="1533" spans="1:18" x14ac:dyDescent="0.25">
      <c r="A1533" s="7">
        <f>Sheet4!A1512</f>
        <v>1511</v>
      </c>
      <c r="B1533" t="str">
        <f>Sheet4!B1512</f>
        <v>VES</v>
      </c>
      <c r="C1533" t="str">
        <f>Sheet4!C1511</f>
        <v>Hội chợ Triển lãm Việt Nam</v>
      </c>
      <c r="D1533" t="str">
        <f>Sheet4!D1512</f>
        <v>UPCoM</v>
      </c>
      <c r="E1533" s="7">
        <f>Sheet4!AH1512/1000000000</f>
        <v>1339.4490986000001</v>
      </c>
      <c r="F1533" t="str">
        <f>Sheet4!E1512</f>
        <v>Tài chính</v>
      </c>
      <c r="G1533" t="str">
        <f>Sheet4!F1512</f>
        <v>Bất động sản</v>
      </c>
      <c r="H1533" t="str">
        <f>Sheet4!G1512</f>
        <v>Bất động sản</v>
      </c>
      <c r="I1533" s="9" t="str" cm="1">
        <f t="array" ref="I153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33" s="9" t="str" cm="1">
        <f t="array" ref="J153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33" s="10" cm="1">
        <f t="array" ref="K153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33" s="10" cm="1">
        <f t="array" ref="L153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33" s="9" t="str" cm="1">
        <f t="array" ref="M153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33" s="9" t="str" cm="1">
        <f t="array" ref="N153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33" s="10" cm="1">
        <f t="array" ref="O1533">IFERROR(INDEX(Sheet4!$2:$1605,MATCH(ChiTietKQKD[[#This Row],[Mã CP]],Sheet4!$B$2:$B$1605,0),_xlfn.XMATCH("*Tăng trưởng lợi nhuận sau thuế (YoY) (Quý*",Sheet4!$1:$1,2)),"")</f>
        <v>0</v>
      </c>
      <c r="P1533" s="10" cm="1">
        <f t="array" ref="P1533">IFERROR(INDEX(Sheet4!$2:$1605,MATCH(ChiTietKQKD[[#This Row],[Mã CP]],Sheet4!$B$2:$B$1605,0),_xlfn.XMATCH("*Tăng trưởng lợi nhuận sau thuế (YoY) (6M)*",Sheet4!$1:$1,2)),"")</f>
        <v>0</v>
      </c>
      <c r="Q1533" s="10" cm="1">
        <f t="array" ref="Q1533">IFERROR(INDEX(Sheet4!$2:$1605,MATCH(ChiTietKQKD[[#This Row],[Mã CP]],Sheet4!$B$2:$B$1605,0),_xlfn.XMATCH("*Tăng trưởng doanh thu thuần (QoQ)*",Sheet4!$1:$1,2)),"")</f>
        <v>0</v>
      </c>
      <c r="R1533" s="10" cm="1">
        <f t="array" ref="R1533">IFERROR(INDEX(Sheet4!$2:$1605,MATCH(ChiTietKQKD[[#This Row],[Mã CP]],Sheet4!$B$2:$B$1605,0),_xlfn.XMATCH("*Tăng trưởng lợi nhuận sau thuế (QoQ)*",Sheet4!$1:$1,2)),"")</f>
        <v>0</v>
      </c>
    </row>
    <row r="1534" spans="1:18" x14ac:dyDescent="0.25">
      <c r="A1534" s="7">
        <f>Sheet4!A1513</f>
        <v>1512</v>
      </c>
      <c r="B1534" t="str">
        <f>Sheet4!B1513</f>
        <v>VET</v>
      </c>
      <c r="C1534" t="str">
        <f>Sheet4!C1512</f>
        <v>Tập đoàn VinaLiving</v>
      </c>
      <c r="D1534" t="str">
        <f>Sheet4!D1513</f>
        <v>UPCoM</v>
      </c>
      <c r="E1534" s="7">
        <f>Sheet4!AH1513/1000000000</f>
        <v>232</v>
      </c>
      <c r="F1534" t="str">
        <f>Sheet4!E1513</f>
        <v>Nguyên vật liệu</v>
      </c>
      <c r="G1534" t="str">
        <f>Sheet4!F1513</f>
        <v>Hóa chất</v>
      </c>
      <c r="H1534" t="str">
        <f>Sheet4!G1513</f>
        <v>Sản phẩm hóa dầu, Nông dược &amp; Hóa chất khác</v>
      </c>
      <c r="I1534" s="9" cm="1">
        <f t="array" ref="I153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91.521902206999997</v>
      </c>
      <c r="J1534" s="9" cm="1">
        <f t="array" ref="J153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142.566729036</v>
      </c>
      <c r="K1534" s="10" cm="1">
        <f t="array" ref="K153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1.17E-2</v>
      </c>
      <c r="L1534" s="10" cm="1">
        <f t="array" ref="L153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34" s="9" cm="1">
        <f t="array" ref="M1534">_xlfn.LET(_xlpm.val,IFERROR(INDEX(Sheet4!$2:$1605,MATCH(ChiTietKQKD[[#This Row],[Mã CP]],Sheet4!$B$2:$B$1605,0),_xlfn.XMATCH("*Lợi nhuận sau thuế*Q2*2026*",Sheet4!$1:$1,2)),0),IF(OR(_xlpm.val="",_xlpm.val=0),"",_xlpm.val/1000000000))</f>
        <v>8.8104830639999996</v>
      </c>
      <c r="N1534" s="9" cm="1">
        <f t="array" ref="N1534">_xlfn.LET(_xlpm.val,IFERROR(INDEX(Sheet4!$2:$1605,MATCH(ChiTietKQKD[[#This Row],[Mã CP]],Sheet4!$B$2:$B$1605,0),_xlfn.XMATCH("*Lợi nhuận sau thuế*6 tháng*2026*",Sheet4!$1:$1,2)),0),IF(OR(_xlpm.val="",_xlpm.val=0),"",_xlpm.val/1000000000))</f>
        <v>9.569781957</v>
      </c>
      <c r="O1534" s="10" cm="1">
        <f t="array" ref="O1534">IFERROR(INDEX(Sheet4!$2:$1605,MATCH(ChiTietKQKD[[#This Row],[Mã CP]],Sheet4!$B$2:$B$1605,0),_xlfn.XMATCH("*Tăng trưởng lợi nhuận sau thuế (YoY) (Quý*",Sheet4!$1:$1,2)),"")</f>
        <v>-1.2200000000000001E-2</v>
      </c>
      <c r="P1534" s="10" cm="1">
        <f t="array" ref="P1534">IFERROR(INDEX(Sheet4!$2:$1605,MATCH(ChiTietKQKD[[#This Row],[Mã CP]],Sheet4!$B$2:$B$1605,0),_xlfn.XMATCH("*Tăng trưởng lợi nhuận sau thuế (YoY) (6M)*",Sheet4!$1:$1,2)),"")</f>
        <v>0</v>
      </c>
      <c r="Q1534" s="10" cm="1">
        <f t="array" ref="Q1534">IFERROR(INDEX(Sheet4!$2:$1605,MATCH(ChiTietKQKD[[#This Row],[Mã CP]],Sheet4!$B$2:$B$1605,0),_xlfn.XMATCH("*Tăng trưởng doanh thu thuần (QoQ)*",Sheet4!$1:$1,2)),"")</f>
        <v>0.79300000000000004</v>
      </c>
      <c r="R1534" s="10" cm="1">
        <f t="array" ref="R1534">IFERROR(INDEX(Sheet4!$2:$1605,MATCH(ChiTietKQKD[[#This Row],[Mã CP]],Sheet4!$B$2:$B$1605,0),_xlfn.XMATCH("*Tăng trưởng lợi nhuận sau thuế (QoQ)*",Sheet4!$1:$1,2)),"")</f>
        <v>10.603400000000001</v>
      </c>
    </row>
    <row r="1535" spans="1:18" x14ac:dyDescent="0.25">
      <c r="A1535" s="7">
        <f>Sheet4!A1514</f>
        <v>1513</v>
      </c>
      <c r="B1535" t="str">
        <f>Sheet4!B1514</f>
        <v>VFC</v>
      </c>
      <c r="C1535" t="str">
        <f>Sheet4!C1513</f>
        <v>Thuốc thú y trung ương Navetco</v>
      </c>
      <c r="D1535" t="str">
        <f>Sheet4!D1514</f>
        <v>UPCoM</v>
      </c>
      <c r="E1535" s="7">
        <f>Sheet4!AH1514/1000000000</f>
        <v>3434.1878992000002</v>
      </c>
      <c r="F1535" t="str">
        <f>Sheet4!E1514</f>
        <v>Công nghiệp</v>
      </c>
      <c r="G1535" t="str">
        <f>Sheet4!F1514</f>
        <v>Hàng &amp; Dịch vụ Công nghiệp</v>
      </c>
      <c r="H1535" t="str">
        <f>Sheet4!G1514</f>
        <v>Vận tải Thủy</v>
      </c>
      <c r="I1535" s="9" t="str" cm="1">
        <f t="array" ref="I153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35" s="9" t="str" cm="1">
        <f t="array" ref="J153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35" s="10" cm="1">
        <f t="array" ref="K153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35" s="10" cm="1">
        <f t="array" ref="L153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35" s="9" t="str" cm="1">
        <f t="array" ref="M153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35" s="9" t="str" cm="1">
        <f t="array" ref="N153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35" s="10" cm="1">
        <f t="array" ref="O1535">IFERROR(INDEX(Sheet4!$2:$1605,MATCH(ChiTietKQKD[[#This Row],[Mã CP]],Sheet4!$B$2:$B$1605,0),_xlfn.XMATCH("*Tăng trưởng lợi nhuận sau thuế (YoY) (Quý*",Sheet4!$1:$1,2)),"")</f>
        <v>0</v>
      </c>
      <c r="P1535" s="10" cm="1">
        <f t="array" ref="P1535">IFERROR(INDEX(Sheet4!$2:$1605,MATCH(ChiTietKQKD[[#This Row],[Mã CP]],Sheet4!$B$2:$B$1605,0),_xlfn.XMATCH("*Tăng trưởng lợi nhuận sau thuế (YoY) (6M)*",Sheet4!$1:$1,2)),"")</f>
        <v>0</v>
      </c>
      <c r="Q1535" s="10" cm="1">
        <f t="array" ref="Q1535">IFERROR(INDEX(Sheet4!$2:$1605,MATCH(ChiTietKQKD[[#This Row],[Mã CP]],Sheet4!$B$2:$B$1605,0),_xlfn.XMATCH("*Tăng trưởng doanh thu thuần (QoQ)*",Sheet4!$1:$1,2)),"")</f>
        <v>0</v>
      </c>
      <c r="R1535" s="10" cm="1">
        <f t="array" ref="R1535">IFERROR(INDEX(Sheet4!$2:$1605,MATCH(ChiTietKQKD[[#This Row],[Mã CP]],Sheet4!$B$2:$B$1605,0),_xlfn.XMATCH("*Tăng trưởng lợi nhuận sau thuế (QoQ)*",Sheet4!$1:$1,2)),"")</f>
        <v>0</v>
      </c>
    </row>
    <row r="1536" spans="1:18" x14ac:dyDescent="0.25">
      <c r="A1536" s="7">
        <f>Sheet4!A1515</f>
        <v>1514</v>
      </c>
      <c r="B1536" t="str">
        <f>Sheet4!B1515</f>
        <v>VFR</v>
      </c>
      <c r="C1536" t="str">
        <f>Sheet4!C1514</f>
        <v>Vận tải biển VINAFCO</v>
      </c>
      <c r="D1536" t="str">
        <f>Sheet4!D1515</f>
        <v>UPCoM</v>
      </c>
      <c r="E1536" s="7">
        <f>Sheet4!AH1515/1000000000</f>
        <v>157.5</v>
      </c>
      <c r="F1536" t="str">
        <f>Sheet4!E1515</f>
        <v>Công nghiệp</v>
      </c>
      <c r="G1536" t="str">
        <f>Sheet4!F1515</f>
        <v>Hàng &amp; Dịch vụ Công nghiệp</v>
      </c>
      <c r="H1536" t="str">
        <f>Sheet4!G1515</f>
        <v>Vận tải Thủy</v>
      </c>
      <c r="I1536" s="9" t="str" cm="1">
        <f t="array" ref="I153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36" s="9" t="str" cm="1">
        <f t="array" ref="J153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36" s="10" cm="1">
        <f t="array" ref="K153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36" s="10" cm="1">
        <f t="array" ref="L153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36" s="9" t="str" cm="1">
        <f t="array" ref="M153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36" s="9" t="str" cm="1">
        <f t="array" ref="N153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36" s="10" cm="1">
        <f t="array" ref="O1536">IFERROR(INDEX(Sheet4!$2:$1605,MATCH(ChiTietKQKD[[#This Row],[Mã CP]],Sheet4!$B$2:$B$1605,0),_xlfn.XMATCH("*Tăng trưởng lợi nhuận sau thuế (YoY) (Quý*",Sheet4!$1:$1,2)),"")</f>
        <v>0</v>
      </c>
      <c r="P1536" s="10" cm="1">
        <f t="array" ref="P1536">IFERROR(INDEX(Sheet4!$2:$1605,MATCH(ChiTietKQKD[[#This Row],[Mã CP]],Sheet4!$B$2:$B$1605,0),_xlfn.XMATCH("*Tăng trưởng lợi nhuận sau thuế (YoY) (6M)*",Sheet4!$1:$1,2)),"")</f>
        <v>0</v>
      </c>
      <c r="Q1536" s="10" cm="1">
        <f t="array" ref="Q1536">IFERROR(INDEX(Sheet4!$2:$1605,MATCH(ChiTietKQKD[[#This Row],[Mã CP]],Sheet4!$B$2:$B$1605,0),_xlfn.XMATCH("*Tăng trưởng doanh thu thuần (QoQ)*",Sheet4!$1:$1,2)),"")</f>
        <v>0</v>
      </c>
      <c r="R1536" s="10" cm="1">
        <f t="array" ref="R1536">IFERROR(INDEX(Sheet4!$2:$1605,MATCH(ChiTietKQKD[[#This Row],[Mã CP]],Sheet4!$B$2:$B$1605,0),_xlfn.XMATCH("*Tăng trưởng lợi nhuận sau thuế (QoQ)*",Sheet4!$1:$1,2)),"")</f>
        <v>0</v>
      </c>
    </row>
    <row r="1537" spans="1:18" x14ac:dyDescent="0.25">
      <c r="A1537" s="7">
        <f>Sheet4!A1516</f>
        <v>1515</v>
      </c>
      <c r="B1537" t="str">
        <f>Sheet4!B1516</f>
        <v>VGG</v>
      </c>
      <c r="C1537" t="str">
        <f>Sheet4!C1515</f>
        <v>Vận tải Vietfracht</v>
      </c>
      <c r="D1537" t="str">
        <f>Sheet4!D1516</f>
        <v>UPCoM</v>
      </c>
      <c r="E1537" s="7">
        <f>Sheet4!AH1516/1000000000</f>
        <v>1671.39</v>
      </c>
      <c r="F1537" t="str">
        <f>Sheet4!E1516</f>
        <v>Hàng Tiêu dùng</v>
      </c>
      <c r="G1537" t="str">
        <f>Sheet4!F1516</f>
        <v>Hàng cá nhân &amp; Gia dụng</v>
      </c>
      <c r="H1537" t="str">
        <f>Sheet4!G1516</f>
        <v>Hàng May mặc</v>
      </c>
      <c r="I1537" s="9" t="str" cm="1">
        <f t="array" ref="I153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37" s="9" t="str" cm="1">
        <f t="array" ref="J153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37" s="10" cm="1">
        <f t="array" ref="K153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37" s="10" cm="1">
        <f t="array" ref="L153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37" s="9" t="str" cm="1">
        <f t="array" ref="M153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37" s="9" t="str" cm="1">
        <f t="array" ref="N153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37" s="10" cm="1">
        <f t="array" ref="O1537">IFERROR(INDEX(Sheet4!$2:$1605,MATCH(ChiTietKQKD[[#This Row],[Mã CP]],Sheet4!$B$2:$B$1605,0),_xlfn.XMATCH("*Tăng trưởng lợi nhuận sau thuế (YoY) (Quý*",Sheet4!$1:$1,2)),"")</f>
        <v>0</v>
      </c>
      <c r="P1537" s="10" cm="1">
        <f t="array" ref="P1537">IFERROR(INDEX(Sheet4!$2:$1605,MATCH(ChiTietKQKD[[#This Row],[Mã CP]],Sheet4!$B$2:$B$1605,0),_xlfn.XMATCH("*Tăng trưởng lợi nhuận sau thuế (YoY) (6M)*",Sheet4!$1:$1,2)),"")</f>
        <v>0</v>
      </c>
      <c r="Q1537" s="10" cm="1">
        <f t="array" ref="Q1537">IFERROR(INDEX(Sheet4!$2:$1605,MATCH(ChiTietKQKD[[#This Row],[Mã CP]],Sheet4!$B$2:$B$1605,0),_xlfn.XMATCH("*Tăng trưởng doanh thu thuần (QoQ)*",Sheet4!$1:$1,2)),"")</f>
        <v>0</v>
      </c>
      <c r="R1537" s="10" cm="1">
        <f t="array" ref="R1537">IFERROR(INDEX(Sheet4!$2:$1605,MATCH(ChiTietKQKD[[#This Row],[Mã CP]],Sheet4!$B$2:$B$1605,0),_xlfn.XMATCH("*Tăng trưởng lợi nhuận sau thuế (QoQ)*",Sheet4!$1:$1,2)),"")</f>
        <v>0</v>
      </c>
    </row>
    <row r="1538" spans="1:18" x14ac:dyDescent="0.25">
      <c r="A1538" s="7">
        <f>Sheet4!A1517</f>
        <v>1516</v>
      </c>
      <c r="B1538" t="str">
        <f>Sheet4!B1517</f>
        <v>VGI</v>
      </c>
      <c r="C1538" t="str">
        <f>Sheet4!C1516</f>
        <v>May Việt Tiến</v>
      </c>
      <c r="D1538" t="str">
        <f>Sheet4!D1517</f>
        <v>UPCoM</v>
      </c>
      <c r="E1538" s="7">
        <f>Sheet4!AH1517/1000000000</f>
        <v>240394.12095360001</v>
      </c>
      <c r="F1538" t="str">
        <f>Sheet4!E1517</f>
        <v>Viễn thông</v>
      </c>
      <c r="G1538" t="str">
        <f>Sheet4!F1517</f>
        <v>Viễn thông</v>
      </c>
      <c r="H1538" t="str">
        <f>Sheet4!G1517</f>
        <v>Viễn thông di động</v>
      </c>
      <c r="I1538" s="9" t="str" cm="1">
        <f t="array" ref="I153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38" s="9" t="str" cm="1">
        <f t="array" ref="J153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38" s="10" cm="1">
        <f t="array" ref="K153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38" s="10" cm="1">
        <f t="array" ref="L153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38" s="9" t="str" cm="1">
        <f t="array" ref="M153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38" s="9" t="str" cm="1">
        <f t="array" ref="N153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38" s="10" cm="1">
        <f t="array" ref="O1538">IFERROR(INDEX(Sheet4!$2:$1605,MATCH(ChiTietKQKD[[#This Row],[Mã CP]],Sheet4!$B$2:$B$1605,0),_xlfn.XMATCH("*Tăng trưởng lợi nhuận sau thuế (YoY) (Quý*",Sheet4!$1:$1,2)),"")</f>
        <v>0</v>
      </c>
      <c r="P1538" s="10" cm="1">
        <f t="array" ref="P1538">IFERROR(INDEX(Sheet4!$2:$1605,MATCH(ChiTietKQKD[[#This Row],[Mã CP]],Sheet4!$B$2:$B$1605,0),_xlfn.XMATCH("*Tăng trưởng lợi nhuận sau thuế (YoY) (6M)*",Sheet4!$1:$1,2)),"")</f>
        <v>0</v>
      </c>
      <c r="Q1538" s="10" cm="1">
        <f t="array" ref="Q1538">IFERROR(INDEX(Sheet4!$2:$1605,MATCH(ChiTietKQKD[[#This Row],[Mã CP]],Sheet4!$B$2:$B$1605,0),_xlfn.XMATCH("*Tăng trưởng doanh thu thuần (QoQ)*",Sheet4!$1:$1,2)),"")</f>
        <v>0</v>
      </c>
      <c r="R1538" s="10" cm="1">
        <f t="array" ref="R1538">IFERROR(INDEX(Sheet4!$2:$1605,MATCH(ChiTietKQKD[[#This Row],[Mã CP]],Sheet4!$B$2:$B$1605,0),_xlfn.XMATCH("*Tăng trưởng lợi nhuận sau thuế (QoQ)*",Sheet4!$1:$1,2)),"")</f>
        <v>0</v>
      </c>
    </row>
    <row r="1539" spans="1:18" x14ac:dyDescent="0.25">
      <c r="A1539" s="7">
        <f>Sheet4!A1518</f>
        <v>1517</v>
      </c>
      <c r="B1539" t="str">
        <f>Sheet4!B1518</f>
        <v>VGL</v>
      </c>
      <c r="C1539" t="str">
        <f>Sheet4!C1517</f>
        <v>Đầu tư Quốc tế Viettel</v>
      </c>
      <c r="D1539" t="str">
        <f>Sheet4!D1518</f>
        <v>UPCoM</v>
      </c>
      <c r="E1539" s="7">
        <f>Sheet4!AH1518/1000000000</f>
        <v>190.23316199999999</v>
      </c>
      <c r="F1539" t="str">
        <f>Sheet4!E1518</f>
        <v>Nguyên vật liệu</v>
      </c>
      <c r="G1539" t="str">
        <f>Sheet4!F1518</f>
        <v>Tài nguyên Cơ bản</v>
      </c>
      <c r="H1539" t="str">
        <f>Sheet4!G1518</f>
        <v>Thép và sản phẩm thép</v>
      </c>
      <c r="I1539" s="9" t="str" cm="1">
        <f t="array" ref="I153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39" s="9" t="str" cm="1">
        <f t="array" ref="J153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39" s="10" cm="1">
        <f t="array" ref="K153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39" s="10" cm="1">
        <f t="array" ref="L153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39" s="9" t="str" cm="1">
        <f t="array" ref="M153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39" s="9" t="str" cm="1">
        <f t="array" ref="N153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39" s="10" cm="1">
        <f t="array" ref="O1539">IFERROR(INDEX(Sheet4!$2:$1605,MATCH(ChiTietKQKD[[#This Row],[Mã CP]],Sheet4!$B$2:$B$1605,0),_xlfn.XMATCH("*Tăng trưởng lợi nhuận sau thuế (YoY) (Quý*",Sheet4!$1:$1,2)),"")</f>
        <v>0</v>
      </c>
      <c r="P1539" s="10" cm="1">
        <f t="array" ref="P1539">IFERROR(INDEX(Sheet4!$2:$1605,MATCH(ChiTietKQKD[[#This Row],[Mã CP]],Sheet4!$B$2:$B$1605,0),_xlfn.XMATCH("*Tăng trưởng lợi nhuận sau thuế (YoY) (6M)*",Sheet4!$1:$1,2)),"")</f>
        <v>0</v>
      </c>
      <c r="Q1539" s="10" cm="1">
        <f t="array" ref="Q1539">IFERROR(INDEX(Sheet4!$2:$1605,MATCH(ChiTietKQKD[[#This Row],[Mã CP]],Sheet4!$B$2:$B$1605,0),_xlfn.XMATCH("*Tăng trưởng doanh thu thuần (QoQ)*",Sheet4!$1:$1,2)),"")</f>
        <v>0</v>
      </c>
      <c r="R1539" s="10" cm="1">
        <f t="array" ref="R1539">IFERROR(INDEX(Sheet4!$2:$1605,MATCH(ChiTietKQKD[[#This Row],[Mã CP]],Sheet4!$B$2:$B$1605,0),_xlfn.XMATCH("*Tăng trưởng lợi nhuận sau thuế (QoQ)*",Sheet4!$1:$1,2)),"")</f>
        <v>0</v>
      </c>
    </row>
    <row r="1540" spans="1:18" x14ac:dyDescent="0.25">
      <c r="A1540" s="7">
        <f>Sheet4!A1519</f>
        <v>1518</v>
      </c>
      <c r="B1540" t="str">
        <f>Sheet4!B1519</f>
        <v>VGR</v>
      </c>
      <c r="C1540" t="str">
        <f>Sheet4!C1518</f>
        <v>Mạ kẽm công nghiệp Vingal-Vnsteel</v>
      </c>
      <c r="D1540" t="str">
        <f>Sheet4!D1519</f>
        <v>UPCoM</v>
      </c>
      <c r="E1540" s="7">
        <f>Sheet4!AH1519/1000000000</f>
        <v>7692.1449144500002</v>
      </c>
      <c r="F1540" t="str">
        <f>Sheet4!E1519</f>
        <v>Công nghiệp</v>
      </c>
      <c r="G1540" t="str">
        <f>Sheet4!F1519</f>
        <v>Hàng &amp; Dịch vụ Công nghiệp</v>
      </c>
      <c r="H1540" t="str">
        <f>Sheet4!G1519</f>
        <v>Kho bãi, hậu cần và bảo dưỡng</v>
      </c>
      <c r="I1540" s="9" cm="1">
        <f t="array" ref="I154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305.70079473700002</v>
      </c>
      <c r="J1540" s="9" cm="1">
        <f t="array" ref="J154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594.76347616500004</v>
      </c>
      <c r="K1540" s="10" cm="1">
        <f t="array" ref="K154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2.6599999999999999E-2</v>
      </c>
      <c r="L1540" s="10" cm="1">
        <f t="array" ref="L154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40" s="9" cm="1">
        <f t="array" ref="M1540">_xlfn.LET(_xlpm.val,IFERROR(INDEX(Sheet4!$2:$1605,MATCH(ChiTietKQKD[[#This Row],[Mã CP]],Sheet4!$B$2:$B$1605,0),_xlfn.XMATCH("*Lợi nhuận sau thuế*Q2*2026*",Sheet4!$1:$1,2)),0),IF(OR(_xlpm.val="",_xlpm.val=0),"",_xlpm.val/1000000000))</f>
        <v>132.71738319900001</v>
      </c>
      <c r="N1540" s="9" cm="1">
        <f t="array" ref="N1540">_xlfn.LET(_xlpm.val,IFERROR(INDEX(Sheet4!$2:$1605,MATCH(ChiTietKQKD[[#This Row],[Mã CP]],Sheet4!$B$2:$B$1605,0),_xlfn.XMATCH("*Lợi nhuận sau thuế*6 tháng*2026*",Sheet4!$1:$1,2)),0),IF(OR(_xlpm.val="",_xlpm.val=0),"",_xlpm.val/1000000000))</f>
        <v>251.80381540100001</v>
      </c>
      <c r="O1540" s="10" cm="1">
        <f t="array" ref="O1540">IFERROR(INDEX(Sheet4!$2:$1605,MATCH(ChiTietKQKD[[#This Row],[Mã CP]],Sheet4!$B$2:$B$1605,0),_xlfn.XMATCH("*Tăng trưởng lợi nhuận sau thuế (YoY) (Quý*",Sheet4!$1:$1,2)),"")</f>
        <v>0.06</v>
      </c>
      <c r="P1540" s="10" cm="1">
        <f t="array" ref="P1540">IFERROR(INDEX(Sheet4!$2:$1605,MATCH(ChiTietKQKD[[#This Row],[Mã CP]],Sheet4!$B$2:$B$1605,0),_xlfn.XMATCH("*Tăng trưởng lợi nhuận sau thuế (YoY) (6M)*",Sheet4!$1:$1,2)),"")</f>
        <v>0</v>
      </c>
      <c r="Q1540" s="10" cm="1">
        <f t="array" ref="Q1540">IFERROR(INDEX(Sheet4!$2:$1605,MATCH(ChiTietKQKD[[#This Row],[Mã CP]],Sheet4!$B$2:$B$1605,0),_xlfn.XMATCH("*Tăng trưởng doanh thu thuần (QoQ)*",Sheet4!$1:$1,2)),"")</f>
        <v>5.7599999999999998E-2</v>
      </c>
      <c r="R1540" s="10" cm="1">
        <f t="array" ref="R1540">IFERROR(INDEX(Sheet4!$2:$1605,MATCH(ChiTietKQKD[[#This Row],[Mã CP]],Sheet4!$B$2:$B$1605,0),_xlfn.XMATCH("*Tăng trưởng lợi nhuận sau thuế (QoQ)*",Sheet4!$1:$1,2)),"")</f>
        <v>0.1145</v>
      </c>
    </row>
    <row r="1541" spans="1:18" x14ac:dyDescent="0.25">
      <c r="A1541" s="7">
        <f>Sheet4!A1520</f>
        <v>1519</v>
      </c>
      <c r="B1541" t="str">
        <f>Sheet4!B1520</f>
        <v>VGT</v>
      </c>
      <c r="C1541" t="str">
        <f>Sheet4!C1519</f>
        <v>Cảng xanh VIP</v>
      </c>
      <c r="D1541" t="str">
        <f>Sheet4!D1520</f>
        <v>UPCoM</v>
      </c>
      <c r="E1541" s="7">
        <f>Sheet4!AH1520/1000000000</f>
        <v>5395.5</v>
      </c>
      <c r="F1541" t="str">
        <f>Sheet4!E1520</f>
        <v>Hàng Tiêu dùng</v>
      </c>
      <c r="G1541" t="str">
        <f>Sheet4!F1520</f>
        <v>Hàng cá nhân &amp; Gia dụng</v>
      </c>
      <c r="H1541" t="str">
        <f>Sheet4!G1520</f>
        <v>Hàng May mặc</v>
      </c>
      <c r="I1541" s="9" t="str" cm="1">
        <f t="array" ref="I154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41" s="9" t="str" cm="1">
        <f t="array" ref="J154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41" s="10" cm="1">
        <f t="array" ref="K154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41" s="10" cm="1">
        <f t="array" ref="L154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41" s="9" t="str" cm="1">
        <f t="array" ref="M154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41" s="9" t="str" cm="1">
        <f t="array" ref="N154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41" s="10" cm="1">
        <f t="array" ref="O1541">IFERROR(INDEX(Sheet4!$2:$1605,MATCH(ChiTietKQKD[[#This Row],[Mã CP]],Sheet4!$B$2:$B$1605,0),_xlfn.XMATCH("*Tăng trưởng lợi nhuận sau thuế (YoY) (Quý*",Sheet4!$1:$1,2)),"")</f>
        <v>0</v>
      </c>
      <c r="P1541" s="10" cm="1">
        <f t="array" ref="P1541">IFERROR(INDEX(Sheet4!$2:$1605,MATCH(ChiTietKQKD[[#This Row],[Mã CP]],Sheet4!$B$2:$B$1605,0),_xlfn.XMATCH("*Tăng trưởng lợi nhuận sau thuế (YoY) (6M)*",Sheet4!$1:$1,2)),"")</f>
        <v>0</v>
      </c>
      <c r="Q1541" s="10" cm="1">
        <f t="array" ref="Q1541">IFERROR(INDEX(Sheet4!$2:$1605,MATCH(ChiTietKQKD[[#This Row],[Mã CP]],Sheet4!$B$2:$B$1605,0),_xlfn.XMATCH("*Tăng trưởng doanh thu thuần (QoQ)*",Sheet4!$1:$1,2)),"")</f>
        <v>0</v>
      </c>
      <c r="R1541" s="10" cm="1">
        <f t="array" ref="R1541">IFERROR(INDEX(Sheet4!$2:$1605,MATCH(ChiTietKQKD[[#This Row],[Mã CP]],Sheet4!$B$2:$B$1605,0),_xlfn.XMATCH("*Tăng trưởng lợi nhuận sau thuế (QoQ)*",Sheet4!$1:$1,2)),"")</f>
        <v>0</v>
      </c>
    </row>
    <row r="1542" spans="1:18" x14ac:dyDescent="0.25">
      <c r="A1542" s="7">
        <f>Sheet4!A1521</f>
        <v>1520</v>
      </c>
      <c r="B1542" t="str">
        <f>Sheet4!B1521</f>
        <v>VGV</v>
      </c>
      <c r="C1542" t="str">
        <f>Sheet4!C1520</f>
        <v>VINATEX</v>
      </c>
      <c r="D1542" t="str">
        <f>Sheet4!D1521</f>
        <v>UPCoM</v>
      </c>
      <c r="E1542" s="7">
        <f>Sheet4!AH1521/1000000000</f>
        <v>1552.6110432</v>
      </c>
      <c r="F1542" t="str">
        <f>Sheet4!E1521</f>
        <v>Tài chính</v>
      </c>
      <c r="G1542" t="str">
        <f>Sheet4!F1521</f>
        <v>Bất động sản</v>
      </c>
      <c r="H1542" t="str">
        <f>Sheet4!G1521</f>
        <v>Bất động sản</v>
      </c>
      <c r="I1542" s="9" t="str" cm="1">
        <f t="array" ref="I154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42" s="9" t="str" cm="1">
        <f t="array" ref="J154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42" s="10" cm="1">
        <f t="array" ref="K154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42" s="10" cm="1">
        <f t="array" ref="L154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42" s="9" t="str" cm="1">
        <f t="array" ref="M154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42" s="9" t="str" cm="1">
        <f t="array" ref="N154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42" s="10" cm="1">
        <f t="array" ref="O1542">IFERROR(INDEX(Sheet4!$2:$1605,MATCH(ChiTietKQKD[[#This Row],[Mã CP]],Sheet4!$B$2:$B$1605,0),_xlfn.XMATCH("*Tăng trưởng lợi nhuận sau thuế (YoY) (Quý*",Sheet4!$1:$1,2)),"")</f>
        <v>0</v>
      </c>
      <c r="P1542" s="10" cm="1">
        <f t="array" ref="P1542">IFERROR(INDEX(Sheet4!$2:$1605,MATCH(ChiTietKQKD[[#This Row],[Mã CP]],Sheet4!$B$2:$B$1605,0),_xlfn.XMATCH("*Tăng trưởng lợi nhuận sau thuế (YoY) (6M)*",Sheet4!$1:$1,2)),"")</f>
        <v>0</v>
      </c>
      <c r="Q1542" s="10" cm="1">
        <f t="array" ref="Q1542">IFERROR(INDEX(Sheet4!$2:$1605,MATCH(ChiTietKQKD[[#This Row],[Mã CP]],Sheet4!$B$2:$B$1605,0),_xlfn.XMATCH("*Tăng trưởng doanh thu thuần (QoQ)*",Sheet4!$1:$1,2)),"")</f>
        <v>0</v>
      </c>
      <c r="R1542" s="10" cm="1">
        <f t="array" ref="R1542">IFERROR(INDEX(Sheet4!$2:$1605,MATCH(ChiTietKQKD[[#This Row],[Mã CP]],Sheet4!$B$2:$B$1605,0),_xlfn.XMATCH("*Tăng trưởng lợi nhuận sau thuế (QoQ)*",Sheet4!$1:$1,2)),"")</f>
        <v>0</v>
      </c>
    </row>
    <row r="1543" spans="1:18" x14ac:dyDescent="0.25">
      <c r="A1543" s="7">
        <f>Sheet4!A1522</f>
        <v>1521</v>
      </c>
      <c r="B1543" t="str">
        <f>Sheet4!B1522</f>
        <v>VHD</v>
      </c>
      <c r="C1543" t="str">
        <f>Sheet4!C1521</f>
        <v>Tư vấn Xây dựng Việt Nam</v>
      </c>
      <c r="D1543" t="str">
        <f>Sheet4!D1522</f>
        <v>UPCoM</v>
      </c>
      <c r="E1543" s="7">
        <f>Sheet4!AH1522/1000000000</f>
        <v>95</v>
      </c>
      <c r="F1543" t="str">
        <f>Sheet4!E1522</f>
        <v>Tài chính</v>
      </c>
      <c r="G1543" t="str">
        <f>Sheet4!F1522</f>
        <v>Bất động sản</v>
      </c>
      <c r="H1543" t="str">
        <f>Sheet4!G1522</f>
        <v>Bất động sản</v>
      </c>
      <c r="I1543" s="9" t="str" cm="1">
        <f t="array" ref="I154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43" s="9" t="str" cm="1">
        <f t="array" ref="J154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43" s="10" cm="1">
        <f t="array" ref="K154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43" s="10" cm="1">
        <f t="array" ref="L154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43" s="9" t="str" cm="1">
        <f t="array" ref="M154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43" s="9" t="str" cm="1">
        <f t="array" ref="N154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43" s="10" cm="1">
        <f t="array" ref="O1543">IFERROR(INDEX(Sheet4!$2:$1605,MATCH(ChiTietKQKD[[#This Row],[Mã CP]],Sheet4!$B$2:$B$1605,0),_xlfn.XMATCH("*Tăng trưởng lợi nhuận sau thuế (YoY) (Quý*",Sheet4!$1:$1,2)),"")</f>
        <v>0</v>
      </c>
      <c r="P1543" s="10" cm="1">
        <f t="array" ref="P1543">IFERROR(INDEX(Sheet4!$2:$1605,MATCH(ChiTietKQKD[[#This Row],[Mã CP]],Sheet4!$B$2:$B$1605,0),_xlfn.XMATCH("*Tăng trưởng lợi nhuận sau thuế (YoY) (6M)*",Sheet4!$1:$1,2)),"")</f>
        <v>0</v>
      </c>
      <c r="Q1543" s="10" cm="1">
        <f t="array" ref="Q1543">IFERROR(INDEX(Sheet4!$2:$1605,MATCH(ChiTietKQKD[[#This Row],[Mã CP]],Sheet4!$B$2:$B$1605,0),_xlfn.XMATCH("*Tăng trưởng doanh thu thuần (QoQ)*",Sheet4!$1:$1,2)),"")</f>
        <v>0</v>
      </c>
      <c r="R1543" s="10" cm="1">
        <f t="array" ref="R1543">IFERROR(INDEX(Sheet4!$2:$1605,MATCH(ChiTietKQKD[[#This Row],[Mã CP]],Sheet4!$B$2:$B$1605,0),_xlfn.XMATCH("*Tăng trưởng lợi nhuận sau thuế (QoQ)*",Sheet4!$1:$1,2)),"")</f>
        <v>0</v>
      </c>
    </row>
    <row r="1544" spans="1:18" x14ac:dyDescent="0.25">
      <c r="A1544" s="7">
        <f>Sheet4!A1523</f>
        <v>1522</v>
      </c>
      <c r="B1544" t="str">
        <f>Sheet4!B1523</f>
        <v>VHF</v>
      </c>
      <c r="C1544" t="str">
        <f>Sheet4!C1522</f>
        <v>PT Nhà và Đô thị Vinaconex</v>
      </c>
      <c r="D1544" t="str">
        <f>Sheet4!D1523</f>
        <v>UPCoM</v>
      </c>
      <c r="E1544" s="7">
        <f>Sheet4!AH1523/1000000000</f>
        <v>32.25</v>
      </c>
      <c r="F1544" t="str">
        <f>Sheet4!E1523</f>
        <v>Hàng Tiêu dùng</v>
      </c>
      <c r="G1544" t="str">
        <f>Sheet4!F1523</f>
        <v>Thực phẩm và đồ uống</v>
      </c>
      <c r="H1544" t="str">
        <f>Sheet4!G1523</f>
        <v>Thực phẩm</v>
      </c>
      <c r="I1544" s="9" t="str" cm="1">
        <f t="array" ref="I154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44" s="9" t="str" cm="1">
        <f t="array" ref="J154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44" s="10" cm="1">
        <f t="array" ref="K154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44" s="10" cm="1">
        <f t="array" ref="L154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44" s="9" t="str" cm="1">
        <f t="array" ref="M154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44" s="9" t="str" cm="1">
        <f t="array" ref="N154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44" s="10" cm="1">
        <f t="array" ref="O1544">IFERROR(INDEX(Sheet4!$2:$1605,MATCH(ChiTietKQKD[[#This Row],[Mã CP]],Sheet4!$B$2:$B$1605,0),_xlfn.XMATCH("*Tăng trưởng lợi nhuận sau thuế (YoY) (Quý*",Sheet4!$1:$1,2)),"")</f>
        <v>0</v>
      </c>
      <c r="P1544" s="10" cm="1">
        <f t="array" ref="P1544">IFERROR(INDEX(Sheet4!$2:$1605,MATCH(ChiTietKQKD[[#This Row],[Mã CP]],Sheet4!$B$2:$B$1605,0),_xlfn.XMATCH("*Tăng trưởng lợi nhuận sau thuế (YoY) (6M)*",Sheet4!$1:$1,2)),"")</f>
        <v>0</v>
      </c>
      <c r="Q1544" s="10" cm="1">
        <f t="array" ref="Q1544">IFERROR(INDEX(Sheet4!$2:$1605,MATCH(ChiTietKQKD[[#This Row],[Mã CP]],Sheet4!$B$2:$B$1605,0),_xlfn.XMATCH("*Tăng trưởng doanh thu thuần (QoQ)*",Sheet4!$1:$1,2)),"")</f>
        <v>0</v>
      </c>
      <c r="R1544" s="10" cm="1">
        <f t="array" ref="R1544">IFERROR(INDEX(Sheet4!$2:$1605,MATCH(ChiTietKQKD[[#This Row],[Mã CP]],Sheet4!$B$2:$B$1605,0),_xlfn.XMATCH("*Tăng trưởng lợi nhuận sau thuế (QoQ)*",Sheet4!$1:$1,2)),"")</f>
        <v>0</v>
      </c>
    </row>
    <row r="1545" spans="1:18" x14ac:dyDescent="0.25">
      <c r="A1545" s="7">
        <f>Sheet4!A1524</f>
        <v>1523</v>
      </c>
      <c r="B1545" t="str">
        <f>Sheet4!B1524</f>
        <v>VHG</v>
      </c>
      <c r="C1545" t="str">
        <f>Sheet4!C1523</f>
        <v>Chế biến lương thực Vĩnh Hà</v>
      </c>
      <c r="D1545" t="str">
        <f>Sheet4!D1524</f>
        <v>UPCoM</v>
      </c>
      <c r="E1545" s="7">
        <f>Sheet4!AH1524/1000000000</f>
        <v>225</v>
      </c>
      <c r="F1545" t="str">
        <f>Sheet4!E1524</f>
        <v>Công nghiệp</v>
      </c>
      <c r="G1545" t="str">
        <f>Sheet4!F1524</f>
        <v>Hàng &amp; Dịch vụ Công nghiệp</v>
      </c>
      <c r="H1545" t="str">
        <f>Sheet4!G1524</f>
        <v>Công nghiệp phức hợp</v>
      </c>
      <c r="I1545" s="9" t="str" cm="1">
        <f t="array" ref="I154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45" s="9" t="str" cm="1">
        <f t="array" ref="J154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45" s="10" cm="1">
        <f t="array" ref="K154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45" s="10" cm="1">
        <f t="array" ref="L154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45" s="9" cm="1">
        <f t="array" ref="M1545">_xlfn.LET(_xlpm.val,IFERROR(INDEX(Sheet4!$2:$1605,MATCH(ChiTietKQKD[[#This Row],[Mã CP]],Sheet4!$B$2:$B$1605,0),_xlfn.XMATCH("*Lợi nhuận sau thuế*Q2*2026*",Sheet4!$1:$1,2)),0),IF(OR(_xlpm.val="",_xlpm.val=0),"",_xlpm.val/1000000000))</f>
        <v>-0.54691756400000002</v>
      </c>
      <c r="N1545" s="9" cm="1">
        <f t="array" ref="N1545">_xlfn.LET(_xlpm.val,IFERROR(INDEX(Sheet4!$2:$1605,MATCH(ChiTietKQKD[[#This Row],[Mã CP]],Sheet4!$B$2:$B$1605,0),_xlfn.XMATCH("*Lợi nhuận sau thuế*6 tháng*2026*",Sheet4!$1:$1,2)),0),IF(OR(_xlpm.val="",_xlpm.val=0),"",_xlpm.val/1000000000))</f>
        <v>-1.167937668</v>
      </c>
      <c r="O1545" s="10" cm="1">
        <f t="array" ref="O1545">IFERROR(INDEX(Sheet4!$2:$1605,MATCH(ChiTietKQKD[[#This Row],[Mã CP]],Sheet4!$B$2:$B$1605,0),_xlfn.XMATCH("*Tăng trưởng lợi nhuận sau thuế (YoY) (Quý*",Sheet4!$1:$1,2)),"")</f>
        <v>0.29759999999999998</v>
      </c>
      <c r="P1545" s="10" cm="1">
        <f t="array" ref="P1545">IFERROR(INDEX(Sheet4!$2:$1605,MATCH(ChiTietKQKD[[#This Row],[Mã CP]],Sheet4!$B$2:$B$1605,0),_xlfn.XMATCH("*Tăng trưởng lợi nhuận sau thuế (YoY) (6M)*",Sheet4!$1:$1,2)),"")</f>
        <v>-1.3768</v>
      </c>
      <c r="Q1545" s="10" cm="1">
        <f t="array" ref="Q1545">IFERROR(INDEX(Sheet4!$2:$1605,MATCH(ChiTietKQKD[[#This Row],[Mã CP]],Sheet4!$B$2:$B$1605,0),_xlfn.XMATCH("*Tăng trưởng doanh thu thuần (QoQ)*",Sheet4!$1:$1,2)),"")</f>
        <v>0</v>
      </c>
      <c r="R1545" s="10" cm="1">
        <f t="array" ref="R1545">IFERROR(INDEX(Sheet4!$2:$1605,MATCH(ChiTietKQKD[[#This Row],[Mã CP]],Sheet4!$B$2:$B$1605,0),_xlfn.XMATCH("*Tăng trưởng lợi nhuận sau thuế (QoQ)*",Sheet4!$1:$1,2)),"")</f>
        <v>0.1193</v>
      </c>
    </row>
    <row r="1546" spans="1:18" x14ac:dyDescent="0.25">
      <c r="A1546" s="7">
        <f>Sheet4!A1525</f>
        <v>1524</v>
      </c>
      <c r="B1546" t="str">
        <f>Sheet4!B1525</f>
        <v>VHH</v>
      </c>
      <c r="C1546" t="str">
        <f>Sheet4!C1524</f>
        <v>Đầu tư và Phát triển Việt Trung Nam</v>
      </c>
      <c r="D1546" t="str">
        <f>Sheet4!D1525</f>
        <v>UPCoM</v>
      </c>
      <c r="E1546" s="7">
        <f>Sheet4!AH1525/1000000000</f>
        <v>25.5</v>
      </c>
      <c r="F1546" t="str">
        <f>Sheet4!E1525</f>
        <v>Công nghiệp</v>
      </c>
      <c r="G1546" t="str">
        <f>Sheet4!F1525</f>
        <v>Xây dựng và Vật liệu</v>
      </c>
      <c r="H1546" t="str">
        <f>Sheet4!G1525</f>
        <v>Vật liệu xây dựng &amp; Nội thất</v>
      </c>
      <c r="I1546" s="9" t="str" cm="1">
        <f t="array" ref="I154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46" s="9" t="str" cm="1">
        <f t="array" ref="J154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46" s="10" cm="1">
        <f t="array" ref="K154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46" s="10" cm="1">
        <f t="array" ref="L154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46" s="9" t="str" cm="1">
        <f t="array" ref="M154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46" s="9" t="str" cm="1">
        <f t="array" ref="N154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46" s="10" cm="1">
        <f t="array" ref="O1546">IFERROR(INDEX(Sheet4!$2:$1605,MATCH(ChiTietKQKD[[#This Row],[Mã CP]],Sheet4!$B$2:$B$1605,0),_xlfn.XMATCH("*Tăng trưởng lợi nhuận sau thuế (YoY) (Quý*",Sheet4!$1:$1,2)),"")</f>
        <v>0</v>
      </c>
      <c r="P1546" s="10" cm="1">
        <f t="array" ref="P1546">IFERROR(INDEX(Sheet4!$2:$1605,MATCH(ChiTietKQKD[[#This Row],[Mã CP]],Sheet4!$B$2:$B$1605,0),_xlfn.XMATCH("*Tăng trưởng lợi nhuận sau thuế (YoY) (6M)*",Sheet4!$1:$1,2)),"")</f>
        <v>0</v>
      </c>
      <c r="Q1546" s="10" cm="1">
        <f t="array" ref="Q1546">IFERROR(INDEX(Sheet4!$2:$1605,MATCH(ChiTietKQKD[[#This Row],[Mã CP]],Sheet4!$B$2:$B$1605,0),_xlfn.XMATCH("*Tăng trưởng doanh thu thuần (QoQ)*",Sheet4!$1:$1,2)),"")</f>
        <v>0</v>
      </c>
      <c r="R1546" s="10" cm="1">
        <f t="array" ref="R1546">IFERROR(INDEX(Sheet4!$2:$1605,MATCH(ChiTietKQKD[[#This Row],[Mã CP]],Sheet4!$B$2:$B$1605,0),_xlfn.XMATCH("*Tăng trưởng lợi nhuận sau thuế (QoQ)*",Sheet4!$1:$1,2)),"")</f>
        <v>0</v>
      </c>
    </row>
    <row r="1547" spans="1:18" x14ac:dyDescent="0.25">
      <c r="A1547" s="7">
        <f>Sheet4!A1526</f>
        <v>1525</v>
      </c>
      <c r="B1547" t="str">
        <f>Sheet4!B1526</f>
        <v>VIE</v>
      </c>
      <c r="C1547" t="str">
        <f>Sheet4!C1525</f>
        <v>Kinh doanh nhà Thành Đạt</v>
      </c>
      <c r="D1547" t="str">
        <f>Sheet4!D1526</f>
        <v>UPCoM</v>
      </c>
      <c r="E1547" s="7">
        <f>Sheet4!AH1526/1000000000</f>
        <v>30.367463999999998</v>
      </c>
      <c r="F1547" t="str">
        <f>Sheet4!E1526</f>
        <v>Công nghệ Thông tin</v>
      </c>
      <c r="G1547" t="str">
        <f>Sheet4!F1526</f>
        <v>Công nghệ Thông tin</v>
      </c>
      <c r="H1547" t="str">
        <f>Sheet4!G1526</f>
        <v>Thiết bị viễn thông</v>
      </c>
      <c r="I1547" s="9" t="str" cm="1">
        <f t="array" ref="I154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47" s="9" t="str" cm="1">
        <f t="array" ref="J154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47" s="10" cm="1">
        <f t="array" ref="K154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47" s="10" cm="1">
        <f t="array" ref="L154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47" s="9" t="str" cm="1">
        <f t="array" ref="M154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47" s="9" t="str" cm="1">
        <f t="array" ref="N154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47" s="10" cm="1">
        <f t="array" ref="O1547">IFERROR(INDEX(Sheet4!$2:$1605,MATCH(ChiTietKQKD[[#This Row],[Mã CP]],Sheet4!$B$2:$B$1605,0),_xlfn.XMATCH("*Tăng trưởng lợi nhuận sau thuế (YoY) (Quý*",Sheet4!$1:$1,2)),"")</f>
        <v>0</v>
      </c>
      <c r="P1547" s="10" cm="1">
        <f t="array" ref="P1547">IFERROR(INDEX(Sheet4!$2:$1605,MATCH(ChiTietKQKD[[#This Row],[Mã CP]],Sheet4!$B$2:$B$1605,0),_xlfn.XMATCH("*Tăng trưởng lợi nhuận sau thuế (YoY) (6M)*",Sheet4!$1:$1,2)),"")</f>
        <v>0</v>
      </c>
      <c r="Q1547" s="10" cm="1">
        <f t="array" ref="Q1547">IFERROR(INDEX(Sheet4!$2:$1605,MATCH(ChiTietKQKD[[#This Row],[Mã CP]],Sheet4!$B$2:$B$1605,0),_xlfn.XMATCH("*Tăng trưởng doanh thu thuần (QoQ)*",Sheet4!$1:$1,2)),"")</f>
        <v>0</v>
      </c>
      <c r="R1547" s="10" cm="1">
        <f t="array" ref="R1547">IFERROR(INDEX(Sheet4!$2:$1605,MATCH(ChiTietKQKD[[#This Row],[Mã CP]],Sheet4!$B$2:$B$1605,0),_xlfn.XMATCH("*Tăng trưởng lợi nhuận sau thuế (QoQ)*",Sheet4!$1:$1,2)),"")</f>
        <v>0</v>
      </c>
    </row>
    <row r="1548" spans="1:18" x14ac:dyDescent="0.25">
      <c r="A1548" s="7">
        <f>Sheet4!A1527</f>
        <v>1526</v>
      </c>
      <c r="B1548" t="str">
        <f>Sheet4!B1527</f>
        <v>VIM</v>
      </c>
      <c r="C1548" t="str">
        <f>Sheet4!C1526</f>
        <v>CN Viễn thông VI TE CO</v>
      </c>
      <c r="D1548" t="str">
        <f>Sheet4!D1527</f>
        <v>UPCoM</v>
      </c>
      <c r="E1548" s="7">
        <f>Sheet4!AH1527/1000000000</f>
        <v>13.25</v>
      </c>
      <c r="F1548" t="str">
        <f>Sheet4!E1527</f>
        <v>Nguyên vật liệu</v>
      </c>
      <c r="G1548" t="str">
        <f>Sheet4!F1527</f>
        <v>Tài nguyên Cơ bản</v>
      </c>
      <c r="H1548" t="str">
        <f>Sheet4!G1527</f>
        <v>Khai khoáng</v>
      </c>
      <c r="I1548" s="9" t="str" cm="1">
        <f t="array" ref="I154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48" s="9" t="str" cm="1">
        <f t="array" ref="J154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48" s="10" cm="1">
        <f t="array" ref="K154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48" s="10" cm="1">
        <f t="array" ref="L154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48" s="9" t="str" cm="1">
        <f t="array" ref="M154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48" s="9" t="str" cm="1">
        <f t="array" ref="N154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48" s="10" cm="1">
        <f t="array" ref="O1548">IFERROR(INDEX(Sheet4!$2:$1605,MATCH(ChiTietKQKD[[#This Row],[Mã CP]],Sheet4!$B$2:$B$1605,0),_xlfn.XMATCH("*Tăng trưởng lợi nhuận sau thuế (YoY) (Quý*",Sheet4!$1:$1,2)),"")</f>
        <v>0</v>
      </c>
      <c r="P1548" s="10" cm="1">
        <f t="array" ref="P1548">IFERROR(INDEX(Sheet4!$2:$1605,MATCH(ChiTietKQKD[[#This Row],[Mã CP]],Sheet4!$B$2:$B$1605,0),_xlfn.XMATCH("*Tăng trưởng lợi nhuận sau thuế (YoY) (6M)*",Sheet4!$1:$1,2)),"")</f>
        <v>0</v>
      </c>
      <c r="Q1548" s="10" cm="1">
        <f t="array" ref="Q1548">IFERROR(INDEX(Sheet4!$2:$1605,MATCH(ChiTietKQKD[[#This Row],[Mã CP]],Sheet4!$B$2:$B$1605,0),_xlfn.XMATCH("*Tăng trưởng doanh thu thuần (QoQ)*",Sheet4!$1:$1,2)),"")</f>
        <v>0</v>
      </c>
      <c r="R1548" s="10" cm="1">
        <f t="array" ref="R1548">IFERROR(INDEX(Sheet4!$2:$1605,MATCH(ChiTietKQKD[[#This Row],[Mã CP]],Sheet4!$B$2:$B$1605,0),_xlfn.XMATCH("*Tăng trưởng lợi nhuận sau thuế (QoQ)*",Sheet4!$1:$1,2)),"")</f>
        <v>0</v>
      </c>
    </row>
    <row r="1549" spans="1:18" x14ac:dyDescent="0.25">
      <c r="A1549" s="7">
        <f>Sheet4!A1528</f>
        <v>1527</v>
      </c>
      <c r="B1549" t="str">
        <f>Sheet4!B1528</f>
        <v>VIN</v>
      </c>
      <c r="C1549" t="str">
        <f>Sheet4!C1527</f>
        <v>Khoáng sản Viglacera</v>
      </c>
      <c r="D1549" t="str">
        <f>Sheet4!D1528</f>
        <v>UPCoM</v>
      </c>
      <c r="E1549" s="7">
        <f>Sheet4!AH1528/1000000000</f>
        <v>390.15</v>
      </c>
      <c r="F1549" t="str">
        <f>Sheet4!E1528</f>
        <v>Công nghiệp</v>
      </c>
      <c r="G1549" t="str">
        <f>Sheet4!F1528</f>
        <v>Hàng &amp; Dịch vụ Công nghiệp</v>
      </c>
      <c r="H1549" t="str">
        <f>Sheet4!G1528</f>
        <v>Kho bãi, hậu cần và bảo dưỡng</v>
      </c>
      <c r="I1549" s="9" t="str" cm="1">
        <f t="array" ref="I154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49" s="9" t="str" cm="1">
        <f t="array" ref="J154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49" s="10" cm="1">
        <f t="array" ref="K154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49" s="10" cm="1">
        <f t="array" ref="L154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49" s="9" t="str" cm="1">
        <f t="array" ref="M154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49" s="9" t="str" cm="1">
        <f t="array" ref="N154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49" s="10" cm="1">
        <f t="array" ref="O1549">IFERROR(INDEX(Sheet4!$2:$1605,MATCH(ChiTietKQKD[[#This Row],[Mã CP]],Sheet4!$B$2:$B$1605,0),_xlfn.XMATCH("*Tăng trưởng lợi nhuận sau thuế (YoY) (Quý*",Sheet4!$1:$1,2)),"")</f>
        <v>0</v>
      </c>
      <c r="P1549" s="10" cm="1">
        <f t="array" ref="P1549">IFERROR(INDEX(Sheet4!$2:$1605,MATCH(ChiTietKQKD[[#This Row],[Mã CP]],Sheet4!$B$2:$B$1605,0),_xlfn.XMATCH("*Tăng trưởng lợi nhuận sau thuế (YoY) (6M)*",Sheet4!$1:$1,2)),"")</f>
        <v>0</v>
      </c>
      <c r="Q1549" s="10" cm="1">
        <f t="array" ref="Q1549">IFERROR(INDEX(Sheet4!$2:$1605,MATCH(ChiTietKQKD[[#This Row],[Mã CP]],Sheet4!$B$2:$B$1605,0),_xlfn.XMATCH("*Tăng trưởng doanh thu thuần (QoQ)*",Sheet4!$1:$1,2)),"")</f>
        <v>0</v>
      </c>
      <c r="R1549" s="10" cm="1">
        <f t="array" ref="R1549">IFERROR(INDEX(Sheet4!$2:$1605,MATCH(ChiTietKQKD[[#This Row],[Mã CP]],Sheet4!$B$2:$B$1605,0),_xlfn.XMATCH("*Tăng trưởng lợi nhuận sau thuế (QoQ)*",Sheet4!$1:$1,2)),"")</f>
        <v>0</v>
      </c>
    </row>
    <row r="1550" spans="1:18" x14ac:dyDescent="0.25">
      <c r="A1550" s="7">
        <f>Sheet4!A1529</f>
        <v>1528</v>
      </c>
      <c r="B1550" t="str">
        <f>Sheet4!B1529</f>
        <v>VIR</v>
      </c>
      <c r="C1550" t="str">
        <f>Sheet4!C1528</f>
        <v>Kho vận ngoại thương VN</v>
      </c>
      <c r="D1550" t="str">
        <f>Sheet4!D1529</f>
        <v>UPCoM</v>
      </c>
      <c r="E1550" s="7">
        <f>Sheet4!AH1529/1000000000</f>
        <v>25.544</v>
      </c>
      <c r="F1550" t="str">
        <f>Sheet4!E1529</f>
        <v>Dịch vụ Tiêu dùng</v>
      </c>
      <c r="G1550" t="str">
        <f>Sheet4!F1529</f>
        <v>Du lịch và Giải trí</v>
      </c>
      <c r="H1550" t="str">
        <f>Sheet4!G1529</f>
        <v>Khách sạn</v>
      </c>
      <c r="I1550" s="9" t="str" cm="1">
        <f t="array" ref="I155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50" s="9" t="str" cm="1">
        <f t="array" ref="J155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50" s="10" cm="1">
        <f t="array" ref="K155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50" s="10" cm="1">
        <f t="array" ref="L155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50" s="9" t="str" cm="1">
        <f t="array" ref="M155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50" s="9" t="str" cm="1">
        <f t="array" ref="N155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50" s="10" cm="1">
        <f t="array" ref="O1550">IFERROR(INDEX(Sheet4!$2:$1605,MATCH(ChiTietKQKD[[#This Row],[Mã CP]],Sheet4!$B$2:$B$1605,0),_xlfn.XMATCH("*Tăng trưởng lợi nhuận sau thuế (YoY) (Quý*",Sheet4!$1:$1,2)),"")</f>
        <v>0</v>
      </c>
      <c r="P1550" s="10" cm="1">
        <f t="array" ref="P1550">IFERROR(INDEX(Sheet4!$2:$1605,MATCH(ChiTietKQKD[[#This Row],[Mã CP]],Sheet4!$B$2:$B$1605,0),_xlfn.XMATCH("*Tăng trưởng lợi nhuận sau thuế (YoY) (6M)*",Sheet4!$1:$1,2)),"")</f>
        <v>0</v>
      </c>
      <c r="Q1550" s="10" cm="1">
        <f t="array" ref="Q1550">IFERROR(INDEX(Sheet4!$2:$1605,MATCH(ChiTietKQKD[[#This Row],[Mã CP]],Sheet4!$B$2:$B$1605,0),_xlfn.XMATCH("*Tăng trưởng doanh thu thuần (QoQ)*",Sheet4!$1:$1,2)),"")</f>
        <v>0</v>
      </c>
      <c r="R1550" s="10" cm="1">
        <f t="array" ref="R1550">IFERROR(INDEX(Sheet4!$2:$1605,MATCH(ChiTietKQKD[[#This Row],[Mã CP]],Sheet4!$B$2:$B$1605,0),_xlfn.XMATCH("*Tăng trưởng lợi nhuận sau thuế (QoQ)*",Sheet4!$1:$1,2)),"")</f>
        <v>0</v>
      </c>
    </row>
    <row r="1551" spans="1:18" x14ac:dyDescent="0.25">
      <c r="A1551" s="7">
        <f>Sheet4!A1530</f>
        <v>1529</v>
      </c>
      <c r="B1551" t="str">
        <f>Sheet4!B1530</f>
        <v>VIW</v>
      </c>
      <c r="C1551" t="str">
        <f>Sheet4!C1529</f>
        <v>Du lịch Vũng Tàu</v>
      </c>
      <c r="D1551" t="str">
        <f>Sheet4!D1530</f>
        <v>UPCoM</v>
      </c>
      <c r="E1551" s="7">
        <f>Sheet4!AH1530/1000000000</f>
        <v>1402.7737107999999</v>
      </c>
      <c r="F1551" t="str">
        <f>Sheet4!E1530</f>
        <v>Công nghiệp</v>
      </c>
      <c r="G1551" t="str">
        <f>Sheet4!F1530</f>
        <v>Xây dựng và Vật liệu</v>
      </c>
      <c r="H1551" t="str">
        <f>Sheet4!G1530</f>
        <v>Xây dựng</v>
      </c>
      <c r="I1551" s="9" t="str" cm="1">
        <f t="array" ref="I155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51" s="9" t="str" cm="1">
        <f t="array" ref="J155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51" s="10" cm="1">
        <f t="array" ref="K155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51" s="10" cm="1">
        <f t="array" ref="L155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51" s="9" t="str" cm="1">
        <f t="array" ref="M155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51" s="9" t="str" cm="1">
        <f t="array" ref="N155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51" s="10" cm="1">
        <f t="array" ref="O1551">IFERROR(INDEX(Sheet4!$2:$1605,MATCH(ChiTietKQKD[[#This Row],[Mã CP]],Sheet4!$B$2:$B$1605,0),_xlfn.XMATCH("*Tăng trưởng lợi nhuận sau thuế (YoY) (Quý*",Sheet4!$1:$1,2)),"")</f>
        <v>0</v>
      </c>
      <c r="P1551" s="10" cm="1">
        <f t="array" ref="P1551">IFERROR(INDEX(Sheet4!$2:$1605,MATCH(ChiTietKQKD[[#This Row],[Mã CP]],Sheet4!$B$2:$B$1605,0),_xlfn.XMATCH("*Tăng trưởng lợi nhuận sau thuế (YoY) (6M)*",Sheet4!$1:$1,2)),"")</f>
        <v>0</v>
      </c>
      <c r="Q1551" s="10" cm="1">
        <f t="array" ref="Q1551">IFERROR(INDEX(Sheet4!$2:$1605,MATCH(ChiTietKQKD[[#This Row],[Mã CP]],Sheet4!$B$2:$B$1605,0),_xlfn.XMATCH("*Tăng trưởng doanh thu thuần (QoQ)*",Sheet4!$1:$1,2)),"")</f>
        <v>0</v>
      </c>
      <c r="R1551" s="10" cm="1">
        <f t="array" ref="R1551">IFERROR(INDEX(Sheet4!$2:$1605,MATCH(ChiTietKQKD[[#This Row],[Mã CP]],Sheet4!$B$2:$B$1605,0),_xlfn.XMATCH("*Tăng trưởng lợi nhuận sau thuế (QoQ)*",Sheet4!$1:$1,2)),"")</f>
        <v>0</v>
      </c>
    </row>
    <row r="1552" spans="1:18" x14ac:dyDescent="0.25">
      <c r="A1552" s="7">
        <f>Sheet4!A1531</f>
        <v>1530</v>
      </c>
      <c r="B1552" t="str">
        <f>Sheet4!B1531</f>
        <v>VKC</v>
      </c>
      <c r="C1552" t="str">
        <f>Sheet4!C1530</f>
        <v>Đầu tư nước và môi trường VN - Viwaseen</v>
      </c>
      <c r="D1552" t="str">
        <f>Sheet4!D1531</f>
        <v>UPCoM</v>
      </c>
      <c r="E1552" s="7">
        <f>Sheet4!AH1531/1000000000</f>
        <v>34.702199999999998</v>
      </c>
      <c r="F1552" t="str">
        <f>Sheet4!E1531</f>
        <v>Hàng Tiêu dùng</v>
      </c>
      <c r="G1552" t="str">
        <f>Sheet4!F1531</f>
        <v>Ô tô và phụ tùng</v>
      </c>
      <c r="H1552" t="str">
        <f>Sheet4!G1531</f>
        <v>Lốp xe</v>
      </c>
      <c r="I1552" s="9" t="str" cm="1">
        <f t="array" ref="I155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52" s="9" t="str" cm="1">
        <f t="array" ref="J155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52" s="10" cm="1">
        <f t="array" ref="K155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52" s="10" cm="1">
        <f t="array" ref="L155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52" s="9" t="str" cm="1">
        <f t="array" ref="M155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52" s="9" t="str" cm="1">
        <f t="array" ref="N155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52" s="10" cm="1">
        <f t="array" ref="O1552">IFERROR(INDEX(Sheet4!$2:$1605,MATCH(ChiTietKQKD[[#This Row],[Mã CP]],Sheet4!$B$2:$B$1605,0),_xlfn.XMATCH("*Tăng trưởng lợi nhuận sau thuế (YoY) (Quý*",Sheet4!$1:$1,2)),"")</f>
        <v>0</v>
      </c>
      <c r="P1552" s="10" cm="1">
        <f t="array" ref="P1552">IFERROR(INDEX(Sheet4!$2:$1605,MATCH(ChiTietKQKD[[#This Row],[Mã CP]],Sheet4!$B$2:$B$1605,0),_xlfn.XMATCH("*Tăng trưởng lợi nhuận sau thuế (YoY) (6M)*",Sheet4!$1:$1,2)),"")</f>
        <v>0</v>
      </c>
      <c r="Q1552" s="10" cm="1">
        <f t="array" ref="Q1552">IFERROR(INDEX(Sheet4!$2:$1605,MATCH(ChiTietKQKD[[#This Row],[Mã CP]],Sheet4!$B$2:$B$1605,0),_xlfn.XMATCH("*Tăng trưởng doanh thu thuần (QoQ)*",Sheet4!$1:$1,2)),"")</f>
        <v>0</v>
      </c>
      <c r="R1552" s="10" cm="1">
        <f t="array" ref="R1552">IFERROR(INDEX(Sheet4!$2:$1605,MATCH(ChiTietKQKD[[#This Row],[Mã CP]],Sheet4!$B$2:$B$1605,0),_xlfn.XMATCH("*Tăng trưởng lợi nhuận sau thuế (QoQ)*",Sheet4!$1:$1,2)),"")</f>
        <v>0</v>
      </c>
    </row>
    <row r="1553" spans="1:18" x14ac:dyDescent="0.25">
      <c r="A1553" s="7">
        <f>Sheet4!A1532</f>
        <v>1531</v>
      </c>
      <c r="B1553" t="str">
        <f>Sheet4!B1532</f>
        <v>VLB</v>
      </c>
      <c r="C1553" t="str">
        <f>Sheet4!C1531</f>
        <v>VKC Holdings</v>
      </c>
      <c r="D1553" t="str">
        <f>Sheet4!D1532</f>
        <v>UPCoM</v>
      </c>
      <c r="E1553" s="7">
        <f>Sheet4!AH1532/1000000000</f>
        <v>2254.8743872800001</v>
      </c>
      <c r="F1553" t="str">
        <f>Sheet4!E1532</f>
        <v>Công nghiệp</v>
      </c>
      <c r="G1553" t="str">
        <f>Sheet4!F1532</f>
        <v>Xây dựng và Vật liệu</v>
      </c>
      <c r="H1553" t="str">
        <f>Sheet4!G1532</f>
        <v>Vật liệu xây dựng &amp; Nội thất</v>
      </c>
      <c r="I1553" s="9" cm="1">
        <f t="array" ref="I155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440.31113068899998</v>
      </c>
      <c r="J1553" s="9" cm="1">
        <f t="array" ref="J155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791.84842435500002</v>
      </c>
      <c r="K1553" s="10" cm="1">
        <f t="array" ref="K155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7.7899999999999997E-2</v>
      </c>
      <c r="L1553" s="10" cm="1">
        <f t="array" ref="L155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5.9499999999999997E-2</v>
      </c>
      <c r="M1553" s="9" cm="1">
        <f t="array" ref="M1553">_xlfn.LET(_xlpm.val,IFERROR(INDEX(Sheet4!$2:$1605,MATCH(ChiTietKQKD[[#This Row],[Mã CP]],Sheet4!$B$2:$B$1605,0),_xlfn.XMATCH("*Lợi nhuận sau thuế*Q2*2026*",Sheet4!$1:$1,2)),0),IF(OR(_xlpm.val="",_xlpm.val=0),"",_xlpm.val/1000000000))</f>
        <v>374.44945340499999</v>
      </c>
      <c r="N1553" s="9" cm="1">
        <f t="array" ref="N1553">_xlfn.LET(_xlpm.val,IFERROR(INDEX(Sheet4!$2:$1605,MATCH(ChiTietKQKD[[#This Row],[Mã CP]],Sheet4!$B$2:$B$1605,0),_xlfn.XMATCH("*Lợi nhuận sau thuế*6 tháng*2026*",Sheet4!$1:$1,2)),0),IF(OR(_xlpm.val="",_xlpm.val=0),"",_xlpm.val/1000000000))</f>
        <v>448.56352429700001</v>
      </c>
      <c r="O1553" s="10" cm="1">
        <f t="array" ref="O1553">IFERROR(INDEX(Sheet4!$2:$1605,MATCH(ChiTietKQKD[[#This Row],[Mã CP]],Sheet4!$B$2:$B$1605,0),_xlfn.XMATCH("*Tăng trưởng lợi nhuận sau thuế (YoY) (Quý*",Sheet4!$1:$1,2)),"")</f>
        <v>3.7286999999999999</v>
      </c>
      <c r="P1553" s="10" cm="1">
        <f t="array" ref="P1553">IFERROR(INDEX(Sheet4!$2:$1605,MATCH(ChiTietKQKD[[#This Row],[Mã CP]],Sheet4!$B$2:$B$1605,0),_xlfn.XMATCH("*Tăng trưởng lợi nhuận sau thuế (YoY) (6M)*",Sheet4!$1:$1,2)),"")</f>
        <v>2.2585999999999999</v>
      </c>
      <c r="Q1553" s="10" cm="1">
        <f t="array" ref="Q1553">IFERROR(INDEX(Sheet4!$2:$1605,MATCH(ChiTietKQKD[[#This Row],[Mã CP]],Sheet4!$B$2:$B$1605,0),_xlfn.XMATCH("*Tăng trưởng doanh thu thuần (QoQ)*",Sheet4!$1:$1,2)),"")</f>
        <v>0.2525</v>
      </c>
      <c r="R1553" s="10" cm="1">
        <f t="array" ref="R1553">IFERROR(INDEX(Sheet4!$2:$1605,MATCH(ChiTietKQKD[[#This Row],[Mã CP]],Sheet4!$B$2:$B$1605,0),_xlfn.XMATCH("*Tăng trưởng lợi nhuận sau thuế (QoQ)*",Sheet4!$1:$1,2)),"")</f>
        <v>4.0522999999999998</v>
      </c>
    </row>
    <row r="1554" spans="1:18" x14ac:dyDescent="0.25">
      <c r="A1554" s="7">
        <f>Sheet4!A1533</f>
        <v>1532</v>
      </c>
      <c r="B1554" t="str">
        <f>Sheet4!B1533</f>
        <v>VLC</v>
      </c>
      <c r="C1554" t="str">
        <f>Sheet4!C1532</f>
        <v>VLXD Biên Hòa</v>
      </c>
      <c r="D1554" t="str">
        <f>Sheet4!D1533</f>
        <v>UPCoM</v>
      </c>
      <c r="E1554" s="7">
        <f>Sheet4!AH1533/1000000000</f>
        <v>2528.012696067</v>
      </c>
      <c r="F1554" t="str">
        <f>Sheet4!E1533</f>
        <v>Hàng Tiêu dùng</v>
      </c>
      <c r="G1554" t="str">
        <f>Sheet4!F1533</f>
        <v>Thực phẩm và đồ uống</v>
      </c>
      <c r="H1554" t="str">
        <f>Sheet4!G1533</f>
        <v>Nuôi trồng nông &amp; hải sản</v>
      </c>
      <c r="I1554" s="9" t="str" cm="1">
        <f t="array" ref="I155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54" s="9" t="str" cm="1">
        <f t="array" ref="J155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54" s="10" cm="1">
        <f t="array" ref="K155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54" s="10" cm="1">
        <f t="array" ref="L155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54" s="9" t="str" cm="1">
        <f t="array" ref="M155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54" s="9" t="str" cm="1">
        <f t="array" ref="N155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54" s="10" cm="1">
        <f t="array" ref="O1554">IFERROR(INDEX(Sheet4!$2:$1605,MATCH(ChiTietKQKD[[#This Row],[Mã CP]],Sheet4!$B$2:$B$1605,0),_xlfn.XMATCH("*Tăng trưởng lợi nhuận sau thuế (YoY) (Quý*",Sheet4!$1:$1,2)),"")</f>
        <v>0</v>
      </c>
      <c r="P1554" s="10" cm="1">
        <f t="array" ref="P1554">IFERROR(INDEX(Sheet4!$2:$1605,MATCH(ChiTietKQKD[[#This Row],[Mã CP]],Sheet4!$B$2:$B$1605,0),_xlfn.XMATCH("*Tăng trưởng lợi nhuận sau thuế (YoY) (6M)*",Sheet4!$1:$1,2)),"")</f>
        <v>0</v>
      </c>
      <c r="Q1554" s="10" cm="1">
        <f t="array" ref="Q1554">IFERROR(INDEX(Sheet4!$2:$1605,MATCH(ChiTietKQKD[[#This Row],[Mã CP]],Sheet4!$B$2:$B$1605,0),_xlfn.XMATCH("*Tăng trưởng doanh thu thuần (QoQ)*",Sheet4!$1:$1,2)),"")</f>
        <v>0</v>
      </c>
      <c r="R1554" s="10" cm="1">
        <f t="array" ref="R1554">IFERROR(INDEX(Sheet4!$2:$1605,MATCH(ChiTietKQKD[[#This Row],[Mã CP]],Sheet4!$B$2:$B$1605,0),_xlfn.XMATCH("*Tăng trưởng lợi nhuận sau thuế (QoQ)*",Sheet4!$1:$1,2)),"")</f>
        <v>0</v>
      </c>
    </row>
    <row r="1555" spans="1:18" x14ac:dyDescent="0.25">
      <c r="A1555" s="7">
        <f>Sheet4!A1534</f>
        <v>1533</v>
      </c>
      <c r="B1555" t="str">
        <f>Sheet4!B1534</f>
        <v>VLG</v>
      </c>
      <c r="C1555" t="str">
        <f>Sheet4!C1533</f>
        <v>Chăn nuôi Việt Nam</v>
      </c>
      <c r="D1555" t="str">
        <f>Sheet4!D1534</f>
        <v>UPCoM</v>
      </c>
      <c r="E1555" s="7">
        <f>Sheet4!AH1534/1000000000</f>
        <v>96.599888730000004</v>
      </c>
      <c r="F1555" t="str">
        <f>Sheet4!E1534</f>
        <v>Công nghiệp</v>
      </c>
      <c r="G1555" t="str">
        <f>Sheet4!F1534</f>
        <v>Hàng &amp; Dịch vụ Công nghiệp</v>
      </c>
      <c r="H1555" t="str">
        <f>Sheet4!G1534</f>
        <v>Dịch vụ vận tải</v>
      </c>
      <c r="I1555" s="9" cm="1">
        <f t="array" ref="I155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152.385455769</v>
      </c>
      <c r="J1555" s="9" cm="1">
        <f t="array" ref="J155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262.135606193</v>
      </c>
      <c r="K1555" s="10" cm="1">
        <f t="array" ref="K155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0.48359999999999997</v>
      </c>
      <c r="L1555" s="10" cm="1">
        <f t="array" ref="L155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0.6099</v>
      </c>
      <c r="M1555" s="9" cm="1">
        <f t="array" ref="M1555">_xlfn.LET(_xlpm.val,IFERROR(INDEX(Sheet4!$2:$1605,MATCH(ChiTietKQKD[[#This Row],[Mã CP]],Sheet4!$B$2:$B$1605,0),_xlfn.XMATCH("*Lợi nhuận sau thuế*Q2*2026*",Sheet4!$1:$1,2)),0),IF(OR(_xlpm.val="",_xlpm.val=0),"",_xlpm.val/1000000000))</f>
        <v>2.679274011</v>
      </c>
      <c r="N1555" s="9" cm="1">
        <f t="array" ref="N1555">_xlfn.LET(_xlpm.val,IFERROR(INDEX(Sheet4!$2:$1605,MATCH(ChiTietKQKD[[#This Row],[Mã CP]],Sheet4!$B$2:$B$1605,0),_xlfn.XMATCH("*Lợi nhuận sau thuế*6 tháng*2026*",Sheet4!$1:$1,2)),0),IF(OR(_xlpm.val="",_xlpm.val=0),"",_xlpm.val/1000000000))</f>
        <v>3.8173055800000002</v>
      </c>
      <c r="O1555" s="10" cm="1">
        <f t="array" ref="O1555">IFERROR(INDEX(Sheet4!$2:$1605,MATCH(ChiTietKQKD[[#This Row],[Mã CP]],Sheet4!$B$2:$B$1605,0),_xlfn.XMATCH("*Tăng trưởng lợi nhuận sau thuế (YoY) (Quý*",Sheet4!$1:$1,2)),"")</f>
        <v>0.16350000000000001</v>
      </c>
      <c r="P1555" s="10" cm="1">
        <f t="array" ref="P1555">IFERROR(INDEX(Sheet4!$2:$1605,MATCH(ChiTietKQKD[[#This Row],[Mã CP]],Sheet4!$B$2:$B$1605,0),_xlfn.XMATCH("*Tăng trưởng lợi nhuận sau thuế (YoY) (6M)*",Sheet4!$1:$1,2)),"")</f>
        <v>0.1166</v>
      </c>
      <c r="Q1555" s="10" cm="1">
        <f t="array" ref="Q1555">IFERROR(INDEX(Sheet4!$2:$1605,MATCH(ChiTietKQKD[[#This Row],[Mã CP]],Sheet4!$B$2:$B$1605,0),_xlfn.XMATCH("*Tăng trưởng doanh thu thuần (QoQ)*",Sheet4!$1:$1,2)),"")</f>
        <v>0.38850000000000001</v>
      </c>
      <c r="R1555" s="10" cm="1">
        <f t="array" ref="R1555">IFERROR(INDEX(Sheet4!$2:$1605,MATCH(ChiTietKQKD[[#This Row],[Mã CP]],Sheet4!$B$2:$B$1605,0),_xlfn.XMATCH("*Tăng trưởng lợi nhuận sau thuế (QoQ)*",Sheet4!$1:$1,2)),"")</f>
        <v>1.3543000000000001</v>
      </c>
    </row>
    <row r="1556" spans="1:18" x14ac:dyDescent="0.25">
      <c r="A1556" s="7">
        <f>Sheet4!A1535</f>
        <v>1534</v>
      </c>
      <c r="B1556" t="str">
        <f>Sheet4!B1535</f>
        <v>VLP</v>
      </c>
      <c r="C1556" t="str">
        <f>Sheet4!C1534</f>
        <v>VIMC Logistics</v>
      </c>
      <c r="D1556" t="str">
        <f>Sheet4!D1535</f>
        <v>UPCoM</v>
      </c>
      <c r="E1556" s="7">
        <f>Sheet4!AH1535/1000000000</f>
        <v>3.1825998000000002</v>
      </c>
      <c r="F1556" t="str">
        <f>Sheet4!E1535</f>
        <v>Công nghiệp</v>
      </c>
      <c r="G1556" t="str">
        <f>Sheet4!F1535</f>
        <v>Hàng &amp; Dịch vụ Công nghiệp</v>
      </c>
      <c r="H1556" t="str">
        <f>Sheet4!G1535</f>
        <v>Chất thải &amp; Môi trường</v>
      </c>
      <c r="I1556" s="9" t="str" cm="1">
        <f t="array" ref="I155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56" s="9" t="str" cm="1">
        <f t="array" ref="J155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56" s="10" cm="1">
        <f t="array" ref="K155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56" s="10" cm="1">
        <f t="array" ref="L155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56" s="9" t="str" cm="1">
        <f t="array" ref="M155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56" s="9" t="str" cm="1">
        <f t="array" ref="N155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56" s="10" cm="1">
        <f t="array" ref="O1556">IFERROR(INDEX(Sheet4!$2:$1605,MATCH(ChiTietKQKD[[#This Row],[Mã CP]],Sheet4!$B$2:$B$1605,0),_xlfn.XMATCH("*Tăng trưởng lợi nhuận sau thuế (YoY) (Quý*",Sheet4!$1:$1,2)),"")</f>
        <v>0</v>
      </c>
      <c r="P1556" s="10" cm="1">
        <f t="array" ref="P1556">IFERROR(INDEX(Sheet4!$2:$1605,MATCH(ChiTietKQKD[[#This Row],[Mã CP]],Sheet4!$B$2:$B$1605,0),_xlfn.XMATCH("*Tăng trưởng lợi nhuận sau thuế (YoY) (6M)*",Sheet4!$1:$1,2)),"")</f>
        <v>0</v>
      </c>
      <c r="Q1556" s="10" cm="1">
        <f t="array" ref="Q1556">IFERROR(INDEX(Sheet4!$2:$1605,MATCH(ChiTietKQKD[[#This Row],[Mã CP]],Sheet4!$B$2:$B$1605,0),_xlfn.XMATCH("*Tăng trưởng doanh thu thuần (QoQ)*",Sheet4!$1:$1,2)),"")</f>
        <v>0</v>
      </c>
      <c r="R1556" s="10" cm="1">
        <f t="array" ref="R1556">IFERROR(INDEX(Sheet4!$2:$1605,MATCH(ChiTietKQKD[[#This Row],[Mã CP]],Sheet4!$B$2:$B$1605,0),_xlfn.XMATCH("*Tăng trưởng lợi nhuận sau thuế (QoQ)*",Sheet4!$1:$1,2)),"")</f>
        <v>0</v>
      </c>
    </row>
    <row r="1557" spans="1:18" x14ac:dyDescent="0.25">
      <c r="A1557" s="7">
        <f>Sheet4!A1536</f>
        <v>1535</v>
      </c>
      <c r="B1557" t="str">
        <f>Sheet4!B1536</f>
        <v>VLS</v>
      </c>
      <c r="C1557" t="str">
        <f>Sheet4!C1535</f>
        <v>Công trình Công cộng Vĩnh Long</v>
      </c>
      <c r="D1557" t="str">
        <f>Sheet4!D1536</f>
        <v>UPCoM</v>
      </c>
      <c r="E1557" s="7">
        <f>Sheet4!AH1536/1000000000</f>
        <v>357.7</v>
      </c>
      <c r="F1557" t="str">
        <f>Sheet4!E1536</f>
        <v>Nguyên vật liệu</v>
      </c>
      <c r="G1557" t="str">
        <f>Sheet4!F1536</f>
        <v>Tài nguyên Cơ bản</v>
      </c>
      <c r="H1557" t="str">
        <f>Sheet4!G1536</f>
        <v>Thép và sản phẩm thép</v>
      </c>
      <c r="I1557" s="9" t="str" cm="1">
        <f t="array" ref="I155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57" s="9" t="str" cm="1">
        <f t="array" ref="J155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57" s="10" cm="1">
        <f t="array" ref="K155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57" s="10" cm="1">
        <f t="array" ref="L155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57" s="9" t="str" cm="1">
        <f t="array" ref="M155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57" s="9" t="str" cm="1">
        <f t="array" ref="N155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57" s="10" cm="1">
        <f t="array" ref="O1557">IFERROR(INDEX(Sheet4!$2:$1605,MATCH(ChiTietKQKD[[#This Row],[Mã CP]],Sheet4!$B$2:$B$1605,0),_xlfn.XMATCH("*Tăng trưởng lợi nhuận sau thuế (YoY) (Quý*",Sheet4!$1:$1,2)),"")</f>
        <v>0</v>
      </c>
      <c r="P1557" s="10" cm="1">
        <f t="array" ref="P1557">IFERROR(INDEX(Sheet4!$2:$1605,MATCH(ChiTietKQKD[[#This Row],[Mã CP]],Sheet4!$B$2:$B$1605,0),_xlfn.XMATCH("*Tăng trưởng lợi nhuận sau thuế (YoY) (6M)*",Sheet4!$1:$1,2)),"")</f>
        <v>0</v>
      </c>
      <c r="Q1557" s="10" cm="1">
        <f t="array" ref="Q1557">IFERROR(INDEX(Sheet4!$2:$1605,MATCH(ChiTietKQKD[[#This Row],[Mã CP]],Sheet4!$B$2:$B$1605,0),_xlfn.XMATCH("*Tăng trưởng doanh thu thuần (QoQ)*",Sheet4!$1:$1,2)),"")</f>
        <v>0</v>
      </c>
      <c r="R1557" s="10" cm="1">
        <f t="array" ref="R1557">IFERROR(INDEX(Sheet4!$2:$1605,MATCH(ChiTietKQKD[[#This Row],[Mã CP]],Sheet4!$B$2:$B$1605,0),_xlfn.XMATCH("*Tăng trưởng lợi nhuận sau thuế (QoQ)*",Sheet4!$1:$1,2)),"")</f>
        <v>0</v>
      </c>
    </row>
    <row r="1558" spans="1:18" x14ac:dyDescent="0.25">
      <c r="A1558" s="7">
        <f>Sheet4!A1537</f>
        <v>1536</v>
      </c>
      <c r="B1558" t="str">
        <f>Sheet4!B1537</f>
        <v>VLW</v>
      </c>
      <c r="C1558" t="str">
        <f>Sheet4!C1536</f>
        <v>Sản xuất Thép Việt Long</v>
      </c>
      <c r="D1558" t="str">
        <f>Sheet4!D1537</f>
        <v>UPCoM</v>
      </c>
      <c r="E1558" s="7">
        <f>Sheet4!AH1537/1000000000</f>
        <v>917.86400000000003</v>
      </c>
      <c r="F1558" t="str">
        <f>Sheet4!E1537</f>
        <v>Tiện ích Cộng đồng</v>
      </c>
      <c r="G1558" t="str">
        <f>Sheet4!F1537</f>
        <v>Điện, nước &amp; xăng dầu khí đốt</v>
      </c>
      <c r="H1558" t="str">
        <f>Sheet4!G1537</f>
        <v>Nước</v>
      </c>
      <c r="I1558" s="9" cm="1">
        <f t="array" ref="I155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63.273747071000003</v>
      </c>
      <c r="J1558" s="9" cm="1">
        <f t="array" ref="J155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121.664122339</v>
      </c>
      <c r="K1558" s="10" cm="1">
        <f t="array" ref="K155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0.20030000000000001</v>
      </c>
      <c r="L1558" s="10" cm="1">
        <f t="array" ref="L155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0.26040000000000002</v>
      </c>
      <c r="M1558" s="9" cm="1">
        <f t="array" ref="M1558">_xlfn.LET(_xlpm.val,IFERROR(INDEX(Sheet4!$2:$1605,MATCH(ChiTietKQKD[[#This Row],[Mã CP]],Sheet4!$B$2:$B$1605,0),_xlfn.XMATCH("*Lợi nhuận sau thuế*Q2*2026*",Sheet4!$1:$1,2)),0),IF(OR(_xlpm.val="",_xlpm.val=0),"",_xlpm.val/1000000000))</f>
        <v>27.509800540000001</v>
      </c>
      <c r="N1558" s="9" cm="1">
        <f t="array" ref="N1558">_xlfn.LET(_xlpm.val,IFERROR(INDEX(Sheet4!$2:$1605,MATCH(ChiTietKQKD[[#This Row],[Mã CP]],Sheet4!$B$2:$B$1605,0),_xlfn.XMATCH("*Lợi nhuận sau thuế*6 tháng*2026*",Sheet4!$1:$1,2)),0),IF(OR(_xlpm.val="",_xlpm.val=0),"",_xlpm.val/1000000000))</f>
        <v>45.975383850999997</v>
      </c>
      <c r="O1558" s="10" cm="1">
        <f t="array" ref="O1558">IFERROR(INDEX(Sheet4!$2:$1605,MATCH(ChiTietKQKD[[#This Row],[Mã CP]],Sheet4!$B$2:$B$1605,0),_xlfn.XMATCH("*Tăng trưởng lợi nhuận sau thuế (YoY) (Quý*",Sheet4!$1:$1,2)),"")</f>
        <v>0.81389999999999996</v>
      </c>
      <c r="P1558" s="10" cm="1">
        <f t="array" ref="P1558">IFERROR(INDEX(Sheet4!$2:$1605,MATCH(ChiTietKQKD[[#This Row],[Mã CP]],Sheet4!$B$2:$B$1605,0),_xlfn.XMATCH("*Tăng trưởng lợi nhuận sau thuế (YoY) (6M)*",Sheet4!$1:$1,2)),"")</f>
        <v>0.68230000000000002</v>
      </c>
      <c r="Q1558" s="10" cm="1">
        <f t="array" ref="Q1558">IFERROR(INDEX(Sheet4!$2:$1605,MATCH(ChiTietKQKD[[#This Row],[Mã CP]],Sheet4!$B$2:$B$1605,0),_xlfn.XMATCH("*Tăng trưởng doanh thu thuần (QoQ)*",Sheet4!$1:$1,2)),"")</f>
        <v>8.3599999999999994E-2</v>
      </c>
      <c r="R1558" s="10" cm="1">
        <f t="array" ref="R1558">IFERROR(INDEX(Sheet4!$2:$1605,MATCH(ChiTietKQKD[[#This Row],[Mã CP]],Sheet4!$B$2:$B$1605,0),_xlfn.XMATCH("*Tăng trưởng lợi nhuận sau thuế (QoQ)*",Sheet4!$1:$1,2)),"")</f>
        <v>0.48980000000000001</v>
      </c>
    </row>
    <row r="1559" spans="1:18" x14ac:dyDescent="0.25">
      <c r="A1559" s="7">
        <f>Sheet4!A1538</f>
        <v>1537</v>
      </c>
      <c r="B1559" t="str">
        <f>Sheet4!B1538</f>
        <v>VMA</v>
      </c>
      <c r="C1559" t="str">
        <f>Sheet4!C1537</f>
        <v>Cấp nước Vĩnh Long</v>
      </c>
      <c r="D1559" t="str">
        <f>Sheet4!D1538</f>
        <v>UPCoM</v>
      </c>
      <c r="E1559" s="7">
        <f>Sheet4!AH1538/1000000000</f>
        <v>6.21</v>
      </c>
      <c r="F1559" t="str">
        <f>Sheet4!E1538</f>
        <v>Hàng Tiêu dùng</v>
      </c>
      <c r="G1559" t="str">
        <f>Sheet4!F1538</f>
        <v>Ô tô và phụ tùng</v>
      </c>
      <c r="H1559" t="str">
        <f>Sheet4!G1538</f>
        <v>Sản xuất ô tô</v>
      </c>
      <c r="I1559" s="9" t="str" cm="1">
        <f t="array" ref="I155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59" s="9" t="str" cm="1">
        <f t="array" ref="J155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59" s="10" cm="1">
        <f t="array" ref="K155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59" s="10" cm="1">
        <f t="array" ref="L155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59" s="9" t="str" cm="1">
        <f t="array" ref="M155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59" s="9" t="str" cm="1">
        <f t="array" ref="N155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59" s="10" cm="1">
        <f t="array" ref="O1559">IFERROR(INDEX(Sheet4!$2:$1605,MATCH(ChiTietKQKD[[#This Row],[Mã CP]],Sheet4!$B$2:$B$1605,0),_xlfn.XMATCH("*Tăng trưởng lợi nhuận sau thuế (YoY) (Quý*",Sheet4!$1:$1,2)),"")</f>
        <v>0</v>
      </c>
      <c r="P1559" s="10" cm="1">
        <f t="array" ref="P1559">IFERROR(INDEX(Sheet4!$2:$1605,MATCH(ChiTietKQKD[[#This Row],[Mã CP]],Sheet4!$B$2:$B$1605,0),_xlfn.XMATCH("*Tăng trưởng lợi nhuận sau thuế (YoY) (6M)*",Sheet4!$1:$1,2)),"")</f>
        <v>0</v>
      </c>
      <c r="Q1559" s="10" cm="1">
        <f t="array" ref="Q1559">IFERROR(INDEX(Sheet4!$2:$1605,MATCH(ChiTietKQKD[[#This Row],[Mã CP]],Sheet4!$B$2:$B$1605,0),_xlfn.XMATCH("*Tăng trưởng doanh thu thuần (QoQ)*",Sheet4!$1:$1,2)),"")</f>
        <v>0</v>
      </c>
      <c r="R1559" s="10" cm="1">
        <f t="array" ref="R1559">IFERROR(INDEX(Sheet4!$2:$1605,MATCH(ChiTietKQKD[[#This Row],[Mã CP]],Sheet4!$B$2:$B$1605,0),_xlfn.XMATCH("*Tăng trưởng lợi nhuận sau thuế (QoQ)*",Sheet4!$1:$1,2)),"")</f>
        <v>0</v>
      </c>
    </row>
    <row r="1560" spans="1:18" x14ac:dyDescent="0.25">
      <c r="A1560" s="7">
        <f>Sheet4!A1539</f>
        <v>1538</v>
      </c>
      <c r="B1560" t="str">
        <f>Sheet4!B1539</f>
        <v>VMG</v>
      </c>
      <c r="C1560" t="str">
        <f>Sheet4!C1538</f>
        <v>CN Ô tô - Vinacomin</v>
      </c>
      <c r="D1560" t="str">
        <f>Sheet4!D1539</f>
        <v>UPCoM</v>
      </c>
      <c r="E1560" s="7">
        <f>Sheet4!AH1539/1000000000</f>
        <v>24.96</v>
      </c>
      <c r="F1560" t="str">
        <f>Sheet4!E1539</f>
        <v>Tiện ích Cộng đồng</v>
      </c>
      <c r="G1560" t="str">
        <f>Sheet4!F1539</f>
        <v>Điện, nước &amp; xăng dầu khí đốt</v>
      </c>
      <c r="H1560" t="str">
        <f>Sheet4!G1539</f>
        <v>Phân phối xăng dầu &amp; khí đốt</v>
      </c>
      <c r="I1560" s="9" t="str" cm="1">
        <f t="array" ref="I156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60" s="9" t="str" cm="1">
        <f t="array" ref="J156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60" s="10" cm="1">
        <f t="array" ref="K156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60" s="10" cm="1">
        <f t="array" ref="L156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60" s="9" t="str" cm="1">
        <f t="array" ref="M156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60" s="9" t="str" cm="1">
        <f t="array" ref="N156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60" s="10" cm="1">
        <f t="array" ref="O1560">IFERROR(INDEX(Sheet4!$2:$1605,MATCH(ChiTietKQKD[[#This Row],[Mã CP]],Sheet4!$B$2:$B$1605,0),_xlfn.XMATCH("*Tăng trưởng lợi nhuận sau thuế (YoY) (Quý*",Sheet4!$1:$1,2)),"")</f>
        <v>0</v>
      </c>
      <c r="P1560" s="10" cm="1">
        <f t="array" ref="P1560">IFERROR(INDEX(Sheet4!$2:$1605,MATCH(ChiTietKQKD[[#This Row],[Mã CP]],Sheet4!$B$2:$B$1605,0),_xlfn.XMATCH("*Tăng trưởng lợi nhuận sau thuế (YoY) (6M)*",Sheet4!$1:$1,2)),"")</f>
        <v>0</v>
      </c>
      <c r="Q1560" s="10" cm="1">
        <f t="array" ref="Q1560">IFERROR(INDEX(Sheet4!$2:$1605,MATCH(ChiTietKQKD[[#This Row],[Mã CP]],Sheet4!$B$2:$B$1605,0),_xlfn.XMATCH("*Tăng trưởng doanh thu thuần (QoQ)*",Sheet4!$1:$1,2)),"")</f>
        <v>0</v>
      </c>
      <c r="R1560" s="10" cm="1">
        <f t="array" ref="R1560">IFERROR(INDEX(Sheet4!$2:$1605,MATCH(ChiTietKQKD[[#This Row],[Mã CP]],Sheet4!$B$2:$B$1605,0),_xlfn.XMATCH("*Tăng trưởng lợi nhuận sau thuế (QoQ)*",Sheet4!$1:$1,2)),"")</f>
        <v>0</v>
      </c>
    </row>
    <row r="1561" spans="1:18" x14ac:dyDescent="0.25">
      <c r="A1561" s="7">
        <f>Sheet4!A1540</f>
        <v>1539</v>
      </c>
      <c r="B1561" t="str">
        <f>Sheet4!B1540</f>
        <v>VMK</v>
      </c>
      <c r="C1561" t="str">
        <f>Sheet4!C1539</f>
        <v>Vimexco Gas</v>
      </c>
      <c r="D1561" t="str">
        <f>Sheet4!D1540</f>
        <v>UPCoM</v>
      </c>
      <c r="E1561" s="7">
        <f>Sheet4!AH1540/1000000000</f>
        <v>170.06396799999999</v>
      </c>
      <c r="F1561" t="str">
        <f>Sheet4!E1540</f>
        <v>Công nghiệp</v>
      </c>
      <c r="G1561" t="str">
        <f>Sheet4!F1540</f>
        <v>Xây dựng và Vật liệu</v>
      </c>
      <c r="H1561" t="str">
        <f>Sheet4!G1540</f>
        <v>Vật liệu xây dựng &amp; Nội thất</v>
      </c>
      <c r="I1561" s="9" t="str" cm="1">
        <f t="array" ref="I156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61" s="9" t="str" cm="1">
        <f t="array" ref="J156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61" s="10" cm="1">
        <f t="array" ref="K156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61" s="10" cm="1">
        <f t="array" ref="L156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61" s="9" t="str" cm="1">
        <f t="array" ref="M156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61" s="9" t="str" cm="1">
        <f t="array" ref="N156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61" s="10" cm="1">
        <f t="array" ref="O1561">IFERROR(INDEX(Sheet4!$2:$1605,MATCH(ChiTietKQKD[[#This Row],[Mã CP]],Sheet4!$B$2:$B$1605,0),_xlfn.XMATCH("*Tăng trưởng lợi nhuận sau thuế (YoY) (Quý*",Sheet4!$1:$1,2)),"")</f>
        <v>0</v>
      </c>
      <c r="P1561" s="10" cm="1">
        <f t="array" ref="P1561">IFERROR(INDEX(Sheet4!$2:$1605,MATCH(ChiTietKQKD[[#This Row],[Mã CP]],Sheet4!$B$2:$B$1605,0),_xlfn.XMATCH("*Tăng trưởng lợi nhuận sau thuế (YoY) (6M)*",Sheet4!$1:$1,2)),"")</f>
        <v>0</v>
      </c>
      <c r="Q1561" s="10" cm="1">
        <f t="array" ref="Q1561">IFERROR(INDEX(Sheet4!$2:$1605,MATCH(ChiTietKQKD[[#This Row],[Mã CP]],Sheet4!$B$2:$B$1605,0),_xlfn.XMATCH("*Tăng trưởng doanh thu thuần (QoQ)*",Sheet4!$1:$1,2)),"")</f>
        <v>0</v>
      </c>
      <c r="R1561" s="10" cm="1">
        <f t="array" ref="R1561">IFERROR(INDEX(Sheet4!$2:$1605,MATCH(ChiTietKQKD[[#This Row],[Mã CP]],Sheet4!$B$2:$B$1605,0),_xlfn.XMATCH("*Tăng trưởng lợi nhuận sau thuế (QoQ)*",Sheet4!$1:$1,2)),"")</f>
        <v>0</v>
      </c>
    </row>
    <row r="1562" spans="1:18" x14ac:dyDescent="0.25">
      <c r="A1562" s="7">
        <f>Sheet4!A1541</f>
        <v>1540</v>
      </c>
      <c r="B1562" t="str">
        <f>Sheet4!B1541</f>
        <v>VMT</v>
      </c>
      <c r="C1562" t="str">
        <f>Sheet4!C1540</f>
        <v>Vimarko</v>
      </c>
      <c r="D1562" t="str">
        <f>Sheet4!D1541</f>
        <v>UPCoM</v>
      </c>
      <c r="E1562" s="7">
        <f>Sheet4!AH1541/1000000000</f>
        <v>101.96550000000001</v>
      </c>
      <c r="F1562" t="str">
        <f>Sheet4!E1541</f>
        <v>Công nghiệp</v>
      </c>
      <c r="G1562" t="str">
        <f>Sheet4!F1541</f>
        <v>Hàng &amp; Dịch vụ Công nghiệp</v>
      </c>
      <c r="H1562" t="str">
        <f>Sheet4!G1541</f>
        <v>Dịch vụ vận tải</v>
      </c>
      <c r="I1562" s="9" t="str" cm="1">
        <f t="array" ref="I156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62" s="9" t="str" cm="1">
        <f t="array" ref="J156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62" s="10" cm="1">
        <f t="array" ref="K156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62" s="10" cm="1">
        <f t="array" ref="L156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62" s="9" t="str" cm="1">
        <f t="array" ref="M156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62" s="9" t="str" cm="1">
        <f t="array" ref="N156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62" s="10" cm="1">
        <f t="array" ref="O1562">IFERROR(INDEX(Sheet4!$2:$1605,MATCH(ChiTietKQKD[[#This Row],[Mã CP]],Sheet4!$B$2:$B$1605,0),_xlfn.XMATCH("*Tăng trưởng lợi nhuận sau thuế (YoY) (Quý*",Sheet4!$1:$1,2)),"")</f>
        <v>0</v>
      </c>
      <c r="P1562" s="10" cm="1">
        <f t="array" ref="P1562">IFERROR(INDEX(Sheet4!$2:$1605,MATCH(ChiTietKQKD[[#This Row],[Mã CP]],Sheet4!$B$2:$B$1605,0),_xlfn.XMATCH("*Tăng trưởng lợi nhuận sau thuế (YoY) (6M)*",Sheet4!$1:$1,2)),"")</f>
        <v>0</v>
      </c>
      <c r="Q1562" s="10" cm="1">
        <f t="array" ref="Q1562">IFERROR(INDEX(Sheet4!$2:$1605,MATCH(ChiTietKQKD[[#This Row],[Mã CP]],Sheet4!$B$2:$B$1605,0),_xlfn.XMATCH("*Tăng trưởng doanh thu thuần (QoQ)*",Sheet4!$1:$1,2)),"")</f>
        <v>0</v>
      </c>
      <c r="R1562" s="10" cm="1">
        <f t="array" ref="R1562">IFERROR(INDEX(Sheet4!$2:$1605,MATCH(ChiTietKQKD[[#This Row],[Mã CP]],Sheet4!$B$2:$B$1605,0),_xlfn.XMATCH("*Tăng trưởng lợi nhuận sau thuế (QoQ)*",Sheet4!$1:$1,2)),"")</f>
        <v>0</v>
      </c>
    </row>
    <row r="1563" spans="1:18" x14ac:dyDescent="0.25">
      <c r="A1563" s="7">
        <f>Sheet4!A1542</f>
        <v>1541</v>
      </c>
      <c r="B1563" t="str">
        <f>Sheet4!B1542</f>
        <v>VNA</v>
      </c>
      <c r="C1563" t="str">
        <f>Sheet4!C1541</f>
        <v>Giao nhận Vận tải Miền Trung</v>
      </c>
      <c r="D1563" t="str">
        <f>Sheet4!D1542</f>
        <v>UPCoM</v>
      </c>
      <c r="E1563" s="7">
        <f>Sheet4!AH1542/1000000000</f>
        <v>444.07347756000001</v>
      </c>
      <c r="F1563" t="str">
        <f>Sheet4!E1542</f>
        <v>Công nghiệp</v>
      </c>
      <c r="G1563" t="str">
        <f>Sheet4!F1542</f>
        <v>Hàng &amp; Dịch vụ Công nghiệp</v>
      </c>
      <c r="H1563" t="str">
        <f>Sheet4!G1542</f>
        <v>Vận tải Thủy</v>
      </c>
      <c r="I1563" s="9" t="str" cm="1">
        <f t="array" ref="I156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63" s="9" t="str" cm="1">
        <f t="array" ref="J156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63" s="10" cm="1">
        <f t="array" ref="K156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63" s="10" cm="1">
        <f t="array" ref="L156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63" s="9" t="str" cm="1">
        <f t="array" ref="M156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63" s="9" t="str" cm="1">
        <f t="array" ref="N156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63" s="10" cm="1">
        <f t="array" ref="O1563">IFERROR(INDEX(Sheet4!$2:$1605,MATCH(ChiTietKQKD[[#This Row],[Mã CP]],Sheet4!$B$2:$B$1605,0),_xlfn.XMATCH("*Tăng trưởng lợi nhuận sau thuế (YoY) (Quý*",Sheet4!$1:$1,2)),"")</f>
        <v>0</v>
      </c>
      <c r="P1563" s="10" cm="1">
        <f t="array" ref="P1563">IFERROR(INDEX(Sheet4!$2:$1605,MATCH(ChiTietKQKD[[#This Row],[Mã CP]],Sheet4!$B$2:$B$1605,0),_xlfn.XMATCH("*Tăng trưởng lợi nhuận sau thuế (YoY) (6M)*",Sheet4!$1:$1,2)),"")</f>
        <v>0</v>
      </c>
      <c r="Q1563" s="10" cm="1">
        <f t="array" ref="Q1563">IFERROR(INDEX(Sheet4!$2:$1605,MATCH(ChiTietKQKD[[#This Row],[Mã CP]],Sheet4!$B$2:$B$1605,0),_xlfn.XMATCH("*Tăng trưởng doanh thu thuần (QoQ)*",Sheet4!$1:$1,2)),"")</f>
        <v>0</v>
      </c>
      <c r="R1563" s="10" cm="1">
        <f t="array" ref="R1563">IFERROR(INDEX(Sheet4!$2:$1605,MATCH(ChiTietKQKD[[#This Row],[Mã CP]],Sheet4!$B$2:$B$1605,0),_xlfn.XMATCH("*Tăng trưởng lợi nhuận sau thuế (QoQ)*",Sheet4!$1:$1,2)),"")</f>
        <v>0</v>
      </c>
    </row>
    <row r="1564" spans="1:18" x14ac:dyDescent="0.25">
      <c r="A1564" s="7">
        <f>Sheet4!A1543</f>
        <v>1542</v>
      </c>
      <c r="B1564" t="str">
        <f>Sheet4!B1543</f>
        <v>VNB</v>
      </c>
      <c r="C1564" t="str">
        <f>Sheet4!C1542</f>
        <v>Vận tải biển Vinaship</v>
      </c>
      <c r="D1564" t="str">
        <f>Sheet4!D1543</f>
        <v>UPCoM</v>
      </c>
      <c r="E1564" s="7">
        <f>Sheet4!AH1543/1000000000</f>
        <v>876.45603863999997</v>
      </c>
      <c r="F1564" t="str">
        <f>Sheet4!E1543</f>
        <v>Dịch vụ Tiêu dùng</v>
      </c>
      <c r="G1564" t="str">
        <f>Sheet4!F1543</f>
        <v>Truyền thông</v>
      </c>
      <c r="H1564" t="str">
        <f>Sheet4!G1543</f>
        <v>Sách, ấn bản &amp; sản phẩm văn hóa</v>
      </c>
      <c r="I1564" s="9" cm="1">
        <f t="array" ref="I156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9.1474897449999997</v>
      </c>
      <c r="J1564" s="9" cm="1">
        <f t="array" ref="J156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13.427350915</v>
      </c>
      <c r="K1564" s="10" cm="1">
        <f t="array" ref="K156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0.22320000000000001</v>
      </c>
      <c r="L1564" s="10" cm="1">
        <f t="array" ref="L156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-3.4700000000000002E-2</v>
      </c>
      <c r="M1564" s="9" cm="1">
        <f t="array" ref="M1564">_xlfn.LET(_xlpm.val,IFERROR(INDEX(Sheet4!$2:$1605,MATCH(ChiTietKQKD[[#This Row],[Mã CP]],Sheet4!$B$2:$B$1605,0),_xlfn.XMATCH("*Lợi nhuận sau thuế*Q2*2026*",Sheet4!$1:$1,2)),0),IF(OR(_xlpm.val="",_xlpm.val=0),"",_xlpm.val/1000000000))</f>
        <v>22.525985910999999</v>
      </c>
      <c r="N1564" s="9" cm="1">
        <f t="array" ref="N1564">_xlfn.LET(_xlpm.val,IFERROR(INDEX(Sheet4!$2:$1605,MATCH(ChiTietKQKD[[#This Row],[Mã CP]],Sheet4!$B$2:$B$1605,0),_xlfn.XMATCH("*Lợi nhuận sau thuế*6 tháng*2026*",Sheet4!$1:$1,2)),0),IF(OR(_xlpm.val="",_xlpm.val=0),"",_xlpm.val/1000000000))</f>
        <v>43.008022693999997</v>
      </c>
      <c r="O1564" s="10" cm="1">
        <f t="array" ref="O1564">IFERROR(INDEX(Sheet4!$2:$1605,MATCH(ChiTietKQKD[[#This Row],[Mã CP]],Sheet4!$B$2:$B$1605,0),_xlfn.XMATCH("*Tăng trưởng lợi nhuận sau thuế (YoY) (Quý*",Sheet4!$1:$1,2)),"")</f>
        <v>5.7299999999999997E-2</v>
      </c>
      <c r="P1564" s="10" cm="1">
        <f t="array" ref="P1564">IFERROR(INDEX(Sheet4!$2:$1605,MATCH(ChiTietKQKD[[#This Row],[Mã CP]],Sheet4!$B$2:$B$1605,0),_xlfn.XMATCH("*Tăng trưởng lợi nhuận sau thuế (YoY) (6M)*",Sheet4!$1:$1,2)),"")</f>
        <v>2.4299999999999999E-2</v>
      </c>
      <c r="Q1564" s="10" cm="1">
        <f t="array" ref="Q1564">IFERROR(INDEX(Sheet4!$2:$1605,MATCH(ChiTietKQKD[[#This Row],[Mã CP]],Sheet4!$B$2:$B$1605,0),_xlfn.XMATCH("*Tăng trưởng doanh thu thuần (QoQ)*",Sheet4!$1:$1,2)),"")</f>
        <v>1.1373</v>
      </c>
      <c r="R1564" s="10" cm="1">
        <f t="array" ref="R1564">IFERROR(INDEX(Sheet4!$2:$1605,MATCH(ChiTietKQKD[[#This Row],[Mã CP]],Sheet4!$B$2:$B$1605,0),_xlfn.XMATCH("*Tăng trưởng lợi nhuận sau thuế (QoQ)*",Sheet4!$1:$1,2)),"")</f>
        <v>9.98E-2</v>
      </c>
    </row>
    <row r="1565" spans="1:18" x14ac:dyDescent="0.25">
      <c r="A1565" s="7">
        <f>Sheet4!A1544</f>
        <v>1543</v>
      </c>
      <c r="B1565" t="str">
        <f>Sheet4!B1544</f>
        <v>VNE</v>
      </c>
      <c r="C1565" t="str">
        <f>Sheet4!C1543</f>
        <v>Sách Việt Nam</v>
      </c>
      <c r="D1565" t="str">
        <f>Sheet4!D1544</f>
        <v>UPCoM</v>
      </c>
      <c r="E1565" s="7">
        <f>Sheet4!AH1544/1000000000</f>
        <v>187.66031787099999</v>
      </c>
      <c r="F1565" t="str">
        <f>Sheet4!E1544</f>
        <v>Công nghiệp</v>
      </c>
      <c r="G1565" t="str">
        <f>Sheet4!F1544</f>
        <v>Xây dựng và Vật liệu</v>
      </c>
      <c r="H1565" t="str">
        <f>Sheet4!G1544</f>
        <v>Xây dựng</v>
      </c>
      <c r="I1565" s="9" t="str" cm="1">
        <f t="array" ref="I156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65" s="9" t="str" cm="1">
        <f t="array" ref="J156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65" s="10" cm="1">
        <f t="array" ref="K156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65" s="10" cm="1">
        <f t="array" ref="L156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65" s="9" t="str" cm="1">
        <f t="array" ref="M156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65" s="9" t="str" cm="1">
        <f t="array" ref="N156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65" s="10" cm="1">
        <f t="array" ref="O1565">IFERROR(INDEX(Sheet4!$2:$1605,MATCH(ChiTietKQKD[[#This Row],[Mã CP]],Sheet4!$B$2:$B$1605,0),_xlfn.XMATCH("*Tăng trưởng lợi nhuận sau thuế (YoY) (Quý*",Sheet4!$1:$1,2)),"")</f>
        <v>0</v>
      </c>
      <c r="P1565" s="10" cm="1">
        <f t="array" ref="P1565">IFERROR(INDEX(Sheet4!$2:$1605,MATCH(ChiTietKQKD[[#This Row],[Mã CP]],Sheet4!$B$2:$B$1605,0),_xlfn.XMATCH("*Tăng trưởng lợi nhuận sau thuế (YoY) (6M)*",Sheet4!$1:$1,2)),"")</f>
        <v>0</v>
      </c>
      <c r="Q1565" s="10" cm="1">
        <f t="array" ref="Q1565">IFERROR(INDEX(Sheet4!$2:$1605,MATCH(ChiTietKQKD[[#This Row],[Mã CP]],Sheet4!$B$2:$B$1605,0),_xlfn.XMATCH("*Tăng trưởng doanh thu thuần (QoQ)*",Sheet4!$1:$1,2)),"")</f>
        <v>0</v>
      </c>
      <c r="R1565" s="10" cm="1">
        <f t="array" ref="R1565">IFERROR(INDEX(Sheet4!$2:$1605,MATCH(ChiTietKQKD[[#This Row],[Mã CP]],Sheet4!$B$2:$B$1605,0),_xlfn.XMATCH("*Tăng trưởng lợi nhuận sau thuế (QoQ)*",Sheet4!$1:$1,2)),"")</f>
        <v>0</v>
      </c>
    </row>
    <row r="1566" spans="1:18" x14ac:dyDescent="0.25">
      <c r="A1566" s="7">
        <f>Sheet4!A1545</f>
        <v>1544</v>
      </c>
      <c r="B1566" t="str">
        <f>Sheet4!B1545</f>
        <v>VNH</v>
      </c>
      <c r="C1566" t="str">
        <f>Sheet4!C1544</f>
        <v>Xây dựng điện Việt Nam</v>
      </c>
      <c r="D1566" t="str">
        <f>Sheet4!D1545</f>
        <v>UPCoM</v>
      </c>
      <c r="E1566" s="7">
        <f>Sheet4!AH1545/1000000000</f>
        <v>8.0230709999999998</v>
      </c>
      <c r="F1566" t="str">
        <f>Sheet4!E1545</f>
        <v>Hàng Tiêu dùng</v>
      </c>
      <c r="G1566" t="str">
        <f>Sheet4!F1545</f>
        <v>Thực phẩm và đồ uống</v>
      </c>
      <c r="H1566" t="str">
        <f>Sheet4!G1545</f>
        <v>Nuôi trồng nông &amp; hải sản</v>
      </c>
      <c r="I1566" s="9" t="str" cm="1">
        <f t="array" ref="I156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66" s="9" t="str" cm="1">
        <f t="array" ref="J156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66" s="10" cm="1">
        <f t="array" ref="K156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66" s="10" cm="1">
        <f t="array" ref="L156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66" s="9" t="str" cm="1">
        <f t="array" ref="M156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66" s="9" t="str" cm="1">
        <f t="array" ref="N156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66" s="10" cm="1">
        <f t="array" ref="O1566">IFERROR(INDEX(Sheet4!$2:$1605,MATCH(ChiTietKQKD[[#This Row],[Mã CP]],Sheet4!$B$2:$B$1605,0),_xlfn.XMATCH("*Tăng trưởng lợi nhuận sau thuế (YoY) (Quý*",Sheet4!$1:$1,2)),"")</f>
        <v>0</v>
      </c>
      <c r="P1566" s="10" cm="1">
        <f t="array" ref="P1566">IFERROR(INDEX(Sheet4!$2:$1605,MATCH(ChiTietKQKD[[#This Row],[Mã CP]],Sheet4!$B$2:$B$1605,0),_xlfn.XMATCH("*Tăng trưởng lợi nhuận sau thuế (YoY) (6M)*",Sheet4!$1:$1,2)),"")</f>
        <v>0</v>
      </c>
      <c r="Q1566" s="10" cm="1">
        <f t="array" ref="Q1566">IFERROR(INDEX(Sheet4!$2:$1605,MATCH(ChiTietKQKD[[#This Row],[Mã CP]],Sheet4!$B$2:$B$1605,0),_xlfn.XMATCH("*Tăng trưởng doanh thu thuần (QoQ)*",Sheet4!$1:$1,2)),"")</f>
        <v>0</v>
      </c>
      <c r="R1566" s="10" cm="1">
        <f t="array" ref="R1566">IFERROR(INDEX(Sheet4!$2:$1605,MATCH(ChiTietKQKD[[#This Row],[Mã CP]],Sheet4!$B$2:$B$1605,0),_xlfn.XMATCH("*Tăng trưởng lợi nhuận sau thuế (QoQ)*",Sheet4!$1:$1,2)),"")</f>
        <v>0</v>
      </c>
    </row>
    <row r="1567" spans="1:18" x14ac:dyDescent="0.25">
      <c r="A1567" s="7">
        <f>Sheet4!A1546</f>
        <v>1545</v>
      </c>
      <c r="B1567" t="str">
        <f>Sheet4!B1546</f>
        <v>VNI</v>
      </c>
      <c r="C1567" t="str">
        <f>Sheet4!C1545</f>
        <v>Đầu tư Việt Việt Nhật</v>
      </c>
      <c r="D1567" t="str">
        <f>Sheet4!D1546</f>
        <v>UPCoM</v>
      </c>
      <c r="E1567" s="7">
        <f>Sheet4!AH1546/1000000000</f>
        <v>67.322293999999999</v>
      </c>
      <c r="F1567" t="str">
        <f>Sheet4!E1546</f>
        <v>Tài chính</v>
      </c>
      <c r="G1567" t="str">
        <f>Sheet4!F1546</f>
        <v>Bất động sản</v>
      </c>
      <c r="H1567" t="str">
        <f>Sheet4!G1546</f>
        <v>Bất động sản</v>
      </c>
      <c r="I1567" s="9" t="str" cm="1">
        <f t="array" ref="I156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67" s="9" t="str" cm="1">
        <f t="array" ref="J156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67" s="10" cm="1">
        <f t="array" ref="K156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67" s="10" cm="1">
        <f t="array" ref="L156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67" s="9" t="str" cm="1">
        <f t="array" ref="M156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67" s="9" t="str" cm="1">
        <f t="array" ref="N156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67" s="10" cm="1">
        <f t="array" ref="O1567">IFERROR(INDEX(Sheet4!$2:$1605,MATCH(ChiTietKQKD[[#This Row],[Mã CP]],Sheet4!$B$2:$B$1605,0),_xlfn.XMATCH("*Tăng trưởng lợi nhuận sau thuế (YoY) (Quý*",Sheet4!$1:$1,2)),"")</f>
        <v>0</v>
      </c>
      <c r="P1567" s="10" cm="1">
        <f t="array" ref="P1567">IFERROR(INDEX(Sheet4!$2:$1605,MATCH(ChiTietKQKD[[#This Row],[Mã CP]],Sheet4!$B$2:$B$1605,0),_xlfn.XMATCH("*Tăng trưởng lợi nhuận sau thuế (YoY) (6M)*",Sheet4!$1:$1,2)),"")</f>
        <v>0</v>
      </c>
      <c r="Q1567" s="10" cm="1">
        <f t="array" ref="Q1567">IFERROR(INDEX(Sheet4!$2:$1605,MATCH(ChiTietKQKD[[#This Row],[Mã CP]],Sheet4!$B$2:$B$1605,0),_xlfn.XMATCH("*Tăng trưởng doanh thu thuần (QoQ)*",Sheet4!$1:$1,2)),"")</f>
        <v>0</v>
      </c>
      <c r="R1567" s="10" cm="1">
        <f t="array" ref="R1567">IFERROR(INDEX(Sheet4!$2:$1605,MATCH(ChiTietKQKD[[#This Row],[Mã CP]],Sheet4!$B$2:$B$1605,0),_xlfn.XMATCH("*Tăng trưởng lợi nhuận sau thuế (QoQ)*",Sheet4!$1:$1,2)),"")</f>
        <v>0</v>
      </c>
    </row>
    <row r="1568" spans="1:18" x14ac:dyDescent="0.25">
      <c r="A1568" s="7">
        <f>Sheet4!A1547</f>
        <v>1546</v>
      </c>
      <c r="B1568" t="str">
        <f>Sheet4!B1547</f>
        <v>VNP</v>
      </c>
      <c r="C1568" t="str">
        <f>Sheet4!C1546</f>
        <v>ĐT BĐS Việt Nam</v>
      </c>
      <c r="D1568" t="str">
        <f>Sheet4!D1547</f>
        <v>UPCoM</v>
      </c>
      <c r="E1568" s="7">
        <f>Sheet4!AH1547/1000000000</f>
        <v>329.80579817500001</v>
      </c>
      <c r="F1568" t="str">
        <f>Sheet4!E1547</f>
        <v>Nguyên vật liệu</v>
      </c>
      <c r="G1568" t="str">
        <f>Sheet4!F1547</f>
        <v>Hóa chất</v>
      </c>
      <c r="H1568" t="str">
        <f>Sheet4!G1547</f>
        <v>Nhựa, cao su &amp; sợi</v>
      </c>
      <c r="I1568" s="9" cm="1">
        <f t="array" ref="I156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31.476218616000001</v>
      </c>
      <c r="J1568" s="9" cm="1">
        <f t="array" ref="J156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48.684317071999999</v>
      </c>
      <c r="K1568" s="10" cm="1">
        <f t="array" ref="K156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1.9206000000000001</v>
      </c>
      <c r="L1568" s="10" cm="1">
        <f t="array" ref="L156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0.90549999999999997</v>
      </c>
      <c r="M1568" s="9" cm="1">
        <f t="array" ref="M1568">_xlfn.LET(_xlpm.val,IFERROR(INDEX(Sheet4!$2:$1605,MATCH(ChiTietKQKD[[#This Row],[Mã CP]],Sheet4!$B$2:$B$1605,0),_xlfn.XMATCH("*Lợi nhuận sau thuế*Q2*2026*",Sheet4!$1:$1,2)),0),IF(OR(_xlpm.val="",_xlpm.val=0),"",_xlpm.val/1000000000))</f>
        <v>15.510554492000001</v>
      </c>
      <c r="N1568" s="9" cm="1">
        <f t="array" ref="N1568">_xlfn.LET(_xlpm.val,IFERROR(INDEX(Sheet4!$2:$1605,MATCH(ChiTietKQKD[[#This Row],[Mã CP]],Sheet4!$B$2:$B$1605,0),_xlfn.XMATCH("*Lợi nhuận sau thuế*6 tháng*2026*",Sheet4!$1:$1,2)),0),IF(OR(_xlpm.val="",_xlpm.val=0),"",_xlpm.val/1000000000))</f>
        <v>28.811089842000001</v>
      </c>
      <c r="O1568" s="10" cm="1">
        <f t="array" ref="O1568">IFERROR(INDEX(Sheet4!$2:$1605,MATCH(ChiTietKQKD[[#This Row],[Mã CP]],Sheet4!$B$2:$B$1605,0),_xlfn.XMATCH("*Tăng trưởng lợi nhuận sau thuế (YoY) (Quý*",Sheet4!$1:$1,2)),"")</f>
        <v>2.0024000000000002</v>
      </c>
      <c r="P1568" s="10" cm="1">
        <f t="array" ref="P1568">IFERROR(INDEX(Sheet4!$2:$1605,MATCH(ChiTietKQKD[[#This Row],[Mã CP]],Sheet4!$B$2:$B$1605,0),_xlfn.XMATCH("*Tăng trưởng lợi nhuận sau thuế (YoY) (6M)*",Sheet4!$1:$1,2)),"")</f>
        <v>1.0135000000000001</v>
      </c>
      <c r="Q1568" s="10" cm="1">
        <f t="array" ref="Q1568">IFERROR(INDEX(Sheet4!$2:$1605,MATCH(ChiTietKQKD[[#This Row],[Mã CP]],Sheet4!$B$2:$B$1605,0),_xlfn.XMATCH("*Tăng trưởng doanh thu thuần (QoQ)*",Sheet4!$1:$1,2)),"")</f>
        <v>0.82920000000000005</v>
      </c>
      <c r="R1568" s="10" cm="1">
        <f t="array" ref="R1568">IFERROR(INDEX(Sheet4!$2:$1605,MATCH(ChiTietKQKD[[#This Row],[Mã CP]],Sheet4!$B$2:$B$1605,0),_xlfn.XMATCH("*Tăng trưởng lợi nhuận sau thuế (QoQ)*",Sheet4!$1:$1,2)),"")</f>
        <v>0.17510000000000001</v>
      </c>
    </row>
    <row r="1569" spans="1:18" x14ac:dyDescent="0.25">
      <c r="A1569" s="7">
        <f>Sheet4!A1548</f>
        <v>1547</v>
      </c>
      <c r="B1569" t="str">
        <f>Sheet4!B1548</f>
        <v>VNX</v>
      </c>
      <c r="C1569" t="str">
        <f>Sheet4!C1547</f>
        <v>Nhựa Việt Nam</v>
      </c>
      <c r="D1569" t="str">
        <f>Sheet4!D1548</f>
        <v>UPCoM</v>
      </c>
      <c r="E1569" s="7">
        <f>Sheet4!AH1548/1000000000</f>
        <v>0.96829319999999997</v>
      </c>
      <c r="F1569" t="str">
        <f>Sheet4!E1548</f>
        <v>Dịch vụ Tiêu dùng</v>
      </c>
      <c r="G1569" t="str">
        <f>Sheet4!F1548</f>
        <v>Truyền thông</v>
      </c>
      <c r="H1569" t="str">
        <f>Sheet4!G1548</f>
        <v>Dịch vụ truyền thông</v>
      </c>
      <c r="I1569" s="9" t="str" cm="1">
        <f t="array" ref="I156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69" s="9" t="str" cm="1">
        <f t="array" ref="J156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69" s="10" cm="1">
        <f t="array" ref="K156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69" s="10" cm="1">
        <f t="array" ref="L156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69" s="9" t="str" cm="1">
        <f t="array" ref="M156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69" s="9" t="str" cm="1">
        <f t="array" ref="N156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69" s="10" cm="1">
        <f t="array" ref="O1569">IFERROR(INDEX(Sheet4!$2:$1605,MATCH(ChiTietKQKD[[#This Row],[Mã CP]],Sheet4!$B$2:$B$1605,0),_xlfn.XMATCH("*Tăng trưởng lợi nhuận sau thuế (YoY) (Quý*",Sheet4!$1:$1,2)),"")</f>
        <v>0</v>
      </c>
      <c r="P1569" s="10" cm="1">
        <f t="array" ref="P1569">IFERROR(INDEX(Sheet4!$2:$1605,MATCH(ChiTietKQKD[[#This Row],[Mã CP]],Sheet4!$B$2:$B$1605,0),_xlfn.XMATCH("*Tăng trưởng lợi nhuận sau thuế (YoY) (6M)*",Sheet4!$1:$1,2)),"")</f>
        <v>0</v>
      </c>
      <c r="Q1569" s="10" cm="1">
        <f t="array" ref="Q1569">IFERROR(INDEX(Sheet4!$2:$1605,MATCH(ChiTietKQKD[[#This Row],[Mã CP]],Sheet4!$B$2:$B$1605,0),_xlfn.XMATCH("*Tăng trưởng doanh thu thuần (QoQ)*",Sheet4!$1:$1,2)),"")</f>
        <v>0</v>
      </c>
      <c r="R1569" s="10" cm="1">
        <f t="array" ref="R1569">IFERROR(INDEX(Sheet4!$2:$1605,MATCH(ChiTietKQKD[[#This Row],[Mã CP]],Sheet4!$B$2:$B$1605,0),_xlfn.XMATCH("*Tăng trưởng lợi nhuận sau thuế (QoQ)*",Sheet4!$1:$1,2)),"")</f>
        <v>0</v>
      </c>
    </row>
    <row r="1570" spans="1:18" x14ac:dyDescent="0.25">
      <c r="A1570" s="7">
        <f>Sheet4!A1549</f>
        <v>1548</v>
      </c>
      <c r="B1570" t="str">
        <f>Sheet4!B1549</f>
        <v>VNY</v>
      </c>
      <c r="C1570" t="str">
        <f>Sheet4!C1548</f>
        <v>QC và Hội chợ Thương mại</v>
      </c>
      <c r="D1570" t="str">
        <f>Sheet4!D1549</f>
        <v>UPCoM</v>
      </c>
      <c r="E1570" s="7">
        <f>Sheet4!AH1549/1000000000</f>
        <v>55.2498504</v>
      </c>
      <c r="F1570" t="str">
        <f>Sheet4!E1549</f>
        <v>Nguyên vật liệu</v>
      </c>
      <c r="G1570" t="str">
        <f>Sheet4!F1549</f>
        <v>Hóa chất</v>
      </c>
      <c r="H1570" t="str">
        <f>Sheet4!G1549</f>
        <v>Sản phẩm hóa dầu, Nông dược &amp; Hóa chất khác</v>
      </c>
      <c r="I1570" s="9" t="str" cm="1">
        <f t="array" ref="I157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70" s="9" t="str" cm="1">
        <f t="array" ref="J157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70" s="10" cm="1">
        <f t="array" ref="K157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70" s="10" cm="1">
        <f t="array" ref="L157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70" s="9" t="str" cm="1">
        <f t="array" ref="M157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70" s="9" t="str" cm="1">
        <f t="array" ref="N157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70" s="10" cm="1">
        <f t="array" ref="O1570">IFERROR(INDEX(Sheet4!$2:$1605,MATCH(ChiTietKQKD[[#This Row],[Mã CP]],Sheet4!$B$2:$B$1605,0),_xlfn.XMATCH("*Tăng trưởng lợi nhuận sau thuế (YoY) (Quý*",Sheet4!$1:$1,2)),"")</f>
        <v>0</v>
      </c>
      <c r="P1570" s="10" cm="1">
        <f t="array" ref="P1570">IFERROR(INDEX(Sheet4!$2:$1605,MATCH(ChiTietKQKD[[#This Row],[Mã CP]],Sheet4!$B$2:$B$1605,0),_xlfn.XMATCH("*Tăng trưởng lợi nhuận sau thuế (YoY) (6M)*",Sheet4!$1:$1,2)),"")</f>
        <v>0</v>
      </c>
      <c r="Q1570" s="10" cm="1">
        <f t="array" ref="Q1570">IFERROR(INDEX(Sheet4!$2:$1605,MATCH(ChiTietKQKD[[#This Row],[Mã CP]],Sheet4!$B$2:$B$1605,0),_xlfn.XMATCH("*Tăng trưởng doanh thu thuần (QoQ)*",Sheet4!$1:$1,2)),"")</f>
        <v>0</v>
      </c>
      <c r="R1570" s="10" cm="1">
        <f t="array" ref="R1570">IFERROR(INDEX(Sheet4!$2:$1605,MATCH(ChiTietKQKD[[#This Row],[Mã CP]],Sheet4!$B$2:$B$1605,0),_xlfn.XMATCH("*Tăng trưởng lợi nhuận sau thuế (QoQ)*",Sheet4!$1:$1,2)),"")</f>
        <v>0</v>
      </c>
    </row>
    <row r="1571" spans="1:18" x14ac:dyDescent="0.25">
      <c r="A1571" s="7">
        <f>Sheet4!A1550</f>
        <v>1549</v>
      </c>
      <c r="B1571" t="str">
        <f>Sheet4!B1550</f>
        <v>VNZ</v>
      </c>
      <c r="C1571" t="str">
        <f>Sheet4!C1549</f>
        <v>Thuốc thú y Trung ương I</v>
      </c>
      <c r="D1571" t="str">
        <f>Sheet4!D1550</f>
        <v>UPCoM</v>
      </c>
      <c r="E1571" s="7">
        <f>Sheet4!AH1550/1000000000</f>
        <v>13357.141150775</v>
      </c>
      <c r="F1571" t="str">
        <f>Sheet4!E1550</f>
        <v>Dịch vụ Tiêu dùng</v>
      </c>
      <c r="G1571" t="str">
        <f>Sheet4!F1550</f>
        <v>Truyền thông</v>
      </c>
      <c r="H1571" t="str">
        <f>Sheet4!G1550</f>
        <v>Giải trí &amp; Truyền thông</v>
      </c>
      <c r="I1571" s="9" t="str" cm="1">
        <f t="array" ref="I157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71" s="9" t="str" cm="1">
        <f t="array" ref="J157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71" s="10" cm="1">
        <f t="array" ref="K157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71" s="10" cm="1">
        <f t="array" ref="L157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71" s="9" t="str" cm="1">
        <f t="array" ref="M157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71" s="9" t="str" cm="1">
        <f t="array" ref="N157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71" s="10" cm="1">
        <f t="array" ref="O1571">IFERROR(INDEX(Sheet4!$2:$1605,MATCH(ChiTietKQKD[[#This Row],[Mã CP]],Sheet4!$B$2:$B$1605,0),_xlfn.XMATCH("*Tăng trưởng lợi nhuận sau thuế (YoY) (Quý*",Sheet4!$1:$1,2)),"")</f>
        <v>0</v>
      </c>
      <c r="P1571" s="10" cm="1">
        <f t="array" ref="P1571">IFERROR(INDEX(Sheet4!$2:$1605,MATCH(ChiTietKQKD[[#This Row],[Mã CP]],Sheet4!$B$2:$B$1605,0),_xlfn.XMATCH("*Tăng trưởng lợi nhuận sau thuế (YoY) (6M)*",Sheet4!$1:$1,2)),"")</f>
        <v>0</v>
      </c>
      <c r="Q1571" s="10" cm="1">
        <f t="array" ref="Q1571">IFERROR(INDEX(Sheet4!$2:$1605,MATCH(ChiTietKQKD[[#This Row],[Mã CP]],Sheet4!$B$2:$B$1605,0),_xlfn.XMATCH("*Tăng trưởng doanh thu thuần (QoQ)*",Sheet4!$1:$1,2)),"")</f>
        <v>0</v>
      </c>
      <c r="R1571" s="10" cm="1">
        <f t="array" ref="R1571">IFERROR(INDEX(Sheet4!$2:$1605,MATCH(ChiTietKQKD[[#This Row],[Mã CP]],Sheet4!$B$2:$B$1605,0),_xlfn.XMATCH("*Tăng trưởng lợi nhuận sau thuế (QoQ)*",Sheet4!$1:$1,2)),"")</f>
        <v>0</v>
      </c>
    </row>
    <row r="1572" spans="1:18" x14ac:dyDescent="0.25">
      <c r="A1572" s="7">
        <f>Sheet4!A1551</f>
        <v>1550</v>
      </c>
      <c r="B1572" t="str">
        <f>Sheet4!B1551</f>
        <v>VPA</v>
      </c>
      <c r="C1572" t="str">
        <f>Sheet4!C1550</f>
        <v>Tập đoàn VNG</v>
      </c>
      <c r="D1572" t="str">
        <f>Sheet4!D1551</f>
        <v>UPCoM</v>
      </c>
      <c r="E1572" s="7">
        <f>Sheet4!AH1551/1000000000</f>
        <v>30.152353999999999</v>
      </c>
      <c r="F1572" t="str">
        <f>Sheet4!E1551</f>
        <v>Công nghiệp</v>
      </c>
      <c r="G1572" t="str">
        <f>Sheet4!F1551</f>
        <v>Hàng &amp; Dịch vụ Công nghiệp</v>
      </c>
      <c r="H1572" t="str">
        <f>Sheet4!G1551</f>
        <v>Vận tải Thủy</v>
      </c>
      <c r="I1572" s="9" cm="1">
        <f t="array" ref="I157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22.298525764000001</v>
      </c>
      <c r="J1572" s="9" cm="1">
        <f t="array" ref="J157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64.949790333999999</v>
      </c>
      <c r="K1572" s="10" cm="1">
        <f t="array" ref="K157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-0.33100000000000002</v>
      </c>
      <c r="L1572" s="10" cm="1">
        <f t="array" ref="L157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-2.0199999999999999E-2</v>
      </c>
      <c r="M1572" s="9" cm="1">
        <f t="array" ref="M1572">_xlfn.LET(_xlpm.val,IFERROR(INDEX(Sheet4!$2:$1605,MATCH(ChiTietKQKD[[#This Row],[Mã CP]],Sheet4!$B$2:$B$1605,0),_xlfn.XMATCH("*Lợi nhuận sau thuế*Q2*2026*",Sheet4!$1:$1,2)),0),IF(OR(_xlpm.val="",_xlpm.val=0),"",_xlpm.val/1000000000))</f>
        <v>-2.6579413999999999E-2</v>
      </c>
      <c r="N1572" s="9" cm="1">
        <f t="array" ref="N1572">_xlfn.LET(_xlpm.val,IFERROR(INDEX(Sheet4!$2:$1605,MATCH(ChiTietKQKD[[#This Row],[Mã CP]],Sheet4!$B$2:$B$1605,0),_xlfn.XMATCH("*Lợi nhuận sau thuế*6 tháng*2026*",Sheet4!$1:$1,2)),0),IF(OR(_xlpm.val="",_xlpm.val=0),"",_xlpm.val/1000000000))</f>
        <v>5.7767570209999999</v>
      </c>
      <c r="O1572" s="10" cm="1">
        <f t="array" ref="O1572">IFERROR(INDEX(Sheet4!$2:$1605,MATCH(ChiTietKQKD[[#This Row],[Mã CP]],Sheet4!$B$2:$B$1605,0),_xlfn.XMATCH("*Tăng trưởng lợi nhuận sau thuế (YoY) (Quý*",Sheet4!$1:$1,2)),"")</f>
        <v>0.99760000000000004</v>
      </c>
      <c r="P1572" s="10" cm="1">
        <f t="array" ref="P1572">IFERROR(INDEX(Sheet4!$2:$1605,MATCH(ChiTietKQKD[[#This Row],[Mã CP]],Sheet4!$B$2:$B$1605,0),_xlfn.XMATCH("*Tăng trưởng lợi nhuận sau thuế (YoY) (6M)*",Sheet4!$1:$1,2)),"")</f>
        <v>1.3337000000000001</v>
      </c>
      <c r="Q1572" s="10" cm="1">
        <f t="array" ref="Q1572">IFERROR(INDEX(Sheet4!$2:$1605,MATCH(ChiTietKQKD[[#This Row],[Mã CP]],Sheet4!$B$2:$B$1605,0),_xlfn.XMATCH("*Tăng trưởng doanh thu thuần (QoQ)*",Sheet4!$1:$1,2)),"")</f>
        <v>-0.47720000000000001</v>
      </c>
      <c r="R1572" s="10" cm="1">
        <f t="array" ref="R1572">IFERROR(INDEX(Sheet4!$2:$1605,MATCH(ChiTietKQKD[[#This Row],[Mã CP]],Sheet4!$B$2:$B$1605,0),_xlfn.XMATCH("*Tăng trưởng lợi nhuận sau thuế (QoQ)*",Sheet4!$1:$1,2)),"")</f>
        <v>-1.0045999999999999</v>
      </c>
    </row>
    <row r="1573" spans="1:18" x14ac:dyDescent="0.25">
      <c r="A1573" s="7">
        <f>Sheet4!A1552</f>
        <v>1551</v>
      </c>
      <c r="B1573" t="str">
        <f>Sheet4!B1552</f>
        <v>VPC</v>
      </c>
      <c r="C1573" t="str">
        <f>Sheet4!C1551</f>
        <v>Vận tải Hóa dầu VP</v>
      </c>
      <c r="D1573" t="str">
        <f>Sheet4!D1552</f>
        <v>UPCoM</v>
      </c>
      <c r="E1573" s="7">
        <f>Sheet4!AH1552/1000000000</f>
        <v>16.3125</v>
      </c>
      <c r="F1573" t="str">
        <f>Sheet4!E1552</f>
        <v>Công nghiệp</v>
      </c>
      <c r="G1573" t="str">
        <f>Sheet4!F1552</f>
        <v>Xây dựng và Vật liệu</v>
      </c>
      <c r="H1573" t="str">
        <f>Sheet4!G1552</f>
        <v>Xây dựng</v>
      </c>
      <c r="I1573" s="9" t="str" cm="1">
        <f t="array" ref="I157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73" s="9" t="str" cm="1">
        <f t="array" ref="J157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73" s="10" cm="1">
        <f t="array" ref="K157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73" s="10" cm="1">
        <f t="array" ref="L157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73" s="9" t="str" cm="1">
        <f t="array" ref="M157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73" s="9" t="str" cm="1">
        <f t="array" ref="N157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73" s="10" cm="1">
        <f t="array" ref="O1573">IFERROR(INDEX(Sheet4!$2:$1605,MATCH(ChiTietKQKD[[#This Row],[Mã CP]],Sheet4!$B$2:$B$1605,0),_xlfn.XMATCH("*Tăng trưởng lợi nhuận sau thuế (YoY) (Quý*",Sheet4!$1:$1,2)),"")</f>
        <v>0</v>
      </c>
      <c r="P1573" s="10" cm="1">
        <f t="array" ref="P1573">IFERROR(INDEX(Sheet4!$2:$1605,MATCH(ChiTietKQKD[[#This Row],[Mã CP]],Sheet4!$B$2:$B$1605,0),_xlfn.XMATCH("*Tăng trưởng lợi nhuận sau thuế (YoY) (6M)*",Sheet4!$1:$1,2)),"")</f>
        <v>0</v>
      </c>
      <c r="Q1573" s="10" cm="1">
        <f t="array" ref="Q1573">IFERROR(INDEX(Sheet4!$2:$1605,MATCH(ChiTietKQKD[[#This Row],[Mã CP]],Sheet4!$B$2:$B$1605,0),_xlfn.XMATCH("*Tăng trưởng doanh thu thuần (QoQ)*",Sheet4!$1:$1,2)),"")</f>
        <v>0</v>
      </c>
      <c r="R1573" s="10" cm="1">
        <f t="array" ref="R1573">IFERROR(INDEX(Sheet4!$2:$1605,MATCH(ChiTietKQKD[[#This Row],[Mã CP]],Sheet4!$B$2:$B$1605,0),_xlfn.XMATCH("*Tăng trưởng lợi nhuận sau thuế (QoQ)*",Sheet4!$1:$1,2)),"")</f>
        <v>0</v>
      </c>
    </row>
    <row r="1574" spans="1:18" x14ac:dyDescent="0.25">
      <c r="A1574" s="7">
        <f>Sheet4!A1553</f>
        <v>1552</v>
      </c>
      <c r="B1574" t="str">
        <f>Sheet4!B1553</f>
        <v>VPR</v>
      </c>
      <c r="C1574" t="str">
        <f>Sheet4!C1552</f>
        <v>V- Power</v>
      </c>
      <c r="D1574" t="str">
        <f>Sheet4!D1553</f>
        <v>UPCoM</v>
      </c>
      <c r="E1574" s="7">
        <f>Sheet4!AH1553/1000000000</f>
        <v>84.563455200000007</v>
      </c>
      <c r="F1574" t="str">
        <f>Sheet4!E1553</f>
        <v>Dịch vụ Tiêu dùng</v>
      </c>
      <c r="G1574" t="str">
        <f>Sheet4!F1553</f>
        <v>Truyền thông</v>
      </c>
      <c r="H1574" t="str">
        <f>Sheet4!G1553</f>
        <v>Sách, ấn bản &amp; sản phẩm văn hóa</v>
      </c>
      <c r="I1574" s="9" t="str" cm="1">
        <f t="array" ref="I157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74" s="9" t="str" cm="1">
        <f t="array" ref="J157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74" s="10" cm="1">
        <f t="array" ref="K157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74" s="10" cm="1">
        <f t="array" ref="L157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74" s="9" t="str" cm="1">
        <f t="array" ref="M157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74" s="9" t="str" cm="1">
        <f t="array" ref="N157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74" s="10" cm="1">
        <f t="array" ref="O1574">IFERROR(INDEX(Sheet4!$2:$1605,MATCH(ChiTietKQKD[[#This Row],[Mã CP]],Sheet4!$B$2:$B$1605,0),_xlfn.XMATCH("*Tăng trưởng lợi nhuận sau thuế (YoY) (Quý*",Sheet4!$1:$1,2)),"")</f>
        <v>0</v>
      </c>
      <c r="P1574" s="10" cm="1">
        <f t="array" ref="P1574">IFERROR(INDEX(Sheet4!$2:$1605,MATCH(ChiTietKQKD[[#This Row],[Mã CP]],Sheet4!$B$2:$B$1605,0),_xlfn.XMATCH("*Tăng trưởng lợi nhuận sau thuế (YoY) (6M)*",Sheet4!$1:$1,2)),"")</f>
        <v>0</v>
      </c>
      <c r="Q1574" s="10" cm="1">
        <f t="array" ref="Q1574">IFERROR(INDEX(Sheet4!$2:$1605,MATCH(ChiTietKQKD[[#This Row],[Mã CP]],Sheet4!$B$2:$B$1605,0),_xlfn.XMATCH("*Tăng trưởng doanh thu thuần (QoQ)*",Sheet4!$1:$1,2)),"")</f>
        <v>0</v>
      </c>
      <c r="R1574" s="10" cm="1">
        <f t="array" ref="R1574">IFERROR(INDEX(Sheet4!$2:$1605,MATCH(ChiTietKQKD[[#This Row],[Mã CP]],Sheet4!$B$2:$B$1605,0),_xlfn.XMATCH("*Tăng trưởng lợi nhuận sau thuế (QoQ)*",Sheet4!$1:$1,2)),"")</f>
        <v>0</v>
      </c>
    </row>
    <row r="1575" spans="1:18" x14ac:dyDescent="0.25">
      <c r="A1575" s="7">
        <f>Sheet4!A1554</f>
        <v>1553</v>
      </c>
      <c r="B1575" t="str">
        <f>Sheet4!B1554</f>
        <v>VPW</v>
      </c>
      <c r="C1575" t="str">
        <f>Sheet4!C1553</f>
        <v>VINAPRINT</v>
      </c>
      <c r="D1575" t="str">
        <f>Sheet4!D1554</f>
        <v>UPCoM</v>
      </c>
      <c r="E1575" s="7">
        <f>Sheet4!AH1554/1000000000</f>
        <v>103.86868680000001</v>
      </c>
      <c r="F1575" t="str">
        <f>Sheet4!E1554</f>
        <v>Tiện ích Cộng đồng</v>
      </c>
      <c r="G1575" t="str">
        <f>Sheet4!F1554</f>
        <v>Điện, nước &amp; xăng dầu khí đốt</v>
      </c>
      <c r="H1575" t="str">
        <f>Sheet4!G1554</f>
        <v>Nước</v>
      </c>
      <c r="I1575" s="9" t="str" cm="1">
        <f t="array" ref="I157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75" s="9" t="str" cm="1">
        <f t="array" ref="J157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75" s="10" cm="1">
        <f t="array" ref="K157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75" s="10" cm="1">
        <f t="array" ref="L157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75" s="9" t="str" cm="1">
        <f t="array" ref="M157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75" s="9" t="str" cm="1">
        <f t="array" ref="N157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75" s="10" cm="1">
        <f t="array" ref="O1575">IFERROR(INDEX(Sheet4!$2:$1605,MATCH(ChiTietKQKD[[#This Row],[Mã CP]],Sheet4!$B$2:$B$1605,0),_xlfn.XMATCH("*Tăng trưởng lợi nhuận sau thuế (YoY) (Quý*",Sheet4!$1:$1,2)),"")</f>
        <v>0</v>
      </c>
      <c r="P1575" s="10" cm="1">
        <f t="array" ref="P1575">IFERROR(INDEX(Sheet4!$2:$1605,MATCH(ChiTietKQKD[[#This Row],[Mã CP]],Sheet4!$B$2:$B$1605,0),_xlfn.XMATCH("*Tăng trưởng lợi nhuận sau thuế (YoY) (6M)*",Sheet4!$1:$1,2)),"")</f>
        <v>0</v>
      </c>
      <c r="Q1575" s="10" cm="1">
        <f t="array" ref="Q1575">IFERROR(INDEX(Sheet4!$2:$1605,MATCH(ChiTietKQKD[[#This Row],[Mã CP]],Sheet4!$B$2:$B$1605,0),_xlfn.XMATCH("*Tăng trưởng doanh thu thuần (QoQ)*",Sheet4!$1:$1,2)),"")</f>
        <v>0</v>
      </c>
      <c r="R1575" s="10" cm="1">
        <f t="array" ref="R1575">IFERROR(INDEX(Sheet4!$2:$1605,MATCH(ChiTietKQKD[[#This Row],[Mã CP]],Sheet4!$B$2:$B$1605,0),_xlfn.XMATCH("*Tăng trưởng lợi nhuận sau thuế (QoQ)*",Sheet4!$1:$1,2)),"")</f>
        <v>0</v>
      </c>
    </row>
    <row r="1576" spans="1:18" x14ac:dyDescent="0.25">
      <c r="A1576" s="7">
        <f>Sheet4!A1555</f>
        <v>1554</v>
      </c>
      <c r="B1576" t="str">
        <f>Sheet4!B1555</f>
        <v>VQC</v>
      </c>
      <c r="C1576" t="str">
        <f>Sheet4!C1554</f>
        <v>Cấp thoát nước số 1 Vĩnh Phúc</v>
      </c>
      <c r="D1576" t="str">
        <f>Sheet4!D1555</f>
        <v>UPCoM</v>
      </c>
      <c r="E1576" s="7">
        <f>Sheet4!AH1555/1000000000</f>
        <v>46.794539999999998</v>
      </c>
      <c r="F1576" t="str">
        <f>Sheet4!E1555</f>
        <v>Công nghiệp</v>
      </c>
      <c r="G1576" t="str">
        <f>Sheet4!F1555</f>
        <v>Hàng &amp; Dịch vụ Công nghiệp</v>
      </c>
      <c r="H1576" t="str">
        <f>Sheet4!G1555</f>
        <v>Tư vấn &amp; Hỗ trợ KD</v>
      </c>
      <c r="I1576" s="9" t="str" cm="1">
        <f t="array" ref="I157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76" s="9" t="str" cm="1">
        <f t="array" ref="J157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76" s="10" cm="1">
        <f t="array" ref="K157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76" s="10" cm="1">
        <f t="array" ref="L157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76" s="9" t="str" cm="1">
        <f t="array" ref="M157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76" s="9" t="str" cm="1">
        <f t="array" ref="N157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76" s="10" cm="1">
        <f t="array" ref="O1576">IFERROR(INDEX(Sheet4!$2:$1605,MATCH(ChiTietKQKD[[#This Row],[Mã CP]],Sheet4!$B$2:$B$1605,0),_xlfn.XMATCH("*Tăng trưởng lợi nhuận sau thuế (YoY) (Quý*",Sheet4!$1:$1,2)),"")</f>
        <v>0</v>
      </c>
      <c r="P1576" s="10" cm="1">
        <f t="array" ref="P1576">IFERROR(INDEX(Sheet4!$2:$1605,MATCH(ChiTietKQKD[[#This Row],[Mã CP]],Sheet4!$B$2:$B$1605,0),_xlfn.XMATCH("*Tăng trưởng lợi nhuận sau thuế (YoY) (6M)*",Sheet4!$1:$1,2)),"")</f>
        <v>0</v>
      </c>
      <c r="Q1576" s="10" cm="1">
        <f t="array" ref="Q1576">IFERROR(INDEX(Sheet4!$2:$1605,MATCH(ChiTietKQKD[[#This Row],[Mã CP]],Sheet4!$B$2:$B$1605,0),_xlfn.XMATCH("*Tăng trưởng doanh thu thuần (QoQ)*",Sheet4!$1:$1,2)),"")</f>
        <v>0</v>
      </c>
      <c r="R1576" s="10" cm="1">
        <f t="array" ref="R1576">IFERROR(INDEX(Sheet4!$2:$1605,MATCH(ChiTietKQKD[[#This Row],[Mã CP]],Sheet4!$B$2:$B$1605,0),_xlfn.XMATCH("*Tăng trưởng lợi nhuận sau thuế (QoQ)*",Sheet4!$1:$1,2)),"")</f>
        <v>0</v>
      </c>
    </row>
    <row r="1577" spans="1:18" x14ac:dyDescent="0.25">
      <c r="A1577" s="7">
        <f>Sheet4!A1556</f>
        <v>1555</v>
      </c>
      <c r="B1577" t="str">
        <f>Sheet4!B1556</f>
        <v>VRG</v>
      </c>
      <c r="C1577" t="str">
        <f>Sheet4!C1555</f>
        <v>Giám định Vinaconmin</v>
      </c>
      <c r="D1577" t="str">
        <f>Sheet4!D1556</f>
        <v>UPCoM</v>
      </c>
      <c r="E1577" s="7">
        <f>Sheet4!AH1556/1000000000</f>
        <v>348.64850275200001</v>
      </c>
      <c r="F1577" t="str">
        <f>Sheet4!E1556</f>
        <v>Tài chính</v>
      </c>
      <c r="G1577" t="str">
        <f>Sheet4!F1556</f>
        <v>Bất động sản</v>
      </c>
      <c r="H1577" t="str">
        <f>Sheet4!G1556</f>
        <v>Bất động sản</v>
      </c>
      <c r="I1577" s="9" cm="1">
        <f t="array" ref="I157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13.716215201000001</v>
      </c>
      <c r="J1577" s="9" cm="1">
        <f t="array" ref="J157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20.64038021</v>
      </c>
      <c r="K1577" s="10" cm="1">
        <f t="array" ref="K157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0.4486</v>
      </c>
      <c r="L1577" s="10" cm="1">
        <f t="array" ref="L157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0.1043</v>
      </c>
      <c r="M1577" s="9" cm="1">
        <f t="array" ref="M1577">_xlfn.LET(_xlpm.val,IFERROR(INDEX(Sheet4!$2:$1605,MATCH(ChiTietKQKD[[#This Row],[Mã CP]],Sheet4!$B$2:$B$1605,0),_xlfn.XMATCH("*Lợi nhuận sau thuế*Q2*2026*",Sheet4!$1:$1,2)),0),IF(OR(_xlpm.val="",_xlpm.val=0),"",_xlpm.val/1000000000))</f>
        <v>8.0599410999999996E-2</v>
      </c>
      <c r="N1577" s="9" cm="1">
        <f t="array" ref="N1577">_xlfn.LET(_xlpm.val,IFERROR(INDEX(Sheet4!$2:$1605,MATCH(ChiTietKQKD[[#This Row],[Mã CP]],Sheet4!$B$2:$B$1605,0),_xlfn.XMATCH("*Lợi nhuận sau thuế*6 tháng*2026*",Sheet4!$1:$1,2)),0),IF(OR(_xlpm.val="",_xlpm.val=0),"",_xlpm.val/1000000000))</f>
        <v>-4.3512140019999999</v>
      </c>
      <c r="O1577" s="10" cm="1">
        <f t="array" ref="O1577">IFERROR(INDEX(Sheet4!$2:$1605,MATCH(ChiTietKQKD[[#This Row],[Mã CP]],Sheet4!$B$2:$B$1605,0),_xlfn.XMATCH("*Tăng trưởng lợi nhuận sau thuế (YoY) (Quý*",Sheet4!$1:$1,2)),"")</f>
        <v>1.0145999999999999</v>
      </c>
      <c r="P1577" s="10" cm="1">
        <f t="array" ref="P1577">IFERROR(INDEX(Sheet4!$2:$1605,MATCH(ChiTietKQKD[[#This Row],[Mã CP]],Sheet4!$B$2:$B$1605,0),_xlfn.XMATCH("*Tăng trưởng lợi nhuận sau thuế (YoY) (6M)*",Sheet4!$1:$1,2)),"")</f>
        <v>9.1300000000000006E-2</v>
      </c>
      <c r="Q1577" s="10" cm="1">
        <f t="array" ref="Q1577">IFERROR(INDEX(Sheet4!$2:$1605,MATCH(ChiTietKQKD[[#This Row],[Mã CP]],Sheet4!$B$2:$B$1605,0),_xlfn.XMATCH("*Tăng trưởng doanh thu thuần (QoQ)*",Sheet4!$1:$1,2)),"")</f>
        <v>0.98089999999999999</v>
      </c>
      <c r="R1577" s="10" cm="1">
        <f t="array" ref="R1577">IFERROR(INDEX(Sheet4!$2:$1605,MATCH(ChiTietKQKD[[#This Row],[Mã CP]],Sheet4!$B$2:$B$1605,0),_xlfn.XMATCH("*Tăng trưởng lợi nhuận sau thuế (QoQ)*",Sheet4!$1:$1,2)),"")</f>
        <v>1.0129999999999999</v>
      </c>
    </row>
    <row r="1578" spans="1:18" x14ac:dyDescent="0.25">
      <c r="A1578" s="7">
        <f>Sheet4!A1557</f>
        <v>1556</v>
      </c>
      <c r="B1578" t="str">
        <f>Sheet4!B1557</f>
        <v>VSE</v>
      </c>
      <c r="C1578" t="str">
        <f>Sheet4!C1556</f>
        <v>PT Đô thị và KCN Cao su VN</v>
      </c>
      <c r="D1578" t="str">
        <f>Sheet4!D1557</f>
        <v>UPCoM</v>
      </c>
      <c r="E1578" s="7">
        <f>Sheet4!AH1557/1000000000</f>
        <v>67.654982500000003</v>
      </c>
      <c r="F1578" t="str">
        <f>Sheet4!E1557</f>
        <v>Công nghiệp</v>
      </c>
      <c r="G1578" t="str">
        <f>Sheet4!F1557</f>
        <v>Hàng &amp; Dịch vụ Công nghiệp</v>
      </c>
      <c r="H1578" t="str">
        <f>Sheet4!G1557</f>
        <v>Kho bãi, hậu cần và bảo dưỡng</v>
      </c>
      <c r="I1578" s="9" t="str" cm="1">
        <f t="array" ref="I157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78" s="9" t="str" cm="1">
        <f t="array" ref="J157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78" s="10" cm="1">
        <f t="array" ref="K157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78" s="10" cm="1">
        <f t="array" ref="L157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78" s="9" t="str" cm="1">
        <f t="array" ref="M157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78" s="9" t="str" cm="1">
        <f t="array" ref="N157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78" s="10" cm="1">
        <f t="array" ref="O1578">IFERROR(INDEX(Sheet4!$2:$1605,MATCH(ChiTietKQKD[[#This Row],[Mã CP]],Sheet4!$B$2:$B$1605,0),_xlfn.XMATCH("*Tăng trưởng lợi nhuận sau thuế (YoY) (Quý*",Sheet4!$1:$1,2)),"")</f>
        <v>0</v>
      </c>
      <c r="P1578" s="10" cm="1">
        <f t="array" ref="P1578">IFERROR(INDEX(Sheet4!$2:$1605,MATCH(ChiTietKQKD[[#This Row],[Mã CP]],Sheet4!$B$2:$B$1605,0),_xlfn.XMATCH("*Tăng trưởng lợi nhuận sau thuế (YoY) (6M)*",Sheet4!$1:$1,2)),"")</f>
        <v>0</v>
      </c>
      <c r="Q1578" s="10" cm="1">
        <f t="array" ref="Q1578">IFERROR(INDEX(Sheet4!$2:$1605,MATCH(ChiTietKQKD[[#This Row],[Mã CP]],Sheet4!$B$2:$B$1605,0),_xlfn.XMATCH("*Tăng trưởng doanh thu thuần (QoQ)*",Sheet4!$1:$1,2)),"")</f>
        <v>0</v>
      </c>
      <c r="R1578" s="10" cm="1">
        <f t="array" ref="R1578">IFERROR(INDEX(Sheet4!$2:$1605,MATCH(ChiTietKQKD[[#This Row],[Mã CP]],Sheet4!$B$2:$B$1605,0),_xlfn.XMATCH("*Tăng trưởng lợi nhuận sau thuế (QoQ)*",Sheet4!$1:$1,2)),"")</f>
        <v>0</v>
      </c>
    </row>
    <row r="1579" spans="1:18" x14ac:dyDescent="0.25">
      <c r="A1579" s="7">
        <f>Sheet4!A1558</f>
        <v>1557</v>
      </c>
      <c r="B1579" t="str">
        <f>Sheet4!B1558</f>
        <v>VSF</v>
      </c>
      <c r="C1579" t="str">
        <f>Sheet4!C1557</f>
        <v>DV Đường cao tốc Việt Nam</v>
      </c>
      <c r="D1579" t="str">
        <f>Sheet4!D1558</f>
        <v>UPCoM</v>
      </c>
      <c r="E1579" s="7">
        <f>Sheet4!AH1558/1000000000</f>
        <v>15325</v>
      </c>
      <c r="F1579" t="str">
        <f>Sheet4!E1558</f>
        <v>Hàng Tiêu dùng</v>
      </c>
      <c r="G1579" t="str">
        <f>Sheet4!F1558</f>
        <v>Thực phẩm và đồ uống</v>
      </c>
      <c r="H1579" t="str">
        <f>Sheet4!G1558</f>
        <v>Thực phẩm</v>
      </c>
      <c r="I1579" s="9" t="str" cm="1">
        <f t="array" ref="I157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79" s="9" t="str" cm="1">
        <f t="array" ref="J157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79" s="10" cm="1">
        <f t="array" ref="K157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79" s="10" cm="1">
        <f t="array" ref="L157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79" s="9" t="str" cm="1">
        <f t="array" ref="M157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79" s="9" t="str" cm="1">
        <f t="array" ref="N157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79" s="10" cm="1">
        <f t="array" ref="O1579">IFERROR(INDEX(Sheet4!$2:$1605,MATCH(ChiTietKQKD[[#This Row],[Mã CP]],Sheet4!$B$2:$B$1605,0),_xlfn.XMATCH("*Tăng trưởng lợi nhuận sau thuế (YoY) (Quý*",Sheet4!$1:$1,2)),"")</f>
        <v>0</v>
      </c>
      <c r="P1579" s="10" cm="1">
        <f t="array" ref="P1579">IFERROR(INDEX(Sheet4!$2:$1605,MATCH(ChiTietKQKD[[#This Row],[Mã CP]],Sheet4!$B$2:$B$1605,0),_xlfn.XMATCH("*Tăng trưởng lợi nhuận sau thuế (YoY) (6M)*",Sheet4!$1:$1,2)),"")</f>
        <v>0</v>
      </c>
      <c r="Q1579" s="10" cm="1">
        <f t="array" ref="Q1579">IFERROR(INDEX(Sheet4!$2:$1605,MATCH(ChiTietKQKD[[#This Row],[Mã CP]],Sheet4!$B$2:$B$1605,0),_xlfn.XMATCH("*Tăng trưởng doanh thu thuần (QoQ)*",Sheet4!$1:$1,2)),"")</f>
        <v>0</v>
      </c>
      <c r="R1579" s="10" cm="1">
        <f t="array" ref="R1579">IFERROR(INDEX(Sheet4!$2:$1605,MATCH(ChiTietKQKD[[#This Row],[Mã CP]],Sheet4!$B$2:$B$1605,0),_xlfn.XMATCH("*Tăng trưởng lợi nhuận sau thuế (QoQ)*",Sheet4!$1:$1,2)),"")</f>
        <v>0</v>
      </c>
    </row>
    <row r="1580" spans="1:18" x14ac:dyDescent="0.25">
      <c r="A1580" s="7">
        <f>Sheet4!A1559</f>
        <v>1558</v>
      </c>
      <c r="B1580" t="str">
        <f>Sheet4!B1559</f>
        <v>VSG</v>
      </c>
      <c r="C1580" t="str">
        <f>Sheet4!C1558</f>
        <v>Vinafood 2</v>
      </c>
      <c r="D1580" t="str">
        <f>Sheet4!D1559</f>
        <v>UPCoM</v>
      </c>
      <c r="E1580" s="7">
        <f>Sheet4!AH1559/1000000000</f>
        <v>18.774799999999999</v>
      </c>
      <c r="F1580" t="str">
        <f>Sheet4!E1559</f>
        <v>Công nghiệp</v>
      </c>
      <c r="G1580" t="str">
        <f>Sheet4!F1559</f>
        <v>Hàng &amp; Dịch vụ Công nghiệp</v>
      </c>
      <c r="H1580" t="str">
        <f>Sheet4!G1559</f>
        <v>Kho bãi, hậu cần và bảo dưỡng</v>
      </c>
      <c r="I1580" s="9" t="str" cm="1">
        <f t="array" ref="I158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80" s="9" t="str" cm="1">
        <f t="array" ref="J158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80" s="10" cm="1">
        <f t="array" ref="K158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80" s="10" cm="1">
        <f t="array" ref="L158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80" s="9" t="str" cm="1">
        <f t="array" ref="M158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80" s="9" t="str" cm="1">
        <f t="array" ref="N158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80" s="10" cm="1">
        <f t="array" ref="O1580">IFERROR(INDEX(Sheet4!$2:$1605,MATCH(ChiTietKQKD[[#This Row],[Mã CP]],Sheet4!$B$2:$B$1605,0),_xlfn.XMATCH("*Tăng trưởng lợi nhuận sau thuế (YoY) (Quý*",Sheet4!$1:$1,2)),"")</f>
        <v>0</v>
      </c>
      <c r="P1580" s="10" cm="1">
        <f t="array" ref="P1580">IFERROR(INDEX(Sheet4!$2:$1605,MATCH(ChiTietKQKD[[#This Row],[Mã CP]],Sheet4!$B$2:$B$1605,0),_xlfn.XMATCH("*Tăng trưởng lợi nhuận sau thuế (YoY) (6M)*",Sheet4!$1:$1,2)),"")</f>
        <v>0</v>
      </c>
      <c r="Q1580" s="10" cm="1">
        <f t="array" ref="Q1580">IFERROR(INDEX(Sheet4!$2:$1605,MATCH(ChiTietKQKD[[#This Row],[Mã CP]],Sheet4!$B$2:$B$1605,0),_xlfn.XMATCH("*Tăng trưởng doanh thu thuần (QoQ)*",Sheet4!$1:$1,2)),"")</f>
        <v>0</v>
      </c>
      <c r="R1580" s="10" cm="1">
        <f t="array" ref="R1580">IFERROR(INDEX(Sheet4!$2:$1605,MATCH(ChiTietKQKD[[#This Row],[Mã CP]],Sheet4!$B$2:$B$1605,0),_xlfn.XMATCH("*Tăng trưởng lợi nhuận sau thuế (QoQ)*",Sheet4!$1:$1,2)),"")</f>
        <v>0</v>
      </c>
    </row>
    <row r="1581" spans="1:18" x14ac:dyDescent="0.25">
      <c r="A1581" s="7">
        <f>Sheet4!A1560</f>
        <v>1559</v>
      </c>
      <c r="B1581" t="str">
        <f>Sheet4!B1560</f>
        <v>VSN</v>
      </c>
      <c r="C1581" t="str">
        <f>Sheet4!C1559</f>
        <v>Container Phía Nam</v>
      </c>
      <c r="D1581" t="str">
        <f>Sheet4!D1560</f>
        <v>UPCoM</v>
      </c>
      <c r="E1581" s="7">
        <f>Sheet4!AH1560/1000000000</f>
        <v>1011.30625</v>
      </c>
      <c r="F1581" t="str">
        <f>Sheet4!E1560</f>
        <v>Hàng Tiêu dùng</v>
      </c>
      <c r="G1581" t="str">
        <f>Sheet4!F1560</f>
        <v>Thực phẩm và đồ uống</v>
      </c>
      <c r="H1581" t="str">
        <f>Sheet4!G1560</f>
        <v>Thực phẩm</v>
      </c>
      <c r="I1581" s="9" t="str" cm="1">
        <f t="array" ref="I158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81" s="9" t="str" cm="1">
        <f t="array" ref="J158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81" s="10" cm="1">
        <f t="array" ref="K158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81" s="10" cm="1">
        <f t="array" ref="L158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81" s="9" t="str" cm="1">
        <f t="array" ref="M158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81" s="9" t="str" cm="1">
        <f t="array" ref="N158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81" s="10" cm="1">
        <f t="array" ref="O1581">IFERROR(INDEX(Sheet4!$2:$1605,MATCH(ChiTietKQKD[[#This Row],[Mã CP]],Sheet4!$B$2:$B$1605,0),_xlfn.XMATCH("*Tăng trưởng lợi nhuận sau thuế (YoY) (Quý*",Sheet4!$1:$1,2)),"")</f>
        <v>0</v>
      </c>
      <c r="P1581" s="10" cm="1">
        <f t="array" ref="P1581">IFERROR(INDEX(Sheet4!$2:$1605,MATCH(ChiTietKQKD[[#This Row],[Mã CP]],Sheet4!$B$2:$B$1605,0),_xlfn.XMATCH("*Tăng trưởng lợi nhuận sau thuế (YoY) (6M)*",Sheet4!$1:$1,2)),"")</f>
        <v>0</v>
      </c>
      <c r="Q1581" s="10" cm="1">
        <f t="array" ref="Q1581">IFERROR(INDEX(Sheet4!$2:$1605,MATCH(ChiTietKQKD[[#This Row],[Mã CP]],Sheet4!$B$2:$B$1605,0),_xlfn.XMATCH("*Tăng trưởng doanh thu thuần (QoQ)*",Sheet4!$1:$1,2)),"")</f>
        <v>0</v>
      </c>
      <c r="R1581" s="10" cm="1">
        <f t="array" ref="R1581">IFERROR(INDEX(Sheet4!$2:$1605,MATCH(ChiTietKQKD[[#This Row],[Mã CP]],Sheet4!$B$2:$B$1605,0),_xlfn.XMATCH("*Tăng trưởng lợi nhuận sau thuế (QoQ)*",Sheet4!$1:$1,2)),"")</f>
        <v>0</v>
      </c>
    </row>
    <row r="1582" spans="1:18" x14ac:dyDescent="0.25">
      <c r="A1582" s="7">
        <f>Sheet4!A1561</f>
        <v>1560</v>
      </c>
      <c r="B1582" t="str">
        <f>Sheet4!B1561</f>
        <v>VST</v>
      </c>
      <c r="C1582" t="str">
        <f>Sheet4!C1560</f>
        <v>VN Kỹ Nghệ Súc Sản (VISSAN)</v>
      </c>
      <c r="D1582" t="str">
        <f>Sheet4!D1561</f>
        <v>UPCoM</v>
      </c>
      <c r="E1582" s="7">
        <f>Sheet4!AH1561/1000000000</f>
        <v>200.0980773</v>
      </c>
      <c r="F1582" t="str">
        <f>Sheet4!E1561</f>
        <v>Công nghiệp</v>
      </c>
      <c r="G1582" t="str">
        <f>Sheet4!F1561</f>
        <v>Hàng &amp; Dịch vụ Công nghiệp</v>
      </c>
      <c r="H1582" t="str">
        <f>Sheet4!G1561</f>
        <v>Vận tải Thủy</v>
      </c>
      <c r="I1582" s="9" t="str" cm="1">
        <f t="array" ref="I158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82" s="9" t="str" cm="1">
        <f t="array" ref="J158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82" s="10" cm="1">
        <f t="array" ref="K158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82" s="10" cm="1">
        <f t="array" ref="L158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82" s="9" t="str" cm="1">
        <f t="array" ref="M158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82" s="9" t="str" cm="1">
        <f t="array" ref="N158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82" s="10" cm="1">
        <f t="array" ref="O1582">IFERROR(INDEX(Sheet4!$2:$1605,MATCH(ChiTietKQKD[[#This Row],[Mã CP]],Sheet4!$B$2:$B$1605,0),_xlfn.XMATCH("*Tăng trưởng lợi nhuận sau thuế (YoY) (Quý*",Sheet4!$1:$1,2)),"")</f>
        <v>0</v>
      </c>
      <c r="P1582" s="10" cm="1">
        <f t="array" ref="P1582">IFERROR(INDEX(Sheet4!$2:$1605,MATCH(ChiTietKQKD[[#This Row],[Mã CP]],Sheet4!$B$2:$B$1605,0),_xlfn.XMATCH("*Tăng trưởng lợi nhuận sau thuế (YoY) (6M)*",Sheet4!$1:$1,2)),"")</f>
        <v>0</v>
      </c>
      <c r="Q1582" s="10" cm="1">
        <f t="array" ref="Q1582">IFERROR(INDEX(Sheet4!$2:$1605,MATCH(ChiTietKQKD[[#This Row],[Mã CP]],Sheet4!$B$2:$B$1605,0),_xlfn.XMATCH("*Tăng trưởng doanh thu thuần (QoQ)*",Sheet4!$1:$1,2)),"")</f>
        <v>0</v>
      </c>
      <c r="R1582" s="10" cm="1">
        <f t="array" ref="R1582">IFERROR(INDEX(Sheet4!$2:$1605,MATCH(ChiTietKQKD[[#This Row],[Mã CP]],Sheet4!$B$2:$B$1605,0),_xlfn.XMATCH("*Tăng trưởng lợi nhuận sau thuế (QoQ)*",Sheet4!$1:$1,2)),"")</f>
        <v>0</v>
      </c>
    </row>
    <row r="1583" spans="1:18" x14ac:dyDescent="0.25">
      <c r="A1583" s="7">
        <f>Sheet4!A1562</f>
        <v>1561</v>
      </c>
      <c r="B1583" t="str">
        <f>Sheet4!B1562</f>
        <v>VTA</v>
      </c>
      <c r="C1583" t="str">
        <f>Sheet4!C1561</f>
        <v>Vận tải và Thuê Tàu biển Việt Nam</v>
      </c>
      <c r="D1583" t="str">
        <f>Sheet4!D1562</f>
        <v>UPCoM</v>
      </c>
      <c r="E1583" s="7">
        <f>Sheet4!AH1562/1000000000</f>
        <v>15.2</v>
      </c>
      <c r="F1583" t="str">
        <f>Sheet4!E1562</f>
        <v>Công nghiệp</v>
      </c>
      <c r="G1583" t="str">
        <f>Sheet4!F1562</f>
        <v>Xây dựng và Vật liệu</v>
      </c>
      <c r="H1583" t="str">
        <f>Sheet4!G1562</f>
        <v>Vật liệu xây dựng &amp; Nội thất</v>
      </c>
      <c r="I1583" s="9" t="str" cm="1">
        <f t="array" ref="I158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83" s="9" t="str" cm="1">
        <f t="array" ref="J158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83" s="10" cm="1">
        <f t="array" ref="K158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83" s="10" cm="1">
        <f t="array" ref="L158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83" s="9" t="str" cm="1">
        <f t="array" ref="M158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83" s="9" t="str" cm="1">
        <f t="array" ref="N158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83" s="10" cm="1">
        <f t="array" ref="O1583">IFERROR(INDEX(Sheet4!$2:$1605,MATCH(ChiTietKQKD[[#This Row],[Mã CP]],Sheet4!$B$2:$B$1605,0),_xlfn.XMATCH("*Tăng trưởng lợi nhuận sau thuế (YoY) (Quý*",Sheet4!$1:$1,2)),"")</f>
        <v>0</v>
      </c>
      <c r="P1583" s="10" cm="1">
        <f t="array" ref="P1583">IFERROR(INDEX(Sheet4!$2:$1605,MATCH(ChiTietKQKD[[#This Row],[Mã CP]],Sheet4!$B$2:$B$1605,0),_xlfn.XMATCH("*Tăng trưởng lợi nhuận sau thuế (YoY) (6M)*",Sheet4!$1:$1,2)),"")</f>
        <v>0</v>
      </c>
      <c r="Q1583" s="10" cm="1">
        <f t="array" ref="Q1583">IFERROR(INDEX(Sheet4!$2:$1605,MATCH(ChiTietKQKD[[#This Row],[Mã CP]],Sheet4!$B$2:$B$1605,0),_xlfn.XMATCH("*Tăng trưởng doanh thu thuần (QoQ)*",Sheet4!$1:$1,2)),"")</f>
        <v>0</v>
      </c>
      <c r="R1583" s="10" cm="1">
        <f t="array" ref="R1583">IFERROR(INDEX(Sheet4!$2:$1605,MATCH(ChiTietKQKD[[#This Row],[Mã CP]],Sheet4!$B$2:$B$1605,0),_xlfn.XMATCH("*Tăng trưởng lợi nhuận sau thuế (QoQ)*",Sheet4!$1:$1,2)),"")</f>
        <v>0</v>
      </c>
    </row>
    <row r="1584" spans="1:18" x14ac:dyDescent="0.25">
      <c r="A1584" s="7">
        <f>Sheet4!A1563</f>
        <v>1562</v>
      </c>
      <c r="B1584" t="str">
        <f>Sheet4!B1563</f>
        <v>VTD</v>
      </c>
      <c r="C1584" t="str">
        <f>Sheet4!C1562</f>
        <v>Gạch men VITALY</v>
      </c>
      <c r="D1584" t="str">
        <f>Sheet4!D1563</f>
        <v>UPCoM</v>
      </c>
      <c r="E1584" s="7">
        <f>Sheet4!AH1563/1000000000</f>
        <v>104.44799999999999</v>
      </c>
      <c r="F1584" t="str">
        <f>Sheet4!E1563</f>
        <v>Dịch vụ Tiêu dùng</v>
      </c>
      <c r="G1584" t="str">
        <f>Sheet4!F1563</f>
        <v>Du lịch và Giải trí</v>
      </c>
      <c r="H1584" t="str">
        <f>Sheet4!G1563</f>
        <v>Vận tải hành khách &amp; Du lịch</v>
      </c>
      <c r="I1584" s="9" t="str" cm="1">
        <f t="array" ref="I158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84" s="9" t="str" cm="1">
        <f t="array" ref="J158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84" s="10" cm="1">
        <f t="array" ref="K158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84" s="10" cm="1">
        <f t="array" ref="L158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84" s="9" t="str" cm="1">
        <f t="array" ref="M158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84" s="9" t="str" cm="1">
        <f t="array" ref="N158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84" s="10" cm="1">
        <f t="array" ref="O1584">IFERROR(INDEX(Sheet4!$2:$1605,MATCH(ChiTietKQKD[[#This Row],[Mã CP]],Sheet4!$B$2:$B$1605,0),_xlfn.XMATCH("*Tăng trưởng lợi nhuận sau thuế (YoY) (Quý*",Sheet4!$1:$1,2)),"")</f>
        <v>0</v>
      </c>
      <c r="P1584" s="10" cm="1">
        <f t="array" ref="P1584">IFERROR(INDEX(Sheet4!$2:$1605,MATCH(ChiTietKQKD[[#This Row],[Mã CP]],Sheet4!$B$2:$B$1605,0),_xlfn.XMATCH("*Tăng trưởng lợi nhuận sau thuế (YoY) (6M)*",Sheet4!$1:$1,2)),"")</f>
        <v>0</v>
      </c>
      <c r="Q1584" s="10" cm="1">
        <f t="array" ref="Q1584">IFERROR(INDEX(Sheet4!$2:$1605,MATCH(ChiTietKQKD[[#This Row],[Mã CP]],Sheet4!$B$2:$B$1605,0),_xlfn.XMATCH("*Tăng trưởng doanh thu thuần (QoQ)*",Sheet4!$1:$1,2)),"")</f>
        <v>0</v>
      </c>
      <c r="R1584" s="10" cm="1">
        <f t="array" ref="R1584">IFERROR(INDEX(Sheet4!$2:$1605,MATCH(ChiTietKQKD[[#This Row],[Mã CP]],Sheet4!$B$2:$B$1605,0),_xlfn.XMATCH("*Tăng trưởng lợi nhuận sau thuế (QoQ)*",Sheet4!$1:$1,2)),"")</f>
        <v>0</v>
      </c>
    </row>
    <row r="1585" spans="1:18" x14ac:dyDescent="0.25">
      <c r="A1585" s="7">
        <f>Sheet4!A1564</f>
        <v>1563</v>
      </c>
      <c r="B1585" t="str">
        <f>Sheet4!B1564</f>
        <v>VTE</v>
      </c>
      <c r="C1585" t="str">
        <f>Sheet4!C1563</f>
        <v>Du lịch Vietourist</v>
      </c>
      <c r="D1585" t="str">
        <f>Sheet4!D1564</f>
        <v>UPCoM</v>
      </c>
      <c r="E1585" s="7">
        <f>Sheet4!AH1564/1000000000</f>
        <v>107.64</v>
      </c>
      <c r="F1585" t="str">
        <f>Sheet4!E1564</f>
        <v>Công nghệ Thông tin</v>
      </c>
      <c r="G1585" t="str">
        <f>Sheet4!F1564</f>
        <v>Công nghệ Thông tin</v>
      </c>
      <c r="H1585" t="str">
        <f>Sheet4!G1564</f>
        <v>Thiết bị viễn thông</v>
      </c>
      <c r="I1585" s="9" t="str" cm="1">
        <f t="array" ref="I158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85" s="9" t="str" cm="1">
        <f t="array" ref="J158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85" s="10" cm="1">
        <f t="array" ref="K158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85" s="10" cm="1">
        <f t="array" ref="L158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85" s="9" t="str" cm="1">
        <f t="array" ref="M158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85" s="9" t="str" cm="1">
        <f t="array" ref="N158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85" s="10" cm="1">
        <f t="array" ref="O1585">IFERROR(INDEX(Sheet4!$2:$1605,MATCH(ChiTietKQKD[[#This Row],[Mã CP]],Sheet4!$B$2:$B$1605,0),_xlfn.XMATCH("*Tăng trưởng lợi nhuận sau thuế (YoY) (Quý*",Sheet4!$1:$1,2)),"")</f>
        <v>0</v>
      </c>
      <c r="P1585" s="10" cm="1">
        <f t="array" ref="P1585">IFERROR(INDEX(Sheet4!$2:$1605,MATCH(ChiTietKQKD[[#This Row],[Mã CP]],Sheet4!$B$2:$B$1605,0),_xlfn.XMATCH("*Tăng trưởng lợi nhuận sau thuế (YoY) (6M)*",Sheet4!$1:$1,2)),"")</f>
        <v>0</v>
      </c>
      <c r="Q1585" s="10" cm="1">
        <f t="array" ref="Q1585">IFERROR(INDEX(Sheet4!$2:$1605,MATCH(ChiTietKQKD[[#This Row],[Mã CP]],Sheet4!$B$2:$B$1605,0),_xlfn.XMATCH("*Tăng trưởng doanh thu thuần (QoQ)*",Sheet4!$1:$1,2)),"")</f>
        <v>0</v>
      </c>
      <c r="R1585" s="10" cm="1">
        <f t="array" ref="R1585">IFERROR(INDEX(Sheet4!$2:$1605,MATCH(ChiTietKQKD[[#This Row],[Mã CP]],Sheet4!$B$2:$B$1605,0),_xlfn.XMATCH("*Tăng trưởng lợi nhuận sau thuế (QoQ)*",Sheet4!$1:$1,2)),"")</f>
        <v>0</v>
      </c>
    </row>
    <row r="1586" spans="1:18" x14ac:dyDescent="0.25">
      <c r="A1586" s="7">
        <f>Sheet4!A1565</f>
        <v>1564</v>
      </c>
      <c r="B1586" t="str">
        <f>Sheet4!B1565</f>
        <v>VTG</v>
      </c>
      <c r="C1586" t="str">
        <f>Sheet4!C1564</f>
        <v>VINACAP Kim Long</v>
      </c>
      <c r="D1586" t="str">
        <f>Sheet4!D1565</f>
        <v>UPCoM</v>
      </c>
      <c r="E1586" s="7">
        <f>Sheet4!AH1565/1000000000</f>
        <v>70.849100000000007</v>
      </c>
      <c r="F1586" t="str">
        <f>Sheet4!E1565</f>
        <v>Dịch vụ Tiêu dùng</v>
      </c>
      <c r="G1586" t="str">
        <f>Sheet4!F1565</f>
        <v>Du lịch và Giải trí</v>
      </c>
      <c r="H1586" t="str">
        <f>Sheet4!G1565</f>
        <v>Vận tải hành khách &amp; Du lịch</v>
      </c>
      <c r="I1586" s="9" t="str" cm="1">
        <f t="array" ref="I158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86" s="9" t="str" cm="1">
        <f t="array" ref="J158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86" s="10" cm="1">
        <f t="array" ref="K158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86" s="10" cm="1">
        <f t="array" ref="L158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86" s="9" t="str" cm="1">
        <f t="array" ref="M158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86" s="9" t="str" cm="1">
        <f t="array" ref="N158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86" s="10" cm="1">
        <f t="array" ref="O1586">IFERROR(INDEX(Sheet4!$2:$1605,MATCH(ChiTietKQKD[[#This Row],[Mã CP]],Sheet4!$B$2:$B$1605,0),_xlfn.XMATCH("*Tăng trưởng lợi nhuận sau thuế (YoY) (Quý*",Sheet4!$1:$1,2)),"")</f>
        <v>0</v>
      </c>
      <c r="P1586" s="10" cm="1">
        <f t="array" ref="P1586">IFERROR(INDEX(Sheet4!$2:$1605,MATCH(ChiTietKQKD[[#This Row],[Mã CP]],Sheet4!$B$2:$B$1605,0),_xlfn.XMATCH("*Tăng trưởng lợi nhuận sau thuế (YoY) (6M)*",Sheet4!$1:$1,2)),"")</f>
        <v>0</v>
      </c>
      <c r="Q1586" s="10" cm="1">
        <f t="array" ref="Q1586">IFERROR(INDEX(Sheet4!$2:$1605,MATCH(ChiTietKQKD[[#This Row],[Mã CP]],Sheet4!$B$2:$B$1605,0),_xlfn.XMATCH("*Tăng trưởng doanh thu thuần (QoQ)*",Sheet4!$1:$1,2)),"")</f>
        <v>0</v>
      </c>
      <c r="R1586" s="10" cm="1">
        <f t="array" ref="R1586">IFERROR(INDEX(Sheet4!$2:$1605,MATCH(ChiTietKQKD[[#This Row],[Mã CP]],Sheet4!$B$2:$B$1605,0),_xlfn.XMATCH("*Tăng trưởng lợi nhuận sau thuế (QoQ)*",Sheet4!$1:$1,2)),"")</f>
        <v>0</v>
      </c>
    </row>
    <row r="1587" spans="1:18" x14ac:dyDescent="0.25">
      <c r="A1587" s="7">
        <f>Sheet4!A1566</f>
        <v>1565</v>
      </c>
      <c r="B1587" t="str">
        <f>Sheet4!B1566</f>
        <v>VTI</v>
      </c>
      <c r="C1587" t="str">
        <f>Sheet4!C1565</f>
        <v>Du lịch tỉnh BR-VT</v>
      </c>
      <c r="D1587" t="str">
        <f>Sheet4!D1566</f>
        <v>UPCoM</v>
      </c>
      <c r="E1587" s="7">
        <f>Sheet4!AH1566/1000000000</f>
        <v>20.542862400000001</v>
      </c>
      <c r="F1587" t="str">
        <f>Sheet4!E1566</f>
        <v>Hàng Tiêu dùng</v>
      </c>
      <c r="G1587" t="str">
        <f>Sheet4!F1566</f>
        <v>Hàng cá nhân &amp; Gia dụng</v>
      </c>
      <c r="H1587" t="str">
        <f>Sheet4!G1566</f>
        <v>Hàng May mặc</v>
      </c>
      <c r="I1587" s="9" t="str" cm="1">
        <f t="array" ref="I158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87" s="9" t="str" cm="1">
        <f t="array" ref="J158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87" s="10" cm="1">
        <f t="array" ref="K158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87" s="10" cm="1">
        <f t="array" ref="L158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87" s="9" t="str" cm="1">
        <f t="array" ref="M158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87" s="9" t="str" cm="1">
        <f t="array" ref="N158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87" s="10" cm="1">
        <f t="array" ref="O1587">IFERROR(INDEX(Sheet4!$2:$1605,MATCH(ChiTietKQKD[[#This Row],[Mã CP]],Sheet4!$B$2:$B$1605,0),_xlfn.XMATCH("*Tăng trưởng lợi nhuận sau thuế (YoY) (Quý*",Sheet4!$1:$1,2)),"")</f>
        <v>0</v>
      </c>
      <c r="P1587" s="10" cm="1">
        <f t="array" ref="P1587">IFERROR(INDEX(Sheet4!$2:$1605,MATCH(ChiTietKQKD[[#This Row],[Mã CP]],Sheet4!$B$2:$B$1605,0),_xlfn.XMATCH("*Tăng trưởng lợi nhuận sau thuế (YoY) (6M)*",Sheet4!$1:$1,2)),"")</f>
        <v>0</v>
      </c>
      <c r="Q1587" s="10" cm="1">
        <f t="array" ref="Q1587">IFERROR(INDEX(Sheet4!$2:$1605,MATCH(ChiTietKQKD[[#This Row],[Mã CP]],Sheet4!$B$2:$B$1605,0),_xlfn.XMATCH("*Tăng trưởng doanh thu thuần (QoQ)*",Sheet4!$1:$1,2)),"")</f>
        <v>0</v>
      </c>
      <c r="R1587" s="10" cm="1">
        <f t="array" ref="R1587">IFERROR(INDEX(Sheet4!$2:$1605,MATCH(ChiTietKQKD[[#This Row],[Mã CP]],Sheet4!$B$2:$B$1605,0),_xlfn.XMATCH("*Tăng trưởng lợi nhuận sau thuế (QoQ)*",Sheet4!$1:$1,2)),"")</f>
        <v>0</v>
      </c>
    </row>
    <row r="1588" spans="1:18" x14ac:dyDescent="0.25">
      <c r="A1588" s="7">
        <f>Sheet4!A1567</f>
        <v>1566</v>
      </c>
      <c r="B1588" t="str">
        <f>Sheet4!B1567</f>
        <v>VTK</v>
      </c>
      <c r="C1588" t="str">
        <f>Sheet4!C1566</f>
        <v>Sản xuất - XNK Dệt may</v>
      </c>
      <c r="D1588" t="str">
        <f>Sheet4!D1567</f>
        <v>UPCoM</v>
      </c>
      <c r="E1588" s="7">
        <f>Sheet4!AH1567/1000000000</f>
        <v>507.68585422500001</v>
      </c>
      <c r="F1588" t="str">
        <f>Sheet4!E1567</f>
        <v>Công nghiệp</v>
      </c>
      <c r="G1588" t="str">
        <f>Sheet4!F1567</f>
        <v>Hàng &amp; Dịch vụ Công nghiệp</v>
      </c>
      <c r="H1588" t="str">
        <f>Sheet4!G1567</f>
        <v>Tư vấn &amp; Hỗ trợ KD</v>
      </c>
      <c r="I1588" s="9" t="str" cm="1">
        <f t="array" ref="I158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88" s="9" t="str" cm="1">
        <f t="array" ref="J158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88" s="10" cm="1">
        <f t="array" ref="K158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88" s="10" cm="1">
        <f t="array" ref="L158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88" s="9" t="str" cm="1">
        <f t="array" ref="M158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88" s="9" t="str" cm="1">
        <f t="array" ref="N158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88" s="10" cm="1">
        <f t="array" ref="O1588">IFERROR(INDEX(Sheet4!$2:$1605,MATCH(ChiTietKQKD[[#This Row],[Mã CP]],Sheet4!$B$2:$B$1605,0),_xlfn.XMATCH("*Tăng trưởng lợi nhuận sau thuế (YoY) (Quý*",Sheet4!$1:$1,2)),"")</f>
        <v>0</v>
      </c>
      <c r="P1588" s="10" cm="1">
        <f t="array" ref="P1588">IFERROR(INDEX(Sheet4!$2:$1605,MATCH(ChiTietKQKD[[#This Row],[Mã CP]],Sheet4!$B$2:$B$1605,0),_xlfn.XMATCH("*Tăng trưởng lợi nhuận sau thuế (YoY) (6M)*",Sheet4!$1:$1,2)),"")</f>
        <v>0</v>
      </c>
      <c r="Q1588" s="10" cm="1">
        <f t="array" ref="Q1588">IFERROR(INDEX(Sheet4!$2:$1605,MATCH(ChiTietKQKD[[#This Row],[Mã CP]],Sheet4!$B$2:$B$1605,0),_xlfn.XMATCH("*Tăng trưởng doanh thu thuần (QoQ)*",Sheet4!$1:$1,2)),"")</f>
        <v>0</v>
      </c>
      <c r="R1588" s="10" cm="1">
        <f t="array" ref="R1588">IFERROR(INDEX(Sheet4!$2:$1605,MATCH(ChiTietKQKD[[#This Row],[Mã CP]],Sheet4!$B$2:$B$1605,0),_xlfn.XMATCH("*Tăng trưởng lợi nhuận sau thuế (QoQ)*",Sheet4!$1:$1,2)),"")</f>
        <v>0</v>
      </c>
    </row>
    <row r="1589" spans="1:18" x14ac:dyDescent="0.25">
      <c r="A1589" s="7">
        <f>Sheet4!A1568</f>
        <v>1567</v>
      </c>
      <c r="B1589" t="str">
        <f>Sheet4!B1568</f>
        <v>VTM</v>
      </c>
      <c r="C1589" t="str">
        <f>Sheet4!C1567</f>
        <v>Tư vấn thiết kế Viettel</v>
      </c>
      <c r="D1589" t="str">
        <f>Sheet4!D1568</f>
        <v>UPCoM</v>
      </c>
      <c r="E1589" s="7">
        <f>Sheet4!AH1568/1000000000</f>
        <v>71.499574600000003</v>
      </c>
      <c r="F1589" t="str">
        <f>Sheet4!E1568</f>
        <v>Dịch vụ Tiêu dùng</v>
      </c>
      <c r="G1589" t="str">
        <f>Sheet4!F1568</f>
        <v>Du lịch và Giải trí</v>
      </c>
      <c r="H1589" t="str">
        <f>Sheet4!G1568</f>
        <v>Vận tải hành khách &amp; Du lịch</v>
      </c>
      <c r="I1589" s="9" t="str" cm="1">
        <f t="array" ref="I158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89" s="9" t="str" cm="1">
        <f t="array" ref="J158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89" s="10" cm="1">
        <f t="array" ref="K158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89" s="10" cm="1">
        <f t="array" ref="L158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89" s="9" t="str" cm="1">
        <f t="array" ref="M158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89" s="9" t="str" cm="1">
        <f t="array" ref="N158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89" s="10" cm="1">
        <f t="array" ref="O1589">IFERROR(INDEX(Sheet4!$2:$1605,MATCH(ChiTietKQKD[[#This Row],[Mã CP]],Sheet4!$B$2:$B$1605,0),_xlfn.XMATCH("*Tăng trưởng lợi nhuận sau thuế (YoY) (Quý*",Sheet4!$1:$1,2)),"")</f>
        <v>0</v>
      </c>
      <c r="P1589" s="10" cm="1">
        <f t="array" ref="P1589">IFERROR(INDEX(Sheet4!$2:$1605,MATCH(ChiTietKQKD[[#This Row],[Mã CP]],Sheet4!$B$2:$B$1605,0),_xlfn.XMATCH("*Tăng trưởng lợi nhuận sau thuế (YoY) (6M)*",Sheet4!$1:$1,2)),"")</f>
        <v>0</v>
      </c>
      <c r="Q1589" s="10" cm="1">
        <f t="array" ref="Q1589">IFERROR(INDEX(Sheet4!$2:$1605,MATCH(ChiTietKQKD[[#This Row],[Mã CP]],Sheet4!$B$2:$B$1605,0),_xlfn.XMATCH("*Tăng trưởng doanh thu thuần (QoQ)*",Sheet4!$1:$1,2)),"")</f>
        <v>0</v>
      </c>
      <c r="R1589" s="10" cm="1">
        <f t="array" ref="R1589">IFERROR(INDEX(Sheet4!$2:$1605,MATCH(ChiTietKQKD[[#This Row],[Mã CP]],Sheet4!$B$2:$B$1605,0),_xlfn.XMATCH("*Tăng trưởng lợi nhuận sau thuế (QoQ)*",Sheet4!$1:$1,2)),"")</f>
        <v>0</v>
      </c>
    </row>
    <row r="1590" spans="1:18" x14ac:dyDescent="0.25">
      <c r="A1590" s="7">
        <f>Sheet4!A1569</f>
        <v>1568</v>
      </c>
      <c r="B1590" t="str">
        <f>Sheet4!B1569</f>
        <v>VTQ</v>
      </c>
      <c r="C1590" t="str">
        <f>Sheet4!C1568</f>
        <v>Đưa đón thợ mỏ - Vinacomin</v>
      </c>
      <c r="D1590" t="str">
        <f>Sheet4!D1569</f>
        <v>UPCoM</v>
      </c>
      <c r="E1590" s="7">
        <f>Sheet4!AH1569/1000000000</f>
        <v>81.992596800000001</v>
      </c>
      <c r="F1590" t="str">
        <f>Sheet4!E1569</f>
        <v>Nguyên vật liệu</v>
      </c>
      <c r="G1590" t="str">
        <f>Sheet4!F1569</f>
        <v>Hóa chất</v>
      </c>
      <c r="H1590" t="str">
        <f>Sheet4!G1569</f>
        <v>Nhựa, cao su &amp; sợi</v>
      </c>
      <c r="I1590" s="9" t="str" cm="1">
        <f t="array" ref="I159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90" s="9" t="str" cm="1">
        <f t="array" ref="J159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90" s="10" cm="1">
        <f t="array" ref="K159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90" s="10" cm="1">
        <f t="array" ref="L159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90" s="9" t="str" cm="1">
        <f t="array" ref="M159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90" s="9" t="str" cm="1">
        <f t="array" ref="N159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90" s="10" cm="1">
        <f t="array" ref="O1590">IFERROR(INDEX(Sheet4!$2:$1605,MATCH(ChiTietKQKD[[#This Row],[Mã CP]],Sheet4!$B$2:$B$1605,0),_xlfn.XMATCH("*Tăng trưởng lợi nhuận sau thuế (YoY) (Quý*",Sheet4!$1:$1,2)),"")</f>
        <v>0</v>
      </c>
      <c r="P1590" s="10" cm="1">
        <f t="array" ref="P1590">IFERROR(INDEX(Sheet4!$2:$1605,MATCH(ChiTietKQKD[[#This Row],[Mã CP]],Sheet4!$B$2:$B$1605,0),_xlfn.XMATCH("*Tăng trưởng lợi nhuận sau thuế (YoY) (6M)*",Sheet4!$1:$1,2)),"")</f>
        <v>0</v>
      </c>
      <c r="Q1590" s="10" cm="1">
        <f t="array" ref="Q1590">IFERROR(INDEX(Sheet4!$2:$1605,MATCH(ChiTietKQKD[[#This Row],[Mã CP]],Sheet4!$B$2:$B$1605,0),_xlfn.XMATCH("*Tăng trưởng doanh thu thuần (QoQ)*",Sheet4!$1:$1,2)),"")</f>
        <v>0</v>
      </c>
      <c r="R1590" s="10" cm="1">
        <f t="array" ref="R1590">IFERROR(INDEX(Sheet4!$2:$1605,MATCH(ChiTietKQKD[[#This Row],[Mã CP]],Sheet4!$B$2:$B$1605,0),_xlfn.XMATCH("*Tăng trưởng lợi nhuận sau thuế (QoQ)*",Sheet4!$1:$1,2)),"")</f>
        <v>0</v>
      </c>
    </row>
    <row r="1591" spans="1:18" x14ac:dyDescent="0.25">
      <c r="A1591" s="7">
        <f>Sheet4!A1570</f>
        <v>1569</v>
      </c>
      <c r="B1591" t="str">
        <f>Sheet4!B1570</f>
        <v>VTR</v>
      </c>
      <c r="C1591" t="str">
        <f>Sheet4!C1569</f>
        <v>Việt Trung Quảng Bình</v>
      </c>
      <c r="D1591" t="str">
        <f>Sheet4!D1570</f>
        <v>UPCoM</v>
      </c>
      <c r="E1591" s="7">
        <f>Sheet4!AH1570/1000000000</f>
        <v>657.75148509300004</v>
      </c>
      <c r="F1591" t="str">
        <f>Sheet4!E1570</f>
        <v>Dịch vụ Tiêu dùng</v>
      </c>
      <c r="G1591" t="str">
        <f>Sheet4!F1570</f>
        <v>Du lịch và Giải trí</v>
      </c>
      <c r="H1591" t="str">
        <f>Sheet4!G1570</f>
        <v>Vận tải hành khách &amp; Du lịch</v>
      </c>
      <c r="I1591" s="9" t="str" cm="1">
        <f t="array" ref="I159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91" s="9" t="str" cm="1">
        <f t="array" ref="J159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91" s="10" cm="1">
        <f t="array" ref="K159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91" s="10" cm="1">
        <f t="array" ref="L159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91" s="9" t="str" cm="1">
        <f t="array" ref="M159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91" s="9" t="str" cm="1">
        <f t="array" ref="N159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91" s="10" cm="1">
        <f t="array" ref="O1591">IFERROR(INDEX(Sheet4!$2:$1605,MATCH(ChiTietKQKD[[#This Row],[Mã CP]],Sheet4!$B$2:$B$1605,0),_xlfn.XMATCH("*Tăng trưởng lợi nhuận sau thuế (YoY) (Quý*",Sheet4!$1:$1,2)),"")</f>
        <v>0</v>
      </c>
      <c r="P1591" s="10" cm="1">
        <f t="array" ref="P1591">IFERROR(INDEX(Sheet4!$2:$1605,MATCH(ChiTietKQKD[[#This Row],[Mã CP]],Sheet4!$B$2:$B$1605,0),_xlfn.XMATCH("*Tăng trưởng lợi nhuận sau thuế (YoY) (6M)*",Sheet4!$1:$1,2)),"")</f>
        <v>0</v>
      </c>
      <c r="Q1591" s="10" cm="1">
        <f t="array" ref="Q1591">IFERROR(INDEX(Sheet4!$2:$1605,MATCH(ChiTietKQKD[[#This Row],[Mã CP]],Sheet4!$B$2:$B$1605,0),_xlfn.XMATCH("*Tăng trưởng doanh thu thuần (QoQ)*",Sheet4!$1:$1,2)),"")</f>
        <v>0</v>
      </c>
      <c r="R1591" s="10" cm="1">
        <f t="array" ref="R1591">IFERROR(INDEX(Sheet4!$2:$1605,MATCH(ChiTietKQKD[[#This Row],[Mã CP]],Sheet4!$B$2:$B$1605,0),_xlfn.XMATCH("*Tăng trưởng lợi nhuận sau thuế (QoQ)*",Sheet4!$1:$1,2)),"")</f>
        <v>0</v>
      </c>
    </row>
    <row r="1592" spans="1:18" x14ac:dyDescent="0.25">
      <c r="A1592" s="7">
        <f>Sheet4!A1571</f>
        <v>1570</v>
      </c>
      <c r="B1592" t="str">
        <f>Sheet4!B1571</f>
        <v>VTS</v>
      </c>
      <c r="C1592" t="str">
        <f>Sheet4!C1570</f>
        <v>Du lịch Vietravel</v>
      </c>
      <c r="D1592" t="str">
        <f>Sheet4!D1571</f>
        <v>UPCoM</v>
      </c>
      <c r="E1592" s="7">
        <f>Sheet4!AH1571/1000000000</f>
        <v>8.4</v>
      </c>
      <c r="F1592" t="str">
        <f>Sheet4!E1571</f>
        <v>Công nghiệp</v>
      </c>
      <c r="G1592" t="str">
        <f>Sheet4!F1571</f>
        <v>Xây dựng và Vật liệu</v>
      </c>
      <c r="H1592" t="str">
        <f>Sheet4!G1571</f>
        <v>Vật liệu xây dựng &amp; Nội thất</v>
      </c>
      <c r="I1592" s="9" t="str" cm="1">
        <f t="array" ref="I159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92" s="9" t="str" cm="1">
        <f t="array" ref="J159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92" s="10" cm="1">
        <f t="array" ref="K159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92" s="10" cm="1">
        <f t="array" ref="L159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92" s="9" t="str" cm="1">
        <f t="array" ref="M159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92" s="9" t="str" cm="1">
        <f t="array" ref="N159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92" s="10" cm="1">
        <f t="array" ref="O1592">IFERROR(INDEX(Sheet4!$2:$1605,MATCH(ChiTietKQKD[[#This Row],[Mã CP]],Sheet4!$B$2:$B$1605,0),_xlfn.XMATCH("*Tăng trưởng lợi nhuận sau thuế (YoY) (Quý*",Sheet4!$1:$1,2)),"")</f>
        <v>0</v>
      </c>
      <c r="P1592" s="10" cm="1">
        <f t="array" ref="P1592">IFERROR(INDEX(Sheet4!$2:$1605,MATCH(ChiTietKQKD[[#This Row],[Mã CP]],Sheet4!$B$2:$B$1605,0),_xlfn.XMATCH("*Tăng trưởng lợi nhuận sau thuế (YoY) (6M)*",Sheet4!$1:$1,2)),"")</f>
        <v>0</v>
      </c>
      <c r="Q1592" s="10" cm="1">
        <f t="array" ref="Q1592">IFERROR(INDEX(Sheet4!$2:$1605,MATCH(ChiTietKQKD[[#This Row],[Mã CP]],Sheet4!$B$2:$B$1605,0),_xlfn.XMATCH("*Tăng trưởng doanh thu thuần (QoQ)*",Sheet4!$1:$1,2)),"")</f>
        <v>0</v>
      </c>
      <c r="R1592" s="10" cm="1">
        <f t="array" ref="R1592">IFERROR(INDEX(Sheet4!$2:$1605,MATCH(ChiTietKQKD[[#This Row],[Mã CP]],Sheet4!$B$2:$B$1605,0),_xlfn.XMATCH("*Tăng trưởng lợi nhuận sau thuế (QoQ)*",Sheet4!$1:$1,2)),"")</f>
        <v>0</v>
      </c>
    </row>
    <row r="1593" spans="1:18" x14ac:dyDescent="0.25">
      <c r="A1593" s="7">
        <f>Sheet4!A1572</f>
        <v>1571</v>
      </c>
      <c r="B1593" t="str">
        <f>Sheet4!B1572</f>
        <v>VTX</v>
      </c>
      <c r="C1593" t="str">
        <f>Sheet4!C1571</f>
        <v>Gạch Ngói Từ Sơn</v>
      </c>
      <c r="D1593" t="str">
        <f>Sheet4!D1572</f>
        <v>UPCoM</v>
      </c>
      <c r="E1593" s="7">
        <f>Sheet4!AH1572/1000000000</f>
        <v>77.597587700000005</v>
      </c>
      <c r="F1593" t="str">
        <f>Sheet4!E1572</f>
        <v>Công nghiệp</v>
      </c>
      <c r="G1593" t="str">
        <f>Sheet4!F1572</f>
        <v>Hàng &amp; Dịch vụ Công nghiệp</v>
      </c>
      <c r="H1593" t="str">
        <f>Sheet4!G1572</f>
        <v>Dịch vụ vận tải</v>
      </c>
      <c r="I1593" s="9" t="str" cm="1">
        <f t="array" ref="I159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93" s="9" t="str" cm="1">
        <f t="array" ref="J159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93" s="10" cm="1">
        <f t="array" ref="K159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93" s="10" cm="1">
        <f t="array" ref="L159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93" s="9" t="str" cm="1">
        <f t="array" ref="M159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93" s="9" t="str" cm="1">
        <f t="array" ref="N159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93" s="10" cm="1">
        <f t="array" ref="O1593">IFERROR(INDEX(Sheet4!$2:$1605,MATCH(ChiTietKQKD[[#This Row],[Mã CP]],Sheet4!$B$2:$B$1605,0),_xlfn.XMATCH("*Tăng trưởng lợi nhuận sau thuế (YoY) (Quý*",Sheet4!$1:$1,2)),"")</f>
        <v>0</v>
      </c>
      <c r="P1593" s="10" cm="1">
        <f t="array" ref="P1593">IFERROR(INDEX(Sheet4!$2:$1605,MATCH(ChiTietKQKD[[#This Row],[Mã CP]],Sheet4!$B$2:$B$1605,0),_xlfn.XMATCH("*Tăng trưởng lợi nhuận sau thuế (YoY) (6M)*",Sheet4!$1:$1,2)),"")</f>
        <v>0</v>
      </c>
      <c r="Q1593" s="10" cm="1">
        <f t="array" ref="Q1593">IFERROR(INDEX(Sheet4!$2:$1605,MATCH(ChiTietKQKD[[#This Row],[Mã CP]],Sheet4!$B$2:$B$1605,0),_xlfn.XMATCH("*Tăng trưởng doanh thu thuần (QoQ)*",Sheet4!$1:$1,2)),"")</f>
        <v>0</v>
      </c>
      <c r="R1593" s="10" cm="1">
        <f t="array" ref="R1593">IFERROR(INDEX(Sheet4!$2:$1605,MATCH(ChiTietKQKD[[#This Row],[Mã CP]],Sheet4!$B$2:$B$1605,0),_xlfn.XMATCH("*Tăng trưởng lợi nhuận sau thuế (QoQ)*",Sheet4!$1:$1,2)),"")</f>
        <v>0</v>
      </c>
    </row>
    <row r="1594" spans="1:18" x14ac:dyDescent="0.25">
      <c r="A1594" s="7">
        <f>Sheet4!A1573</f>
        <v>1572</v>
      </c>
      <c r="B1594" t="str">
        <f>Sheet4!B1573</f>
        <v>VUA</v>
      </c>
      <c r="C1594" t="str">
        <f>Sheet4!C1572</f>
        <v>Vận tải Đa phương thức</v>
      </c>
      <c r="D1594" t="str">
        <f>Sheet4!D1573</f>
        <v>UPCoM</v>
      </c>
      <c r="E1594" s="7">
        <f>Sheet4!AH1573/1000000000</f>
        <v>3040</v>
      </c>
      <c r="F1594" t="str">
        <f>Sheet4!E1573</f>
        <v>Tài chính</v>
      </c>
      <c r="G1594" t="str">
        <f>Sheet4!F1573</f>
        <v>Dịch vụ tài chính</v>
      </c>
      <c r="H1594" t="str">
        <f>Sheet4!G1573</f>
        <v>Môi giới chứng khoán</v>
      </c>
      <c r="I1594" s="9" cm="1">
        <f t="array" ref="I159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67.322907064000006</v>
      </c>
      <c r="J1594" s="9" cm="1">
        <f t="array" ref="J159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100.752407021</v>
      </c>
      <c r="K1594" s="10" cm="1">
        <f t="array" ref="K159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30.848800000000001</v>
      </c>
      <c r="L1594" s="10" cm="1">
        <f t="array" ref="L159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23.8842</v>
      </c>
      <c r="M1594" s="9" cm="1">
        <f t="array" ref="M1594">_xlfn.LET(_xlpm.val,IFERROR(INDEX(Sheet4!$2:$1605,MATCH(ChiTietKQKD[[#This Row],[Mã CP]],Sheet4!$B$2:$B$1605,0),_xlfn.XMATCH("*Lợi nhuận sau thuế*Q2*2026*",Sheet4!$1:$1,2)),0),IF(OR(_xlpm.val="",_xlpm.val=0),"",_xlpm.val/1000000000))</f>
        <v>39.966638879999998</v>
      </c>
      <c r="N1594" s="9" cm="1">
        <f t="array" ref="N1594">_xlfn.LET(_xlpm.val,IFERROR(INDEX(Sheet4!$2:$1605,MATCH(ChiTietKQKD[[#This Row],[Mã CP]],Sheet4!$B$2:$B$1605,0),_xlfn.XMATCH("*Lợi nhuận sau thuế*6 tháng*2026*",Sheet4!$1:$1,2)),0),IF(OR(_xlpm.val="",_xlpm.val=0),"",_xlpm.val/1000000000))</f>
        <v>57.936204467000003</v>
      </c>
      <c r="O1594" s="10" cm="1">
        <f t="array" ref="O1594">IFERROR(INDEX(Sheet4!$2:$1605,MATCH(ChiTietKQKD[[#This Row],[Mã CP]],Sheet4!$B$2:$B$1605,0),_xlfn.XMATCH("*Tăng trưởng lợi nhuận sau thuế (YoY) (Quý*",Sheet4!$1:$1,2)),"")</f>
        <v>249.1284</v>
      </c>
      <c r="P1594" s="10" cm="1">
        <f t="array" ref="P1594">IFERROR(INDEX(Sheet4!$2:$1605,MATCH(ChiTietKQKD[[#This Row],[Mã CP]],Sheet4!$B$2:$B$1605,0),_xlfn.XMATCH("*Tăng trưởng lợi nhuận sau thuế (YoY) (6M)*",Sheet4!$1:$1,2)),"")</f>
        <v>18.032499999999999</v>
      </c>
      <c r="Q1594" s="10" cm="1">
        <f t="array" ref="Q1594">IFERROR(INDEX(Sheet4!$2:$1605,MATCH(ChiTietKQKD[[#This Row],[Mã CP]],Sheet4!$B$2:$B$1605,0),_xlfn.XMATCH("*Tăng trưởng doanh thu thuần (QoQ)*",Sheet4!$1:$1,2)),"")</f>
        <v>1.0139</v>
      </c>
      <c r="R1594" s="10" cm="1">
        <f t="array" ref="R1594">IFERROR(INDEX(Sheet4!$2:$1605,MATCH(ChiTietKQKD[[#This Row],[Mã CP]],Sheet4!$B$2:$B$1605,0),_xlfn.XMATCH("*Tăng trưởng lợi nhuận sau thuế (QoQ)*",Sheet4!$1:$1,2)),"")</f>
        <v>1.2241</v>
      </c>
    </row>
    <row r="1595" spans="1:18" x14ac:dyDescent="0.25">
      <c r="A1595" s="7">
        <f>Sheet4!A1574</f>
        <v>1573</v>
      </c>
      <c r="B1595" t="str">
        <f>Sheet4!B1574</f>
        <v>VUG</v>
      </c>
      <c r="C1595" t="str">
        <f>Sheet4!C1573</f>
        <v>Chứng khoán Stanley Brothers</v>
      </c>
      <c r="D1595" t="str">
        <f>Sheet4!D1574</f>
        <v>UPCoM</v>
      </c>
      <c r="E1595" s="7">
        <f>Sheet4!AH1574/1000000000</f>
        <v>0</v>
      </c>
      <c r="F1595" t="str">
        <f>Sheet4!E1574</f>
        <v>Hàng Tiêu dùng</v>
      </c>
      <c r="G1595" t="str">
        <f>Sheet4!F1574</f>
        <v>Thực phẩm và đồ uống</v>
      </c>
      <c r="H1595" t="str">
        <f>Sheet4!G1574</f>
        <v>Nuôi trồng nông &amp; hải sản</v>
      </c>
      <c r="I1595" s="9" t="str" cm="1">
        <f t="array" ref="I159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95" s="9" t="str" cm="1">
        <f t="array" ref="J159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95" s="10" cm="1">
        <f t="array" ref="K159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95" s="10" cm="1">
        <f t="array" ref="L159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95" s="9" t="str" cm="1">
        <f t="array" ref="M159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95" s="9" t="str" cm="1">
        <f t="array" ref="N159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95" s="10" cm="1">
        <f t="array" ref="O1595">IFERROR(INDEX(Sheet4!$2:$1605,MATCH(ChiTietKQKD[[#This Row],[Mã CP]],Sheet4!$B$2:$B$1605,0),_xlfn.XMATCH("*Tăng trưởng lợi nhuận sau thuế (YoY) (Quý*",Sheet4!$1:$1,2)),"")</f>
        <v>0</v>
      </c>
      <c r="P1595" s="10" cm="1">
        <f t="array" ref="P1595">IFERROR(INDEX(Sheet4!$2:$1605,MATCH(ChiTietKQKD[[#This Row],[Mã CP]],Sheet4!$B$2:$B$1605,0),_xlfn.XMATCH("*Tăng trưởng lợi nhuận sau thuế (YoY) (6M)*",Sheet4!$1:$1,2)),"")</f>
        <v>0</v>
      </c>
      <c r="Q1595" s="10" cm="1">
        <f t="array" ref="Q1595">IFERROR(INDEX(Sheet4!$2:$1605,MATCH(ChiTietKQKD[[#This Row],[Mã CP]],Sheet4!$B$2:$B$1605,0),_xlfn.XMATCH("*Tăng trưởng doanh thu thuần (QoQ)*",Sheet4!$1:$1,2)),"")</f>
        <v>0</v>
      </c>
      <c r="R1595" s="10" cm="1">
        <f t="array" ref="R1595">IFERROR(INDEX(Sheet4!$2:$1605,MATCH(ChiTietKQKD[[#This Row],[Mã CP]],Sheet4!$B$2:$B$1605,0),_xlfn.XMATCH("*Tăng trưởng lợi nhuận sau thuế (QoQ)*",Sheet4!$1:$1,2)),"")</f>
        <v>0</v>
      </c>
    </row>
    <row r="1596" spans="1:18" x14ac:dyDescent="0.25">
      <c r="A1596" s="7">
        <f>Sheet4!A1575</f>
        <v>1574</v>
      </c>
      <c r="B1596" t="str">
        <f>Sheet4!B1575</f>
        <v>VVN</v>
      </c>
      <c r="C1596" t="str">
        <f>Sheet4!C1574</f>
        <v>Thủy Sản Việt Úc</v>
      </c>
      <c r="D1596" t="str">
        <f>Sheet4!D1575</f>
        <v>UPCoM</v>
      </c>
      <c r="E1596" s="7">
        <f>Sheet4!AH1575/1000000000</f>
        <v>181.5</v>
      </c>
      <c r="F1596" t="str">
        <f>Sheet4!E1575</f>
        <v>Công nghiệp</v>
      </c>
      <c r="G1596" t="str">
        <f>Sheet4!F1575</f>
        <v>Xây dựng và Vật liệu</v>
      </c>
      <c r="H1596" t="str">
        <f>Sheet4!G1575</f>
        <v>Xây dựng</v>
      </c>
      <c r="I1596" s="9" t="str" cm="1">
        <f t="array" ref="I159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96" s="9" t="str" cm="1">
        <f t="array" ref="J159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96" s="10" cm="1">
        <f t="array" ref="K159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96" s="10" cm="1">
        <f t="array" ref="L159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96" s="9" t="str" cm="1">
        <f t="array" ref="M159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96" s="9" t="str" cm="1">
        <f t="array" ref="N159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96" s="10" cm="1">
        <f t="array" ref="O1596">IFERROR(INDEX(Sheet4!$2:$1605,MATCH(ChiTietKQKD[[#This Row],[Mã CP]],Sheet4!$B$2:$B$1605,0),_xlfn.XMATCH("*Tăng trưởng lợi nhuận sau thuế (YoY) (Quý*",Sheet4!$1:$1,2)),"")</f>
        <v>0</v>
      </c>
      <c r="P1596" s="10" cm="1">
        <f t="array" ref="P1596">IFERROR(INDEX(Sheet4!$2:$1605,MATCH(ChiTietKQKD[[#This Row],[Mã CP]],Sheet4!$B$2:$B$1605,0),_xlfn.XMATCH("*Tăng trưởng lợi nhuận sau thuế (YoY) (6M)*",Sheet4!$1:$1,2)),"")</f>
        <v>0</v>
      </c>
      <c r="Q1596" s="10" cm="1">
        <f t="array" ref="Q1596">IFERROR(INDEX(Sheet4!$2:$1605,MATCH(ChiTietKQKD[[#This Row],[Mã CP]],Sheet4!$B$2:$B$1605,0),_xlfn.XMATCH("*Tăng trưởng doanh thu thuần (QoQ)*",Sheet4!$1:$1,2)),"")</f>
        <v>0</v>
      </c>
      <c r="R1596" s="10" cm="1">
        <f t="array" ref="R1596">IFERROR(INDEX(Sheet4!$2:$1605,MATCH(ChiTietKQKD[[#This Row],[Mã CP]],Sheet4!$B$2:$B$1605,0),_xlfn.XMATCH("*Tăng trưởng lợi nhuận sau thuế (QoQ)*",Sheet4!$1:$1,2)),"")</f>
        <v>0</v>
      </c>
    </row>
    <row r="1597" spans="1:18" x14ac:dyDescent="0.25">
      <c r="A1597" s="7">
        <f>Sheet4!A1576</f>
        <v>1575</v>
      </c>
      <c r="B1597" t="str">
        <f>Sheet4!B1576</f>
        <v>VW1</v>
      </c>
      <c r="C1597" t="str">
        <f>Sheet4!C1575</f>
        <v>XD Công nghiệp Việt Nam</v>
      </c>
      <c r="D1597" t="str">
        <f>Sheet4!D1576</f>
        <v>UPCoM</v>
      </c>
      <c r="E1597" s="7">
        <f>Sheet4!AH1576/1000000000</f>
        <v>0</v>
      </c>
      <c r="F1597" t="str">
        <f>Sheet4!E1576</f>
        <v>Công nghiệp</v>
      </c>
      <c r="G1597" t="str">
        <f>Sheet4!F1576</f>
        <v>Xây dựng và Vật liệu</v>
      </c>
      <c r="H1597" t="str">
        <f>Sheet4!G1576</f>
        <v>Xây dựng</v>
      </c>
      <c r="I1597" s="9" t="str" cm="1">
        <f t="array" ref="I159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97" s="9" t="str" cm="1">
        <f t="array" ref="J159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97" s="10" cm="1">
        <f t="array" ref="K159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97" s="10" cm="1">
        <f t="array" ref="L159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97" s="9" t="str" cm="1">
        <f t="array" ref="M159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97" s="9" t="str" cm="1">
        <f t="array" ref="N159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97" s="10" cm="1">
        <f t="array" ref="O1597">IFERROR(INDEX(Sheet4!$2:$1605,MATCH(ChiTietKQKD[[#This Row],[Mã CP]],Sheet4!$B$2:$B$1605,0),_xlfn.XMATCH("*Tăng trưởng lợi nhuận sau thuế (YoY) (Quý*",Sheet4!$1:$1,2)),"")</f>
        <v>0</v>
      </c>
      <c r="P1597" s="10" cm="1">
        <f t="array" ref="P1597">IFERROR(INDEX(Sheet4!$2:$1605,MATCH(ChiTietKQKD[[#This Row],[Mã CP]],Sheet4!$B$2:$B$1605,0),_xlfn.XMATCH("*Tăng trưởng lợi nhuận sau thuế (YoY) (6M)*",Sheet4!$1:$1,2)),"")</f>
        <v>0</v>
      </c>
      <c r="Q1597" s="10" cm="1">
        <f t="array" ref="Q1597">IFERROR(INDEX(Sheet4!$2:$1605,MATCH(ChiTietKQKD[[#This Row],[Mã CP]],Sheet4!$B$2:$B$1605,0),_xlfn.XMATCH("*Tăng trưởng doanh thu thuần (QoQ)*",Sheet4!$1:$1,2)),"")</f>
        <v>0</v>
      </c>
      <c r="R1597" s="10" cm="1">
        <f t="array" ref="R1597">IFERROR(INDEX(Sheet4!$2:$1605,MATCH(ChiTietKQKD[[#This Row],[Mã CP]],Sheet4!$B$2:$B$1605,0),_xlfn.XMATCH("*Tăng trưởng lợi nhuận sau thuế (QoQ)*",Sheet4!$1:$1,2)),"")</f>
        <v>0</v>
      </c>
    </row>
    <row r="1598" spans="1:18" x14ac:dyDescent="0.25">
      <c r="A1598" s="7">
        <f>Sheet4!A1577</f>
        <v>1576</v>
      </c>
      <c r="B1598" t="str">
        <f>Sheet4!B1577</f>
        <v>VW3</v>
      </c>
      <c r="C1598" t="str">
        <f>Sheet4!C1576</f>
        <v>Viwaseen.1</v>
      </c>
      <c r="D1598" t="str">
        <f>Sheet4!D1577</f>
        <v>UPCoM</v>
      </c>
      <c r="E1598" s="7">
        <f>Sheet4!AH1577/1000000000</f>
        <v>17</v>
      </c>
      <c r="F1598" t="str">
        <f>Sheet4!E1577</f>
        <v>Công nghiệp</v>
      </c>
      <c r="G1598" t="str">
        <f>Sheet4!F1577</f>
        <v>Xây dựng và Vật liệu</v>
      </c>
      <c r="H1598" t="str">
        <f>Sheet4!G1577</f>
        <v>Xây dựng</v>
      </c>
      <c r="I1598" s="9" t="str" cm="1">
        <f t="array" ref="I159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98" s="9" t="str" cm="1">
        <f t="array" ref="J159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98" s="10" cm="1">
        <f t="array" ref="K159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98" s="10" cm="1">
        <f t="array" ref="L159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98" s="9" t="str" cm="1">
        <f t="array" ref="M1598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98" s="9" t="str" cm="1">
        <f t="array" ref="N1598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98" s="10" cm="1">
        <f t="array" ref="O1598">IFERROR(INDEX(Sheet4!$2:$1605,MATCH(ChiTietKQKD[[#This Row],[Mã CP]],Sheet4!$B$2:$B$1605,0),_xlfn.XMATCH("*Tăng trưởng lợi nhuận sau thuế (YoY) (Quý*",Sheet4!$1:$1,2)),"")</f>
        <v>0</v>
      </c>
      <c r="P1598" s="10" cm="1">
        <f t="array" ref="P1598">IFERROR(INDEX(Sheet4!$2:$1605,MATCH(ChiTietKQKD[[#This Row],[Mã CP]],Sheet4!$B$2:$B$1605,0),_xlfn.XMATCH("*Tăng trưởng lợi nhuận sau thuế (YoY) (6M)*",Sheet4!$1:$1,2)),"")</f>
        <v>0</v>
      </c>
      <c r="Q1598" s="10" cm="1">
        <f t="array" ref="Q1598">IFERROR(INDEX(Sheet4!$2:$1605,MATCH(ChiTietKQKD[[#This Row],[Mã CP]],Sheet4!$B$2:$B$1605,0),_xlfn.XMATCH("*Tăng trưởng doanh thu thuần (QoQ)*",Sheet4!$1:$1,2)),"")</f>
        <v>0</v>
      </c>
      <c r="R1598" s="10" cm="1">
        <f t="array" ref="R1598">IFERROR(INDEX(Sheet4!$2:$1605,MATCH(ChiTietKQKD[[#This Row],[Mã CP]],Sheet4!$B$2:$B$1605,0),_xlfn.XMATCH("*Tăng trưởng lợi nhuận sau thuế (QoQ)*",Sheet4!$1:$1,2)),"")</f>
        <v>0</v>
      </c>
    </row>
    <row r="1599" spans="1:18" x14ac:dyDescent="0.25">
      <c r="A1599" s="7">
        <f>Sheet4!A1578</f>
        <v>1577</v>
      </c>
      <c r="B1599" t="str">
        <f>Sheet4!B1578</f>
        <v>VWS</v>
      </c>
      <c r="C1599" t="str">
        <f>Sheet4!C1577</f>
        <v>VIWASEEN.3</v>
      </c>
      <c r="D1599" t="str">
        <f>Sheet4!D1578</f>
        <v>UPCoM</v>
      </c>
      <c r="E1599" s="7">
        <f>Sheet4!AH1578/1000000000</f>
        <v>75.599999999999994</v>
      </c>
      <c r="F1599" t="str">
        <f>Sheet4!E1578</f>
        <v>Tiện ích Cộng đồng</v>
      </c>
      <c r="G1599" t="str">
        <f>Sheet4!F1578</f>
        <v>Điện, nước &amp; xăng dầu khí đốt</v>
      </c>
      <c r="H1599" t="str">
        <f>Sheet4!G1578</f>
        <v>Nước</v>
      </c>
      <c r="I1599" s="9" t="str" cm="1">
        <f t="array" ref="I159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599" s="9" t="str" cm="1">
        <f t="array" ref="J159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599" s="10" cm="1">
        <f t="array" ref="K159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599" s="10" cm="1">
        <f t="array" ref="L159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599" s="9" t="str" cm="1">
        <f t="array" ref="M159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599" s="9" t="str" cm="1">
        <f t="array" ref="N159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599" s="10" cm="1">
        <f t="array" ref="O1599">IFERROR(INDEX(Sheet4!$2:$1605,MATCH(ChiTietKQKD[[#This Row],[Mã CP]],Sheet4!$B$2:$B$1605,0),_xlfn.XMATCH("*Tăng trưởng lợi nhuận sau thuế (YoY) (Quý*",Sheet4!$1:$1,2)),"")</f>
        <v>0</v>
      </c>
      <c r="P1599" s="10" cm="1">
        <f t="array" ref="P1599">IFERROR(INDEX(Sheet4!$2:$1605,MATCH(ChiTietKQKD[[#This Row],[Mã CP]],Sheet4!$B$2:$B$1605,0),_xlfn.XMATCH("*Tăng trưởng lợi nhuận sau thuế (YoY) (6M)*",Sheet4!$1:$1,2)),"")</f>
        <v>0</v>
      </c>
      <c r="Q1599" s="10" cm="1">
        <f t="array" ref="Q1599">IFERROR(INDEX(Sheet4!$2:$1605,MATCH(ChiTietKQKD[[#This Row],[Mã CP]],Sheet4!$B$2:$B$1605,0),_xlfn.XMATCH("*Tăng trưởng doanh thu thuần (QoQ)*",Sheet4!$1:$1,2)),"")</f>
        <v>0</v>
      </c>
      <c r="R1599" s="10" cm="1">
        <f t="array" ref="R1599">IFERROR(INDEX(Sheet4!$2:$1605,MATCH(ChiTietKQKD[[#This Row],[Mã CP]],Sheet4!$B$2:$B$1605,0),_xlfn.XMATCH("*Tăng trưởng lợi nhuận sau thuế (QoQ)*",Sheet4!$1:$1,2)),"")</f>
        <v>0</v>
      </c>
    </row>
    <row r="1600" spans="1:18" x14ac:dyDescent="0.25">
      <c r="A1600" s="7">
        <f>Sheet4!A1579</f>
        <v>1578</v>
      </c>
      <c r="B1600" t="str">
        <f>Sheet4!B1579</f>
        <v>VXB</v>
      </c>
      <c r="C1600" t="str">
        <f>Sheet4!C1578</f>
        <v>Nước và Môi trường VN</v>
      </c>
      <c r="D1600" t="str">
        <f>Sheet4!D1579</f>
        <v>UPCoM</v>
      </c>
      <c r="E1600" s="7">
        <f>Sheet4!AH1579/1000000000</f>
        <v>164.79454419999999</v>
      </c>
      <c r="F1600" t="str">
        <f>Sheet4!E1579</f>
        <v>Công nghiệp</v>
      </c>
      <c r="G1600" t="str">
        <f>Sheet4!F1579</f>
        <v>Xây dựng và Vật liệu</v>
      </c>
      <c r="H1600" t="str">
        <f>Sheet4!G1579</f>
        <v>Vật liệu xây dựng &amp; Nội thất</v>
      </c>
      <c r="I1600" s="9" t="str" cm="1">
        <f t="array" ref="I160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00" s="9" t="str" cm="1">
        <f t="array" ref="J160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00" s="10" cm="1">
        <f t="array" ref="K160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00" s="10" cm="1">
        <f t="array" ref="L160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00" s="9" t="str" cm="1">
        <f t="array" ref="M160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00" s="9" t="str" cm="1">
        <f t="array" ref="N160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00" s="10" cm="1">
        <f t="array" ref="O1600">IFERROR(INDEX(Sheet4!$2:$1605,MATCH(ChiTietKQKD[[#This Row],[Mã CP]],Sheet4!$B$2:$B$1605,0),_xlfn.XMATCH("*Tăng trưởng lợi nhuận sau thuế (YoY) (Quý*",Sheet4!$1:$1,2)),"")</f>
        <v>0</v>
      </c>
      <c r="P1600" s="10" cm="1">
        <f t="array" ref="P1600">IFERROR(INDEX(Sheet4!$2:$1605,MATCH(ChiTietKQKD[[#This Row],[Mã CP]],Sheet4!$B$2:$B$1605,0),_xlfn.XMATCH("*Tăng trưởng lợi nhuận sau thuế (YoY) (6M)*",Sheet4!$1:$1,2)),"")</f>
        <v>0</v>
      </c>
      <c r="Q1600" s="10" cm="1">
        <f t="array" ref="Q1600">IFERROR(INDEX(Sheet4!$2:$1605,MATCH(ChiTietKQKD[[#This Row],[Mã CP]],Sheet4!$B$2:$B$1605,0),_xlfn.XMATCH("*Tăng trưởng doanh thu thuần (QoQ)*",Sheet4!$1:$1,2)),"")</f>
        <v>0</v>
      </c>
      <c r="R1600" s="10" cm="1">
        <f t="array" ref="R1600">IFERROR(INDEX(Sheet4!$2:$1605,MATCH(ChiTietKQKD[[#This Row],[Mã CP]],Sheet4!$B$2:$B$1605,0),_xlfn.XMATCH("*Tăng trưởng lợi nhuận sau thuế (QoQ)*",Sheet4!$1:$1,2)),"")</f>
        <v>0</v>
      </c>
    </row>
    <row r="1601" spans="1:18" x14ac:dyDescent="0.25">
      <c r="A1601" s="7">
        <f>Sheet4!A1580</f>
        <v>1579</v>
      </c>
      <c r="B1601" t="str">
        <f>Sheet4!B1580</f>
        <v>VXP</v>
      </c>
      <c r="C1601" t="str">
        <f>Sheet4!C1579</f>
        <v>VLXD Bến Tre</v>
      </c>
      <c r="D1601" t="str">
        <f>Sheet4!D1580</f>
        <v>UPCoM</v>
      </c>
      <c r="E1601" s="7">
        <f>Sheet4!AH1580/1000000000</f>
        <v>109.88460000000001</v>
      </c>
      <c r="F1601" t="str">
        <f>Sheet4!E1580</f>
        <v>Nguyên vật liệu</v>
      </c>
      <c r="G1601" t="str">
        <f>Sheet4!F1580</f>
        <v>Hóa chất</v>
      </c>
      <c r="H1601" t="str">
        <f>Sheet4!G1580</f>
        <v>Sản phẩm hóa dầu, Nông dược &amp; Hóa chất khác</v>
      </c>
      <c r="I1601" s="9" t="str" cm="1">
        <f t="array" ref="I160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01" s="9" t="str" cm="1">
        <f t="array" ref="J160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01" s="10" cm="1">
        <f t="array" ref="K160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01" s="10" cm="1">
        <f t="array" ref="L160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01" s="9" t="str" cm="1">
        <f t="array" ref="M160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01" s="9" t="str" cm="1">
        <f t="array" ref="N160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01" s="10" cm="1">
        <f t="array" ref="O1601">IFERROR(INDEX(Sheet4!$2:$1605,MATCH(ChiTietKQKD[[#This Row],[Mã CP]],Sheet4!$B$2:$B$1605,0),_xlfn.XMATCH("*Tăng trưởng lợi nhuận sau thuế (YoY) (Quý*",Sheet4!$1:$1,2)),"")</f>
        <v>0</v>
      </c>
      <c r="P1601" s="10" cm="1">
        <f t="array" ref="P1601">IFERROR(INDEX(Sheet4!$2:$1605,MATCH(ChiTietKQKD[[#This Row],[Mã CP]],Sheet4!$B$2:$B$1605,0),_xlfn.XMATCH("*Tăng trưởng lợi nhuận sau thuế (YoY) (6M)*",Sheet4!$1:$1,2)),"")</f>
        <v>0</v>
      </c>
      <c r="Q1601" s="10" cm="1">
        <f t="array" ref="Q1601">IFERROR(INDEX(Sheet4!$2:$1605,MATCH(ChiTietKQKD[[#This Row],[Mã CP]],Sheet4!$B$2:$B$1605,0),_xlfn.XMATCH("*Tăng trưởng doanh thu thuần (QoQ)*",Sheet4!$1:$1,2)),"")</f>
        <v>0</v>
      </c>
      <c r="R1601" s="10" cm="1">
        <f t="array" ref="R1601">IFERROR(INDEX(Sheet4!$2:$1605,MATCH(ChiTietKQKD[[#This Row],[Mã CP]],Sheet4!$B$2:$B$1605,0),_xlfn.XMATCH("*Tăng trưởng lợi nhuận sau thuế (QoQ)*",Sheet4!$1:$1,2)),"")</f>
        <v>0</v>
      </c>
    </row>
    <row r="1602" spans="1:18" x14ac:dyDescent="0.25">
      <c r="A1602" s="7">
        <f>Sheet4!A1581</f>
        <v>1580</v>
      </c>
      <c r="B1602" t="str">
        <f>Sheet4!B1581</f>
        <v>VXT</v>
      </c>
      <c r="C1602" t="str">
        <f>Sheet4!C1580</f>
        <v>Thuốc Thú y Trung ương VETVACO</v>
      </c>
      <c r="D1602" t="str">
        <f>Sheet4!D1581</f>
        <v>UPCoM</v>
      </c>
      <c r="E1602" s="7">
        <f>Sheet4!AH1581/1000000000</f>
        <v>295.18586119999998</v>
      </c>
      <c r="F1602" t="str">
        <f>Sheet4!E1581</f>
        <v>Công nghiệp</v>
      </c>
      <c r="G1602" t="str">
        <f>Sheet4!F1581</f>
        <v>Hàng &amp; Dịch vụ Công nghiệp</v>
      </c>
      <c r="H1602" t="str">
        <f>Sheet4!G1581</f>
        <v>Nhà cung cấp thiết bị</v>
      </c>
      <c r="I1602" s="9" t="str" cm="1">
        <f t="array" ref="I160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02" s="9" t="str" cm="1">
        <f t="array" ref="J160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02" s="10" cm="1">
        <f t="array" ref="K160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02" s="10" cm="1">
        <f t="array" ref="L160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02" s="9" t="str" cm="1">
        <f t="array" ref="M160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02" s="9" t="str" cm="1">
        <f t="array" ref="N160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02" s="10" cm="1">
        <f t="array" ref="O1602">IFERROR(INDEX(Sheet4!$2:$1605,MATCH(ChiTietKQKD[[#This Row],[Mã CP]],Sheet4!$B$2:$B$1605,0),_xlfn.XMATCH("*Tăng trưởng lợi nhuận sau thuế (YoY) (Quý*",Sheet4!$1:$1,2)),"")</f>
        <v>0</v>
      </c>
      <c r="P1602" s="10" cm="1">
        <f t="array" ref="P1602">IFERROR(INDEX(Sheet4!$2:$1605,MATCH(ChiTietKQKD[[#This Row],[Mã CP]],Sheet4!$B$2:$B$1605,0),_xlfn.XMATCH("*Tăng trưởng lợi nhuận sau thuế (YoY) (6M)*",Sheet4!$1:$1,2)),"")</f>
        <v>0</v>
      </c>
      <c r="Q1602" s="10" cm="1">
        <f t="array" ref="Q1602">IFERROR(INDEX(Sheet4!$2:$1605,MATCH(ChiTietKQKD[[#This Row],[Mã CP]],Sheet4!$B$2:$B$1605,0),_xlfn.XMATCH("*Tăng trưởng doanh thu thuần (QoQ)*",Sheet4!$1:$1,2)),"")</f>
        <v>0</v>
      </c>
      <c r="R1602" s="10" cm="1">
        <f t="array" ref="R1602">IFERROR(INDEX(Sheet4!$2:$1605,MATCH(ChiTietKQKD[[#This Row],[Mã CP]],Sheet4!$B$2:$B$1605,0),_xlfn.XMATCH("*Tăng trưởng lợi nhuận sau thuế (QoQ)*",Sheet4!$1:$1,2)),"")</f>
        <v>0</v>
      </c>
    </row>
    <row r="1603" spans="1:18" x14ac:dyDescent="0.25">
      <c r="A1603" s="7">
        <f>Sheet4!A1582</f>
        <v>1581</v>
      </c>
      <c r="B1603" t="str">
        <f>Sheet4!B1582</f>
        <v>WSB</v>
      </c>
      <c r="C1603" t="str">
        <f>Sheet4!C1581</f>
        <v>Kho vận và DV Thương mại</v>
      </c>
      <c r="D1603" t="str">
        <f>Sheet4!D1582</f>
        <v>UPCoM</v>
      </c>
      <c r="E1603" s="7">
        <f>Sheet4!AH1582/1000000000</f>
        <v>809.1</v>
      </c>
      <c r="F1603" t="str">
        <f>Sheet4!E1582</f>
        <v>Hàng Tiêu dùng</v>
      </c>
      <c r="G1603" t="str">
        <f>Sheet4!F1582</f>
        <v>Thực phẩm và đồ uống</v>
      </c>
      <c r="H1603" t="str">
        <f>Sheet4!G1582</f>
        <v>Sản xuất bia</v>
      </c>
      <c r="I1603" s="9" t="str" cm="1">
        <f t="array" ref="I160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03" s="9" t="str" cm="1">
        <f t="array" ref="J160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03" s="10" cm="1">
        <f t="array" ref="K160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03" s="10" cm="1">
        <f t="array" ref="L160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03" s="9" t="str" cm="1">
        <f t="array" ref="M160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03" s="9" t="str" cm="1">
        <f t="array" ref="N160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03" s="10" cm="1">
        <f t="array" ref="O1603">IFERROR(INDEX(Sheet4!$2:$1605,MATCH(ChiTietKQKD[[#This Row],[Mã CP]],Sheet4!$B$2:$B$1605,0),_xlfn.XMATCH("*Tăng trưởng lợi nhuận sau thuế (YoY) (Quý*",Sheet4!$1:$1,2)),"")</f>
        <v>0</v>
      </c>
      <c r="P1603" s="10" cm="1">
        <f t="array" ref="P1603">IFERROR(INDEX(Sheet4!$2:$1605,MATCH(ChiTietKQKD[[#This Row],[Mã CP]],Sheet4!$B$2:$B$1605,0),_xlfn.XMATCH("*Tăng trưởng lợi nhuận sau thuế (YoY) (6M)*",Sheet4!$1:$1,2)),"")</f>
        <v>0</v>
      </c>
      <c r="Q1603" s="10" cm="1">
        <f t="array" ref="Q1603">IFERROR(INDEX(Sheet4!$2:$1605,MATCH(ChiTietKQKD[[#This Row],[Mã CP]],Sheet4!$B$2:$B$1605,0),_xlfn.XMATCH("*Tăng trưởng doanh thu thuần (QoQ)*",Sheet4!$1:$1,2)),"")</f>
        <v>0</v>
      </c>
      <c r="R1603" s="10" cm="1">
        <f t="array" ref="R1603">IFERROR(INDEX(Sheet4!$2:$1605,MATCH(ChiTietKQKD[[#This Row],[Mã CP]],Sheet4!$B$2:$B$1605,0),_xlfn.XMATCH("*Tăng trưởng lợi nhuận sau thuế (QoQ)*",Sheet4!$1:$1,2)),"")</f>
        <v>0</v>
      </c>
    </row>
    <row r="1604" spans="1:18" x14ac:dyDescent="0.25">
      <c r="A1604" s="7">
        <f>Sheet4!A1583</f>
        <v>1582</v>
      </c>
      <c r="B1604" t="str">
        <f>Sheet4!B1583</f>
        <v>WTC</v>
      </c>
      <c r="C1604" t="str">
        <f>Sheet4!C1582</f>
        <v>Bia Sài Gòn - Miền Tây</v>
      </c>
      <c r="D1604" t="str">
        <f>Sheet4!D1583</f>
        <v>UPCoM</v>
      </c>
      <c r="E1604" s="7">
        <f>Sheet4!AH1583/1000000000</f>
        <v>175</v>
      </c>
      <c r="F1604" t="str">
        <f>Sheet4!E1583</f>
        <v>Công nghiệp</v>
      </c>
      <c r="G1604" t="str">
        <f>Sheet4!F1583</f>
        <v>Hàng &amp; Dịch vụ Công nghiệp</v>
      </c>
      <c r="H1604" t="str">
        <f>Sheet4!G1583</f>
        <v>Vận tải Thủy</v>
      </c>
      <c r="I1604" s="9" t="str" cm="1">
        <f t="array" ref="I160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04" s="9" t="str" cm="1">
        <f t="array" ref="J160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04" s="10" cm="1">
        <f t="array" ref="K160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04" s="10" cm="1">
        <f t="array" ref="L160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04" s="9" t="str" cm="1">
        <f t="array" ref="M160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04" s="9" t="str" cm="1">
        <f t="array" ref="N160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04" s="10" cm="1">
        <f t="array" ref="O1604">IFERROR(INDEX(Sheet4!$2:$1605,MATCH(ChiTietKQKD[[#This Row],[Mã CP]],Sheet4!$B$2:$B$1605,0),_xlfn.XMATCH("*Tăng trưởng lợi nhuận sau thuế (YoY) (Quý*",Sheet4!$1:$1,2)),"")</f>
        <v>0</v>
      </c>
      <c r="P1604" s="10" cm="1">
        <f t="array" ref="P1604">IFERROR(INDEX(Sheet4!$2:$1605,MATCH(ChiTietKQKD[[#This Row],[Mã CP]],Sheet4!$B$2:$B$1605,0),_xlfn.XMATCH("*Tăng trưởng lợi nhuận sau thuế (YoY) (6M)*",Sheet4!$1:$1,2)),"")</f>
        <v>0</v>
      </c>
      <c r="Q1604" s="10" cm="1">
        <f t="array" ref="Q1604">IFERROR(INDEX(Sheet4!$2:$1605,MATCH(ChiTietKQKD[[#This Row],[Mã CP]],Sheet4!$B$2:$B$1605,0),_xlfn.XMATCH("*Tăng trưởng doanh thu thuần (QoQ)*",Sheet4!$1:$1,2)),"")</f>
        <v>0</v>
      </c>
      <c r="R1604" s="10" cm="1">
        <f t="array" ref="R1604">IFERROR(INDEX(Sheet4!$2:$1605,MATCH(ChiTietKQKD[[#This Row],[Mã CP]],Sheet4!$B$2:$B$1605,0),_xlfn.XMATCH("*Tăng trưởng lợi nhuận sau thuế (QoQ)*",Sheet4!$1:$1,2)),"")</f>
        <v>0</v>
      </c>
    </row>
    <row r="1605" spans="1:18" x14ac:dyDescent="0.25">
      <c r="A1605" s="7">
        <f>Sheet4!A1584</f>
        <v>1583</v>
      </c>
      <c r="B1605" t="str">
        <f>Sheet4!B1584</f>
        <v>X26</v>
      </c>
      <c r="C1605" t="str">
        <f>Sheet4!C1583</f>
        <v>Vận tải thủy Vinacomin</v>
      </c>
      <c r="D1605" t="str">
        <f>Sheet4!D1584</f>
        <v>UPCoM</v>
      </c>
      <c r="E1605" s="7">
        <f>Sheet4!AH1584/1000000000</f>
        <v>62.5</v>
      </c>
      <c r="F1605" t="str">
        <f>Sheet4!E1584</f>
        <v>Hàng Tiêu dùng</v>
      </c>
      <c r="G1605" t="str">
        <f>Sheet4!F1584</f>
        <v>Hàng cá nhân &amp; Gia dụng</v>
      </c>
      <c r="H1605" t="str">
        <f>Sheet4!G1584</f>
        <v>Hàng May mặc</v>
      </c>
      <c r="I1605" s="9" t="str" cm="1">
        <f t="array" ref="I160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05" s="9" t="str" cm="1">
        <f t="array" ref="J160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05" s="10" cm="1">
        <f t="array" ref="K160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05" s="10" cm="1">
        <f t="array" ref="L160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05" s="9" t="str" cm="1">
        <f t="array" ref="M160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05" s="9" t="str" cm="1">
        <f t="array" ref="N160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05" s="10" cm="1">
        <f t="array" ref="O1605">IFERROR(INDEX(Sheet4!$2:$1605,MATCH(ChiTietKQKD[[#This Row],[Mã CP]],Sheet4!$B$2:$B$1605,0),_xlfn.XMATCH("*Tăng trưởng lợi nhuận sau thuế (YoY) (Quý*",Sheet4!$1:$1,2)),"")</f>
        <v>0</v>
      </c>
      <c r="P1605" s="10" cm="1">
        <f t="array" ref="P1605">IFERROR(INDEX(Sheet4!$2:$1605,MATCH(ChiTietKQKD[[#This Row],[Mã CP]],Sheet4!$B$2:$B$1605,0),_xlfn.XMATCH("*Tăng trưởng lợi nhuận sau thuế (YoY) (6M)*",Sheet4!$1:$1,2)),"")</f>
        <v>0</v>
      </c>
      <c r="Q1605" s="10" cm="1">
        <f t="array" ref="Q1605">IFERROR(INDEX(Sheet4!$2:$1605,MATCH(ChiTietKQKD[[#This Row],[Mã CP]],Sheet4!$B$2:$B$1605,0),_xlfn.XMATCH("*Tăng trưởng doanh thu thuần (QoQ)*",Sheet4!$1:$1,2)),"")</f>
        <v>0</v>
      </c>
      <c r="R1605" s="10" cm="1">
        <f t="array" ref="R1605">IFERROR(INDEX(Sheet4!$2:$1605,MATCH(ChiTietKQKD[[#This Row],[Mã CP]],Sheet4!$B$2:$B$1605,0),_xlfn.XMATCH("*Tăng trưởng lợi nhuận sau thuế (QoQ)*",Sheet4!$1:$1,2)),"")</f>
        <v>0</v>
      </c>
    </row>
    <row r="1606" spans="1:18" x14ac:dyDescent="0.25">
      <c r="A1606" s="7">
        <f>Sheet4!A1585</f>
        <v>1584</v>
      </c>
      <c r="B1606" t="str">
        <f>Sheet4!B1585</f>
        <v>X77</v>
      </c>
      <c r="C1606" t="str">
        <f>Sheet4!C1584</f>
        <v>Công ty 26</v>
      </c>
      <c r="D1606" t="str">
        <f>Sheet4!D1585</f>
        <v>UPCoM</v>
      </c>
      <c r="E1606" s="7">
        <f>Sheet4!AH1585/1000000000</f>
        <v>0.40226309999999998</v>
      </c>
      <c r="F1606" t="str">
        <f>Sheet4!E1585</f>
        <v>Công nghiệp</v>
      </c>
      <c r="G1606" t="str">
        <f>Sheet4!F1585</f>
        <v>Xây dựng và Vật liệu</v>
      </c>
      <c r="H1606" t="str">
        <f>Sheet4!G1585</f>
        <v>Vật liệu xây dựng &amp; Nội thất</v>
      </c>
      <c r="I1606" s="9" t="str" cm="1">
        <f t="array" ref="I1606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06" s="9" t="str" cm="1">
        <f t="array" ref="J1606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06" s="10" cm="1">
        <f t="array" ref="K1606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06" s="10" cm="1">
        <f t="array" ref="L1606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06" s="9" t="str" cm="1">
        <f t="array" ref="M1606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06" s="9" t="str" cm="1">
        <f t="array" ref="N1606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06" s="10" cm="1">
        <f t="array" ref="O1606">IFERROR(INDEX(Sheet4!$2:$1605,MATCH(ChiTietKQKD[[#This Row],[Mã CP]],Sheet4!$B$2:$B$1605,0),_xlfn.XMATCH("*Tăng trưởng lợi nhuận sau thuế (YoY) (Quý*",Sheet4!$1:$1,2)),"")</f>
        <v>0</v>
      </c>
      <c r="P1606" s="10" cm="1">
        <f t="array" ref="P1606">IFERROR(INDEX(Sheet4!$2:$1605,MATCH(ChiTietKQKD[[#This Row],[Mã CP]],Sheet4!$B$2:$B$1605,0),_xlfn.XMATCH("*Tăng trưởng lợi nhuận sau thuế (YoY) (6M)*",Sheet4!$1:$1,2)),"")</f>
        <v>0</v>
      </c>
      <c r="Q1606" s="10" cm="1">
        <f t="array" ref="Q1606">IFERROR(INDEX(Sheet4!$2:$1605,MATCH(ChiTietKQKD[[#This Row],[Mã CP]],Sheet4!$B$2:$B$1605,0),_xlfn.XMATCH("*Tăng trưởng doanh thu thuần (QoQ)*",Sheet4!$1:$1,2)),"")</f>
        <v>0</v>
      </c>
      <c r="R1606" s="10" cm="1">
        <f t="array" ref="R1606">IFERROR(INDEX(Sheet4!$2:$1605,MATCH(ChiTietKQKD[[#This Row],[Mã CP]],Sheet4!$B$2:$B$1605,0),_xlfn.XMATCH("*Tăng trưởng lợi nhuận sau thuế (QoQ)*",Sheet4!$1:$1,2)),"")</f>
        <v>0</v>
      </c>
    </row>
    <row r="1607" spans="1:18" x14ac:dyDescent="0.25">
      <c r="A1607" s="7">
        <f>Sheet4!A1586</f>
        <v>1585</v>
      </c>
      <c r="B1607" t="str">
        <f>Sheet4!B1586</f>
        <v>XDH</v>
      </c>
      <c r="C1607" t="str">
        <f>Sheet4!C1585</f>
        <v>Thành An 77</v>
      </c>
      <c r="D1607" t="str">
        <f>Sheet4!D1586</f>
        <v>UPCoM</v>
      </c>
      <c r="E1607" s="7">
        <f>Sheet4!AH1586/1000000000</f>
        <v>437.83589339999997</v>
      </c>
      <c r="F1607" t="str">
        <f>Sheet4!E1586</f>
        <v>Tài chính</v>
      </c>
      <c r="G1607" t="str">
        <f>Sheet4!F1586</f>
        <v>Bất động sản</v>
      </c>
      <c r="H1607" t="str">
        <f>Sheet4!G1586</f>
        <v>Bất động sản</v>
      </c>
      <c r="I1607" s="9" t="str" cm="1">
        <f t="array" ref="I1607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07" s="9" t="str" cm="1">
        <f t="array" ref="J1607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07" s="10" cm="1">
        <f t="array" ref="K1607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07" s="10" cm="1">
        <f t="array" ref="L1607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07" s="9" t="str" cm="1">
        <f t="array" ref="M1607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07" s="9" t="str" cm="1">
        <f t="array" ref="N1607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07" s="10" cm="1">
        <f t="array" ref="O1607">IFERROR(INDEX(Sheet4!$2:$1605,MATCH(ChiTietKQKD[[#This Row],[Mã CP]],Sheet4!$B$2:$B$1605,0),_xlfn.XMATCH("*Tăng trưởng lợi nhuận sau thuế (YoY) (Quý*",Sheet4!$1:$1,2)),"")</f>
        <v>0</v>
      </c>
      <c r="P1607" s="10" cm="1">
        <f t="array" ref="P1607">IFERROR(INDEX(Sheet4!$2:$1605,MATCH(ChiTietKQKD[[#This Row],[Mã CP]],Sheet4!$B$2:$B$1605,0),_xlfn.XMATCH("*Tăng trưởng lợi nhuận sau thuế (YoY) (6M)*",Sheet4!$1:$1,2)),"")</f>
        <v>0</v>
      </c>
      <c r="Q1607" s="10" cm="1">
        <f t="array" ref="Q1607">IFERROR(INDEX(Sheet4!$2:$1605,MATCH(ChiTietKQKD[[#This Row],[Mã CP]],Sheet4!$B$2:$B$1605,0),_xlfn.XMATCH("*Tăng trưởng doanh thu thuần (QoQ)*",Sheet4!$1:$1,2)),"")</f>
        <v>0</v>
      </c>
      <c r="R1607" s="10" cm="1">
        <f t="array" ref="R1607">IFERROR(INDEX(Sheet4!$2:$1605,MATCH(ChiTietKQKD[[#This Row],[Mã CP]],Sheet4!$B$2:$B$1605,0),_xlfn.XMATCH("*Tăng trưởng lợi nhuận sau thuế (QoQ)*",Sheet4!$1:$1,2)),"")</f>
        <v>0</v>
      </c>
    </row>
    <row r="1608" spans="1:18" x14ac:dyDescent="0.25">
      <c r="A1608" s="7">
        <f>Sheet4!A1587</f>
        <v>1586</v>
      </c>
      <c r="B1608" t="str">
        <f>Sheet4!B1587</f>
        <v>XHC</v>
      </c>
      <c r="C1608" t="str">
        <f>Sheet4!C1586</f>
        <v>Đầu tư XD Dân dụng Hà Nội</v>
      </c>
      <c r="D1608" t="str">
        <f>Sheet4!D1587</f>
        <v>UPCoM</v>
      </c>
      <c r="E1608" s="7">
        <f>Sheet4!AH1587/1000000000</f>
        <v>347.92725000000002</v>
      </c>
      <c r="F1608" t="str">
        <f>Sheet4!E1587</f>
        <v>Hàng Tiêu dùng</v>
      </c>
      <c r="G1608" t="str">
        <f>Sheet4!F1587</f>
        <v>Hàng cá nhân &amp; Gia dụng</v>
      </c>
      <c r="H1608" t="str">
        <f>Sheet4!G1587</f>
        <v>Thiết bị gia dụng</v>
      </c>
      <c r="I1608" s="9" cm="1">
        <f t="array" ref="I1608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94.844675171000006</v>
      </c>
      <c r="J1608" s="9" cm="1">
        <f t="array" ref="J1608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>234.747555734</v>
      </c>
      <c r="K1608" s="10" cm="1">
        <f t="array" ref="K1608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-0.17929999999999999</v>
      </c>
      <c r="L1608" s="10" cm="1">
        <f t="array" ref="L1608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08" s="9" cm="1">
        <f t="array" ref="M1608">_xlfn.LET(_xlpm.val,IFERROR(INDEX(Sheet4!$2:$1605,MATCH(ChiTietKQKD[[#This Row],[Mã CP]],Sheet4!$B$2:$B$1605,0),_xlfn.XMATCH("*Lợi nhuận sau thuế*Q2*2026*",Sheet4!$1:$1,2)),0),IF(OR(_xlpm.val="",_xlpm.val=0),"",_xlpm.val/1000000000))</f>
        <v>0.963381763</v>
      </c>
      <c r="N1608" s="9" cm="1">
        <f t="array" ref="N1608">_xlfn.LET(_xlpm.val,IFERROR(INDEX(Sheet4!$2:$1605,MATCH(ChiTietKQKD[[#This Row],[Mã CP]],Sheet4!$B$2:$B$1605,0),_xlfn.XMATCH("*Lợi nhuận sau thuế*6 tháng*2026*",Sheet4!$1:$1,2)),0),IF(OR(_xlpm.val="",_xlpm.val=0),"",_xlpm.val/1000000000))</f>
        <v>1.4412264130000001</v>
      </c>
      <c r="O1608" s="10" cm="1">
        <f t="array" ref="O1608">IFERROR(INDEX(Sheet4!$2:$1605,MATCH(ChiTietKQKD[[#This Row],[Mã CP]],Sheet4!$B$2:$B$1605,0),_xlfn.XMATCH("*Tăng trưởng lợi nhuận sau thuế (YoY) (Quý*",Sheet4!$1:$1,2)),"")</f>
        <v>-0.98499999999999999</v>
      </c>
      <c r="P1608" s="10" cm="1">
        <f t="array" ref="P1608">IFERROR(INDEX(Sheet4!$2:$1605,MATCH(ChiTietKQKD[[#This Row],[Mã CP]],Sheet4!$B$2:$B$1605,0),_xlfn.XMATCH("*Tăng trưởng lợi nhuận sau thuế (YoY) (6M)*",Sheet4!$1:$1,2)),"")</f>
        <v>0</v>
      </c>
      <c r="Q1608" s="10" cm="1">
        <f t="array" ref="Q1608">IFERROR(INDEX(Sheet4!$2:$1605,MATCH(ChiTietKQKD[[#This Row],[Mã CP]],Sheet4!$B$2:$B$1605,0),_xlfn.XMATCH("*Tăng trưởng doanh thu thuần (QoQ)*",Sheet4!$1:$1,2)),"")</f>
        <v>-0.3221</v>
      </c>
      <c r="R1608" s="10" cm="1">
        <f t="array" ref="R1608">IFERROR(INDEX(Sheet4!$2:$1605,MATCH(ChiTietKQKD[[#This Row],[Mã CP]],Sheet4!$B$2:$B$1605,0),_xlfn.XMATCH("*Tăng trưởng lợi nhuận sau thuế (QoQ)*",Sheet4!$1:$1,2)),"")</f>
        <v>1.1919999999999999</v>
      </c>
    </row>
    <row r="1609" spans="1:18" x14ac:dyDescent="0.25">
      <c r="A1609" s="7">
        <f>Sheet4!A1588</f>
        <v>1587</v>
      </c>
      <c r="B1609" t="str">
        <f>Sheet4!B1588</f>
        <v>XLV</v>
      </c>
      <c r="C1609" t="str">
        <f>Sheet4!C1587</f>
        <v>Nội thất Xuân Hòa</v>
      </c>
      <c r="D1609" t="str">
        <f>Sheet4!D1588</f>
        <v>UPCoM</v>
      </c>
      <c r="E1609" s="7">
        <f>Sheet4!AH1588/1000000000</f>
        <v>41.1</v>
      </c>
      <c r="F1609" t="str">
        <f>Sheet4!E1588</f>
        <v>Công nghiệp</v>
      </c>
      <c r="G1609" t="str">
        <f>Sheet4!F1588</f>
        <v>Xây dựng và Vật liệu</v>
      </c>
      <c r="H1609" t="str">
        <f>Sheet4!G1588</f>
        <v>Xây dựng</v>
      </c>
      <c r="I1609" s="9" t="str" cm="1">
        <f t="array" ref="I1609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09" s="9" t="str" cm="1">
        <f t="array" ref="J1609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09" s="10" cm="1">
        <f t="array" ref="K1609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09" s="10" cm="1">
        <f t="array" ref="L1609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09" s="9" t="str" cm="1">
        <f t="array" ref="M1609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09" s="9" t="str" cm="1">
        <f t="array" ref="N1609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09" s="10" cm="1">
        <f t="array" ref="O1609">IFERROR(INDEX(Sheet4!$2:$1605,MATCH(ChiTietKQKD[[#This Row],[Mã CP]],Sheet4!$B$2:$B$1605,0),_xlfn.XMATCH("*Tăng trưởng lợi nhuận sau thuế (YoY) (Quý*",Sheet4!$1:$1,2)),"")</f>
        <v>0</v>
      </c>
      <c r="P1609" s="10" cm="1">
        <f t="array" ref="P1609">IFERROR(INDEX(Sheet4!$2:$1605,MATCH(ChiTietKQKD[[#This Row],[Mã CP]],Sheet4!$B$2:$B$1605,0),_xlfn.XMATCH("*Tăng trưởng lợi nhuận sau thuế (YoY) (6M)*",Sheet4!$1:$1,2)),"")</f>
        <v>0</v>
      </c>
      <c r="Q1609" s="10" cm="1">
        <f t="array" ref="Q1609">IFERROR(INDEX(Sheet4!$2:$1605,MATCH(ChiTietKQKD[[#This Row],[Mã CP]],Sheet4!$B$2:$B$1605,0),_xlfn.XMATCH("*Tăng trưởng doanh thu thuần (QoQ)*",Sheet4!$1:$1,2)),"")</f>
        <v>0</v>
      </c>
      <c r="R1609" s="10" cm="1">
        <f t="array" ref="R1609">IFERROR(INDEX(Sheet4!$2:$1605,MATCH(ChiTietKQKD[[#This Row],[Mã CP]],Sheet4!$B$2:$B$1605,0),_xlfn.XMATCH("*Tăng trưởng lợi nhuận sau thuế (QoQ)*",Sheet4!$1:$1,2)),"")</f>
        <v>0</v>
      </c>
    </row>
    <row r="1610" spans="1:18" x14ac:dyDescent="0.25">
      <c r="A1610" s="7">
        <f>Sheet4!A1589</f>
        <v>1588</v>
      </c>
      <c r="B1610" t="str">
        <f>Sheet4!B1589</f>
        <v>XMC</v>
      </c>
      <c r="C1610" t="str">
        <f>Sheet4!C1588</f>
        <v>XL và DV Sông Đà</v>
      </c>
      <c r="D1610" t="str">
        <f>Sheet4!D1589</f>
        <v>UPCoM</v>
      </c>
      <c r="E1610" s="7">
        <f>Sheet4!AH1589/1000000000</f>
        <v>700.54394741900001</v>
      </c>
      <c r="F1610" t="str">
        <f>Sheet4!E1589</f>
        <v>Công nghiệp</v>
      </c>
      <c r="G1610" t="str">
        <f>Sheet4!F1589</f>
        <v>Xây dựng và Vật liệu</v>
      </c>
      <c r="H1610" t="str">
        <f>Sheet4!G1589</f>
        <v>Vật liệu xây dựng &amp; Nội thất</v>
      </c>
      <c r="I1610" s="9" t="str" cm="1">
        <f t="array" ref="I1610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10" s="9" t="str" cm="1">
        <f t="array" ref="J1610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10" s="10" cm="1">
        <f t="array" ref="K1610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10" s="10" cm="1">
        <f t="array" ref="L1610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10" s="9" t="str" cm="1">
        <f t="array" ref="M1610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10" s="9" t="str" cm="1">
        <f t="array" ref="N1610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10" s="10" cm="1">
        <f t="array" ref="O1610">IFERROR(INDEX(Sheet4!$2:$1605,MATCH(ChiTietKQKD[[#This Row],[Mã CP]],Sheet4!$B$2:$B$1605,0),_xlfn.XMATCH("*Tăng trưởng lợi nhuận sau thuế (YoY) (Quý*",Sheet4!$1:$1,2)),"")</f>
        <v>0</v>
      </c>
      <c r="P1610" s="10" cm="1">
        <f t="array" ref="P1610">IFERROR(INDEX(Sheet4!$2:$1605,MATCH(ChiTietKQKD[[#This Row],[Mã CP]],Sheet4!$B$2:$B$1605,0),_xlfn.XMATCH("*Tăng trưởng lợi nhuận sau thuế (YoY) (6M)*",Sheet4!$1:$1,2)),"")</f>
        <v>0</v>
      </c>
      <c r="Q1610" s="10" cm="1">
        <f t="array" ref="Q1610">IFERROR(INDEX(Sheet4!$2:$1605,MATCH(ChiTietKQKD[[#This Row],[Mã CP]],Sheet4!$B$2:$B$1605,0),_xlfn.XMATCH("*Tăng trưởng doanh thu thuần (QoQ)*",Sheet4!$1:$1,2)),"")</f>
        <v>0</v>
      </c>
      <c r="R1610" s="10" cm="1">
        <f t="array" ref="R1610">IFERROR(INDEX(Sheet4!$2:$1605,MATCH(ChiTietKQKD[[#This Row],[Mã CP]],Sheet4!$B$2:$B$1605,0),_xlfn.XMATCH("*Tăng trưởng lợi nhuận sau thuế (QoQ)*",Sheet4!$1:$1,2)),"")</f>
        <v>0</v>
      </c>
    </row>
    <row r="1611" spans="1:18" x14ac:dyDescent="0.25">
      <c r="A1611" s="7">
        <f>Sheet4!A1590</f>
        <v>1589</v>
      </c>
      <c r="B1611" t="str">
        <f>Sheet4!B1590</f>
        <v>XMD</v>
      </c>
      <c r="C1611" t="str">
        <f>Sheet4!C1589</f>
        <v>Bê tông Xuân Mai</v>
      </c>
      <c r="D1611" t="str">
        <f>Sheet4!D1590</f>
        <v>UPCoM</v>
      </c>
      <c r="E1611" s="7">
        <f>Sheet4!AH1590/1000000000</f>
        <v>24.4</v>
      </c>
      <c r="F1611" t="str">
        <f>Sheet4!E1590</f>
        <v>Công nghiệp</v>
      </c>
      <c r="G1611" t="str">
        <f>Sheet4!F1590</f>
        <v>Xây dựng và Vật liệu</v>
      </c>
      <c r="H1611" t="str">
        <f>Sheet4!G1590</f>
        <v>Vật liệu xây dựng &amp; Nội thất</v>
      </c>
      <c r="I1611" s="9" t="str" cm="1">
        <f t="array" ref="I1611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11" s="9" t="str" cm="1">
        <f t="array" ref="J1611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11" s="10" cm="1">
        <f t="array" ref="K1611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11" s="10" cm="1">
        <f t="array" ref="L1611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11" s="9" t="str" cm="1">
        <f t="array" ref="M1611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11" s="9" t="str" cm="1">
        <f t="array" ref="N1611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11" s="10" cm="1">
        <f t="array" ref="O1611">IFERROR(INDEX(Sheet4!$2:$1605,MATCH(ChiTietKQKD[[#This Row],[Mã CP]],Sheet4!$B$2:$B$1605,0),_xlfn.XMATCH("*Tăng trưởng lợi nhuận sau thuế (YoY) (Quý*",Sheet4!$1:$1,2)),"")</f>
        <v>0</v>
      </c>
      <c r="P1611" s="10" cm="1">
        <f t="array" ref="P1611">IFERROR(INDEX(Sheet4!$2:$1605,MATCH(ChiTietKQKD[[#This Row],[Mã CP]],Sheet4!$B$2:$B$1605,0),_xlfn.XMATCH("*Tăng trưởng lợi nhuận sau thuế (YoY) (6M)*",Sheet4!$1:$1,2)),"")</f>
        <v>0</v>
      </c>
      <c r="Q1611" s="10" cm="1">
        <f t="array" ref="Q1611">IFERROR(INDEX(Sheet4!$2:$1605,MATCH(ChiTietKQKD[[#This Row],[Mã CP]],Sheet4!$B$2:$B$1605,0),_xlfn.XMATCH("*Tăng trưởng doanh thu thuần (QoQ)*",Sheet4!$1:$1,2)),"")</f>
        <v>0</v>
      </c>
      <c r="R1611" s="10" cm="1">
        <f t="array" ref="R1611">IFERROR(INDEX(Sheet4!$2:$1605,MATCH(ChiTietKQKD[[#This Row],[Mã CP]],Sheet4!$B$2:$B$1605,0),_xlfn.XMATCH("*Tăng trưởng lợi nhuận sau thuế (QoQ)*",Sheet4!$1:$1,2)),"")</f>
        <v>0</v>
      </c>
    </row>
    <row r="1612" spans="1:18" x14ac:dyDescent="0.25">
      <c r="A1612" s="7">
        <f>Sheet4!A1591</f>
        <v>1590</v>
      </c>
      <c r="B1612" t="str">
        <f>Sheet4!B1591</f>
        <v>XMP</v>
      </c>
      <c r="C1612" t="str">
        <f>Sheet4!C1590</f>
        <v>Xuân Mai - Đạo Tú</v>
      </c>
      <c r="D1612" t="str">
        <f>Sheet4!D1591</f>
        <v>UPCoM</v>
      </c>
      <c r="E1612" s="7">
        <f>Sheet4!AH1591/1000000000</f>
        <v>230.04</v>
      </c>
      <c r="F1612" t="str">
        <f>Sheet4!E1591</f>
        <v>Tiện ích Cộng đồng</v>
      </c>
      <c r="G1612" t="str">
        <f>Sheet4!F1591</f>
        <v>Điện, nước &amp; xăng dầu khí đốt</v>
      </c>
      <c r="H1612" t="str">
        <f>Sheet4!G1591</f>
        <v>Sản xuất &amp; Phân phối Điện</v>
      </c>
      <c r="I1612" s="9" t="str" cm="1">
        <f t="array" ref="I1612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12" s="9" t="str" cm="1">
        <f t="array" ref="J1612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12" s="10" cm="1">
        <f t="array" ref="K1612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12" s="10" cm="1">
        <f t="array" ref="L1612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12" s="9" t="str" cm="1">
        <f t="array" ref="M1612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12" s="9" t="str" cm="1">
        <f t="array" ref="N1612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12" s="10" cm="1">
        <f t="array" ref="O1612">IFERROR(INDEX(Sheet4!$2:$1605,MATCH(ChiTietKQKD[[#This Row],[Mã CP]],Sheet4!$B$2:$B$1605,0),_xlfn.XMATCH("*Tăng trưởng lợi nhuận sau thuế (YoY) (Quý*",Sheet4!$1:$1,2)),"")</f>
        <v>0</v>
      </c>
      <c r="P1612" s="10" cm="1">
        <f t="array" ref="P1612">IFERROR(INDEX(Sheet4!$2:$1605,MATCH(ChiTietKQKD[[#This Row],[Mã CP]],Sheet4!$B$2:$B$1605,0),_xlfn.XMATCH("*Tăng trưởng lợi nhuận sau thuế (YoY) (6M)*",Sheet4!$1:$1,2)),"")</f>
        <v>0</v>
      </c>
      <c r="Q1612" s="10" cm="1">
        <f t="array" ref="Q1612">IFERROR(INDEX(Sheet4!$2:$1605,MATCH(ChiTietKQKD[[#This Row],[Mã CP]],Sheet4!$B$2:$B$1605,0),_xlfn.XMATCH("*Tăng trưởng doanh thu thuần (QoQ)*",Sheet4!$1:$1,2)),"")</f>
        <v>0</v>
      </c>
      <c r="R1612" s="10" cm="1">
        <f t="array" ref="R1612">IFERROR(INDEX(Sheet4!$2:$1605,MATCH(ChiTietKQKD[[#This Row],[Mã CP]],Sheet4!$B$2:$B$1605,0),_xlfn.XMATCH("*Tăng trưởng lợi nhuận sau thuế (QoQ)*",Sheet4!$1:$1,2)),"")</f>
        <v>0</v>
      </c>
    </row>
    <row r="1613" spans="1:18" x14ac:dyDescent="0.25">
      <c r="A1613" s="7">
        <f>Sheet4!A1592</f>
        <v>1591</v>
      </c>
      <c r="B1613" t="str">
        <f>Sheet4!B1592</f>
        <v>XPH</v>
      </c>
      <c r="C1613" t="str">
        <f>Sheet4!C1591</f>
        <v>Thủy điện Xuân Minh</v>
      </c>
      <c r="D1613" t="str">
        <f>Sheet4!D1592</f>
        <v>UPCoM</v>
      </c>
      <c r="E1613" s="7">
        <f>Sheet4!AH1592/1000000000</f>
        <v>220.14290075</v>
      </c>
      <c r="F1613" t="str">
        <f>Sheet4!E1592</f>
        <v>Hàng Tiêu dùng</v>
      </c>
      <c r="G1613" t="str">
        <f>Sheet4!F1592</f>
        <v>Hàng cá nhân &amp; Gia dụng</v>
      </c>
      <c r="H1613" t="str">
        <f>Sheet4!G1592</f>
        <v>Hàng cá nhân</v>
      </c>
      <c r="I1613" s="9" t="str" cm="1">
        <f t="array" ref="I1613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13" s="9" t="str" cm="1">
        <f t="array" ref="J1613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13" s="10" cm="1">
        <f t="array" ref="K1613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13" s="10" cm="1">
        <f t="array" ref="L1613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13" s="9" t="str" cm="1">
        <f t="array" ref="M1613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13" s="9" t="str" cm="1">
        <f t="array" ref="N1613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13" s="10" cm="1">
        <f t="array" ref="O1613">IFERROR(INDEX(Sheet4!$2:$1605,MATCH(ChiTietKQKD[[#This Row],[Mã CP]],Sheet4!$B$2:$B$1605,0),_xlfn.XMATCH("*Tăng trưởng lợi nhuận sau thuế (YoY) (Quý*",Sheet4!$1:$1,2)),"")</f>
        <v>0</v>
      </c>
      <c r="P1613" s="10" cm="1">
        <f t="array" ref="P1613">IFERROR(INDEX(Sheet4!$2:$1605,MATCH(ChiTietKQKD[[#This Row],[Mã CP]],Sheet4!$B$2:$B$1605,0),_xlfn.XMATCH("*Tăng trưởng lợi nhuận sau thuế (YoY) (6M)*",Sheet4!$1:$1,2)),"")</f>
        <v>0</v>
      </c>
      <c r="Q1613" s="10" cm="1">
        <f t="array" ref="Q1613">IFERROR(INDEX(Sheet4!$2:$1605,MATCH(ChiTietKQKD[[#This Row],[Mã CP]],Sheet4!$B$2:$B$1605,0),_xlfn.XMATCH("*Tăng trưởng doanh thu thuần (QoQ)*",Sheet4!$1:$1,2)),"")</f>
        <v>0</v>
      </c>
      <c r="R1613" s="10" cm="1">
        <f t="array" ref="R1613">IFERROR(INDEX(Sheet4!$2:$1605,MATCH(ChiTietKQKD[[#This Row],[Mã CP]],Sheet4!$B$2:$B$1605,0),_xlfn.XMATCH("*Tăng trưởng lợi nhuận sau thuế (QoQ)*",Sheet4!$1:$1,2)),"")</f>
        <v>0</v>
      </c>
    </row>
    <row r="1614" spans="1:18" x14ac:dyDescent="0.25">
      <c r="A1614" s="7">
        <f>Sheet4!A1593</f>
        <v>1592</v>
      </c>
      <c r="B1614" t="str">
        <f>Sheet4!B1593</f>
        <v>YBC</v>
      </c>
      <c r="C1614" t="str">
        <f>Sheet4!C1592</f>
        <v>Xà phòng Hà Nội</v>
      </c>
      <c r="D1614" t="str">
        <f>Sheet4!D1593</f>
        <v>UPCoM</v>
      </c>
      <c r="E1614" s="7">
        <f>Sheet4!AH1593/1000000000</f>
        <v>88.306349999999995</v>
      </c>
      <c r="F1614" t="str">
        <f>Sheet4!E1593</f>
        <v>Công nghiệp</v>
      </c>
      <c r="G1614" t="str">
        <f>Sheet4!F1593</f>
        <v>Xây dựng và Vật liệu</v>
      </c>
      <c r="H1614" t="str">
        <f>Sheet4!G1593</f>
        <v>Vật liệu xây dựng &amp; Nội thất</v>
      </c>
      <c r="I1614" s="9" t="str" cm="1">
        <f t="array" ref="I1614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14" s="9" t="str" cm="1">
        <f t="array" ref="J1614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14" s="10" cm="1">
        <f t="array" ref="K1614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14" s="10" cm="1">
        <f t="array" ref="L1614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14" s="9" t="str" cm="1">
        <f t="array" ref="M1614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14" s="9" t="str" cm="1">
        <f t="array" ref="N1614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14" s="10" cm="1">
        <f t="array" ref="O1614">IFERROR(INDEX(Sheet4!$2:$1605,MATCH(ChiTietKQKD[[#This Row],[Mã CP]],Sheet4!$B$2:$B$1605,0),_xlfn.XMATCH("*Tăng trưởng lợi nhuận sau thuế (YoY) (Quý*",Sheet4!$1:$1,2)),"")</f>
        <v>0</v>
      </c>
      <c r="P1614" s="10" cm="1">
        <f t="array" ref="P1614">IFERROR(INDEX(Sheet4!$2:$1605,MATCH(ChiTietKQKD[[#This Row],[Mã CP]],Sheet4!$B$2:$B$1605,0),_xlfn.XMATCH("*Tăng trưởng lợi nhuận sau thuế (YoY) (6M)*",Sheet4!$1:$1,2)),"")</f>
        <v>0</v>
      </c>
      <c r="Q1614" s="10" cm="1">
        <f t="array" ref="Q1614">IFERROR(INDEX(Sheet4!$2:$1605,MATCH(ChiTietKQKD[[#This Row],[Mã CP]],Sheet4!$B$2:$B$1605,0),_xlfn.XMATCH("*Tăng trưởng doanh thu thuần (QoQ)*",Sheet4!$1:$1,2)),"")</f>
        <v>0</v>
      </c>
      <c r="R1614" s="10" cm="1">
        <f t="array" ref="R1614">IFERROR(INDEX(Sheet4!$2:$1605,MATCH(ChiTietKQKD[[#This Row],[Mã CP]],Sheet4!$B$2:$B$1605,0),_xlfn.XMATCH("*Tăng trưởng lợi nhuận sau thuế (QoQ)*",Sheet4!$1:$1,2)),"")</f>
        <v>0</v>
      </c>
    </row>
    <row r="1615" spans="1:18" x14ac:dyDescent="0.25">
      <c r="A1615" s="7">
        <f>Sheet4!A1594</f>
        <v>1593</v>
      </c>
      <c r="B1615" t="str">
        <f>Sheet4!B1594</f>
        <v>YTC</v>
      </c>
      <c r="C1615" t="str">
        <f>Sheet4!C1593</f>
        <v>Xi măng và Khoáng sản Yên Bái</v>
      </c>
      <c r="D1615" t="str">
        <f>Sheet4!D1594</f>
        <v>UPCoM</v>
      </c>
      <c r="E1615" s="7">
        <f>Sheet4!AH1594/1000000000</f>
        <v>207.19159999999999</v>
      </c>
      <c r="F1615" t="str">
        <f>Sheet4!E1594</f>
        <v>Dược phẩm và Y tế</v>
      </c>
      <c r="G1615" t="str">
        <f>Sheet4!F1594</f>
        <v>Y tế</v>
      </c>
      <c r="H1615" t="str">
        <f>Sheet4!G1594</f>
        <v>Dụng cụ y tế</v>
      </c>
      <c r="I1615" s="9" t="str" cm="1">
        <f t="array" ref="I1615">_xlfn.LET(_xlpm.colDTT,_xlfn.XMATCH("*Doanh thu thuần*Q2*2026*",Sheet4!$1:$1,2),_xlpm.colTNL,_xlfn.XMATCH("*Thu nhập lãi thuần*Quý: 2*2026*",Sheet4!$1:$1,2),_xlpm.maCP,ChiTietKQKD[[#This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J1615" s="9" t="str" cm="1">
        <f t="array" ref="J1615">_xlfn.LET(_xlpm.colDTT,_xlfn.XMATCH("*Doanh thu thuần*6 tháng*2026*",Sheet4!$1:$1,2),_xlpm.colTNL,_xlfn.XMATCH("*Thu nhập lãi thuần*6 tháng*2026*",Sheet4!$1:$1,2),_xlpm.maCP,ChiTietKQKD[[#This Row],[Mã CP]],_xlpm.nganhL1,ChiTietKQKD[[#This Row],[Ngành L1]],IF(_xlpm.nganhL1="Ngân hàng",_xlfn.LET(_xlpm.val,_xlfn.XLOOKUP(_xlpm.maCP,Sheet4!$B$2:$B$1605,INDEX(Sheet4!$2:$1605,0,_xlpm.colTNL)),IF(OR(_xlpm.val="",_xlpm.val=0),"",_xlpm.val/1000000000)),_xlfn.LET(_xlpm.val,_xlfn.XLOOKUP(_xlpm.maCP,Sheet4!$B$2:$B$1605,INDEX(Sheet4!$2:$1605,0,_xlpm.colDTT)),IF(OR(_xlpm.val="",_xlpm.val=0),"",_xlpm.val/1000000000))))</f>
        <v/>
      </c>
      <c r="K1615" s="10" cm="1">
        <f t="array" ref="K1615">IF(ChiTietKQKD[[#This Row],[Ngành L1]]="Ngân hàng",IF(AND(INDEX(Sheet4!$2:$1605,MATCH(ChiTietKQKD[[#This Row],[Mã CP]],Sheet4!$B$2:$B$1605,0),_xlfn.XMATCH("*Thu nhập lãi thuần*Quý: 2*2026*",Sheet4!$1:$1,2))&lt;&gt;0,INDEX(Sheet4!$2:$1605,MATCH(ChiTietKQKD[[#This Row],[Mã CP]],Sheet4!$B$2:$B$1605,0),_xlfn.XMATCH("*Thu nhập lãi thuần*Q2*2025*",Sheet4!$1:$1,2))&lt;&gt;0),INDEX(Sheet4!$2:$1605,MATCH(ChiTietKQKD[[#This Row],[Mã CP]],Sheet4!$B$2:$B$1605,0),_xlfn.XMATCH("*Thu nhập lãi thuần*Quý: 2*2026*",Sheet4!$1:$1,2))/INDEX(Sheet4!$2:$1605,MATCH(ChiTietKQKD[[#This Row],[Mã CP]],Sheet4!$B$2:$B$1605,0),_xlfn.XMATCH("*Thu nhập lãi thuần*Q2*2025*",Sheet4!$1:$1,2))-1,""),IFERROR(INDEX(Sheet4!$2:$1605,MATCH(ChiTietKQKD[[#This Row],[Mã CP]],Sheet4!$B$2:$B$1605,0),_xlfn.XMATCH("*Tăng trưởng doanh thu thuần (YoY) (Quý*",Sheet4!$1:$1,2)),""))</f>
        <v>0</v>
      </c>
      <c r="L1615" s="10" cm="1">
        <f t="array" ref="L1615">IF(ChiTietKQKD[[#This Row],[Ngành L1]]="Ngân hàng",IF(AND(INDEX(Sheet4!$2:$1605,MATCH(ChiTietKQKD[[#This Row],[Mã CP]],Sheet4!$B$2:$B$1605,0),_xlfn.XMATCH("*Thu nhập lãi thuần*6 tháng*2026*",Sheet4!$1:$1,2))&lt;&gt;0,INDEX(Sheet4!$2:$1605,MATCH(ChiTietKQKD[[#This Row],[Mã CP]],Sheet4!$B$2:$B$1605,0),_xlfn.XMATCH("*Thu nhập lãi thuần*6 tháng*2025*",Sheet4!$1:$1,2))&lt;&gt;0),INDEX(Sheet4!$2:$1605,MATCH(ChiTietKQKD[[#This Row],[Mã CP]],Sheet4!$B$2:$B$1605,0),_xlfn.XMATCH("*Thu nhập lãi thuần*6 tháng*2026*",Sheet4!$1:$1,2))/INDEX(Sheet4!$2:$1605,MATCH(ChiTietKQKD[[#This Row],[Mã CP]],Sheet4!$B$2:$B$1605,0),_xlfn.XMATCH("*Thu nhập lãi thuần*6 tháng*2025*",Sheet4!$1:$1,2))-1,""),IFERROR(INDEX(Sheet4!$2:$1605,MATCH(ChiTietKQKD[[#This Row],[Mã CP]],Sheet4!$B$2:$B$1605,0),_xlfn.XMATCH("*Tăng trưởng doanh thu thuần (YoY) (6M)*",Sheet4!$1:$1,2)),""))</f>
        <v>0</v>
      </c>
      <c r="M1615" s="9" t="str" cm="1">
        <f t="array" ref="M1615">_xlfn.LET(_xlpm.val,IFERROR(INDEX(Sheet4!$2:$1605,MATCH(ChiTietKQKD[[#This Row],[Mã CP]],Sheet4!$B$2:$B$1605,0),_xlfn.XMATCH("*Lợi nhuận sau thuế*Q2*2026*",Sheet4!$1:$1,2)),0),IF(OR(_xlpm.val="",_xlpm.val=0),"",_xlpm.val/1000000000))</f>
        <v/>
      </c>
      <c r="N1615" s="9" t="str" cm="1">
        <f t="array" ref="N1615">_xlfn.LET(_xlpm.val,IFERROR(INDEX(Sheet4!$2:$1605,MATCH(ChiTietKQKD[[#This Row],[Mã CP]],Sheet4!$B$2:$B$1605,0),_xlfn.XMATCH("*Lợi nhuận sau thuế*6 tháng*2026*",Sheet4!$1:$1,2)),0),IF(OR(_xlpm.val="",_xlpm.val=0),"",_xlpm.val/1000000000))</f>
        <v/>
      </c>
      <c r="O1615" s="10" cm="1">
        <f t="array" ref="O1615">IFERROR(INDEX(Sheet4!$2:$1605,MATCH(ChiTietKQKD[[#This Row],[Mã CP]],Sheet4!$B$2:$B$1605,0),_xlfn.XMATCH("*Tăng trưởng lợi nhuận sau thuế (YoY) (Quý*",Sheet4!$1:$1,2)),"")</f>
        <v>0</v>
      </c>
      <c r="P1615" s="10" cm="1">
        <f t="array" ref="P1615">IFERROR(INDEX(Sheet4!$2:$1605,MATCH(ChiTietKQKD[[#This Row],[Mã CP]],Sheet4!$B$2:$B$1605,0),_xlfn.XMATCH("*Tăng trưởng lợi nhuận sau thuế (YoY) (6M)*",Sheet4!$1:$1,2)),"")</f>
        <v>0</v>
      </c>
      <c r="Q1615" s="10" cm="1">
        <f t="array" ref="Q1615">IFERROR(INDEX(Sheet4!$2:$1605,MATCH(ChiTietKQKD[[#This Row],[Mã CP]],Sheet4!$B$2:$B$1605,0),_xlfn.XMATCH("*Tăng trưởng doanh thu thuần (QoQ)*",Sheet4!$1:$1,2)),"")</f>
        <v>0</v>
      </c>
      <c r="R1615" s="10" cm="1">
        <f t="array" ref="R1615">IFERROR(INDEX(Sheet4!$2:$1605,MATCH(ChiTietKQKD[[#This Row],[Mã CP]],Sheet4!$B$2:$B$1605,0),_xlfn.XMATCH("*Tăng trưởng lợi nhuận sau thuế (QoQ)*",Sheet4!$1:$1,2)),"")</f>
        <v>0</v>
      </c>
    </row>
  </sheetData>
  <mergeCells count="14">
    <mergeCell ref="A21:R21"/>
    <mergeCell ref="J4:K4"/>
    <mergeCell ref="J5:K5"/>
    <mergeCell ref="A1:M1"/>
    <mergeCell ref="A2:M2"/>
    <mergeCell ref="A4:B4"/>
    <mergeCell ref="A5:B5"/>
    <mergeCell ref="C4:D4"/>
    <mergeCell ref="C5:D5"/>
    <mergeCell ref="F4:G4"/>
    <mergeCell ref="F5:G5"/>
    <mergeCell ref="H4:I4"/>
    <mergeCell ref="H5:I5"/>
    <mergeCell ref="A7:G7"/>
  </mergeCells>
  <conditionalFormatting sqref="F9:G19">
    <cfRule type="cellIs" dxfId="9" priority="1" operator="greaterThan">
      <formula>0</formula>
    </cfRule>
    <cfRule type="cellIs" dxfId="8" priority="2" operator="lessThan">
      <formula>0</formula>
    </cfRule>
  </conditionalFormatting>
  <conditionalFormatting sqref="K23:K1615 P23:R1615">
    <cfRule type="cellIs" dxfId="7" priority="7" operator="greaterThan">
      <formula>0</formula>
    </cfRule>
    <cfRule type="cellIs" dxfId="6" priority="8" operator="lessThan">
      <formula>0</formula>
    </cfRule>
  </conditionalFormatting>
  <conditionalFormatting sqref="L23:L1615">
    <cfRule type="cellIs" dxfId="5" priority="9" operator="greaterThan">
      <formula>0</formula>
    </cfRule>
    <cfRule type="cellIs" dxfId="4" priority="10" operator="lessThan">
      <formula>0</formula>
    </cfRule>
  </conditionalFormatting>
  <conditionalFormatting sqref="M23:M1615">
    <cfRule type="cellIs" dxfId="3" priority="5" operator="greaterThan">
      <formula>0</formula>
    </cfRule>
    <cfRule type="cellIs" dxfId="2" priority="6" operator="lessThan">
      <formula>0</formula>
    </cfRule>
  </conditionalFormatting>
  <conditionalFormatting sqref="O23:O1615">
    <cfRule type="cellIs" dxfId="1" priority="11" operator="greaterThan">
      <formula>0</formula>
    </cfRule>
    <cfRule type="cellIs" dxfId="0" priority="1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455F-F5D6-4842-9EF2-15F07BBF730B}">
  <dimension ref="A1:AH1605"/>
  <sheetViews>
    <sheetView workbookViewId="0">
      <selection activeCell="AH2" sqref="AH2"/>
    </sheetView>
  </sheetViews>
  <sheetFormatPr defaultColWidth="13.28515625" defaultRowHeight="15" x14ac:dyDescent="0.25"/>
  <cols>
    <col min="1" max="1" width="14.7109375" customWidth="1"/>
  </cols>
  <sheetData>
    <row r="1" spans="1:34" s="1" customFormat="1" ht="157.5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3344</v>
      </c>
      <c r="P1" s="22" t="s">
        <v>14</v>
      </c>
      <c r="Q1" s="22" t="s">
        <v>15</v>
      </c>
      <c r="R1" s="22" t="s">
        <v>16</v>
      </c>
      <c r="S1" s="22" t="s">
        <v>17</v>
      </c>
      <c r="T1" s="22" t="s">
        <v>3343</v>
      </c>
      <c r="U1" s="22" t="s">
        <v>18</v>
      </c>
      <c r="V1" s="22" t="s">
        <v>19</v>
      </c>
      <c r="W1" s="22" t="s">
        <v>20</v>
      </c>
      <c r="X1" s="22" t="s">
        <v>3342</v>
      </c>
      <c r="Y1" s="22" t="s">
        <v>3341</v>
      </c>
      <c r="Z1" s="22" t="s">
        <v>3340</v>
      </c>
      <c r="AA1" s="22" t="s">
        <v>3362</v>
      </c>
      <c r="AB1" s="22" t="s">
        <v>3361</v>
      </c>
      <c r="AC1" s="22" t="s">
        <v>3360</v>
      </c>
      <c r="AD1" s="22" t="s">
        <v>3363</v>
      </c>
      <c r="AE1" s="22" t="s">
        <v>3364</v>
      </c>
      <c r="AF1" s="22" t="s">
        <v>3365</v>
      </c>
      <c r="AG1" s="22" t="s">
        <v>3366</v>
      </c>
      <c r="AH1" s="22" t="s">
        <v>3367</v>
      </c>
    </row>
    <row r="2" spans="1:34" x14ac:dyDescent="0.25">
      <c r="A2" s="4">
        <v>1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4"/>
      <c r="I2" s="4"/>
      <c r="J2" s="6"/>
      <c r="K2" s="6"/>
      <c r="L2" s="6"/>
      <c r="M2" s="4"/>
      <c r="N2" s="4"/>
      <c r="O2" s="4"/>
      <c r="P2" s="6"/>
      <c r="Q2" s="6"/>
      <c r="R2" s="6"/>
      <c r="S2" s="6"/>
      <c r="T2" s="4"/>
      <c r="U2" s="6"/>
      <c r="V2" s="6"/>
      <c r="W2" s="6"/>
      <c r="X2" s="6"/>
      <c r="Y2" s="4"/>
      <c r="Z2" s="6"/>
      <c r="AA2" s="4"/>
      <c r="AB2" s="4"/>
      <c r="AC2" s="4"/>
      <c r="AD2" s="6"/>
      <c r="AE2" s="4"/>
      <c r="AF2" s="4"/>
      <c r="AG2" s="4"/>
      <c r="AH2" s="4">
        <v>2630201436400</v>
      </c>
    </row>
    <row r="3" spans="1:34" x14ac:dyDescent="0.25">
      <c r="A3" s="4">
        <v>2</v>
      </c>
      <c r="B3" s="5" t="s">
        <v>27</v>
      </c>
      <c r="C3" s="5" t="s">
        <v>28</v>
      </c>
      <c r="D3" s="5" t="s">
        <v>23</v>
      </c>
      <c r="E3" s="5" t="s">
        <v>29</v>
      </c>
      <c r="F3" s="5" t="s">
        <v>30</v>
      </c>
      <c r="G3" s="5" t="s">
        <v>31</v>
      </c>
      <c r="H3" s="4">
        <v>16795301860</v>
      </c>
      <c r="I3" s="4">
        <v>50239306570</v>
      </c>
      <c r="J3" s="6">
        <v>-0.7389</v>
      </c>
      <c r="K3" s="6">
        <v>-0.57669999999999999</v>
      </c>
      <c r="L3" s="6">
        <v>-0.6129</v>
      </c>
      <c r="M3" s="4">
        <v>3390751950</v>
      </c>
      <c r="N3" s="4">
        <v>5778355722</v>
      </c>
      <c r="O3" s="4"/>
      <c r="P3" s="6">
        <v>2.0053000000000001</v>
      </c>
      <c r="Q3" s="6">
        <v>1.4728000000000001</v>
      </c>
      <c r="R3" s="6">
        <v>3.8795999999999999</v>
      </c>
      <c r="S3" s="6">
        <v>0.42009999999999997</v>
      </c>
      <c r="T3" s="4"/>
      <c r="U3" s="6">
        <v>-0.49759999999999999</v>
      </c>
      <c r="V3" s="6">
        <v>0.44579999999999997</v>
      </c>
      <c r="W3" s="6">
        <v>0.4446</v>
      </c>
      <c r="X3" s="6">
        <v>4.58E-2</v>
      </c>
      <c r="Y3" s="4"/>
      <c r="Z3" s="6">
        <v>-0.49780000000000002</v>
      </c>
      <c r="AA3" s="4"/>
      <c r="AB3" s="4"/>
      <c r="AC3" s="4"/>
      <c r="AD3" s="6">
        <v>0</v>
      </c>
      <c r="AE3" s="4"/>
      <c r="AF3" s="4"/>
      <c r="AG3" s="4"/>
      <c r="AH3" s="4">
        <v>68455242100</v>
      </c>
    </row>
    <row r="4" spans="1:34" x14ac:dyDescent="0.25">
      <c r="A4" s="4">
        <v>3</v>
      </c>
      <c r="B4" s="5" t="s">
        <v>32</v>
      </c>
      <c r="C4" s="5" t="s">
        <v>33</v>
      </c>
      <c r="D4" s="5" t="s">
        <v>23</v>
      </c>
      <c r="E4" s="5" t="s">
        <v>29</v>
      </c>
      <c r="F4" s="5" t="s">
        <v>30</v>
      </c>
      <c r="G4" s="5" t="s">
        <v>31</v>
      </c>
      <c r="H4" s="4"/>
      <c r="I4" s="4"/>
      <c r="J4" s="6"/>
      <c r="K4" s="6"/>
      <c r="L4" s="6"/>
      <c r="M4" s="4"/>
      <c r="N4" s="4"/>
      <c r="O4" s="4"/>
      <c r="P4" s="6"/>
      <c r="Q4" s="6"/>
      <c r="R4" s="6"/>
      <c r="S4" s="6"/>
      <c r="T4" s="4"/>
      <c r="U4" s="6"/>
      <c r="V4" s="6"/>
      <c r="W4" s="6"/>
      <c r="X4" s="6"/>
      <c r="Y4" s="4"/>
      <c r="Z4" s="6"/>
      <c r="AA4" s="4"/>
      <c r="AB4" s="4"/>
      <c r="AC4" s="4"/>
      <c r="AD4" s="6"/>
      <c r="AE4" s="4"/>
      <c r="AF4" s="4"/>
      <c r="AG4" s="4"/>
      <c r="AH4" s="4">
        <v>1388496757650</v>
      </c>
    </row>
    <row r="5" spans="1:34" x14ac:dyDescent="0.25">
      <c r="A5" s="4">
        <v>4</v>
      </c>
      <c r="B5" s="5" t="s">
        <v>34</v>
      </c>
      <c r="C5" s="5" t="s">
        <v>35</v>
      </c>
      <c r="D5" s="5" t="s">
        <v>23</v>
      </c>
      <c r="E5" s="5" t="s">
        <v>29</v>
      </c>
      <c r="F5" s="5" t="s">
        <v>36</v>
      </c>
      <c r="G5" s="5" t="s">
        <v>37</v>
      </c>
      <c r="H5" s="4"/>
      <c r="I5" s="4"/>
      <c r="J5" s="6"/>
      <c r="K5" s="6"/>
      <c r="L5" s="6"/>
      <c r="M5" s="4"/>
      <c r="N5" s="4"/>
      <c r="O5" s="4"/>
      <c r="P5" s="6"/>
      <c r="Q5" s="6"/>
      <c r="R5" s="6"/>
      <c r="S5" s="6"/>
      <c r="T5" s="4"/>
      <c r="U5" s="6"/>
      <c r="V5" s="6"/>
      <c r="W5" s="6"/>
      <c r="X5" s="6"/>
      <c r="Y5" s="4"/>
      <c r="Z5" s="6"/>
      <c r="AA5" s="4"/>
      <c r="AB5" s="4"/>
      <c r="AC5" s="4"/>
      <c r="AD5" s="6"/>
      <c r="AE5" s="4"/>
      <c r="AF5" s="4"/>
      <c r="AG5" s="4"/>
      <c r="AH5" s="4">
        <v>182713285740</v>
      </c>
    </row>
    <row r="6" spans="1:34" x14ac:dyDescent="0.25">
      <c r="A6" s="4">
        <v>5</v>
      </c>
      <c r="B6" s="5" t="s">
        <v>38</v>
      </c>
      <c r="C6" s="5" t="s">
        <v>39</v>
      </c>
      <c r="D6" s="5" t="s">
        <v>23</v>
      </c>
      <c r="E6" s="5" t="s">
        <v>40</v>
      </c>
      <c r="F6" s="5" t="s">
        <v>41</v>
      </c>
      <c r="G6" s="5" t="s">
        <v>42</v>
      </c>
      <c r="H6" s="4">
        <v>6276526317</v>
      </c>
      <c r="I6" s="4">
        <v>12611617194</v>
      </c>
      <c r="J6" s="6">
        <v>2.5999999999999999E-3</v>
      </c>
      <c r="K6" s="6">
        <v>-0.1103</v>
      </c>
      <c r="L6" s="6">
        <v>-3.6999999999999998E-2</v>
      </c>
      <c r="M6" s="4">
        <v>5184127425</v>
      </c>
      <c r="N6" s="4">
        <v>7554732254</v>
      </c>
      <c r="O6" s="4"/>
      <c r="P6" s="6">
        <v>0.56079999999999997</v>
      </c>
      <c r="Q6" s="6">
        <v>-4.9500000000000002E-2</v>
      </c>
      <c r="R6" s="6">
        <v>-9.7100000000000006E-2</v>
      </c>
      <c r="S6" s="6">
        <v>1.1868000000000001</v>
      </c>
      <c r="T6" s="4"/>
      <c r="U6" s="6">
        <v>-0.43940000000000001</v>
      </c>
      <c r="V6" s="6">
        <v>-0.45029999999999998</v>
      </c>
      <c r="W6" s="6">
        <v>-0.4672</v>
      </c>
      <c r="X6" s="6">
        <v>0</v>
      </c>
      <c r="Y6" s="4"/>
      <c r="Z6" s="6">
        <v>-9.1999999999999998E-3</v>
      </c>
      <c r="AA6" s="4"/>
      <c r="AB6" s="4"/>
      <c r="AC6" s="4"/>
      <c r="AD6" s="6">
        <v>0</v>
      </c>
      <c r="AE6" s="4"/>
      <c r="AF6" s="4"/>
      <c r="AG6" s="4"/>
      <c r="AH6" s="4">
        <v>231000000000</v>
      </c>
    </row>
    <row r="7" spans="1:34" x14ac:dyDescent="0.25">
      <c r="A7" s="4">
        <v>6</v>
      </c>
      <c r="B7" s="5" t="s">
        <v>43</v>
      </c>
      <c r="C7" s="5" t="s">
        <v>44</v>
      </c>
      <c r="D7" s="5" t="s">
        <v>23</v>
      </c>
      <c r="E7" s="5" t="s">
        <v>24</v>
      </c>
      <c r="F7" s="5" t="s">
        <v>25</v>
      </c>
      <c r="G7" s="5" t="s">
        <v>45</v>
      </c>
      <c r="H7" s="4">
        <v>70347608146</v>
      </c>
      <c r="I7" s="4">
        <v>113303783645</v>
      </c>
      <c r="J7" s="6">
        <v>0.99539999999999995</v>
      </c>
      <c r="K7" s="6">
        <v>0.1208</v>
      </c>
      <c r="L7" s="6">
        <v>-0.18890000000000001</v>
      </c>
      <c r="M7" s="4">
        <v>-3455274145</v>
      </c>
      <c r="N7" s="4">
        <v>-5196350856</v>
      </c>
      <c r="O7" s="4"/>
      <c r="P7" s="6">
        <v>0.98819999999999997</v>
      </c>
      <c r="Q7" s="6">
        <v>0.98240000000000005</v>
      </c>
      <c r="R7" s="6">
        <v>0.2545</v>
      </c>
      <c r="S7" s="6">
        <v>-0.98460000000000003</v>
      </c>
      <c r="T7" s="4"/>
      <c r="U7" s="6">
        <v>0</v>
      </c>
      <c r="V7" s="6">
        <v>0</v>
      </c>
      <c r="W7" s="6">
        <v>0</v>
      </c>
      <c r="X7" s="6">
        <v>0</v>
      </c>
      <c r="Y7" s="4"/>
      <c r="Z7" s="6">
        <v>0.63770000000000004</v>
      </c>
      <c r="AA7" s="4"/>
      <c r="AB7" s="4"/>
      <c r="AC7" s="4"/>
      <c r="AD7" s="6">
        <v>0</v>
      </c>
      <c r="AE7" s="4"/>
      <c r="AF7" s="4"/>
      <c r="AG7" s="4"/>
      <c r="AH7" s="4">
        <v>248000000000</v>
      </c>
    </row>
    <row r="8" spans="1:34" x14ac:dyDescent="0.25">
      <c r="A8" s="4">
        <v>7</v>
      </c>
      <c r="B8" s="5" t="s">
        <v>46</v>
      </c>
      <c r="C8" s="5" t="s">
        <v>47</v>
      </c>
      <c r="D8" s="5" t="s">
        <v>23</v>
      </c>
      <c r="E8" s="5" t="s">
        <v>29</v>
      </c>
      <c r="F8" s="5" t="s">
        <v>30</v>
      </c>
      <c r="G8" s="5" t="s">
        <v>31</v>
      </c>
      <c r="H8" s="4"/>
      <c r="I8" s="4"/>
      <c r="J8" s="6"/>
      <c r="K8" s="6"/>
      <c r="L8" s="6"/>
      <c r="M8" s="4"/>
      <c r="N8" s="4"/>
      <c r="O8" s="4"/>
      <c r="P8" s="6"/>
      <c r="Q8" s="6"/>
      <c r="R8" s="6"/>
      <c r="S8" s="6"/>
      <c r="T8" s="4"/>
      <c r="U8" s="6"/>
      <c r="V8" s="6"/>
      <c r="W8" s="6"/>
      <c r="X8" s="6"/>
      <c r="Y8" s="4"/>
      <c r="Z8" s="6"/>
      <c r="AA8" s="4"/>
      <c r="AB8" s="4"/>
      <c r="AC8" s="4"/>
      <c r="AD8" s="6"/>
      <c r="AE8" s="4"/>
      <c r="AF8" s="4"/>
      <c r="AG8" s="4"/>
      <c r="AH8" s="4">
        <v>588862850000</v>
      </c>
    </row>
    <row r="9" spans="1:34" x14ac:dyDescent="0.25">
      <c r="A9" s="4">
        <v>8</v>
      </c>
      <c r="B9" s="5" t="s">
        <v>48</v>
      </c>
      <c r="C9" s="5" t="s">
        <v>48</v>
      </c>
      <c r="D9" s="5" t="s">
        <v>23</v>
      </c>
      <c r="E9" s="5" t="s">
        <v>49</v>
      </c>
      <c r="F9" s="5" t="s">
        <v>49</v>
      </c>
      <c r="G9" s="5" t="s">
        <v>49</v>
      </c>
      <c r="H9" s="4"/>
      <c r="I9" s="4"/>
      <c r="J9" s="6">
        <v>0.38650000000000001</v>
      </c>
      <c r="K9" s="6"/>
      <c r="L9" s="6"/>
      <c r="M9" s="4">
        <v>4292478000000</v>
      </c>
      <c r="N9" s="4">
        <v>8612866000000</v>
      </c>
      <c r="O9" s="4"/>
      <c r="P9" s="6">
        <v>-0.1206</v>
      </c>
      <c r="Q9" s="6"/>
      <c r="R9" s="6"/>
      <c r="S9" s="6">
        <v>-6.4999999999999997E-3</v>
      </c>
      <c r="T9" s="4"/>
      <c r="U9" s="6"/>
      <c r="V9" s="6"/>
      <c r="W9" s="6"/>
      <c r="X9" s="6"/>
      <c r="Y9" s="4"/>
      <c r="Z9" s="6">
        <v>0.14360000000000001</v>
      </c>
      <c r="AA9" s="4">
        <v>7784691000000</v>
      </c>
      <c r="AB9" s="4">
        <v>14773853000000</v>
      </c>
      <c r="AC9" s="4"/>
      <c r="AD9" s="6"/>
      <c r="AE9" s="4">
        <v>6683848000000</v>
      </c>
      <c r="AF9" s="4">
        <v>13042713000000</v>
      </c>
      <c r="AG9" s="4">
        <v>19812423000000</v>
      </c>
      <c r="AH9" s="4">
        <v>130019051836800</v>
      </c>
    </row>
    <row r="10" spans="1:34" x14ac:dyDescent="0.25">
      <c r="A10" s="4">
        <v>9</v>
      </c>
      <c r="B10" s="5" t="s">
        <v>50</v>
      </c>
      <c r="C10" s="5" t="s">
        <v>51</v>
      </c>
      <c r="D10" s="5" t="s">
        <v>23</v>
      </c>
      <c r="E10" s="5" t="s">
        <v>40</v>
      </c>
      <c r="F10" s="5" t="s">
        <v>52</v>
      </c>
      <c r="G10" s="5" t="s">
        <v>53</v>
      </c>
      <c r="H10" s="4"/>
      <c r="I10" s="4"/>
      <c r="J10" s="6"/>
      <c r="K10" s="6"/>
      <c r="L10" s="6"/>
      <c r="M10" s="4"/>
      <c r="N10" s="4"/>
      <c r="O10" s="4"/>
      <c r="P10" s="6"/>
      <c r="Q10" s="6"/>
      <c r="R10" s="6"/>
      <c r="S10" s="6"/>
      <c r="T10" s="4"/>
      <c r="U10" s="6"/>
      <c r="V10" s="6"/>
      <c r="W10" s="6"/>
      <c r="X10" s="6"/>
      <c r="Y10" s="4"/>
      <c r="Z10" s="6"/>
      <c r="AA10" s="4"/>
      <c r="AB10" s="4"/>
      <c r="AC10" s="4"/>
      <c r="AD10" s="6"/>
      <c r="AE10" s="4"/>
      <c r="AF10" s="4"/>
      <c r="AG10" s="4"/>
      <c r="AH10" s="4">
        <v>632099957860</v>
      </c>
    </row>
    <row r="11" spans="1:34" x14ac:dyDescent="0.25">
      <c r="A11" s="4">
        <v>10</v>
      </c>
      <c r="B11" s="5" t="s">
        <v>54</v>
      </c>
      <c r="C11" s="5" t="s">
        <v>55</v>
      </c>
      <c r="D11" s="5" t="s">
        <v>23</v>
      </c>
      <c r="E11" s="5" t="s">
        <v>24</v>
      </c>
      <c r="F11" s="5" t="s">
        <v>56</v>
      </c>
      <c r="G11" s="5" t="s">
        <v>57</v>
      </c>
      <c r="H11" s="4"/>
      <c r="I11" s="4"/>
      <c r="J11" s="6"/>
      <c r="K11" s="6"/>
      <c r="L11" s="6"/>
      <c r="M11" s="4"/>
      <c r="N11" s="4"/>
      <c r="O11" s="4"/>
      <c r="P11" s="6"/>
      <c r="Q11" s="6"/>
      <c r="R11" s="6"/>
      <c r="S11" s="6"/>
      <c r="T11" s="4"/>
      <c r="U11" s="6"/>
      <c r="V11" s="6"/>
      <c r="W11" s="6"/>
      <c r="X11" s="6"/>
      <c r="Y11" s="4"/>
      <c r="Z11" s="6"/>
      <c r="AA11" s="4"/>
      <c r="AB11" s="4"/>
      <c r="AC11" s="4"/>
      <c r="AD11" s="6"/>
      <c r="AE11" s="4"/>
      <c r="AF11" s="4"/>
      <c r="AG11" s="4"/>
      <c r="AH11" s="4">
        <v>4840293066600</v>
      </c>
    </row>
    <row r="12" spans="1:34" x14ac:dyDescent="0.25">
      <c r="A12" s="4">
        <v>11</v>
      </c>
      <c r="B12" s="5" t="s">
        <v>58</v>
      </c>
      <c r="C12" s="5" t="s">
        <v>59</v>
      </c>
      <c r="D12" s="5" t="s">
        <v>23</v>
      </c>
      <c r="E12" s="5" t="s">
        <v>29</v>
      </c>
      <c r="F12" s="5" t="s">
        <v>30</v>
      </c>
      <c r="G12" s="5" t="s">
        <v>31</v>
      </c>
      <c r="H12" s="4"/>
      <c r="I12" s="4"/>
      <c r="J12" s="6"/>
      <c r="K12" s="6"/>
      <c r="L12" s="6"/>
      <c r="M12" s="4"/>
      <c r="N12" s="4"/>
      <c r="O12" s="4"/>
      <c r="P12" s="6"/>
      <c r="Q12" s="6"/>
      <c r="R12" s="6"/>
      <c r="S12" s="6"/>
      <c r="T12" s="4"/>
      <c r="U12" s="6"/>
      <c r="V12" s="6"/>
      <c r="W12" s="6"/>
      <c r="X12" s="6"/>
      <c r="Y12" s="4"/>
      <c r="Z12" s="6"/>
      <c r="AA12" s="4"/>
      <c r="AB12" s="4"/>
      <c r="AC12" s="4"/>
      <c r="AD12" s="6"/>
      <c r="AE12" s="4"/>
      <c r="AF12" s="4"/>
      <c r="AG12" s="4"/>
      <c r="AH12" s="4">
        <v>647051345100</v>
      </c>
    </row>
    <row r="13" spans="1:34" x14ac:dyDescent="0.25">
      <c r="A13" s="4">
        <v>12</v>
      </c>
      <c r="B13" s="5" t="s">
        <v>60</v>
      </c>
      <c r="C13" s="5" t="s">
        <v>61</v>
      </c>
      <c r="D13" s="5" t="s">
        <v>23</v>
      </c>
      <c r="E13" s="5" t="s">
        <v>62</v>
      </c>
      <c r="F13" s="5" t="s">
        <v>63</v>
      </c>
      <c r="G13" s="5" t="s">
        <v>64</v>
      </c>
      <c r="H13" s="4"/>
      <c r="I13" s="4"/>
      <c r="J13" s="6"/>
      <c r="K13" s="6"/>
      <c r="L13" s="6"/>
      <c r="M13" s="4"/>
      <c r="N13" s="4"/>
      <c r="O13" s="4"/>
      <c r="P13" s="6"/>
      <c r="Q13" s="6"/>
      <c r="R13" s="6"/>
      <c r="S13" s="6"/>
      <c r="T13" s="4"/>
      <c r="U13" s="6"/>
      <c r="V13" s="6"/>
      <c r="W13" s="6"/>
      <c r="X13" s="6"/>
      <c r="Y13" s="4"/>
      <c r="Z13" s="6"/>
      <c r="AA13" s="4"/>
      <c r="AB13" s="4"/>
      <c r="AC13" s="4"/>
      <c r="AD13" s="6"/>
      <c r="AE13" s="4"/>
      <c r="AF13" s="4"/>
      <c r="AG13" s="4"/>
      <c r="AH13" s="4">
        <v>173182220100</v>
      </c>
    </row>
    <row r="14" spans="1:34" x14ac:dyDescent="0.25">
      <c r="A14" s="4">
        <v>13</v>
      </c>
      <c r="B14" s="5" t="s">
        <v>65</v>
      </c>
      <c r="C14" s="5" t="s">
        <v>66</v>
      </c>
      <c r="D14" s="5" t="s">
        <v>23</v>
      </c>
      <c r="E14" s="5" t="s">
        <v>40</v>
      </c>
      <c r="F14" s="5" t="s">
        <v>52</v>
      </c>
      <c r="G14" s="5" t="s">
        <v>53</v>
      </c>
      <c r="H14" s="4">
        <v>146846009252</v>
      </c>
      <c r="I14" s="4">
        <v>301211000966</v>
      </c>
      <c r="J14" s="6">
        <v>-0.1641</v>
      </c>
      <c r="K14" s="6">
        <v>-0.2</v>
      </c>
      <c r="L14" s="6">
        <v>-0.23180000000000001</v>
      </c>
      <c r="M14" s="4">
        <v>22028350151</v>
      </c>
      <c r="N14" s="4">
        <v>38653727258</v>
      </c>
      <c r="O14" s="4"/>
      <c r="P14" s="6">
        <v>-2.52E-2</v>
      </c>
      <c r="Q14" s="6">
        <v>-0.1517</v>
      </c>
      <c r="R14" s="6">
        <v>-7.1199999999999999E-2</v>
      </c>
      <c r="S14" s="6">
        <v>0.39090000000000003</v>
      </c>
      <c r="T14" s="4"/>
      <c r="U14" s="6">
        <v>-0.45229999999999998</v>
      </c>
      <c r="V14" s="6">
        <v>-0.13539999999999999</v>
      </c>
      <c r="W14" s="6">
        <v>-0.1394</v>
      </c>
      <c r="X14" s="6">
        <v>0</v>
      </c>
      <c r="Y14" s="4"/>
      <c r="Z14" s="6">
        <v>-4.87E-2</v>
      </c>
      <c r="AA14" s="4"/>
      <c r="AB14" s="4"/>
      <c r="AC14" s="4"/>
      <c r="AD14" s="6">
        <v>0</v>
      </c>
      <c r="AE14" s="4"/>
      <c r="AF14" s="4"/>
      <c r="AG14" s="4"/>
      <c r="AH14" s="4">
        <v>518396625000</v>
      </c>
    </row>
    <row r="15" spans="1:34" x14ac:dyDescent="0.25">
      <c r="A15" s="4">
        <v>14</v>
      </c>
      <c r="B15" s="5" t="s">
        <v>67</v>
      </c>
      <c r="C15" s="5" t="s">
        <v>68</v>
      </c>
      <c r="D15" s="5" t="s">
        <v>23</v>
      </c>
      <c r="E15" s="5" t="s">
        <v>29</v>
      </c>
      <c r="F15" s="5" t="s">
        <v>36</v>
      </c>
      <c r="G15" s="5" t="s">
        <v>37</v>
      </c>
      <c r="H15" s="4"/>
      <c r="I15" s="4"/>
      <c r="J15" s="6"/>
      <c r="K15" s="6"/>
      <c r="L15" s="6"/>
      <c r="M15" s="4"/>
      <c r="N15" s="4"/>
      <c r="O15" s="4"/>
      <c r="P15" s="6"/>
      <c r="Q15" s="6"/>
      <c r="R15" s="6"/>
      <c r="S15" s="6"/>
      <c r="T15" s="4"/>
      <c r="U15" s="6"/>
      <c r="V15" s="6"/>
      <c r="W15" s="6"/>
      <c r="X15" s="6"/>
      <c r="Y15" s="4"/>
      <c r="Z15" s="6"/>
      <c r="AA15" s="4"/>
      <c r="AB15" s="4"/>
      <c r="AC15" s="4"/>
      <c r="AD15" s="6"/>
      <c r="AE15" s="4"/>
      <c r="AF15" s="4"/>
      <c r="AG15" s="4"/>
      <c r="AH15" s="4">
        <v>584419661550</v>
      </c>
    </row>
    <row r="16" spans="1:34" x14ac:dyDescent="0.25">
      <c r="A16" s="4">
        <v>15</v>
      </c>
      <c r="B16" s="5" t="s">
        <v>69</v>
      </c>
      <c r="C16" s="5" t="s">
        <v>70</v>
      </c>
      <c r="D16" s="5" t="s">
        <v>23</v>
      </c>
      <c r="E16" s="5" t="s">
        <v>62</v>
      </c>
      <c r="F16" s="5" t="s">
        <v>71</v>
      </c>
      <c r="G16" s="5" t="s">
        <v>72</v>
      </c>
      <c r="H16" s="4">
        <v>704900128999</v>
      </c>
      <c r="I16" s="4">
        <v>1588916059896</v>
      </c>
      <c r="J16" s="6">
        <v>-1.18E-2</v>
      </c>
      <c r="K16" s="6">
        <v>0.55579999999999996</v>
      </c>
      <c r="L16" s="6">
        <v>0.54430000000000001</v>
      </c>
      <c r="M16" s="4">
        <v>8886978834</v>
      </c>
      <c r="N16" s="4">
        <v>26925026049</v>
      </c>
      <c r="O16" s="4"/>
      <c r="P16" s="6">
        <v>0.3947</v>
      </c>
      <c r="Q16" s="6">
        <v>1.4383999999999999</v>
      </c>
      <c r="R16" s="6">
        <v>1.6096999999999999</v>
      </c>
      <c r="S16" s="6">
        <v>-0.50729999999999997</v>
      </c>
      <c r="T16" s="4"/>
      <c r="U16" s="6">
        <v>-0.57969999999999999</v>
      </c>
      <c r="V16" s="6">
        <v>-0.64290000000000003</v>
      </c>
      <c r="W16" s="6">
        <v>-0.64349999999999996</v>
      </c>
      <c r="X16" s="6">
        <v>0</v>
      </c>
      <c r="Y16" s="4"/>
      <c r="Z16" s="6">
        <v>-0.2026</v>
      </c>
      <c r="AA16" s="4"/>
      <c r="AB16" s="4"/>
      <c r="AC16" s="4"/>
      <c r="AD16" s="6">
        <v>0</v>
      </c>
      <c r="AE16" s="4"/>
      <c r="AF16" s="4"/>
      <c r="AG16" s="4"/>
      <c r="AH16" s="4">
        <v>350000000000</v>
      </c>
    </row>
    <row r="17" spans="1:34" x14ac:dyDescent="0.25">
      <c r="A17" s="4">
        <v>16</v>
      </c>
      <c r="B17" s="5" t="s">
        <v>73</v>
      </c>
      <c r="C17" s="5" t="s">
        <v>74</v>
      </c>
      <c r="D17" s="5" t="s">
        <v>23</v>
      </c>
      <c r="E17" s="5" t="s">
        <v>75</v>
      </c>
      <c r="F17" s="5" t="s">
        <v>76</v>
      </c>
      <c r="G17" s="5" t="s">
        <v>76</v>
      </c>
      <c r="H17" s="4"/>
      <c r="I17" s="4"/>
      <c r="J17" s="6"/>
      <c r="K17" s="6"/>
      <c r="L17" s="6"/>
      <c r="M17" s="4"/>
      <c r="N17" s="4"/>
      <c r="O17" s="4"/>
      <c r="P17" s="6"/>
      <c r="Q17" s="6"/>
      <c r="R17" s="6"/>
      <c r="S17" s="6"/>
      <c r="T17" s="4"/>
      <c r="U17" s="6"/>
      <c r="V17" s="6"/>
      <c r="W17" s="6"/>
      <c r="X17" s="6"/>
      <c r="Y17" s="4"/>
      <c r="Z17" s="6"/>
      <c r="AA17" s="4"/>
      <c r="AB17" s="4"/>
      <c r="AC17" s="4"/>
      <c r="AD17" s="6"/>
      <c r="AE17" s="4"/>
      <c r="AF17" s="4"/>
      <c r="AG17" s="4"/>
      <c r="AH17" s="4">
        <v>1795935295050</v>
      </c>
    </row>
    <row r="18" spans="1:34" x14ac:dyDescent="0.25">
      <c r="A18" s="4">
        <v>17</v>
      </c>
      <c r="B18" s="5" t="s">
        <v>77</v>
      </c>
      <c r="C18" s="5" t="s">
        <v>78</v>
      </c>
      <c r="D18" s="5" t="s">
        <v>23</v>
      </c>
      <c r="E18" s="5" t="s">
        <v>75</v>
      </c>
      <c r="F18" s="5" t="s">
        <v>79</v>
      </c>
      <c r="G18" s="5" t="s">
        <v>80</v>
      </c>
      <c r="H18" s="4">
        <v>139118884076</v>
      </c>
      <c r="I18" s="4">
        <v>284435444458</v>
      </c>
      <c r="J18" s="6">
        <v>0.42</v>
      </c>
      <c r="K18" s="6">
        <v>0.41</v>
      </c>
      <c r="L18" s="6">
        <v>0.34970000000000001</v>
      </c>
      <c r="M18" s="4">
        <v>30294638128</v>
      </c>
      <c r="N18" s="4">
        <v>73783489660</v>
      </c>
      <c r="O18" s="4"/>
      <c r="P18" s="6">
        <v>1.5789</v>
      </c>
      <c r="Q18" s="6">
        <v>0.66790000000000005</v>
      </c>
      <c r="R18" s="6">
        <v>0.17730000000000001</v>
      </c>
      <c r="S18" s="6">
        <v>-0.3034</v>
      </c>
      <c r="T18" s="4"/>
      <c r="U18" s="6">
        <v>-0.50960000000000005</v>
      </c>
      <c r="V18" s="6">
        <v>-0.52170000000000005</v>
      </c>
      <c r="W18" s="6">
        <v>-0.52459999999999996</v>
      </c>
      <c r="X18" s="6">
        <v>5.1499999999999997E-2</v>
      </c>
      <c r="Y18" s="4"/>
      <c r="Z18" s="6">
        <v>-4.2599999999999999E-2</v>
      </c>
      <c r="AA18" s="4"/>
      <c r="AB18" s="4"/>
      <c r="AC18" s="4"/>
      <c r="AD18" s="6">
        <v>0</v>
      </c>
      <c r="AE18" s="4"/>
      <c r="AF18" s="4"/>
      <c r="AG18" s="4"/>
      <c r="AH18" s="4">
        <v>3105040153600</v>
      </c>
    </row>
    <row r="19" spans="1:34" x14ac:dyDescent="0.25">
      <c r="A19" s="4">
        <v>18</v>
      </c>
      <c r="B19" s="5" t="s">
        <v>81</v>
      </c>
      <c r="C19" s="5" t="s">
        <v>82</v>
      </c>
      <c r="D19" s="5" t="s">
        <v>23</v>
      </c>
      <c r="E19" s="5" t="s">
        <v>29</v>
      </c>
      <c r="F19" s="5" t="s">
        <v>30</v>
      </c>
      <c r="G19" s="5" t="s">
        <v>83</v>
      </c>
      <c r="H19" s="4"/>
      <c r="I19" s="4"/>
      <c r="J19" s="6"/>
      <c r="K19" s="6"/>
      <c r="L19" s="6"/>
      <c r="M19" s="4"/>
      <c r="N19" s="4"/>
      <c r="O19" s="4"/>
      <c r="P19" s="6"/>
      <c r="Q19" s="6"/>
      <c r="R19" s="6"/>
      <c r="S19" s="6"/>
      <c r="T19" s="4"/>
      <c r="U19" s="6"/>
      <c r="V19" s="6"/>
      <c r="W19" s="6"/>
      <c r="X19" s="6"/>
      <c r="Y19" s="4"/>
      <c r="Z19" s="6"/>
      <c r="AA19" s="4"/>
      <c r="AB19" s="4"/>
      <c r="AC19" s="4"/>
      <c r="AD19" s="6"/>
      <c r="AE19" s="4"/>
      <c r="AF19" s="4"/>
      <c r="AG19" s="4"/>
      <c r="AH19" s="4">
        <v>711467420300</v>
      </c>
    </row>
    <row r="20" spans="1:34" x14ac:dyDescent="0.25">
      <c r="A20" s="4">
        <v>19</v>
      </c>
      <c r="B20" s="5" t="s">
        <v>84</v>
      </c>
      <c r="C20" s="5" t="s">
        <v>85</v>
      </c>
      <c r="D20" s="5" t="s">
        <v>23</v>
      </c>
      <c r="E20" s="5" t="s">
        <v>29</v>
      </c>
      <c r="F20" s="5" t="s">
        <v>30</v>
      </c>
      <c r="G20" s="5" t="s">
        <v>31</v>
      </c>
      <c r="H20" s="4">
        <v>1937045719515</v>
      </c>
      <c r="I20" s="4">
        <v>3778341837449</v>
      </c>
      <c r="J20" s="6">
        <v>0.1221</v>
      </c>
      <c r="K20" s="6">
        <v>0.33389999999999997</v>
      </c>
      <c r="L20" s="6">
        <v>0.40629999999999999</v>
      </c>
      <c r="M20" s="4">
        <v>134869981055</v>
      </c>
      <c r="N20" s="4">
        <v>330227814705</v>
      </c>
      <c r="O20" s="4"/>
      <c r="P20" s="6">
        <v>-0.5948</v>
      </c>
      <c r="Q20" s="6">
        <v>-0.28960000000000002</v>
      </c>
      <c r="R20" s="6">
        <v>0.2374</v>
      </c>
      <c r="S20" s="6">
        <v>-0.30959999999999999</v>
      </c>
      <c r="T20" s="4"/>
      <c r="U20" s="6">
        <v>-0.50929999999999997</v>
      </c>
      <c r="V20" s="6">
        <v>-0.68240000000000001</v>
      </c>
      <c r="W20" s="6">
        <v>-0.6724</v>
      </c>
      <c r="X20" s="6">
        <v>8.7499999999999994E-2</v>
      </c>
      <c r="Y20" s="4"/>
      <c r="Z20" s="6">
        <v>5.1999999999999998E-2</v>
      </c>
      <c r="AA20" s="4"/>
      <c r="AB20" s="4"/>
      <c r="AC20" s="4"/>
      <c r="AD20" s="6">
        <v>0</v>
      </c>
      <c r="AE20" s="4"/>
      <c r="AF20" s="4"/>
      <c r="AG20" s="4"/>
      <c r="AH20" s="4">
        <v>4566286112500</v>
      </c>
    </row>
    <row r="21" spans="1:34" x14ac:dyDescent="0.25">
      <c r="A21" s="4">
        <v>20</v>
      </c>
      <c r="B21" s="5" t="s">
        <v>86</v>
      </c>
      <c r="C21" s="5" t="s">
        <v>87</v>
      </c>
      <c r="D21" s="5" t="s">
        <v>23</v>
      </c>
      <c r="E21" s="5" t="s">
        <v>75</v>
      </c>
      <c r="F21" s="5" t="s">
        <v>79</v>
      </c>
      <c r="G21" s="5" t="s">
        <v>80</v>
      </c>
      <c r="H21" s="4">
        <v>59792334165</v>
      </c>
      <c r="I21" s="4">
        <v>144766987278</v>
      </c>
      <c r="J21" s="6">
        <v>-0.62929999999999997</v>
      </c>
      <c r="K21" s="6">
        <v>-0.22189999999999999</v>
      </c>
      <c r="L21" s="6">
        <v>0.20860000000000001</v>
      </c>
      <c r="M21" s="4">
        <v>-3170343941</v>
      </c>
      <c r="N21" s="4">
        <v>3321029996</v>
      </c>
      <c r="O21" s="4"/>
      <c r="P21" s="6">
        <v>0.53600000000000003</v>
      </c>
      <c r="Q21" s="6">
        <v>0.67110000000000003</v>
      </c>
      <c r="R21" s="6">
        <v>0.58579999999999999</v>
      </c>
      <c r="S21" s="6">
        <v>-1.4883999999999999</v>
      </c>
      <c r="T21" s="4"/>
      <c r="U21" s="6">
        <v>-0.51739999999999997</v>
      </c>
      <c r="V21" s="6">
        <v>-0.85580000000000001</v>
      </c>
      <c r="W21" s="6">
        <v>-0.79239999999999999</v>
      </c>
      <c r="X21" s="6">
        <v>0</v>
      </c>
      <c r="Y21" s="4"/>
      <c r="Z21" s="6">
        <v>-0.2964</v>
      </c>
      <c r="AA21" s="4"/>
      <c r="AB21" s="4"/>
      <c r="AC21" s="4"/>
      <c r="AD21" s="6">
        <v>0</v>
      </c>
      <c r="AE21" s="4"/>
      <c r="AF21" s="4"/>
      <c r="AG21" s="4"/>
      <c r="AH21" s="4">
        <v>995117641900</v>
      </c>
    </row>
    <row r="22" spans="1:34" x14ac:dyDescent="0.25">
      <c r="A22" s="4">
        <v>21</v>
      </c>
      <c r="B22" s="5" t="s">
        <v>88</v>
      </c>
      <c r="C22" s="5" t="s">
        <v>89</v>
      </c>
      <c r="D22" s="5" t="s">
        <v>23</v>
      </c>
      <c r="E22" s="5" t="s">
        <v>40</v>
      </c>
      <c r="F22" s="5" t="s">
        <v>41</v>
      </c>
      <c r="G22" s="5" t="s">
        <v>90</v>
      </c>
      <c r="H22" s="4"/>
      <c r="I22" s="4"/>
      <c r="J22" s="6"/>
      <c r="K22" s="6"/>
      <c r="L22" s="6"/>
      <c r="M22" s="4"/>
      <c r="N22" s="4"/>
      <c r="O22" s="4"/>
      <c r="P22" s="6"/>
      <c r="Q22" s="6"/>
      <c r="R22" s="6"/>
      <c r="S22" s="6"/>
      <c r="T22" s="4"/>
      <c r="U22" s="6"/>
      <c r="V22" s="6"/>
      <c r="W22" s="6"/>
      <c r="X22" s="6"/>
      <c r="Y22" s="4"/>
      <c r="Z22" s="6"/>
      <c r="AA22" s="4"/>
      <c r="AB22" s="4"/>
      <c r="AC22" s="4"/>
      <c r="AD22" s="6"/>
      <c r="AE22" s="4"/>
      <c r="AF22" s="4"/>
      <c r="AG22" s="4"/>
      <c r="AH22" s="4">
        <v>1295025463080</v>
      </c>
    </row>
    <row r="23" spans="1:34" x14ac:dyDescent="0.25">
      <c r="A23" s="4">
        <v>22</v>
      </c>
      <c r="B23" s="5" t="s">
        <v>91</v>
      </c>
      <c r="C23" s="5" t="s">
        <v>92</v>
      </c>
      <c r="D23" s="5" t="s">
        <v>23</v>
      </c>
      <c r="E23" s="5" t="s">
        <v>40</v>
      </c>
      <c r="F23" s="5" t="s">
        <v>41</v>
      </c>
      <c r="G23" s="5" t="s">
        <v>93</v>
      </c>
      <c r="H23" s="4"/>
      <c r="I23" s="4"/>
      <c r="J23" s="6"/>
      <c r="K23" s="6"/>
      <c r="L23" s="6"/>
      <c r="M23" s="4"/>
      <c r="N23" s="4"/>
      <c r="O23" s="4"/>
      <c r="P23" s="6"/>
      <c r="Q23" s="6"/>
      <c r="R23" s="6"/>
      <c r="S23" s="6"/>
      <c r="T23" s="4"/>
      <c r="U23" s="6"/>
      <c r="V23" s="6"/>
      <c r="W23" s="6"/>
      <c r="X23" s="6"/>
      <c r="Y23" s="4"/>
      <c r="Z23" s="6"/>
      <c r="AA23" s="4"/>
      <c r="AB23" s="4"/>
      <c r="AC23" s="4"/>
      <c r="AD23" s="6"/>
      <c r="AE23" s="4"/>
      <c r="AF23" s="4"/>
      <c r="AG23" s="4"/>
      <c r="AH23" s="4">
        <v>1525182439200</v>
      </c>
    </row>
    <row r="24" spans="1:34" x14ac:dyDescent="0.25">
      <c r="A24" s="4">
        <v>23</v>
      </c>
      <c r="B24" s="5" t="s">
        <v>94</v>
      </c>
      <c r="C24" s="5" t="s">
        <v>95</v>
      </c>
      <c r="D24" s="5" t="s">
        <v>23</v>
      </c>
      <c r="E24" s="5" t="s">
        <v>29</v>
      </c>
      <c r="F24" s="5" t="s">
        <v>30</v>
      </c>
      <c r="G24" s="5" t="s">
        <v>31</v>
      </c>
      <c r="H24" s="4"/>
      <c r="I24" s="4"/>
      <c r="J24" s="6"/>
      <c r="K24" s="6"/>
      <c r="L24" s="6"/>
      <c r="M24" s="4"/>
      <c r="N24" s="4"/>
      <c r="O24" s="4"/>
      <c r="P24" s="6"/>
      <c r="Q24" s="6"/>
      <c r="R24" s="6"/>
      <c r="S24" s="6"/>
      <c r="T24" s="4"/>
      <c r="U24" s="6"/>
      <c r="V24" s="6"/>
      <c r="W24" s="6"/>
      <c r="X24" s="6"/>
      <c r="Y24" s="4"/>
      <c r="Z24" s="6"/>
      <c r="AA24" s="4"/>
      <c r="AB24" s="4"/>
      <c r="AC24" s="4"/>
      <c r="AD24" s="6"/>
      <c r="AE24" s="4"/>
      <c r="AF24" s="4"/>
      <c r="AG24" s="4"/>
      <c r="AH24" s="4">
        <v>2276215482970</v>
      </c>
    </row>
    <row r="25" spans="1:34" x14ac:dyDescent="0.25">
      <c r="A25" s="4">
        <v>24</v>
      </c>
      <c r="B25" s="5" t="s">
        <v>96</v>
      </c>
      <c r="C25" s="5" t="s">
        <v>97</v>
      </c>
      <c r="D25" s="5" t="s">
        <v>23</v>
      </c>
      <c r="E25" s="5" t="s">
        <v>98</v>
      </c>
      <c r="F25" s="5" t="s">
        <v>99</v>
      </c>
      <c r="G25" s="5" t="s">
        <v>100</v>
      </c>
      <c r="H25" s="4"/>
      <c r="I25" s="4"/>
      <c r="J25" s="6"/>
      <c r="K25" s="6"/>
      <c r="L25" s="6"/>
      <c r="M25" s="4"/>
      <c r="N25" s="4"/>
      <c r="O25" s="4"/>
      <c r="P25" s="6"/>
      <c r="Q25" s="6"/>
      <c r="R25" s="6"/>
      <c r="S25" s="6"/>
      <c r="T25" s="4"/>
      <c r="U25" s="6"/>
      <c r="V25" s="6"/>
      <c r="W25" s="6"/>
      <c r="X25" s="6"/>
      <c r="Y25" s="4"/>
      <c r="Z25" s="6"/>
      <c r="AA25" s="4"/>
      <c r="AB25" s="4"/>
      <c r="AC25" s="4"/>
      <c r="AD25" s="6"/>
      <c r="AE25" s="4"/>
      <c r="AF25" s="4"/>
      <c r="AG25" s="4"/>
      <c r="AH25" s="4">
        <v>359579789460</v>
      </c>
    </row>
    <row r="26" spans="1:34" x14ac:dyDescent="0.25">
      <c r="A26" s="4">
        <v>25</v>
      </c>
      <c r="B26" s="5" t="s">
        <v>101</v>
      </c>
      <c r="C26" s="5" t="s">
        <v>102</v>
      </c>
      <c r="D26" s="5" t="s">
        <v>23</v>
      </c>
      <c r="E26" s="5" t="s">
        <v>62</v>
      </c>
      <c r="F26" s="5" t="s">
        <v>71</v>
      </c>
      <c r="G26" s="5" t="s">
        <v>103</v>
      </c>
      <c r="H26" s="4"/>
      <c r="I26" s="4"/>
      <c r="J26" s="6"/>
      <c r="K26" s="6"/>
      <c r="L26" s="6"/>
      <c r="M26" s="4"/>
      <c r="N26" s="4"/>
      <c r="O26" s="4"/>
      <c r="P26" s="6"/>
      <c r="Q26" s="6"/>
      <c r="R26" s="6"/>
      <c r="S26" s="6"/>
      <c r="T26" s="4"/>
      <c r="U26" s="6"/>
      <c r="V26" s="6"/>
      <c r="W26" s="6"/>
      <c r="X26" s="6"/>
      <c r="Y26" s="4"/>
      <c r="Z26" s="6"/>
      <c r="AA26" s="4"/>
      <c r="AB26" s="4"/>
      <c r="AC26" s="4"/>
      <c r="AD26" s="6"/>
      <c r="AE26" s="4"/>
      <c r="AF26" s="4"/>
      <c r="AG26" s="4"/>
      <c r="AH26" s="4">
        <v>3337195612200</v>
      </c>
    </row>
    <row r="27" spans="1:34" x14ac:dyDescent="0.25">
      <c r="A27" s="4">
        <v>26</v>
      </c>
      <c r="B27" s="5" t="s">
        <v>104</v>
      </c>
      <c r="C27" s="5" t="s">
        <v>105</v>
      </c>
      <c r="D27" s="5" t="s">
        <v>23</v>
      </c>
      <c r="E27" s="5" t="s">
        <v>29</v>
      </c>
      <c r="F27" s="5" t="s">
        <v>30</v>
      </c>
      <c r="G27" s="5" t="s">
        <v>31</v>
      </c>
      <c r="H27" s="4"/>
      <c r="I27" s="4"/>
      <c r="J27" s="6"/>
      <c r="K27" s="6"/>
      <c r="L27" s="6"/>
      <c r="M27" s="4"/>
      <c r="N27" s="4"/>
      <c r="O27" s="4"/>
      <c r="P27" s="6"/>
      <c r="Q27" s="6"/>
      <c r="R27" s="6"/>
      <c r="S27" s="6"/>
      <c r="T27" s="4"/>
      <c r="U27" s="6"/>
      <c r="V27" s="6"/>
      <c r="W27" s="6"/>
      <c r="X27" s="6"/>
      <c r="Y27" s="4"/>
      <c r="Z27" s="6"/>
      <c r="AA27" s="4"/>
      <c r="AB27" s="4"/>
      <c r="AC27" s="4"/>
      <c r="AD27" s="6"/>
      <c r="AE27" s="4"/>
      <c r="AF27" s="4"/>
      <c r="AG27" s="4"/>
      <c r="AH27" s="4"/>
    </row>
    <row r="28" spans="1:34" x14ac:dyDescent="0.25">
      <c r="A28" s="4">
        <v>27</v>
      </c>
      <c r="B28" s="5" t="s">
        <v>106</v>
      </c>
      <c r="C28" s="5" t="s">
        <v>107</v>
      </c>
      <c r="D28" s="5" t="s">
        <v>23</v>
      </c>
      <c r="E28" s="5" t="s">
        <v>29</v>
      </c>
      <c r="F28" s="5" t="s">
        <v>30</v>
      </c>
      <c r="G28" s="5" t="s">
        <v>31</v>
      </c>
      <c r="H28" s="4"/>
      <c r="I28" s="4"/>
      <c r="J28" s="6"/>
      <c r="K28" s="6"/>
      <c r="L28" s="6"/>
      <c r="M28" s="4"/>
      <c r="N28" s="4"/>
      <c r="O28" s="4"/>
      <c r="P28" s="6"/>
      <c r="Q28" s="6"/>
      <c r="R28" s="6"/>
      <c r="S28" s="6"/>
      <c r="T28" s="4"/>
      <c r="U28" s="6"/>
      <c r="V28" s="6"/>
      <c r="W28" s="6"/>
      <c r="X28" s="6"/>
      <c r="Y28" s="4"/>
      <c r="Z28" s="6"/>
      <c r="AA28" s="4"/>
      <c r="AB28" s="4"/>
      <c r="AC28" s="4"/>
      <c r="AD28" s="6"/>
      <c r="AE28" s="4"/>
      <c r="AF28" s="4"/>
      <c r="AG28" s="4"/>
      <c r="AH28" s="4">
        <v>10579922274000</v>
      </c>
    </row>
    <row r="29" spans="1:34" x14ac:dyDescent="0.25">
      <c r="A29" s="4">
        <v>28</v>
      </c>
      <c r="B29" s="5" t="s">
        <v>108</v>
      </c>
      <c r="C29" s="5" t="s">
        <v>109</v>
      </c>
      <c r="D29" s="5" t="s">
        <v>23</v>
      </c>
      <c r="E29" s="5" t="s">
        <v>40</v>
      </c>
      <c r="F29" s="5" t="s">
        <v>52</v>
      </c>
      <c r="G29" s="5" t="s">
        <v>110</v>
      </c>
      <c r="H29" s="4"/>
      <c r="I29" s="4"/>
      <c r="J29" s="6"/>
      <c r="K29" s="6"/>
      <c r="L29" s="6"/>
      <c r="M29" s="4"/>
      <c r="N29" s="4"/>
      <c r="O29" s="4"/>
      <c r="P29" s="6"/>
      <c r="Q29" s="6"/>
      <c r="R29" s="6"/>
      <c r="S29" s="6"/>
      <c r="T29" s="4"/>
      <c r="U29" s="6"/>
      <c r="V29" s="6"/>
      <c r="W29" s="6"/>
      <c r="X29" s="6"/>
      <c r="Y29" s="4"/>
      <c r="Z29" s="6"/>
      <c r="AA29" s="4"/>
      <c r="AB29" s="4"/>
      <c r="AC29" s="4"/>
      <c r="AD29" s="6"/>
      <c r="AE29" s="4"/>
      <c r="AF29" s="4"/>
      <c r="AG29" s="4"/>
      <c r="AH29" s="4">
        <v>235199137600</v>
      </c>
    </row>
    <row r="30" spans="1:34" x14ac:dyDescent="0.25">
      <c r="A30" s="4">
        <v>29</v>
      </c>
      <c r="B30" s="5" t="s">
        <v>111</v>
      </c>
      <c r="C30" s="5" t="s">
        <v>112</v>
      </c>
      <c r="D30" s="5" t="s">
        <v>23</v>
      </c>
      <c r="E30" s="5" t="s">
        <v>75</v>
      </c>
      <c r="F30" s="5" t="s">
        <v>76</v>
      </c>
      <c r="G30" s="5" t="s">
        <v>76</v>
      </c>
      <c r="H30" s="4"/>
      <c r="I30" s="4"/>
      <c r="J30" s="6"/>
      <c r="K30" s="6"/>
      <c r="L30" s="6"/>
      <c r="M30" s="4"/>
      <c r="N30" s="4"/>
      <c r="O30" s="4"/>
      <c r="P30" s="6"/>
      <c r="Q30" s="6"/>
      <c r="R30" s="6"/>
      <c r="S30" s="6"/>
      <c r="T30" s="4"/>
      <c r="U30" s="6"/>
      <c r="V30" s="6"/>
      <c r="W30" s="6"/>
      <c r="X30" s="6"/>
      <c r="Y30" s="4"/>
      <c r="Z30" s="6"/>
      <c r="AA30" s="4"/>
      <c r="AB30" s="4"/>
      <c r="AC30" s="4"/>
      <c r="AD30" s="6"/>
      <c r="AE30" s="4"/>
      <c r="AF30" s="4"/>
      <c r="AG30" s="4"/>
      <c r="AH30" s="4">
        <v>39226500000000</v>
      </c>
    </row>
    <row r="31" spans="1:34" x14ac:dyDescent="0.25">
      <c r="A31" s="4">
        <v>30</v>
      </c>
      <c r="B31" s="5" t="s">
        <v>113</v>
      </c>
      <c r="C31" s="5" t="s">
        <v>114</v>
      </c>
      <c r="D31" s="5" t="s">
        <v>23</v>
      </c>
      <c r="E31" s="5" t="s">
        <v>24</v>
      </c>
      <c r="F31" s="5" t="s">
        <v>25</v>
      </c>
      <c r="G31" s="5" t="s">
        <v>45</v>
      </c>
      <c r="H31" s="4"/>
      <c r="I31" s="4"/>
      <c r="J31" s="6"/>
      <c r="K31" s="6"/>
      <c r="L31" s="6"/>
      <c r="M31" s="4"/>
      <c r="N31" s="4"/>
      <c r="O31" s="4"/>
      <c r="P31" s="6"/>
      <c r="Q31" s="6"/>
      <c r="R31" s="6"/>
      <c r="S31" s="6"/>
      <c r="T31" s="4"/>
      <c r="U31" s="6"/>
      <c r="V31" s="6"/>
      <c r="W31" s="6"/>
      <c r="X31" s="6"/>
      <c r="Y31" s="4"/>
      <c r="Z31" s="6"/>
      <c r="AA31" s="4"/>
      <c r="AB31" s="4"/>
      <c r="AC31" s="4"/>
      <c r="AD31" s="6"/>
      <c r="AE31" s="4"/>
      <c r="AF31" s="4"/>
      <c r="AG31" s="4"/>
      <c r="AH31" s="4">
        <v>3018470030400</v>
      </c>
    </row>
    <row r="32" spans="1:34" x14ac:dyDescent="0.25">
      <c r="A32" s="4">
        <v>31</v>
      </c>
      <c r="B32" s="5" t="s">
        <v>115</v>
      </c>
      <c r="C32" s="5" t="s">
        <v>116</v>
      </c>
      <c r="D32" s="5" t="s">
        <v>23</v>
      </c>
      <c r="E32" s="5" t="s">
        <v>29</v>
      </c>
      <c r="F32" s="5" t="s">
        <v>30</v>
      </c>
      <c r="G32" s="5" t="s">
        <v>117</v>
      </c>
      <c r="H32" s="4"/>
      <c r="I32" s="4"/>
      <c r="J32" s="6"/>
      <c r="K32" s="6"/>
      <c r="L32" s="6"/>
      <c r="M32" s="4"/>
      <c r="N32" s="4"/>
      <c r="O32" s="4"/>
      <c r="P32" s="6"/>
      <c r="Q32" s="6"/>
      <c r="R32" s="6"/>
      <c r="S32" s="6"/>
      <c r="T32" s="4"/>
      <c r="U32" s="6"/>
      <c r="V32" s="6"/>
      <c r="W32" s="6"/>
      <c r="X32" s="6"/>
      <c r="Y32" s="4"/>
      <c r="Z32" s="6"/>
      <c r="AA32" s="4"/>
      <c r="AB32" s="4"/>
      <c r="AC32" s="4"/>
      <c r="AD32" s="6"/>
      <c r="AE32" s="4"/>
      <c r="AF32" s="4"/>
      <c r="AG32" s="4"/>
      <c r="AH32" s="4">
        <v>6919230000000</v>
      </c>
    </row>
    <row r="33" spans="1:34" x14ac:dyDescent="0.25">
      <c r="A33" s="4">
        <v>32</v>
      </c>
      <c r="B33" s="5" t="s">
        <v>118</v>
      </c>
      <c r="C33" s="5" t="s">
        <v>119</v>
      </c>
      <c r="D33" s="5" t="s">
        <v>23</v>
      </c>
      <c r="E33" s="5" t="s">
        <v>75</v>
      </c>
      <c r="F33" s="5" t="s">
        <v>120</v>
      </c>
      <c r="G33" s="5" t="s">
        <v>121</v>
      </c>
      <c r="H33" s="4"/>
      <c r="I33" s="4"/>
      <c r="J33" s="6"/>
      <c r="K33" s="6"/>
      <c r="L33" s="6"/>
      <c r="M33" s="4"/>
      <c r="N33" s="4"/>
      <c r="O33" s="4"/>
      <c r="P33" s="6"/>
      <c r="Q33" s="6"/>
      <c r="R33" s="6"/>
      <c r="S33" s="6"/>
      <c r="T33" s="4"/>
      <c r="U33" s="6"/>
      <c r="V33" s="6"/>
      <c r="W33" s="6"/>
      <c r="X33" s="6"/>
      <c r="Y33" s="4"/>
      <c r="Z33" s="6"/>
      <c r="AA33" s="4"/>
      <c r="AB33" s="4"/>
      <c r="AC33" s="4"/>
      <c r="AD33" s="6"/>
      <c r="AE33" s="4"/>
      <c r="AF33" s="4"/>
      <c r="AG33" s="4"/>
      <c r="AH33" s="4">
        <v>4324235019800</v>
      </c>
    </row>
    <row r="34" spans="1:34" x14ac:dyDescent="0.25">
      <c r="A34" s="4">
        <v>33</v>
      </c>
      <c r="B34" s="5" t="s">
        <v>122</v>
      </c>
      <c r="C34" s="5" t="s">
        <v>123</v>
      </c>
      <c r="D34" s="5" t="s">
        <v>23</v>
      </c>
      <c r="E34" s="5" t="s">
        <v>49</v>
      </c>
      <c r="F34" s="5" t="s">
        <v>49</v>
      </c>
      <c r="G34" s="5" t="s">
        <v>49</v>
      </c>
      <c r="H34" s="4"/>
      <c r="I34" s="4"/>
      <c r="J34" s="6"/>
      <c r="K34" s="6"/>
      <c r="L34" s="6"/>
      <c r="M34" s="4"/>
      <c r="N34" s="4"/>
      <c r="O34" s="4"/>
      <c r="P34" s="6"/>
      <c r="Q34" s="6"/>
      <c r="R34" s="6"/>
      <c r="S34" s="6"/>
      <c r="T34" s="4"/>
      <c r="U34" s="6"/>
      <c r="V34" s="6"/>
      <c r="W34" s="6"/>
      <c r="X34" s="6"/>
      <c r="Y34" s="4"/>
      <c r="Z34" s="6"/>
      <c r="AA34" s="4"/>
      <c r="AB34" s="4"/>
      <c r="AC34" s="4"/>
      <c r="AD34" s="6"/>
      <c r="AE34" s="4">
        <v>14991731000000</v>
      </c>
      <c r="AF34" s="4">
        <v>28937315000000</v>
      </c>
      <c r="AG34" s="4">
        <v>44109933000000</v>
      </c>
      <c r="AH34" s="4">
        <v>260990337778500</v>
      </c>
    </row>
    <row r="35" spans="1:34" x14ac:dyDescent="0.25">
      <c r="A35" s="4">
        <v>34</v>
      </c>
      <c r="B35" s="5" t="s">
        <v>124</v>
      </c>
      <c r="C35" s="5" t="s">
        <v>125</v>
      </c>
      <c r="D35" s="5" t="s">
        <v>23</v>
      </c>
      <c r="E35" s="5" t="s">
        <v>29</v>
      </c>
      <c r="F35" s="5" t="s">
        <v>36</v>
      </c>
      <c r="G35" s="5" t="s">
        <v>126</v>
      </c>
      <c r="H35" s="4"/>
      <c r="I35" s="4"/>
      <c r="J35" s="6"/>
      <c r="K35" s="6"/>
      <c r="L35" s="6"/>
      <c r="M35" s="4"/>
      <c r="N35" s="4"/>
      <c r="O35" s="4"/>
      <c r="P35" s="6"/>
      <c r="Q35" s="6"/>
      <c r="R35" s="6"/>
      <c r="S35" s="6"/>
      <c r="T35" s="4"/>
      <c r="U35" s="6"/>
      <c r="V35" s="6"/>
      <c r="W35" s="6"/>
      <c r="X35" s="6"/>
      <c r="Y35" s="4"/>
      <c r="Z35" s="6"/>
      <c r="AA35" s="4"/>
      <c r="AB35" s="4"/>
      <c r="AC35" s="4"/>
      <c r="AD35" s="6"/>
      <c r="AE35" s="4"/>
      <c r="AF35" s="4"/>
      <c r="AG35" s="4"/>
      <c r="AH35" s="4">
        <v>156823753800</v>
      </c>
    </row>
    <row r="36" spans="1:34" x14ac:dyDescent="0.25">
      <c r="A36" s="4">
        <v>35</v>
      </c>
      <c r="B36" s="5" t="s">
        <v>127</v>
      </c>
      <c r="C36" s="5" t="s">
        <v>128</v>
      </c>
      <c r="D36" s="5" t="s">
        <v>23</v>
      </c>
      <c r="E36" s="5" t="s">
        <v>24</v>
      </c>
      <c r="F36" s="5" t="s">
        <v>56</v>
      </c>
      <c r="G36" s="5" t="s">
        <v>129</v>
      </c>
      <c r="H36" s="4">
        <v>21535499033</v>
      </c>
      <c r="I36" s="4">
        <v>45144054285</v>
      </c>
      <c r="J36" s="6">
        <v>-0.44729999999999998</v>
      </c>
      <c r="K36" s="6">
        <v>-0.10780000000000001</v>
      </c>
      <c r="L36" s="6">
        <v>-0.32479999999999998</v>
      </c>
      <c r="M36" s="4">
        <v>693326220</v>
      </c>
      <c r="N36" s="4">
        <v>2175304748</v>
      </c>
      <c r="O36" s="4"/>
      <c r="P36" s="6">
        <v>-0.81630000000000003</v>
      </c>
      <c r="Q36" s="6">
        <v>-0.53439999999999999</v>
      </c>
      <c r="R36" s="6">
        <v>-0.62190000000000001</v>
      </c>
      <c r="S36" s="6">
        <v>-0.53220000000000001</v>
      </c>
      <c r="T36" s="4"/>
      <c r="U36" s="6">
        <v>0</v>
      </c>
      <c r="V36" s="6">
        <v>0</v>
      </c>
      <c r="W36" s="6">
        <v>0</v>
      </c>
      <c r="X36" s="6">
        <v>0</v>
      </c>
      <c r="Y36" s="4"/>
      <c r="Z36" s="6">
        <v>-8.7800000000000003E-2</v>
      </c>
      <c r="AA36" s="4"/>
      <c r="AB36" s="4"/>
      <c r="AC36" s="4"/>
      <c r="AD36" s="6">
        <v>0</v>
      </c>
      <c r="AE36" s="4"/>
      <c r="AF36" s="4"/>
      <c r="AG36" s="4"/>
      <c r="AH36" s="4">
        <v>143754508000</v>
      </c>
    </row>
    <row r="37" spans="1:34" x14ac:dyDescent="0.25">
      <c r="A37" s="4">
        <v>36</v>
      </c>
      <c r="B37" s="5" t="s">
        <v>130</v>
      </c>
      <c r="C37" s="5" t="s">
        <v>131</v>
      </c>
      <c r="D37" s="5" t="s">
        <v>23</v>
      </c>
      <c r="E37" s="5" t="s">
        <v>75</v>
      </c>
      <c r="F37" s="5" t="s">
        <v>120</v>
      </c>
      <c r="G37" s="5" t="s">
        <v>121</v>
      </c>
      <c r="H37" s="4"/>
      <c r="I37" s="4"/>
      <c r="J37" s="6"/>
      <c r="K37" s="6"/>
      <c r="L37" s="6"/>
      <c r="M37" s="4"/>
      <c r="N37" s="4"/>
      <c r="O37" s="4"/>
      <c r="P37" s="6"/>
      <c r="Q37" s="6"/>
      <c r="R37" s="6"/>
      <c r="S37" s="6"/>
      <c r="T37" s="4"/>
      <c r="U37" s="6"/>
      <c r="V37" s="6"/>
      <c r="W37" s="6"/>
      <c r="X37" s="6"/>
      <c r="Y37" s="4"/>
      <c r="Z37" s="6"/>
      <c r="AA37" s="4"/>
      <c r="AB37" s="4"/>
      <c r="AC37" s="4"/>
      <c r="AD37" s="6"/>
      <c r="AE37" s="4"/>
      <c r="AF37" s="4"/>
      <c r="AG37" s="4"/>
      <c r="AH37" s="4">
        <v>2002283425800</v>
      </c>
    </row>
    <row r="38" spans="1:34" x14ac:dyDescent="0.25">
      <c r="A38" s="4">
        <v>37</v>
      </c>
      <c r="B38" s="5" t="s">
        <v>132</v>
      </c>
      <c r="C38" s="5" t="s">
        <v>133</v>
      </c>
      <c r="D38" s="5" t="s">
        <v>23</v>
      </c>
      <c r="E38" s="5" t="s">
        <v>40</v>
      </c>
      <c r="F38" s="5" t="s">
        <v>52</v>
      </c>
      <c r="G38" s="5" t="s">
        <v>53</v>
      </c>
      <c r="H38" s="4">
        <v>1319560280244</v>
      </c>
      <c r="I38" s="4">
        <v>2776871246182</v>
      </c>
      <c r="J38" s="6">
        <v>8.6999999999999994E-3</v>
      </c>
      <c r="K38" s="6">
        <v>3.1800000000000002E-2</v>
      </c>
      <c r="L38" s="6">
        <v>8.5199999999999998E-2</v>
      </c>
      <c r="M38" s="4">
        <v>367189104893</v>
      </c>
      <c r="N38" s="4">
        <v>671145164647</v>
      </c>
      <c r="O38" s="4"/>
      <c r="P38" s="6">
        <v>0.113</v>
      </c>
      <c r="Q38" s="6">
        <v>8.8099999999999998E-2</v>
      </c>
      <c r="R38" s="6">
        <v>9.9900000000000003E-2</v>
      </c>
      <c r="S38" s="6">
        <v>0.20799999999999999</v>
      </c>
      <c r="T38" s="4"/>
      <c r="U38" s="6">
        <v>-0.54120000000000001</v>
      </c>
      <c r="V38" s="6">
        <v>-0.4748</v>
      </c>
      <c r="W38" s="6">
        <v>-0.4748</v>
      </c>
      <c r="X38" s="6">
        <v>5.1700000000000003E-2</v>
      </c>
      <c r="Y38" s="4"/>
      <c r="Z38" s="6">
        <v>-9.4500000000000001E-2</v>
      </c>
      <c r="AA38" s="4"/>
      <c r="AB38" s="4"/>
      <c r="AC38" s="4"/>
      <c r="AD38" s="6">
        <v>0</v>
      </c>
      <c r="AE38" s="4"/>
      <c r="AF38" s="4"/>
      <c r="AG38" s="4"/>
      <c r="AH38" s="4">
        <v>12361001638000</v>
      </c>
    </row>
    <row r="39" spans="1:34" x14ac:dyDescent="0.25">
      <c r="A39" s="4">
        <v>38</v>
      </c>
      <c r="B39" s="5" t="s">
        <v>134</v>
      </c>
      <c r="C39" s="5" t="s">
        <v>135</v>
      </c>
      <c r="D39" s="5" t="s">
        <v>23</v>
      </c>
      <c r="E39" s="5" t="s">
        <v>24</v>
      </c>
      <c r="F39" s="5" t="s">
        <v>25</v>
      </c>
      <c r="G39" s="5" t="s">
        <v>26</v>
      </c>
      <c r="H39" s="4">
        <v>103742133765</v>
      </c>
      <c r="I39" s="4">
        <v>198992933659</v>
      </c>
      <c r="J39" s="6">
        <v>-9.3600000000000003E-2</v>
      </c>
      <c r="K39" s="6">
        <v>-6.3100000000000003E-2</v>
      </c>
      <c r="L39" s="6">
        <v>-5.5800000000000002E-2</v>
      </c>
      <c r="M39" s="4">
        <v>7270987671</v>
      </c>
      <c r="N39" s="4">
        <v>11917519007</v>
      </c>
      <c r="O39" s="4"/>
      <c r="P39" s="6">
        <v>0.13719999999999999</v>
      </c>
      <c r="Q39" s="6">
        <v>0.1245</v>
      </c>
      <c r="R39" s="6">
        <v>0.13339999999999999</v>
      </c>
      <c r="S39" s="6">
        <v>0.56479999999999997</v>
      </c>
      <c r="T39" s="4"/>
      <c r="U39" s="6">
        <v>-0.5171</v>
      </c>
      <c r="V39" s="6">
        <v>-0.436</v>
      </c>
      <c r="W39" s="6">
        <v>-0.43809999999999999</v>
      </c>
      <c r="X39" s="6">
        <v>8.3299999999999999E-2</v>
      </c>
      <c r="Y39" s="4"/>
      <c r="Z39" s="6">
        <v>8.9099999999999999E-2</v>
      </c>
      <c r="AA39" s="4"/>
      <c r="AB39" s="4"/>
      <c r="AC39" s="4"/>
      <c r="AD39" s="6">
        <v>0</v>
      </c>
      <c r="AE39" s="4"/>
      <c r="AF39" s="4"/>
      <c r="AG39" s="4"/>
      <c r="AH39" s="4">
        <v>148499964000</v>
      </c>
    </row>
    <row r="40" spans="1:34" x14ac:dyDescent="0.25">
      <c r="A40" s="4">
        <v>39</v>
      </c>
      <c r="B40" s="5" t="s">
        <v>136</v>
      </c>
      <c r="C40" s="5" t="s">
        <v>137</v>
      </c>
      <c r="D40" s="5" t="s">
        <v>23</v>
      </c>
      <c r="E40" s="5" t="s">
        <v>75</v>
      </c>
      <c r="F40" s="5" t="s">
        <v>79</v>
      </c>
      <c r="G40" s="5" t="s">
        <v>80</v>
      </c>
      <c r="H40" s="4">
        <v>616834996675</v>
      </c>
      <c r="I40" s="4">
        <v>1313975770450</v>
      </c>
      <c r="J40" s="6">
        <v>0.218</v>
      </c>
      <c r="K40" s="6">
        <v>0.55759999999999998</v>
      </c>
      <c r="L40" s="6">
        <v>0.61739999999999995</v>
      </c>
      <c r="M40" s="4">
        <v>123215863134</v>
      </c>
      <c r="N40" s="4">
        <v>212034920024</v>
      </c>
      <c r="O40" s="4"/>
      <c r="P40" s="6">
        <v>0.2092</v>
      </c>
      <c r="Q40" s="6">
        <v>0.15859999999999999</v>
      </c>
      <c r="R40" s="6">
        <v>0.1201</v>
      </c>
      <c r="S40" s="6">
        <v>0.38729999999999998</v>
      </c>
      <c r="T40" s="4"/>
      <c r="U40" s="6">
        <v>0</v>
      </c>
      <c r="V40" s="6">
        <v>-0.62439999999999996</v>
      </c>
      <c r="W40" s="6">
        <v>-0.62139999999999995</v>
      </c>
      <c r="X40" s="6">
        <v>3.4500000000000003E-2</v>
      </c>
      <c r="Y40" s="4"/>
      <c r="Z40" s="6">
        <v>-0.1152</v>
      </c>
      <c r="AA40" s="4"/>
      <c r="AB40" s="4"/>
      <c r="AC40" s="4"/>
      <c r="AD40" s="6">
        <v>0</v>
      </c>
      <c r="AE40" s="4"/>
      <c r="AF40" s="4"/>
      <c r="AG40" s="4"/>
      <c r="AH40" s="4">
        <v>7827144921000</v>
      </c>
    </row>
    <row r="41" spans="1:34" x14ac:dyDescent="0.25">
      <c r="A41" s="4">
        <v>40</v>
      </c>
      <c r="B41" s="5" t="s">
        <v>138</v>
      </c>
      <c r="C41" s="5" t="s">
        <v>139</v>
      </c>
      <c r="D41" s="5" t="s">
        <v>23</v>
      </c>
      <c r="E41" s="5" t="s">
        <v>140</v>
      </c>
      <c r="F41" s="5" t="s">
        <v>140</v>
      </c>
      <c r="G41" s="5" t="s">
        <v>141</v>
      </c>
      <c r="H41" s="4"/>
      <c r="I41" s="4"/>
      <c r="J41" s="6"/>
      <c r="K41" s="6"/>
      <c r="L41" s="6"/>
      <c r="M41" s="4"/>
      <c r="N41" s="4"/>
      <c r="O41" s="4"/>
      <c r="P41" s="6"/>
      <c r="Q41" s="6"/>
      <c r="R41" s="6"/>
      <c r="S41" s="6"/>
      <c r="T41" s="4"/>
      <c r="U41" s="6"/>
      <c r="V41" s="6"/>
      <c r="W41" s="6"/>
      <c r="X41" s="6"/>
      <c r="Y41" s="4"/>
      <c r="Z41" s="6"/>
      <c r="AA41" s="4"/>
      <c r="AB41" s="4"/>
      <c r="AC41" s="4"/>
      <c r="AD41" s="6"/>
      <c r="AE41" s="4"/>
      <c r="AF41" s="4"/>
      <c r="AG41" s="4"/>
      <c r="AH41" s="4">
        <v>115167892778000</v>
      </c>
    </row>
    <row r="42" spans="1:34" x14ac:dyDescent="0.25">
      <c r="A42" s="4">
        <v>41</v>
      </c>
      <c r="B42" s="5" t="s">
        <v>142</v>
      </c>
      <c r="C42" s="5" t="s">
        <v>143</v>
      </c>
      <c r="D42" s="5" t="s">
        <v>23</v>
      </c>
      <c r="E42" s="5" t="s">
        <v>98</v>
      </c>
      <c r="F42" s="5" t="s">
        <v>99</v>
      </c>
      <c r="G42" s="5" t="s">
        <v>144</v>
      </c>
      <c r="H42" s="4">
        <v>82178523874</v>
      </c>
      <c r="I42" s="4">
        <v>136959196687</v>
      </c>
      <c r="J42" s="6">
        <v>0.2374</v>
      </c>
      <c r="K42" s="6">
        <v>0.1103</v>
      </c>
      <c r="L42" s="6">
        <v>3.4500000000000003E-2</v>
      </c>
      <c r="M42" s="4">
        <v>7394569107</v>
      </c>
      <c r="N42" s="4">
        <v>33307636686</v>
      </c>
      <c r="O42" s="4"/>
      <c r="P42" s="6">
        <v>70.655100000000004</v>
      </c>
      <c r="Q42" s="6">
        <v>2.1244999999999998</v>
      </c>
      <c r="R42" s="6">
        <v>0.3669</v>
      </c>
      <c r="S42" s="6">
        <v>-0.71460000000000001</v>
      </c>
      <c r="T42" s="4"/>
      <c r="U42" s="6">
        <v>-0.68310000000000004</v>
      </c>
      <c r="V42" s="6">
        <v>-0.13400000000000001</v>
      </c>
      <c r="W42" s="6">
        <v>-4.9500000000000002E-2</v>
      </c>
      <c r="X42" s="6">
        <v>2.5600000000000001E-2</v>
      </c>
      <c r="Y42" s="4"/>
      <c r="Z42" s="6">
        <v>0.50009999999999999</v>
      </c>
      <c r="AA42" s="4"/>
      <c r="AB42" s="4"/>
      <c r="AC42" s="4"/>
      <c r="AD42" s="6">
        <v>0</v>
      </c>
      <c r="AE42" s="4"/>
      <c r="AF42" s="4"/>
      <c r="AG42" s="4"/>
      <c r="AH42" s="4">
        <v>471787680000</v>
      </c>
    </row>
    <row r="43" spans="1:34" x14ac:dyDescent="0.25">
      <c r="A43" s="4">
        <v>42</v>
      </c>
      <c r="B43" s="5" t="s">
        <v>145</v>
      </c>
      <c r="C43" s="5" t="s">
        <v>146</v>
      </c>
      <c r="D43" s="5" t="s">
        <v>23</v>
      </c>
      <c r="E43" s="5" t="s">
        <v>62</v>
      </c>
      <c r="F43" s="5" t="s">
        <v>71</v>
      </c>
      <c r="G43" s="5" t="s">
        <v>147</v>
      </c>
      <c r="H43" s="4"/>
      <c r="I43" s="4"/>
      <c r="J43" s="6"/>
      <c r="K43" s="6"/>
      <c r="L43" s="6"/>
      <c r="M43" s="4"/>
      <c r="N43" s="4"/>
      <c r="O43" s="4"/>
      <c r="P43" s="6"/>
      <c r="Q43" s="6"/>
      <c r="R43" s="6"/>
      <c r="S43" s="6"/>
      <c r="T43" s="4"/>
      <c r="U43" s="6"/>
      <c r="V43" s="6"/>
      <c r="W43" s="6"/>
      <c r="X43" s="6"/>
      <c r="Y43" s="4"/>
      <c r="Z43" s="6"/>
      <c r="AA43" s="4"/>
      <c r="AB43" s="4"/>
      <c r="AC43" s="4"/>
      <c r="AD43" s="6"/>
      <c r="AE43" s="4"/>
      <c r="AF43" s="4"/>
      <c r="AG43" s="4"/>
      <c r="AH43" s="4">
        <v>573750000000</v>
      </c>
    </row>
    <row r="44" spans="1:34" x14ac:dyDescent="0.25">
      <c r="A44" s="4">
        <v>43</v>
      </c>
      <c r="B44" s="5" t="s">
        <v>148</v>
      </c>
      <c r="C44" s="5" t="s">
        <v>149</v>
      </c>
      <c r="D44" s="5" t="s">
        <v>23</v>
      </c>
      <c r="E44" s="5" t="s">
        <v>49</v>
      </c>
      <c r="F44" s="5" t="s">
        <v>49</v>
      </c>
      <c r="G44" s="5" t="s">
        <v>49</v>
      </c>
      <c r="H44" s="4"/>
      <c r="I44" s="4"/>
      <c r="J44" s="6"/>
      <c r="K44" s="6"/>
      <c r="L44" s="6"/>
      <c r="M44" s="4"/>
      <c r="N44" s="4"/>
      <c r="O44" s="4"/>
      <c r="P44" s="6"/>
      <c r="Q44" s="6"/>
      <c r="R44" s="6"/>
      <c r="S44" s="6"/>
      <c r="T44" s="4"/>
      <c r="U44" s="6"/>
      <c r="V44" s="6"/>
      <c r="W44" s="6"/>
      <c r="X44" s="6"/>
      <c r="Y44" s="4"/>
      <c r="Z44" s="6"/>
      <c r="AA44" s="4"/>
      <c r="AB44" s="4"/>
      <c r="AC44" s="4"/>
      <c r="AD44" s="6"/>
      <c r="AE44" s="4">
        <v>643806000000</v>
      </c>
      <c r="AF44" s="4">
        <v>1148597000000</v>
      </c>
      <c r="AG44" s="4">
        <v>1865339000000</v>
      </c>
      <c r="AH44" s="4">
        <v>8522906000000</v>
      </c>
    </row>
    <row r="45" spans="1:34" x14ac:dyDescent="0.25">
      <c r="A45" s="4">
        <v>44</v>
      </c>
      <c r="B45" s="5" t="s">
        <v>150</v>
      </c>
      <c r="C45" s="5" t="s">
        <v>151</v>
      </c>
      <c r="D45" s="5" t="s">
        <v>23</v>
      </c>
      <c r="E45" s="5" t="s">
        <v>75</v>
      </c>
      <c r="F45" s="5" t="s">
        <v>120</v>
      </c>
      <c r="G45" s="5" t="s">
        <v>152</v>
      </c>
      <c r="H45" s="4"/>
      <c r="I45" s="4"/>
      <c r="J45" s="6"/>
      <c r="K45" s="6"/>
      <c r="L45" s="6"/>
      <c r="M45" s="4"/>
      <c r="N45" s="4"/>
      <c r="O45" s="4"/>
      <c r="P45" s="6"/>
      <c r="Q45" s="6"/>
      <c r="R45" s="6"/>
      <c r="S45" s="6"/>
      <c r="T45" s="4"/>
      <c r="U45" s="6"/>
      <c r="V45" s="6"/>
      <c r="W45" s="6"/>
      <c r="X45" s="6"/>
      <c r="Y45" s="4"/>
      <c r="Z45" s="6"/>
      <c r="AA45" s="4"/>
      <c r="AB45" s="4"/>
      <c r="AC45" s="4"/>
      <c r="AD45" s="6"/>
      <c r="AE45" s="4"/>
      <c r="AF45" s="4"/>
      <c r="AG45" s="4"/>
      <c r="AH45" s="4">
        <v>42386629824400</v>
      </c>
    </row>
    <row r="46" spans="1:34" x14ac:dyDescent="0.25">
      <c r="A46" s="4">
        <v>45</v>
      </c>
      <c r="B46" s="5" t="s">
        <v>153</v>
      </c>
      <c r="C46" s="5" t="s">
        <v>154</v>
      </c>
      <c r="D46" s="5" t="s">
        <v>23</v>
      </c>
      <c r="E46" s="5" t="s">
        <v>98</v>
      </c>
      <c r="F46" s="5" t="s">
        <v>99</v>
      </c>
      <c r="G46" s="5" t="s">
        <v>155</v>
      </c>
      <c r="H46" s="4"/>
      <c r="I46" s="4"/>
      <c r="J46" s="6"/>
      <c r="K46" s="6"/>
      <c r="L46" s="6"/>
      <c r="M46" s="4"/>
      <c r="N46" s="4"/>
      <c r="O46" s="4"/>
      <c r="P46" s="6"/>
      <c r="Q46" s="6"/>
      <c r="R46" s="6"/>
      <c r="S46" s="6"/>
      <c r="T46" s="4"/>
      <c r="U46" s="6"/>
      <c r="V46" s="6"/>
      <c r="W46" s="6"/>
      <c r="X46" s="6"/>
      <c r="Y46" s="4"/>
      <c r="Z46" s="6"/>
      <c r="AA46" s="4"/>
      <c r="AB46" s="4"/>
      <c r="AC46" s="4"/>
      <c r="AD46" s="6"/>
      <c r="AE46" s="4"/>
      <c r="AF46" s="4"/>
      <c r="AG46" s="4"/>
      <c r="AH46" s="4">
        <v>9830810386800</v>
      </c>
    </row>
    <row r="47" spans="1:34" x14ac:dyDescent="0.25">
      <c r="A47" s="4">
        <v>46</v>
      </c>
      <c r="B47" s="5" t="s">
        <v>156</v>
      </c>
      <c r="C47" s="5" t="s">
        <v>157</v>
      </c>
      <c r="D47" s="5" t="s">
        <v>23</v>
      </c>
      <c r="E47" s="5" t="s">
        <v>40</v>
      </c>
      <c r="F47" s="5" t="s">
        <v>52</v>
      </c>
      <c r="G47" s="5" t="s">
        <v>53</v>
      </c>
      <c r="H47" s="4"/>
      <c r="I47" s="4"/>
      <c r="J47" s="6"/>
      <c r="K47" s="6"/>
      <c r="L47" s="6"/>
      <c r="M47" s="4"/>
      <c r="N47" s="4"/>
      <c r="O47" s="4"/>
      <c r="P47" s="6"/>
      <c r="Q47" s="6"/>
      <c r="R47" s="6"/>
      <c r="S47" s="6"/>
      <c r="T47" s="4"/>
      <c r="U47" s="6"/>
      <c r="V47" s="6"/>
      <c r="W47" s="6"/>
      <c r="X47" s="6"/>
      <c r="Y47" s="4"/>
      <c r="Z47" s="6"/>
      <c r="AA47" s="4"/>
      <c r="AB47" s="4"/>
      <c r="AC47" s="4"/>
      <c r="AD47" s="6"/>
      <c r="AE47" s="4"/>
      <c r="AF47" s="4"/>
      <c r="AG47" s="4"/>
      <c r="AH47" s="4">
        <v>495961785000</v>
      </c>
    </row>
    <row r="48" spans="1:34" x14ac:dyDescent="0.25">
      <c r="A48" s="4">
        <v>47</v>
      </c>
      <c r="B48" s="5" t="s">
        <v>158</v>
      </c>
      <c r="C48" s="5" t="s">
        <v>159</v>
      </c>
      <c r="D48" s="5" t="s">
        <v>23</v>
      </c>
      <c r="E48" s="5" t="s">
        <v>40</v>
      </c>
      <c r="F48" s="5" t="s">
        <v>52</v>
      </c>
      <c r="G48" s="5" t="s">
        <v>110</v>
      </c>
      <c r="H48" s="4"/>
      <c r="I48" s="4"/>
      <c r="J48" s="6"/>
      <c r="K48" s="6"/>
      <c r="L48" s="6"/>
      <c r="M48" s="4"/>
      <c r="N48" s="4"/>
      <c r="O48" s="4"/>
      <c r="P48" s="6"/>
      <c r="Q48" s="6"/>
      <c r="R48" s="6"/>
      <c r="S48" s="6"/>
      <c r="T48" s="4"/>
      <c r="U48" s="6"/>
      <c r="V48" s="6"/>
      <c r="W48" s="6"/>
      <c r="X48" s="6"/>
      <c r="Y48" s="4"/>
      <c r="Z48" s="6"/>
      <c r="AA48" s="4"/>
      <c r="AB48" s="4"/>
      <c r="AC48" s="4"/>
      <c r="AD48" s="6"/>
      <c r="AE48" s="4"/>
      <c r="AF48" s="4"/>
      <c r="AG48" s="4"/>
      <c r="AH48" s="4">
        <v>327080421000</v>
      </c>
    </row>
    <row r="49" spans="1:34" x14ac:dyDescent="0.25">
      <c r="A49" s="4">
        <v>48</v>
      </c>
      <c r="B49" s="5" t="s">
        <v>160</v>
      </c>
      <c r="C49" s="5" t="s">
        <v>161</v>
      </c>
      <c r="D49" s="5" t="s">
        <v>23</v>
      </c>
      <c r="E49" s="5" t="s">
        <v>40</v>
      </c>
      <c r="F49" s="5" t="s">
        <v>52</v>
      </c>
      <c r="G49" s="5" t="s">
        <v>110</v>
      </c>
      <c r="H49" s="4"/>
      <c r="I49" s="4"/>
      <c r="J49" s="6"/>
      <c r="K49" s="6"/>
      <c r="L49" s="6"/>
      <c r="M49" s="4"/>
      <c r="N49" s="4"/>
      <c r="O49" s="4"/>
      <c r="P49" s="6"/>
      <c r="Q49" s="6"/>
      <c r="R49" s="6"/>
      <c r="S49" s="6"/>
      <c r="T49" s="4"/>
      <c r="U49" s="6"/>
      <c r="V49" s="6"/>
      <c r="W49" s="6"/>
      <c r="X49" s="6"/>
      <c r="Y49" s="4"/>
      <c r="Z49" s="6"/>
      <c r="AA49" s="4"/>
      <c r="AB49" s="4"/>
      <c r="AC49" s="4"/>
      <c r="AD49" s="6"/>
      <c r="AE49" s="4"/>
      <c r="AF49" s="4"/>
      <c r="AG49" s="4"/>
      <c r="AH49" s="4">
        <v>299290855230</v>
      </c>
    </row>
    <row r="50" spans="1:34" x14ac:dyDescent="0.25">
      <c r="A50" s="4">
        <v>49</v>
      </c>
      <c r="B50" s="5" t="s">
        <v>162</v>
      </c>
      <c r="C50" s="5" t="s">
        <v>163</v>
      </c>
      <c r="D50" s="5" t="s">
        <v>23</v>
      </c>
      <c r="E50" s="5" t="s">
        <v>98</v>
      </c>
      <c r="F50" s="5" t="s">
        <v>99</v>
      </c>
      <c r="G50" s="5" t="s">
        <v>100</v>
      </c>
      <c r="H50" s="4">
        <v>123237126364</v>
      </c>
      <c r="I50" s="4">
        <v>225284171905</v>
      </c>
      <c r="J50" s="6">
        <v>0.28100000000000003</v>
      </c>
      <c r="K50" s="6">
        <v>0.1968</v>
      </c>
      <c r="L50" s="6">
        <v>0.12189999999999999</v>
      </c>
      <c r="M50" s="4">
        <v>13130546352</v>
      </c>
      <c r="N50" s="4">
        <v>27785230554</v>
      </c>
      <c r="O50" s="4"/>
      <c r="P50" s="6">
        <v>-0.3594</v>
      </c>
      <c r="Q50" s="6">
        <v>-0.22720000000000001</v>
      </c>
      <c r="R50" s="6">
        <v>-0.14580000000000001</v>
      </c>
      <c r="S50" s="6">
        <v>-0.104</v>
      </c>
      <c r="T50" s="4"/>
      <c r="U50" s="6">
        <v>-0.48139999999999999</v>
      </c>
      <c r="V50" s="6">
        <v>-0.30080000000000001</v>
      </c>
      <c r="W50" s="6">
        <v>-0.29799999999999999</v>
      </c>
      <c r="X50" s="6">
        <v>6.4699999999999994E-2</v>
      </c>
      <c r="Y50" s="4"/>
      <c r="Z50" s="6">
        <v>0.2077</v>
      </c>
      <c r="AA50" s="4"/>
      <c r="AB50" s="4"/>
      <c r="AC50" s="4"/>
      <c r="AD50" s="6">
        <v>0</v>
      </c>
      <c r="AE50" s="4"/>
      <c r="AF50" s="4"/>
      <c r="AG50" s="4"/>
      <c r="AH50" s="4">
        <v>397598380000</v>
      </c>
    </row>
    <row r="51" spans="1:34" x14ac:dyDescent="0.25">
      <c r="A51" s="4">
        <v>50</v>
      </c>
      <c r="B51" s="5" t="s">
        <v>164</v>
      </c>
      <c r="C51" s="5" t="s">
        <v>165</v>
      </c>
      <c r="D51" s="5" t="s">
        <v>23</v>
      </c>
      <c r="E51" s="5" t="s">
        <v>75</v>
      </c>
      <c r="F51" s="5" t="s">
        <v>76</v>
      </c>
      <c r="G51" s="5" t="s">
        <v>76</v>
      </c>
      <c r="H51" s="4">
        <v>65492489391</v>
      </c>
      <c r="I51" s="4">
        <v>134797125372</v>
      </c>
      <c r="J51" s="6">
        <v>-0.50329999999999997</v>
      </c>
      <c r="K51" s="6">
        <v>-0.32329999999999998</v>
      </c>
      <c r="L51" s="6">
        <v>-0.34860000000000002</v>
      </c>
      <c r="M51" s="4">
        <v>543694145</v>
      </c>
      <c r="N51" s="4">
        <v>8758243662</v>
      </c>
      <c r="O51" s="4"/>
      <c r="P51" s="6">
        <v>-0.95550000000000002</v>
      </c>
      <c r="Q51" s="6">
        <v>-0.66500000000000004</v>
      </c>
      <c r="R51" s="6">
        <v>-0.86980000000000002</v>
      </c>
      <c r="S51" s="6">
        <v>-0.93379999999999996</v>
      </c>
      <c r="T51" s="4"/>
      <c r="U51" s="6">
        <v>-0.55069999999999997</v>
      </c>
      <c r="V51" s="6">
        <v>-0.70799999999999996</v>
      </c>
      <c r="W51" s="6">
        <v>-0.70809999999999995</v>
      </c>
      <c r="X51" s="6">
        <v>0.12820000000000001</v>
      </c>
      <c r="Y51" s="4"/>
      <c r="Z51" s="6">
        <v>-5.5E-2</v>
      </c>
      <c r="AA51" s="4"/>
      <c r="AB51" s="4"/>
      <c r="AC51" s="4"/>
      <c r="AD51" s="6">
        <v>0</v>
      </c>
      <c r="AE51" s="4"/>
      <c r="AF51" s="4"/>
      <c r="AG51" s="4"/>
      <c r="AH51" s="4">
        <v>255599303700</v>
      </c>
    </row>
    <row r="52" spans="1:34" x14ac:dyDescent="0.25">
      <c r="A52" s="4">
        <v>51</v>
      </c>
      <c r="B52" s="5" t="s">
        <v>166</v>
      </c>
      <c r="C52" s="5" t="s">
        <v>167</v>
      </c>
      <c r="D52" s="5" t="s">
        <v>23</v>
      </c>
      <c r="E52" s="5" t="s">
        <v>40</v>
      </c>
      <c r="F52" s="5" t="s">
        <v>52</v>
      </c>
      <c r="G52" s="5" t="s">
        <v>110</v>
      </c>
      <c r="H52" s="4"/>
      <c r="I52" s="4"/>
      <c r="J52" s="6"/>
      <c r="K52" s="6"/>
      <c r="L52" s="6"/>
      <c r="M52" s="4"/>
      <c r="N52" s="4"/>
      <c r="O52" s="4"/>
      <c r="P52" s="6"/>
      <c r="Q52" s="6"/>
      <c r="R52" s="6"/>
      <c r="S52" s="6"/>
      <c r="T52" s="4"/>
      <c r="U52" s="6"/>
      <c r="V52" s="6"/>
      <c r="W52" s="6"/>
      <c r="X52" s="6"/>
      <c r="Y52" s="4"/>
      <c r="Z52" s="6"/>
      <c r="AA52" s="4"/>
      <c r="AB52" s="4"/>
      <c r="AC52" s="4"/>
      <c r="AD52" s="6"/>
      <c r="AE52" s="4"/>
      <c r="AF52" s="4"/>
      <c r="AG52" s="4"/>
      <c r="AH52" s="4">
        <v>1942033924800</v>
      </c>
    </row>
    <row r="53" spans="1:34" x14ac:dyDescent="0.25">
      <c r="A53" s="4">
        <v>52</v>
      </c>
      <c r="B53" s="5" t="s">
        <v>168</v>
      </c>
      <c r="C53" s="5" t="s">
        <v>169</v>
      </c>
      <c r="D53" s="5" t="s">
        <v>23</v>
      </c>
      <c r="E53" s="5" t="s">
        <v>98</v>
      </c>
      <c r="F53" s="5" t="s">
        <v>99</v>
      </c>
      <c r="G53" s="5" t="s">
        <v>144</v>
      </c>
      <c r="H53" s="4">
        <v>123466741315</v>
      </c>
      <c r="I53" s="4">
        <v>321969666714</v>
      </c>
      <c r="J53" s="6">
        <v>-0.4783</v>
      </c>
      <c r="K53" s="6">
        <v>-0.31609999999999999</v>
      </c>
      <c r="L53" s="6">
        <v>-0.20480000000000001</v>
      </c>
      <c r="M53" s="4">
        <v>27891554090</v>
      </c>
      <c r="N53" s="4">
        <v>118723963420</v>
      </c>
      <c r="O53" s="4"/>
      <c r="P53" s="6">
        <v>-0.73380000000000001</v>
      </c>
      <c r="Q53" s="6">
        <v>-0.47149999999999997</v>
      </c>
      <c r="R53" s="6">
        <v>-0.33379999999999999</v>
      </c>
      <c r="S53" s="6">
        <v>-0.69289999999999996</v>
      </c>
      <c r="T53" s="4"/>
      <c r="U53" s="6">
        <v>-0.55520000000000003</v>
      </c>
      <c r="V53" s="6">
        <v>-0.50639999999999996</v>
      </c>
      <c r="W53" s="6">
        <v>-0.50619999999999998</v>
      </c>
      <c r="X53" s="6">
        <v>6.59E-2</v>
      </c>
      <c r="Y53" s="4"/>
      <c r="Z53" s="6">
        <v>-0.378</v>
      </c>
      <c r="AA53" s="4"/>
      <c r="AB53" s="4"/>
      <c r="AC53" s="4"/>
      <c r="AD53" s="6">
        <v>0</v>
      </c>
      <c r="AE53" s="4"/>
      <c r="AF53" s="4"/>
      <c r="AG53" s="4"/>
      <c r="AH53" s="4">
        <v>4304065474800</v>
      </c>
    </row>
    <row r="54" spans="1:34" x14ac:dyDescent="0.25">
      <c r="A54" s="4">
        <v>53</v>
      </c>
      <c r="B54" s="5" t="s">
        <v>170</v>
      </c>
      <c r="C54" s="5" t="s">
        <v>171</v>
      </c>
      <c r="D54" s="5" t="s">
        <v>23</v>
      </c>
      <c r="E54" s="5" t="s">
        <v>40</v>
      </c>
      <c r="F54" s="5" t="s">
        <v>52</v>
      </c>
      <c r="G54" s="5" t="s">
        <v>110</v>
      </c>
      <c r="H54" s="4"/>
      <c r="I54" s="4"/>
      <c r="J54" s="6"/>
      <c r="K54" s="6"/>
      <c r="L54" s="6"/>
      <c r="M54" s="4"/>
      <c r="N54" s="4"/>
      <c r="O54" s="4"/>
      <c r="P54" s="6"/>
      <c r="Q54" s="6"/>
      <c r="R54" s="6"/>
      <c r="S54" s="6"/>
      <c r="T54" s="4"/>
      <c r="U54" s="6"/>
      <c r="V54" s="6"/>
      <c r="W54" s="6"/>
      <c r="X54" s="6"/>
      <c r="Y54" s="4"/>
      <c r="Z54" s="6"/>
      <c r="AA54" s="4"/>
      <c r="AB54" s="4"/>
      <c r="AC54" s="4"/>
      <c r="AD54" s="6"/>
      <c r="AE54" s="4"/>
      <c r="AF54" s="4"/>
      <c r="AG54" s="4"/>
      <c r="AH54" s="4">
        <v>353706832710</v>
      </c>
    </row>
    <row r="55" spans="1:34" x14ac:dyDescent="0.25">
      <c r="A55" s="4">
        <v>54</v>
      </c>
      <c r="B55" s="5" t="s">
        <v>172</v>
      </c>
      <c r="C55" s="5" t="s">
        <v>173</v>
      </c>
      <c r="D55" s="5" t="s">
        <v>23</v>
      </c>
      <c r="E55" s="5" t="s">
        <v>40</v>
      </c>
      <c r="F55" s="5" t="s">
        <v>52</v>
      </c>
      <c r="G55" s="5" t="s">
        <v>110</v>
      </c>
      <c r="H55" s="4"/>
      <c r="I55" s="4"/>
      <c r="J55" s="6"/>
      <c r="K55" s="6"/>
      <c r="L55" s="6"/>
      <c r="M55" s="4"/>
      <c r="N55" s="4"/>
      <c r="O55" s="4"/>
      <c r="P55" s="6"/>
      <c r="Q55" s="6"/>
      <c r="R55" s="6"/>
      <c r="S55" s="6"/>
      <c r="T55" s="4"/>
      <c r="U55" s="6"/>
      <c r="V55" s="6"/>
      <c r="W55" s="6"/>
      <c r="X55" s="6"/>
      <c r="Y55" s="4"/>
      <c r="Z55" s="6"/>
      <c r="AA55" s="4"/>
      <c r="AB55" s="4"/>
      <c r="AC55" s="4"/>
      <c r="AD55" s="6"/>
      <c r="AE55" s="4"/>
      <c r="AF55" s="4"/>
      <c r="AG55" s="4"/>
      <c r="AH55" s="4">
        <v>9374194809450</v>
      </c>
    </row>
    <row r="56" spans="1:34" x14ac:dyDescent="0.25">
      <c r="A56" s="4">
        <v>55</v>
      </c>
      <c r="B56" s="5" t="s">
        <v>174</v>
      </c>
      <c r="C56" s="5" t="s">
        <v>175</v>
      </c>
      <c r="D56" s="5" t="s">
        <v>23</v>
      </c>
      <c r="E56" s="5" t="s">
        <v>75</v>
      </c>
      <c r="F56" s="5" t="s">
        <v>76</v>
      </c>
      <c r="G56" s="5" t="s">
        <v>76</v>
      </c>
      <c r="H56" s="4"/>
      <c r="I56" s="4"/>
      <c r="J56" s="6"/>
      <c r="K56" s="6"/>
      <c r="L56" s="6"/>
      <c r="M56" s="4"/>
      <c r="N56" s="4"/>
      <c r="O56" s="4"/>
      <c r="P56" s="6"/>
      <c r="Q56" s="6"/>
      <c r="R56" s="6"/>
      <c r="S56" s="6"/>
      <c r="T56" s="4"/>
      <c r="U56" s="6"/>
      <c r="V56" s="6"/>
      <c r="W56" s="6"/>
      <c r="X56" s="6"/>
      <c r="Y56" s="4"/>
      <c r="Z56" s="6"/>
      <c r="AA56" s="4"/>
      <c r="AB56" s="4"/>
      <c r="AC56" s="4"/>
      <c r="AD56" s="6"/>
      <c r="AE56" s="4"/>
      <c r="AF56" s="4"/>
      <c r="AG56" s="4"/>
      <c r="AH56" s="4">
        <v>991880134380</v>
      </c>
    </row>
    <row r="57" spans="1:34" x14ac:dyDescent="0.25">
      <c r="A57" s="4">
        <v>56</v>
      </c>
      <c r="B57" s="5" t="s">
        <v>176</v>
      </c>
      <c r="C57" s="5" t="s">
        <v>177</v>
      </c>
      <c r="D57" s="5" t="s">
        <v>23</v>
      </c>
      <c r="E57" s="5" t="s">
        <v>29</v>
      </c>
      <c r="F57" s="5" t="s">
        <v>36</v>
      </c>
      <c r="G57" s="5" t="s">
        <v>178</v>
      </c>
      <c r="H57" s="4">
        <v>1147367988112</v>
      </c>
      <c r="I57" s="4">
        <v>2181227374950</v>
      </c>
      <c r="J57" s="6">
        <v>7.0000000000000007E-2</v>
      </c>
      <c r="K57" s="6">
        <v>7.7200000000000005E-2</v>
      </c>
      <c r="L57" s="6">
        <v>9.7100000000000006E-2</v>
      </c>
      <c r="M57" s="4">
        <v>61496916575</v>
      </c>
      <c r="N57" s="4">
        <v>96910648074</v>
      </c>
      <c r="O57" s="4"/>
      <c r="P57" s="6">
        <v>0.63049999999999995</v>
      </c>
      <c r="Q57" s="6">
        <v>0.23669999999999999</v>
      </c>
      <c r="R57" s="6">
        <v>0.41489999999999999</v>
      </c>
      <c r="S57" s="6">
        <v>0.73650000000000004</v>
      </c>
      <c r="T57" s="4"/>
      <c r="U57" s="6">
        <v>-0.43640000000000001</v>
      </c>
      <c r="V57" s="6">
        <v>-0.4733</v>
      </c>
      <c r="W57" s="6">
        <v>-0.4733</v>
      </c>
      <c r="X57" s="6">
        <v>0.08</v>
      </c>
      <c r="Y57" s="4"/>
      <c r="Z57" s="6">
        <v>0.10979999999999999</v>
      </c>
      <c r="AA57" s="4"/>
      <c r="AB57" s="4"/>
      <c r="AC57" s="4"/>
      <c r="AD57" s="6">
        <v>0</v>
      </c>
      <c r="AE57" s="4"/>
      <c r="AF57" s="4"/>
      <c r="AG57" s="4"/>
      <c r="AH57" s="4">
        <v>1310379150000</v>
      </c>
    </row>
    <row r="58" spans="1:34" x14ac:dyDescent="0.25">
      <c r="A58" s="4">
        <v>57</v>
      </c>
      <c r="B58" s="5" t="s">
        <v>179</v>
      </c>
      <c r="C58" s="5" t="s">
        <v>180</v>
      </c>
      <c r="D58" s="5" t="s">
        <v>23</v>
      </c>
      <c r="E58" s="5" t="s">
        <v>40</v>
      </c>
      <c r="F58" s="5" t="s">
        <v>41</v>
      </c>
      <c r="G58" s="5" t="s">
        <v>93</v>
      </c>
      <c r="H58" s="4"/>
      <c r="I58" s="4"/>
      <c r="J58" s="6"/>
      <c r="K58" s="6"/>
      <c r="L58" s="6"/>
      <c r="M58" s="4"/>
      <c r="N58" s="4"/>
      <c r="O58" s="4"/>
      <c r="P58" s="6"/>
      <c r="Q58" s="6"/>
      <c r="R58" s="6"/>
      <c r="S58" s="6"/>
      <c r="T58" s="4"/>
      <c r="U58" s="6"/>
      <c r="V58" s="6"/>
      <c r="W58" s="6"/>
      <c r="X58" s="6"/>
      <c r="Y58" s="4"/>
      <c r="Z58" s="6"/>
      <c r="AA58" s="4"/>
      <c r="AB58" s="4"/>
      <c r="AC58" s="4"/>
      <c r="AD58" s="6"/>
      <c r="AE58" s="4"/>
      <c r="AF58" s="4"/>
      <c r="AG58" s="4"/>
      <c r="AH58" s="4">
        <v>1021700000000</v>
      </c>
    </row>
    <row r="59" spans="1:34" x14ac:dyDescent="0.25">
      <c r="A59" s="4">
        <v>58</v>
      </c>
      <c r="B59" s="5" t="s">
        <v>181</v>
      </c>
      <c r="C59" s="5" t="s">
        <v>182</v>
      </c>
      <c r="D59" s="5" t="s">
        <v>23</v>
      </c>
      <c r="E59" s="5" t="s">
        <v>98</v>
      </c>
      <c r="F59" s="5" t="s">
        <v>99</v>
      </c>
      <c r="G59" s="5" t="s">
        <v>155</v>
      </c>
      <c r="H59" s="4">
        <v>325327419153</v>
      </c>
      <c r="I59" s="4">
        <v>630589223964</v>
      </c>
      <c r="J59" s="6">
        <v>-1.5699999999999999E-2</v>
      </c>
      <c r="K59" s="6">
        <v>-8.0000000000000002E-3</v>
      </c>
      <c r="L59" s="6">
        <v>1.6999999999999999E-3</v>
      </c>
      <c r="M59" s="4">
        <v>20905372626</v>
      </c>
      <c r="N59" s="4">
        <v>34751656782</v>
      </c>
      <c r="O59" s="4"/>
      <c r="P59" s="6">
        <v>0.1847</v>
      </c>
      <c r="Q59" s="6">
        <v>0.17319999999999999</v>
      </c>
      <c r="R59" s="6">
        <v>0.48920000000000002</v>
      </c>
      <c r="S59" s="6">
        <v>0.50980000000000003</v>
      </c>
      <c r="T59" s="4"/>
      <c r="U59" s="6">
        <v>-0.50919999999999999</v>
      </c>
      <c r="V59" s="6">
        <v>-0.39760000000000001</v>
      </c>
      <c r="W59" s="6">
        <v>-0.39589999999999997</v>
      </c>
      <c r="X59" s="6">
        <v>4.1500000000000002E-2</v>
      </c>
      <c r="Y59" s="4"/>
      <c r="Z59" s="6">
        <v>6.5699999999999995E-2</v>
      </c>
      <c r="AA59" s="4"/>
      <c r="AB59" s="4"/>
      <c r="AC59" s="4"/>
      <c r="AD59" s="6">
        <v>0</v>
      </c>
      <c r="AE59" s="4"/>
      <c r="AF59" s="4"/>
      <c r="AG59" s="4"/>
      <c r="AH59" s="4">
        <v>501150000000</v>
      </c>
    </row>
    <row r="60" spans="1:34" x14ac:dyDescent="0.25">
      <c r="A60" s="4">
        <v>59</v>
      </c>
      <c r="B60" s="5" t="s">
        <v>183</v>
      </c>
      <c r="C60" s="5" t="s">
        <v>184</v>
      </c>
      <c r="D60" s="5" t="s">
        <v>23</v>
      </c>
      <c r="E60" s="5" t="s">
        <v>185</v>
      </c>
      <c r="F60" s="5" t="s">
        <v>185</v>
      </c>
      <c r="G60" s="5" t="s">
        <v>186</v>
      </c>
      <c r="H60" s="4"/>
      <c r="I60" s="4"/>
      <c r="J60" s="6"/>
      <c r="K60" s="6"/>
      <c r="L60" s="6"/>
      <c r="M60" s="4"/>
      <c r="N60" s="4"/>
      <c r="O60" s="4"/>
      <c r="P60" s="6"/>
      <c r="Q60" s="6"/>
      <c r="R60" s="6"/>
      <c r="S60" s="6"/>
      <c r="T60" s="4"/>
      <c r="U60" s="6"/>
      <c r="V60" s="6"/>
      <c r="W60" s="6"/>
      <c r="X60" s="6"/>
      <c r="Y60" s="4"/>
      <c r="Z60" s="6"/>
      <c r="AA60" s="4"/>
      <c r="AB60" s="4"/>
      <c r="AC60" s="4"/>
      <c r="AD60" s="6"/>
      <c r="AE60" s="4"/>
      <c r="AF60" s="4"/>
      <c r="AG60" s="4"/>
      <c r="AH60" s="4">
        <v>5543041610400</v>
      </c>
    </row>
    <row r="61" spans="1:34" x14ac:dyDescent="0.25">
      <c r="A61" s="4">
        <v>60</v>
      </c>
      <c r="B61" s="5" t="s">
        <v>187</v>
      </c>
      <c r="C61" s="5" t="s">
        <v>188</v>
      </c>
      <c r="D61" s="5" t="s">
        <v>23</v>
      </c>
      <c r="E61" s="5" t="s">
        <v>62</v>
      </c>
      <c r="F61" s="5" t="s">
        <v>71</v>
      </c>
      <c r="G61" s="5" t="s">
        <v>147</v>
      </c>
      <c r="H61" s="4"/>
      <c r="I61" s="4"/>
      <c r="J61" s="6"/>
      <c r="K61" s="6"/>
      <c r="L61" s="6"/>
      <c r="M61" s="4"/>
      <c r="N61" s="4"/>
      <c r="O61" s="4"/>
      <c r="P61" s="6"/>
      <c r="Q61" s="6"/>
      <c r="R61" s="6"/>
      <c r="S61" s="6"/>
      <c r="T61" s="4"/>
      <c r="U61" s="6"/>
      <c r="V61" s="6"/>
      <c r="W61" s="6"/>
      <c r="X61" s="6"/>
      <c r="Y61" s="4"/>
      <c r="Z61" s="6"/>
      <c r="AA61" s="4"/>
      <c r="AB61" s="4"/>
      <c r="AC61" s="4"/>
      <c r="AD61" s="6"/>
      <c r="AE61" s="4"/>
      <c r="AF61" s="4"/>
      <c r="AG61" s="4"/>
      <c r="AH61" s="4">
        <v>144339150600</v>
      </c>
    </row>
    <row r="62" spans="1:34" x14ac:dyDescent="0.25">
      <c r="A62" s="4">
        <v>61</v>
      </c>
      <c r="B62" s="5" t="s">
        <v>189</v>
      </c>
      <c r="C62" s="5" t="s">
        <v>190</v>
      </c>
      <c r="D62" s="5" t="s">
        <v>23</v>
      </c>
      <c r="E62" s="5" t="s">
        <v>29</v>
      </c>
      <c r="F62" s="5" t="s">
        <v>30</v>
      </c>
      <c r="G62" s="5" t="s">
        <v>31</v>
      </c>
      <c r="H62" s="4"/>
      <c r="I62" s="4"/>
      <c r="J62" s="6"/>
      <c r="K62" s="6"/>
      <c r="L62" s="6"/>
      <c r="M62" s="4"/>
      <c r="N62" s="4"/>
      <c r="O62" s="4"/>
      <c r="P62" s="6"/>
      <c r="Q62" s="6"/>
      <c r="R62" s="6"/>
      <c r="S62" s="6"/>
      <c r="T62" s="4"/>
      <c r="U62" s="6"/>
      <c r="V62" s="6"/>
      <c r="W62" s="6"/>
      <c r="X62" s="6"/>
      <c r="Y62" s="4"/>
      <c r="Z62" s="6"/>
      <c r="AA62" s="4"/>
      <c r="AB62" s="4"/>
      <c r="AC62" s="4"/>
      <c r="AD62" s="6"/>
      <c r="AE62" s="4"/>
      <c r="AF62" s="4"/>
      <c r="AG62" s="4"/>
      <c r="AH62" s="4">
        <v>506437980300</v>
      </c>
    </row>
    <row r="63" spans="1:34" x14ac:dyDescent="0.25">
      <c r="A63" s="4">
        <v>62</v>
      </c>
      <c r="B63" s="5" t="s">
        <v>191</v>
      </c>
      <c r="C63" s="5" t="s">
        <v>192</v>
      </c>
      <c r="D63" s="5" t="s">
        <v>23</v>
      </c>
      <c r="E63" s="5" t="s">
        <v>98</v>
      </c>
      <c r="F63" s="5" t="s">
        <v>99</v>
      </c>
      <c r="G63" s="5" t="s">
        <v>100</v>
      </c>
      <c r="H63" s="4">
        <v>1835777275155</v>
      </c>
      <c r="I63" s="4">
        <v>3027457537193</v>
      </c>
      <c r="J63" s="6">
        <v>0.67630000000000001</v>
      </c>
      <c r="K63" s="6">
        <v>0.55620000000000003</v>
      </c>
      <c r="L63" s="6">
        <v>0.53139999999999998</v>
      </c>
      <c r="M63" s="4">
        <v>43684992351</v>
      </c>
      <c r="N63" s="4">
        <v>48067779866</v>
      </c>
      <c r="O63" s="4"/>
      <c r="P63" s="6">
        <v>0.17560000000000001</v>
      </c>
      <c r="Q63" s="6">
        <v>0.2485</v>
      </c>
      <c r="R63" s="6">
        <v>-7.4999999999999997E-2</v>
      </c>
      <c r="S63" s="6">
        <v>8.9673999999999996</v>
      </c>
      <c r="T63" s="4"/>
      <c r="U63" s="6">
        <v>-0.42559999999999998</v>
      </c>
      <c r="V63" s="6">
        <v>-0.33200000000000002</v>
      </c>
      <c r="W63" s="6">
        <v>-0.33239999999999997</v>
      </c>
      <c r="X63" s="6">
        <v>0</v>
      </c>
      <c r="Y63" s="4"/>
      <c r="Z63" s="6">
        <v>0.54049999999999998</v>
      </c>
      <c r="AA63" s="4"/>
      <c r="AB63" s="4"/>
      <c r="AC63" s="4"/>
      <c r="AD63" s="6">
        <v>0</v>
      </c>
      <c r="AE63" s="4"/>
      <c r="AF63" s="4"/>
      <c r="AG63" s="4"/>
      <c r="AH63" s="4">
        <v>730065398400</v>
      </c>
    </row>
    <row r="64" spans="1:34" x14ac:dyDescent="0.25">
      <c r="A64" s="4">
        <v>63</v>
      </c>
      <c r="B64" s="5" t="s">
        <v>193</v>
      </c>
      <c r="C64" s="5" t="s">
        <v>194</v>
      </c>
      <c r="D64" s="5" t="s">
        <v>23</v>
      </c>
      <c r="E64" s="5" t="s">
        <v>62</v>
      </c>
      <c r="F64" s="5" t="s">
        <v>71</v>
      </c>
      <c r="G64" s="5" t="s">
        <v>103</v>
      </c>
      <c r="H64" s="4">
        <v>1367731851289</v>
      </c>
      <c r="I64" s="4">
        <v>2390387068249</v>
      </c>
      <c r="J64" s="6">
        <v>0.58120000000000005</v>
      </c>
      <c r="K64" s="6">
        <v>0.35049999999999998</v>
      </c>
      <c r="L64" s="6">
        <v>0.2263</v>
      </c>
      <c r="M64" s="4">
        <v>18655779012</v>
      </c>
      <c r="N64" s="4">
        <v>23092696480</v>
      </c>
      <c r="O64" s="4"/>
      <c r="P64" s="6">
        <v>4.4333999999999998</v>
      </c>
      <c r="Q64" s="6">
        <v>2.8411</v>
      </c>
      <c r="R64" s="6">
        <v>1.2770999999999999</v>
      </c>
      <c r="S64" s="6">
        <v>3.2046999999999999</v>
      </c>
      <c r="T64" s="4"/>
      <c r="U64" s="6">
        <v>-0.317</v>
      </c>
      <c r="V64" s="6">
        <v>0.53049999999999997</v>
      </c>
      <c r="W64" s="6">
        <v>0.53949999999999998</v>
      </c>
      <c r="X64" s="6">
        <v>3.04E-2</v>
      </c>
      <c r="Y64" s="4"/>
      <c r="Z64" s="6">
        <v>0.33739999999999998</v>
      </c>
      <c r="AA64" s="4"/>
      <c r="AB64" s="4"/>
      <c r="AC64" s="4"/>
      <c r="AD64" s="6">
        <v>0</v>
      </c>
      <c r="AE64" s="4"/>
      <c r="AF64" s="4"/>
      <c r="AG64" s="4"/>
      <c r="AH64" s="4">
        <v>464568661200</v>
      </c>
    </row>
    <row r="65" spans="1:34" x14ac:dyDescent="0.25">
      <c r="A65" s="4">
        <v>64</v>
      </c>
      <c r="B65" s="5" t="s">
        <v>195</v>
      </c>
      <c r="C65" s="5" t="s">
        <v>196</v>
      </c>
      <c r="D65" s="5" t="s">
        <v>23</v>
      </c>
      <c r="E65" s="5" t="s">
        <v>40</v>
      </c>
      <c r="F65" s="5" t="s">
        <v>52</v>
      </c>
      <c r="G65" s="5" t="s">
        <v>53</v>
      </c>
      <c r="H65" s="4"/>
      <c r="I65" s="4"/>
      <c r="J65" s="6"/>
      <c r="K65" s="6"/>
      <c r="L65" s="6"/>
      <c r="M65" s="4"/>
      <c r="N65" s="4"/>
      <c r="O65" s="4"/>
      <c r="P65" s="6"/>
      <c r="Q65" s="6"/>
      <c r="R65" s="6"/>
      <c r="S65" s="6"/>
      <c r="T65" s="4"/>
      <c r="U65" s="6"/>
      <c r="V65" s="6"/>
      <c r="W65" s="6"/>
      <c r="X65" s="6"/>
      <c r="Y65" s="4"/>
      <c r="Z65" s="6"/>
      <c r="AA65" s="4"/>
      <c r="AB65" s="4"/>
      <c r="AC65" s="4"/>
      <c r="AD65" s="6"/>
      <c r="AE65" s="4"/>
      <c r="AF65" s="4"/>
      <c r="AG65" s="4"/>
      <c r="AH65" s="4">
        <v>636998546280</v>
      </c>
    </row>
    <row r="66" spans="1:34" x14ac:dyDescent="0.25">
      <c r="A66" s="4">
        <v>65</v>
      </c>
      <c r="B66" s="5" t="s">
        <v>197</v>
      </c>
      <c r="C66" s="5" t="s">
        <v>198</v>
      </c>
      <c r="D66" s="5" t="s">
        <v>23</v>
      </c>
      <c r="E66" s="5" t="s">
        <v>75</v>
      </c>
      <c r="F66" s="5" t="s">
        <v>76</v>
      </c>
      <c r="G66" s="5" t="s">
        <v>76</v>
      </c>
      <c r="H66" s="4"/>
      <c r="I66" s="4"/>
      <c r="J66" s="6"/>
      <c r="K66" s="6"/>
      <c r="L66" s="6"/>
      <c r="M66" s="4"/>
      <c r="N66" s="4"/>
      <c r="O66" s="4"/>
      <c r="P66" s="6"/>
      <c r="Q66" s="6"/>
      <c r="R66" s="6"/>
      <c r="S66" s="6"/>
      <c r="T66" s="4"/>
      <c r="U66" s="6"/>
      <c r="V66" s="6"/>
      <c r="W66" s="6"/>
      <c r="X66" s="6"/>
      <c r="Y66" s="4"/>
      <c r="Z66" s="6"/>
      <c r="AA66" s="4"/>
      <c r="AB66" s="4"/>
      <c r="AC66" s="4"/>
      <c r="AD66" s="6"/>
      <c r="AE66" s="4"/>
      <c r="AF66" s="4"/>
      <c r="AG66" s="4"/>
      <c r="AH66" s="4">
        <v>2990725847700</v>
      </c>
    </row>
    <row r="67" spans="1:34" x14ac:dyDescent="0.25">
      <c r="A67" s="4">
        <v>66</v>
      </c>
      <c r="B67" s="5" t="s">
        <v>199</v>
      </c>
      <c r="C67" s="5" t="s">
        <v>200</v>
      </c>
      <c r="D67" s="5" t="s">
        <v>23</v>
      </c>
      <c r="E67" s="5" t="s">
        <v>75</v>
      </c>
      <c r="F67" s="5" t="s">
        <v>76</v>
      </c>
      <c r="G67" s="5" t="s">
        <v>76</v>
      </c>
      <c r="H67" s="4"/>
      <c r="I67" s="4"/>
      <c r="J67" s="6"/>
      <c r="K67" s="6"/>
      <c r="L67" s="6"/>
      <c r="M67" s="4"/>
      <c r="N67" s="4"/>
      <c r="O67" s="4"/>
      <c r="P67" s="6"/>
      <c r="Q67" s="6"/>
      <c r="R67" s="6"/>
      <c r="S67" s="6"/>
      <c r="T67" s="4"/>
      <c r="U67" s="6"/>
      <c r="V67" s="6"/>
      <c r="W67" s="6"/>
      <c r="X67" s="6"/>
      <c r="Y67" s="4"/>
      <c r="Z67" s="6"/>
      <c r="AA67" s="4"/>
      <c r="AB67" s="4"/>
      <c r="AC67" s="4"/>
      <c r="AD67" s="6"/>
      <c r="AE67" s="4"/>
      <c r="AF67" s="4"/>
      <c r="AG67" s="4"/>
      <c r="AH67" s="4">
        <v>17528696812500</v>
      </c>
    </row>
    <row r="68" spans="1:34" x14ac:dyDescent="0.25">
      <c r="A68" s="4">
        <v>67</v>
      </c>
      <c r="B68" s="5" t="s">
        <v>201</v>
      </c>
      <c r="C68" s="5" t="s">
        <v>202</v>
      </c>
      <c r="D68" s="5" t="s">
        <v>23</v>
      </c>
      <c r="E68" s="5" t="s">
        <v>29</v>
      </c>
      <c r="F68" s="5" t="s">
        <v>203</v>
      </c>
      <c r="G68" s="5" t="s">
        <v>204</v>
      </c>
      <c r="H68" s="4">
        <v>1148202586665</v>
      </c>
      <c r="I68" s="4">
        <v>2253484117304</v>
      </c>
      <c r="J68" s="6">
        <v>3.8199999999999998E-2</v>
      </c>
      <c r="K68" s="6">
        <v>5.9299999999999999E-2</v>
      </c>
      <c r="L68" s="6">
        <v>-2.3599999999999999E-2</v>
      </c>
      <c r="M68" s="4">
        <v>22912272115</v>
      </c>
      <c r="N68" s="4">
        <v>48933639810</v>
      </c>
      <c r="O68" s="4"/>
      <c r="P68" s="6">
        <v>0.4763</v>
      </c>
      <c r="Q68" s="6">
        <v>0.40010000000000001</v>
      </c>
      <c r="R68" s="6">
        <v>-0.31209999999999999</v>
      </c>
      <c r="S68" s="6">
        <v>-0.1195</v>
      </c>
      <c r="T68" s="4"/>
      <c r="U68" s="6">
        <v>-0.56159999999999999</v>
      </c>
      <c r="V68" s="6">
        <v>-0.49869999999999998</v>
      </c>
      <c r="W68" s="6">
        <v>-0.49059999999999998</v>
      </c>
      <c r="X68" s="6">
        <v>0</v>
      </c>
      <c r="Y68" s="4"/>
      <c r="Z68" s="6">
        <v>3.8800000000000001E-2</v>
      </c>
      <c r="AA68" s="4"/>
      <c r="AB68" s="4"/>
      <c r="AC68" s="4"/>
      <c r="AD68" s="6">
        <v>0</v>
      </c>
      <c r="AE68" s="4"/>
      <c r="AF68" s="4"/>
      <c r="AG68" s="4"/>
      <c r="AH68" s="4">
        <v>1461116194200</v>
      </c>
    </row>
    <row r="69" spans="1:34" x14ac:dyDescent="0.25">
      <c r="A69" s="4">
        <v>68</v>
      </c>
      <c r="B69" s="5" t="s">
        <v>205</v>
      </c>
      <c r="C69" s="5" t="s">
        <v>206</v>
      </c>
      <c r="D69" s="5" t="s">
        <v>23</v>
      </c>
      <c r="E69" s="5" t="s">
        <v>24</v>
      </c>
      <c r="F69" s="5" t="s">
        <v>25</v>
      </c>
      <c r="G69" s="5" t="s">
        <v>45</v>
      </c>
      <c r="H69" s="4">
        <v>687299504698</v>
      </c>
      <c r="I69" s="4">
        <v>1315610349372</v>
      </c>
      <c r="J69" s="6">
        <v>0.31269999999999998</v>
      </c>
      <c r="K69" s="6">
        <v>0.30769999999999997</v>
      </c>
      <c r="L69" s="6">
        <v>0.28739999999999999</v>
      </c>
      <c r="M69" s="4">
        <v>129839514307</v>
      </c>
      <c r="N69" s="4">
        <v>172725558880</v>
      </c>
      <c r="O69" s="4"/>
      <c r="P69" s="6">
        <v>1.0728</v>
      </c>
      <c r="Q69" s="6">
        <v>0.50160000000000005</v>
      </c>
      <c r="R69" s="6">
        <v>0.24809999999999999</v>
      </c>
      <c r="S69" s="6">
        <v>2.0274999999999999</v>
      </c>
      <c r="T69" s="4"/>
      <c r="U69" s="6">
        <v>-0.37469999999999998</v>
      </c>
      <c r="V69" s="6">
        <v>253.92570000000001</v>
      </c>
      <c r="W69" s="6">
        <v>240.77709999999999</v>
      </c>
      <c r="X69" s="6">
        <v>0</v>
      </c>
      <c r="Y69" s="4"/>
      <c r="Z69" s="6">
        <v>9.3899999999999997E-2</v>
      </c>
      <c r="AA69" s="4"/>
      <c r="AB69" s="4"/>
      <c r="AC69" s="4"/>
      <c r="AD69" s="6">
        <v>0</v>
      </c>
      <c r="AE69" s="4"/>
      <c r="AF69" s="4"/>
      <c r="AG69" s="4"/>
      <c r="AH69" s="4">
        <v>2392323051500</v>
      </c>
    </row>
    <row r="70" spans="1:34" x14ac:dyDescent="0.25">
      <c r="A70" s="4">
        <v>69</v>
      </c>
      <c r="B70" s="5" t="s">
        <v>207</v>
      </c>
      <c r="C70" s="5" t="s">
        <v>208</v>
      </c>
      <c r="D70" s="5" t="s">
        <v>23</v>
      </c>
      <c r="E70" s="5" t="s">
        <v>40</v>
      </c>
      <c r="F70" s="5" t="s">
        <v>52</v>
      </c>
      <c r="G70" s="5" t="s">
        <v>110</v>
      </c>
      <c r="H70" s="4"/>
      <c r="I70" s="4"/>
      <c r="J70" s="6"/>
      <c r="K70" s="6"/>
      <c r="L70" s="6"/>
      <c r="M70" s="4"/>
      <c r="N70" s="4"/>
      <c r="O70" s="4"/>
      <c r="P70" s="6"/>
      <c r="Q70" s="6"/>
      <c r="R70" s="6"/>
      <c r="S70" s="6"/>
      <c r="T70" s="4"/>
      <c r="U70" s="6"/>
      <c r="V70" s="6"/>
      <c r="W70" s="6"/>
      <c r="X70" s="6"/>
      <c r="Y70" s="4"/>
      <c r="Z70" s="6"/>
      <c r="AA70" s="4"/>
      <c r="AB70" s="4"/>
      <c r="AC70" s="4"/>
      <c r="AD70" s="6"/>
      <c r="AE70" s="4"/>
      <c r="AF70" s="4"/>
      <c r="AG70" s="4"/>
      <c r="AH70" s="4">
        <v>6262100320000</v>
      </c>
    </row>
    <row r="71" spans="1:34" x14ac:dyDescent="0.25">
      <c r="A71" s="4">
        <v>70</v>
      </c>
      <c r="B71" s="5" t="s">
        <v>209</v>
      </c>
      <c r="C71" s="5" t="s">
        <v>210</v>
      </c>
      <c r="D71" s="5" t="s">
        <v>23</v>
      </c>
      <c r="E71" s="5" t="s">
        <v>29</v>
      </c>
      <c r="F71" s="5" t="s">
        <v>203</v>
      </c>
      <c r="G71" s="5" t="s">
        <v>211</v>
      </c>
      <c r="H71" s="4"/>
      <c r="I71" s="4"/>
      <c r="J71" s="6"/>
      <c r="K71" s="6"/>
      <c r="L71" s="6"/>
      <c r="M71" s="4"/>
      <c r="N71" s="4"/>
      <c r="O71" s="4"/>
      <c r="P71" s="6"/>
      <c r="Q71" s="6"/>
      <c r="R71" s="6"/>
      <c r="S71" s="6"/>
      <c r="T71" s="4"/>
      <c r="U71" s="6"/>
      <c r="V71" s="6"/>
      <c r="W71" s="6"/>
      <c r="X71" s="6"/>
      <c r="Y71" s="4"/>
      <c r="Z71" s="6"/>
      <c r="AA71" s="4"/>
      <c r="AB71" s="4"/>
      <c r="AC71" s="4"/>
      <c r="AD71" s="6"/>
      <c r="AE71" s="4"/>
      <c r="AF71" s="4"/>
      <c r="AG71" s="4"/>
      <c r="AH71" s="4">
        <v>1616550217100</v>
      </c>
    </row>
    <row r="72" spans="1:34" x14ac:dyDescent="0.25">
      <c r="A72" s="4">
        <v>71</v>
      </c>
      <c r="B72" s="5" t="s">
        <v>212</v>
      </c>
      <c r="C72" s="5" t="s">
        <v>213</v>
      </c>
      <c r="D72" s="5" t="s">
        <v>23</v>
      </c>
      <c r="E72" s="5" t="s">
        <v>49</v>
      </c>
      <c r="F72" s="5" t="s">
        <v>49</v>
      </c>
      <c r="G72" s="5" t="s">
        <v>49</v>
      </c>
      <c r="H72" s="4"/>
      <c r="I72" s="4"/>
      <c r="J72" s="6"/>
      <c r="K72" s="6"/>
      <c r="L72" s="6"/>
      <c r="M72" s="4"/>
      <c r="N72" s="4"/>
      <c r="O72" s="4"/>
      <c r="P72" s="6"/>
      <c r="Q72" s="6"/>
      <c r="R72" s="6"/>
      <c r="S72" s="6"/>
      <c r="T72" s="4"/>
      <c r="U72" s="6"/>
      <c r="V72" s="6"/>
      <c r="W72" s="6"/>
      <c r="X72" s="6"/>
      <c r="Y72" s="4"/>
      <c r="Z72" s="6"/>
      <c r="AA72" s="4"/>
      <c r="AB72" s="4"/>
      <c r="AC72" s="4"/>
      <c r="AD72" s="6"/>
      <c r="AE72" s="4">
        <v>15842616000000</v>
      </c>
      <c r="AF72" s="4">
        <v>31317831000000</v>
      </c>
      <c r="AG72" s="4">
        <v>48493549000000</v>
      </c>
      <c r="AH72" s="4">
        <v>230678255718900</v>
      </c>
    </row>
    <row r="73" spans="1:34" x14ac:dyDescent="0.25">
      <c r="A73" s="4">
        <v>72</v>
      </c>
      <c r="B73" s="5" t="s">
        <v>214</v>
      </c>
      <c r="C73" s="5" t="s">
        <v>215</v>
      </c>
      <c r="D73" s="5" t="s">
        <v>23</v>
      </c>
      <c r="E73" s="5" t="s">
        <v>40</v>
      </c>
      <c r="F73" s="5" t="s">
        <v>52</v>
      </c>
      <c r="G73" s="5" t="s">
        <v>110</v>
      </c>
      <c r="H73" s="4"/>
      <c r="I73" s="4"/>
      <c r="J73" s="6"/>
      <c r="K73" s="6"/>
      <c r="L73" s="6"/>
      <c r="M73" s="4"/>
      <c r="N73" s="4"/>
      <c r="O73" s="4"/>
      <c r="P73" s="6"/>
      <c r="Q73" s="6"/>
      <c r="R73" s="6"/>
      <c r="S73" s="6"/>
      <c r="T73" s="4"/>
      <c r="U73" s="6"/>
      <c r="V73" s="6"/>
      <c r="W73" s="6"/>
      <c r="X73" s="6"/>
      <c r="Y73" s="4"/>
      <c r="Z73" s="6"/>
      <c r="AA73" s="4"/>
      <c r="AB73" s="4"/>
      <c r="AC73" s="4"/>
      <c r="AD73" s="6"/>
      <c r="AE73" s="4"/>
      <c r="AF73" s="4"/>
      <c r="AG73" s="4"/>
      <c r="AH73" s="4">
        <v>1171799944200</v>
      </c>
    </row>
    <row r="74" spans="1:34" x14ac:dyDescent="0.25">
      <c r="A74" s="4">
        <v>73</v>
      </c>
      <c r="B74" s="5" t="s">
        <v>216</v>
      </c>
      <c r="C74" s="5" t="s">
        <v>217</v>
      </c>
      <c r="D74" s="5" t="s">
        <v>23</v>
      </c>
      <c r="E74" s="5" t="s">
        <v>40</v>
      </c>
      <c r="F74" s="5" t="s">
        <v>52</v>
      </c>
      <c r="G74" s="5" t="s">
        <v>110</v>
      </c>
      <c r="H74" s="4"/>
      <c r="I74" s="4"/>
      <c r="J74" s="6"/>
      <c r="K74" s="6"/>
      <c r="L74" s="6"/>
      <c r="M74" s="4"/>
      <c r="N74" s="4"/>
      <c r="O74" s="4"/>
      <c r="P74" s="6"/>
      <c r="Q74" s="6"/>
      <c r="R74" s="6"/>
      <c r="S74" s="6"/>
      <c r="T74" s="4"/>
      <c r="U74" s="6"/>
      <c r="V74" s="6"/>
      <c r="W74" s="6"/>
      <c r="X74" s="6"/>
      <c r="Y74" s="4"/>
      <c r="Z74" s="6"/>
      <c r="AA74" s="4"/>
      <c r="AB74" s="4"/>
      <c r="AC74" s="4"/>
      <c r="AD74" s="6"/>
      <c r="AE74" s="4"/>
      <c r="AF74" s="4"/>
      <c r="AG74" s="4"/>
      <c r="AH74" s="4">
        <v>8506472991200</v>
      </c>
    </row>
    <row r="75" spans="1:34" x14ac:dyDescent="0.25">
      <c r="A75" s="4">
        <v>74</v>
      </c>
      <c r="B75" s="5" t="s">
        <v>218</v>
      </c>
      <c r="C75" s="5" t="s">
        <v>219</v>
      </c>
      <c r="D75" s="5" t="s">
        <v>23</v>
      </c>
      <c r="E75" s="5" t="s">
        <v>75</v>
      </c>
      <c r="F75" s="5" t="s">
        <v>79</v>
      </c>
      <c r="G75" s="5" t="s">
        <v>80</v>
      </c>
      <c r="H75" s="4">
        <v>357099001625</v>
      </c>
      <c r="I75" s="4">
        <v>709024779575</v>
      </c>
      <c r="J75" s="6">
        <v>-0.38250000000000001</v>
      </c>
      <c r="K75" s="6">
        <v>-0.32019999999999998</v>
      </c>
      <c r="L75" s="6">
        <v>-5.7200000000000001E-2</v>
      </c>
      <c r="M75" s="4">
        <v>15436425569</v>
      </c>
      <c r="N75" s="4">
        <v>81280190225</v>
      </c>
      <c r="O75" s="4"/>
      <c r="P75" s="6">
        <v>-0.91220000000000001</v>
      </c>
      <c r="Q75" s="6">
        <v>-0.71150000000000002</v>
      </c>
      <c r="R75" s="6">
        <v>-0.68689999999999996</v>
      </c>
      <c r="S75" s="6">
        <v>-0.76559999999999995</v>
      </c>
      <c r="T75" s="4"/>
      <c r="U75" s="6">
        <v>0</v>
      </c>
      <c r="V75" s="6">
        <v>-0.7782</v>
      </c>
      <c r="W75" s="6">
        <v>-0.7762</v>
      </c>
      <c r="X75" s="6">
        <v>3.9300000000000002E-2</v>
      </c>
      <c r="Y75" s="4"/>
      <c r="Z75" s="6">
        <v>1.47E-2</v>
      </c>
      <c r="AA75" s="4"/>
      <c r="AB75" s="4"/>
      <c r="AC75" s="4"/>
      <c r="AD75" s="6">
        <v>0</v>
      </c>
      <c r="AE75" s="4"/>
      <c r="AF75" s="4"/>
      <c r="AG75" s="4"/>
      <c r="AH75" s="4">
        <v>6234409103100</v>
      </c>
    </row>
    <row r="76" spans="1:34" x14ac:dyDescent="0.25">
      <c r="A76" s="4">
        <v>75</v>
      </c>
      <c r="B76" s="5" t="s">
        <v>220</v>
      </c>
      <c r="C76" s="5" t="s">
        <v>221</v>
      </c>
      <c r="D76" s="5" t="s">
        <v>23</v>
      </c>
      <c r="E76" s="5" t="s">
        <v>40</v>
      </c>
      <c r="F76" s="5" t="s">
        <v>52</v>
      </c>
      <c r="G76" s="5" t="s">
        <v>53</v>
      </c>
      <c r="H76" s="4"/>
      <c r="I76" s="4"/>
      <c r="J76" s="6"/>
      <c r="K76" s="6"/>
      <c r="L76" s="6"/>
      <c r="M76" s="4"/>
      <c r="N76" s="4"/>
      <c r="O76" s="4"/>
      <c r="P76" s="6"/>
      <c r="Q76" s="6"/>
      <c r="R76" s="6"/>
      <c r="S76" s="6"/>
      <c r="T76" s="4"/>
      <c r="U76" s="6"/>
      <c r="V76" s="6"/>
      <c r="W76" s="6"/>
      <c r="X76" s="6"/>
      <c r="Y76" s="4"/>
      <c r="Z76" s="6"/>
      <c r="AA76" s="4"/>
      <c r="AB76" s="4"/>
      <c r="AC76" s="4"/>
      <c r="AD76" s="6"/>
      <c r="AE76" s="4"/>
      <c r="AF76" s="4"/>
      <c r="AG76" s="4"/>
      <c r="AH76" s="4">
        <v>981481227250</v>
      </c>
    </row>
    <row r="77" spans="1:34" x14ac:dyDescent="0.25">
      <c r="A77" s="4">
        <v>76</v>
      </c>
      <c r="B77" s="5" t="s">
        <v>222</v>
      </c>
      <c r="C77" s="5" t="s">
        <v>223</v>
      </c>
      <c r="D77" s="5" t="s">
        <v>23</v>
      </c>
      <c r="E77" s="5" t="s">
        <v>75</v>
      </c>
      <c r="F77" s="5" t="s">
        <v>76</v>
      </c>
      <c r="G77" s="5" t="s">
        <v>76</v>
      </c>
      <c r="H77" s="4">
        <v>41590751151</v>
      </c>
      <c r="I77" s="4"/>
      <c r="J77" s="6">
        <v>-0.92459999999999998</v>
      </c>
      <c r="K77" s="6">
        <v>-0.86680000000000001</v>
      </c>
      <c r="L77" s="6">
        <v>-0.86639999999999995</v>
      </c>
      <c r="M77" s="4">
        <v>2530433014</v>
      </c>
      <c r="N77" s="4"/>
      <c r="O77" s="4"/>
      <c r="P77" s="6">
        <v>-0.98780000000000001</v>
      </c>
      <c r="Q77" s="6">
        <v>-0.96360000000000001</v>
      </c>
      <c r="R77" s="6">
        <v>-0.95330000000000004</v>
      </c>
      <c r="S77" s="6">
        <v>-0.52200000000000002</v>
      </c>
      <c r="T77" s="4"/>
      <c r="U77" s="6">
        <v>-0.85580000000000001</v>
      </c>
      <c r="V77" s="6">
        <v>-0.95789999999999997</v>
      </c>
      <c r="W77" s="6">
        <v>-0.95920000000000005</v>
      </c>
      <c r="X77" s="6">
        <v>7.6799999999999993E-2</v>
      </c>
      <c r="Y77" s="4"/>
      <c r="Z77" s="6">
        <v>-5.7500000000000002E-2</v>
      </c>
      <c r="AA77" s="4"/>
      <c r="AB77" s="4"/>
      <c r="AC77" s="4"/>
      <c r="AD77" s="6">
        <v>0</v>
      </c>
      <c r="AE77" s="4"/>
      <c r="AF77" s="4"/>
      <c r="AG77" s="4"/>
      <c r="AH77" s="4">
        <v>788266279100</v>
      </c>
    </row>
    <row r="78" spans="1:34" x14ac:dyDescent="0.25">
      <c r="A78" s="4">
        <v>77</v>
      </c>
      <c r="B78" s="5" t="s">
        <v>224</v>
      </c>
      <c r="C78" s="5" t="s">
        <v>225</v>
      </c>
      <c r="D78" s="5" t="s">
        <v>23</v>
      </c>
      <c r="E78" s="5" t="s">
        <v>62</v>
      </c>
      <c r="F78" s="5" t="s">
        <v>226</v>
      </c>
      <c r="G78" s="5" t="s">
        <v>227</v>
      </c>
      <c r="H78" s="4">
        <v>12292729189</v>
      </c>
      <c r="I78" s="4">
        <v>22096274169</v>
      </c>
      <c r="J78" s="6">
        <v>-9.5899999999999999E-2</v>
      </c>
      <c r="K78" s="6">
        <v>-0.111</v>
      </c>
      <c r="L78" s="6">
        <v>8.6999999999999994E-3</v>
      </c>
      <c r="M78" s="4">
        <v>1463271980</v>
      </c>
      <c r="N78" s="4">
        <v>391425380</v>
      </c>
      <c r="O78" s="4"/>
      <c r="P78" s="6">
        <v>2.5154000000000001</v>
      </c>
      <c r="Q78" s="6">
        <v>1.1054999999999999</v>
      </c>
      <c r="R78" s="6">
        <v>-23.299099999999999</v>
      </c>
      <c r="S78" s="6">
        <v>2.3652000000000002</v>
      </c>
      <c r="T78" s="4"/>
      <c r="U78" s="6">
        <v>-0.55810000000000004</v>
      </c>
      <c r="V78" s="6">
        <v>-0.92720000000000002</v>
      </c>
      <c r="W78" s="6">
        <v>-0.90900000000000003</v>
      </c>
      <c r="X78" s="6">
        <v>0</v>
      </c>
      <c r="Y78" s="4"/>
      <c r="Z78" s="6">
        <v>0.25390000000000001</v>
      </c>
      <c r="AA78" s="4"/>
      <c r="AB78" s="4"/>
      <c r="AC78" s="4"/>
      <c r="AD78" s="6">
        <v>0</v>
      </c>
      <c r="AE78" s="4"/>
      <c r="AF78" s="4"/>
      <c r="AG78" s="4"/>
      <c r="AH78" s="4">
        <v>224814000000</v>
      </c>
    </row>
    <row r="79" spans="1:34" x14ac:dyDescent="0.25">
      <c r="A79" s="4">
        <v>78</v>
      </c>
      <c r="B79" s="5" t="s">
        <v>228</v>
      </c>
      <c r="C79" s="5" t="s">
        <v>229</v>
      </c>
      <c r="D79" s="5" t="s">
        <v>23</v>
      </c>
      <c r="E79" s="5" t="s">
        <v>29</v>
      </c>
      <c r="F79" s="5" t="s">
        <v>30</v>
      </c>
      <c r="G79" s="5" t="s">
        <v>31</v>
      </c>
      <c r="H79" s="4">
        <v>993420325979</v>
      </c>
      <c r="I79" s="4">
        <v>1635356205501</v>
      </c>
      <c r="J79" s="6">
        <v>0.38640000000000002</v>
      </c>
      <c r="K79" s="6">
        <v>0.26019999999999999</v>
      </c>
      <c r="L79" s="6">
        <v>0.18210000000000001</v>
      </c>
      <c r="M79" s="4">
        <v>40182399353</v>
      </c>
      <c r="N79" s="4">
        <v>58544598275</v>
      </c>
      <c r="O79" s="4"/>
      <c r="P79" s="6">
        <v>1.4261999999999999</v>
      </c>
      <c r="Q79" s="6">
        <v>0.95760000000000001</v>
      </c>
      <c r="R79" s="6">
        <v>0.87390000000000001</v>
      </c>
      <c r="S79" s="6">
        <v>1.1882999999999999</v>
      </c>
      <c r="T79" s="4"/>
      <c r="U79" s="6">
        <v>-0.371</v>
      </c>
      <c r="V79" s="6">
        <v>-0.24279999999999999</v>
      </c>
      <c r="W79" s="6">
        <v>-0.1636</v>
      </c>
      <c r="X79" s="6">
        <v>0</v>
      </c>
      <c r="Y79" s="4"/>
      <c r="Z79" s="6">
        <v>0.54749999999999999</v>
      </c>
      <c r="AA79" s="4"/>
      <c r="AB79" s="4"/>
      <c r="AC79" s="4"/>
      <c r="AD79" s="6">
        <v>0</v>
      </c>
      <c r="AE79" s="4"/>
      <c r="AF79" s="4"/>
      <c r="AG79" s="4"/>
      <c r="AH79" s="4">
        <v>547596177310</v>
      </c>
    </row>
    <row r="80" spans="1:34" x14ac:dyDescent="0.25">
      <c r="A80" s="4">
        <v>79</v>
      </c>
      <c r="B80" s="5" t="s">
        <v>230</v>
      </c>
      <c r="C80" s="5" t="s">
        <v>231</v>
      </c>
      <c r="D80" s="5" t="s">
        <v>23</v>
      </c>
      <c r="E80" s="5" t="s">
        <v>29</v>
      </c>
      <c r="F80" s="5" t="s">
        <v>30</v>
      </c>
      <c r="G80" s="5" t="s">
        <v>31</v>
      </c>
      <c r="H80" s="4"/>
      <c r="I80" s="4"/>
      <c r="J80" s="6"/>
      <c r="K80" s="6"/>
      <c r="L80" s="6"/>
      <c r="M80" s="4"/>
      <c r="N80" s="4"/>
      <c r="O80" s="4"/>
      <c r="P80" s="6"/>
      <c r="Q80" s="6"/>
      <c r="R80" s="6"/>
      <c r="S80" s="6"/>
      <c r="T80" s="4"/>
      <c r="U80" s="6"/>
      <c r="V80" s="6"/>
      <c r="W80" s="6"/>
      <c r="X80" s="6"/>
      <c r="Y80" s="4"/>
      <c r="Z80" s="6"/>
      <c r="AA80" s="4"/>
      <c r="AB80" s="4"/>
      <c r="AC80" s="4"/>
      <c r="AD80" s="6"/>
      <c r="AE80" s="4"/>
      <c r="AF80" s="4"/>
      <c r="AG80" s="4"/>
      <c r="AH80" s="4">
        <v>6896743984000</v>
      </c>
    </row>
    <row r="81" spans="1:34" x14ac:dyDescent="0.25">
      <c r="A81" s="4">
        <v>80</v>
      </c>
      <c r="B81" s="5" t="s">
        <v>232</v>
      </c>
      <c r="C81" s="5" t="s">
        <v>233</v>
      </c>
      <c r="D81" s="5" t="s">
        <v>23</v>
      </c>
      <c r="E81" s="5" t="s">
        <v>234</v>
      </c>
      <c r="F81" s="5" t="s">
        <v>235</v>
      </c>
      <c r="G81" s="5" t="s">
        <v>236</v>
      </c>
      <c r="H81" s="4"/>
      <c r="I81" s="4"/>
      <c r="J81" s="6"/>
      <c r="K81" s="6"/>
      <c r="L81" s="6"/>
      <c r="M81" s="4"/>
      <c r="N81" s="4"/>
      <c r="O81" s="4"/>
      <c r="P81" s="6"/>
      <c r="Q81" s="6"/>
      <c r="R81" s="6"/>
      <c r="S81" s="6"/>
      <c r="T81" s="4"/>
      <c r="U81" s="6"/>
      <c r="V81" s="6"/>
      <c r="W81" s="6"/>
      <c r="X81" s="6"/>
      <c r="Y81" s="4"/>
      <c r="Z81" s="6"/>
      <c r="AA81" s="4"/>
      <c r="AB81" s="4"/>
      <c r="AC81" s="4"/>
      <c r="AD81" s="6"/>
      <c r="AE81" s="4"/>
      <c r="AF81" s="4"/>
      <c r="AG81" s="4"/>
      <c r="AH81" s="4">
        <v>4620524911800</v>
      </c>
    </row>
    <row r="82" spans="1:34" x14ac:dyDescent="0.25">
      <c r="A82" s="4">
        <v>81</v>
      </c>
      <c r="B82" s="5" t="s">
        <v>237</v>
      </c>
      <c r="C82" s="5" t="s">
        <v>238</v>
      </c>
      <c r="D82" s="5" t="s">
        <v>23</v>
      </c>
      <c r="E82" s="5" t="s">
        <v>234</v>
      </c>
      <c r="F82" s="5" t="s">
        <v>235</v>
      </c>
      <c r="G82" s="5" t="s">
        <v>236</v>
      </c>
      <c r="H82" s="4"/>
      <c r="I82" s="4"/>
      <c r="J82" s="6"/>
      <c r="K82" s="6"/>
      <c r="L82" s="6"/>
      <c r="M82" s="4"/>
      <c r="N82" s="4"/>
      <c r="O82" s="4"/>
      <c r="P82" s="6"/>
      <c r="Q82" s="6"/>
      <c r="R82" s="6"/>
      <c r="S82" s="6"/>
      <c r="T82" s="4"/>
      <c r="U82" s="6"/>
      <c r="V82" s="6"/>
      <c r="W82" s="6"/>
      <c r="X82" s="6"/>
      <c r="Y82" s="4"/>
      <c r="Z82" s="6"/>
      <c r="AA82" s="4"/>
      <c r="AB82" s="4"/>
      <c r="AC82" s="4"/>
      <c r="AD82" s="6"/>
      <c r="AE82" s="4"/>
      <c r="AF82" s="4"/>
      <c r="AG82" s="4"/>
      <c r="AH82" s="4">
        <v>274590775000</v>
      </c>
    </row>
    <row r="83" spans="1:34" x14ac:dyDescent="0.25">
      <c r="A83" s="4">
        <v>82</v>
      </c>
      <c r="B83" s="5" t="s">
        <v>239</v>
      </c>
      <c r="C83" s="5" t="s">
        <v>240</v>
      </c>
      <c r="D83" s="5" t="s">
        <v>23</v>
      </c>
      <c r="E83" s="5" t="s">
        <v>40</v>
      </c>
      <c r="F83" s="5" t="s">
        <v>52</v>
      </c>
      <c r="G83" s="5" t="s">
        <v>110</v>
      </c>
      <c r="H83" s="4"/>
      <c r="I83" s="4"/>
      <c r="J83" s="6"/>
      <c r="K83" s="6"/>
      <c r="L83" s="6"/>
      <c r="M83" s="4"/>
      <c r="N83" s="4"/>
      <c r="O83" s="4"/>
      <c r="P83" s="6"/>
      <c r="Q83" s="6"/>
      <c r="R83" s="6"/>
      <c r="S83" s="6"/>
      <c r="T83" s="4"/>
      <c r="U83" s="6"/>
      <c r="V83" s="6"/>
      <c r="W83" s="6"/>
      <c r="X83" s="6"/>
      <c r="Y83" s="4"/>
      <c r="Z83" s="6"/>
      <c r="AA83" s="4"/>
      <c r="AB83" s="4"/>
      <c r="AC83" s="4"/>
      <c r="AD83" s="6"/>
      <c r="AE83" s="4"/>
      <c r="AF83" s="4"/>
      <c r="AG83" s="4"/>
      <c r="AH83" s="4">
        <v>702381335500</v>
      </c>
    </row>
    <row r="84" spans="1:34" x14ac:dyDescent="0.25">
      <c r="A84" s="4">
        <v>83</v>
      </c>
      <c r="B84" s="5" t="s">
        <v>241</v>
      </c>
      <c r="C84" s="5" t="s">
        <v>242</v>
      </c>
      <c r="D84" s="5" t="s">
        <v>23</v>
      </c>
      <c r="E84" s="5" t="s">
        <v>234</v>
      </c>
      <c r="F84" s="5" t="s">
        <v>235</v>
      </c>
      <c r="G84" s="5" t="s">
        <v>236</v>
      </c>
      <c r="H84" s="4"/>
      <c r="I84" s="4"/>
      <c r="J84" s="6"/>
      <c r="K84" s="6"/>
      <c r="L84" s="6"/>
      <c r="M84" s="4"/>
      <c r="N84" s="4"/>
      <c r="O84" s="4"/>
      <c r="P84" s="6"/>
      <c r="Q84" s="6"/>
      <c r="R84" s="6"/>
      <c r="S84" s="6"/>
      <c r="T84" s="4"/>
      <c r="U84" s="6"/>
      <c r="V84" s="6"/>
      <c r="W84" s="6"/>
      <c r="X84" s="6"/>
      <c r="Y84" s="4"/>
      <c r="Z84" s="6"/>
      <c r="AA84" s="4"/>
      <c r="AB84" s="4"/>
      <c r="AC84" s="4"/>
      <c r="AD84" s="6"/>
      <c r="AE84" s="4"/>
      <c r="AF84" s="4"/>
      <c r="AG84" s="4"/>
      <c r="AH84" s="4">
        <v>2782863243000</v>
      </c>
    </row>
    <row r="85" spans="1:34" x14ac:dyDescent="0.25">
      <c r="A85" s="4">
        <v>84</v>
      </c>
      <c r="B85" s="5" t="s">
        <v>243</v>
      </c>
      <c r="C85" s="5" t="s">
        <v>244</v>
      </c>
      <c r="D85" s="5" t="s">
        <v>23</v>
      </c>
      <c r="E85" s="5" t="s">
        <v>24</v>
      </c>
      <c r="F85" s="5" t="s">
        <v>25</v>
      </c>
      <c r="G85" s="5" t="s">
        <v>45</v>
      </c>
      <c r="H85" s="4"/>
      <c r="I85" s="4"/>
      <c r="J85" s="6"/>
      <c r="K85" s="6"/>
      <c r="L85" s="6"/>
      <c r="M85" s="4"/>
      <c r="N85" s="4"/>
      <c r="O85" s="4"/>
      <c r="P85" s="6"/>
      <c r="Q85" s="6"/>
      <c r="R85" s="6"/>
      <c r="S85" s="6"/>
      <c r="T85" s="4"/>
      <c r="U85" s="6"/>
      <c r="V85" s="6"/>
      <c r="W85" s="6"/>
      <c r="X85" s="6"/>
      <c r="Y85" s="4"/>
      <c r="Z85" s="6"/>
      <c r="AA85" s="4"/>
      <c r="AB85" s="4"/>
      <c r="AC85" s="4"/>
      <c r="AD85" s="6"/>
      <c r="AE85" s="4"/>
      <c r="AF85" s="4"/>
      <c r="AG85" s="4"/>
      <c r="AH85" s="4">
        <v>15299660000000</v>
      </c>
    </row>
    <row r="86" spans="1:34" x14ac:dyDescent="0.25">
      <c r="A86" s="4">
        <v>85</v>
      </c>
      <c r="B86" s="5" t="s">
        <v>245</v>
      </c>
      <c r="C86" s="5" t="s">
        <v>246</v>
      </c>
      <c r="D86" s="5" t="s">
        <v>23</v>
      </c>
      <c r="E86" s="5" t="s">
        <v>24</v>
      </c>
      <c r="F86" s="5" t="s">
        <v>25</v>
      </c>
      <c r="G86" s="5" t="s">
        <v>45</v>
      </c>
      <c r="H86" s="4">
        <v>2415414034358</v>
      </c>
      <c r="I86" s="4">
        <v>4540004805000</v>
      </c>
      <c r="J86" s="6">
        <v>-0.16550000000000001</v>
      </c>
      <c r="K86" s="6"/>
      <c r="L86" s="6"/>
      <c r="M86" s="4">
        <v>388553679077</v>
      </c>
      <c r="N86" s="4">
        <v>797377231792</v>
      </c>
      <c r="O86" s="4"/>
      <c r="P86" s="6">
        <v>-0.53869999999999996</v>
      </c>
      <c r="Q86" s="6"/>
      <c r="R86" s="6"/>
      <c r="S86" s="6">
        <v>-4.9599999999999998E-2</v>
      </c>
      <c r="T86" s="4"/>
      <c r="U86" s="6"/>
      <c r="V86" s="6"/>
      <c r="W86" s="6"/>
      <c r="X86" s="6"/>
      <c r="Y86" s="4"/>
      <c r="Z86" s="6">
        <v>0.13689999999999999</v>
      </c>
      <c r="AA86" s="4"/>
      <c r="AB86" s="4"/>
      <c r="AC86" s="4"/>
      <c r="AD86" s="6"/>
      <c r="AE86" s="4"/>
      <c r="AF86" s="4"/>
      <c r="AG86" s="4"/>
      <c r="AH86" s="4">
        <v>15381025726500</v>
      </c>
    </row>
    <row r="87" spans="1:34" x14ac:dyDescent="0.25">
      <c r="A87" s="4">
        <v>86</v>
      </c>
      <c r="B87" s="5" t="s">
        <v>247</v>
      </c>
      <c r="C87" s="5" t="s">
        <v>248</v>
      </c>
      <c r="D87" s="5" t="s">
        <v>23</v>
      </c>
      <c r="E87" s="5" t="s">
        <v>62</v>
      </c>
      <c r="F87" s="5" t="s">
        <v>71</v>
      </c>
      <c r="G87" s="5" t="s">
        <v>103</v>
      </c>
      <c r="H87" s="4"/>
      <c r="I87" s="4"/>
      <c r="J87" s="6"/>
      <c r="K87" s="6"/>
      <c r="L87" s="6"/>
      <c r="M87" s="4"/>
      <c r="N87" s="4"/>
      <c r="O87" s="4"/>
      <c r="P87" s="6"/>
      <c r="Q87" s="6"/>
      <c r="R87" s="6"/>
      <c r="S87" s="6"/>
      <c r="T87" s="4"/>
      <c r="U87" s="6"/>
      <c r="V87" s="6"/>
      <c r="W87" s="6"/>
      <c r="X87" s="6"/>
      <c r="Y87" s="4"/>
      <c r="Z87" s="6"/>
      <c r="AA87" s="4"/>
      <c r="AB87" s="4"/>
      <c r="AC87" s="4"/>
      <c r="AD87" s="6"/>
      <c r="AE87" s="4"/>
      <c r="AF87" s="4"/>
      <c r="AG87" s="4"/>
      <c r="AH87" s="4">
        <v>7607938400000</v>
      </c>
    </row>
    <row r="88" spans="1:34" x14ac:dyDescent="0.25">
      <c r="A88" s="4">
        <v>87</v>
      </c>
      <c r="B88" s="5" t="s">
        <v>249</v>
      </c>
      <c r="C88" s="5" t="s">
        <v>250</v>
      </c>
      <c r="D88" s="5" t="s">
        <v>23</v>
      </c>
      <c r="E88" s="5" t="s">
        <v>40</v>
      </c>
      <c r="F88" s="5" t="s">
        <v>52</v>
      </c>
      <c r="G88" s="5" t="s">
        <v>53</v>
      </c>
      <c r="H88" s="4"/>
      <c r="I88" s="4"/>
      <c r="J88" s="6"/>
      <c r="K88" s="6"/>
      <c r="L88" s="6"/>
      <c r="M88" s="4"/>
      <c r="N88" s="4"/>
      <c r="O88" s="4"/>
      <c r="P88" s="6"/>
      <c r="Q88" s="6"/>
      <c r="R88" s="6"/>
      <c r="S88" s="6"/>
      <c r="T88" s="4"/>
      <c r="U88" s="6"/>
      <c r="V88" s="6"/>
      <c r="W88" s="6"/>
      <c r="X88" s="6"/>
      <c r="Y88" s="4"/>
      <c r="Z88" s="6"/>
      <c r="AA88" s="4"/>
      <c r="AB88" s="4"/>
      <c r="AC88" s="4"/>
      <c r="AD88" s="6"/>
      <c r="AE88" s="4"/>
      <c r="AF88" s="4"/>
      <c r="AG88" s="4"/>
      <c r="AH88" s="4">
        <v>700723074800</v>
      </c>
    </row>
    <row r="89" spans="1:34" x14ac:dyDescent="0.25">
      <c r="A89" s="4">
        <v>88</v>
      </c>
      <c r="B89" s="5" t="s">
        <v>251</v>
      </c>
      <c r="C89" s="5" t="s">
        <v>252</v>
      </c>
      <c r="D89" s="5" t="s">
        <v>23</v>
      </c>
      <c r="E89" s="5" t="s">
        <v>24</v>
      </c>
      <c r="F89" s="5" t="s">
        <v>56</v>
      </c>
      <c r="G89" s="5" t="s">
        <v>253</v>
      </c>
      <c r="H89" s="4"/>
      <c r="I89" s="4"/>
      <c r="J89" s="6"/>
      <c r="K89" s="6"/>
      <c r="L89" s="6"/>
      <c r="M89" s="4"/>
      <c r="N89" s="4"/>
      <c r="O89" s="4"/>
      <c r="P89" s="6"/>
      <c r="Q89" s="6"/>
      <c r="R89" s="6"/>
      <c r="S89" s="6"/>
      <c r="T89" s="4"/>
      <c r="U89" s="6"/>
      <c r="V89" s="6"/>
      <c r="W89" s="6"/>
      <c r="X89" s="6"/>
      <c r="Y89" s="4"/>
      <c r="Z89" s="6"/>
      <c r="AA89" s="4"/>
      <c r="AB89" s="4"/>
      <c r="AC89" s="4"/>
      <c r="AD89" s="6"/>
      <c r="AE89" s="4"/>
      <c r="AF89" s="4"/>
      <c r="AG89" s="4"/>
      <c r="AH89" s="4">
        <v>3091863942000</v>
      </c>
    </row>
    <row r="90" spans="1:34" x14ac:dyDescent="0.25">
      <c r="A90" s="4">
        <v>89</v>
      </c>
      <c r="B90" s="5" t="s">
        <v>254</v>
      </c>
      <c r="C90" s="5" t="s">
        <v>255</v>
      </c>
      <c r="D90" s="5" t="s">
        <v>23</v>
      </c>
      <c r="E90" s="5" t="s">
        <v>234</v>
      </c>
      <c r="F90" s="5" t="s">
        <v>235</v>
      </c>
      <c r="G90" s="5" t="s">
        <v>236</v>
      </c>
      <c r="H90" s="4">
        <v>1363150471725</v>
      </c>
      <c r="I90" s="4">
        <v>2561250654513</v>
      </c>
      <c r="J90" s="6">
        <v>0.15110000000000001</v>
      </c>
      <c r="K90" s="6">
        <v>7.6700000000000004E-2</v>
      </c>
      <c r="L90" s="6">
        <v>0.1215</v>
      </c>
      <c r="M90" s="4">
        <v>298667559205</v>
      </c>
      <c r="N90" s="4">
        <v>614344840477</v>
      </c>
      <c r="O90" s="4"/>
      <c r="P90" s="6">
        <v>0.26079999999999998</v>
      </c>
      <c r="Q90" s="6">
        <v>0.221</v>
      </c>
      <c r="R90" s="6">
        <v>6.4299999999999996E-2</v>
      </c>
      <c r="S90" s="6">
        <v>-5.3900000000000003E-2</v>
      </c>
      <c r="T90" s="4"/>
      <c r="U90" s="6">
        <v>-0.53680000000000005</v>
      </c>
      <c r="V90" s="6">
        <v>-0.2994</v>
      </c>
      <c r="W90" s="6">
        <v>-0.2374</v>
      </c>
      <c r="X90" s="6">
        <v>7.6899999999999996E-2</v>
      </c>
      <c r="Y90" s="4"/>
      <c r="Z90" s="6">
        <v>0.13780000000000001</v>
      </c>
      <c r="AA90" s="4"/>
      <c r="AB90" s="4"/>
      <c r="AC90" s="4"/>
      <c r="AD90" s="6">
        <v>0</v>
      </c>
      <c r="AE90" s="4"/>
      <c r="AF90" s="4"/>
      <c r="AG90" s="4"/>
      <c r="AH90" s="4">
        <v>11897892461000</v>
      </c>
    </row>
    <row r="91" spans="1:34" x14ac:dyDescent="0.25">
      <c r="A91" s="4">
        <v>90</v>
      </c>
      <c r="B91" s="5" t="s">
        <v>256</v>
      </c>
      <c r="C91" s="5" t="s">
        <v>257</v>
      </c>
      <c r="D91" s="5" t="s">
        <v>23</v>
      </c>
      <c r="E91" s="5" t="s">
        <v>24</v>
      </c>
      <c r="F91" s="5" t="s">
        <v>56</v>
      </c>
      <c r="G91" s="5" t="s">
        <v>129</v>
      </c>
      <c r="H91" s="4">
        <v>861025726302</v>
      </c>
      <c r="I91" s="4">
        <v>1943381515537</v>
      </c>
      <c r="J91" s="6">
        <v>0.55579999999999996</v>
      </c>
      <c r="K91" s="6">
        <v>0.96899999999999997</v>
      </c>
      <c r="L91" s="6">
        <v>0.75700000000000001</v>
      </c>
      <c r="M91" s="4">
        <v>-1903548308</v>
      </c>
      <c r="N91" s="4">
        <v>104765861</v>
      </c>
      <c r="O91" s="4"/>
      <c r="P91" s="6">
        <v>0.5464</v>
      </c>
      <c r="Q91" s="6">
        <v>1.0329999999999999</v>
      </c>
      <c r="R91" s="6">
        <v>2.0678999999999998</v>
      </c>
      <c r="S91" s="6">
        <v>-1.9478</v>
      </c>
      <c r="T91" s="4"/>
      <c r="U91" s="6">
        <v>-0.42320000000000002</v>
      </c>
      <c r="V91" s="6">
        <v>-0.94020000000000004</v>
      </c>
      <c r="W91" s="6">
        <v>-0.98399999999999999</v>
      </c>
      <c r="X91" s="6">
        <v>0</v>
      </c>
      <c r="Y91" s="4"/>
      <c r="Z91" s="6">
        <v>-0.20449999999999999</v>
      </c>
      <c r="AA91" s="4"/>
      <c r="AB91" s="4"/>
      <c r="AC91" s="4"/>
      <c r="AD91" s="6">
        <v>0</v>
      </c>
      <c r="AE91" s="4"/>
      <c r="AF91" s="4"/>
      <c r="AG91" s="4"/>
      <c r="AH91" s="4">
        <v>221719187580</v>
      </c>
    </row>
    <row r="92" spans="1:34" x14ac:dyDescent="0.25">
      <c r="A92" s="4">
        <v>91</v>
      </c>
      <c r="B92" s="5" t="s">
        <v>258</v>
      </c>
      <c r="C92" s="5" t="s">
        <v>259</v>
      </c>
      <c r="D92" s="5" t="s">
        <v>23</v>
      </c>
      <c r="E92" s="5" t="s">
        <v>75</v>
      </c>
      <c r="F92" s="5" t="s">
        <v>76</v>
      </c>
      <c r="G92" s="5" t="s">
        <v>76</v>
      </c>
      <c r="H92" s="4"/>
      <c r="I92" s="4"/>
      <c r="J92" s="6"/>
      <c r="K92" s="6"/>
      <c r="L92" s="6"/>
      <c r="M92" s="4"/>
      <c r="N92" s="4"/>
      <c r="O92" s="4"/>
      <c r="P92" s="6"/>
      <c r="Q92" s="6"/>
      <c r="R92" s="6"/>
      <c r="S92" s="6"/>
      <c r="T92" s="4"/>
      <c r="U92" s="6"/>
      <c r="V92" s="6"/>
      <c r="W92" s="6"/>
      <c r="X92" s="6"/>
      <c r="Y92" s="4"/>
      <c r="Z92" s="6"/>
      <c r="AA92" s="4"/>
      <c r="AB92" s="4"/>
      <c r="AC92" s="4"/>
      <c r="AD92" s="6"/>
      <c r="AE92" s="4"/>
      <c r="AF92" s="4"/>
      <c r="AG92" s="4"/>
      <c r="AH92" s="4">
        <v>8760743101000</v>
      </c>
    </row>
    <row r="93" spans="1:34" x14ac:dyDescent="0.25">
      <c r="A93" s="4">
        <v>92</v>
      </c>
      <c r="B93" s="5" t="s">
        <v>260</v>
      </c>
      <c r="C93" s="5" t="s">
        <v>261</v>
      </c>
      <c r="D93" s="5" t="s">
        <v>23</v>
      </c>
      <c r="E93" s="5" t="s">
        <v>40</v>
      </c>
      <c r="F93" s="5" t="s">
        <v>52</v>
      </c>
      <c r="G93" s="5" t="s">
        <v>110</v>
      </c>
      <c r="H93" s="4"/>
      <c r="I93" s="4"/>
      <c r="J93" s="6"/>
      <c r="K93" s="6"/>
      <c r="L93" s="6"/>
      <c r="M93" s="4"/>
      <c r="N93" s="4"/>
      <c r="O93" s="4"/>
      <c r="P93" s="6"/>
      <c r="Q93" s="6"/>
      <c r="R93" s="6"/>
      <c r="S93" s="6"/>
      <c r="T93" s="4"/>
      <c r="U93" s="6"/>
      <c r="V93" s="6"/>
      <c r="W93" s="6"/>
      <c r="X93" s="6"/>
      <c r="Y93" s="4"/>
      <c r="Z93" s="6"/>
      <c r="AA93" s="4"/>
      <c r="AB93" s="4"/>
      <c r="AC93" s="4"/>
      <c r="AD93" s="6"/>
      <c r="AE93" s="4"/>
      <c r="AF93" s="4"/>
      <c r="AG93" s="4"/>
      <c r="AH93" s="4">
        <v>667460675600</v>
      </c>
    </row>
    <row r="94" spans="1:34" x14ac:dyDescent="0.25">
      <c r="A94" s="4">
        <v>93</v>
      </c>
      <c r="B94" s="5" t="s">
        <v>262</v>
      </c>
      <c r="C94" s="5" t="s">
        <v>263</v>
      </c>
      <c r="D94" s="5" t="s">
        <v>23</v>
      </c>
      <c r="E94" s="5" t="s">
        <v>234</v>
      </c>
      <c r="F94" s="5" t="s">
        <v>235</v>
      </c>
      <c r="G94" s="5" t="s">
        <v>236</v>
      </c>
      <c r="H94" s="4">
        <v>519176682326</v>
      </c>
      <c r="I94" s="4">
        <v>1038767030113</v>
      </c>
      <c r="J94" s="6">
        <v>1.7399999999999999E-2</v>
      </c>
      <c r="K94" s="6">
        <v>6.0600000000000001E-2</v>
      </c>
      <c r="L94" s="6">
        <v>3.09E-2</v>
      </c>
      <c r="M94" s="4">
        <v>56531790067</v>
      </c>
      <c r="N94" s="4">
        <v>109460491736</v>
      </c>
      <c r="O94" s="4"/>
      <c r="P94" s="6">
        <v>0.78259999999999996</v>
      </c>
      <c r="Q94" s="6">
        <v>0.3901</v>
      </c>
      <c r="R94" s="6">
        <v>0.29049999999999998</v>
      </c>
      <c r="S94" s="6">
        <v>6.8099999999999994E-2</v>
      </c>
      <c r="T94" s="4"/>
      <c r="U94" s="6">
        <v>-0.53</v>
      </c>
      <c r="V94" s="6">
        <v>-0.51519999999999999</v>
      </c>
      <c r="W94" s="6">
        <v>-0.51529999999999998</v>
      </c>
      <c r="X94" s="6">
        <v>4.2700000000000002E-2</v>
      </c>
      <c r="Y94" s="4"/>
      <c r="Z94" s="6">
        <v>-8.0000000000000004E-4</v>
      </c>
      <c r="AA94" s="4"/>
      <c r="AB94" s="4"/>
      <c r="AC94" s="4"/>
      <c r="AD94" s="6">
        <v>0</v>
      </c>
      <c r="AE94" s="4"/>
      <c r="AF94" s="4"/>
      <c r="AG94" s="4"/>
      <c r="AH94" s="4">
        <v>2035029449000</v>
      </c>
    </row>
    <row r="95" spans="1:34" x14ac:dyDescent="0.25">
      <c r="A95" s="4">
        <v>94</v>
      </c>
      <c r="B95" s="5" t="s">
        <v>264</v>
      </c>
      <c r="C95" s="5" t="s">
        <v>265</v>
      </c>
      <c r="D95" s="5" t="s">
        <v>23</v>
      </c>
      <c r="E95" s="5" t="s">
        <v>62</v>
      </c>
      <c r="F95" s="5" t="s">
        <v>71</v>
      </c>
      <c r="G95" s="5" t="s">
        <v>147</v>
      </c>
      <c r="H95" s="4"/>
      <c r="I95" s="4"/>
      <c r="J95" s="6"/>
      <c r="K95" s="6"/>
      <c r="L95" s="6"/>
      <c r="M95" s="4"/>
      <c r="N95" s="4"/>
      <c r="O95" s="4"/>
      <c r="P95" s="6"/>
      <c r="Q95" s="6"/>
      <c r="R95" s="6"/>
      <c r="S95" s="6"/>
      <c r="T95" s="4"/>
      <c r="U95" s="6"/>
      <c r="V95" s="6"/>
      <c r="W95" s="6"/>
      <c r="X95" s="6"/>
      <c r="Y95" s="4"/>
      <c r="Z95" s="6"/>
      <c r="AA95" s="4"/>
      <c r="AB95" s="4"/>
      <c r="AC95" s="4"/>
      <c r="AD95" s="6"/>
      <c r="AE95" s="4"/>
      <c r="AF95" s="4"/>
      <c r="AG95" s="4"/>
      <c r="AH95" s="4"/>
    </row>
    <row r="96" spans="1:34" x14ac:dyDescent="0.25">
      <c r="A96" s="4">
        <v>95</v>
      </c>
      <c r="B96" s="5" t="s">
        <v>266</v>
      </c>
      <c r="C96" s="5" t="s">
        <v>267</v>
      </c>
      <c r="D96" s="5" t="s">
        <v>23</v>
      </c>
      <c r="E96" s="5" t="s">
        <v>40</v>
      </c>
      <c r="F96" s="5" t="s">
        <v>52</v>
      </c>
      <c r="G96" s="5" t="s">
        <v>110</v>
      </c>
      <c r="H96" s="4"/>
      <c r="I96" s="4"/>
      <c r="J96" s="6"/>
      <c r="K96" s="6"/>
      <c r="L96" s="6"/>
      <c r="M96" s="4"/>
      <c r="N96" s="4"/>
      <c r="O96" s="4"/>
      <c r="P96" s="6"/>
      <c r="Q96" s="6"/>
      <c r="R96" s="6"/>
      <c r="S96" s="6"/>
      <c r="T96" s="4"/>
      <c r="U96" s="6"/>
      <c r="V96" s="6"/>
      <c r="W96" s="6"/>
      <c r="X96" s="6"/>
      <c r="Y96" s="4"/>
      <c r="Z96" s="6"/>
      <c r="AA96" s="4"/>
      <c r="AB96" s="4"/>
      <c r="AC96" s="4"/>
      <c r="AD96" s="6"/>
      <c r="AE96" s="4"/>
      <c r="AF96" s="4"/>
      <c r="AG96" s="4"/>
      <c r="AH96" s="4">
        <v>3184063527600</v>
      </c>
    </row>
    <row r="97" spans="1:34" x14ac:dyDescent="0.25">
      <c r="A97" s="4">
        <v>96</v>
      </c>
      <c r="B97" s="5" t="s">
        <v>268</v>
      </c>
      <c r="C97" s="5" t="s">
        <v>269</v>
      </c>
      <c r="D97" s="5" t="s">
        <v>23</v>
      </c>
      <c r="E97" s="5" t="s">
        <v>24</v>
      </c>
      <c r="F97" s="5" t="s">
        <v>25</v>
      </c>
      <c r="G97" s="5" t="s">
        <v>45</v>
      </c>
      <c r="H97" s="4"/>
      <c r="I97" s="4"/>
      <c r="J97" s="6"/>
      <c r="K97" s="6"/>
      <c r="L97" s="6"/>
      <c r="M97" s="4"/>
      <c r="N97" s="4"/>
      <c r="O97" s="4"/>
      <c r="P97" s="6"/>
      <c r="Q97" s="6"/>
      <c r="R97" s="6"/>
      <c r="S97" s="6"/>
      <c r="T97" s="4"/>
      <c r="U97" s="6"/>
      <c r="V97" s="6"/>
      <c r="W97" s="6"/>
      <c r="X97" s="6"/>
      <c r="Y97" s="4"/>
      <c r="Z97" s="6"/>
      <c r="AA97" s="4"/>
      <c r="AB97" s="4"/>
      <c r="AC97" s="4"/>
      <c r="AD97" s="6"/>
      <c r="AE97" s="4"/>
      <c r="AF97" s="4"/>
      <c r="AG97" s="4"/>
      <c r="AH97" s="4">
        <v>14992346713050</v>
      </c>
    </row>
    <row r="98" spans="1:34" x14ac:dyDescent="0.25">
      <c r="A98" s="4">
        <v>97</v>
      </c>
      <c r="B98" s="5" t="s">
        <v>270</v>
      </c>
      <c r="C98" s="5" t="s">
        <v>271</v>
      </c>
      <c r="D98" s="5" t="s">
        <v>23</v>
      </c>
      <c r="E98" s="5" t="s">
        <v>24</v>
      </c>
      <c r="F98" s="5" t="s">
        <v>25</v>
      </c>
      <c r="G98" s="5" t="s">
        <v>26</v>
      </c>
      <c r="H98" s="4"/>
      <c r="I98" s="4"/>
      <c r="J98" s="6"/>
      <c r="K98" s="6"/>
      <c r="L98" s="6"/>
      <c r="M98" s="4"/>
      <c r="N98" s="4"/>
      <c r="O98" s="4"/>
      <c r="P98" s="6"/>
      <c r="Q98" s="6"/>
      <c r="R98" s="6"/>
      <c r="S98" s="6"/>
      <c r="T98" s="4"/>
      <c r="U98" s="6"/>
      <c r="V98" s="6"/>
      <c r="W98" s="6"/>
      <c r="X98" s="6"/>
      <c r="Y98" s="4"/>
      <c r="Z98" s="6"/>
      <c r="AA98" s="4"/>
      <c r="AB98" s="4"/>
      <c r="AC98" s="4"/>
      <c r="AD98" s="6"/>
      <c r="AE98" s="4"/>
      <c r="AF98" s="4"/>
      <c r="AG98" s="4"/>
      <c r="AH98" s="4">
        <v>3119204958800</v>
      </c>
    </row>
    <row r="99" spans="1:34" x14ac:dyDescent="0.25">
      <c r="A99" s="4">
        <v>98</v>
      </c>
      <c r="B99" s="5" t="s">
        <v>272</v>
      </c>
      <c r="C99" s="5" t="s">
        <v>273</v>
      </c>
      <c r="D99" s="5" t="s">
        <v>23</v>
      </c>
      <c r="E99" s="5" t="s">
        <v>29</v>
      </c>
      <c r="F99" s="5" t="s">
        <v>36</v>
      </c>
      <c r="G99" s="5" t="s">
        <v>126</v>
      </c>
      <c r="H99" s="4"/>
      <c r="I99" s="4"/>
      <c r="J99" s="6"/>
      <c r="K99" s="6"/>
      <c r="L99" s="6"/>
      <c r="M99" s="4"/>
      <c r="N99" s="4"/>
      <c r="O99" s="4"/>
      <c r="P99" s="6"/>
      <c r="Q99" s="6"/>
      <c r="R99" s="6"/>
      <c r="S99" s="6"/>
      <c r="T99" s="4"/>
      <c r="U99" s="6"/>
      <c r="V99" s="6"/>
      <c r="W99" s="6"/>
      <c r="X99" s="6"/>
      <c r="Y99" s="4"/>
      <c r="Z99" s="6"/>
      <c r="AA99" s="4"/>
      <c r="AB99" s="4"/>
      <c r="AC99" s="4"/>
      <c r="AD99" s="6"/>
      <c r="AE99" s="4"/>
      <c r="AF99" s="4"/>
      <c r="AG99" s="4"/>
      <c r="AH99" s="4">
        <v>274202756700</v>
      </c>
    </row>
    <row r="100" spans="1:34" x14ac:dyDescent="0.25">
      <c r="A100" s="4">
        <v>99</v>
      </c>
      <c r="B100" s="5" t="s">
        <v>274</v>
      </c>
      <c r="C100" s="5" t="s">
        <v>275</v>
      </c>
      <c r="D100" s="5" t="s">
        <v>23</v>
      </c>
      <c r="E100" s="5" t="s">
        <v>29</v>
      </c>
      <c r="F100" s="5" t="s">
        <v>203</v>
      </c>
      <c r="G100" s="5" t="s">
        <v>204</v>
      </c>
      <c r="H100" s="4">
        <v>1175876270051</v>
      </c>
      <c r="I100" s="4">
        <v>2330737731327</v>
      </c>
      <c r="J100" s="6">
        <v>-0.1462</v>
      </c>
      <c r="K100" s="6">
        <v>-8.8499999999999995E-2</v>
      </c>
      <c r="L100" s="6">
        <v>-3.5900000000000001E-2</v>
      </c>
      <c r="M100" s="4">
        <v>31700962731</v>
      </c>
      <c r="N100" s="4">
        <v>47916258100</v>
      </c>
      <c r="O100" s="4"/>
      <c r="P100" s="6">
        <v>-1.14E-2</v>
      </c>
      <c r="Q100" s="6">
        <v>0.1535</v>
      </c>
      <c r="R100" s="6">
        <v>-0.15770000000000001</v>
      </c>
      <c r="S100" s="6">
        <v>0.95499999999999996</v>
      </c>
      <c r="T100" s="4"/>
      <c r="U100" s="6">
        <v>-0.58379999999999999</v>
      </c>
      <c r="V100" s="6">
        <v>-0.62819999999999998</v>
      </c>
      <c r="W100" s="6">
        <v>-0.61360000000000003</v>
      </c>
      <c r="X100" s="6">
        <v>0</v>
      </c>
      <c r="Y100" s="4"/>
      <c r="Z100" s="6">
        <v>1.8200000000000001E-2</v>
      </c>
      <c r="AA100" s="4"/>
      <c r="AB100" s="4"/>
      <c r="AC100" s="4"/>
      <c r="AD100" s="6">
        <v>0</v>
      </c>
      <c r="AE100" s="4"/>
      <c r="AF100" s="4"/>
      <c r="AG100" s="4"/>
      <c r="AH100" s="4">
        <v>1559735758300</v>
      </c>
    </row>
    <row r="101" spans="1:34" x14ac:dyDescent="0.25">
      <c r="A101" s="4">
        <v>100</v>
      </c>
      <c r="B101" s="5" t="s">
        <v>276</v>
      </c>
      <c r="C101" s="5" t="s">
        <v>277</v>
      </c>
      <c r="D101" s="5" t="s">
        <v>23</v>
      </c>
      <c r="E101" s="5" t="s">
        <v>75</v>
      </c>
      <c r="F101" s="5" t="s">
        <v>76</v>
      </c>
      <c r="G101" s="5" t="s">
        <v>76</v>
      </c>
      <c r="H101" s="4"/>
      <c r="I101" s="4"/>
      <c r="J101" s="6"/>
      <c r="K101" s="6"/>
      <c r="L101" s="6"/>
      <c r="M101" s="4"/>
      <c r="N101" s="4"/>
      <c r="O101" s="4"/>
      <c r="P101" s="6"/>
      <c r="Q101" s="6"/>
      <c r="R101" s="6"/>
      <c r="S101" s="6"/>
      <c r="T101" s="4"/>
      <c r="U101" s="6"/>
      <c r="V101" s="6"/>
      <c r="W101" s="6"/>
      <c r="X101" s="6"/>
      <c r="Y101" s="4"/>
      <c r="Z101" s="6"/>
      <c r="AA101" s="4"/>
      <c r="AB101" s="4"/>
      <c r="AC101" s="4"/>
      <c r="AD101" s="6"/>
      <c r="AE101" s="4"/>
      <c r="AF101" s="4"/>
      <c r="AG101" s="4"/>
      <c r="AH101" s="4">
        <v>185561799000</v>
      </c>
    </row>
    <row r="102" spans="1:34" x14ac:dyDescent="0.25">
      <c r="A102" s="4">
        <v>101</v>
      </c>
      <c r="B102" s="5" t="s">
        <v>278</v>
      </c>
      <c r="C102" s="5" t="s">
        <v>279</v>
      </c>
      <c r="D102" s="5" t="s">
        <v>23</v>
      </c>
      <c r="E102" s="5" t="s">
        <v>98</v>
      </c>
      <c r="F102" s="5" t="s">
        <v>99</v>
      </c>
      <c r="G102" s="5" t="s">
        <v>144</v>
      </c>
      <c r="H102" s="4">
        <v>21706775446</v>
      </c>
      <c r="I102" s="4">
        <v>43353976927</v>
      </c>
      <c r="J102" s="6">
        <v>-0.1782</v>
      </c>
      <c r="K102" s="6">
        <v>-0.1149</v>
      </c>
      <c r="L102" s="6">
        <v>-5.6599999999999998E-2</v>
      </c>
      <c r="M102" s="4">
        <v>10781391160</v>
      </c>
      <c r="N102" s="4">
        <v>21824380370</v>
      </c>
      <c r="O102" s="4"/>
      <c r="P102" s="6">
        <v>-0.2054</v>
      </c>
      <c r="Q102" s="6">
        <v>-0.16209999999999999</v>
      </c>
      <c r="R102" s="6">
        <v>-8.0199999999999994E-2</v>
      </c>
      <c r="S102" s="6">
        <v>-2.3699999999999999E-2</v>
      </c>
      <c r="T102" s="4"/>
      <c r="U102" s="6">
        <v>-0.55900000000000005</v>
      </c>
      <c r="V102" s="6">
        <v>-0.50270000000000004</v>
      </c>
      <c r="W102" s="6">
        <v>-0.50360000000000005</v>
      </c>
      <c r="X102" s="6">
        <v>0.1048</v>
      </c>
      <c r="Y102" s="4"/>
      <c r="Z102" s="6">
        <v>2.8E-3</v>
      </c>
      <c r="AA102" s="4"/>
      <c r="AB102" s="4"/>
      <c r="AC102" s="4"/>
      <c r="AD102" s="6">
        <v>0</v>
      </c>
      <c r="AE102" s="4"/>
      <c r="AF102" s="4"/>
      <c r="AG102" s="4"/>
      <c r="AH102" s="4">
        <v>389975000000</v>
      </c>
    </row>
    <row r="103" spans="1:34" x14ac:dyDescent="0.25">
      <c r="A103" s="4">
        <v>102</v>
      </c>
      <c r="B103" s="5" t="s">
        <v>280</v>
      </c>
      <c r="C103" s="5" t="s">
        <v>281</v>
      </c>
      <c r="D103" s="5" t="s">
        <v>23</v>
      </c>
      <c r="E103" s="5" t="s">
        <v>75</v>
      </c>
      <c r="F103" s="5" t="s">
        <v>79</v>
      </c>
      <c r="G103" s="5" t="s">
        <v>80</v>
      </c>
      <c r="H103" s="4">
        <v>148185998676</v>
      </c>
      <c r="I103" s="4">
        <v>331003573047</v>
      </c>
      <c r="J103" s="6">
        <v>0.16819999999999999</v>
      </c>
      <c r="K103" s="6">
        <v>0.2828</v>
      </c>
      <c r="L103" s="6">
        <v>0.38109999999999999</v>
      </c>
      <c r="M103" s="4">
        <v>16215672094</v>
      </c>
      <c r="N103" s="4">
        <v>73908866264</v>
      </c>
      <c r="O103" s="4"/>
      <c r="P103" s="6">
        <v>-0.63729999999999998</v>
      </c>
      <c r="Q103" s="6">
        <v>-0.24940000000000001</v>
      </c>
      <c r="R103" s="6">
        <v>-6.3600000000000004E-2</v>
      </c>
      <c r="S103" s="6">
        <v>-0.71889999999999998</v>
      </c>
      <c r="T103" s="4"/>
      <c r="U103" s="6">
        <v>-0.55689999999999995</v>
      </c>
      <c r="V103" s="6">
        <v>-0.74019999999999997</v>
      </c>
      <c r="W103" s="6">
        <v>-0.74050000000000005</v>
      </c>
      <c r="X103" s="6">
        <v>0</v>
      </c>
      <c r="Y103" s="4"/>
      <c r="Z103" s="6">
        <v>-0.18940000000000001</v>
      </c>
      <c r="AA103" s="4"/>
      <c r="AB103" s="4"/>
      <c r="AC103" s="4"/>
      <c r="AD103" s="6">
        <v>0</v>
      </c>
      <c r="AE103" s="4"/>
      <c r="AF103" s="4"/>
      <c r="AG103" s="4"/>
      <c r="AH103" s="4">
        <v>3035341649900</v>
      </c>
    </row>
    <row r="104" spans="1:34" x14ac:dyDescent="0.25">
      <c r="A104" s="4">
        <v>103</v>
      </c>
      <c r="B104" s="5" t="s">
        <v>282</v>
      </c>
      <c r="C104" s="5" t="s">
        <v>283</v>
      </c>
      <c r="D104" s="5" t="s">
        <v>23</v>
      </c>
      <c r="E104" s="5" t="s">
        <v>75</v>
      </c>
      <c r="F104" s="5" t="s">
        <v>79</v>
      </c>
      <c r="G104" s="5" t="s">
        <v>80</v>
      </c>
      <c r="H104" s="4">
        <v>453085814352</v>
      </c>
      <c r="I104" s="4">
        <v>848228510300</v>
      </c>
      <c r="J104" s="6">
        <v>0.56110000000000004</v>
      </c>
      <c r="K104" s="6">
        <v>0.58950000000000002</v>
      </c>
      <c r="L104" s="6">
        <v>0.67159999999999997</v>
      </c>
      <c r="M104" s="4">
        <v>83015782486</v>
      </c>
      <c r="N104" s="4">
        <v>94342436418</v>
      </c>
      <c r="O104" s="4"/>
      <c r="P104" s="6">
        <v>0.13170000000000001</v>
      </c>
      <c r="Q104" s="6">
        <v>-0.25390000000000001</v>
      </c>
      <c r="R104" s="6">
        <v>-0.35049999999999998</v>
      </c>
      <c r="S104" s="6">
        <v>6.3292000000000002</v>
      </c>
      <c r="T104" s="4"/>
      <c r="U104" s="6">
        <v>-0.51139999999999997</v>
      </c>
      <c r="V104" s="6">
        <v>-0.7944</v>
      </c>
      <c r="W104" s="6">
        <v>-0.78559999999999997</v>
      </c>
      <c r="X104" s="6">
        <v>3.2099999999999997E-2</v>
      </c>
      <c r="Y104" s="4"/>
      <c r="Z104" s="6">
        <v>0.14660000000000001</v>
      </c>
      <c r="AA104" s="4"/>
      <c r="AB104" s="4"/>
      <c r="AC104" s="4"/>
      <c r="AD104" s="6">
        <v>0</v>
      </c>
      <c r="AE104" s="4"/>
      <c r="AF104" s="4"/>
      <c r="AG104" s="4"/>
      <c r="AH104" s="4">
        <v>9335845770800</v>
      </c>
    </row>
    <row r="105" spans="1:34" x14ac:dyDescent="0.25">
      <c r="A105" s="4">
        <v>104</v>
      </c>
      <c r="B105" s="5" t="s">
        <v>284</v>
      </c>
      <c r="C105" s="5" t="s">
        <v>285</v>
      </c>
      <c r="D105" s="5" t="s">
        <v>23</v>
      </c>
      <c r="E105" s="5" t="s">
        <v>62</v>
      </c>
      <c r="F105" s="5" t="s">
        <v>226</v>
      </c>
      <c r="G105" s="5" t="s">
        <v>286</v>
      </c>
      <c r="H105" s="4"/>
      <c r="I105" s="4"/>
      <c r="J105" s="6"/>
      <c r="K105" s="6"/>
      <c r="L105" s="6"/>
      <c r="M105" s="4"/>
      <c r="N105" s="4"/>
      <c r="O105" s="4"/>
      <c r="P105" s="6"/>
      <c r="Q105" s="6"/>
      <c r="R105" s="6"/>
      <c r="S105" s="6"/>
      <c r="T105" s="4"/>
      <c r="U105" s="6"/>
      <c r="V105" s="6"/>
      <c r="W105" s="6"/>
      <c r="X105" s="6"/>
      <c r="Y105" s="4"/>
      <c r="Z105" s="6"/>
      <c r="AA105" s="4"/>
      <c r="AB105" s="4"/>
      <c r="AC105" s="4"/>
      <c r="AD105" s="6"/>
      <c r="AE105" s="4"/>
      <c r="AF105" s="4"/>
      <c r="AG105" s="4"/>
      <c r="AH105" s="4">
        <v>417467960950</v>
      </c>
    </row>
    <row r="106" spans="1:34" x14ac:dyDescent="0.25">
      <c r="A106" s="4">
        <v>105</v>
      </c>
      <c r="B106" s="5" t="s">
        <v>287</v>
      </c>
      <c r="C106" s="5" t="s">
        <v>288</v>
      </c>
      <c r="D106" s="5" t="s">
        <v>23</v>
      </c>
      <c r="E106" s="5" t="s">
        <v>75</v>
      </c>
      <c r="F106" s="5" t="s">
        <v>76</v>
      </c>
      <c r="G106" s="5" t="s">
        <v>76</v>
      </c>
      <c r="H106" s="4">
        <v>26059230978</v>
      </c>
      <c r="I106" s="4">
        <v>38500622578</v>
      </c>
      <c r="J106" s="6">
        <v>-0.43359999999999999</v>
      </c>
      <c r="K106" s="6">
        <v>-0.49370000000000003</v>
      </c>
      <c r="L106" s="6">
        <v>-0.54330000000000001</v>
      </c>
      <c r="M106" s="4">
        <v>2657450526</v>
      </c>
      <c r="N106" s="4">
        <v>5171100653</v>
      </c>
      <c r="O106" s="4"/>
      <c r="P106" s="6">
        <v>7.774</v>
      </c>
      <c r="Q106" s="6">
        <v>12.2281</v>
      </c>
      <c r="R106" s="6">
        <v>18.194099999999999</v>
      </c>
      <c r="S106" s="6">
        <v>5.7200000000000001E-2</v>
      </c>
      <c r="T106" s="4"/>
      <c r="U106" s="6">
        <v>0</v>
      </c>
      <c r="V106" s="6">
        <v>0</v>
      </c>
      <c r="W106" s="6">
        <v>0</v>
      </c>
      <c r="X106" s="6">
        <v>0</v>
      </c>
      <c r="Y106" s="4"/>
      <c r="Z106" s="6">
        <v>1.0946</v>
      </c>
      <c r="AA106" s="4"/>
      <c r="AB106" s="4"/>
      <c r="AC106" s="4"/>
      <c r="AD106" s="6">
        <v>0</v>
      </c>
      <c r="AE106" s="4"/>
      <c r="AF106" s="4"/>
      <c r="AG106" s="4"/>
      <c r="AH106" s="4">
        <v>66900431570</v>
      </c>
    </row>
    <row r="107" spans="1:34" x14ac:dyDescent="0.25">
      <c r="A107" s="4">
        <v>106</v>
      </c>
      <c r="B107" s="5" t="s">
        <v>289</v>
      </c>
      <c r="C107" s="5" t="s">
        <v>290</v>
      </c>
      <c r="D107" s="5" t="s">
        <v>23</v>
      </c>
      <c r="E107" s="5" t="s">
        <v>24</v>
      </c>
      <c r="F107" s="5" t="s">
        <v>56</v>
      </c>
      <c r="G107" s="5" t="s">
        <v>291</v>
      </c>
      <c r="H107" s="4"/>
      <c r="I107" s="4"/>
      <c r="J107" s="6"/>
      <c r="K107" s="6"/>
      <c r="L107" s="6"/>
      <c r="M107" s="4"/>
      <c r="N107" s="4"/>
      <c r="O107" s="4"/>
      <c r="P107" s="6"/>
      <c r="Q107" s="6"/>
      <c r="R107" s="6"/>
      <c r="S107" s="6"/>
      <c r="T107" s="4"/>
      <c r="U107" s="6"/>
      <c r="V107" s="6"/>
      <c r="W107" s="6"/>
      <c r="X107" s="6"/>
      <c r="Y107" s="4"/>
      <c r="Z107" s="6"/>
      <c r="AA107" s="4"/>
      <c r="AB107" s="4"/>
      <c r="AC107" s="4"/>
      <c r="AD107" s="6"/>
      <c r="AE107" s="4"/>
      <c r="AF107" s="4"/>
      <c r="AG107" s="4"/>
      <c r="AH107" s="4">
        <v>609341389200</v>
      </c>
    </row>
    <row r="108" spans="1:34" x14ac:dyDescent="0.25">
      <c r="A108" s="4">
        <v>107</v>
      </c>
      <c r="B108" s="5" t="s">
        <v>292</v>
      </c>
      <c r="C108" s="5" t="s">
        <v>293</v>
      </c>
      <c r="D108" s="5" t="s">
        <v>23</v>
      </c>
      <c r="E108" s="5" t="s">
        <v>24</v>
      </c>
      <c r="F108" s="5" t="s">
        <v>25</v>
      </c>
      <c r="G108" s="5" t="s">
        <v>26</v>
      </c>
      <c r="H108" s="4">
        <v>64266256206</v>
      </c>
      <c r="I108" s="4">
        <v>122038956615</v>
      </c>
      <c r="J108" s="6">
        <v>0.37540000000000001</v>
      </c>
      <c r="K108" s="6">
        <v>0.31659999999999999</v>
      </c>
      <c r="L108" s="6">
        <v>0.2424</v>
      </c>
      <c r="M108" s="4">
        <v>6407712897</v>
      </c>
      <c r="N108" s="4">
        <v>10971345239</v>
      </c>
      <c r="O108" s="4"/>
      <c r="P108" s="6">
        <v>0.87809999999999999</v>
      </c>
      <c r="Q108" s="6">
        <v>0.8306</v>
      </c>
      <c r="R108" s="6">
        <v>0.47089999999999999</v>
      </c>
      <c r="S108" s="6">
        <v>0.40410000000000001</v>
      </c>
      <c r="T108" s="4"/>
      <c r="U108" s="6">
        <v>-0.38979999999999998</v>
      </c>
      <c r="V108" s="6">
        <v>-0.44379999999999997</v>
      </c>
      <c r="W108" s="6">
        <v>-0.45340000000000003</v>
      </c>
      <c r="X108" s="6">
        <v>4.4400000000000002E-2</v>
      </c>
      <c r="Y108" s="4"/>
      <c r="Z108" s="6">
        <v>0.1124</v>
      </c>
      <c r="AA108" s="4"/>
      <c r="AB108" s="4"/>
      <c r="AC108" s="4"/>
      <c r="AD108" s="6">
        <v>0</v>
      </c>
      <c r="AE108" s="4"/>
      <c r="AF108" s="4"/>
      <c r="AG108" s="4"/>
      <c r="AH108" s="4">
        <v>146732760000</v>
      </c>
    </row>
    <row r="109" spans="1:34" x14ac:dyDescent="0.25">
      <c r="A109" s="4">
        <v>108</v>
      </c>
      <c r="B109" s="5" t="s">
        <v>294</v>
      </c>
      <c r="C109" s="5" t="s">
        <v>295</v>
      </c>
      <c r="D109" s="5" t="s">
        <v>23</v>
      </c>
      <c r="E109" s="5" t="s">
        <v>40</v>
      </c>
      <c r="F109" s="5" t="s">
        <v>41</v>
      </c>
      <c r="G109" s="5" t="s">
        <v>93</v>
      </c>
      <c r="H109" s="4">
        <v>181946104151</v>
      </c>
      <c r="I109" s="4">
        <v>334665700859</v>
      </c>
      <c r="J109" s="6">
        <v>0.22750000000000001</v>
      </c>
      <c r="K109" s="6">
        <v>9.0499999999999997E-2</v>
      </c>
      <c r="L109" s="6">
        <v>1.0200000000000001E-2</v>
      </c>
      <c r="M109" s="4">
        <v>95814809942</v>
      </c>
      <c r="N109" s="4">
        <v>157792410745</v>
      </c>
      <c r="O109" s="4"/>
      <c r="P109" s="6">
        <v>0.42209999999999998</v>
      </c>
      <c r="Q109" s="6">
        <v>0.19900000000000001</v>
      </c>
      <c r="R109" s="6">
        <v>0.46310000000000001</v>
      </c>
      <c r="S109" s="6">
        <v>0.54600000000000004</v>
      </c>
      <c r="T109" s="4"/>
      <c r="U109" s="6">
        <v>-0.59189999999999998</v>
      </c>
      <c r="V109" s="6">
        <v>-0.57089999999999996</v>
      </c>
      <c r="W109" s="6">
        <v>-0.57120000000000004</v>
      </c>
      <c r="X109" s="6">
        <v>9.4E-2</v>
      </c>
      <c r="Y109" s="4"/>
      <c r="Z109" s="6">
        <v>0.19139999999999999</v>
      </c>
      <c r="AA109" s="4"/>
      <c r="AB109" s="4"/>
      <c r="AC109" s="4"/>
      <c r="AD109" s="6">
        <v>0</v>
      </c>
      <c r="AE109" s="4"/>
      <c r="AF109" s="4"/>
      <c r="AG109" s="4"/>
      <c r="AH109" s="4">
        <v>2980000000000</v>
      </c>
    </row>
    <row r="110" spans="1:34" x14ac:dyDescent="0.25">
      <c r="A110" s="4">
        <v>109</v>
      </c>
      <c r="B110" s="5" t="s">
        <v>296</v>
      </c>
      <c r="C110" s="5" t="s">
        <v>297</v>
      </c>
      <c r="D110" s="5" t="s">
        <v>23</v>
      </c>
      <c r="E110" s="5" t="s">
        <v>75</v>
      </c>
      <c r="F110" s="5" t="s">
        <v>76</v>
      </c>
      <c r="G110" s="5" t="s">
        <v>76</v>
      </c>
      <c r="H110" s="4"/>
      <c r="I110" s="4"/>
      <c r="J110" s="6"/>
      <c r="K110" s="6"/>
      <c r="L110" s="6"/>
      <c r="M110" s="4"/>
      <c r="N110" s="4"/>
      <c r="O110" s="4"/>
      <c r="P110" s="6"/>
      <c r="Q110" s="6"/>
      <c r="R110" s="6"/>
      <c r="S110" s="6"/>
      <c r="T110" s="4"/>
      <c r="U110" s="6"/>
      <c r="V110" s="6"/>
      <c r="W110" s="6"/>
      <c r="X110" s="6"/>
      <c r="Y110" s="4"/>
      <c r="Z110" s="6"/>
      <c r="AA110" s="4"/>
      <c r="AB110" s="4"/>
      <c r="AC110" s="4"/>
      <c r="AD110" s="6"/>
      <c r="AE110" s="4"/>
      <c r="AF110" s="4"/>
      <c r="AG110" s="4"/>
      <c r="AH110" s="4">
        <v>14075965111500</v>
      </c>
    </row>
    <row r="111" spans="1:34" x14ac:dyDescent="0.25">
      <c r="A111" s="4">
        <v>110</v>
      </c>
      <c r="B111" s="5" t="s">
        <v>298</v>
      </c>
      <c r="C111" s="5" t="s">
        <v>299</v>
      </c>
      <c r="D111" s="5" t="s">
        <v>23</v>
      </c>
      <c r="E111" s="5" t="s">
        <v>75</v>
      </c>
      <c r="F111" s="5" t="s">
        <v>76</v>
      </c>
      <c r="G111" s="5" t="s">
        <v>300</v>
      </c>
      <c r="H111" s="4"/>
      <c r="I111" s="4"/>
      <c r="J111" s="6"/>
      <c r="K111" s="6"/>
      <c r="L111" s="6"/>
      <c r="M111" s="4"/>
      <c r="N111" s="4"/>
      <c r="O111" s="4"/>
      <c r="P111" s="6"/>
      <c r="Q111" s="6"/>
      <c r="R111" s="6"/>
      <c r="S111" s="6"/>
      <c r="T111" s="4"/>
      <c r="U111" s="6"/>
      <c r="V111" s="6"/>
      <c r="W111" s="6"/>
      <c r="X111" s="6"/>
      <c r="Y111" s="4"/>
      <c r="Z111" s="6"/>
      <c r="AA111" s="4"/>
      <c r="AB111" s="4"/>
      <c r="AC111" s="4"/>
      <c r="AD111" s="6"/>
      <c r="AE111" s="4"/>
      <c r="AF111" s="4"/>
      <c r="AG111" s="4"/>
      <c r="AH111" s="4">
        <v>3439872556560</v>
      </c>
    </row>
    <row r="112" spans="1:34" x14ac:dyDescent="0.25">
      <c r="A112" s="4">
        <v>111</v>
      </c>
      <c r="B112" s="5" t="s">
        <v>301</v>
      </c>
      <c r="C112" s="5" t="s">
        <v>302</v>
      </c>
      <c r="D112" s="5" t="s">
        <v>23</v>
      </c>
      <c r="E112" s="5" t="s">
        <v>40</v>
      </c>
      <c r="F112" s="5" t="s">
        <v>52</v>
      </c>
      <c r="G112" s="5" t="s">
        <v>53</v>
      </c>
      <c r="H112" s="4">
        <v>57556986391</v>
      </c>
      <c r="I112" s="4">
        <v>109994076551</v>
      </c>
      <c r="J112" s="6">
        <v>-5.8200000000000002E-2</v>
      </c>
      <c r="K112" s="6">
        <v>8.5000000000000006E-2</v>
      </c>
      <c r="L112" s="6">
        <v>9.9500000000000005E-2</v>
      </c>
      <c r="M112" s="4">
        <v>592412334</v>
      </c>
      <c r="N112" s="4">
        <v>740545225</v>
      </c>
      <c r="O112" s="4"/>
      <c r="P112" s="6">
        <v>0.39360000000000001</v>
      </c>
      <c r="Q112" s="6">
        <v>0.61629999999999996</v>
      </c>
      <c r="R112" s="6">
        <v>1.6134999999999999</v>
      </c>
      <c r="S112" s="6">
        <v>2.9992000000000001</v>
      </c>
      <c r="T112" s="4"/>
      <c r="U112" s="6">
        <v>-0.49430000000000002</v>
      </c>
      <c r="V112" s="6">
        <v>-0.19070000000000001</v>
      </c>
      <c r="W112" s="6">
        <v>-0.19070000000000001</v>
      </c>
      <c r="X112" s="6">
        <v>0</v>
      </c>
      <c r="Y112" s="4"/>
      <c r="Z112" s="6">
        <v>9.7600000000000006E-2</v>
      </c>
      <c r="AA112" s="4"/>
      <c r="AB112" s="4"/>
      <c r="AC112" s="4"/>
      <c r="AD112" s="6">
        <v>0</v>
      </c>
      <c r="AE112" s="4"/>
      <c r="AF112" s="4"/>
      <c r="AG112" s="4"/>
      <c r="AH112" s="4">
        <v>36630000000</v>
      </c>
    </row>
    <row r="113" spans="1:34" x14ac:dyDescent="0.25">
      <c r="A113" s="4">
        <v>112</v>
      </c>
      <c r="B113" s="5" t="s">
        <v>303</v>
      </c>
      <c r="C113" s="5" t="s">
        <v>304</v>
      </c>
      <c r="D113" s="5" t="s">
        <v>23</v>
      </c>
      <c r="E113" s="5" t="s">
        <v>75</v>
      </c>
      <c r="F113" s="5" t="s">
        <v>79</v>
      </c>
      <c r="G113" s="5" t="s">
        <v>305</v>
      </c>
      <c r="H113" s="4"/>
      <c r="I113" s="4"/>
      <c r="J113" s="6"/>
      <c r="K113" s="6"/>
      <c r="L113" s="6"/>
      <c r="M113" s="4"/>
      <c r="N113" s="4"/>
      <c r="O113" s="4"/>
      <c r="P113" s="6"/>
      <c r="Q113" s="6"/>
      <c r="R113" s="6"/>
      <c r="S113" s="6"/>
      <c r="T113" s="4"/>
      <c r="U113" s="6"/>
      <c r="V113" s="6"/>
      <c r="W113" s="6"/>
      <c r="X113" s="6">
        <v>0</v>
      </c>
      <c r="Y113" s="4"/>
      <c r="Z113" s="6"/>
      <c r="AA113" s="4"/>
      <c r="AB113" s="4"/>
      <c r="AC113" s="4"/>
      <c r="AD113" s="6"/>
      <c r="AE113" s="4"/>
      <c r="AF113" s="4"/>
      <c r="AG113" s="4"/>
      <c r="AH113" s="4">
        <v>5620760000000</v>
      </c>
    </row>
    <row r="114" spans="1:34" x14ac:dyDescent="0.25">
      <c r="A114" s="4">
        <v>113</v>
      </c>
      <c r="B114" s="5" t="s">
        <v>306</v>
      </c>
      <c r="C114" s="5" t="s">
        <v>307</v>
      </c>
      <c r="D114" s="5" t="s">
        <v>23</v>
      </c>
      <c r="E114" s="5" t="s">
        <v>49</v>
      </c>
      <c r="F114" s="5" t="s">
        <v>49</v>
      </c>
      <c r="G114" s="5" t="s">
        <v>49</v>
      </c>
      <c r="H114" s="4"/>
      <c r="I114" s="4"/>
      <c r="J114" s="6"/>
      <c r="K114" s="6"/>
      <c r="L114" s="6"/>
      <c r="M114" s="4"/>
      <c r="N114" s="4"/>
      <c r="O114" s="4"/>
      <c r="P114" s="6"/>
      <c r="Q114" s="6"/>
      <c r="R114" s="6"/>
      <c r="S114" s="6"/>
      <c r="T114" s="4"/>
      <c r="U114" s="6"/>
      <c r="V114" s="6"/>
      <c r="W114" s="6"/>
      <c r="X114" s="6"/>
      <c r="Y114" s="4"/>
      <c r="Z114" s="6"/>
      <c r="AA114" s="4"/>
      <c r="AB114" s="4"/>
      <c r="AC114" s="4"/>
      <c r="AD114" s="6"/>
      <c r="AE114" s="4">
        <v>1469401000000</v>
      </c>
      <c r="AF114" s="4">
        <v>2823785000000</v>
      </c>
      <c r="AG114" s="4">
        <v>4288791000000</v>
      </c>
      <c r="AH114" s="4">
        <v>30734890015500</v>
      </c>
    </row>
    <row r="115" spans="1:34" x14ac:dyDescent="0.25">
      <c r="A115" s="4">
        <v>114</v>
      </c>
      <c r="B115" s="5" t="s">
        <v>308</v>
      </c>
      <c r="C115" s="5" t="s">
        <v>309</v>
      </c>
      <c r="D115" s="5" t="s">
        <v>23</v>
      </c>
      <c r="E115" s="5" t="s">
        <v>185</v>
      </c>
      <c r="F115" s="5" t="s">
        <v>185</v>
      </c>
      <c r="G115" s="5" t="s">
        <v>310</v>
      </c>
      <c r="H115" s="4"/>
      <c r="I115" s="4"/>
      <c r="J115" s="6"/>
      <c r="K115" s="6"/>
      <c r="L115" s="6"/>
      <c r="M115" s="4"/>
      <c r="N115" s="4"/>
      <c r="O115" s="4"/>
      <c r="P115" s="6"/>
      <c r="Q115" s="6"/>
      <c r="R115" s="6"/>
      <c r="S115" s="6"/>
      <c r="T115" s="4"/>
      <c r="U115" s="6"/>
      <c r="V115" s="6"/>
      <c r="W115" s="6"/>
      <c r="X115" s="6"/>
      <c r="Y115" s="4"/>
      <c r="Z115" s="6"/>
      <c r="AA115" s="4"/>
      <c r="AB115" s="4"/>
      <c r="AC115" s="4"/>
      <c r="AD115" s="6"/>
      <c r="AE115" s="4"/>
      <c r="AF115" s="4"/>
      <c r="AG115" s="4"/>
      <c r="AH115" s="4">
        <v>1628698826400</v>
      </c>
    </row>
    <row r="116" spans="1:34" x14ac:dyDescent="0.25">
      <c r="A116" s="4">
        <v>115</v>
      </c>
      <c r="B116" s="5" t="s">
        <v>311</v>
      </c>
      <c r="C116" s="5" t="s">
        <v>312</v>
      </c>
      <c r="D116" s="5" t="s">
        <v>23</v>
      </c>
      <c r="E116" s="5" t="s">
        <v>29</v>
      </c>
      <c r="F116" s="5" t="s">
        <v>36</v>
      </c>
      <c r="G116" s="5" t="s">
        <v>37</v>
      </c>
      <c r="H116" s="4"/>
      <c r="I116" s="4"/>
      <c r="J116" s="6"/>
      <c r="K116" s="6"/>
      <c r="L116" s="6"/>
      <c r="M116" s="4"/>
      <c r="N116" s="4"/>
      <c r="O116" s="4"/>
      <c r="P116" s="6"/>
      <c r="Q116" s="6"/>
      <c r="R116" s="6"/>
      <c r="S116" s="6"/>
      <c r="T116" s="4"/>
      <c r="U116" s="6"/>
      <c r="V116" s="6"/>
      <c r="W116" s="6"/>
      <c r="X116" s="6"/>
      <c r="Y116" s="4"/>
      <c r="Z116" s="6"/>
      <c r="AA116" s="4"/>
      <c r="AB116" s="4"/>
      <c r="AC116" s="4"/>
      <c r="AD116" s="6"/>
      <c r="AE116" s="4"/>
      <c r="AF116" s="4"/>
      <c r="AG116" s="4"/>
      <c r="AH116" s="4">
        <v>349271711360</v>
      </c>
    </row>
    <row r="117" spans="1:34" x14ac:dyDescent="0.25">
      <c r="A117" s="4">
        <v>116</v>
      </c>
      <c r="B117" s="5" t="s">
        <v>313</v>
      </c>
      <c r="C117" s="5" t="s">
        <v>314</v>
      </c>
      <c r="D117" s="5" t="s">
        <v>23</v>
      </c>
      <c r="E117" s="5" t="s">
        <v>75</v>
      </c>
      <c r="F117" s="5" t="s">
        <v>79</v>
      </c>
      <c r="G117" s="5" t="s">
        <v>315</v>
      </c>
      <c r="H117" s="4"/>
      <c r="I117" s="4"/>
      <c r="J117" s="6">
        <v>0.57130000000000003</v>
      </c>
      <c r="K117" s="6">
        <v>0.43909999999999999</v>
      </c>
      <c r="L117" s="6">
        <v>0.44009999999999999</v>
      </c>
      <c r="M117" s="4">
        <v>289582000000</v>
      </c>
      <c r="N117" s="4">
        <v>556224000000</v>
      </c>
      <c r="O117" s="4"/>
      <c r="P117" s="6">
        <v>0.19689999999999999</v>
      </c>
      <c r="Q117" s="6">
        <v>0.153</v>
      </c>
      <c r="R117" s="6">
        <v>0.16450000000000001</v>
      </c>
      <c r="S117" s="6">
        <v>8.6099999999999996E-2</v>
      </c>
      <c r="T117" s="4"/>
      <c r="U117" s="6">
        <v>0</v>
      </c>
      <c r="V117" s="6">
        <v>-0.47220000000000001</v>
      </c>
      <c r="W117" s="6">
        <v>-0.4753</v>
      </c>
      <c r="X117" s="6">
        <v>0</v>
      </c>
      <c r="Y117" s="4"/>
      <c r="Z117" s="6">
        <v>0.2858</v>
      </c>
      <c r="AA117" s="4">
        <v>650467000000</v>
      </c>
      <c r="AB117" s="4">
        <v>1102772000000</v>
      </c>
      <c r="AC117" s="4"/>
      <c r="AD117" s="6">
        <v>0.45950000000000002</v>
      </c>
      <c r="AE117" s="4">
        <v>383033000000</v>
      </c>
      <c r="AF117" s="4">
        <v>811842000000</v>
      </c>
      <c r="AG117" s="4">
        <v>1433396000000</v>
      </c>
      <c r="AH117" s="4">
        <v>9278902784400</v>
      </c>
    </row>
    <row r="118" spans="1:34" x14ac:dyDescent="0.25">
      <c r="A118" s="4">
        <v>117</v>
      </c>
      <c r="B118" s="5" t="s">
        <v>316</v>
      </c>
      <c r="C118" s="5" t="s">
        <v>317</v>
      </c>
      <c r="D118" s="5" t="s">
        <v>23</v>
      </c>
      <c r="E118" s="5" t="s">
        <v>40</v>
      </c>
      <c r="F118" s="5" t="s">
        <v>52</v>
      </c>
      <c r="G118" s="5" t="s">
        <v>110</v>
      </c>
      <c r="H118" s="4"/>
      <c r="I118" s="4"/>
      <c r="J118" s="6"/>
      <c r="K118" s="6"/>
      <c r="L118" s="6"/>
      <c r="M118" s="4"/>
      <c r="N118" s="4"/>
      <c r="O118" s="4"/>
      <c r="P118" s="6"/>
      <c r="Q118" s="6"/>
      <c r="R118" s="6"/>
      <c r="S118" s="6"/>
      <c r="T118" s="4"/>
      <c r="U118" s="6"/>
      <c r="V118" s="6"/>
      <c r="W118" s="6"/>
      <c r="X118" s="6"/>
      <c r="Y118" s="4"/>
      <c r="Z118" s="6"/>
      <c r="AA118" s="4"/>
      <c r="AB118" s="4"/>
      <c r="AC118" s="4"/>
      <c r="AD118" s="6"/>
      <c r="AE118" s="4"/>
      <c r="AF118" s="4"/>
      <c r="AG118" s="4"/>
      <c r="AH118" s="4">
        <v>1066775398640</v>
      </c>
    </row>
    <row r="119" spans="1:34" x14ac:dyDescent="0.25">
      <c r="A119" s="4">
        <v>118</v>
      </c>
      <c r="B119" s="5" t="s">
        <v>318</v>
      </c>
      <c r="C119" s="5" t="s">
        <v>319</v>
      </c>
      <c r="D119" s="5" t="s">
        <v>23</v>
      </c>
      <c r="E119" s="5" t="s">
        <v>40</v>
      </c>
      <c r="F119" s="5" t="s">
        <v>52</v>
      </c>
      <c r="G119" s="5" t="s">
        <v>53</v>
      </c>
      <c r="H119" s="4"/>
      <c r="I119" s="4"/>
      <c r="J119" s="6"/>
      <c r="K119" s="6"/>
      <c r="L119" s="6"/>
      <c r="M119" s="4"/>
      <c r="N119" s="4"/>
      <c r="O119" s="4"/>
      <c r="P119" s="6"/>
      <c r="Q119" s="6"/>
      <c r="R119" s="6"/>
      <c r="S119" s="6"/>
      <c r="T119" s="4"/>
      <c r="U119" s="6"/>
      <c r="V119" s="6"/>
      <c r="W119" s="6"/>
      <c r="X119" s="6"/>
      <c r="Y119" s="4"/>
      <c r="Z119" s="6"/>
      <c r="AA119" s="4"/>
      <c r="AB119" s="4"/>
      <c r="AC119" s="4"/>
      <c r="AD119" s="6"/>
      <c r="AE119" s="4"/>
      <c r="AF119" s="4"/>
      <c r="AG119" s="4"/>
      <c r="AH119" s="4">
        <v>144689339380</v>
      </c>
    </row>
    <row r="120" spans="1:34" x14ac:dyDescent="0.25">
      <c r="A120" s="4">
        <v>119</v>
      </c>
      <c r="B120" s="5" t="s">
        <v>320</v>
      </c>
      <c r="C120" s="5" t="s">
        <v>321</v>
      </c>
      <c r="D120" s="5" t="s">
        <v>23</v>
      </c>
      <c r="E120" s="5" t="s">
        <v>40</v>
      </c>
      <c r="F120" s="5" t="s">
        <v>52</v>
      </c>
      <c r="G120" s="5" t="s">
        <v>110</v>
      </c>
      <c r="H120" s="4"/>
      <c r="I120" s="4"/>
      <c r="J120" s="6"/>
      <c r="K120" s="6"/>
      <c r="L120" s="6"/>
      <c r="M120" s="4"/>
      <c r="N120" s="4"/>
      <c r="O120" s="4"/>
      <c r="P120" s="6"/>
      <c r="Q120" s="6"/>
      <c r="R120" s="6"/>
      <c r="S120" s="6"/>
      <c r="T120" s="4"/>
      <c r="U120" s="6"/>
      <c r="V120" s="6"/>
      <c r="W120" s="6"/>
      <c r="X120" s="6"/>
      <c r="Y120" s="4"/>
      <c r="Z120" s="6"/>
      <c r="AA120" s="4"/>
      <c r="AB120" s="4"/>
      <c r="AC120" s="4"/>
      <c r="AD120" s="6"/>
      <c r="AE120" s="4"/>
      <c r="AF120" s="4"/>
      <c r="AG120" s="4"/>
      <c r="AH120" s="4">
        <v>1684597353500</v>
      </c>
    </row>
    <row r="121" spans="1:34" x14ac:dyDescent="0.25">
      <c r="A121" s="4">
        <v>120</v>
      </c>
      <c r="B121" s="5" t="s">
        <v>322</v>
      </c>
      <c r="C121" s="5" t="s">
        <v>323</v>
      </c>
      <c r="D121" s="5" t="s">
        <v>23</v>
      </c>
      <c r="E121" s="5" t="s">
        <v>75</v>
      </c>
      <c r="F121" s="5" t="s">
        <v>76</v>
      </c>
      <c r="G121" s="5" t="s">
        <v>76</v>
      </c>
      <c r="H121" s="4">
        <v>18071848047</v>
      </c>
      <c r="I121" s="4">
        <v>36068602718</v>
      </c>
      <c r="J121" s="6">
        <v>-4.24E-2</v>
      </c>
      <c r="K121" s="6">
        <v>-3.6999999999999998E-2</v>
      </c>
      <c r="L121" s="6">
        <v>7.8100000000000003E-2</v>
      </c>
      <c r="M121" s="4">
        <v>4049979693</v>
      </c>
      <c r="N121" s="4">
        <v>10829576148</v>
      </c>
      <c r="O121" s="4"/>
      <c r="P121" s="6">
        <v>-0.64059999999999995</v>
      </c>
      <c r="Q121" s="6">
        <v>-0.51300000000000001</v>
      </c>
      <c r="R121" s="6">
        <v>6.4188999999999998</v>
      </c>
      <c r="S121" s="6">
        <v>-0.40260000000000001</v>
      </c>
      <c r="T121" s="4"/>
      <c r="U121" s="6">
        <v>-0.504</v>
      </c>
      <c r="V121" s="6">
        <v>-0.64100000000000001</v>
      </c>
      <c r="W121" s="6">
        <v>-0.61119999999999997</v>
      </c>
      <c r="X121" s="6">
        <v>0</v>
      </c>
      <c r="Y121" s="4"/>
      <c r="Z121" s="6">
        <v>4.1999999999999997E-3</v>
      </c>
      <c r="AA121" s="4"/>
      <c r="AB121" s="4"/>
      <c r="AC121" s="4"/>
      <c r="AD121" s="6">
        <v>0</v>
      </c>
      <c r="AE121" s="4"/>
      <c r="AF121" s="4"/>
      <c r="AG121" s="4"/>
      <c r="AH121" s="4">
        <v>865166131200</v>
      </c>
    </row>
    <row r="122" spans="1:34" x14ac:dyDescent="0.25">
      <c r="A122" s="4">
        <v>121</v>
      </c>
      <c r="B122" s="5" t="s">
        <v>324</v>
      </c>
      <c r="C122" s="5" t="s">
        <v>325</v>
      </c>
      <c r="D122" s="5" t="s">
        <v>23</v>
      </c>
      <c r="E122" s="5" t="s">
        <v>75</v>
      </c>
      <c r="F122" s="5" t="s">
        <v>76</v>
      </c>
      <c r="G122" s="5" t="s">
        <v>76</v>
      </c>
      <c r="H122" s="4"/>
      <c r="I122" s="4"/>
      <c r="J122" s="6"/>
      <c r="K122" s="6"/>
      <c r="L122" s="6"/>
      <c r="M122" s="4"/>
      <c r="N122" s="4"/>
      <c r="O122" s="4"/>
      <c r="P122" s="6"/>
      <c r="Q122" s="6"/>
      <c r="R122" s="6"/>
      <c r="S122" s="6"/>
      <c r="T122" s="4"/>
      <c r="U122" s="6"/>
      <c r="V122" s="6"/>
      <c r="W122" s="6"/>
      <c r="X122" s="6"/>
      <c r="Y122" s="4"/>
      <c r="Z122" s="6"/>
      <c r="AA122" s="4"/>
      <c r="AB122" s="4"/>
      <c r="AC122" s="4"/>
      <c r="AD122" s="6"/>
      <c r="AE122" s="4"/>
      <c r="AF122" s="4"/>
      <c r="AG122" s="4"/>
      <c r="AH122" s="4">
        <v>341334264600</v>
      </c>
    </row>
    <row r="123" spans="1:34" x14ac:dyDescent="0.25">
      <c r="A123" s="4">
        <v>122</v>
      </c>
      <c r="B123" s="5" t="s">
        <v>326</v>
      </c>
      <c r="C123" s="5" t="s">
        <v>327</v>
      </c>
      <c r="D123" s="5" t="s">
        <v>23</v>
      </c>
      <c r="E123" s="5" t="s">
        <v>234</v>
      </c>
      <c r="F123" s="5" t="s">
        <v>235</v>
      </c>
      <c r="G123" s="5" t="s">
        <v>236</v>
      </c>
      <c r="H123" s="4"/>
      <c r="I123" s="4"/>
      <c r="J123" s="6"/>
      <c r="K123" s="6"/>
      <c r="L123" s="6"/>
      <c r="M123" s="4"/>
      <c r="N123" s="4"/>
      <c r="O123" s="4"/>
      <c r="P123" s="6"/>
      <c r="Q123" s="6"/>
      <c r="R123" s="6"/>
      <c r="S123" s="6"/>
      <c r="T123" s="4"/>
      <c r="U123" s="6"/>
      <c r="V123" s="6"/>
      <c r="W123" s="6"/>
      <c r="X123" s="6"/>
      <c r="Y123" s="4"/>
      <c r="Z123" s="6"/>
      <c r="AA123" s="4"/>
      <c r="AB123" s="4"/>
      <c r="AC123" s="4"/>
      <c r="AD123" s="6"/>
      <c r="AE123" s="4"/>
      <c r="AF123" s="4"/>
      <c r="AG123" s="4"/>
      <c r="AH123" s="4">
        <v>1060591066080</v>
      </c>
    </row>
    <row r="124" spans="1:34" x14ac:dyDescent="0.25">
      <c r="A124" s="4">
        <v>123</v>
      </c>
      <c r="B124" s="5" t="s">
        <v>328</v>
      </c>
      <c r="C124" s="5" t="s">
        <v>329</v>
      </c>
      <c r="D124" s="5" t="s">
        <v>23</v>
      </c>
      <c r="E124" s="5" t="s">
        <v>29</v>
      </c>
      <c r="F124" s="5" t="s">
        <v>30</v>
      </c>
      <c r="G124" s="5" t="s">
        <v>31</v>
      </c>
      <c r="H124" s="4">
        <v>1674536376316</v>
      </c>
      <c r="I124" s="4">
        <v>3066015589921</v>
      </c>
      <c r="J124" s="6">
        <v>-0.1076</v>
      </c>
      <c r="K124" s="6">
        <v>-0.20530000000000001</v>
      </c>
      <c r="L124" s="6">
        <v>-0.15740000000000001</v>
      </c>
      <c r="M124" s="4">
        <v>154820536385</v>
      </c>
      <c r="N124" s="4">
        <v>195686120165</v>
      </c>
      <c r="O124" s="4"/>
      <c r="P124" s="6">
        <v>0.92469999999999997</v>
      </c>
      <c r="Q124" s="6">
        <v>0.77790000000000004</v>
      </c>
      <c r="R124" s="6">
        <v>0.53129999999999999</v>
      </c>
      <c r="S124" s="6">
        <v>2.7898000000000001</v>
      </c>
      <c r="T124" s="4"/>
      <c r="U124" s="6">
        <v>-0.6159</v>
      </c>
      <c r="V124" s="6">
        <v>-0.50109999999999999</v>
      </c>
      <c r="W124" s="6">
        <v>-0.45889999999999997</v>
      </c>
      <c r="X124" s="6">
        <v>5.74E-2</v>
      </c>
      <c r="Y124" s="4"/>
      <c r="Z124" s="6">
        <v>0.19739999999999999</v>
      </c>
      <c r="AA124" s="4"/>
      <c r="AB124" s="4"/>
      <c r="AC124" s="4"/>
      <c r="AD124" s="6">
        <v>0</v>
      </c>
      <c r="AE124" s="4"/>
      <c r="AF124" s="4"/>
      <c r="AG124" s="4"/>
      <c r="AH124" s="4">
        <v>2278802781650</v>
      </c>
    </row>
    <row r="125" spans="1:34" x14ac:dyDescent="0.25">
      <c r="A125" s="4">
        <v>124</v>
      </c>
      <c r="B125" s="5" t="s">
        <v>330</v>
      </c>
      <c r="C125" s="5" t="s">
        <v>331</v>
      </c>
      <c r="D125" s="5" t="s">
        <v>23</v>
      </c>
      <c r="E125" s="5" t="s">
        <v>185</v>
      </c>
      <c r="F125" s="5" t="s">
        <v>185</v>
      </c>
      <c r="G125" s="5" t="s">
        <v>332</v>
      </c>
      <c r="H125" s="4"/>
      <c r="I125" s="4"/>
      <c r="J125" s="6"/>
      <c r="K125" s="6"/>
      <c r="L125" s="6"/>
      <c r="M125" s="4"/>
      <c r="N125" s="4"/>
      <c r="O125" s="4"/>
      <c r="P125" s="6"/>
      <c r="Q125" s="6"/>
      <c r="R125" s="6"/>
      <c r="S125" s="6"/>
      <c r="T125" s="4"/>
      <c r="U125" s="6"/>
      <c r="V125" s="6"/>
      <c r="W125" s="6"/>
      <c r="X125" s="6"/>
      <c r="Y125" s="4"/>
      <c r="Z125" s="6"/>
      <c r="AA125" s="4"/>
      <c r="AB125" s="4"/>
      <c r="AC125" s="4"/>
      <c r="AD125" s="6"/>
      <c r="AE125" s="4"/>
      <c r="AF125" s="4"/>
      <c r="AG125" s="4"/>
      <c r="AH125" s="4">
        <v>110745486861200</v>
      </c>
    </row>
    <row r="126" spans="1:34" x14ac:dyDescent="0.25">
      <c r="A126" s="4">
        <v>125</v>
      </c>
      <c r="B126" s="5" t="s">
        <v>333</v>
      </c>
      <c r="C126" s="5" t="s">
        <v>334</v>
      </c>
      <c r="D126" s="5" t="s">
        <v>23</v>
      </c>
      <c r="E126" s="5" t="s">
        <v>62</v>
      </c>
      <c r="F126" s="5" t="s">
        <v>71</v>
      </c>
      <c r="G126" s="5" t="s">
        <v>103</v>
      </c>
      <c r="H126" s="4"/>
      <c r="I126" s="4"/>
      <c r="J126" s="6"/>
      <c r="K126" s="6"/>
      <c r="L126" s="6"/>
      <c r="M126" s="4"/>
      <c r="N126" s="4"/>
      <c r="O126" s="4"/>
      <c r="P126" s="6"/>
      <c r="Q126" s="6"/>
      <c r="R126" s="6"/>
      <c r="S126" s="6"/>
      <c r="T126" s="4"/>
      <c r="U126" s="6"/>
      <c r="V126" s="6"/>
      <c r="W126" s="6"/>
      <c r="X126" s="6"/>
      <c r="Y126" s="4"/>
      <c r="Z126" s="6"/>
      <c r="AA126" s="4"/>
      <c r="AB126" s="4"/>
      <c r="AC126" s="4"/>
      <c r="AD126" s="6"/>
      <c r="AE126" s="4"/>
      <c r="AF126" s="4"/>
      <c r="AG126" s="4"/>
      <c r="AH126" s="4">
        <v>18775580670000</v>
      </c>
    </row>
    <row r="127" spans="1:34" x14ac:dyDescent="0.25">
      <c r="A127" s="4">
        <v>126</v>
      </c>
      <c r="B127" s="5" t="s">
        <v>335</v>
      </c>
      <c r="C127" s="5" t="s">
        <v>336</v>
      </c>
      <c r="D127" s="5" t="s">
        <v>23</v>
      </c>
      <c r="E127" s="5" t="s">
        <v>75</v>
      </c>
      <c r="F127" s="5" t="s">
        <v>79</v>
      </c>
      <c r="G127" s="5" t="s">
        <v>80</v>
      </c>
      <c r="H127" s="4">
        <v>309465710176</v>
      </c>
      <c r="I127" s="4">
        <v>687864274312</v>
      </c>
      <c r="J127" s="6">
        <v>0.29409999999999997</v>
      </c>
      <c r="K127" s="6">
        <v>0.24790000000000001</v>
      </c>
      <c r="L127" s="6">
        <v>0.21629999999999999</v>
      </c>
      <c r="M127" s="4">
        <v>78047349723</v>
      </c>
      <c r="N127" s="4">
        <v>237962405642</v>
      </c>
      <c r="O127" s="4"/>
      <c r="P127" s="6">
        <v>0.28760000000000002</v>
      </c>
      <c r="Q127" s="6">
        <v>0.11409999999999999</v>
      </c>
      <c r="R127" s="6">
        <v>-1.9E-2</v>
      </c>
      <c r="S127" s="6">
        <v>-0.51190000000000002</v>
      </c>
      <c r="T127" s="4"/>
      <c r="U127" s="6">
        <v>-0.42680000000000001</v>
      </c>
      <c r="V127" s="6">
        <v>-0.47260000000000002</v>
      </c>
      <c r="W127" s="6">
        <v>-0.4592</v>
      </c>
      <c r="X127" s="6">
        <v>0</v>
      </c>
      <c r="Y127" s="4"/>
      <c r="Z127" s="6">
        <v>-0.1822</v>
      </c>
      <c r="AA127" s="4"/>
      <c r="AB127" s="4"/>
      <c r="AC127" s="4"/>
      <c r="AD127" s="6">
        <v>0</v>
      </c>
      <c r="AE127" s="4"/>
      <c r="AF127" s="4"/>
      <c r="AG127" s="4"/>
      <c r="AH127" s="4">
        <v>8652008525000</v>
      </c>
    </row>
    <row r="128" spans="1:34" x14ac:dyDescent="0.25">
      <c r="A128" s="4">
        <v>127</v>
      </c>
      <c r="B128" s="5" t="s">
        <v>337</v>
      </c>
      <c r="C128" s="5" t="s">
        <v>338</v>
      </c>
      <c r="D128" s="5" t="s">
        <v>23</v>
      </c>
      <c r="E128" s="5" t="s">
        <v>75</v>
      </c>
      <c r="F128" s="5" t="s">
        <v>79</v>
      </c>
      <c r="G128" s="5" t="s">
        <v>305</v>
      </c>
      <c r="H128" s="4"/>
      <c r="I128" s="4"/>
      <c r="J128" s="6"/>
      <c r="K128" s="6"/>
      <c r="L128" s="6"/>
      <c r="M128" s="4"/>
      <c r="N128" s="4"/>
      <c r="O128" s="4"/>
      <c r="P128" s="6"/>
      <c r="Q128" s="6"/>
      <c r="R128" s="6"/>
      <c r="S128" s="6"/>
      <c r="T128" s="4"/>
      <c r="U128" s="6"/>
      <c r="V128" s="6"/>
      <c r="W128" s="6"/>
      <c r="X128" s="6">
        <v>0</v>
      </c>
      <c r="Y128" s="4"/>
      <c r="Z128" s="6"/>
      <c r="AA128" s="4"/>
      <c r="AB128" s="4"/>
      <c r="AC128" s="4"/>
      <c r="AD128" s="6"/>
      <c r="AE128" s="4"/>
      <c r="AF128" s="4"/>
      <c r="AG128" s="4"/>
      <c r="AH128" s="4">
        <v>290551680000</v>
      </c>
    </row>
    <row r="129" spans="1:34" x14ac:dyDescent="0.25">
      <c r="A129" s="4">
        <v>128</v>
      </c>
      <c r="B129" s="5" t="s">
        <v>339</v>
      </c>
      <c r="C129" s="5" t="s">
        <v>340</v>
      </c>
      <c r="D129" s="5" t="s">
        <v>23</v>
      </c>
      <c r="E129" s="5" t="s">
        <v>75</v>
      </c>
      <c r="F129" s="5" t="s">
        <v>79</v>
      </c>
      <c r="G129" s="5" t="s">
        <v>305</v>
      </c>
      <c r="H129" s="4"/>
      <c r="I129" s="4"/>
      <c r="J129" s="6"/>
      <c r="K129" s="6"/>
      <c r="L129" s="6"/>
      <c r="M129" s="4"/>
      <c r="N129" s="4"/>
      <c r="O129" s="4"/>
      <c r="P129" s="6"/>
      <c r="Q129" s="6"/>
      <c r="R129" s="6"/>
      <c r="S129" s="6"/>
      <c r="T129" s="4"/>
      <c r="U129" s="6"/>
      <c r="V129" s="6"/>
      <c r="W129" s="6"/>
      <c r="X129" s="6">
        <v>0</v>
      </c>
      <c r="Y129" s="4"/>
      <c r="Z129" s="6"/>
      <c r="AA129" s="4"/>
      <c r="AB129" s="4"/>
      <c r="AC129" s="4"/>
      <c r="AD129" s="6"/>
      <c r="AE129" s="4"/>
      <c r="AF129" s="4"/>
      <c r="AG129" s="4"/>
      <c r="AH129" s="4">
        <v>339014000000</v>
      </c>
    </row>
    <row r="130" spans="1:34" x14ac:dyDescent="0.25">
      <c r="A130" s="4">
        <v>129</v>
      </c>
      <c r="B130" s="5" t="s">
        <v>341</v>
      </c>
      <c r="C130" s="5" t="s">
        <v>342</v>
      </c>
      <c r="D130" s="5" t="s">
        <v>23</v>
      </c>
      <c r="E130" s="5" t="s">
        <v>75</v>
      </c>
      <c r="F130" s="5" t="s">
        <v>79</v>
      </c>
      <c r="G130" s="5" t="s">
        <v>305</v>
      </c>
      <c r="H130" s="4"/>
      <c r="I130" s="4"/>
      <c r="J130" s="6"/>
      <c r="K130" s="6"/>
      <c r="L130" s="6"/>
      <c r="M130" s="4"/>
      <c r="N130" s="4"/>
      <c r="O130" s="4"/>
      <c r="P130" s="6"/>
      <c r="Q130" s="6"/>
      <c r="R130" s="6"/>
      <c r="S130" s="6"/>
      <c r="T130" s="4"/>
      <c r="U130" s="6"/>
      <c r="V130" s="6"/>
      <c r="W130" s="6"/>
      <c r="X130" s="6">
        <v>0</v>
      </c>
      <c r="Y130" s="4"/>
      <c r="Z130" s="6"/>
      <c r="AA130" s="4"/>
      <c r="AB130" s="4"/>
      <c r="AC130" s="4"/>
      <c r="AD130" s="6"/>
      <c r="AE130" s="4"/>
      <c r="AF130" s="4"/>
      <c r="AG130" s="4"/>
      <c r="AH130" s="4">
        <v>221184000000</v>
      </c>
    </row>
    <row r="131" spans="1:34" x14ac:dyDescent="0.25">
      <c r="A131" s="4">
        <v>130</v>
      </c>
      <c r="B131" s="5" t="s">
        <v>343</v>
      </c>
      <c r="C131" s="5" t="s">
        <v>344</v>
      </c>
      <c r="D131" s="5" t="s">
        <v>23</v>
      </c>
      <c r="E131" s="5" t="s">
        <v>75</v>
      </c>
      <c r="F131" s="5" t="s">
        <v>79</v>
      </c>
      <c r="G131" s="5" t="s">
        <v>305</v>
      </c>
      <c r="H131" s="4"/>
      <c r="I131" s="4"/>
      <c r="J131" s="6"/>
      <c r="K131" s="6"/>
      <c r="L131" s="6"/>
      <c r="M131" s="4"/>
      <c r="N131" s="4"/>
      <c r="O131" s="4"/>
      <c r="P131" s="6"/>
      <c r="Q131" s="6"/>
      <c r="R131" s="6"/>
      <c r="S131" s="6"/>
      <c r="T131" s="4"/>
      <c r="U131" s="6"/>
      <c r="V131" s="6"/>
      <c r="W131" s="6"/>
      <c r="X131" s="6">
        <v>0</v>
      </c>
      <c r="Y131" s="4"/>
      <c r="Z131" s="6"/>
      <c r="AA131" s="4"/>
      <c r="AB131" s="4"/>
      <c r="AC131" s="4"/>
      <c r="AD131" s="6"/>
      <c r="AE131" s="4"/>
      <c r="AF131" s="4"/>
      <c r="AG131" s="4"/>
      <c r="AH131" s="4">
        <v>35550000000</v>
      </c>
    </row>
    <row r="132" spans="1:34" x14ac:dyDescent="0.25">
      <c r="A132" s="4">
        <v>131</v>
      </c>
      <c r="B132" s="5" t="s">
        <v>345</v>
      </c>
      <c r="C132" s="5" t="s">
        <v>346</v>
      </c>
      <c r="D132" s="5" t="s">
        <v>23</v>
      </c>
      <c r="E132" s="5" t="s">
        <v>75</v>
      </c>
      <c r="F132" s="5" t="s">
        <v>79</v>
      </c>
      <c r="G132" s="5" t="s">
        <v>305</v>
      </c>
      <c r="H132" s="4"/>
      <c r="I132" s="4"/>
      <c r="J132" s="6"/>
      <c r="K132" s="6"/>
      <c r="L132" s="6"/>
      <c r="M132" s="4"/>
      <c r="N132" s="4"/>
      <c r="O132" s="4"/>
      <c r="P132" s="6"/>
      <c r="Q132" s="6"/>
      <c r="R132" s="6"/>
      <c r="S132" s="6"/>
      <c r="T132" s="4"/>
      <c r="U132" s="6"/>
      <c r="V132" s="6"/>
      <c r="W132" s="6"/>
      <c r="X132" s="6">
        <v>0</v>
      </c>
      <c r="Y132" s="4"/>
      <c r="Z132" s="6"/>
      <c r="AA132" s="4"/>
      <c r="AB132" s="4"/>
      <c r="AC132" s="4"/>
      <c r="AD132" s="6"/>
      <c r="AE132" s="4"/>
      <c r="AF132" s="4"/>
      <c r="AG132" s="4"/>
      <c r="AH132" s="4">
        <v>41340000000</v>
      </c>
    </row>
    <row r="133" spans="1:34" x14ac:dyDescent="0.25">
      <c r="A133" s="4">
        <v>132</v>
      </c>
      <c r="B133" s="5" t="s">
        <v>347</v>
      </c>
      <c r="C133" s="5" t="s">
        <v>348</v>
      </c>
      <c r="D133" s="5" t="s">
        <v>23</v>
      </c>
      <c r="E133" s="5" t="s">
        <v>75</v>
      </c>
      <c r="F133" s="5" t="s">
        <v>79</v>
      </c>
      <c r="G133" s="5" t="s">
        <v>305</v>
      </c>
      <c r="H133" s="4"/>
      <c r="I133" s="4"/>
      <c r="J133" s="6"/>
      <c r="K133" s="6"/>
      <c r="L133" s="6"/>
      <c r="M133" s="4"/>
      <c r="N133" s="4"/>
      <c r="O133" s="4"/>
      <c r="P133" s="6"/>
      <c r="Q133" s="6"/>
      <c r="R133" s="6"/>
      <c r="S133" s="6"/>
      <c r="T133" s="4"/>
      <c r="U133" s="6"/>
      <c r="V133" s="6"/>
      <c r="W133" s="6"/>
      <c r="X133" s="6">
        <v>0</v>
      </c>
      <c r="Y133" s="4"/>
      <c r="Z133" s="6"/>
      <c r="AA133" s="4"/>
      <c r="AB133" s="4"/>
      <c r="AC133" s="4"/>
      <c r="AD133" s="6"/>
      <c r="AE133" s="4"/>
      <c r="AF133" s="4"/>
      <c r="AG133" s="4"/>
      <c r="AH133" s="4">
        <v>46287000000</v>
      </c>
    </row>
    <row r="134" spans="1:34" x14ac:dyDescent="0.25">
      <c r="A134" s="4">
        <v>133</v>
      </c>
      <c r="B134" s="5" t="s">
        <v>349</v>
      </c>
      <c r="C134" s="5" t="s">
        <v>350</v>
      </c>
      <c r="D134" s="5" t="s">
        <v>23</v>
      </c>
      <c r="E134" s="5" t="s">
        <v>75</v>
      </c>
      <c r="F134" s="5" t="s">
        <v>79</v>
      </c>
      <c r="G134" s="5" t="s">
        <v>305</v>
      </c>
      <c r="H134" s="4"/>
      <c r="I134" s="4"/>
      <c r="J134" s="6"/>
      <c r="K134" s="6"/>
      <c r="L134" s="6"/>
      <c r="M134" s="4"/>
      <c r="N134" s="4"/>
      <c r="O134" s="4"/>
      <c r="P134" s="6"/>
      <c r="Q134" s="6"/>
      <c r="R134" s="6"/>
      <c r="S134" s="6"/>
      <c r="T134" s="4"/>
      <c r="U134" s="6"/>
      <c r="V134" s="6"/>
      <c r="W134" s="6"/>
      <c r="X134" s="6">
        <v>0</v>
      </c>
      <c r="Y134" s="4"/>
      <c r="Z134" s="6"/>
      <c r="AA134" s="4"/>
      <c r="AB134" s="4"/>
      <c r="AC134" s="4"/>
      <c r="AD134" s="6"/>
      <c r="AE134" s="4"/>
      <c r="AF134" s="4"/>
      <c r="AG134" s="4"/>
      <c r="AH134" s="4">
        <v>284820000000</v>
      </c>
    </row>
    <row r="135" spans="1:34" x14ac:dyDescent="0.25">
      <c r="A135" s="4">
        <v>134</v>
      </c>
      <c r="B135" s="5" t="s">
        <v>351</v>
      </c>
      <c r="C135" s="5" t="s">
        <v>352</v>
      </c>
      <c r="D135" s="5" t="s">
        <v>23</v>
      </c>
      <c r="E135" s="5" t="s">
        <v>75</v>
      </c>
      <c r="F135" s="5" t="s">
        <v>79</v>
      </c>
      <c r="G135" s="5" t="s">
        <v>305</v>
      </c>
      <c r="H135" s="4"/>
      <c r="I135" s="4"/>
      <c r="J135" s="6"/>
      <c r="K135" s="6"/>
      <c r="L135" s="6"/>
      <c r="M135" s="4"/>
      <c r="N135" s="4"/>
      <c r="O135" s="4"/>
      <c r="P135" s="6"/>
      <c r="Q135" s="6"/>
      <c r="R135" s="6"/>
      <c r="S135" s="6"/>
      <c r="T135" s="4"/>
      <c r="U135" s="6"/>
      <c r="V135" s="6"/>
      <c r="W135" s="6"/>
      <c r="X135" s="6">
        <v>0</v>
      </c>
      <c r="Y135" s="4"/>
      <c r="Z135" s="6"/>
      <c r="AA135" s="4"/>
      <c r="AB135" s="4"/>
      <c r="AC135" s="4"/>
      <c r="AD135" s="6"/>
      <c r="AE135" s="4"/>
      <c r="AF135" s="4"/>
      <c r="AG135" s="4"/>
      <c r="AH135" s="4">
        <v>64672000000</v>
      </c>
    </row>
    <row r="136" spans="1:34" x14ac:dyDescent="0.25">
      <c r="A136" s="4">
        <v>135</v>
      </c>
      <c r="B136" s="5" t="s">
        <v>353</v>
      </c>
      <c r="C136" s="5" t="s">
        <v>354</v>
      </c>
      <c r="D136" s="5" t="s">
        <v>23</v>
      </c>
      <c r="E136" s="5" t="s">
        <v>75</v>
      </c>
      <c r="F136" s="5" t="s">
        <v>79</v>
      </c>
      <c r="G136" s="5" t="s">
        <v>305</v>
      </c>
      <c r="H136" s="4"/>
      <c r="I136" s="4"/>
      <c r="J136" s="6"/>
      <c r="K136" s="6"/>
      <c r="L136" s="6"/>
      <c r="M136" s="4"/>
      <c r="N136" s="4"/>
      <c r="O136" s="4"/>
      <c r="P136" s="6"/>
      <c r="Q136" s="6"/>
      <c r="R136" s="6"/>
      <c r="S136" s="6"/>
      <c r="T136" s="4"/>
      <c r="U136" s="6"/>
      <c r="V136" s="6"/>
      <c r="W136" s="6"/>
      <c r="X136" s="6">
        <v>0</v>
      </c>
      <c r="Y136" s="4"/>
      <c r="Z136" s="6"/>
      <c r="AA136" s="4"/>
      <c r="AB136" s="4"/>
      <c r="AC136" s="4"/>
      <c r="AD136" s="6"/>
      <c r="AE136" s="4"/>
      <c r="AF136" s="4"/>
      <c r="AG136" s="4"/>
      <c r="AH136" s="4">
        <v>66900000000</v>
      </c>
    </row>
    <row r="137" spans="1:34" x14ac:dyDescent="0.25">
      <c r="A137" s="4">
        <v>136</v>
      </c>
      <c r="B137" s="5" t="s">
        <v>355</v>
      </c>
      <c r="C137" s="5" t="s">
        <v>356</v>
      </c>
      <c r="D137" s="5" t="s">
        <v>23</v>
      </c>
      <c r="E137" s="5" t="s">
        <v>75</v>
      </c>
      <c r="F137" s="5" t="s">
        <v>79</v>
      </c>
      <c r="G137" s="5" t="s">
        <v>305</v>
      </c>
      <c r="H137" s="4"/>
      <c r="I137" s="4"/>
      <c r="J137" s="6"/>
      <c r="K137" s="6"/>
      <c r="L137" s="6"/>
      <c r="M137" s="4"/>
      <c r="N137" s="4"/>
      <c r="O137" s="4"/>
      <c r="P137" s="6"/>
      <c r="Q137" s="6"/>
      <c r="R137" s="6"/>
      <c r="S137" s="6"/>
      <c r="T137" s="4"/>
      <c r="U137" s="6"/>
      <c r="V137" s="6"/>
      <c r="W137" s="6"/>
      <c r="X137" s="6">
        <v>0</v>
      </c>
      <c r="Y137" s="4"/>
      <c r="Z137" s="6"/>
      <c r="AA137" s="4"/>
      <c r="AB137" s="4"/>
      <c r="AC137" s="4"/>
      <c r="AD137" s="6"/>
      <c r="AE137" s="4"/>
      <c r="AF137" s="4"/>
      <c r="AG137" s="4"/>
      <c r="AH137" s="4">
        <v>2341791000000</v>
      </c>
    </row>
    <row r="138" spans="1:34" x14ac:dyDescent="0.25">
      <c r="A138" s="4">
        <v>137</v>
      </c>
      <c r="B138" s="5" t="s">
        <v>357</v>
      </c>
      <c r="C138" s="5" t="s">
        <v>358</v>
      </c>
      <c r="D138" s="5" t="s">
        <v>23</v>
      </c>
      <c r="E138" s="5" t="s">
        <v>75</v>
      </c>
      <c r="F138" s="5" t="s">
        <v>79</v>
      </c>
      <c r="G138" s="5" t="s">
        <v>305</v>
      </c>
      <c r="H138" s="4"/>
      <c r="I138" s="4"/>
      <c r="J138" s="6"/>
      <c r="K138" s="6"/>
      <c r="L138" s="6"/>
      <c r="M138" s="4"/>
      <c r="N138" s="4"/>
      <c r="O138" s="4"/>
      <c r="P138" s="6"/>
      <c r="Q138" s="6"/>
      <c r="R138" s="6"/>
      <c r="S138" s="6"/>
      <c r="T138" s="4"/>
      <c r="U138" s="6"/>
      <c r="V138" s="6"/>
      <c r="W138" s="6"/>
      <c r="X138" s="6">
        <v>0</v>
      </c>
      <c r="Y138" s="4"/>
      <c r="Z138" s="6"/>
      <c r="AA138" s="4"/>
      <c r="AB138" s="4"/>
      <c r="AC138" s="4"/>
      <c r="AD138" s="6"/>
      <c r="AE138" s="4"/>
      <c r="AF138" s="4"/>
      <c r="AG138" s="4"/>
      <c r="AH138" s="4">
        <v>258210000000</v>
      </c>
    </row>
    <row r="139" spans="1:34" x14ac:dyDescent="0.25">
      <c r="A139" s="4">
        <v>138</v>
      </c>
      <c r="B139" s="5" t="s">
        <v>359</v>
      </c>
      <c r="C139" s="5" t="s">
        <v>360</v>
      </c>
      <c r="D139" s="5" t="s">
        <v>23</v>
      </c>
      <c r="E139" s="5" t="s">
        <v>75</v>
      </c>
      <c r="F139" s="5" t="s">
        <v>79</v>
      </c>
      <c r="G139" s="5" t="s">
        <v>305</v>
      </c>
      <c r="H139" s="4"/>
      <c r="I139" s="4"/>
      <c r="J139" s="6"/>
      <c r="K139" s="6"/>
      <c r="L139" s="6"/>
      <c r="M139" s="4"/>
      <c r="N139" s="4"/>
      <c r="O139" s="4"/>
      <c r="P139" s="6"/>
      <c r="Q139" s="6"/>
      <c r="R139" s="6"/>
      <c r="S139" s="6"/>
      <c r="T139" s="4"/>
      <c r="U139" s="6"/>
      <c r="V139" s="6"/>
      <c r="W139" s="6"/>
      <c r="X139" s="6">
        <v>0</v>
      </c>
      <c r="Y139" s="4"/>
      <c r="Z139" s="6"/>
      <c r="AA139" s="4"/>
      <c r="AB139" s="4"/>
      <c r="AC139" s="4"/>
      <c r="AD139" s="6"/>
      <c r="AE139" s="4"/>
      <c r="AF139" s="4"/>
      <c r="AG139" s="4"/>
      <c r="AH139" s="4">
        <v>66528000000</v>
      </c>
    </row>
    <row r="140" spans="1:34" x14ac:dyDescent="0.25">
      <c r="A140" s="4">
        <v>139</v>
      </c>
      <c r="B140" s="5" t="s">
        <v>361</v>
      </c>
      <c r="C140" s="5" t="s">
        <v>362</v>
      </c>
      <c r="D140" s="5" t="s">
        <v>23</v>
      </c>
      <c r="E140" s="5" t="s">
        <v>75</v>
      </c>
      <c r="F140" s="5" t="s">
        <v>79</v>
      </c>
      <c r="G140" s="5" t="s">
        <v>305</v>
      </c>
      <c r="H140" s="4"/>
      <c r="I140" s="4"/>
      <c r="J140" s="6"/>
      <c r="K140" s="6"/>
      <c r="L140" s="6"/>
      <c r="M140" s="4"/>
      <c r="N140" s="4"/>
      <c r="O140" s="4"/>
      <c r="P140" s="6"/>
      <c r="Q140" s="6"/>
      <c r="R140" s="6"/>
      <c r="S140" s="6"/>
      <c r="T140" s="4"/>
      <c r="U140" s="6"/>
      <c r="V140" s="6"/>
      <c r="W140" s="6"/>
      <c r="X140" s="6">
        <v>0</v>
      </c>
      <c r="Y140" s="4"/>
      <c r="Z140" s="6"/>
      <c r="AA140" s="4"/>
      <c r="AB140" s="4"/>
      <c r="AC140" s="4"/>
      <c r="AD140" s="6"/>
      <c r="AE140" s="4"/>
      <c r="AF140" s="4"/>
      <c r="AG140" s="4"/>
      <c r="AH140" s="4">
        <v>583960000000</v>
      </c>
    </row>
    <row r="141" spans="1:34" x14ac:dyDescent="0.25">
      <c r="A141" s="4">
        <v>140</v>
      </c>
      <c r="B141" s="5" t="s">
        <v>363</v>
      </c>
      <c r="C141" s="5" t="s">
        <v>364</v>
      </c>
      <c r="D141" s="5" t="s">
        <v>23</v>
      </c>
      <c r="E141" s="5" t="s">
        <v>75</v>
      </c>
      <c r="F141" s="5" t="s">
        <v>79</v>
      </c>
      <c r="G141" s="5" t="s">
        <v>305</v>
      </c>
      <c r="H141" s="4"/>
      <c r="I141" s="4"/>
      <c r="J141" s="6"/>
      <c r="K141" s="6"/>
      <c r="L141" s="6"/>
      <c r="M141" s="4"/>
      <c r="N141" s="4"/>
      <c r="O141" s="4"/>
      <c r="P141" s="6"/>
      <c r="Q141" s="6"/>
      <c r="R141" s="6"/>
      <c r="S141" s="6"/>
      <c r="T141" s="4"/>
      <c r="U141" s="6"/>
      <c r="V141" s="6"/>
      <c r="W141" s="6"/>
      <c r="X141" s="6">
        <v>0</v>
      </c>
      <c r="Y141" s="4"/>
      <c r="Z141" s="6"/>
      <c r="AA141" s="4"/>
      <c r="AB141" s="4"/>
      <c r="AC141" s="4"/>
      <c r="AD141" s="6"/>
      <c r="AE141" s="4"/>
      <c r="AF141" s="4"/>
      <c r="AG141" s="4"/>
      <c r="AH141" s="4">
        <v>213520000000</v>
      </c>
    </row>
    <row r="142" spans="1:34" x14ac:dyDescent="0.25">
      <c r="A142" s="4">
        <v>141</v>
      </c>
      <c r="B142" s="5" t="s">
        <v>365</v>
      </c>
      <c r="C142" s="5" t="s">
        <v>366</v>
      </c>
      <c r="D142" s="5" t="s">
        <v>23</v>
      </c>
      <c r="E142" s="5" t="s">
        <v>75</v>
      </c>
      <c r="F142" s="5" t="s">
        <v>79</v>
      </c>
      <c r="G142" s="5" t="s">
        <v>305</v>
      </c>
      <c r="H142" s="4"/>
      <c r="I142" s="4"/>
      <c r="J142" s="6"/>
      <c r="K142" s="6"/>
      <c r="L142" s="6"/>
      <c r="M142" s="4"/>
      <c r="N142" s="4"/>
      <c r="O142" s="4"/>
      <c r="P142" s="6"/>
      <c r="Q142" s="6"/>
      <c r="R142" s="6"/>
      <c r="S142" s="6"/>
      <c r="T142" s="4"/>
      <c r="U142" s="6"/>
      <c r="V142" s="6"/>
      <c r="W142" s="6"/>
      <c r="X142" s="6">
        <v>0</v>
      </c>
      <c r="Y142" s="4"/>
      <c r="Z142" s="6"/>
      <c r="AA142" s="4"/>
      <c r="AB142" s="4"/>
      <c r="AC142" s="4"/>
      <c r="AD142" s="6"/>
      <c r="AE142" s="4"/>
      <c r="AF142" s="4"/>
      <c r="AG142" s="4"/>
      <c r="AH142" s="4">
        <v>54500000000</v>
      </c>
    </row>
    <row r="143" spans="1:34" x14ac:dyDescent="0.25">
      <c r="A143" s="4">
        <v>142</v>
      </c>
      <c r="B143" s="5" t="s">
        <v>367</v>
      </c>
      <c r="C143" s="5" t="s">
        <v>368</v>
      </c>
      <c r="D143" s="5" t="s">
        <v>23</v>
      </c>
      <c r="E143" s="5" t="s">
        <v>75</v>
      </c>
      <c r="F143" s="5" t="s">
        <v>79</v>
      </c>
      <c r="G143" s="5" t="s">
        <v>305</v>
      </c>
      <c r="H143" s="4"/>
      <c r="I143" s="4"/>
      <c r="J143" s="6"/>
      <c r="K143" s="6"/>
      <c r="L143" s="6"/>
      <c r="M143" s="4"/>
      <c r="N143" s="4"/>
      <c r="O143" s="4"/>
      <c r="P143" s="6"/>
      <c r="Q143" s="6"/>
      <c r="R143" s="6"/>
      <c r="S143" s="6"/>
      <c r="T143" s="4"/>
      <c r="U143" s="6"/>
      <c r="V143" s="6"/>
      <c r="W143" s="6"/>
      <c r="X143" s="6">
        <v>0</v>
      </c>
      <c r="Y143" s="4"/>
      <c r="Z143" s="6"/>
      <c r="AA143" s="4"/>
      <c r="AB143" s="4"/>
      <c r="AC143" s="4"/>
      <c r="AD143" s="6"/>
      <c r="AE143" s="4"/>
      <c r="AF143" s="4"/>
      <c r="AG143" s="4"/>
      <c r="AH143" s="4">
        <v>233600000000</v>
      </c>
    </row>
    <row r="144" spans="1:34" x14ac:dyDescent="0.25">
      <c r="A144" s="4">
        <v>143</v>
      </c>
      <c r="B144" s="5" t="s">
        <v>369</v>
      </c>
      <c r="C144" s="5" t="s">
        <v>370</v>
      </c>
      <c r="D144" s="5" t="s">
        <v>23</v>
      </c>
      <c r="E144" s="5" t="s">
        <v>75</v>
      </c>
      <c r="F144" s="5" t="s">
        <v>79</v>
      </c>
      <c r="G144" s="5" t="s">
        <v>305</v>
      </c>
      <c r="H144" s="4"/>
      <c r="I144" s="4"/>
      <c r="J144" s="6"/>
      <c r="K144" s="6"/>
      <c r="L144" s="6"/>
      <c r="M144" s="4"/>
      <c r="N144" s="4"/>
      <c r="O144" s="4"/>
      <c r="P144" s="6"/>
      <c r="Q144" s="6"/>
      <c r="R144" s="6"/>
      <c r="S144" s="6"/>
      <c r="T144" s="4"/>
      <c r="U144" s="6"/>
      <c r="V144" s="6"/>
      <c r="W144" s="6"/>
      <c r="X144" s="6">
        <v>0</v>
      </c>
      <c r="Y144" s="4"/>
      <c r="Z144" s="6"/>
      <c r="AA144" s="4"/>
      <c r="AB144" s="4"/>
      <c r="AC144" s="4"/>
      <c r="AD144" s="6"/>
      <c r="AE144" s="4"/>
      <c r="AF144" s="4"/>
      <c r="AG144" s="4"/>
      <c r="AH144" s="4">
        <v>148200000000</v>
      </c>
    </row>
    <row r="145" spans="1:34" x14ac:dyDescent="0.25">
      <c r="A145" s="4">
        <v>144</v>
      </c>
      <c r="B145" s="5" t="s">
        <v>371</v>
      </c>
      <c r="C145" s="5" t="s">
        <v>372</v>
      </c>
      <c r="D145" s="5" t="s">
        <v>23</v>
      </c>
      <c r="E145" s="5" t="s">
        <v>75</v>
      </c>
      <c r="F145" s="5" t="s">
        <v>79</v>
      </c>
      <c r="G145" s="5" t="s">
        <v>305</v>
      </c>
      <c r="H145" s="4"/>
      <c r="I145" s="4"/>
      <c r="J145" s="6"/>
      <c r="K145" s="6"/>
      <c r="L145" s="6"/>
      <c r="M145" s="4"/>
      <c r="N145" s="4"/>
      <c r="O145" s="4"/>
      <c r="P145" s="6"/>
      <c r="Q145" s="6"/>
      <c r="R145" s="6"/>
      <c r="S145" s="6"/>
      <c r="T145" s="4"/>
      <c r="U145" s="6"/>
      <c r="V145" s="6"/>
      <c r="W145" s="6"/>
      <c r="X145" s="6">
        <v>0</v>
      </c>
      <c r="Y145" s="4"/>
      <c r="Z145" s="6"/>
      <c r="AA145" s="4"/>
      <c r="AB145" s="4"/>
      <c r="AC145" s="4"/>
      <c r="AD145" s="6"/>
      <c r="AE145" s="4"/>
      <c r="AF145" s="4"/>
      <c r="AG145" s="4"/>
      <c r="AH145" s="4">
        <v>516060000000</v>
      </c>
    </row>
    <row r="146" spans="1:34" x14ac:dyDescent="0.25">
      <c r="A146" s="4">
        <v>145</v>
      </c>
      <c r="B146" s="5" t="s">
        <v>373</v>
      </c>
      <c r="C146" s="5" t="s">
        <v>374</v>
      </c>
      <c r="D146" s="5" t="s">
        <v>23</v>
      </c>
      <c r="E146" s="5" t="s">
        <v>75</v>
      </c>
      <c r="F146" s="5" t="s">
        <v>79</v>
      </c>
      <c r="G146" s="5" t="s">
        <v>305</v>
      </c>
      <c r="H146" s="4"/>
      <c r="I146" s="4"/>
      <c r="J146" s="6"/>
      <c r="K146" s="6"/>
      <c r="L146" s="6"/>
      <c r="M146" s="4"/>
      <c r="N146" s="4"/>
      <c r="O146" s="4"/>
      <c r="P146" s="6"/>
      <c r="Q146" s="6"/>
      <c r="R146" s="6"/>
      <c r="S146" s="6"/>
      <c r="T146" s="4"/>
      <c r="U146" s="6"/>
      <c r="V146" s="6"/>
      <c r="W146" s="6"/>
      <c r="X146" s="6">
        <v>0</v>
      </c>
      <c r="Y146" s="4"/>
      <c r="Z146" s="6"/>
      <c r="AA146" s="4"/>
      <c r="AB146" s="4"/>
      <c r="AC146" s="4"/>
      <c r="AD146" s="6"/>
      <c r="AE146" s="4"/>
      <c r="AF146" s="4"/>
      <c r="AG146" s="4"/>
      <c r="AH146" s="4">
        <v>90090000000</v>
      </c>
    </row>
    <row r="147" spans="1:34" x14ac:dyDescent="0.25">
      <c r="A147" s="4">
        <v>146</v>
      </c>
      <c r="B147" s="5" t="s">
        <v>375</v>
      </c>
      <c r="C147" s="5" t="s">
        <v>376</v>
      </c>
      <c r="D147" s="5" t="s">
        <v>23</v>
      </c>
      <c r="E147" s="5" t="s">
        <v>75</v>
      </c>
      <c r="F147" s="5" t="s">
        <v>79</v>
      </c>
      <c r="G147" s="5" t="s">
        <v>305</v>
      </c>
      <c r="H147" s="4"/>
      <c r="I147" s="4"/>
      <c r="J147" s="6"/>
      <c r="K147" s="6"/>
      <c r="L147" s="6"/>
      <c r="M147" s="4"/>
      <c r="N147" s="4"/>
      <c r="O147" s="4"/>
      <c r="P147" s="6"/>
      <c r="Q147" s="6"/>
      <c r="R147" s="6"/>
      <c r="S147" s="6"/>
      <c r="T147" s="4"/>
      <c r="U147" s="6"/>
      <c r="V147" s="6"/>
      <c r="W147" s="6"/>
      <c r="X147" s="6">
        <v>0</v>
      </c>
      <c r="Y147" s="4"/>
      <c r="Z147" s="6"/>
      <c r="AA147" s="4"/>
      <c r="AB147" s="4"/>
      <c r="AC147" s="4"/>
      <c r="AD147" s="6"/>
      <c r="AE147" s="4"/>
      <c r="AF147" s="4"/>
      <c r="AG147" s="4"/>
      <c r="AH147" s="4">
        <v>61096000000</v>
      </c>
    </row>
    <row r="148" spans="1:34" x14ac:dyDescent="0.25">
      <c r="A148" s="4">
        <v>147</v>
      </c>
      <c r="B148" s="5" t="s">
        <v>377</v>
      </c>
      <c r="C148" s="5" t="s">
        <v>378</v>
      </c>
      <c r="D148" s="5" t="s">
        <v>23</v>
      </c>
      <c r="E148" s="5" t="s">
        <v>75</v>
      </c>
      <c r="F148" s="5" t="s">
        <v>79</v>
      </c>
      <c r="G148" s="5" t="s">
        <v>305</v>
      </c>
      <c r="H148" s="4"/>
      <c r="I148" s="4"/>
      <c r="J148" s="6"/>
      <c r="K148" s="6"/>
      <c r="L148" s="6"/>
      <c r="M148" s="4"/>
      <c r="N148" s="4"/>
      <c r="O148" s="4"/>
      <c r="P148" s="6"/>
      <c r="Q148" s="6"/>
      <c r="R148" s="6"/>
      <c r="S148" s="6"/>
      <c r="T148" s="4"/>
      <c r="U148" s="6"/>
      <c r="V148" s="6"/>
      <c r="W148" s="6"/>
      <c r="X148" s="6">
        <v>0</v>
      </c>
      <c r="Y148" s="4"/>
      <c r="Z148" s="6"/>
      <c r="AA148" s="4"/>
      <c r="AB148" s="4"/>
      <c r="AC148" s="4"/>
      <c r="AD148" s="6"/>
      <c r="AE148" s="4"/>
      <c r="AF148" s="4"/>
      <c r="AG148" s="4"/>
      <c r="AH148" s="4">
        <v>10377600000000</v>
      </c>
    </row>
    <row r="149" spans="1:34" x14ac:dyDescent="0.25">
      <c r="A149" s="4">
        <v>148</v>
      </c>
      <c r="B149" s="5" t="s">
        <v>379</v>
      </c>
      <c r="C149" s="5" t="s">
        <v>380</v>
      </c>
      <c r="D149" s="5" t="s">
        <v>23</v>
      </c>
      <c r="E149" s="5" t="s">
        <v>75</v>
      </c>
      <c r="F149" s="5" t="s">
        <v>79</v>
      </c>
      <c r="G149" s="5" t="s">
        <v>305</v>
      </c>
      <c r="H149" s="4"/>
      <c r="I149" s="4"/>
      <c r="J149" s="6"/>
      <c r="K149" s="6"/>
      <c r="L149" s="6"/>
      <c r="M149" s="4"/>
      <c r="N149" s="4"/>
      <c r="O149" s="4"/>
      <c r="P149" s="6"/>
      <c r="Q149" s="6"/>
      <c r="R149" s="6"/>
      <c r="S149" s="6"/>
      <c r="T149" s="4"/>
      <c r="U149" s="6"/>
      <c r="V149" s="6"/>
      <c r="W149" s="6"/>
      <c r="X149" s="6">
        <v>0</v>
      </c>
      <c r="Y149" s="4"/>
      <c r="Z149" s="6"/>
      <c r="AA149" s="4"/>
      <c r="AB149" s="4"/>
      <c r="AC149" s="4"/>
      <c r="AD149" s="6"/>
      <c r="AE149" s="4"/>
      <c r="AF149" s="4"/>
      <c r="AG149" s="4"/>
      <c r="AH149" s="4">
        <v>658882000000</v>
      </c>
    </row>
    <row r="150" spans="1:34" x14ac:dyDescent="0.25">
      <c r="A150" s="4">
        <v>149</v>
      </c>
      <c r="B150" s="5" t="s">
        <v>381</v>
      </c>
      <c r="C150" s="5" t="s">
        <v>382</v>
      </c>
      <c r="D150" s="5" t="s">
        <v>23</v>
      </c>
      <c r="E150" s="5" t="s">
        <v>75</v>
      </c>
      <c r="F150" s="5" t="s">
        <v>79</v>
      </c>
      <c r="G150" s="5" t="s">
        <v>305</v>
      </c>
      <c r="H150" s="4"/>
      <c r="I150" s="4"/>
      <c r="J150" s="6"/>
      <c r="K150" s="6"/>
      <c r="L150" s="6"/>
      <c r="M150" s="4"/>
      <c r="N150" s="4"/>
      <c r="O150" s="4"/>
      <c r="P150" s="6"/>
      <c r="Q150" s="6"/>
      <c r="R150" s="6"/>
      <c r="S150" s="6"/>
      <c r="T150" s="4"/>
      <c r="U150" s="6"/>
      <c r="V150" s="6"/>
      <c r="W150" s="6"/>
      <c r="X150" s="6">
        <v>0</v>
      </c>
      <c r="Y150" s="4"/>
      <c r="Z150" s="6"/>
      <c r="AA150" s="4"/>
      <c r="AB150" s="4"/>
      <c r="AC150" s="4"/>
      <c r="AD150" s="6"/>
      <c r="AE150" s="4"/>
      <c r="AF150" s="4"/>
      <c r="AG150" s="4"/>
      <c r="AH150" s="4">
        <v>60000000000</v>
      </c>
    </row>
    <row r="151" spans="1:34" x14ac:dyDescent="0.25">
      <c r="A151" s="4">
        <v>150</v>
      </c>
      <c r="B151" s="5" t="s">
        <v>383</v>
      </c>
      <c r="C151" s="5" t="s">
        <v>384</v>
      </c>
      <c r="D151" s="5" t="s">
        <v>23</v>
      </c>
      <c r="E151" s="5" t="s">
        <v>98</v>
      </c>
      <c r="F151" s="5" t="s">
        <v>99</v>
      </c>
      <c r="G151" s="5" t="s">
        <v>100</v>
      </c>
      <c r="H151" s="4"/>
      <c r="I151" s="4"/>
      <c r="J151" s="6"/>
      <c r="K151" s="6"/>
      <c r="L151" s="6"/>
      <c r="M151" s="4"/>
      <c r="N151" s="4"/>
      <c r="O151" s="4"/>
      <c r="P151" s="6"/>
      <c r="Q151" s="6"/>
      <c r="R151" s="6"/>
      <c r="S151" s="6"/>
      <c r="T151" s="4"/>
      <c r="U151" s="6"/>
      <c r="V151" s="6"/>
      <c r="W151" s="6"/>
      <c r="X151" s="6"/>
      <c r="Y151" s="4"/>
      <c r="Z151" s="6"/>
      <c r="AA151" s="4"/>
      <c r="AB151" s="4"/>
      <c r="AC151" s="4"/>
      <c r="AD151" s="6"/>
      <c r="AE151" s="4"/>
      <c r="AF151" s="4"/>
      <c r="AG151" s="4"/>
      <c r="AH151" s="4">
        <v>155393964286400</v>
      </c>
    </row>
    <row r="152" spans="1:34" x14ac:dyDescent="0.25">
      <c r="A152" s="4">
        <v>151</v>
      </c>
      <c r="B152" s="5" t="s">
        <v>385</v>
      </c>
      <c r="C152" s="5" t="s">
        <v>386</v>
      </c>
      <c r="D152" s="5" t="s">
        <v>23</v>
      </c>
      <c r="E152" s="5" t="s">
        <v>29</v>
      </c>
      <c r="F152" s="5" t="s">
        <v>36</v>
      </c>
      <c r="G152" s="5" t="s">
        <v>126</v>
      </c>
      <c r="H152" s="4"/>
      <c r="I152" s="4"/>
      <c r="J152" s="6"/>
      <c r="K152" s="6"/>
      <c r="L152" s="6"/>
      <c r="M152" s="4"/>
      <c r="N152" s="4"/>
      <c r="O152" s="4"/>
      <c r="P152" s="6"/>
      <c r="Q152" s="6"/>
      <c r="R152" s="6"/>
      <c r="S152" s="6"/>
      <c r="T152" s="4"/>
      <c r="U152" s="6"/>
      <c r="V152" s="6"/>
      <c r="W152" s="6"/>
      <c r="X152" s="6"/>
      <c r="Y152" s="4"/>
      <c r="Z152" s="6"/>
      <c r="AA152" s="4"/>
      <c r="AB152" s="4"/>
      <c r="AC152" s="4"/>
      <c r="AD152" s="6"/>
      <c r="AE152" s="4"/>
      <c r="AF152" s="4"/>
      <c r="AG152" s="4"/>
      <c r="AH152" s="4">
        <v>427791493800</v>
      </c>
    </row>
    <row r="153" spans="1:34" x14ac:dyDescent="0.25">
      <c r="A153" s="4">
        <v>152</v>
      </c>
      <c r="B153" s="5" t="s">
        <v>387</v>
      </c>
      <c r="C153" s="5" t="s">
        <v>388</v>
      </c>
      <c r="D153" s="5" t="s">
        <v>23</v>
      </c>
      <c r="E153" s="5" t="s">
        <v>40</v>
      </c>
      <c r="F153" s="5" t="s">
        <v>41</v>
      </c>
      <c r="G153" s="5" t="s">
        <v>389</v>
      </c>
      <c r="H153" s="4">
        <v>9523911487015</v>
      </c>
      <c r="I153" s="4">
        <v>16621263264399</v>
      </c>
      <c r="J153" s="6">
        <v>0.46300000000000002</v>
      </c>
      <c r="K153" s="6">
        <v>0.40970000000000001</v>
      </c>
      <c r="L153" s="6">
        <v>0.30530000000000002</v>
      </c>
      <c r="M153" s="4">
        <v>704996968651</v>
      </c>
      <c r="N153" s="4">
        <v>1284382923874</v>
      </c>
      <c r="O153" s="4"/>
      <c r="P153" s="6">
        <v>0.33489999999999998</v>
      </c>
      <c r="Q153" s="6">
        <v>0.31059999999999999</v>
      </c>
      <c r="R153" s="6">
        <v>0.16039999999999999</v>
      </c>
      <c r="S153" s="6">
        <v>0.21679999999999999</v>
      </c>
      <c r="T153" s="4"/>
      <c r="U153" s="6">
        <v>-0.38990000000000002</v>
      </c>
      <c r="V153" s="6">
        <v>-0.37169999999999997</v>
      </c>
      <c r="W153" s="6">
        <v>-0.39439999999999997</v>
      </c>
      <c r="X153" s="6">
        <v>4.4999999999999998E-2</v>
      </c>
      <c r="Y153" s="4"/>
      <c r="Z153" s="6">
        <v>0.34189999999999998</v>
      </c>
      <c r="AA153" s="4"/>
      <c r="AB153" s="4"/>
      <c r="AC153" s="4"/>
      <c r="AD153" s="6">
        <v>0</v>
      </c>
      <c r="AE153" s="4"/>
      <c r="AF153" s="4"/>
      <c r="AG153" s="4"/>
      <c r="AH153" s="4">
        <v>42657247452600</v>
      </c>
    </row>
    <row r="154" spans="1:34" x14ac:dyDescent="0.25">
      <c r="A154" s="4">
        <v>153</v>
      </c>
      <c r="B154" s="5" t="s">
        <v>390</v>
      </c>
      <c r="C154" s="5" t="s">
        <v>391</v>
      </c>
      <c r="D154" s="5" t="s">
        <v>23</v>
      </c>
      <c r="E154" s="5" t="s">
        <v>98</v>
      </c>
      <c r="F154" s="5" t="s">
        <v>99</v>
      </c>
      <c r="G154" s="5" t="s">
        <v>144</v>
      </c>
      <c r="H154" s="4"/>
      <c r="I154" s="4"/>
      <c r="J154" s="6"/>
      <c r="K154" s="6"/>
      <c r="L154" s="6"/>
      <c r="M154" s="4"/>
      <c r="N154" s="4"/>
      <c r="O154" s="4"/>
      <c r="P154" s="6"/>
      <c r="Q154" s="6"/>
      <c r="R154" s="6"/>
      <c r="S154" s="6"/>
      <c r="T154" s="4"/>
      <c r="U154" s="6"/>
      <c r="V154" s="6"/>
      <c r="W154" s="6"/>
      <c r="X154" s="6"/>
      <c r="Y154" s="4"/>
      <c r="Z154" s="6"/>
      <c r="AA154" s="4"/>
      <c r="AB154" s="4"/>
      <c r="AC154" s="4"/>
      <c r="AD154" s="6"/>
      <c r="AE154" s="4"/>
      <c r="AF154" s="4"/>
      <c r="AG154" s="4"/>
      <c r="AH154" s="4">
        <v>4401780142500</v>
      </c>
    </row>
    <row r="155" spans="1:34" x14ac:dyDescent="0.25">
      <c r="A155" s="4">
        <v>154</v>
      </c>
      <c r="B155" s="5" t="s">
        <v>392</v>
      </c>
      <c r="C155" s="5" t="s">
        <v>393</v>
      </c>
      <c r="D155" s="5" t="s">
        <v>23</v>
      </c>
      <c r="E155" s="5" t="s">
        <v>40</v>
      </c>
      <c r="F155" s="5" t="s">
        <v>52</v>
      </c>
      <c r="G155" s="5" t="s">
        <v>53</v>
      </c>
      <c r="H155" s="4"/>
      <c r="I155" s="4"/>
      <c r="J155" s="6"/>
      <c r="K155" s="6"/>
      <c r="L155" s="6"/>
      <c r="M155" s="4"/>
      <c r="N155" s="4"/>
      <c r="O155" s="4"/>
      <c r="P155" s="6"/>
      <c r="Q155" s="6"/>
      <c r="R155" s="6"/>
      <c r="S155" s="6"/>
      <c r="T155" s="4"/>
      <c r="U155" s="6"/>
      <c r="V155" s="6"/>
      <c r="W155" s="6"/>
      <c r="X155" s="6"/>
      <c r="Y155" s="4"/>
      <c r="Z155" s="6"/>
      <c r="AA155" s="4"/>
      <c r="AB155" s="4"/>
      <c r="AC155" s="4"/>
      <c r="AD155" s="6"/>
      <c r="AE155" s="4"/>
      <c r="AF155" s="4"/>
      <c r="AG155" s="4"/>
      <c r="AH155" s="4">
        <v>20514500000000</v>
      </c>
    </row>
    <row r="156" spans="1:34" x14ac:dyDescent="0.25">
      <c r="A156" s="4">
        <v>155</v>
      </c>
      <c r="B156" s="5" t="s">
        <v>394</v>
      </c>
      <c r="C156" s="5" t="s">
        <v>395</v>
      </c>
      <c r="D156" s="5" t="s">
        <v>23</v>
      </c>
      <c r="E156" s="5" t="s">
        <v>40</v>
      </c>
      <c r="F156" s="5" t="s">
        <v>41</v>
      </c>
      <c r="G156" s="5" t="s">
        <v>389</v>
      </c>
      <c r="H156" s="4"/>
      <c r="I156" s="4"/>
      <c r="J156" s="6"/>
      <c r="K156" s="6"/>
      <c r="L156" s="6"/>
      <c r="M156" s="4"/>
      <c r="N156" s="4"/>
      <c r="O156" s="4"/>
      <c r="P156" s="6"/>
      <c r="Q156" s="6"/>
      <c r="R156" s="6"/>
      <c r="S156" s="6"/>
      <c r="T156" s="4"/>
      <c r="U156" s="6"/>
      <c r="V156" s="6"/>
      <c r="W156" s="6"/>
      <c r="X156" s="6"/>
      <c r="Y156" s="4"/>
      <c r="Z156" s="6"/>
      <c r="AA156" s="4"/>
      <c r="AB156" s="4"/>
      <c r="AC156" s="4"/>
      <c r="AD156" s="6"/>
      <c r="AE156" s="4"/>
      <c r="AF156" s="4"/>
      <c r="AG156" s="4"/>
      <c r="AH156" s="4">
        <v>27150780678500</v>
      </c>
    </row>
    <row r="157" spans="1:34" x14ac:dyDescent="0.25">
      <c r="A157" s="4">
        <v>156</v>
      </c>
      <c r="B157" s="5" t="s">
        <v>396</v>
      </c>
      <c r="C157" s="5" t="s">
        <v>397</v>
      </c>
      <c r="D157" s="5" t="s">
        <v>23</v>
      </c>
      <c r="E157" s="5" t="s">
        <v>98</v>
      </c>
      <c r="F157" s="5" t="s">
        <v>99</v>
      </c>
      <c r="G157" s="5" t="s">
        <v>144</v>
      </c>
      <c r="H157" s="4"/>
      <c r="I157" s="4"/>
      <c r="J157" s="6"/>
      <c r="K157" s="6"/>
      <c r="L157" s="6"/>
      <c r="M157" s="4"/>
      <c r="N157" s="4"/>
      <c r="O157" s="4"/>
      <c r="P157" s="6"/>
      <c r="Q157" s="6"/>
      <c r="R157" s="6"/>
      <c r="S157" s="6"/>
      <c r="T157" s="4"/>
      <c r="U157" s="6"/>
      <c r="V157" s="6"/>
      <c r="W157" s="6"/>
      <c r="X157" s="6"/>
      <c r="Y157" s="4"/>
      <c r="Z157" s="6"/>
      <c r="AA157" s="4"/>
      <c r="AB157" s="4"/>
      <c r="AC157" s="4"/>
      <c r="AD157" s="6"/>
      <c r="AE157" s="4"/>
      <c r="AF157" s="4"/>
      <c r="AG157" s="4"/>
      <c r="AH157" s="4">
        <v>1174880625000</v>
      </c>
    </row>
    <row r="158" spans="1:34" x14ac:dyDescent="0.25">
      <c r="A158" s="4">
        <v>157</v>
      </c>
      <c r="B158" s="5" t="s">
        <v>398</v>
      </c>
      <c r="C158" s="5" t="s">
        <v>399</v>
      </c>
      <c r="D158" s="5" t="s">
        <v>23</v>
      </c>
      <c r="E158" s="5" t="s">
        <v>29</v>
      </c>
      <c r="F158" s="5" t="s">
        <v>36</v>
      </c>
      <c r="G158" s="5" t="s">
        <v>37</v>
      </c>
      <c r="H158" s="4"/>
      <c r="I158" s="4"/>
      <c r="J158" s="6"/>
      <c r="K158" s="6"/>
      <c r="L158" s="6"/>
      <c r="M158" s="4"/>
      <c r="N158" s="4"/>
      <c r="O158" s="4"/>
      <c r="P158" s="6"/>
      <c r="Q158" s="6"/>
      <c r="R158" s="6"/>
      <c r="S158" s="6"/>
      <c r="T158" s="4"/>
      <c r="U158" s="6"/>
      <c r="V158" s="6"/>
      <c r="W158" s="6"/>
      <c r="X158" s="6"/>
      <c r="Y158" s="4"/>
      <c r="Z158" s="6"/>
      <c r="AA158" s="4"/>
      <c r="AB158" s="4"/>
      <c r="AC158" s="4"/>
      <c r="AD158" s="6"/>
      <c r="AE158" s="4"/>
      <c r="AF158" s="4"/>
      <c r="AG158" s="4"/>
      <c r="AH158" s="4">
        <v>701013904200</v>
      </c>
    </row>
    <row r="159" spans="1:34" x14ac:dyDescent="0.25">
      <c r="A159" s="4">
        <v>158</v>
      </c>
      <c r="B159" s="5" t="s">
        <v>400</v>
      </c>
      <c r="C159" s="5" t="s">
        <v>401</v>
      </c>
      <c r="D159" s="5" t="s">
        <v>23</v>
      </c>
      <c r="E159" s="5" t="s">
        <v>40</v>
      </c>
      <c r="F159" s="5" t="s">
        <v>41</v>
      </c>
      <c r="G159" s="5" t="s">
        <v>93</v>
      </c>
      <c r="H159" s="4"/>
      <c r="I159" s="4"/>
      <c r="J159" s="6"/>
      <c r="K159" s="6"/>
      <c r="L159" s="6"/>
      <c r="M159" s="4"/>
      <c r="N159" s="4"/>
      <c r="O159" s="4"/>
      <c r="P159" s="6"/>
      <c r="Q159" s="6"/>
      <c r="R159" s="6"/>
      <c r="S159" s="6"/>
      <c r="T159" s="4"/>
      <c r="U159" s="6"/>
      <c r="V159" s="6"/>
      <c r="W159" s="6"/>
      <c r="X159" s="6"/>
      <c r="Y159" s="4"/>
      <c r="Z159" s="6"/>
      <c r="AA159" s="4"/>
      <c r="AB159" s="4"/>
      <c r="AC159" s="4"/>
      <c r="AD159" s="6"/>
      <c r="AE159" s="4"/>
      <c r="AF159" s="4"/>
      <c r="AG159" s="4"/>
      <c r="AH159" s="4">
        <v>30707647848000</v>
      </c>
    </row>
    <row r="160" spans="1:34" x14ac:dyDescent="0.25">
      <c r="A160" s="4">
        <v>159</v>
      </c>
      <c r="B160" s="5" t="s">
        <v>402</v>
      </c>
      <c r="C160" s="5" t="s">
        <v>403</v>
      </c>
      <c r="D160" s="5" t="s">
        <v>23</v>
      </c>
      <c r="E160" s="5" t="s">
        <v>40</v>
      </c>
      <c r="F160" s="5" t="s">
        <v>52</v>
      </c>
      <c r="G160" s="5" t="s">
        <v>53</v>
      </c>
      <c r="H160" s="4">
        <v>21255920066</v>
      </c>
      <c r="I160" s="4">
        <v>34592436223</v>
      </c>
      <c r="J160" s="6">
        <v>-0.43130000000000002</v>
      </c>
      <c r="K160" s="6">
        <v>-0.4007</v>
      </c>
      <c r="L160" s="6">
        <v>-0.3044</v>
      </c>
      <c r="M160" s="4">
        <v>3916729568</v>
      </c>
      <c r="N160" s="4">
        <v>6277924965</v>
      </c>
      <c r="O160" s="4"/>
      <c r="P160" s="6">
        <v>-0.3347</v>
      </c>
      <c r="Q160" s="6">
        <v>-0.20469999999999999</v>
      </c>
      <c r="R160" s="6">
        <v>0.1007</v>
      </c>
      <c r="S160" s="6">
        <v>0.65880000000000005</v>
      </c>
      <c r="T160" s="4"/>
      <c r="U160" s="6">
        <v>-0.65849999999999997</v>
      </c>
      <c r="V160" s="6">
        <v>-0.61619999999999997</v>
      </c>
      <c r="W160" s="6">
        <v>-0.61950000000000005</v>
      </c>
      <c r="X160" s="6">
        <v>0</v>
      </c>
      <c r="Y160" s="4"/>
      <c r="Z160" s="6">
        <v>0.59379999999999999</v>
      </c>
      <c r="AA160" s="4"/>
      <c r="AB160" s="4"/>
      <c r="AC160" s="4"/>
      <c r="AD160" s="6">
        <v>0</v>
      </c>
      <c r="AE160" s="4"/>
      <c r="AF160" s="4"/>
      <c r="AG160" s="4"/>
      <c r="AH160" s="4">
        <v>113850000000</v>
      </c>
    </row>
    <row r="161" spans="1:34" x14ac:dyDescent="0.25">
      <c r="A161" s="4">
        <v>160</v>
      </c>
      <c r="B161" s="5" t="s">
        <v>404</v>
      </c>
      <c r="C161" s="5" t="s">
        <v>405</v>
      </c>
      <c r="D161" s="5" t="s">
        <v>23</v>
      </c>
      <c r="E161" s="5" t="s">
        <v>40</v>
      </c>
      <c r="F161" s="5" t="s">
        <v>41</v>
      </c>
      <c r="G161" s="5" t="s">
        <v>406</v>
      </c>
      <c r="H161" s="4">
        <v>1488188722775</v>
      </c>
      <c r="I161" s="4">
        <v>2201735629614</v>
      </c>
      <c r="J161" s="6">
        <v>8.6E-3</v>
      </c>
      <c r="K161" s="6">
        <v>0.12939999999999999</v>
      </c>
      <c r="L161" s="6">
        <v>0.19270000000000001</v>
      </c>
      <c r="M161" s="4">
        <v>14583900006</v>
      </c>
      <c r="N161" s="4">
        <v>40954441116</v>
      </c>
      <c r="O161" s="4"/>
      <c r="P161" s="6">
        <v>-0.45569999999999999</v>
      </c>
      <c r="Q161" s="6">
        <v>-0.2742</v>
      </c>
      <c r="R161" s="6">
        <v>0.1308</v>
      </c>
      <c r="S161" s="6">
        <v>-0.44700000000000001</v>
      </c>
      <c r="T161" s="4"/>
      <c r="U161" s="6">
        <v>-0.312</v>
      </c>
      <c r="V161" s="6">
        <v>-0.60519999999999996</v>
      </c>
      <c r="W161" s="6">
        <v>-0.60619999999999996</v>
      </c>
      <c r="X161" s="6">
        <v>0</v>
      </c>
      <c r="Y161" s="4"/>
      <c r="Z161" s="6">
        <v>1.0855999999999999</v>
      </c>
      <c r="AA161" s="4"/>
      <c r="AB161" s="4"/>
      <c r="AC161" s="4"/>
      <c r="AD161" s="6">
        <v>0</v>
      </c>
      <c r="AE161" s="4"/>
      <c r="AF161" s="4"/>
      <c r="AG161" s="4"/>
      <c r="AH161" s="4">
        <v>715680730000</v>
      </c>
    </row>
    <row r="162" spans="1:34" x14ac:dyDescent="0.25">
      <c r="A162" s="4">
        <v>161</v>
      </c>
      <c r="B162" s="5" t="s">
        <v>407</v>
      </c>
      <c r="C162" s="5" t="s">
        <v>408</v>
      </c>
      <c r="D162" s="5" t="s">
        <v>23</v>
      </c>
      <c r="E162" s="5" t="s">
        <v>24</v>
      </c>
      <c r="F162" s="5" t="s">
        <v>56</v>
      </c>
      <c r="G162" s="5" t="s">
        <v>57</v>
      </c>
      <c r="H162" s="4">
        <v>66461078846</v>
      </c>
      <c r="I162" s="4">
        <v>115725547680</v>
      </c>
      <c r="J162" s="6">
        <v>0.33200000000000002</v>
      </c>
      <c r="K162" s="6">
        <v>2.63E-2</v>
      </c>
      <c r="L162" s="6">
        <v>3.9399999999999998E-2</v>
      </c>
      <c r="M162" s="4">
        <v>2822678273</v>
      </c>
      <c r="N162" s="4">
        <v>4653585655</v>
      </c>
      <c r="O162" s="4"/>
      <c r="P162" s="6">
        <v>1.2054</v>
      </c>
      <c r="Q162" s="6">
        <v>0.81710000000000005</v>
      </c>
      <c r="R162" s="6">
        <v>0.2235</v>
      </c>
      <c r="S162" s="6">
        <v>0.54169999999999996</v>
      </c>
      <c r="T162" s="4"/>
      <c r="U162" s="6">
        <v>-0.54659999999999997</v>
      </c>
      <c r="V162" s="6">
        <v>-0.27429999999999999</v>
      </c>
      <c r="W162" s="6">
        <v>-0.27510000000000001</v>
      </c>
      <c r="X162" s="6">
        <v>3.9899999999999998E-2</v>
      </c>
      <c r="Y162" s="4"/>
      <c r="Z162" s="6">
        <v>0.34910000000000002</v>
      </c>
      <c r="AA162" s="4"/>
      <c r="AB162" s="4"/>
      <c r="AC162" s="4"/>
      <c r="AD162" s="6">
        <v>0</v>
      </c>
      <c r="AE162" s="4"/>
      <c r="AF162" s="4"/>
      <c r="AG162" s="4"/>
      <c r="AH162" s="4">
        <v>86209100000</v>
      </c>
    </row>
    <row r="163" spans="1:34" x14ac:dyDescent="0.25">
      <c r="A163" s="4">
        <v>162</v>
      </c>
      <c r="B163" s="5" t="s">
        <v>409</v>
      </c>
      <c r="C163" s="5" t="s">
        <v>410</v>
      </c>
      <c r="D163" s="5" t="s">
        <v>23</v>
      </c>
      <c r="E163" s="5" t="s">
        <v>24</v>
      </c>
      <c r="F163" s="5" t="s">
        <v>25</v>
      </c>
      <c r="G163" s="5" t="s">
        <v>26</v>
      </c>
      <c r="H163" s="4"/>
      <c r="I163" s="4"/>
      <c r="J163" s="6"/>
      <c r="K163" s="6"/>
      <c r="L163" s="6"/>
      <c r="M163" s="4"/>
      <c r="N163" s="4"/>
      <c r="O163" s="4"/>
      <c r="P163" s="6"/>
      <c r="Q163" s="6"/>
      <c r="R163" s="6"/>
      <c r="S163" s="6"/>
      <c r="T163" s="4"/>
      <c r="U163" s="6"/>
      <c r="V163" s="6"/>
      <c r="W163" s="6"/>
      <c r="X163" s="6"/>
      <c r="Y163" s="4"/>
      <c r="Z163" s="6"/>
      <c r="AA163" s="4"/>
      <c r="AB163" s="4"/>
      <c r="AC163" s="4"/>
      <c r="AD163" s="6"/>
      <c r="AE163" s="4"/>
      <c r="AF163" s="4"/>
      <c r="AG163" s="4"/>
      <c r="AH163" s="4">
        <v>108600000000000</v>
      </c>
    </row>
    <row r="164" spans="1:34" x14ac:dyDescent="0.25">
      <c r="A164" s="4">
        <v>163</v>
      </c>
      <c r="B164" s="5" t="s">
        <v>411</v>
      </c>
      <c r="C164" s="5" t="s">
        <v>412</v>
      </c>
      <c r="D164" s="5" t="s">
        <v>23</v>
      </c>
      <c r="E164" s="5" t="s">
        <v>29</v>
      </c>
      <c r="F164" s="5" t="s">
        <v>30</v>
      </c>
      <c r="G164" s="5" t="s">
        <v>31</v>
      </c>
      <c r="H164" s="4"/>
      <c r="I164" s="4"/>
      <c r="J164" s="6"/>
      <c r="K164" s="6"/>
      <c r="L164" s="6"/>
      <c r="M164" s="4"/>
      <c r="N164" s="4"/>
      <c r="O164" s="4"/>
      <c r="P164" s="6"/>
      <c r="Q164" s="6"/>
      <c r="R164" s="6"/>
      <c r="S164" s="6"/>
      <c r="T164" s="4"/>
      <c r="U164" s="6"/>
      <c r="V164" s="6"/>
      <c r="W164" s="6"/>
      <c r="X164" s="6"/>
      <c r="Y164" s="4"/>
      <c r="Z164" s="6"/>
      <c r="AA164" s="4"/>
      <c r="AB164" s="4"/>
      <c r="AC164" s="4"/>
      <c r="AD164" s="6"/>
      <c r="AE164" s="4"/>
      <c r="AF164" s="4"/>
      <c r="AG164" s="4"/>
      <c r="AH164" s="4">
        <v>17743589962000</v>
      </c>
    </row>
    <row r="165" spans="1:34" x14ac:dyDescent="0.25">
      <c r="A165" s="4">
        <v>164</v>
      </c>
      <c r="B165" s="5" t="s">
        <v>413</v>
      </c>
      <c r="C165" s="5" t="s">
        <v>414</v>
      </c>
      <c r="D165" s="5" t="s">
        <v>23</v>
      </c>
      <c r="E165" s="5" t="s">
        <v>40</v>
      </c>
      <c r="F165" s="5" t="s">
        <v>41</v>
      </c>
      <c r="G165" s="5" t="s">
        <v>93</v>
      </c>
      <c r="H165" s="4"/>
      <c r="I165" s="4"/>
      <c r="J165" s="6"/>
      <c r="K165" s="6"/>
      <c r="L165" s="6"/>
      <c r="M165" s="4"/>
      <c r="N165" s="4"/>
      <c r="O165" s="4"/>
      <c r="P165" s="6"/>
      <c r="Q165" s="6"/>
      <c r="R165" s="6"/>
      <c r="S165" s="6"/>
      <c r="T165" s="4"/>
      <c r="U165" s="6"/>
      <c r="V165" s="6"/>
      <c r="W165" s="6"/>
      <c r="X165" s="6"/>
      <c r="Y165" s="4"/>
      <c r="Z165" s="6"/>
      <c r="AA165" s="4"/>
      <c r="AB165" s="4"/>
      <c r="AC165" s="4"/>
      <c r="AD165" s="6"/>
      <c r="AE165" s="4"/>
      <c r="AF165" s="4"/>
      <c r="AG165" s="4"/>
      <c r="AH165" s="4">
        <v>8447066984850</v>
      </c>
    </row>
    <row r="166" spans="1:34" x14ac:dyDescent="0.25">
      <c r="A166" s="4">
        <v>165</v>
      </c>
      <c r="B166" s="5" t="s">
        <v>415</v>
      </c>
      <c r="C166" s="5" t="s">
        <v>416</v>
      </c>
      <c r="D166" s="5" t="s">
        <v>23</v>
      </c>
      <c r="E166" s="5" t="s">
        <v>24</v>
      </c>
      <c r="F166" s="5" t="s">
        <v>56</v>
      </c>
      <c r="G166" s="5" t="s">
        <v>253</v>
      </c>
      <c r="H166" s="4"/>
      <c r="I166" s="4"/>
      <c r="J166" s="6"/>
      <c r="K166" s="6"/>
      <c r="L166" s="6"/>
      <c r="M166" s="4"/>
      <c r="N166" s="4"/>
      <c r="O166" s="4"/>
      <c r="P166" s="6"/>
      <c r="Q166" s="6"/>
      <c r="R166" s="6"/>
      <c r="S166" s="6"/>
      <c r="T166" s="4"/>
      <c r="U166" s="6"/>
      <c r="V166" s="6"/>
      <c r="W166" s="6"/>
      <c r="X166" s="6"/>
      <c r="Y166" s="4"/>
      <c r="Z166" s="6"/>
      <c r="AA166" s="4"/>
      <c r="AB166" s="4"/>
      <c r="AC166" s="4"/>
      <c r="AD166" s="6"/>
      <c r="AE166" s="4"/>
      <c r="AF166" s="4"/>
      <c r="AG166" s="4"/>
      <c r="AH166" s="4">
        <v>792128036280</v>
      </c>
    </row>
    <row r="167" spans="1:34" x14ac:dyDescent="0.25">
      <c r="A167" s="4">
        <v>166</v>
      </c>
      <c r="B167" s="5" t="s">
        <v>417</v>
      </c>
      <c r="C167" s="5" t="s">
        <v>418</v>
      </c>
      <c r="D167" s="5" t="s">
        <v>23</v>
      </c>
      <c r="E167" s="5" t="s">
        <v>75</v>
      </c>
      <c r="F167" s="5" t="s">
        <v>76</v>
      </c>
      <c r="G167" s="5" t="s">
        <v>76</v>
      </c>
      <c r="H167" s="4">
        <v>4468554265</v>
      </c>
      <c r="I167" s="4">
        <v>8907505029</v>
      </c>
      <c r="J167" s="6">
        <v>3.6999999999999998E-2</v>
      </c>
      <c r="K167" s="6">
        <v>2.4199999999999999E-2</v>
      </c>
      <c r="L167" s="6">
        <v>-3.2899999999999999E-2</v>
      </c>
      <c r="M167" s="4">
        <v>3895574580</v>
      </c>
      <c r="N167" s="4">
        <v>5814769143</v>
      </c>
      <c r="O167" s="4"/>
      <c r="P167" s="6">
        <v>0.3911</v>
      </c>
      <c r="Q167" s="6">
        <v>-0.41710000000000003</v>
      </c>
      <c r="R167" s="6">
        <v>-0.41360000000000002</v>
      </c>
      <c r="S167" s="6">
        <v>1.0298</v>
      </c>
      <c r="T167" s="4"/>
      <c r="U167" s="6">
        <v>-0.85150000000000003</v>
      </c>
      <c r="V167" s="6">
        <v>-0.5423</v>
      </c>
      <c r="W167" s="6">
        <v>-0.51539999999999997</v>
      </c>
      <c r="X167" s="6">
        <v>0</v>
      </c>
      <c r="Y167" s="4"/>
      <c r="Z167" s="6">
        <v>6.7000000000000002E-3</v>
      </c>
      <c r="AA167" s="4"/>
      <c r="AB167" s="4"/>
      <c r="AC167" s="4"/>
      <c r="AD167" s="6">
        <v>0</v>
      </c>
      <c r="AE167" s="4"/>
      <c r="AF167" s="4"/>
      <c r="AG167" s="4"/>
      <c r="AH167" s="4">
        <v>282268065500</v>
      </c>
    </row>
    <row r="168" spans="1:34" x14ac:dyDescent="0.25">
      <c r="A168" s="4">
        <v>167</v>
      </c>
      <c r="B168" s="5" t="s">
        <v>419</v>
      </c>
      <c r="C168" s="5" t="s">
        <v>420</v>
      </c>
      <c r="D168" s="5" t="s">
        <v>23</v>
      </c>
      <c r="E168" s="5" t="s">
        <v>40</v>
      </c>
      <c r="F168" s="5" t="s">
        <v>52</v>
      </c>
      <c r="G168" s="5" t="s">
        <v>110</v>
      </c>
      <c r="H168" s="4"/>
      <c r="I168" s="4"/>
      <c r="J168" s="6"/>
      <c r="K168" s="6"/>
      <c r="L168" s="6"/>
      <c r="M168" s="4"/>
      <c r="N168" s="4"/>
      <c r="O168" s="4"/>
      <c r="P168" s="6"/>
      <c r="Q168" s="6"/>
      <c r="R168" s="6"/>
      <c r="S168" s="6"/>
      <c r="T168" s="4"/>
      <c r="U168" s="6"/>
      <c r="V168" s="6"/>
      <c r="W168" s="6"/>
      <c r="X168" s="6"/>
      <c r="Y168" s="4"/>
      <c r="Z168" s="6"/>
      <c r="AA168" s="4"/>
      <c r="AB168" s="4"/>
      <c r="AC168" s="4"/>
      <c r="AD168" s="6"/>
      <c r="AE168" s="4"/>
      <c r="AF168" s="4"/>
      <c r="AG168" s="4"/>
      <c r="AH168" s="4">
        <v>68796000000</v>
      </c>
    </row>
    <row r="169" spans="1:34" x14ac:dyDescent="0.25">
      <c r="A169" s="4">
        <v>168</v>
      </c>
      <c r="B169" s="5" t="s">
        <v>421</v>
      </c>
      <c r="C169" s="5" t="s">
        <v>422</v>
      </c>
      <c r="D169" s="5" t="s">
        <v>23</v>
      </c>
      <c r="E169" s="5" t="s">
        <v>29</v>
      </c>
      <c r="F169" s="5" t="s">
        <v>203</v>
      </c>
      <c r="G169" s="5" t="s">
        <v>211</v>
      </c>
      <c r="H169" s="4"/>
      <c r="I169" s="4"/>
      <c r="J169" s="6"/>
      <c r="K169" s="6"/>
      <c r="L169" s="6"/>
      <c r="M169" s="4"/>
      <c r="N169" s="4"/>
      <c r="O169" s="4"/>
      <c r="P169" s="6"/>
      <c r="Q169" s="6"/>
      <c r="R169" s="6"/>
      <c r="S169" s="6"/>
      <c r="T169" s="4"/>
      <c r="U169" s="6"/>
      <c r="V169" s="6"/>
      <c r="W169" s="6"/>
      <c r="X169" s="6"/>
      <c r="Y169" s="4"/>
      <c r="Z169" s="6"/>
      <c r="AA169" s="4"/>
      <c r="AB169" s="4"/>
      <c r="AC169" s="4"/>
      <c r="AD169" s="6"/>
      <c r="AE169" s="4"/>
      <c r="AF169" s="4"/>
      <c r="AG169" s="4"/>
      <c r="AH169" s="4">
        <v>917534875740</v>
      </c>
    </row>
    <row r="170" spans="1:34" x14ac:dyDescent="0.25">
      <c r="A170" s="4">
        <v>169</v>
      </c>
      <c r="B170" s="5" t="s">
        <v>423</v>
      </c>
      <c r="C170" s="5" t="s">
        <v>424</v>
      </c>
      <c r="D170" s="5" t="s">
        <v>23</v>
      </c>
      <c r="E170" s="5" t="s">
        <v>24</v>
      </c>
      <c r="F170" s="5" t="s">
        <v>25</v>
      </c>
      <c r="G170" s="5" t="s">
        <v>26</v>
      </c>
      <c r="H170" s="4">
        <v>212452578541</v>
      </c>
      <c r="I170" s="4">
        <v>418381122530</v>
      </c>
      <c r="J170" s="6">
        <v>0.1409</v>
      </c>
      <c r="K170" s="6">
        <v>0.15190000000000001</v>
      </c>
      <c r="L170" s="6">
        <v>0.14399999999999999</v>
      </c>
      <c r="M170" s="4">
        <v>5409893200</v>
      </c>
      <c r="N170" s="4">
        <v>12764452301</v>
      </c>
      <c r="O170" s="4"/>
      <c r="P170" s="6">
        <v>-7.0699999999999999E-2</v>
      </c>
      <c r="Q170" s="6">
        <v>-7.8700000000000006E-2</v>
      </c>
      <c r="R170" s="6">
        <v>-0.17419999999999999</v>
      </c>
      <c r="S170" s="6">
        <v>-0.26440000000000002</v>
      </c>
      <c r="T170" s="4"/>
      <c r="U170" s="6">
        <v>-0.47699999999999998</v>
      </c>
      <c r="V170" s="6">
        <v>-0.58009999999999995</v>
      </c>
      <c r="W170" s="6">
        <v>-0.58009999999999995</v>
      </c>
      <c r="X170" s="6">
        <v>0</v>
      </c>
      <c r="Y170" s="4"/>
      <c r="Z170" s="6">
        <v>3.1699999999999999E-2</v>
      </c>
      <c r="AA170" s="4"/>
      <c r="AB170" s="4"/>
      <c r="AC170" s="4"/>
      <c r="AD170" s="6">
        <v>0</v>
      </c>
      <c r="AE170" s="4"/>
      <c r="AF170" s="4"/>
      <c r="AG170" s="4"/>
      <c r="AH170" s="4">
        <v>295666054400</v>
      </c>
    </row>
    <row r="171" spans="1:34" x14ac:dyDescent="0.25">
      <c r="A171" s="4">
        <v>170</v>
      </c>
      <c r="B171" s="5" t="s">
        <v>425</v>
      </c>
      <c r="C171" s="5" t="s">
        <v>426</v>
      </c>
      <c r="D171" s="5" t="s">
        <v>23</v>
      </c>
      <c r="E171" s="5" t="s">
        <v>75</v>
      </c>
      <c r="F171" s="5" t="s">
        <v>79</v>
      </c>
      <c r="G171" s="5" t="s">
        <v>80</v>
      </c>
      <c r="H171" s="4">
        <v>1235389922165</v>
      </c>
      <c r="I171" s="4">
        <v>2701793165895</v>
      </c>
      <c r="J171" s="6">
        <v>0.15079999999999999</v>
      </c>
      <c r="K171" s="6">
        <v>0.30330000000000001</v>
      </c>
      <c r="L171" s="6">
        <v>0.25979999999999998</v>
      </c>
      <c r="M171" s="4">
        <v>273175934064</v>
      </c>
      <c r="N171" s="4">
        <v>563896381858</v>
      </c>
      <c r="O171" s="4"/>
      <c r="P171" s="6">
        <v>0.42009999999999997</v>
      </c>
      <c r="Q171" s="6">
        <v>0.34549999999999997</v>
      </c>
      <c r="R171" s="6">
        <v>0.3664</v>
      </c>
      <c r="S171" s="6">
        <v>-6.0299999999999999E-2</v>
      </c>
      <c r="T171" s="4"/>
      <c r="U171" s="6">
        <v>-0.58860000000000001</v>
      </c>
      <c r="V171" s="6">
        <v>-0.69420000000000004</v>
      </c>
      <c r="W171" s="6">
        <v>-0.69369999999999998</v>
      </c>
      <c r="X171" s="6">
        <v>2.7699999999999999E-2</v>
      </c>
      <c r="Y171" s="4"/>
      <c r="Z171" s="6">
        <v>-0.1575</v>
      </c>
      <c r="AA171" s="4"/>
      <c r="AB171" s="4"/>
      <c r="AC171" s="4"/>
      <c r="AD171" s="6">
        <v>0</v>
      </c>
      <c r="AE171" s="4"/>
      <c r="AF171" s="4"/>
      <c r="AG171" s="4"/>
      <c r="AH171" s="4">
        <v>34153629701400</v>
      </c>
    </row>
    <row r="172" spans="1:34" x14ac:dyDescent="0.25">
      <c r="A172" s="4">
        <v>171</v>
      </c>
      <c r="B172" s="5" t="s">
        <v>427</v>
      </c>
      <c r="C172" s="5" t="s">
        <v>428</v>
      </c>
      <c r="D172" s="5" t="s">
        <v>23</v>
      </c>
      <c r="E172" s="5" t="s">
        <v>49</v>
      </c>
      <c r="F172" s="5" t="s">
        <v>49</v>
      </c>
      <c r="G172" s="5" t="s">
        <v>49</v>
      </c>
      <c r="H172" s="4"/>
      <c r="I172" s="4"/>
      <c r="J172" s="6"/>
      <c r="K172" s="6"/>
      <c r="L172" s="6"/>
      <c r="M172" s="4"/>
      <c r="N172" s="4"/>
      <c r="O172" s="4"/>
      <c r="P172" s="6"/>
      <c r="Q172" s="6"/>
      <c r="R172" s="6"/>
      <c r="S172" s="6"/>
      <c r="T172" s="4"/>
      <c r="U172" s="6"/>
      <c r="V172" s="6"/>
      <c r="W172" s="6"/>
      <c r="X172" s="6"/>
      <c r="Y172" s="4"/>
      <c r="Z172" s="6"/>
      <c r="AA172" s="4"/>
      <c r="AB172" s="4"/>
      <c r="AC172" s="4"/>
      <c r="AD172" s="6"/>
      <c r="AE172" s="4">
        <v>9819158000000</v>
      </c>
      <c r="AF172" s="4">
        <v>17227258000000</v>
      </c>
      <c r="AG172" s="4">
        <v>24990580000000</v>
      </c>
      <c r="AH172" s="4">
        <v>129136129133400</v>
      </c>
    </row>
    <row r="173" spans="1:34" x14ac:dyDescent="0.25">
      <c r="A173" s="4">
        <v>172</v>
      </c>
      <c r="B173" s="5" t="s">
        <v>429</v>
      </c>
      <c r="C173" s="5" t="s">
        <v>430</v>
      </c>
      <c r="D173" s="5" t="s">
        <v>23</v>
      </c>
      <c r="E173" s="5" t="s">
        <v>75</v>
      </c>
      <c r="F173" s="5" t="s">
        <v>76</v>
      </c>
      <c r="G173" s="5" t="s">
        <v>76</v>
      </c>
      <c r="H173" s="4"/>
      <c r="I173" s="4"/>
      <c r="J173" s="6"/>
      <c r="K173" s="6"/>
      <c r="L173" s="6"/>
      <c r="M173" s="4"/>
      <c r="N173" s="4"/>
      <c r="O173" s="4"/>
      <c r="P173" s="6"/>
      <c r="Q173" s="6"/>
      <c r="R173" s="6"/>
      <c r="S173" s="6"/>
      <c r="T173" s="4"/>
      <c r="U173" s="6"/>
      <c r="V173" s="6"/>
      <c r="W173" s="6"/>
      <c r="X173" s="6"/>
      <c r="Y173" s="4"/>
      <c r="Z173" s="6"/>
      <c r="AA173" s="4"/>
      <c r="AB173" s="4"/>
      <c r="AC173" s="4"/>
      <c r="AD173" s="6"/>
      <c r="AE173" s="4"/>
      <c r="AF173" s="4"/>
      <c r="AG173" s="4"/>
      <c r="AH173" s="4">
        <v>2779520560300</v>
      </c>
    </row>
    <row r="174" spans="1:34" x14ac:dyDescent="0.25">
      <c r="A174" s="4">
        <v>173</v>
      </c>
      <c r="B174" s="5" t="s">
        <v>431</v>
      </c>
      <c r="C174" s="5" t="s">
        <v>432</v>
      </c>
      <c r="D174" s="5" t="s">
        <v>23</v>
      </c>
      <c r="E174" s="5" t="s">
        <v>75</v>
      </c>
      <c r="F174" s="5" t="s">
        <v>76</v>
      </c>
      <c r="G174" s="5" t="s">
        <v>76</v>
      </c>
      <c r="H174" s="4"/>
      <c r="I174" s="4"/>
      <c r="J174" s="6"/>
      <c r="K174" s="6"/>
      <c r="L174" s="6"/>
      <c r="M174" s="4"/>
      <c r="N174" s="4"/>
      <c r="O174" s="4"/>
      <c r="P174" s="6"/>
      <c r="Q174" s="6"/>
      <c r="R174" s="6"/>
      <c r="S174" s="6"/>
      <c r="T174" s="4"/>
      <c r="U174" s="6"/>
      <c r="V174" s="6"/>
      <c r="W174" s="6"/>
      <c r="X174" s="6"/>
      <c r="Y174" s="4"/>
      <c r="Z174" s="6"/>
      <c r="AA174" s="4"/>
      <c r="AB174" s="4"/>
      <c r="AC174" s="4"/>
      <c r="AD174" s="6"/>
      <c r="AE174" s="4"/>
      <c r="AF174" s="4"/>
      <c r="AG174" s="4"/>
      <c r="AH174" s="4">
        <v>6674100261200</v>
      </c>
    </row>
    <row r="175" spans="1:34" x14ac:dyDescent="0.25">
      <c r="A175" s="4">
        <v>174</v>
      </c>
      <c r="B175" s="5" t="s">
        <v>433</v>
      </c>
      <c r="C175" s="5" t="s">
        <v>434</v>
      </c>
      <c r="D175" s="5" t="s">
        <v>23</v>
      </c>
      <c r="E175" s="5" t="s">
        <v>24</v>
      </c>
      <c r="F175" s="5" t="s">
        <v>56</v>
      </c>
      <c r="G175" s="5" t="s">
        <v>253</v>
      </c>
      <c r="H175" s="4"/>
      <c r="I175" s="4"/>
      <c r="J175" s="6"/>
      <c r="K175" s="6"/>
      <c r="L175" s="6"/>
      <c r="M175" s="4"/>
      <c r="N175" s="4"/>
      <c r="O175" s="4"/>
      <c r="P175" s="6"/>
      <c r="Q175" s="6"/>
      <c r="R175" s="6"/>
      <c r="S175" s="6"/>
      <c r="T175" s="4"/>
      <c r="U175" s="6"/>
      <c r="V175" s="6"/>
      <c r="W175" s="6"/>
      <c r="X175" s="6"/>
      <c r="Y175" s="4"/>
      <c r="Z175" s="6"/>
      <c r="AA175" s="4"/>
      <c r="AB175" s="4"/>
      <c r="AC175" s="4"/>
      <c r="AD175" s="6"/>
      <c r="AE175" s="4"/>
      <c r="AF175" s="4"/>
      <c r="AG175" s="4"/>
      <c r="AH175" s="4">
        <v>1298315145000</v>
      </c>
    </row>
    <row r="176" spans="1:34" x14ac:dyDescent="0.25">
      <c r="A176" s="4">
        <v>175</v>
      </c>
      <c r="B176" s="5" t="s">
        <v>435</v>
      </c>
      <c r="C176" s="5" t="s">
        <v>436</v>
      </c>
      <c r="D176" s="5" t="s">
        <v>23</v>
      </c>
      <c r="E176" s="5" t="s">
        <v>29</v>
      </c>
      <c r="F176" s="5" t="s">
        <v>203</v>
      </c>
      <c r="G176" s="5" t="s">
        <v>211</v>
      </c>
      <c r="H176" s="4"/>
      <c r="I176" s="4"/>
      <c r="J176" s="6"/>
      <c r="K176" s="6"/>
      <c r="L176" s="6"/>
      <c r="M176" s="4"/>
      <c r="N176" s="4"/>
      <c r="O176" s="4"/>
      <c r="P176" s="6"/>
      <c r="Q176" s="6"/>
      <c r="R176" s="6"/>
      <c r="S176" s="6"/>
      <c r="T176" s="4"/>
      <c r="U176" s="6"/>
      <c r="V176" s="6"/>
      <c r="W176" s="6"/>
      <c r="X176" s="6"/>
      <c r="Y176" s="4"/>
      <c r="Z176" s="6"/>
      <c r="AA176" s="4"/>
      <c r="AB176" s="4"/>
      <c r="AC176" s="4"/>
      <c r="AD176" s="6"/>
      <c r="AE176" s="4"/>
      <c r="AF176" s="4"/>
      <c r="AG176" s="4"/>
      <c r="AH176" s="4">
        <v>4224822767040</v>
      </c>
    </row>
    <row r="177" spans="1:34" x14ac:dyDescent="0.25">
      <c r="A177" s="4">
        <v>176</v>
      </c>
      <c r="B177" s="5" t="s">
        <v>437</v>
      </c>
      <c r="C177" s="5" t="s">
        <v>438</v>
      </c>
      <c r="D177" s="5" t="s">
        <v>23</v>
      </c>
      <c r="E177" s="5" t="s">
        <v>40</v>
      </c>
      <c r="F177" s="5" t="s">
        <v>52</v>
      </c>
      <c r="G177" s="5" t="s">
        <v>110</v>
      </c>
      <c r="H177" s="4"/>
      <c r="I177" s="4"/>
      <c r="J177" s="6"/>
      <c r="K177" s="6"/>
      <c r="L177" s="6"/>
      <c r="M177" s="4"/>
      <c r="N177" s="4"/>
      <c r="O177" s="4"/>
      <c r="P177" s="6"/>
      <c r="Q177" s="6"/>
      <c r="R177" s="6"/>
      <c r="S177" s="6"/>
      <c r="T177" s="4"/>
      <c r="U177" s="6"/>
      <c r="V177" s="6"/>
      <c r="W177" s="6"/>
      <c r="X177" s="6"/>
      <c r="Y177" s="4"/>
      <c r="Z177" s="6"/>
      <c r="AA177" s="4"/>
      <c r="AB177" s="4"/>
      <c r="AC177" s="4"/>
      <c r="AD177" s="6"/>
      <c r="AE177" s="4"/>
      <c r="AF177" s="4"/>
      <c r="AG177" s="4"/>
      <c r="AH177" s="4">
        <v>5716393285600</v>
      </c>
    </row>
    <row r="178" spans="1:34" x14ac:dyDescent="0.25">
      <c r="A178" s="4">
        <v>177</v>
      </c>
      <c r="B178" s="5" t="s">
        <v>439</v>
      </c>
      <c r="C178" s="5" t="s">
        <v>440</v>
      </c>
      <c r="D178" s="5" t="s">
        <v>23</v>
      </c>
      <c r="E178" s="5" t="s">
        <v>40</v>
      </c>
      <c r="F178" s="5" t="s">
        <v>52</v>
      </c>
      <c r="G178" s="5" t="s">
        <v>110</v>
      </c>
      <c r="H178" s="4"/>
      <c r="I178" s="4"/>
      <c r="J178" s="6"/>
      <c r="K178" s="6"/>
      <c r="L178" s="6"/>
      <c r="M178" s="4"/>
      <c r="N178" s="4"/>
      <c r="O178" s="4"/>
      <c r="P178" s="6"/>
      <c r="Q178" s="6"/>
      <c r="R178" s="6"/>
      <c r="S178" s="6"/>
      <c r="T178" s="4"/>
      <c r="U178" s="6"/>
      <c r="V178" s="6"/>
      <c r="W178" s="6"/>
      <c r="X178" s="6"/>
      <c r="Y178" s="4"/>
      <c r="Z178" s="6"/>
      <c r="AA178" s="4"/>
      <c r="AB178" s="4"/>
      <c r="AC178" s="4"/>
      <c r="AD178" s="6"/>
      <c r="AE178" s="4"/>
      <c r="AF178" s="4"/>
      <c r="AG178" s="4"/>
      <c r="AH178" s="4">
        <v>256366112140</v>
      </c>
    </row>
    <row r="179" spans="1:34" x14ac:dyDescent="0.25">
      <c r="A179" s="4">
        <v>178</v>
      </c>
      <c r="B179" s="5" t="s">
        <v>441</v>
      </c>
      <c r="C179" s="5" t="s">
        <v>442</v>
      </c>
      <c r="D179" s="5" t="s">
        <v>23</v>
      </c>
      <c r="E179" s="5" t="s">
        <v>24</v>
      </c>
      <c r="F179" s="5" t="s">
        <v>25</v>
      </c>
      <c r="G179" s="5" t="s">
        <v>26</v>
      </c>
      <c r="H179" s="4"/>
      <c r="I179" s="4"/>
      <c r="J179" s="6"/>
      <c r="K179" s="6"/>
      <c r="L179" s="6"/>
      <c r="M179" s="4"/>
      <c r="N179" s="4"/>
      <c r="O179" s="4"/>
      <c r="P179" s="6"/>
      <c r="Q179" s="6"/>
      <c r="R179" s="6"/>
      <c r="S179" s="6"/>
      <c r="T179" s="4"/>
      <c r="U179" s="6"/>
      <c r="V179" s="6"/>
      <c r="W179" s="6"/>
      <c r="X179" s="6"/>
      <c r="Y179" s="4"/>
      <c r="Z179" s="6"/>
      <c r="AA179" s="4"/>
      <c r="AB179" s="4"/>
      <c r="AC179" s="4"/>
      <c r="AD179" s="6"/>
      <c r="AE179" s="4"/>
      <c r="AF179" s="4"/>
      <c r="AG179" s="4"/>
      <c r="AH179" s="4">
        <v>422825711840</v>
      </c>
    </row>
    <row r="180" spans="1:34" x14ac:dyDescent="0.25">
      <c r="A180" s="4">
        <v>179</v>
      </c>
      <c r="B180" s="5" t="s">
        <v>443</v>
      </c>
      <c r="C180" s="5" t="s">
        <v>444</v>
      </c>
      <c r="D180" s="5" t="s">
        <v>23</v>
      </c>
      <c r="E180" s="5" t="s">
        <v>24</v>
      </c>
      <c r="F180" s="5" t="s">
        <v>56</v>
      </c>
      <c r="G180" s="5" t="s">
        <v>291</v>
      </c>
      <c r="H180" s="4"/>
      <c r="I180" s="4"/>
      <c r="J180" s="6"/>
      <c r="K180" s="6"/>
      <c r="L180" s="6"/>
      <c r="M180" s="4"/>
      <c r="N180" s="4"/>
      <c r="O180" s="4"/>
      <c r="P180" s="6"/>
      <c r="Q180" s="6"/>
      <c r="R180" s="6"/>
      <c r="S180" s="6"/>
      <c r="T180" s="4"/>
      <c r="U180" s="6"/>
      <c r="V180" s="6"/>
      <c r="W180" s="6"/>
      <c r="X180" s="6"/>
      <c r="Y180" s="4"/>
      <c r="Z180" s="6"/>
      <c r="AA180" s="4"/>
      <c r="AB180" s="4"/>
      <c r="AC180" s="4"/>
      <c r="AD180" s="6"/>
      <c r="AE180" s="4"/>
      <c r="AF180" s="4"/>
      <c r="AG180" s="4"/>
      <c r="AH180" s="4">
        <v>297569989100</v>
      </c>
    </row>
    <row r="181" spans="1:34" x14ac:dyDescent="0.25">
      <c r="A181" s="4">
        <v>180</v>
      </c>
      <c r="B181" s="5" t="s">
        <v>445</v>
      </c>
      <c r="C181" s="5" t="s">
        <v>446</v>
      </c>
      <c r="D181" s="5" t="s">
        <v>23</v>
      </c>
      <c r="E181" s="5" t="s">
        <v>98</v>
      </c>
      <c r="F181" s="5" t="s">
        <v>99</v>
      </c>
      <c r="G181" s="5" t="s">
        <v>144</v>
      </c>
      <c r="H181" s="4">
        <v>239364455870</v>
      </c>
      <c r="I181" s="4">
        <v>444795224611</v>
      </c>
      <c r="J181" s="6">
        <v>-2.4799999999999999E-2</v>
      </c>
      <c r="K181" s="6">
        <v>5.6399999999999999E-2</v>
      </c>
      <c r="L181" s="6">
        <v>9.7100000000000006E-2</v>
      </c>
      <c r="M181" s="4">
        <v>114221822271</v>
      </c>
      <c r="N181" s="4">
        <v>209029922405</v>
      </c>
      <c r="O181" s="4"/>
      <c r="P181" s="6">
        <v>0.22869999999999999</v>
      </c>
      <c r="Q181" s="6">
        <v>0.56579999999999997</v>
      </c>
      <c r="R181" s="6">
        <v>0.31769999999999998</v>
      </c>
      <c r="S181" s="6">
        <v>0.20480000000000001</v>
      </c>
      <c r="T181" s="4"/>
      <c r="U181" s="6">
        <v>-0.50349999999999995</v>
      </c>
      <c r="V181" s="6">
        <v>1.54E-2</v>
      </c>
      <c r="W181" s="6">
        <v>1.5699999999999999E-2</v>
      </c>
      <c r="X181" s="6">
        <v>7.1099999999999997E-2</v>
      </c>
      <c r="Y181" s="4"/>
      <c r="Z181" s="6">
        <v>0.16520000000000001</v>
      </c>
      <c r="AA181" s="4"/>
      <c r="AB181" s="4"/>
      <c r="AC181" s="4"/>
      <c r="AD181" s="6">
        <v>0</v>
      </c>
      <c r="AE181" s="4"/>
      <c r="AF181" s="4"/>
      <c r="AG181" s="4"/>
      <c r="AH181" s="4">
        <v>4963399631000</v>
      </c>
    </row>
    <row r="182" spans="1:34" x14ac:dyDescent="0.25">
      <c r="A182" s="4">
        <v>181</v>
      </c>
      <c r="B182" s="5" t="s">
        <v>447</v>
      </c>
      <c r="C182" s="5" t="s">
        <v>448</v>
      </c>
      <c r="D182" s="5" t="s">
        <v>23</v>
      </c>
      <c r="E182" s="5" t="s">
        <v>29</v>
      </c>
      <c r="F182" s="5" t="s">
        <v>30</v>
      </c>
      <c r="G182" s="5" t="s">
        <v>31</v>
      </c>
      <c r="H182" s="4"/>
      <c r="I182" s="4"/>
      <c r="J182" s="6"/>
      <c r="K182" s="6"/>
      <c r="L182" s="6"/>
      <c r="M182" s="4"/>
      <c r="N182" s="4"/>
      <c r="O182" s="4"/>
      <c r="P182" s="6"/>
      <c r="Q182" s="6"/>
      <c r="R182" s="6"/>
      <c r="S182" s="6"/>
      <c r="T182" s="4"/>
      <c r="U182" s="6"/>
      <c r="V182" s="6"/>
      <c r="W182" s="6"/>
      <c r="X182" s="6"/>
      <c r="Y182" s="4"/>
      <c r="Z182" s="6"/>
      <c r="AA182" s="4"/>
      <c r="AB182" s="4"/>
      <c r="AC182" s="4"/>
      <c r="AD182" s="6"/>
      <c r="AE182" s="4"/>
      <c r="AF182" s="4"/>
      <c r="AG182" s="4"/>
      <c r="AH182" s="4">
        <v>8892000000000</v>
      </c>
    </row>
    <row r="183" spans="1:34" x14ac:dyDescent="0.25">
      <c r="A183" s="4">
        <v>182</v>
      </c>
      <c r="B183" s="5" t="s">
        <v>449</v>
      </c>
      <c r="C183" s="5" t="s">
        <v>450</v>
      </c>
      <c r="D183" s="5" t="s">
        <v>23</v>
      </c>
      <c r="E183" s="5" t="s">
        <v>24</v>
      </c>
      <c r="F183" s="5" t="s">
        <v>56</v>
      </c>
      <c r="G183" s="5" t="s">
        <v>291</v>
      </c>
      <c r="H183" s="4"/>
      <c r="I183" s="4"/>
      <c r="J183" s="6"/>
      <c r="K183" s="6"/>
      <c r="L183" s="6"/>
      <c r="M183" s="4"/>
      <c r="N183" s="4"/>
      <c r="O183" s="4"/>
      <c r="P183" s="6"/>
      <c r="Q183" s="6"/>
      <c r="R183" s="6"/>
      <c r="S183" s="6"/>
      <c r="T183" s="4"/>
      <c r="U183" s="6"/>
      <c r="V183" s="6"/>
      <c r="W183" s="6"/>
      <c r="X183" s="6"/>
      <c r="Y183" s="4"/>
      <c r="Z183" s="6"/>
      <c r="AA183" s="4"/>
      <c r="AB183" s="4"/>
      <c r="AC183" s="4"/>
      <c r="AD183" s="6"/>
      <c r="AE183" s="4"/>
      <c r="AF183" s="4"/>
      <c r="AG183" s="4"/>
      <c r="AH183" s="4">
        <v>174769365564000</v>
      </c>
    </row>
    <row r="184" spans="1:34" x14ac:dyDescent="0.25">
      <c r="A184" s="4">
        <v>183</v>
      </c>
      <c r="B184" s="5" t="s">
        <v>451</v>
      </c>
      <c r="C184" s="5" t="s">
        <v>452</v>
      </c>
      <c r="D184" s="5" t="s">
        <v>23</v>
      </c>
      <c r="E184" s="5" t="s">
        <v>75</v>
      </c>
      <c r="F184" s="5" t="s">
        <v>76</v>
      </c>
      <c r="G184" s="5" t="s">
        <v>76</v>
      </c>
      <c r="H184" s="4"/>
      <c r="I184" s="4"/>
      <c r="J184" s="6"/>
      <c r="K184" s="6"/>
      <c r="L184" s="6"/>
      <c r="M184" s="4"/>
      <c r="N184" s="4"/>
      <c r="O184" s="4"/>
      <c r="P184" s="6"/>
      <c r="Q184" s="6"/>
      <c r="R184" s="6"/>
      <c r="S184" s="6"/>
      <c r="T184" s="4"/>
      <c r="U184" s="6"/>
      <c r="V184" s="6"/>
      <c r="W184" s="6"/>
      <c r="X184" s="6"/>
      <c r="Y184" s="4"/>
      <c r="Z184" s="6"/>
      <c r="AA184" s="4"/>
      <c r="AB184" s="4"/>
      <c r="AC184" s="4"/>
      <c r="AD184" s="6"/>
      <c r="AE184" s="4"/>
      <c r="AF184" s="4"/>
      <c r="AG184" s="4"/>
      <c r="AH184" s="4">
        <v>1244049496290</v>
      </c>
    </row>
    <row r="185" spans="1:34" x14ac:dyDescent="0.25">
      <c r="A185" s="4">
        <v>184</v>
      </c>
      <c r="B185" s="5" t="s">
        <v>453</v>
      </c>
      <c r="C185" s="5" t="s">
        <v>454</v>
      </c>
      <c r="D185" s="5" t="s">
        <v>23</v>
      </c>
      <c r="E185" s="5" t="s">
        <v>75</v>
      </c>
      <c r="F185" s="5" t="s">
        <v>76</v>
      </c>
      <c r="G185" s="5" t="s">
        <v>76</v>
      </c>
      <c r="H185" s="4"/>
      <c r="I185" s="4"/>
      <c r="J185" s="6"/>
      <c r="K185" s="6"/>
      <c r="L185" s="6"/>
      <c r="M185" s="4"/>
      <c r="N185" s="4"/>
      <c r="O185" s="4"/>
      <c r="P185" s="6"/>
      <c r="Q185" s="6"/>
      <c r="R185" s="6"/>
      <c r="S185" s="6"/>
      <c r="T185" s="4"/>
      <c r="U185" s="6"/>
      <c r="V185" s="6"/>
      <c r="W185" s="6"/>
      <c r="X185" s="6"/>
      <c r="Y185" s="4"/>
      <c r="Z185" s="6"/>
      <c r="AA185" s="4"/>
      <c r="AB185" s="4"/>
      <c r="AC185" s="4"/>
      <c r="AD185" s="6"/>
      <c r="AE185" s="4"/>
      <c r="AF185" s="4"/>
      <c r="AG185" s="4"/>
      <c r="AH185" s="4">
        <v>1378518402800</v>
      </c>
    </row>
    <row r="186" spans="1:34" x14ac:dyDescent="0.25">
      <c r="A186" s="4">
        <v>185</v>
      </c>
      <c r="B186" s="5" t="s">
        <v>455</v>
      </c>
      <c r="C186" s="5" t="s">
        <v>456</v>
      </c>
      <c r="D186" s="5" t="s">
        <v>23</v>
      </c>
      <c r="E186" s="5" t="s">
        <v>24</v>
      </c>
      <c r="F186" s="5" t="s">
        <v>25</v>
      </c>
      <c r="G186" s="5" t="s">
        <v>26</v>
      </c>
      <c r="H186" s="4">
        <v>64634327429</v>
      </c>
      <c r="I186" s="4">
        <v>159905861461</v>
      </c>
      <c r="J186" s="6">
        <v>8.6999999999999994E-2</v>
      </c>
      <c r="K186" s="6">
        <v>0.65180000000000005</v>
      </c>
      <c r="L186" s="6">
        <v>0.28570000000000001</v>
      </c>
      <c r="M186" s="4">
        <v>35654212630</v>
      </c>
      <c r="N186" s="4">
        <v>42673132189</v>
      </c>
      <c r="O186" s="4"/>
      <c r="P186" s="6">
        <v>9.7324999999999999</v>
      </c>
      <c r="Q186" s="6">
        <v>7.9843999999999999</v>
      </c>
      <c r="R186" s="6">
        <v>-0.13950000000000001</v>
      </c>
      <c r="S186" s="6">
        <v>4.0796999999999999</v>
      </c>
      <c r="T186" s="4"/>
      <c r="U186" s="6">
        <v>-0.4899</v>
      </c>
      <c r="V186" s="6">
        <v>-0.14810000000000001</v>
      </c>
      <c r="W186" s="6">
        <v>-0.1946</v>
      </c>
      <c r="X186" s="6">
        <v>0</v>
      </c>
      <c r="Y186" s="4"/>
      <c r="Z186" s="6">
        <v>-0.3216</v>
      </c>
      <c r="AA186" s="4"/>
      <c r="AB186" s="4"/>
      <c r="AC186" s="4"/>
      <c r="AD186" s="6">
        <v>0</v>
      </c>
      <c r="AE186" s="4"/>
      <c r="AF186" s="4"/>
      <c r="AG186" s="4"/>
      <c r="AH186" s="4">
        <v>1011921837000</v>
      </c>
    </row>
    <row r="187" spans="1:34" x14ac:dyDescent="0.25">
      <c r="A187" s="4">
        <v>186</v>
      </c>
      <c r="B187" s="5" t="s">
        <v>457</v>
      </c>
      <c r="C187" s="5" t="s">
        <v>458</v>
      </c>
      <c r="D187" s="5" t="s">
        <v>23</v>
      </c>
      <c r="E187" s="5" t="s">
        <v>24</v>
      </c>
      <c r="F187" s="5" t="s">
        <v>56</v>
      </c>
      <c r="G187" s="5" t="s">
        <v>291</v>
      </c>
      <c r="H187" s="4"/>
      <c r="I187" s="4"/>
      <c r="J187" s="6"/>
      <c r="K187" s="6"/>
      <c r="L187" s="6"/>
      <c r="M187" s="4"/>
      <c r="N187" s="4"/>
      <c r="O187" s="4"/>
      <c r="P187" s="6"/>
      <c r="Q187" s="6"/>
      <c r="R187" s="6"/>
      <c r="S187" s="6"/>
      <c r="T187" s="4"/>
      <c r="U187" s="6"/>
      <c r="V187" s="6"/>
      <c r="W187" s="6"/>
      <c r="X187" s="6"/>
      <c r="Y187" s="4"/>
      <c r="Z187" s="6"/>
      <c r="AA187" s="4"/>
      <c r="AB187" s="4"/>
      <c r="AC187" s="4"/>
      <c r="AD187" s="6"/>
      <c r="AE187" s="4"/>
      <c r="AF187" s="4"/>
      <c r="AG187" s="4"/>
      <c r="AH187" s="4">
        <v>8435895256800</v>
      </c>
    </row>
    <row r="188" spans="1:34" x14ac:dyDescent="0.25">
      <c r="A188" s="4">
        <v>187</v>
      </c>
      <c r="B188" s="5" t="s">
        <v>459</v>
      </c>
      <c r="C188" s="5" t="s">
        <v>460</v>
      </c>
      <c r="D188" s="5" t="s">
        <v>23</v>
      </c>
      <c r="E188" s="5" t="s">
        <v>29</v>
      </c>
      <c r="F188" s="5" t="s">
        <v>30</v>
      </c>
      <c r="G188" s="5" t="s">
        <v>83</v>
      </c>
      <c r="H188" s="4"/>
      <c r="I188" s="4"/>
      <c r="J188" s="6"/>
      <c r="K188" s="6"/>
      <c r="L188" s="6"/>
      <c r="M188" s="4"/>
      <c r="N188" s="4"/>
      <c r="O188" s="4"/>
      <c r="P188" s="6"/>
      <c r="Q188" s="6"/>
      <c r="R188" s="6"/>
      <c r="S188" s="6"/>
      <c r="T188" s="4"/>
      <c r="U188" s="6"/>
      <c r="V188" s="6"/>
      <c r="W188" s="6"/>
      <c r="X188" s="6"/>
      <c r="Y188" s="4"/>
      <c r="Z188" s="6"/>
      <c r="AA188" s="4"/>
      <c r="AB188" s="4"/>
      <c r="AC188" s="4"/>
      <c r="AD188" s="6"/>
      <c r="AE188" s="4"/>
      <c r="AF188" s="4"/>
      <c r="AG188" s="4"/>
      <c r="AH188" s="4">
        <v>310081598520</v>
      </c>
    </row>
    <row r="189" spans="1:34" x14ac:dyDescent="0.25">
      <c r="A189" s="4">
        <v>188</v>
      </c>
      <c r="B189" s="5" t="s">
        <v>461</v>
      </c>
      <c r="C189" s="5" t="s">
        <v>462</v>
      </c>
      <c r="D189" s="5" t="s">
        <v>23</v>
      </c>
      <c r="E189" s="5" t="s">
        <v>40</v>
      </c>
      <c r="F189" s="5" t="s">
        <v>52</v>
      </c>
      <c r="G189" s="5" t="s">
        <v>53</v>
      </c>
      <c r="H189" s="4">
        <v>2260996875878</v>
      </c>
      <c r="I189" s="4">
        <v>4120994021074</v>
      </c>
      <c r="J189" s="6">
        <v>0.17100000000000001</v>
      </c>
      <c r="K189" s="6">
        <v>0.17150000000000001</v>
      </c>
      <c r="L189" s="6">
        <v>0.1381</v>
      </c>
      <c r="M189" s="4">
        <v>138226368753</v>
      </c>
      <c r="N189" s="4">
        <v>216066311154</v>
      </c>
      <c r="O189" s="4"/>
      <c r="P189" s="6">
        <v>0.23050000000000001</v>
      </c>
      <c r="Q189" s="6">
        <v>1.0946</v>
      </c>
      <c r="R189" s="6">
        <v>1.5165999999999999</v>
      </c>
      <c r="S189" s="6">
        <v>0.77580000000000005</v>
      </c>
      <c r="T189" s="4"/>
      <c r="U189" s="6">
        <v>-0.48349999999999999</v>
      </c>
      <c r="V189" s="6">
        <v>-0.4597</v>
      </c>
      <c r="W189" s="6">
        <v>-0.46110000000000001</v>
      </c>
      <c r="X189" s="6">
        <v>0</v>
      </c>
      <c r="Y189" s="4"/>
      <c r="Z189" s="6">
        <v>0.21560000000000001</v>
      </c>
      <c r="AA189" s="4"/>
      <c r="AB189" s="4"/>
      <c r="AC189" s="4"/>
      <c r="AD189" s="6">
        <v>0</v>
      </c>
      <c r="AE189" s="4"/>
      <c r="AF189" s="4"/>
      <c r="AG189" s="4"/>
      <c r="AH189" s="4">
        <v>4655396914200</v>
      </c>
    </row>
    <row r="190" spans="1:34" x14ac:dyDescent="0.25">
      <c r="A190" s="4">
        <v>189</v>
      </c>
      <c r="B190" s="5" t="s">
        <v>463</v>
      </c>
      <c r="C190" s="5" t="s">
        <v>464</v>
      </c>
      <c r="D190" s="5" t="s">
        <v>23</v>
      </c>
      <c r="E190" s="5" t="s">
        <v>29</v>
      </c>
      <c r="F190" s="5" t="s">
        <v>36</v>
      </c>
      <c r="G190" s="5" t="s">
        <v>37</v>
      </c>
      <c r="H190" s="4"/>
      <c r="I190" s="4"/>
      <c r="J190" s="6"/>
      <c r="K190" s="6"/>
      <c r="L190" s="6"/>
      <c r="M190" s="4"/>
      <c r="N190" s="4"/>
      <c r="O190" s="4"/>
      <c r="P190" s="6"/>
      <c r="Q190" s="6"/>
      <c r="R190" s="6"/>
      <c r="S190" s="6"/>
      <c r="T190" s="4"/>
      <c r="U190" s="6"/>
      <c r="V190" s="6"/>
      <c r="W190" s="6"/>
      <c r="X190" s="6"/>
      <c r="Y190" s="4"/>
      <c r="Z190" s="6"/>
      <c r="AA190" s="4"/>
      <c r="AB190" s="4"/>
      <c r="AC190" s="4"/>
      <c r="AD190" s="6"/>
      <c r="AE190" s="4"/>
      <c r="AF190" s="4"/>
      <c r="AG190" s="4"/>
      <c r="AH190" s="4">
        <v>1479711278250</v>
      </c>
    </row>
    <row r="191" spans="1:34" x14ac:dyDescent="0.25">
      <c r="A191" s="4">
        <v>190</v>
      </c>
      <c r="B191" s="5" t="s">
        <v>465</v>
      </c>
      <c r="C191" s="5" t="s">
        <v>466</v>
      </c>
      <c r="D191" s="5" t="s">
        <v>23</v>
      </c>
      <c r="E191" s="5" t="s">
        <v>40</v>
      </c>
      <c r="F191" s="5" t="s">
        <v>52</v>
      </c>
      <c r="G191" s="5" t="s">
        <v>110</v>
      </c>
      <c r="H191" s="4">
        <v>123305572316</v>
      </c>
      <c r="I191" s="4">
        <v>243561738045</v>
      </c>
      <c r="J191" s="6">
        <v>-5.4300000000000001E-2</v>
      </c>
      <c r="K191" s="6">
        <v>2E-3</v>
      </c>
      <c r="L191" s="6">
        <v>-3.3399999999999999E-2</v>
      </c>
      <c r="M191" s="4">
        <v>34272376020</v>
      </c>
      <c r="N191" s="4">
        <v>64176367587</v>
      </c>
      <c r="O191" s="4"/>
      <c r="P191" s="6">
        <v>-7.7399999999999997E-2</v>
      </c>
      <c r="Q191" s="6">
        <v>-0.33179999999999998</v>
      </c>
      <c r="R191" s="6">
        <v>-2.58E-2</v>
      </c>
      <c r="S191" s="6">
        <v>0.14610000000000001</v>
      </c>
      <c r="T191" s="4"/>
      <c r="U191" s="6">
        <v>-0.50360000000000005</v>
      </c>
      <c r="V191" s="6">
        <v>-0.35859999999999997</v>
      </c>
      <c r="W191" s="6">
        <v>-0.35970000000000002</v>
      </c>
      <c r="X191" s="6">
        <v>0</v>
      </c>
      <c r="Y191" s="4"/>
      <c r="Z191" s="6">
        <v>2.5399999999999999E-2</v>
      </c>
      <c r="AA191" s="4"/>
      <c r="AB191" s="4"/>
      <c r="AC191" s="4"/>
      <c r="AD191" s="6">
        <v>0</v>
      </c>
      <c r="AE191" s="4"/>
      <c r="AF191" s="4"/>
      <c r="AG191" s="4"/>
      <c r="AH191" s="4">
        <v>450333060000</v>
      </c>
    </row>
    <row r="192" spans="1:34" x14ac:dyDescent="0.25">
      <c r="A192" s="4">
        <v>191</v>
      </c>
      <c r="B192" s="5" t="s">
        <v>467</v>
      </c>
      <c r="C192" s="5" t="s">
        <v>468</v>
      </c>
      <c r="D192" s="5" t="s">
        <v>23</v>
      </c>
      <c r="E192" s="5" t="s">
        <v>29</v>
      </c>
      <c r="F192" s="5" t="s">
        <v>203</v>
      </c>
      <c r="G192" s="5" t="s">
        <v>211</v>
      </c>
      <c r="H192" s="4"/>
      <c r="I192" s="4"/>
      <c r="J192" s="6"/>
      <c r="K192" s="6"/>
      <c r="L192" s="6"/>
      <c r="M192" s="4"/>
      <c r="N192" s="4"/>
      <c r="O192" s="4"/>
      <c r="P192" s="6"/>
      <c r="Q192" s="6"/>
      <c r="R192" s="6"/>
      <c r="S192" s="6"/>
      <c r="T192" s="4"/>
      <c r="U192" s="6"/>
      <c r="V192" s="6"/>
      <c r="W192" s="6"/>
      <c r="X192" s="6"/>
      <c r="Y192" s="4"/>
      <c r="Z192" s="6"/>
      <c r="AA192" s="4"/>
      <c r="AB192" s="4"/>
      <c r="AC192" s="4"/>
      <c r="AD192" s="6"/>
      <c r="AE192" s="4"/>
      <c r="AF192" s="4"/>
      <c r="AG192" s="4"/>
      <c r="AH192" s="4">
        <v>250800000000</v>
      </c>
    </row>
    <row r="193" spans="1:34" x14ac:dyDescent="0.25">
      <c r="A193" s="4">
        <v>192</v>
      </c>
      <c r="B193" s="5" t="s">
        <v>469</v>
      </c>
      <c r="C193" s="5" t="s">
        <v>470</v>
      </c>
      <c r="D193" s="5" t="s">
        <v>23</v>
      </c>
      <c r="E193" s="5" t="s">
        <v>75</v>
      </c>
      <c r="F193" s="5" t="s">
        <v>76</v>
      </c>
      <c r="G193" s="5" t="s">
        <v>76</v>
      </c>
      <c r="H193" s="4"/>
      <c r="I193" s="4"/>
      <c r="J193" s="6"/>
      <c r="K193" s="6"/>
      <c r="L193" s="6"/>
      <c r="M193" s="4"/>
      <c r="N193" s="4"/>
      <c r="O193" s="4"/>
      <c r="P193" s="6"/>
      <c r="Q193" s="6"/>
      <c r="R193" s="6"/>
      <c r="S193" s="6"/>
      <c r="T193" s="4"/>
      <c r="U193" s="6"/>
      <c r="V193" s="6"/>
      <c r="W193" s="6"/>
      <c r="X193" s="6"/>
      <c r="Y193" s="4"/>
      <c r="Z193" s="6"/>
      <c r="AA193" s="4"/>
      <c r="AB193" s="4"/>
      <c r="AC193" s="4"/>
      <c r="AD193" s="6"/>
      <c r="AE193" s="4"/>
      <c r="AF193" s="4"/>
      <c r="AG193" s="4"/>
      <c r="AH193" s="4">
        <v>600644610140</v>
      </c>
    </row>
    <row r="194" spans="1:34" x14ac:dyDescent="0.25">
      <c r="A194" s="4">
        <v>193</v>
      </c>
      <c r="B194" s="5" t="s">
        <v>471</v>
      </c>
      <c r="C194" s="5" t="s">
        <v>472</v>
      </c>
      <c r="D194" s="5" t="s">
        <v>23</v>
      </c>
      <c r="E194" s="5" t="s">
        <v>40</v>
      </c>
      <c r="F194" s="5" t="s">
        <v>41</v>
      </c>
      <c r="G194" s="5" t="s">
        <v>406</v>
      </c>
      <c r="H194" s="4">
        <v>80408667350</v>
      </c>
      <c r="I194" s="4">
        <v>148390982442</v>
      </c>
      <c r="J194" s="6">
        <v>0.1386</v>
      </c>
      <c r="K194" s="6">
        <v>0.13450000000000001</v>
      </c>
      <c r="L194" s="6">
        <v>0.1366</v>
      </c>
      <c r="M194" s="4">
        <v>7884010076</v>
      </c>
      <c r="N194" s="4">
        <v>13091122877</v>
      </c>
      <c r="O194" s="4"/>
      <c r="P194" s="6">
        <v>0.44850000000000001</v>
      </c>
      <c r="Q194" s="6">
        <v>0.45329999999999998</v>
      </c>
      <c r="R194" s="6">
        <v>0.33410000000000001</v>
      </c>
      <c r="S194" s="6">
        <v>0.5141</v>
      </c>
      <c r="T194" s="4"/>
      <c r="U194" s="6">
        <v>-0.5282</v>
      </c>
      <c r="V194" s="6">
        <v>-0.18110000000000001</v>
      </c>
      <c r="W194" s="6">
        <v>-0.20250000000000001</v>
      </c>
      <c r="X194" s="6">
        <v>2.9000000000000001E-2</v>
      </c>
      <c r="Y194" s="4"/>
      <c r="Z194" s="6">
        <v>0.18279999999999999</v>
      </c>
      <c r="AA194" s="4"/>
      <c r="AB194" s="4"/>
      <c r="AC194" s="4"/>
      <c r="AD194" s="6">
        <v>0</v>
      </c>
      <c r="AE194" s="4"/>
      <c r="AF194" s="4"/>
      <c r="AG194" s="4"/>
      <c r="AH194" s="4">
        <v>180835200000</v>
      </c>
    </row>
    <row r="195" spans="1:34" x14ac:dyDescent="0.25">
      <c r="A195" s="4">
        <v>194</v>
      </c>
      <c r="B195" s="5" t="s">
        <v>473</v>
      </c>
      <c r="C195" s="5" t="s">
        <v>474</v>
      </c>
      <c r="D195" s="5" t="s">
        <v>23</v>
      </c>
      <c r="E195" s="5" t="s">
        <v>40</v>
      </c>
      <c r="F195" s="5" t="s">
        <v>52</v>
      </c>
      <c r="G195" s="5" t="s">
        <v>110</v>
      </c>
      <c r="H195" s="4"/>
      <c r="I195" s="4"/>
      <c r="J195" s="6"/>
      <c r="K195" s="6"/>
      <c r="L195" s="6"/>
      <c r="M195" s="4"/>
      <c r="N195" s="4"/>
      <c r="O195" s="4"/>
      <c r="P195" s="6"/>
      <c r="Q195" s="6"/>
      <c r="R195" s="6"/>
      <c r="S195" s="6"/>
      <c r="T195" s="4"/>
      <c r="U195" s="6"/>
      <c r="V195" s="6"/>
      <c r="W195" s="6"/>
      <c r="X195" s="6"/>
      <c r="Y195" s="4"/>
      <c r="Z195" s="6"/>
      <c r="AA195" s="4"/>
      <c r="AB195" s="4"/>
      <c r="AC195" s="4"/>
      <c r="AD195" s="6"/>
      <c r="AE195" s="4"/>
      <c r="AF195" s="4"/>
      <c r="AG195" s="4"/>
      <c r="AH195" s="4">
        <v>140000000000</v>
      </c>
    </row>
    <row r="196" spans="1:34" x14ac:dyDescent="0.25">
      <c r="A196" s="4">
        <v>195</v>
      </c>
      <c r="B196" s="5" t="s">
        <v>475</v>
      </c>
      <c r="C196" s="5" t="s">
        <v>476</v>
      </c>
      <c r="D196" s="5" t="s">
        <v>23</v>
      </c>
      <c r="E196" s="5" t="s">
        <v>40</v>
      </c>
      <c r="F196" s="5" t="s">
        <v>52</v>
      </c>
      <c r="G196" s="5" t="s">
        <v>110</v>
      </c>
      <c r="H196" s="4">
        <v>114031391505</v>
      </c>
      <c r="I196" s="4"/>
      <c r="J196" s="6">
        <v>0.33579999999999999</v>
      </c>
      <c r="K196" s="6">
        <v>0.15210000000000001</v>
      </c>
      <c r="L196" s="6">
        <v>3.85E-2</v>
      </c>
      <c r="M196" s="4">
        <v>22887991269</v>
      </c>
      <c r="N196" s="4"/>
      <c r="O196" s="4"/>
      <c r="P196" s="6">
        <v>0.56220000000000003</v>
      </c>
      <c r="Q196" s="6">
        <v>0.38979999999999998</v>
      </c>
      <c r="R196" s="6">
        <v>0.25640000000000002</v>
      </c>
      <c r="S196" s="6">
        <v>0.70989999999999998</v>
      </c>
      <c r="T196" s="4"/>
      <c r="U196" s="6">
        <v>-0.66830000000000001</v>
      </c>
      <c r="V196" s="6">
        <v>-0.42280000000000001</v>
      </c>
      <c r="W196" s="6">
        <v>-0.44190000000000002</v>
      </c>
      <c r="X196" s="6">
        <v>8.1299999999999997E-2</v>
      </c>
      <c r="Y196" s="4"/>
      <c r="Z196" s="6">
        <v>0.66669999999999996</v>
      </c>
      <c r="AA196" s="4"/>
      <c r="AB196" s="4"/>
      <c r="AC196" s="4"/>
      <c r="AD196" s="6">
        <v>0</v>
      </c>
      <c r="AE196" s="4"/>
      <c r="AF196" s="4"/>
      <c r="AG196" s="4"/>
      <c r="AH196" s="4">
        <v>371987399400</v>
      </c>
    </row>
    <row r="197" spans="1:34" x14ac:dyDescent="0.25">
      <c r="A197" s="4">
        <v>196</v>
      </c>
      <c r="B197" s="5" t="s">
        <v>477</v>
      </c>
      <c r="C197" s="5" t="s">
        <v>478</v>
      </c>
      <c r="D197" s="5" t="s">
        <v>23</v>
      </c>
      <c r="E197" s="5" t="s">
        <v>40</v>
      </c>
      <c r="F197" s="5" t="s">
        <v>52</v>
      </c>
      <c r="G197" s="5" t="s">
        <v>110</v>
      </c>
      <c r="H197" s="4"/>
      <c r="I197" s="4"/>
      <c r="J197" s="6"/>
      <c r="K197" s="6"/>
      <c r="L197" s="6"/>
      <c r="M197" s="4"/>
      <c r="N197" s="4"/>
      <c r="O197" s="4"/>
      <c r="P197" s="6"/>
      <c r="Q197" s="6"/>
      <c r="R197" s="6"/>
      <c r="S197" s="6"/>
      <c r="T197" s="4"/>
      <c r="U197" s="6"/>
      <c r="V197" s="6"/>
      <c r="W197" s="6"/>
      <c r="X197" s="6"/>
      <c r="Y197" s="4"/>
      <c r="Z197" s="6"/>
      <c r="AA197" s="4"/>
      <c r="AB197" s="4"/>
      <c r="AC197" s="4"/>
      <c r="AD197" s="6"/>
      <c r="AE197" s="4"/>
      <c r="AF197" s="4"/>
      <c r="AG197" s="4"/>
      <c r="AH197" s="4">
        <v>696282407380</v>
      </c>
    </row>
    <row r="198" spans="1:34" x14ac:dyDescent="0.25">
      <c r="A198" s="4">
        <v>197</v>
      </c>
      <c r="B198" s="5" t="s">
        <v>479</v>
      </c>
      <c r="C198" s="5" t="s">
        <v>480</v>
      </c>
      <c r="D198" s="5" t="s">
        <v>23</v>
      </c>
      <c r="E198" s="5" t="s">
        <v>62</v>
      </c>
      <c r="F198" s="5" t="s">
        <v>226</v>
      </c>
      <c r="G198" s="5" t="s">
        <v>481</v>
      </c>
      <c r="H198" s="4"/>
      <c r="I198" s="4"/>
      <c r="J198" s="6"/>
      <c r="K198" s="6"/>
      <c r="L198" s="6"/>
      <c r="M198" s="4"/>
      <c r="N198" s="4"/>
      <c r="O198" s="4"/>
      <c r="P198" s="6"/>
      <c r="Q198" s="6"/>
      <c r="R198" s="6"/>
      <c r="S198" s="6"/>
      <c r="T198" s="4"/>
      <c r="U198" s="6"/>
      <c r="V198" s="6"/>
      <c r="W198" s="6"/>
      <c r="X198" s="6"/>
      <c r="Y198" s="4"/>
      <c r="Z198" s="6"/>
      <c r="AA198" s="4"/>
      <c r="AB198" s="4"/>
      <c r="AC198" s="4"/>
      <c r="AD198" s="6"/>
      <c r="AE198" s="4"/>
      <c r="AF198" s="4"/>
      <c r="AG198" s="4"/>
      <c r="AH198" s="4">
        <v>67363936268150</v>
      </c>
    </row>
    <row r="199" spans="1:34" x14ac:dyDescent="0.25">
      <c r="A199" s="4">
        <v>198</v>
      </c>
      <c r="B199" s="5" t="s">
        <v>482</v>
      </c>
      <c r="C199" s="5" t="s">
        <v>483</v>
      </c>
      <c r="D199" s="5" t="s">
        <v>23</v>
      </c>
      <c r="E199" s="5" t="s">
        <v>185</v>
      </c>
      <c r="F199" s="5" t="s">
        <v>185</v>
      </c>
      <c r="G199" s="5" t="s">
        <v>332</v>
      </c>
      <c r="H199" s="4"/>
      <c r="I199" s="4"/>
      <c r="J199" s="6"/>
      <c r="K199" s="6"/>
      <c r="L199" s="6"/>
      <c r="M199" s="4"/>
      <c r="N199" s="4"/>
      <c r="O199" s="4"/>
      <c r="P199" s="6"/>
      <c r="Q199" s="6"/>
      <c r="R199" s="6"/>
      <c r="S199" s="6"/>
      <c r="T199" s="4"/>
      <c r="U199" s="6"/>
      <c r="V199" s="6"/>
      <c r="W199" s="6"/>
      <c r="X199" s="6"/>
      <c r="Y199" s="4"/>
      <c r="Z199" s="6"/>
      <c r="AA199" s="4"/>
      <c r="AB199" s="4"/>
      <c r="AC199" s="4"/>
      <c r="AD199" s="6"/>
      <c r="AE199" s="4"/>
      <c r="AF199" s="4"/>
      <c r="AG199" s="4"/>
      <c r="AH199" s="4">
        <v>529443250000</v>
      </c>
    </row>
    <row r="200" spans="1:34" x14ac:dyDescent="0.25">
      <c r="A200" s="4">
        <v>199</v>
      </c>
      <c r="B200" s="5" t="s">
        <v>484</v>
      </c>
      <c r="C200" s="5" t="s">
        <v>485</v>
      </c>
      <c r="D200" s="5" t="s">
        <v>23</v>
      </c>
      <c r="E200" s="5" t="s">
        <v>29</v>
      </c>
      <c r="F200" s="5" t="s">
        <v>30</v>
      </c>
      <c r="G200" s="5" t="s">
        <v>31</v>
      </c>
      <c r="H200" s="4"/>
      <c r="I200" s="4"/>
      <c r="J200" s="6"/>
      <c r="K200" s="6"/>
      <c r="L200" s="6"/>
      <c r="M200" s="4"/>
      <c r="N200" s="4"/>
      <c r="O200" s="4"/>
      <c r="P200" s="6"/>
      <c r="Q200" s="6"/>
      <c r="R200" s="6"/>
      <c r="S200" s="6"/>
      <c r="T200" s="4"/>
      <c r="U200" s="6"/>
      <c r="V200" s="6"/>
      <c r="W200" s="6"/>
      <c r="X200" s="6"/>
      <c r="Y200" s="4"/>
      <c r="Z200" s="6"/>
      <c r="AA200" s="4"/>
      <c r="AB200" s="4"/>
      <c r="AC200" s="4"/>
      <c r="AD200" s="6"/>
      <c r="AE200" s="4"/>
      <c r="AF200" s="4"/>
      <c r="AG200" s="4"/>
      <c r="AH200" s="4">
        <v>1275716359560</v>
      </c>
    </row>
    <row r="201" spans="1:34" x14ac:dyDescent="0.25">
      <c r="A201" s="4">
        <v>200</v>
      </c>
      <c r="B201" s="5" t="s">
        <v>486</v>
      </c>
      <c r="C201" s="5" t="s">
        <v>487</v>
      </c>
      <c r="D201" s="5" t="s">
        <v>23</v>
      </c>
      <c r="E201" s="5" t="s">
        <v>75</v>
      </c>
      <c r="F201" s="5" t="s">
        <v>76</v>
      </c>
      <c r="G201" s="5" t="s">
        <v>76</v>
      </c>
      <c r="H201" s="4"/>
      <c r="I201" s="4"/>
      <c r="J201" s="6"/>
      <c r="K201" s="6"/>
      <c r="L201" s="6"/>
      <c r="M201" s="4"/>
      <c r="N201" s="4"/>
      <c r="O201" s="4"/>
      <c r="P201" s="6"/>
      <c r="Q201" s="6"/>
      <c r="R201" s="6"/>
      <c r="S201" s="6"/>
      <c r="T201" s="4"/>
      <c r="U201" s="6"/>
      <c r="V201" s="6"/>
      <c r="W201" s="6"/>
      <c r="X201" s="6"/>
      <c r="Y201" s="4"/>
      <c r="Z201" s="6"/>
      <c r="AA201" s="4"/>
      <c r="AB201" s="4"/>
      <c r="AC201" s="4"/>
      <c r="AD201" s="6"/>
      <c r="AE201" s="4"/>
      <c r="AF201" s="4"/>
      <c r="AG201" s="4"/>
      <c r="AH201" s="4">
        <v>4526684801600</v>
      </c>
    </row>
    <row r="202" spans="1:34" x14ac:dyDescent="0.25">
      <c r="A202" s="4">
        <v>201</v>
      </c>
      <c r="B202" s="5" t="s">
        <v>488</v>
      </c>
      <c r="C202" s="5" t="s">
        <v>489</v>
      </c>
      <c r="D202" s="5" t="s">
        <v>23</v>
      </c>
      <c r="E202" s="5" t="s">
        <v>40</v>
      </c>
      <c r="F202" s="5" t="s">
        <v>41</v>
      </c>
      <c r="G202" s="5" t="s">
        <v>93</v>
      </c>
      <c r="H202" s="4"/>
      <c r="I202" s="4"/>
      <c r="J202" s="6"/>
      <c r="K202" s="6"/>
      <c r="L202" s="6"/>
      <c r="M202" s="4"/>
      <c r="N202" s="4"/>
      <c r="O202" s="4"/>
      <c r="P202" s="6"/>
      <c r="Q202" s="6"/>
      <c r="R202" s="6"/>
      <c r="S202" s="6"/>
      <c r="T202" s="4"/>
      <c r="U202" s="6"/>
      <c r="V202" s="6"/>
      <c r="W202" s="6"/>
      <c r="X202" s="6"/>
      <c r="Y202" s="4"/>
      <c r="Z202" s="6"/>
      <c r="AA202" s="4"/>
      <c r="AB202" s="4"/>
      <c r="AC202" s="4"/>
      <c r="AD202" s="6"/>
      <c r="AE202" s="4"/>
      <c r="AF202" s="4"/>
      <c r="AG202" s="4"/>
      <c r="AH202" s="4">
        <v>769719763800</v>
      </c>
    </row>
    <row r="203" spans="1:34" x14ac:dyDescent="0.25">
      <c r="A203" s="4">
        <v>202</v>
      </c>
      <c r="B203" s="5" t="s">
        <v>490</v>
      </c>
      <c r="C203" s="5" t="s">
        <v>491</v>
      </c>
      <c r="D203" s="5" t="s">
        <v>23</v>
      </c>
      <c r="E203" s="5" t="s">
        <v>234</v>
      </c>
      <c r="F203" s="5" t="s">
        <v>235</v>
      </c>
      <c r="G203" s="5" t="s">
        <v>236</v>
      </c>
      <c r="H203" s="4">
        <v>562235220164</v>
      </c>
      <c r="I203" s="4"/>
      <c r="J203" s="6">
        <v>-0.1114</v>
      </c>
      <c r="K203" s="6">
        <v>-9.64E-2</v>
      </c>
      <c r="L203" s="6">
        <v>-6.9000000000000006E-2</v>
      </c>
      <c r="M203" s="4">
        <v>93927293600</v>
      </c>
      <c r="N203" s="4"/>
      <c r="O203" s="4"/>
      <c r="P203" s="6">
        <v>4.02E-2</v>
      </c>
      <c r="Q203" s="6">
        <v>6.7900000000000002E-2</v>
      </c>
      <c r="R203" s="6">
        <v>-6.7999999999999996E-3</v>
      </c>
      <c r="S203" s="6">
        <v>0.1452</v>
      </c>
      <c r="T203" s="4"/>
      <c r="U203" s="6">
        <v>-0.65359999999999996</v>
      </c>
      <c r="V203" s="6">
        <v>-0.56040000000000001</v>
      </c>
      <c r="W203" s="6">
        <v>-0.56189999999999996</v>
      </c>
      <c r="X203" s="6">
        <v>2.23E-2</v>
      </c>
      <c r="Y203" s="4"/>
      <c r="Z203" s="6">
        <v>2.93E-2</v>
      </c>
      <c r="AA203" s="4"/>
      <c r="AB203" s="4"/>
      <c r="AC203" s="4"/>
      <c r="AD203" s="6">
        <v>0</v>
      </c>
      <c r="AE203" s="4"/>
      <c r="AF203" s="4"/>
      <c r="AG203" s="4"/>
      <c r="AH203" s="4">
        <v>5513520839600</v>
      </c>
    </row>
    <row r="204" spans="1:34" x14ac:dyDescent="0.25">
      <c r="A204" s="4">
        <v>203</v>
      </c>
      <c r="B204" s="5" t="s">
        <v>492</v>
      </c>
      <c r="C204" s="5" t="s">
        <v>493</v>
      </c>
      <c r="D204" s="5" t="s">
        <v>23</v>
      </c>
      <c r="E204" s="5" t="s">
        <v>75</v>
      </c>
      <c r="F204" s="5" t="s">
        <v>76</v>
      </c>
      <c r="G204" s="5" t="s">
        <v>76</v>
      </c>
      <c r="H204" s="4"/>
      <c r="I204" s="4"/>
      <c r="J204" s="6"/>
      <c r="K204" s="6"/>
      <c r="L204" s="6"/>
      <c r="M204" s="4"/>
      <c r="N204" s="4"/>
      <c r="O204" s="4"/>
      <c r="P204" s="6"/>
      <c r="Q204" s="6"/>
      <c r="R204" s="6"/>
      <c r="S204" s="6"/>
      <c r="T204" s="4"/>
      <c r="U204" s="6"/>
      <c r="V204" s="6"/>
      <c r="W204" s="6"/>
      <c r="X204" s="6"/>
      <c r="Y204" s="4"/>
      <c r="Z204" s="6"/>
      <c r="AA204" s="4"/>
      <c r="AB204" s="4"/>
      <c r="AC204" s="4"/>
      <c r="AD204" s="6"/>
      <c r="AE204" s="4"/>
      <c r="AF204" s="4"/>
      <c r="AG204" s="4"/>
      <c r="AH204" s="4">
        <v>983334252250</v>
      </c>
    </row>
    <row r="205" spans="1:34" x14ac:dyDescent="0.25">
      <c r="A205" s="4">
        <v>204</v>
      </c>
      <c r="B205" s="5" t="s">
        <v>494</v>
      </c>
      <c r="C205" s="5" t="s">
        <v>495</v>
      </c>
      <c r="D205" s="5" t="s">
        <v>23</v>
      </c>
      <c r="E205" s="5" t="s">
        <v>185</v>
      </c>
      <c r="F205" s="5" t="s">
        <v>185</v>
      </c>
      <c r="G205" s="5" t="s">
        <v>332</v>
      </c>
      <c r="H205" s="4"/>
      <c r="I205" s="4"/>
      <c r="J205" s="6"/>
      <c r="K205" s="6"/>
      <c r="L205" s="6"/>
      <c r="M205" s="4"/>
      <c r="N205" s="4"/>
      <c r="O205" s="4"/>
      <c r="P205" s="6"/>
      <c r="Q205" s="6"/>
      <c r="R205" s="6"/>
      <c r="S205" s="6"/>
      <c r="T205" s="4"/>
      <c r="U205" s="6"/>
      <c r="V205" s="6"/>
      <c r="W205" s="6"/>
      <c r="X205" s="6"/>
      <c r="Y205" s="4"/>
      <c r="Z205" s="6"/>
      <c r="AA205" s="4"/>
      <c r="AB205" s="4"/>
      <c r="AC205" s="4"/>
      <c r="AD205" s="6"/>
      <c r="AE205" s="4"/>
      <c r="AF205" s="4"/>
      <c r="AG205" s="4"/>
      <c r="AH205" s="4">
        <v>388666183950</v>
      </c>
    </row>
    <row r="206" spans="1:34" x14ac:dyDescent="0.25">
      <c r="A206" s="4">
        <v>205</v>
      </c>
      <c r="B206" s="5" t="s">
        <v>496</v>
      </c>
      <c r="C206" s="5" t="s">
        <v>497</v>
      </c>
      <c r="D206" s="5" t="s">
        <v>23</v>
      </c>
      <c r="E206" s="5" t="s">
        <v>234</v>
      </c>
      <c r="F206" s="5" t="s">
        <v>235</v>
      </c>
      <c r="G206" s="5" t="s">
        <v>498</v>
      </c>
      <c r="H206" s="4"/>
      <c r="I206" s="4"/>
      <c r="J206" s="6"/>
      <c r="K206" s="6"/>
      <c r="L206" s="6"/>
      <c r="M206" s="4"/>
      <c r="N206" s="4"/>
      <c r="O206" s="4"/>
      <c r="P206" s="6"/>
      <c r="Q206" s="6"/>
      <c r="R206" s="6"/>
      <c r="S206" s="6"/>
      <c r="T206" s="4"/>
      <c r="U206" s="6"/>
      <c r="V206" s="6"/>
      <c r="W206" s="6"/>
      <c r="X206" s="6"/>
      <c r="Y206" s="4"/>
      <c r="Z206" s="6"/>
      <c r="AA206" s="4"/>
      <c r="AB206" s="4"/>
      <c r="AC206" s="4"/>
      <c r="AD206" s="6"/>
      <c r="AE206" s="4"/>
      <c r="AF206" s="4"/>
      <c r="AG206" s="4"/>
      <c r="AH206" s="4">
        <v>337500513000</v>
      </c>
    </row>
    <row r="207" spans="1:34" x14ac:dyDescent="0.25">
      <c r="A207" s="4">
        <v>206</v>
      </c>
      <c r="B207" s="5" t="s">
        <v>499</v>
      </c>
      <c r="C207" s="5" t="s">
        <v>500</v>
      </c>
      <c r="D207" s="5" t="s">
        <v>23</v>
      </c>
      <c r="E207" s="5" t="s">
        <v>75</v>
      </c>
      <c r="F207" s="5" t="s">
        <v>76</v>
      </c>
      <c r="G207" s="5" t="s">
        <v>76</v>
      </c>
      <c r="H207" s="4"/>
      <c r="I207" s="4"/>
      <c r="J207" s="6"/>
      <c r="K207" s="6"/>
      <c r="L207" s="6"/>
      <c r="M207" s="4"/>
      <c r="N207" s="4"/>
      <c r="O207" s="4"/>
      <c r="P207" s="6"/>
      <c r="Q207" s="6"/>
      <c r="R207" s="6"/>
      <c r="S207" s="6"/>
      <c r="T207" s="4"/>
      <c r="U207" s="6"/>
      <c r="V207" s="6"/>
      <c r="W207" s="6"/>
      <c r="X207" s="6"/>
      <c r="Y207" s="4"/>
      <c r="Z207" s="6"/>
      <c r="AA207" s="4"/>
      <c r="AB207" s="4"/>
      <c r="AC207" s="4"/>
      <c r="AD207" s="6"/>
      <c r="AE207" s="4"/>
      <c r="AF207" s="4"/>
      <c r="AG207" s="4"/>
      <c r="AH207" s="4">
        <v>25239027541200</v>
      </c>
    </row>
    <row r="208" spans="1:34" x14ac:dyDescent="0.25">
      <c r="A208" s="4">
        <v>207</v>
      </c>
      <c r="B208" s="5" t="s">
        <v>501</v>
      </c>
      <c r="C208" s="5" t="s">
        <v>502</v>
      </c>
      <c r="D208" s="5" t="s">
        <v>23</v>
      </c>
      <c r="E208" s="5" t="s">
        <v>29</v>
      </c>
      <c r="F208" s="5" t="s">
        <v>30</v>
      </c>
      <c r="G208" s="5" t="s">
        <v>83</v>
      </c>
      <c r="H208" s="4"/>
      <c r="I208" s="4"/>
      <c r="J208" s="6"/>
      <c r="K208" s="6"/>
      <c r="L208" s="6"/>
      <c r="M208" s="4"/>
      <c r="N208" s="4"/>
      <c r="O208" s="4"/>
      <c r="P208" s="6"/>
      <c r="Q208" s="6"/>
      <c r="R208" s="6"/>
      <c r="S208" s="6"/>
      <c r="T208" s="4"/>
      <c r="U208" s="6"/>
      <c r="V208" s="6"/>
      <c r="W208" s="6"/>
      <c r="X208" s="6"/>
      <c r="Y208" s="4"/>
      <c r="Z208" s="6"/>
      <c r="AA208" s="4"/>
      <c r="AB208" s="4"/>
      <c r="AC208" s="4"/>
      <c r="AD208" s="6"/>
      <c r="AE208" s="4"/>
      <c r="AF208" s="4"/>
      <c r="AG208" s="4"/>
      <c r="AH208" s="4">
        <v>13485650640000</v>
      </c>
    </row>
    <row r="209" spans="1:34" x14ac:dyDescent="0.25">
      <c r="A209" s="4">
        <v>208</v>
      </c>
      <c r="B209" s="5" t="s">
        <v>503</v>
      </c>
      <c r="C209" s="5" t="s">
        <v>504</v>
      </c>
      <c r="D209" s="5" t="s">
        <v>23</v>
      </c>
      <c r="E209" s="5" t="s">
        <v>75</v>
      </c>
      <c r="F209" s="5" t="s">
        <v>76</v>
      </c>
      <c r="G209" s="5" t="s">
        <v>76</v>
      </c>
      <c r="H209" s="4"/>
      <c r="I209" s="4"/>
      <c r="J209" s="6"/>
      <c r="K209" s="6"/>
      <c r="L209" s="6"/>
      <c r="M209" s="4"/>
      <c r="N209" s="4"/>
      <c r="O209" s="4"/>
      <c r="P209" s="6"/>
      <c r="Q209" s="6"/>
      <c r="R209" s="6"/>
      <c r="S209" s="6"/>
      <c r="T209" s="4"/>
      <c r="U209" s="6"/>
      <c r="V209" s="6"/>
      <c r="W209" s="6"/>
      <c r="X209" s="6"/>
      <c r="Y209" s="4"/>
      <c r="Z209" s="6"/>
      <c r="AA209" s="4"/>
      <c r="AB209" s="4"/>
      <c r="AC209" s="4"/>
      <c r="AD209" s="6"/>
      <c r="AE209" s="4"/>
      <c r="AF209" s="4"/>
      <c r="AG209" s="4"/>
      <c r="AH209" s="4">
        <v>20199868182000</v>
      </c>
    </row>
    <row r="210" spans="1:34" x14ac:dyDescent="0.25">
      <c r="A210" s="4">
        <v>209</v>
      </c>
      <c r="B210" s="5" t="s">
        <v>505</v>
      </c>
      <c r="C210" s="5" t="s">
        <v>506</v>
      </c>
      <c r="D210" s="5" t="s">
        <v>23</v>
      </c>
      <c r="E210" s="5" t="s">
        <v>75</v>
      </c>
      <c r="F210" s="5" t="s">
        <v>76</v>
      </c>
      <c r="G210" s="5" t="s">
        <v>76</v>
      </c>
      <c r="H210" s="4"/>
      <c r="I210" s="4"/>
      <c r="J210" s="6"/>
      <c r="K210" s="6"/>
      <c r="L210" s="6"/>
      <c r="M210" s="4"/>
      <c r="N210" s="4"/>
      <c r="O210" s="4"/>
      <c r="P210" s="6"/>
      <c r="Q210" s="6"/>
      <c r="R210" s="6"/>
      <c r="S210" s="6"/>
      <c r="T210" s="4"/>
      <c r="U210" s="6"/>
      <c r="V210" s="6"/>
      <c r="W210" s="6"/>
      <c r="X210" s="6"/>
      <c r="Y210" s="4"/>
      <c r="Z210" s="6"/>
      <c r="AA210" s="4"/>
      <c r="AB210" s="4"/>
      <c r="AC210" s="4"/>
      <c r="AD210" s="6"/>
      <c r="AE210" s="4"/>
      <c r="AF210" s="4"/>
      <c r="AG210" s="4"/>
      <c r="AH210" s="4">
        <v>2175266392200</v>
      </c>
    </row>
    <row r="211" spans="1:34" x14ac:dyDescent="0.25">
      <c r="A211" s="4">
        <v>210</v>
      </c>
      <c r="B211" s="5" t="s">
        <v>507</v>
      </c>
      <c r="C211" s="5" t="s">
        <v>508</v>
      </c>
      <c r="D211" s="5" t="s">
        <v>23</v>
      </c>
      <c r="E211" s="5" t="s">
        <v>98</v>
      </c>
      <c r="F211" s="5" t="s">
        <v>99</v>
      </c>
      <c r="G211" s="5" t="s">
        <v>144</v>
      </c>
      <c r="H211" s="4">
        <v>2460680892985</v>
      </c>
      <c r="I211" s="4">
        <v>4213459970240</v>
      </c>
      <c r="J211" s="6">
        <v>0.15629999999999999</v>
      </c>
      <c r="K211" s="6">
        <v>0.15859999999999999</v>
      </c>
      <c r="L211" s="6">
        <v>0.13159999999999999</v>
      </c>
      <c r="M211" s="4">
        <v>-818180652</v>
      </c>
      <c r="N211" s="4">
        <v>1097688896</v>
      </c>
      <c r="O211" s="4"/>
      <c r="P211" s="6">
        <v>-1.0193000000000001</v>
      </c>
      <c r="Q211" s="6">
        <v>-0.91239999999999999</v>
      </c>
      <c r="R211" s="6">
        <v>-0.65239999999999998</v>
      </c>
      <c r="S211" s="6">
        <v>-1.4271</v>
      </c>
      <c r="T211" s="4"/>
      <c r="U211" s="6">
        <v>-0.50049999999999994</v>
      </c>
      <c r="V211" s="6">
        <v>-0.97419999999999995</v>
      </c>
      <c r="W211" s="6">
        <v>-0.97189999999999999</v>
      </c>
      <c r="X211" s="6">
        <v>5.1799999999999999E-2</v>
      </c>
      <c r="Y211" s="4"/>
      <c r="Z211" s="6">
        <v>0.40389999999999998</v>
      </c>
      <c r="AA211" s="4"/>
      <c r="AB211" s="4"/>
      <c r="AC211" s="4"/>
      <c r="AD211" s="6">
        <v>0</v>
      </c>
      <c r="AE211" s="4"/>
      <c r="AF211" s="4"/>
      <c r="AG211" s="4"/>
      <c r="AH211" s="4">
        <v>582635598900</v>
      </c>
    </row>
    <row r="212" spans="1:34" x14ac:dyDescent="0.25">
      <c r="A212" s="4">
        <v>211</v>
      </c>
      <c r="B212" s="5" t="s">
        <v>509</v>
      </c>
      <c r="C212" s="5" t="s">
        <v>510</v>
      </c>
      <c r="D212" s="5" t="s">
        <v>23</v>
      </c>
      <c r="E212" s="5" t="s">
        <v>49</v>
      </c>
      <c r="F212" s="5" t="s">
        <v>49</v>
      </c>
      <c r="G212" s="5" t="s">
        <v>49</v>
      </c>
      <c r="H212" s="4"/>
      <c r="I212" s="4"/>
      <c r="J212" s="6"/>
      <c r="K212" s="6"/>
      <c r="L212" s="6"/>
      <c r="M212" s="4"/>
      <c r="N212" s="4"/>
      <c r="O212" s="4"/>
      <c r="P212" s="6"/>
      <c r="Q212" s="6"/>
      <c r="R212" s="6"/>
      <c r="S212" s="6"/>
      <c r="T212" s="4"/>
      <c r="U212" s="6"/>
      <c r="V212" s="6"/>
      <c r="W212" s="6"/>
      <c r="X212" s="6"/>
      <c r="Y212" s="4"/>
      <c r="Z212" s="6"/>
      <c r="AA212" s="4"/>
      <c r="AB212" s="4"/>
      <c r="AC212" s="4"/>
      <c r="AD212" s="6"/>
      <c r="AE212" s="4">
        <v>883946000000</v>
      </c>
      <c r="AF212" s="4">
        <v>1733032000000</v>
      </c>
      <c r="AG212" s="4">
        <v>2710900000000</v>
      </c>
      <c r="AH212" s="4">
        <v>8463568208100</v>
      </c>
    </row>
    <row r="213" spans="1:34" x14ac:dyDescent="0.25">
      <c r="A213" s="4">
        <v>212</v>
      </c>
      <c r="B213" s="5" t="s">
        <v>511</v>
      </c>
      <c r="C213" s="5" t="s">
        <v>512</v>
      </c>
      <c r="D213" s="5" t="s">
        <v>23</v>
      </c>
      <c r="E213" s="5" t="s">
        <v>29</v>
      </c>
      <c r="F213" s="5" t="s">
        <v>36</v>
      </c>
      <c r="G213" s="5" t="s">
        <v>37</v>
      </c>
      <c r="H213" s="4">
        <v>93264333002</v>
      </c>
      <c r="I213" s="4">
        <v>177587498634</v>
      </c>
      <c r="J213" s="6">
        <v>0.33739999999999998</v>
      </c>
      <c r="K213" s="6">
        <v>1E-3</v>
      </c>
      <c r="L213" s="6">
        <v>-0.11990000000000001</v>
      </c>
      <c r="M213" s="4">
        <v>1709777494</v>
      </c>
      <c r="N213" s="4">
        <v>1874667403</v>
      </c>
      <c r="O213" s="4"/>
      <c r="P213" s="6">
        <v>1.4278</v>
      </c>
      <c r="Q213" s="6">
        <v>0.34449999999999997</v>
      </c>
      <c r="R213" s="6">
        <v>0.41689999999999999</v>
      </c>
      <c r="S213" s="6">
        <v>9.3691999999999993</v>
      </c>
      <c r="T213" s="4"/>
      <c r="U213" s="6">
        <v>-0.4345</v>
      </c>
      <c r="V213" s="6">
        <v>-0.68179999999999996</v>
      </c>
      <c r="W213" s="6">
        <v>-0.68940000000000001</v>
      </c>
      <c r="X213" s="6">
        <v>0</v>
      </c>
      <c r="Y213" s="4"/>
      <c r="Z213" s="6">
        <v>0.106</v>
      </c>
      <c r="AA213" s="4"/>
      <c r="AB213" s="4"/>
      <c r="AC213" s="4"/>
      <c r="AD213" s="6">
        <v>0</v>
      </c>
      <c r="AE213" s="4"/>
      <c r="AF213" s="4"/>
      <c r="AG213" s="4"/>
      <c r="AH213" s="4">
        <v>134800402590</v>
      </c>
    </row>
    <row r="214" spans="1:34" x14ac:dyDescent="0.25">
      <c r="A214" s="4">
        <v>213</v>
      </c>
      <c r="B214" s="5" t="s">
        <v>513</v>
      </c>
      <c r="C214" s="5" t="s">
        <v>514</v>
      </c>
      <c r="D214" s="5" t="s">
        <v>23</v>
      </c>
      <c r="E214" s="5" t="s">
        <v>75</v>
      </c>
      <c r="F214" s="5" t="s">
        <v>76</v>
      </c>
      <c r="G214" s="5" t="s">
        <v>76</v>
      </c>
      <c r="H214" s="4"/>
      <c r="I214" s="4"/>
      <c r="J214" s="6"/>
      <c r="K214" s="6"/>
      <c r="L214" s="6"/>
      <c r="M214" s="4"/>
      <c r="N214" s="4"/>
      <c r="O214" s="4"/>
      <c r="P214" s="6"/>
      <c r="Q214" s="6"/>
      <c r="R214" s="6"/>
      <c r="S214" s="6"/>
      <c r="T214" s="4"/>
      <c r="U214" s="6"/>
      <c r="V214" s="6"/>
      <c r="W214" s="6"/>
      <c r="X214" s="6"/>
      <c r="Y214" s="4"/>
      <c r="Z214" s="6"/>
      <c r="AA214" s="4"/>
      <c r="AB214" s="4"/>
      <c r="AC214" s="4"/>
      <c r="AD214" s="6"/>
      <c r="AE214" s="4"/>
      <c r="AF214" s="4"/>
      <c r="AG214" s="4"/>
      <c r="AH214" s="4">
        <v>7685087392500</v>
      </c>
    </row>
    <row r="215" spans="1:34" x14ac:dyDescent="0.25">
      <c r="A215" s="4">
        <v>214</v>
      </c>
      <c r="B215" s="5" t="s">
        <v>515</v>
      </c>
      <c r="C215" s="5" t="s">
        <v>516</v>
      </c>
      <c r="D215" s="5" t="s">
        <v>23</v>
      </c>
      <c r="E215" s="5" t="s">
        <v>40</v>
      </c>
      <c r="F215" s="5" t="s">
        <v>52</v>
      </c>
      <c r="G215" s="5" t="s">
        <v>53</v>
      </c>
      <c r="H215" s="4"/>
      <c r="I215" s="4"/>
      <c r="J215" s="6"/>
      <c r="K215" s="6"/>
      <c r="L215" s="6"/>
      <c r="M215" s="4"/>
      <c r="N215" s="4"/>
      <c r="O215" s="4"/>
      <c r="P215" s="6"/>
      <c r="Q215" s="6"/>
      <c r="R215" s="6"/>
      <c r="S215" s="6"/>
      <c r="T215" s="4"/>
      <c r="U215" s="6"/>
      <c r="V215" s="6"/>
      <c r="W215" s="6"/>
      <c r="X215" s="6"/>
      <c r="Y215" s="4"/>
      <c r="Z215" s="6"/>
      <c r="AA215" s="4"/>
      <c r="AB215" s="4"/>
      <c r="AC215" s="4"/>
      <c r="AD215" s="6"/>
      <c r="AE215" s="4"/>
      <c r="AF215" s="4"/>
      <c r="AG215" s="4"/>
      <c r="AH215" s="4">
        <v>1510656879600</v>
      </c>
    </row>
    <row r="216" spans="1:34" x14ac:dyDescent="0.25">
      <c r="A216" s="4">
        <v>215</v>
      </c>
      <c r="B216" s="5" t="s">
        <v>517</v>
      </c>
      <c r="C216" s="5" t="s">
        <v>518</v>
      </c>
      <c r="D216" s="5" t="s">
        <v>23</v>
      </c>
      <c r="E216" s="5" t="s">
        <v>40</v>
      </c>
      <c r="F216" s="5" t="s">
        <v>41</v>
      </c>
      <c r="G216" s="5" t="s">
        <v>519</v>
      </c>
      <c r="H216" s="4">
        <v>392370132969</v>
      </c>
      <c r="I216" s="4">
        <v>807302986195</v>
      </c>
      <c r="J216" s="6">
        <v>0.1326</v>
      </c>
      <c r="K216" s="6">
        <v>9.5299999999999996E-2</v>
      </c>
      <c r="L216" s="6">
        <v>5.96E-2</v>
      </c>
      <c r="M216" s="4">
        <v>33861201586</v>
      </c>
      <c r="N216" s="4">
        <v>40108186418</v>
      </c>
      <c r="O216" s="4"/>
      <c r="P216" s="6">
        <v>3.7574000000000001</v>
      </c>
      <c r="Q216" s="6">
        <v>2.3149000000000002</v>
      </c>
      <c r="R216" s="6">
        <v>1.5503</v>
      </c>
      <c r="S216" s="6">
        <v>4.4203999999999999</v>
      </c>
      <c r="T216" s="4"/>
      <c r="U216" s="6">
        <v>-0.19270000000000001</v>
      </c>
      <c r="V216" s="6">
        <v>0.6694</v>
      </c>
      <c r="W216" s="6">
        <v>0.67120000000000002</v>
      </c>
      <c r="X216" s="6">
        <v>6.4699999999999994E-2</v>
      </c>
      <c r="Y216" s="4"/>
      <c r="Z216" s="6">
        <v>-5.4399999999999997E-2</v>
      </c>
      <c r="AA216" s="4"/>
      <c r="AB216" s="4"/>
      <c r="AC216" s="4"/>
      <c r="AD216" s="6">
        <v>0</v>
      </c>
      <c r="AE216" s="4"/>
      <c r="AF216" s="4"/>
      <c r="AG216" s="4"/>
      <c r="AH216" s="4">
        <v>227128000000</v>
      </c>
    </row>
    <row r="217" spans="1:34" x14ac:dyDescent="0.25">
      <c r="A217" s="4">
        <v>216</v>
      </c>
      <c r="B217" s="5" t="s">
        <v>520</v>
      </c>
      <c r="C217" s="5" t="s">
        <v>521</v>
      </c>
      <c r="D217" s="5" t="s">
        <v>23</v>
      </c>
      <c r="E217" s="5" t="s">
        <v>29</v>
      </c>
      <c r="F217" s="5" t="s">
        <v>30</v>
      </c>
      <c r="G217" s="5" t="s">
        <v>83</v>
      </c>
      <c r="H217" s="4">
        <v>175371978978</v>
      </c>
      <c r="I217" s="4">
        <v>309413323998</v>
      </c>
      <c r="J217" s="6">
        <v>0.30330000000000001</v>
      </c>
      <c r="K217" s="6">
        <v>0.47060000000000002</v>
      </c>
      <c r="L217" s="6">
        <v>0.62939999999999996</v>
      </c>
      <c r="M217" s="4">
        <v>5850972916</v>
      </c>
      <c r="N217" s="4">
        <v>12111726268</v>
      </c>
      <c r="O217" s="4"/>
      <c r="P217" s="6">
        <v>-0.52810000000000001</v>
      </c>
      <c r="Q217" s="6">
        <v>-0.25419999999999998</v>
      </c>
      <c r="R217" s="6">
        <v>-0.1293</v>
      </c>
      <c r="S217" s="6">
        <v>-6.5500000000000003E-2</v>
      </c>
      <c r="T217" s="4"/>
      <c r="U217" s="6">
        <v>-0.55800000000000005</v>
      </c>
      <c r="V217" s="6">
        <v>-0.72209999999999996</v>
      </c>
      <c r="W217" s="6">
        <v>-0.72960000000000003</v>
      </c>
      <c r="X217" s="6">
        <v>0.12820000000000001</v>
      </c>
      <c r="Y217" s="4"/>
      <c r="Z217" s="6">
        <v>0.30830000000000002</v>
      </c>
      <c r="AA217" s="4"/>
      <c r="AB217" s="4"/>
      <c r="AC217" s="4"/>
      <c r="AD217" s="6">
        <v>0</v>
      </c>
      <c r="AE217" s="4"/>
      <c r="AF217" s="4"/>
      <c r="AG217" s="4"/>
      <c r="AH217" s="4">
        <v>296946370500</v>
      </c>
    </row>
    <row r="218" spans="1:34" x14ac:dyDescent="0.25">
      <c r="A218" s="4">
        <v>217</v>
      </c>
      <c r="B218" s="5" t="s">
        <v>522</v>
      </c>
      <c r="C218" s="5" t="s">
        <v>523</v>
      </c>
      <c r="D218" s="5" t="s">
        <v>23</v>
      </c>
      <c r="E218" s="5" t="s">
        <v>40</v>
      </c>
      <c r="F218" s="5" t="s">
        <v>52</v>
      </c>
      <c r="G218" s="5" t="s">
        <v>53</v>
      </c>
      <c r="H218" s="4"/>
      <c r="I218" s="4"/>
      <c r="J218" s="6"/>
      <c r="K218" s="6"/>
      <c r="L218" s="6"/>
      <c r="M218" s="4"/>
      <c r="N218" s="4"/>
      <c r="O218" s="4"/>
      <c r="P218" s="6"/>
      <c r="Q218" s="6"/>
      <c r="R218" s="6"/>
      <c r="S218" s="6"/>
      <c r="T218" s="4"/>
      <c r="U218" s="6"/>
      <c r="V218" s="6"/>
      <c r="W218" s="6"/>
      <c r="X218" s="6"/>
      <c r="Y218" s="4"/>
      <c r="Z218" s="6"/>
      <c r="AA218" s="4"/>
      <c r="AB218" s="4"/>
      <c r="AC218" s="4"/>
      <c r="AD218" s="6"/>
      <c r="AE218" s="4"/>
      <c r="AF218" s="4"/>
      <c r="AG218" s="4"/>
      <c r="AH218" s="4">
        <v>1385000000000</v>
      </c>
    </row>
    <row r="219" spans="1:34" x14ac:dyDescent="0.25">
      <c r="A219" s="4">
        <v>218</v>
      </c>
      <c r="B219" s="5" t="s">
        <v>524</v>
      </c>
      <c r="C219" s="5" t="s">
        <v>525</v>
      </c>
      <c r="D219" s="5" t="s">
        <v>23</v>
      </c>
      <c r="E219" s="5" t="s">
        <v>40</v>
      </c>
      <c r="F219" s="5" t="s">
        <v>52</v>
      </c>
      <c r="G219" s="5" t="s">
        <v>110</v>
      </c>
      <c r="H219" s="4"/>
      <c r="I219" s="4"/>
      <c r="J219" s="6"/>
      <c r="K219" s="6"/>
      <c r="L219" s="6"/>
      <c r="M219" s="4"/>
      <c r="N219" s="4"/>
      <c r="O219" s="4"/>
      <c r="P219" s="6"/>
      <c r="Q219" s="6"/>
      <c r="R219" s="6"/>
      <c r="S219" s="6"/>
      <c r="T219" s="4"/>
      <c r="U219" s="6"/>
      <c r="V219" s="6"/>
      <c r="W219" s="6"/>
      <c r="X219" s="6"/>
      <c r="Y219" s="4"/>
      <c r="Z219" s="6"/>
      <c r="AA219" s="4"/>
      <c r="AB219" s="4"/>
      <c r="AC219" s="4"/>
      <c r="AD219" s="6"/>
      <c r="AE219" s="4"/>
      <c r="AF219" s="4"/>
      <c r="AG219" s="4"/>
      <c r="AH219" s="4">
        <v>1456545009450</v>
      </c>
    </row>
    <row r="220" spans="1:34" x14ac:dyDescent="0.25">
      <c r="A220" s="4">
        <v>219</v>
      </c>
      <c r="B220" s="5" t="s">
        <v>526</v>
      </c>
      <c r="C220" s="5" t="s">
        <v>527</v>
      </c>
      <c r="D220" s="5" t="s">
        <v>23</v>
      </c>
      <c r="E220" s="5" t="s">
        <v>75</v>
      </c>
      <c r="F220" s="5" t="s">
        <v>76</v>
      </c>
      <c r="G220" s="5" t="s">
        <v>76</v>
      </c>
      <c r="H220" s="4"/>
      <c r="I220" s="4"/>
      <c r="J220" s="6"/>
      <c r="K220" s="6"/>
      <c r="L220" s="6"/>
      <c r="M220" s="4"/>
      <c r="N220" s="4"/>
      <c r="O220" s="4"/>
      <c r="P220" s="6"/>
      <c r="Q220" s="6"/>
      <c r="R220" s="6"/>
      <c r="S220" s="6"/>
      <c r="T220" s="4"/>
      <c r="U220" s="6"/>
      <c r="V220" s="6"/>
      <c r="W220" s="6"/>
      <c r="X220" s="6"/>
      <c r="Y220" s="4"/>
      <c r="Z220" s="6"/>
      <c r="AA220" s="4"/>
      <c r="AB220" s="4"/>
      <c r="AC220" s="4"/>
      <c r="AD220" s="6"/>
      <c r="AE220" s="4"/>
      <c r="AF220" s="4"/>
      <c r="AG220" s="4"/>
      <c r="AH220" s="4">
        <v>687606633810</v>
      </c>
    </row>
    <row r="221" spans="1:34" x14ac:dyDescent="0.25">
      <c r="A221" s="4">
        <v>220</v>
      </c>
      <c r="B221" s="5" t="s">
        <v>528</v>
      </c>
      <c r="C221" s="5" t="s">
        <v>529</v>
      </c>
      <c r="D221" s="5" t="s">
        <v>23</v>
      </c>
      <c r="E221" s="5" t="s">
        <v>40</v>
      </c>
      <c r="F221" s="5" t="s">
        <v>52</v>
      </c>
      <c r="G221" s="5" t="s">
        <v>110</v>
      </c>
      <c r="H221" s="4"/>
      <c r="I221" s="4"/>
      <c r="J221" s="6"/>
      <c r="K221" s="6"/>
      <c r="L221" s="6"/>
      <c r="M221" s="4"/>
      <c r="N221" s="4"/>
      <c r="O221" s="4"/>
      <c r="P221" s="6"/>
      <c r="Q221" s="6"/>
      <c r="R221" s="6"/>
      <c r="S221" s="6"/>
      <c r="T221" s="4"/>
      <c r="U221" s="6"/>
      <c r="V221" s="6"/>
      <c r="W221" s="6"/>
      <c r="X221" s="6"/>
      <c r="Y221" s="4"/>
      <c r="Z221" s="6"/>
      <c r="AA221" s="4"/>
      <c r="AB221" s="4"/>
      <c r="AC221" s="4"/>
      <c r="AD221" s="6"/>
      <c r="AE221" s="4"/>
      <c r="AF221" s="4"/>
      <c r="AG221" s="4"/>
      <c r="AH221" s="4">
        <v>13746043958400</v>
      </c>
    </row>
    <row r="222" spans="1:34" x14ac:dyDescent="0.25">
      <c r="A222" s="4">
        <v>221</v>
      </c>
      <c r="B222" s="5" t="s">
        <v>530</v>
      </c>
      <c r="C222" s="5" t="s">
        <v>531</v>
      </c>
      <c r="D222" s="5" t="s">
        <v>23</v>
      </c>
      <c r="E222" s="5" t="s">
        <v>75</v>
      </c>
      <c r="F222" s="5" t="s">
        <v>76</v>
      </c>
      <c r="G222" s="5" t="s">
        <v>76</v>
      </c>
      <c r="H222" s="4">
        <v>19465146771</v>
      </c>
      <c r="I222" s="4"/>
      <c r="J222" s="6">
        <v>3.0070999999999999</v>
      </c>
      <c r="K222" s="6">
        <v>-0.33610000000000001</v>
      </c>
      <c r="L222" s="6">
        <v>-0.46710000000000002</v>
      </c>
      <c r="M222" s="4">
        <v>1489387355</v>
      </c>
      <c r="N222" s="4"/>
      <c r="O222" s="4"/>
      <c r="P222" s="6">
        <v>-8.1199999999999994E-2</v>
      </c>
      <c r="Q222" s="6">
        <v>-0.49220000000000003</v>
      </c>
      <c r="R222" s="6">
        <v>3.6528999999999998</v>
      </c>
      <c r="S222" s="6">
        <v>-9.6100000000000005E-2</v>
      </c>
      <c r="T222" s="4"/>
      <c r="U222" s="6">
        <v>-0.95450000000000002</v>
      </c>
      <c r="V222" s="6">
        <v>-0.94979999999999998</v>
      </c>
      <c r="W222" s="6">
        <v>-0.93730000000000002</v>
      </c>
      <c r="X222" s="6">
        <v>0</v>
      </c>
      <c r="Y222" s="4"/>
      <c r="Z222" s="6">
        <v>1.8027</v>
      </c>
      <c r="AA222" s="4"/>
      <c r="AB222" s="4"/>
      <c r="AC222" s="4"/>
      <c r="AD222" s="6">
        <v>0</v>
      </c>
      <c r="AE222" s="4"/>
      <c r="AF222" s="4"/>
      <c r="AG222" s="4"/>
      <c r="AH222" s="4">
        <v>255425616000</v>
      </c>
    </row>
    <row r="223" spans="1:34" x14ac:dyDescent="0.25">
      <c r="A223" s="4">
        <v>222</v>
      </c>
      <c r="B223" s="5" t="s">
        <v>532</v>
      </c>
      <c r="C223" s="5" t="s">
        <v>533</v>
      </c>
      <c r="D223" s="5" t="s">
        <v>23</v>
      </c>
      <c r="E223" s="5" t="s">
        <v>75</v>
      </c>
      <c r="F223" s="5" t="s">
        <v>76</v>
      </c>
      <c r="G223" s="5" t="s">
        <v>76</v>
      </c>
      <c r="H223" s="4">
        <v>189154780349</v>
      </c>
      <c r="I223" s="4">
        <v>365365368858</v>
      </c>
      <c r="J223" s="6">
        <v>-0.1527</v>
      </c>
      <c r="K223" s="6">
        <v>-0.20050000000000001</v>
      </c>
      <c r="L223" s="6">
        <v>-0.1174</v>
      </c>
      <c r="M223" s="4">
        <v>75112564202</v>
      </c>
      <c r="N223" s="4">
        <v>187295780402</v>
      </c>
      <c r="O223" s="4"/>
      <c r="P223" s="6">
        <v>-0.16370000000000001</v>
      </c>
      <c r="Q223" s="6">
        <v>-6.3E-2</v>
      </c>
      <c r="R223" s="6">
        <v>-5.8700000000000002E-2</v>
      </c>
      <c r="S223" s="6">
        <v>-0.33040000000000003</v>
      </c>
      <c r="T223" s="4"/>
      <c r="U223" s="6">
        <v>-0.49830000000000002</v>
      </c>
      <c r="V223" s="6">
        <v>0.13550000000000001</v>
      </c>
      <c r="W223" s="6">
        <v>0.13020000000000001</v>
      </c>
      <c r="X223" s="6">
        <v>0</v>
      </c>
      <c r="Y223" s="4"/>
      <c r="Z223" s="6">
        <v>7.3499999999999996E-2</v>
      </c>
      <c r="AA223" s="4"/>
      <c r="AB223" s="4"/>
      <c r="AC223" s="4"/>
      <c r="AD223" s="6">
        <v>0</v>
      </c>
      <c r="AE223" s="4"/>
      <c r="AF223" s="4"/>
      <c r="AG223" s="4"/>
      <c r="AH223" s="4">
        <v>1370329074000</v>
      </c>
    </row>
    <row r="224" spans="1:34" x14ac:dyDescent="0.25">
      <c r="A224" s="4">
        <v>223</v>
      </c>
      <c r="B224" s="5" t="s">
        <v>534</v>
      </c>
      <c r="C224" s="5" t="s">
        <v>535</v>
      </c>
      <c r="D224" s="5" t="s">
        <v>23</v>
      </c>
      <c r="E224" s="5" t="s">
        <v>29</v>
      </c>
      <c r="F224" s="5" t="s">
        <v>36</v>
      </c>
      <c r="G224" s="5" t="s">
        <v>536</v>
      </c>
      <c r="H224" s="4">
        <v>1029573232798</v>
      </c>
      <c r="I224" s="4">
        <v>1867783610104</v>
      </c>
      <c r="J224" s="6">
        <v>0.43269999999999997</v>
      </c>
      <c r="K224" s="6">
        <v>0.3553</v>
      </c>
      <c r="L224" s="6">
        <v>0.33300000000000002</v>
      </c>
      <c r="M224" s="4">
        <v>40062924350</v>
      </c>
      <c r="N224" s="4">
        <v>80094984080</v>
      </c>
      <c r="O224" s="4"/>
      <c r="P224" s="6">
        <v>-0.2712</v>
      </c>
      <c r="Q224" s="6">
        <v>-0.15709999999999999</v>
      </c>
      <c r="R224" s="6">
        <v>-0.11219999999999999</v>
      </c>
      <c r="S224" s="6">
        <v>8.0000000000000004E-4</v>
      </c>
      <c r="T224" s="4"/>
      <c r="U224" s="6">
        <v>-0.46050000000000002</v>
      </c>
      <c r="V224" s="6">
        <v>-0.49940000000000001</v>
      </c>
      <c r="W224" s="6">
        <v>-0.49940000000000001</v>
      </c>
      <c r="X224" s="6">
        <v>5.8599999999999999E-2</v>
      </c>
      <c r="Y224" s="4"/>
      <c r="Z224" s="6">
        <v>0.2283</v>
      </c>
      <c r="AA224" s="4"/>
      <c r="AB224" s="4"/>
      <c r="AC224" s="4"/>
      <c r="AD224" s="6">
        <v>0</v>
      </c>
      <c r="AE224" s="4"/>
      <c r="AF224" s="4"/>
      <c r="AG224" s="4"/>
      <c r="AH224" s="4">
        <v>1658880000000</v>
      </c>
    </row>
    <row r="225" spans="1:34" x14ac:dyDescent="0.25">
      <c r="A225" s="4">
        <v>224</v>
      </c>
      <c r="B225" s="5" t="s">
        <v>537</v>
      </c>
      <c r="C225" s="5" t="s">
        <v>538</v>
      </c>
      <c r="D225" s="5" t="s">
        <v>23</v>
      </c>
      <c r="E225" s="5" t="s">
        <v>40</v>
      </c>
      <c r="F225" s="5" t="s">
        <v>52</v>
      </c>
      <c r="G225" s="5" t="s">
        <v>110</v>
      </c>
      <c r="H225" s="4">
        <v>292023853979</v>
      </c>
      <c r="I225" s="4">
        <v>567862924323</v>
      </c>
      <c r="J225" s="6">
        <v>-5.2600000000000001E-2</v>
      </c>
      <c r="K225" s="6">
        <v>-0.2155</v>
      </c>
      <c r="L225" s="6">
        <v>-0.24729999999999999</v>
      </c>
      <c r="M225" s="4">
        <v>1965525307</v>
      </c>
      <c r="N225" s="4">
        <v>4214627043</v>
      </c>
      <c r="O225" s="4"/>
      <c r="P225" s="6">
        <v>7.5227000000000004</v>
      </c>
      <c r="Q225" s="6">
        <v>-0.27479999999999999</v>
      </c>
      <c r="R225" s="6">
        <v>-0.23089999999999999</v>
      </c>
      <c r="S225" s="6">
        <v>-0.12609999999999999</v>
      </c>
      <c r="T225" s="4"/>
      <c r="U225" s="6">
        <v>-0.57050000000000001</v>
      </c>
      <c r="V225" s="6">
        <v>-0.59870000000000001</v>
      </c>
      <c r="W225" s="6">
        <v>-0.71150000000000002</v>
      </c>
      <c r="X225" s="6">
        <v>6.6900000000000001E-2</v>
      </c>
      <c r="Y225" s="4"/>
      <c r="Z225" s="6">
        <v>5.8700000000000002E-2</v>
      </c>
      <c r="AA225" s="4"/>
      <c r="AB225" s="4"/>
      <c r="AC225" s="4"/>
      <c r="AD225" s="6">
        <v>0</v>
      </c>
      <c r="AE225" s="4"/>
      <c r="AF225" s="4"/>
      <c r="AG225" s="4"/>
      <c r="AH225" s="4">
        <v>140360795900</v>
      </c>
    </row>
    <row r="226" spans="1:34" x14ac:dyDescent="0.25">
      <c r="A226" s="4">
        <v>225</v>
      </c>
      <c r="B226" s="5" t="s">
        <v>539</v>
      </c>
      <c r="C226" s="5" t="s">
        <v>540</v>
      </c>
      <c r="D226" s="5" t="s">
        <v>23</v>
      </c>
      <c r="E226" s="5" t="s">
        <v>49</v>
      </c>
      <c r="F226" s="5" t="s">
        <v>49</v>
      </c>
      <c r="G226" s="5" t="s">
        <v>49</v>
      </c>
      <c r="H226" s="4"/>
      <c r="I226" s="4"/>
      <c r="J226" s="6">
        <v>0.37109999999999999</v>
      </c>
      <c r="K226" s="6">
        <v>0.30230000000000001</v>
      </c>
      <c r="L226" s="6">
        <v>0.26190000000000002</v>
      </c>
      <c r="M226" s="4">
        <v>2520662000000</v>
      </c>
      <c r="N226" s="4">
        <v>4799853000000</v>
      </c>
      <c r="O226" s="4"/>
      <c r="P226" s="6">
        <v>5.21E-2</v>
      </c>
      <c r="Q226" s="6">
        <v>-2.64E-2</v>
      </c>
      <c r="R226" s="6">
        <v>0.1225</v>
      </c>
      <c r="S226" s="6">
        <v>0.10589999999999999</v>
      </c>
      <c r="T226" s="4"/>
      <c r="U226" s="6">
        <v>0</v>
      </c>
      <c r="V226" s="6">
        <v>-0.60129999999999995</v>
      </c>
      <c r="W226" s="6">
        <v>-0.59950000000000003</v>
      </c>
      <c r="X226" s="6">
        <v>0</v>
      </c>
      <c r="Y226" s="4"/>
      <c r="Z226" s="6">
        <v>0.21279999999999999</v>
      </c>
      <c r="AA226" s="4">
        <v>3888306000000</v>
      </c>
      <c r="AB226" s="4">
        <v>7766551000000</v>
      </c>
      <c r="AC226" s="4"/>
      <c r="AD226" s="6">
        <v>9.6799999999999997E-2</v>
      </c>
      <c r="AE226" s="4">
        <v>3735854000000</v>
      </c>
      <c r="AF226" s="4">
        <v>7017764000000</v>
      </c>
      <c r="AG226" s="4">
        <v>11252811000000</v>
      </c>
      <c r="AH226" s="4">
        <v>162508146240000</v>
      </c>
    </row>
    <row r="227" spans="1:34" x14ac:dyDescent="0.25">
      <c r="A227" s="4">
        <v>226</v>
      </c>
      <c r="B227" s="5" t="s">
        <v>541</v>
      </c>
      <c r="C227" s="5" t="s">
        <v>542</v>
      </c>
      <c r="D227" s="5" t="s">
        <v>23</v>
      </c>
      <c r="E227" s="5" t="s">
        <v>75</v>
      </c>
      <c r="F227" s="5" t="s">
        <v>79</v>
      </c>
      <c r="G227" s="5" t="s">
        <v>80</v>
      </c>
      <c r="H227" s="4">
        <v>1663740677524</v>
      </c>
      <c r="I227" s="4">
        <v>2717214429451</v>
      </c>
      <c r="J227" s="6">
        <v>2.762</v>
      </c>
      <c r="K227" s="6">
        <v>3.9803000000000002</v>
      </c>
      <c r="L227" s="6">
        <v>4.3608000000000002</v>
      </c>
      <c r="M227" s="4">
        <v>502617939631</v>
      </c>
      <c r="N227" s="4">
        <v>574673706907</v>
      </c>
      <c r="O227" s="4"/>
      <c r="P227" s="6">
        <v>1.4374</v>
      </c>
      <c r="Q227" s="6">
        <v>1.3305</v>
      </c>
      <c r="R227" s="6">
        <v>1.6194</v>
      </c>
      <c r="S227" s="6">
        <v>5.9753999999999996</v>
      </c>
      <c r="T227" s="4"/>
      <c r="U227" s="6">
        <v>0</v>
      </c>
      <c r="V227" s="6">
        <v>0</v>
      </c>
      <c r="W227" s="6">
        <v>0</v>
      </c>
      <c r="X227" s="6"/>
      <c r="Y227" s="4"/>
      <c r="Z227" s="6">
        <v>0.57930000000000004</v>
      </c>
      <c r="AA227" s="4"/>
      <c r="AB227" s="4"/>
      <c r="AC227" s="4"/>
      <c r="AD227" s="6">
        <v>0</v>
      </c>
      <c r="AE227" s="4"/>
      <c r="AF227" s="4"/>
      <c r="AG227" s="4"/>
      <c r="AH227" s="4"/>
    </row>
    <row r="228" spans="1:34" x14ac:dyDescent="0.25">
      <c r="A228" s="4">
        <v>227</v>
      </c>
      <c r="B228" s="5" t="s">
        <v>543</v>
      </c>
      <c r="C228" s="5" t="s">
        <v>544</v>
      </c>
      <c r="D228" s="5" t="s">
        <v>23</v>
      </c>
      <c r="E228" s="5" t="s">
        <v>29</v>
      </c>
      <c r="F228" s="5" t="s">
        <v>30</v>
      </c>
      <c r="G228" s="5" t="s">
        <v>83</v>
      </c>
      <c r="H228" s="4"/>
      <c r="I228" s="4"/>
      <c r="J228" s="6"/>
      <c r="K228" s="6"/>
      <c r="L228" s="6"/>
      <c r="M228" s="4"/>
      <c r="N228" s="4"/>
      <c r="O228" s="4"/>
      <c r="P228" s="6"/>
      <c r="Q228" s="6"/>
      <c r="R228" s="6"/>
      <c r="S228" s="6"/>
      <c r="T228" s="4"/>
      <c r="U228" s="6"/>
      <c r="V228" s="6"/>
      <c r="W228" s="6"/>
      <c r="X228" s="6"/>
      <c r="Y228" s="4"/>
      <c r="Z228" s="6"/>
      <c r="AA228" s="4"/>
      <c r="AB228" s="4"/>
      <c r="AC228" s="4"/>
      <c r="AD228" s="6"/>
      <c r="AE228" s="4"/>
      <c r="AF228" s="4"/>
      <c r="AG228" s="4"/>
      <c r="AH228" s="4">
        <v>723813799680</v>
      </c>
    </row>
    <row r="229" spans="1:34" x14ac:dyDescent="0.25">
      <c r="A229" s="4">
        <v>228</v>
      </c>
      <c r="B229" s="5" t="s">
        <v>545</v>
      </c>
      <c r="C229" s="5" t="s">
        <v>546</v>
      </c>
      <c r="D229" s="5" t="s">
        <v>23</v>
      </c>
      <c r="E229" s="5" t="s">
        <v>49</v>
      </c>
      <c r="F229" s="5" t="s">
        <v>49</v>
      </c>
      <c r="G229" s="5" t="s">
        <v>49</v>
      </c>
      <c r="H229" s="4"/>
      <c r="I229" s="4"/>
      <c r="J229" s="6"/>
      <c r="K229" s="6"/>
      <c r="L229" s="6"/>
      <c r="M229" s="4"/>
      <c r="N229" s="4"/>
      <c r="O229" s="4"/>
      <c r="P229" s="6"/>
      <c r="Q229" s="6"/>
      <c r="R229" s="6"/>
      <c r="S229" s="6"/>
      <c r="T229" s="4"/>
      <c r="U229" s="6"/>
      <c r="V229" s="6"/>
      <c r="W229" s="6"/>
      <c r="X229" s="6"/>
      <c r="Y229" s="4"/>
      <c r="Z229" s="6"/>
      <c r="AA229" s="4"/>
      <c r="AB229" s="4"/>
      <c r="AC229" s="4"/>
      <c r="AD229" s="6"/>
      <c r="AE229" s="4">
        <v>12372117000000</v>
      </c>
      <c r="AF229" s="4">
        <v>24064301000000</v>
      </c>
      <c r="AG229" s="4">
        <v>37054825000000</v>
      </c>
      <c r="AH229" s="4">
        <v>180029247966150</v>
      </c>
    </row>
    <row r="230" spans="1:34" x14ac:dyDescent="0.25">
      <c r="A230" s="4">
        <v>229</v>
      </c>
      <c r="B230" s="5" t="s">
        <v>547</v>
      </c>
      <c r="C230" s="5" t="s">
        <v>548</v>
      </c>
      <c r="D230" s="5" t="s">
        <v>23</v>
      </c>
      <c r="E230" s="5" t="s">
        <v>29</v>
      </c>
      <c r="F230" s="5" t="s">
        <v>30</v>
      </c>
      <c r="G230" s="5" t="s">
        <v>83</v>
      </c>
      <c r="H230" s="4"/>
      <c r="I230" s="4"/>
      <c r="J230" s="6"/>
      <c r="K230" s="6"/>
      <c r="L230" s="6"/>
      <c r="M230" s="4"/>
      <c r="N230" s="4"/>
      <c r="O230" s="4"/>
      <c r="P230" s="6"/>
      <c r="Q230" s="6"/>
      <c r="R230" s="6"/>
      <c r="S230" s="6"/>
      <c r="T230" s="4"/>
      <c r="U230" s="6"/>
      <c r="V230" s="6"/>
      <c r="W230" s="6"/>
      <c r="X230" s="6"/>
      <c r="Y230" s="4"/>
      <c r="Z230" s="6"/>
      <c r="AA230" s="4"/>
      <c r="AB230" s="4"/>
      <c r="AC230" s="4"/>
      <c r="AD230" s="6"/>
      <c r="AE230" s="4"/>
      <c r="AF230" s="4"/>
      <c r="AG230" s="4"/>
      <c r="AH230" s="4">
        <v>176238187125200</v>
      </c>
    </row>
    <row r="231" spans="1:34" x14ac:dyDescent="0.25">
      <c r="A231" s="4">
        <v>230</v>
      </c>
      <c r="B231" s="5" t="s">
        <v>549</v>
      </c>
      <c r="C231" s="5" t="s">
        <v>550</v>
      </c>
      <c r="D231" s="5" t="s">
        <v>23</v>
      </c>
      <c r="E231" s="5" t="s">
        <v>29</v>
      </c>
      <c r="F231" s="5" t="s">
        <v>30</v>
      </c>
      <c r="G231" s="5" t="s">
        <v>83</v>
      </c>
      <c r="H231" s="4">
        <v>760453613275</v>
      </c>
      <c r="I231" s="4">
        <v>1502003623903</v>
      </c>
      <c r="J231" s="6">
        <v>-5.6800000000000003E-2</v>
      </c>
      <c r="K231" s="6">
        <v>7.4800000000000005E-2</v>
      </c>
      <c r="L231" s="6">
        <v>3.8699999999999998E-2</v>
      </c>
      <c r="M231" s="4">
        <v>88507126337</v>
      </c>
      <c r="N231" s="4">
        <v>168625683741</v>
      </c>
      <c r="O231" s="4"/>
      <c r="P231" s="6">
        <v>0.16850000000000001</v>
      </c>
      <c r="Q231" s="6">
        <v>0.36530000000000001</v>
      </c>
      <c r="R231" s="6">
        <v>0.19650000000000001</v>
      </c>
      <c r="S231" s="6">
        <v>0.1047</v>
      </c>
      <c r="T231" s="4"/>
      <c r="U231" s="6">
        <v>-0.51959999999999995</v>
      </c>
      <c r="V231" s="6">
        <v>-0.31419999999999998</v>
      </c>
      <c r="W231" s="6">
        <v>-0.30030000000000001</v>
      </c>
      <c r="X231" s="6">
        <v>4.0599999999999997E-2</v>
      </c>
      <c r="Y231" s="4"/>
      <c r="Z231" s="6">
        <v>2.5499999999999998E-2</v>
      </c>
      <c r="AA231" s="4"/>
      <c r="AB231" s="4"/>
      <c r="AC231" s="4"/>
      <c r="AD231" s="6">
        <v>0</v>
      </c>
      <c r="AE231" s="4"/>
      <c r="AF231" s="4"/>
      <c r="AG231" s="4"/>
      <c r="AH231" s="4">
        <v>2970000000000</v>
      </c>
    </row>
    <row r="232" spans="1:34" x14ac:dyDescent="0.25">
      <c r="A232" s="4">
        <v>231</v>
      </c>
      <c r="B232" s="5" t="s">
        <v>551</v>
      </c>
      <c r="C232" s="5" t="s">
        <v>552</v>
      </c>
      <c r="D232" s="5" t="s">
        <v>23</v>
      </c>
      <c r="E232" s="5" t="s">
        <v>40</v>
      </c>
      <c r="F232" s="5" t="s">
        <v>41</v>
      </c>
      <c r="G232" s="5" t="s">
        <v>90</v>
      </c>
      <c r="H232" s="4">
        <v>114539177117</v>
      </c>
      <c r="I232" s="4"/>
      <c r="J232" s="6">
        <v>0.14069999999999999</v>
      </c>
      <c r="K232" s="6">
        <v>7.0400000000000004E-2</v>
      </c>
      <c r="L232" s="6">
        <v>8.0600000000000005E-2</v>
      </c>
      <c r="M232" s="4">
        <v>1599781448</v>
      </c>
      <c r="N232" s="4"/>
      <c r="O232" s="4"/>
      <c r="P232" s="6">
        <v>0.56879999999999997</v>
      </c>
      <c r="Q232" s="6">
        <v>-1.3252999999999999</v>
      </c>
      <c r="R232" s="6">
        <v>-0.61860000000000004</v>
      </c>
      <c r="S232" s="6">
        <v>1.7311000000000001</v>
      </c>
      <c r="T232" s="4"/>
      <c r="U232" s="6">
        <v>-0.55489999999999995</v>
      </c>
      <c r="V232" s="6">
        <v>-1.0254000000000001</v>
      </c>
      <c r="W232" s="6">
        <v>-1.0317000000000001</v>
      </c>
      <c r="X232" s="6">
        <v>2.5499999999999998E-2</v>
      </c>
      <c r="Y232" s="4"/>
      <c r="Z232" s="6">
        <v>0.29289999999999999</v>
      </c>
      <c r="AA232" s="4"/>
      <c r="AB232" s="4"/>
      <c r="AC232" s="4"/>
      <c r="AD232" s="6">
        <v>0</v>
      </c>
      <c r="AE232" s="4"/>
      <c r="AF232" s="4"/>
      <c r="AG232" s="4"/>
      <c r="AH232" s="4">
        <v>544387282600</v>
      </c>
    </row>
    <row r="233" spans="1:34" x14ac:dyDescent="0.25">
      <c r="A233" s="4">
        <v>232</v>
      </c>
      <c r="B233" s="5" t="s">
        <v>553</v>
      </c>
      <c r="C233" s="5" t="s">
        <v>554</v>
      </c>
      <c r="D233" s="5" t="s">
        <v>23</v>
      </c>
      <c r="E233" s="5" t="s">
        <v>40</v>
      </c>
      <c r="F233" s="5" t="s">
        <v>52</v>
      </c>
      <c r="G233" s="5" t="s">
        <v>53</v>
      </c>
      <c r="H233" s="4">
        <v>153101224148</v>
      </c>
      <c r="I233" s="4">
        <v>249221005707</v>
      </c>
      <c r="J233" s="6">
        <v>5.7041000000000004</v>
      </c>
      <c r="K233" s="6">
        <v>2.8212999999999999</v>
      </c>
      <c r="L233" s="6">
        <v>1.71</v>
      </c>
      <c r="M233" s="4">
        <v>39164141831</v>
      </c>
      <c r="N233" s="4">
        <v>65055293473</v>
      </c>
      <c r="O233" s="4"/>
      <c r="P233" s="6">
        <v>200.01</v>
      </c>
      <c r="Q233" s="6">
        <v>20.6038</v>
      </c>
      <c r="R233" s="6">
        <v>4.3070000000000004</v>
      </c>
      <c r="S233" s="6">
        <v>0.51259999999999994</v>
      </c>
      <c r="T233" s="4"/>
      <c r="U233" s="6">
        <v>-0.46710000000000002</v>
      </c>
      <c r="V233" s="6">
        <v>-0.24929999999999999</v>
      </c>
      <c r="W233" s="6">
        <v>-0.25900000000000001</v>
      </c>
      <c r="X233" s="6">
        <v>4.58E-2</v>
      </c>
      <c r="Y233" s="4"/>
      <c r="Z233" s="6">
        <v>0.59279999999999999</v>
      </c>
      <c r="AA233" s="4"/>
      <c r="AB233" s="4"/>
      <c r="AC233" s="4"/>
      <c r="AD233" s="6">
        <v>0</v>
      </c>
      <c r="AE233" s="4"/>
      <c r="AF233" s="4"/>
      <c r="AG233" s="4"/>
      <c r="AH233" s="4">
        <v>405763893300</v>
      </c>
    </row>
    <row r="234" spans="1:34" x14ac:dyDescent="0.25">
      <c r="A234" s="4">
        <v>233</v>
      </c>
      <c r="B234" s="5" t="s">
        <v>555</v>
      </c>
      <c r="C234" s="5" t="s">
        <v>556</v>
      </c>
      <c r="D234" s="5" t="s">
        <v>23</v>
      </c>
      <c r="E234" s="5" t="s">
        <v>40</v>
      </c>
      <c r="F234" s="5" t="s">
        <v>41</v>
      </c>
      <c r="G234" s="5" t="s">
        <v>557</v>
      </c>
      <c r="H234" s="4"/>
      <c r="I234" s="4"/>
      <c r="J234" s="6"/>
      <c r="K234" s="6"/>
      <c r="L234" s="6"/>
      <c r="M234" s="4"/>
      <c r="N234" s="4"/>
      <c r="O234" s="4"/>
      <c r="P234" s="6"/>
      <c r="Q234" s="6"/>
      <c r="R234" s="6"/>
      <c r="S234" s="6"/>
      <c r="T234" s="4"/>
      <c r="U234" s="6"/>
      <c r="V234" s="6"/>
      <c r="W234" s="6"/>
      <c r="X234" s="6"/>
      <c r="Y234" s="4"/>
      <c r="Z234" s="6"/>
      <c r="AA234" s="4"/>
      <c r="AB234" s="4"/>
      <c r="AC234" s="4"/>
      <c r="AD234" s="6"/>
      <c r="AE234" s="4"/>
      <c r="AF234" s="4"/>
      <c r="AG234" s="4"/>
      <c r="AH234" s="4">
        <v>369982444980</v>
      </c>
    </row>
    <row r="235" spans="1:34" x14ac:dyDescent="0.25">
      <c r="A235" s="4">
        <v>234</v>
      </c>
      <c r="B235" s="5" t="s">
        <v>558</v>
      </c>
      <c r="C235" s="5" t="s">
        <v>559</v>
      </c>
      <c r="D235" s="5" t="s">
        <v>23</v>
      </c>
      <c r="E235" s="5" t="s">
        <v>75</v>
      </c>
      <c r="F235" s="5" t="s">
        <v>120</v>
      </c>
      <c r="G235" s="5" t="s">
        <v>121</v>
      </c>
      <c r="H235" s="4">
        <v>1349744048744</v>
      </c>
      <c r="I235" s="4">
        <v>2367854210062</v>
      </c>
      <c r="J235" s="6">
        <v>0.37580000000000002</v>
      </c>
      <c r="K235" s="6">
        <v>0.2001</v>
      </c>
      <c r="L235" s="6">
        <v>0.16209999999999999</v>
      </c>
      <c r="M235" s="4">
        <v>92157181462</v>
      </c>
      <c r="N235" s="4">
        <v>194387958943</v>
      </c>
      <c r="O235" s="4"/>
      <c r="P235" s="6">
        <v>9.6699999999999994E-2</v>
      </c>
      <c r="Q235" s="6">
        <v>5.3699999999999998E-2</v>
      </c>
      <c r="R235" s="6">
        <v>-0.20039999999999999</v>
      </c>
      <c r="S235" s="6">
        <v>-9.8500000000000004E-2</v>
      </c>
      <c r="T235" s="4"/>
      <c r="U235" s="6">
        <v>-0.66359999999999997</v>
      </c>
      <c r="V235" s="6">
        <v>-0.55410000000000004</v>
      </c>
      <c r="W235" s="6">
        <v>-0.55810000000000004</v>
      </c>
      <c r="X235" s="6">
        <v>0</v>
      </c>
      <c r="Y235" s="4"/>
      <c r="Z235" s="6">
        <v>0.32569999999999999</v>
      </c>
      <c r="AA235" s="4"/>
      <c r="AB235" s="4"/>
      <c r="AC235" s="4"/>
      <c r="AD235" s="6">
        <v>0</v>
      </c>
      <c r="AE235" s="4"/>
      <c r="AF235" s="4"/>
      <c r="AG235" s="4"/>
      <c r="AH235" s="4">
        <v>3532107832100</v>
      </c>
    </row>
    <row r="236" spans="1:34" x14ac:dyDescent="0.25">
      <c r="A236" s="4">
        <v>235</v>
      </c>
      <c r="B236" s="5" t="s">
        <v>560</v>
      </c>
      <c r="C236" s="5" t="s">
        <v>561</v>
      </c>
      <c r="D236" s="5" t="s">
        <v>23</v>
      </c>
      <c r="E236" s="5" t="s">
        <v>49</v>
      </c>
      <c r="F236" s="5" t="s">
        <v>49</v>
      </c>
      <c r="G236" s="5" t="s">
        <v>49</v>
      </c>
      <c r="H236" s="4"/>
      <c r="I236" s="4"/>
      <c r="J236" s="6"/>
      <c r="K236" s="6"/>
      <c r="L236" s="6"/>
      <c r="M236" s="4"/>
      <c r="N236" s="4"/>
      <c r="O236" s="4"/>
      <c r="P236" s="6"/>
      <c r="Q236" s="6"/>
      <c r="R236" s="6"/>
      <c r="S236" s="6"/>
      <c r="T236" s="4"/>
      <c r="U236" s="6"/>
      <c r="V236" s="6"/>
      <c r="W236" s="6"/>
      <c r="X236" s="6"/>
      <c r="Y236" s="4"/>
      <c r="Z236" s="6"/>
      <c r="AA236" s="4"/>
      <c r="AB236" s="4"/>
      <c r="AC236" s="4"/>
      <c r="AD236" s="6"/>
      <c r="AE236" s="4">
        <v>2584839000000</v>
      </c>
      <c r="AF236" s="4">
        <v>5088624000000</v>
      </c>
      <c r="AG236" s="4">
        <v>7903940000000</v>
      </c>
      <c r="AH236" s="4">
        <v>49608000000000</v>
      </c>
    </row>
    <row r="237" spans="1:34" x14ac:dyDescent="0.25">
      <c r="A237" s="4">
        <v>236</v>
      </c>
      <c r="B237" s="5" t="s">
        <v>562</v>
      </c>
      <c r="C237" s="5" t="s">
        <v>563</v>
      </c>
      <c r="D237" s="5" t="s">
        <v>23</v>
      </c>
      <c r="E237" s="5" t="s">
        <v>29</v>
      </c>
      <c r="F237" s="5" t="s">
        <v>36</v>
      </c>
      <c r="G237" s="5" t="s">
        <v>37</v>
      </c>
      <c r="H237" s="4"/>
      <c r="I237" s="4"/>
      <c r="J237" s="6"/>
      <c r="K237" s="6"/>
      <c r="L237" s="6"/>
      <c r="M237" s="4"/>
      <c r="N237" s="4"/>
      <c r="O237" s="4"/>
      <c r="P237" s="6"/>
      <c r="Q237" s="6"/>
      <c r="R237" s="6"/>
      <c r="S237" s="6"/>
      <c r="T237" s="4"/>
      <c r="U237" s="6"/>
      <c r="V237" s="6"/>
      <c r="W237" s="6"/>
      <c r="X237" s="6"/>
      <c r="Y237" s="4"/>
      <c r="Z237" s="6"/>
      <c r="AA237" s="4"/>
      <c r="AB237" s="4"/>
      <c r="AC237" s="4"/>
      <c r="AD237" s="6"/>
      <c r="AE237" s="4"/>
      <c r="AF237" s="4"/>
      <c r="AG237" s="4"/>
      <c r="AH237" s="4">
        <v>3431891110000</v>
      </c>
    </row>
    <row r="238" spans="1:34" x14ac:dyDescent="0.25">
      <c r="A238" s="4">
        <v>237</v>
      </c>
      <c r="B238" s="5" t="s">
        <v>564</v>
      </c>
      <c r="C238" s="5" t="s">
        <v>565</v>
      </c>
      <c r="D238" s="5" t="s">
        <v>23</v>
      </c>
      <c r="E238" s="5" t="s">
        <v>29</v>
      </c>
      <c r="F238" s="5" t="s">
        <v>30</v>
      </c>
      <c r="G238" s="5" t="s">
        <v>83</v>
      </c>
      <c r="H238" s="4"/>
      <c r="I238" s="4"/>
      <c r="J238" s="6"/>
      <c r="K238" s="6"/>
      <c r="L238" s="6"/>
      <c r="M238" s="4"/>
      <c r="N238" s="4"/>
      <c r="O238" s="4"/>
      <c r="P238" s="6"/>
      <c r="Q238" s="6"/>
      <c r="R238" s="6"/>
      <c r="S238" s="6"/>
      <c r="T238" s="4"/>
      <c r="U238" s="6"/>
      <c r="V238" s="6"/>
      <c r="W238" s="6"/>
      <c r="X238" s="6"/>
      <c r="Y238" s="4"/>
      <c r="Z238" s="6"/>
      <c r="AA238" s="4"/>
      <c r="AB238" s="4"/>
      <c r="AC238" s="4"/>
      <c r="AD238" s="6"/>
      <c r="AE238" s="4"/>
      <c r="AF238" s="4"/>
      <c r="AG238" s="4"/>
      <c r="AH238" s="4">
        <v>93317937642900</v>
      </c>
    </row>
    <row r="239" spans="1:34" x14ac:dyDescent="0.25">
      <c r="A239" s="4">
        <v>238</v>
      </c>
      <c r="B239" s="5" t="s">
        <v>566</v>
      </c>
      <c r="C239" s="5" t="s">
        <v>567</v>
      </c>
      <c r="D239" s="5" t="s">
        <v>23</v>
      </c>
      <c r="E239" s="5" t="s">
        <v>62</v>
      </c>
      <c r="F239" s="5" t="s">
        <v>71</v>
      </c>
      <c r="G239" s="5" t="s">
        <v>103</v>
      </c>
      <c r="H239" s="4"/>
      <c r="I239" s="4"/>
      <c r="J239" s="6"/>
      <c r="K239" s="6"/>
      <c r="L239" s="6"/>
      <c r="M239" s="4"/>
      <c r="N239" s="4"/>
      <c r="O239" s="4"/>
      <c r="P239" s="6"/>
      <c r="Q239" s="6"/>
      <c r="R239" s="6"/>
      <c r="S239" s="6"/>
      <c r="T239" s="4"/>
      <c r="U239" s="6"/>
      <c r="V239" s="6"/>
      <c r="W239" s="6"/>
      <c r="X239" s="6"/>
      <c r="Y239" s="4"/>
      <c r="Z239" s="6"/>
      <c r="AA239" s="4"/>
      <c r="AB239" s="4"/>
      <c r="AC239" s="4"/>
      <c r="AD239" s="6"/>
      <c r="AE239" s="4"/>
      <c r="AF239" s="4"/>
      <c r="AG239" s="4"/>
      <c r="AH239" s="4">
        <v>104189054607600</v>
      </c>
    </row>
    <row r="240" spans="1:34" x14ac:dyDescent="0.25">
      <c r="A240" s="4">
        <v>239</v>
      </c>
      <c r="B240" s="5" t="s">
        <v>568</v>
      </c>
      <c r="C240" s="5" t="s">
        <v>569</v>
      </c>
      <c r="D240" s="5" t="s">
        <v>23</v>
      </c>
      <c r="E240" s="5" t="s">
        <v>24</v>
      </c>
      <c r="F240" s="5" t="s">
        <v>56</v>
      </c>
      <c r="G240" s="5" t="s">
        <v>253</v>
      </c>
      <c r="H240" s="4"/>
      <c r="I240" s="4"/>
      <c r="J240" s="6"/>
      <c r="K240" s="6"/>
      <c r="L240" s="6"/>
      <c r="M240" s="4"/>
      <c r="N240" s="4"/>
      <c r="O240" s="4"/>
      <c r="P240" s="6"/>
      <c r="Q240" s="6"/>
      <c r="R240" s="6"/>
      <c r="S240" s="6"/>
      <c r="T240" s="4"/>
      <c r="U240" s="6"/>
      <c r="V240" s="6"/>
      <c r="W240" s="6"/>
      <c r="X240" s="6"/>
      <c r="Y240" s="4"/>
      <c r="Z240" s="6"/>
      <c r="AA240" s="4"/>
      <c r="AB240" s="4"/>
      <c r="AC240" s="4"/>
      <c r="AD240" s="6"/>
      <c r="AE240" s="4"/>
      <c r="AF240" s="4"/>
      <c r="AG240" s="4"/>
      <c r="AH240" s="4">
        <v>1409729541000</v>
      </c>
    </row>
    <row r="241" spans="1:34" x14ac:dyDescent="0.25">
      <c r="A241" s="4">
        <v>240</v>
      </c>
      <c r="B241" s="5" t="s">
        <v>570</v>
      </c>
      <c r="C241" s="5" t="s">
        <v>571</v>
      </c>
      <c r="D241" s="5" t="s">
        <v>23</v>
      </c>
      <c r="E241" s="5" t="s">
        <v>49</v>
      </c>
      <c r="F241" s="5" t="s">
        <v>49</v>
      </c>
      <c r="G241" s="5" t="s">
        <v>49</v>
      </c>
      <c r="H241" s="4"/>
      <c r="I241" s="4"/>
      <c r="J241" s="6"/>
      <c r="K241" s="6"/>
      <c r="L241" s="6"/>
      <c r="M241" s="4"/>
      <c r="N241" s="4"/>
      <c r="O241" s="4"/>
      <c r="P241" s="6"/>
      <c r="Q241" s="6"/>
      <c r="R241" s="6"/>
      <c r="S241" s="6"/>
      <c r="T241" s="4"/>
      <c r="U241" s="6"/>
      <c r="V241" s="6"/>
      <c r="W241" s="6"/>
      <c r="X241" s="6"/>
      <c r="Y241" s="4"/>
      <c r="Z241" s="6"/>
      <c r="AA241" s="4"/>
      <c r="AB241" s="4"/>
      <c r="AC241" s="4"/>
      <c r="AD241" s="6"/>
      <c r="AE241" s="4">
        <v>2122128000000</v>
      </c>
      <c r="AF241" s="4">
        <v>4234290000000</v>
      </c>
      <c r="AG241" s="4">
        <v>6289064000000</v>
      </c>
      <c r="AH241" s="4">
        <v>26661455182700</v>
      </c>
    </row>
    <row r="242" spans="1:34" x14ac:dyDescent="0.25">
      <c r="A242" s="4">
        <v>241</v>
      </c>
      <c r="B242" s="5" t="s">
        <v>572</v>
      </c>
      <c r="C242" s="5" t="s">
        <v>573</v>
      </c>
      <c r="D242" s="5" t="s">
        <v>23</v>
      </c>
      <c r="E242" s="5" t="s">
        <v>29</v>
      </c>
      <c r="F242" s="5" t="s">
        <v>30</v>
      </c>
      <c r="G242" s="5" t="s">
        <v>574</v>
      </c>
      <c r="H242" s="4"/>
      <c r="I242" s="4"/>
      <c r="J242" s="6"/>
      <c r="K242" s="6"/>
      <c r="L242" s="6"/>
      <c r="M242" s="4"/>
      <c r="N242" s="4"/>
      <c r="O242" s="4"/>
      <c r="P242" s="6"/>
      <c r="Q242" s="6"/>
      <c r="R242" s="6"/>
      <c r="S242" s="6"/>
      <c r="T242" s="4"/>
      <c r="U242" s="6"/>
      <c r="V242" s="6"/>
      <c r="W242" s="6"/>
      <c r="X242" s="6"/>
      <c r="Y242" s="4"/>
      <c r="Z242" s="6"/>
      <c r="AA242" s="4"/>
      <c r="AB242" s="4"/>
      <c r="AC242" s="4"/>
      <c r="AD242" s="6"/>
      <c r="AE242" s="4"/>
      <c r="AF242" s="4"/>
      <c r="AG242" s="4"/>
      <c r="AH242" s="4">
        <v>2988740309200</v>
      </c>
    </row>
    <row r="243" spans="1:34" x14ac:dyDescent="0.25">
      <c r="A243" s="4">
        <v>242</v>
      </c>
      <c r="B243" s="5" t="s">
        <v>575</v>
      </c>
      <c r="C243" s="5" t="s">
        <v>576</v>
      </c>
      <c r="D243" s="5" t="s">
        <v>23</v>
      </c>
      <c r="E243" s="5" t="s">
        <v>40</v>
      </c>
      <c r="F243" s="5" t="s">
        <v>52</v>
      </c>
      <c r="G243" s="5" t="s">
        <v>53</v>
      </c>
      <c r="H243" s="4">
        <v>16527641225</v>
      </c>
      <c r="I243" s="4">
        <v>33037870952</v>
      </c>
      <c r="J243" s="6">
        <v>-0.58840000000000003</v>
      </c>
      <c r="K243" s="6">
        <v>-0.54910000000000003</v>
      </c>
      <c r="L243" s="6">
        <v>-0.5524</v>
      </c>
      <c r="M243" s="4">
        <v>10422305525</v>
      </c>
      <c r="N243" s="4">
        <v>12222897923</v>
      </c>
      <c r="O243" s="4"/>
      <c r="P243" s="6">
        <v>6.1100000000000002E-2</v>
      </c>
      <c r="Q243" s="6">
        <v>1.35E-2</v>
      </c>
      <c r="R243" s="6">
        <v>-0.23830000000000001</v>
      </c>
      <c r="S243" s="6">
        <v>4.7882999999999996</v>
      </c>
      <c r="T243" s="4"/>
      <c r="U243" s="6">
        <v>0</v>
      </c>
      <c r="V243" s="6">
        <v>0</v>
      </c>
      <c r="W243" s="6">
        <v>0</v>
      </c>
      <c r="X243" s="6">
        <v>0.08</v>
      </c>
      <c r="Y243" s="4"/>
      <c r="Z243" s="6">
        <v>1.1000000000000001E-3</v>
      </c>
      <c r="AA243" s="4"/>
      <c r="AB243" s="4"/>
      <c r="AC243" s="4"/>
      <c r="AD243" s="6">
        <v>0</v>
      </c>
      <c r="AE243" s="4"/>
      <c r="AF243" s="4"/>
      <c r="AG243" s="4"/>
      <c r="AH243" s="4">
        <v>119999700000</v>
      </c>
    </row>
    <row r="244" spans="1:34" x14ac:dyDescent="0.25">
      <c r="A244" s="4">
        <v>243</v>
      </c>
      <c r="B244" s="5" t="s">
        <v>577</v>
      </c>
      <c r="C244" s="5" t="s">
        <v>578</v>
      </c>
      <c r="D244" s="5" t="s">
        <v>23</v>
      </c>
      <c r="E244" s="5" t="s">
        <v>75</v>
      </c>
      <c r="F244" s="5" t="s">
        <v>76</v>
      </c>
      <c r="G244" s="5" t="s">
        <v>76</v>
      </c>
      <c r="H244" s="4"/>
      <c r="I244" s="4"/>
      <c r="J244" s="6"/>
      <c r="K244" s="6"/>
      <c r="L244" s="6"/>
      <c r="M244" s="4"/>
      <c r="N244" s="4"/>
      <c r="O244" s="4"/>
      <c r="P244" s="6"/>
      <c r="Q244" s="6"/>
      <c r="R244" s="6"/>
      <c r="S244" s="6"/>
      <c r="T244" s="4"/>
      <c r="U244" s="6"/>
      <c r="V244" s="6"/>
      <c r="W244" s="6"/>
      <c r="X244" s="6"/>
      <c r="Y244" s="4"/>
      <c r="Z244" s="6"/>
      <c r="AA244" s="4"/>
      <c r="AB244" s="4"/>
      <c r="AC244" s="4"/>
      <c r="AD244" s="6"/>
      <c r="AE244" s="4"/>
      <c r="AF244" s="4"/>
      <c r="AG244" s="4"/>
      <c r="AH244" s="4">
        <v>1713109934800</v>
      </c>
    </row>
    <row r="245" spans="1:34" x14ac:dyDescent="0.25">
      <c r="A245" s="4">
        <v>244</v>
      </c>
      <c r="B245" s="5" t="s">
        <v>579</v>
      </c>
      <c r="C245" s="5" t="s">
        <v>580</v>
      </c>
      <c r="D245" s="5" t="s">
        <v>23</v>
      </c>
      <c r="E245" s="5" t="s">
        <v>40</v>
      </c>
      <c r="F245" s="5" t="s">
        <v>41</v>
      </c>
      <c r="G245" s="5" t="s">
        <v>93</v>
      </c>
      <c r="H245" s="4">
        <v>319204342934</v>
      </c>
      <c r="I245" s="4">
        <v>611885785986</v>
      </c>
      <c r="J245" s="6">
        <v>0.13830000000000001</v>
      </c>
      <c r="K245" s="6">
        <v>0.17299999999999999</v>
      </c>
      <c r="L245" s="6">
        <v>0.23180000000000001</v>
      </c>
      <c r="M245" s="4">
        <v>112925570277</v>
      </c>
      <c r="N245" s="4">
        <v>218912268600</v>
      </c>
      <c r="O245" s="4"/>
      <c r="P245" s="6">
        <v>0.32250000000000001</v>
      </c>
      <c r="Q245" s="6">
        <v>0.46129999999999999</v>
      </c>
      <c r="R245" s="6">
        <v>0.50549999999999995</v>
      </c>
      <c r="S245" s="6">
        <v>6.5500000000000003E-2</v>
      </c>
      <c r="T245" s="4"/>
      <c r="U245" s="6">
        <v>-0.53469999999999995</v>
      </c>
      <c r="V245" s="6">
        <v>-0.49209999999999998</v>
      </c>
      <c r="W245" s="6">
        <v>-0.4879</v>
      </c>
      <c r="X245" s="6">
        <v>0.1065</v>
      </c>
      <c r="Y245" s="4"/>
      <c r="Z245" s="6">
        <v>9.06E-2</v>
      </c>
      <c r="AA245" s="4"/>
      <c r="AB245" s="4"/>
      <c r="AC245" s="4"/>
      <c r="AD245" s="6">
        <v>0</v>
      </c>
      <c r="AE245" s="4"/>
      <c r="AF245" s="4"/>
      <c r="AG245" s="4"/>
      <c r="AH245" s="4">
        <v>2456962234800</v>
      </c>
    </row>
    <row r="246" spans="1:34" x14ac:dyDescent="0.25">
      <c r="A246" s="4">
        <v>245</v>
      </c>
      <c r="B246" s="5" t="s">
        <v>581</v>
      </c>
      <c r="C246" s="5" t="s">
        <v>582</v>
      </c>
      <c r="D246" s="5" t="s">
        <v>23</v>
      </c>
      <c r="E246" s="5" t="s">
        <v>40</v>
      </c>
      <c r="F246" s="5" t="s">
        <v>52</v>
      </c>
      <c r="G246" s="5" t="s">
        <v>110</v>
      </c>
      <c r="H246" s="4">
        <v>4750210692</v>
      </c>
      <c r="I246" s="4">
        <v>19092474831</v>
      </c>
      <c r="J246" s="6">
        <v>-0.93700000000000006</v>
      </c>
      <c r="K246" s="6">
        <v>-0.88900000000000001</v>
      </c>
      <c r="L246" s="6">
        <v>-0.78990000000000005</v>
      </c>
      <c r="M246" s="4">
        <v>-9042916441</v>
      </c>
      <c r="N246" s="4">
        <v>-8346826731</v>
      </c>
      <c r="O246" s="4"/>
      <c r="P246" s="6">
        <v>-1.6138999999999999</v>
      </c>
      <c r="Q246" s="6">
        <v>-1.171</v>
      </c>
      <c r="R246" s="6">
        <v>-1.1073</v>
      </c>
      <c r="S246" s="6">
        <v>-13.991</v>
      </c>
      <c r="T246" s="4"/>
      <c r="U246" s="6">
        <v>-0.92659999999999998</v>
      </c>
      <c r="V246" s="6">
        <v>-1.1308</v>
      </c>
      <c r="W246" s="6">
        <v>-1.1669</v>
      </c>
      <c r="X246" s="6">
        <v>0</v>
      </c>
      <c r="Y246" s="4"/>
      <c r="Z246" s="6">
        <v>-0.66879999999999995</v>
      </c>
      <c r="AA246" s="4"/>
      <c r="AB246" s="4"/>
      <c r="AC246" s="4"/>
      <c r="AD246" s="6">
        <v>0</v>
      </c>
      <c r="AE246" s="4"/>
      <c r="AF246" s="4"/>
      <c r="AG246" s="4"/>
      <c r="AH246" s="4">
        <v>592235742090</v>
      </c>
    </row>
    <row r="247" spans="1:34" x14ac:dyDescent="0.25">
      <c r="A247" s="4">
        <v>246</v>
      </c>
      <c r="B247" s="5" t="s">
        <v>583</v>
      </c>
      <c r="C247" s="5" t="s">
        <v>584</v>
      </c>
      <c r="D247" s="5" t="s">
        <v>23</v>
      </c>
      <c r="E247" s="5" t="s">
        <v>24</v>
      </c>
      <c r="F247" s="5" t="s">
        <v>25</v>
      </c>
      <c r="G247" s="5" t="s">
        <v>26</v>
      </c>
      <c r="H247" s="4"/>
      <c r="I247" s="4"/>
      <c r="J247" s="6"/>
      <c r="K247" s="6"/>
      <c r="L247" s="6"/>
      <c r="M247" s="4"/>
      <c r="N247" s="4"/>
      <c r="O247" s="4"/>
      <c r="P247" s="6"/>
      <c r="Q247" s="6"/>
      <c r="R247" s="6"/>
      <c r="S247" s="6"/>
      <c r="T247" s="4"/>
      <c r="U247" s="6"/>
      <c r="V247" s="6"/>
      <c r="W247" s="6"/>
      <c r="X247" s="6"/>
      <c r="Y247" s="4"/>
      <c r="Z247" s="6"/>
      <c r="AA247" s="4"/>
      <c r="AB247" s="4"/>
      <c r="AC247" s="4"/>
      <c r="AD247" s="6"/>
      <c r="AE247" s="4"/>
      <c r="AF247" s="4"/>
      <c r="AG247" s="4"/>
      <c r="AH247" s="4">
        <v>1117213960000</v>
      </c>
    </row>
    <row r="248" spans="1:34" x14ac:dyDescent="0.25">
      <c r="A248" s="4">
        <v>247</v>
      </c>
      <c r="B248" s="5" t="s">
        <v>585</v>
      </c>
      <c r="C248" s="5" t="s">
        <v>586</v>
      </c>
      <c r="D248" s="5" t="s">
        <v>23</v>
      </c>
      <c r="E248" s="5" t="s">
        <v>29</v>
      </c>
      <c r="F248" s="5" t="s">
        <v>36</v>
      </c>
      <c r="G248" s="5" t="s">
        <v>587</v>
      </c>
      <c r="H248" s="4"/>
      <c r="I248" s="4"/>
      <c r="J248" s="6"/>
      <c r="K248" s="6"/>
      <c r="L248" s="6"/>
      <c r="M248" s="4"/>
      <c r="N248" s="4"/>
      <c r="O248" s="4"/>
      <c r="P248" s="6"/>
      <c r="Q248" s="6"/>
      <c r="R248" s="6"/>
      <c r="S248" s="6"/>
      <c r="T248" s="4"/>
      <c r="U248" s="6"/>
      <c r="V248" s="6"/>
      <c r="W248" s="6"/>
      <c r="X248" s="6"/>
      <c r="Y248" s="4"/>
      <c r="Z248" s="6"/>
      <c r="AA248" s="4"/>
      <c r="AB248" s="4"/>
      <c r="AC248" s="4"/>
      <c r="AD248" s="6"/>
      <c r="AE248" s="4"/>
      <c r="AF248" s="4"/>
      <c r="AG248" s="4"/>
      <c r="AH248" s="4">
        <v>272441972300</v>
      </c>
    </row>
    <row r="249" spans="1:34" x14ac:dyDescent="0.25">
      <c r="A249" s="4">
        <v>248</v>
      </c>
      <c r="B249" s="5" t="s">
        <v>588</v>
      </c>
      <c r="C249" s="5" t="s">
        <v>589</v>
      </c>
      <c r="D249" s="5" t="s">
        <v>23</v>
      </c>
      <c r="E249" s="5" t="s">
        <v>24</v>
      </c>
      <c r="F249" s="5" t="s">
        <v>56</v>
      </c>
      <c r="G249" s="5" t="s">
        <v>291</v>
      </c>
      <c r="H249" s="4"/>
      <c r="I249" s="4"/>
      <c r="J249" s="6"/>
      <c r="K249" s="6"/>
      <c r="L249" s="6"/>
      <c r="M249" s="4"/>
      <c r="N249" s="4"/>
      <c r="O249" s="4"/>
      <c r="P249" s="6"/>
      <c r="Q249" s="6"/>
      <c r="R249" s="6"/>
      <c r="S249" s="6"/>
      <c r="T249" s="4"/>
      <c r="U249" s="6"/>
      <c r="V249" s="6"/>
      <c r="W249" s="6"/>
      <c r="X249" s="6"/>
      <c r="Y249" s="4"/>
      <c r="Z249" s="6"/>
      <c r="AA249" s="4"/>
      <c r="AB249" s="4"/>
      <c r="AC249" s="4"/>
      <c r="AD249" s="6"/>
      <c r="AE249" s="4"/>
      <c r="AF249" s="4"/>
      <c r="AG249" s="4"/>
      <c r="AH249" s="4">
        <v>5169401590500</v>
      </c>
    </row>
    <row r="250" spans="1:34" x14ac:dyDescent="0.25">
      <c r="A250" s="4">
        <v>249</v>
      </c>
      <c r="B250" s="5" t="s">
        <v>590</v>
      </c>
      <c r="C250" s="5" t="s">
        <v>591</v>
      </c>
      <c r="D250" s="5" t="s">
        <v>23</v>
      </c>
      <c r="E250" s="5" t="s">
        <v>75</v>
      </c>
      <c r="F250" s="5" t="s">
        <v>76</v>
      </c>
      <c r="G250" s="5" t="s">
        <v>76</v>
      </c>
      <c r="H250" s="4"/>
      <c r="I250" s="4"/>
      <c r="J250" s="6"/>
      <c r="K250" s="6"/>
      <c r="L250" s="6"/>
      <c r="M250" s="4"/>
      <c r="N250" s="4"/>
      <c r="O250" s="4"/>
      <c r="P250" s="6"/>
      <c r="Q250" s="6"/>
      <c r="R250" s="6"/>
      <c r="S250" s="6"/>
      <c r="T250" s="4"/>
      <c r="U250" s="6"/>
      <c r="V250" s="6"/>
      <c r="W250" s="6"/>
      <c r="X250" s="6"/>
      <c r="Y250" s="4"/>
      <c r="Z250" s="6"/>
      <c r="AA250" s="4"/>
      <c r="AB250" s="4"/>
      <c r="AC250" s="4"/>
      <c r="AD250" s="6"/>
      <c r="AE250" s="4"/>
      <c r="AF250" s="4"/>
      <c r="AG250" s="4"/>
      <c r="AH250" s="4">
        <v>10987455724950</v>
      </c>
    </row>
    <row r="251" spans="1:34" x14ac:dyDescent="0.25">
      <c r="A251" s="4">
        <v>250</v>
      </c>
      <c r="B251" s="5" t="s">
        <v>592</v>
      </c>
      <c r="C251" s="5" t="s">
        <v>593</v>
      </c>
      <c r="D251" s="5" t="s">
        <v>23</v>
      </c>
      <c r="E251" s="5" t="s">
        <v>40</v>
      </c>
      <c r="F251" s="5" t="s">
        <v>52</v>
      </c>
      <c r="G251" s="5" t="s">
        <v>53</v>
      </c>
      <c r="H251" s="4">
        <v>132357383911</v>
      </c>
      <c r="I251" s="4">
        <v>252702432976</v>
      </c>
      <c r="J251" s="6">
        <v>0.44679999999999997</v>
      </c>
      <c r="K251" s="6">
        <v>0.56359999999999999</v>
      </c>
      <c r="L251" s="6">
        <v>0.48209999999999997</v>
      </c>
      <c r="M251" s="4">
        <v>46383161319</v>
      </c>
      <c r="N251" s="4">
        <v>85990077268</v>
      </c>
      <c r="O251" s="4"/>
      <c r="P251" s="6">
        <v>0.3196</v>
      </c>
      <c r="Q251" s="6">
        <v>0.67320000000000002</v>
      </c>
      <c r="R251" s="6">
        <v>0.94179999999999997</v>
      </c>
      <c r="S251" s="6">
        <v>0.1711</v>
      </c>
      <c r="T251" s="4"/>
      <c r="U251" s="6">
        <v>-0.29799999999999999</v>
      </c>
      <c r="V251" s="6">
        <v>-0.104</v>
      </c>
      <c r="W251" s="6">
        <v>-0.1043</v>
      </c>
      <c r="X251" s="6">
        <v>0</v>
      </c>
      <c r="Y251" s="4"/>
      <c r="Z251" s="6">
        <v>9.98E-2</v>
      </c>
      <c r="AA251" s="4"/>
      <c r="AB251" s="4"/>
      <c r="AC251" s="4"/>
      <c r="AD251" s="6">
        <v>0</v>
      </c>
      <c r="AE251" s="4"/>
      <c r="AF251" s="4"/>
      <c r="AG251" s="4"/>
      <c r="AH251" s="4">
        <v>938176000000</v>
      </c>
    </row>
    <row r="252" spans="1:34" x14ac:dyDescent="0.25">
      <c r="A252" s="4">
        <v>251</v>
      </c>
      <c r="B252" s="5" t="s">
        <v>594</v>
      </c>
      <c r="C252" s="5" t="s">
        <v>595</v>
      </c>
      <c r="D252" s="5" t="s">
        <v>23</v>
      </c>
      <c r="E252" s="5" t="s">
        <v>40</v>
      </c>
      <c r="F252" s="5" t="s">
        <v>41</v>
      </c>
      <c r="G252" s="5" t="s">
        <v>519</v>
      </c>
      <c r="H252" s="4"/>
      <c r="I252" s="4"/>
      <c r="J252" s="6"/>
      <c r="K252" s="6"/>
      <c r="L252" s="6"/>
      <c r="M252" s="4"/>
      <c r="N252" s="4"/>
      <c r="O252" s="4"/>
      <c r="P252" s="6"/>
      <c r="Q252" s="6"/>
      <c r="R252" s="6"/>
      <c r="S252" s="6"/>
      <c r="T252" s="4"/>
      <c r="U252" s="6"/>
      <c r="V252" s="6"/>
      <c r="W252" s="6"/>
      <c r="X252" s="6"/>
      <c r="Y252" s="4"/>
      <c r="Z252" s="6"/>
      <c r="AA252" s="4"/>
      <c r="AB252" s="4"/>
      <c r="AC252" s="4"/>
      <c r="AD252" s="6"/>
      <c r="AE252" s="4"/>
      <c r="AF252" s="4"/>
      <c r="AG252" s="4"/>
      <c r="AH252" s="4">
        <v>122506994040</v>
      </c>
    </row>
    <row r="253" spans="1:34" x14ac:dyDescent="0.25">
      <c r="A253" s="4">
        <v>252</v>
      </c>
      <c r="B253" s="5" t="s">
        <v>596</v>
      </c>
      <c r="C253" s="5" t="s">
        <v>597</v>
      </c>
      <c r="D253" s="5" t="s">
        <v>23</v>
      </c>
      <c r="E253" s="5" t="s">
        <v>29</v>
      </c>
      <c r="F253" s="5" t="s">
        <v>30</v>
      </c>
      <c r="G253" s="5" t="s">
        <v>31</v>
      </c>
      <c r="H253" s="4"/>
      <c r="I253" s="4"/>
      <c r="J253" s="6"/>
      <c r="K253" s="6"/>
      <c r="L253" s="6"/>
      <c r="M253" s="4"/>
      <c r="N253" s="4"/>
      <c r="O253" s="4"/>
      <c r="P253" s="6"/>
      <c r="Q253" s="6"/>
      <c r="R253" s="6"/>
      <c r="S253" s="6"/>
      <c r="T253" s="4"/>
      <c r="U253" s="6"/>
      <c r="V253" s="6"/>
      <c r="W253" s="6"/>
      <c r="X253" s="6"/>
      <c r="Y253" s="4"/>
      <c r="Z253" s="6"/>
      <c r="AA253" s="4"/>
      <c r="AB253" s="4"/>
      <c r="AC253" s="4"/>
      <c r="AD253" s="6"/>
      <c r="AE253" s="4"/>
      <c r="AF253" s="4"/>
      <c r="AG253" s="4"/>
      <c r="AH253" s="4">
        <v>1230216120000</v>
      </c>
    </row>
    <row r="254" spans="1:34" x14ac:dyDescent="0.25">
      <c r="A254" s="4">
        <v>253</v>
      </c>
      <c r="B254" s="5" t="s">
        <v>598</v>
      </c>
      <c r="C254" s="5" t="s">
        <v>599</v>
      </c>
      <c r="D254" s="5" t="s">
        <v>23</v>
      </c>
      <c r="E254" s="5" t="s">
        <v>98</v>
      </c>
      <c r="F254" s="5" t="s">
        <v>99</v>
      </c>
      <c r="G254" s="5" t="s">
        <v>144</v>
      </c>
      <c r="H254" s="4">
        <v>2824544836484</v>
      </c>
      <c r="I254" s="4">
        <v>4996203194476</v>
      </c>
      <c r="J254" s="6">
        <v>0.35709999999999997</v>
      </c>
      <c r="K254" s="6">
        <v>0.42420000000000002</v>
      </c>
      <c r="L254" s="6">
        <v>0.42070000000000002</v>
      </c>
      <c r="M254" s="4">
        <v>402997781475</v>
      </c>
      <c r="N254" s="4">
        <v>582975815497</v>
      </c>
      <c r="O254" s="4"/>
      <c r="P254" s="6">
        <v>0.23530000000000001</v>
      </c>
      <c r="Q254" s="6">
        <v>0.60509999999999997</v>
      </c>
      <c r="R254" s="6">
        <v>1.5945</v>
      </c>
      <c r="S254" s="6">
        <v>1.2391000000000001</v>
      </c>
      <c r="T254" s="4"/>
      <c r="U254" s="6">
        <v>-0.38850000000000001</v>
      </c>
      <c r="V254" s="6">
        <v>0.35149999999999998</v>
      </c>
      <c r="W254" s="6">
        <v>0.35580000000000001</v>
      </c>
      <c r="X254" s="6">
        <v>7.0800000000000002E-2</v>
      </c>
      <c r="Y254" s="4"/>
      <c r="Z254" s="6">
        <v>0.30059999999999998</v>
      </c>
      <c r="AA254" s="4"/>
      <c r="AB254" s="4"/>
      <c r="AC254" s="4"/>
      <c r="AD254" s="6">
        <v>0</v>
      </c>
      <c r="AE254" s="4"/>
      <c r="AF254" s="4"/>
      <c r="AG254" s="4"/>
      <c r="AH254" s="4">
        <v>6102971814800</v>
      </c>
    </row>
    <row r="255" spans="1:34" x14ac:dyDescent="0.25">
      <c r="A255" s="4">
        <v>254</v>
      </c>
      <c r="B255" s="5" t="s">
        <v>600</v>
      </c>
      <c r="C255" s="5" t="s">
        <v>601</v>
      </c>
      <c r="D255" s="5" t="s">
        <v>23</v>
      </c>
      <c r="E255" s="5" t="s">
        <v>75</v>
      </c>
      <c r="F255" s="5" t="s">
        <v>76</v>
      </c>
      <c r="G255" s="5" t="s">
        <v>76</v>
      </c>
      <c r="H255" s="4">
        <v>81774101631</v>
      </c>
      <c r="I255" s="4">
        <v>163556985988</v>
      </c>
      <c r="J255" s="6">
        <v>-0.42909999999999998</v>
      </c>
      <c r="K255" s="6">
        <v>-0.4103</v>
      </c>
      <c r="L255" s="6">
        <v>-0.2079</v>
      </c>
      <c r="M255" s="4">
        <v>131929756644</v>
      </c>
      <c r="N255" s="4">
        <v>171067240217</v>
      </c>
      <c r="O255" s="4"/>
      <c r="P255" s="6">
        <v>0.32390000000000002</v>
      </c>
      <c r="Q255" s="6">
        <v>1.43E-2</v>
      </c>
      <c r="R255" s="6">
        <v>-0.25390000000000001</v>
      </c>
      <c r="S255" s="6">
        <v>2.3708999999999998</v>
      </c>
      <c r="T255" s="4"/>
      <c r="U255" s="6">
        <v>-0.70030000000000003</v>
      </c>
      <c r="V255" s="6">
        <v>-0.33460000000000001</v>
      </c>
      <c r="W255" s="6">
        <v>-0.2445</v>
      </c>
      <c r="X255" s="6">
        <v>0</v>
      </c>
      <c r="Y255" s="4"/>
      <c r="Z255" s="6">
        <v>-1E-4</v>
      </c>
      <c r="AA255" s="4"/>
      <c r="AB255" s="4"/>
      <c r="AC255" s="4"/>
      <c r="AD255" s="6">
        <v>0</v>
      </c>
      <c r="AE255" s="4"/>
      <c r="AF255" s="4"/>
      <c r="AG255" s="4"/>
      <c r="AH255" s="4">
        <v>3112797406000</v>
      </c>
    </row>
    <row r="256" spans="1:34" x14ac:dyDescent="0.25">
      <c r="A256" s="4">
        <v>255</v>
      </c>
      <c r="B256" s="5" t="s">
        <v>602</v>
      </c>
      <c r="C256" s="5" t="s">
        <v>603</v>
      </c>
      <c r="D256" s="5" t="s">
        <v>23</v>
      </c>
      <c r="E256" s="5" t="s">
        <v>75</v>
      </c>
      <c r="F256" s="5" t="s">
        <v>76</v>
      </c>
      <c r="G256" s="5" t="s">
        <v>76</v>
      </c>
      <c r="H256" s="4"/>
      <c r="I256" s="4"/>
      <c r="J256" s="6"/>
      <c r="K256" s="6"/>
      <c r="L256" s="6"/>
      <c r="M256" s="4"/>
      <c r="N256" s="4"/>
      <c r="O256" s="4"/>
      <c r="P256" s="6"/>
      <c r="Q256" s="6"/>
      <c r="R256" s="6"/>
      <c r="S256" s="6"/>
      <c r="T256" s="4"/>
      <c r="U256" s="6"/>
      <c r="V256" s="6"/>
      <c r="W256" s="6"/>
      <c r="X256" s="6"/>
      <c r="Y256" s="4"/>
      <c r="Z256" s="6"/>
      <c r="AA256" s="4"/>
      <c r="AB256" s="4"/>
      <c r="AC256" s="4"/>
      <c r="AD256" s="6"/>
      <c r="AE256" s="4"/>
      <c r="AF256" s="4"/>
      <c r="AG256" s="4"/>
      <c r="AH256" s="4">
        <v>1774807545000</v>
      </c>
    </row>
    <row r="257" spans="1:34" x14ac:dyDescent="0.25">
      <c r="A257" s="4">
        <v>256</v>
      </c>
      <c r="B257" s="5" t="s">
        <v>604</v>
      </c>
      <c r="C257" s="5" t="s">
        <v>605</v>
      </c>
      <c r="D257" s="5" t="s">
        <v>23</v>
      </c>
      <c r="E257" s="5" t="s">
        <v>75</v>
      </c>
      <c r="F257" s="5" t="s">
        <v>76</v>
      </c>
      <c r="G257" s="5" t="s">
        <v>76</v>
      </c>
      <c r="H257" s="4"/>
      <c r="I257" s="4"/>
      <c r="J257" s="6"/>
      <c r="K257" s="6"/>
      <c r="L257" s="6"/>
      <c r="M257" s="4"/>
      <c r="N257" s="4"/>
      <c r="O257" s="4"/>
      <c r="P257" s="6"/>
      <c r="Q257" s="6"/>
      <c r="R257" s="6"/>
      <c r="S257" s="6"/>
      <c r="T257" s="4"/>
      <c r="U257" s="6"/>
      <c r="V257" s="6"/>
      <c r="W257" s="6"/>
      <c r="X257" s="6"/>
      <c r="Y257" s="4"/>
      <c r="Z257" s="6"/>
      <c r="AA257" s="4"/>
      <c r="AB257" s="4"/>
      <c r="AC257" s="4"/>
      <c r="AD257" s="6"/>
      <c r="AE257" s="4"/>
      <c r="AF257" s="4"/>
      <c r="AG257" s="4"/>
      <c r="AH257" s="4">
        <v>30266056447200</v>
      </c>
    </row>
    <row r="258" spans="1:34" x14ac:dyDescent="0.25">
      <c r="A258" s="4">
        <v>257</v>
      </c>
      <c r="B258" s="5" t="s">
        <v>606</v>
      </c>
      <c r="C258" s="5" t="s">
        <v>607</v>
      </c>
      <c r="D258" s="5" t="s">
        <v>23</v>
      </c>
      <c r="E258" s="5" t="s">
        <v>75</v>
      </c>
      <c r="F258" s="5" t="s">
        <v>76</v>
      </c>
      <c r="G258" s="5" t="s">
        <v>76</v>
      </c>
      <c r="H258" s="4"/>
      <c r="I258" s="4"/>
      <c r="J258" s="6"/>
      <c r="K258" s="6"/>
      <c r="L258" s="6"/>
      <c r="M258" s="4"/>
      <c r="N258" s="4"/>
      <c r="O258" s="4"/>
      <c r="P258" s="6"/>
      <c r="Q258" s="6"/>
      <c r="R258" s="6"/>
      <c r="S258" s="6"/>
      <c r="T258" s="4"/>
      <c r="U258" s="6"/>
      <c r="V258" s="6"/>
      <c r="W258" s="6"/>
      <c r="X258" s="6"/>
      <c r="Y258" s="4"/>
      <c r="Z258" s="6"/>
      <c r="AA258" s="4"/>
      <c r="AB258" s="4"/>
      <c r="AC258" s="4"/>
      <c r="AD258" s="6"/>
      <c r="AE258" s="4"/>
      <c r="AF258" s="4"/>
      <c r="AG258" s="4"/>
      <c r="AH258" s="4">
        <v>674225000000</v>
      </c>
    </row>
    <row r="259" spans="1:34" x14ac:dyDescent="0.25">
      <c r="A259" s="4">
        <v>258</v>
      </c>
      <c r="B259" s="5" t="s">
        <v>608</v>
      </c>
      <c r="C259" s="5" t="s">
        <v>609</v>
      </c>
      <c r="D259" s="5" t="s">
        <v>23</v>
      </c>
      <c r="E259" s="5" t="s">
        <v>49</v>
      </c>
      <c r="F259" s="5" t="s">
        <v>49</v>
      </c>
      <c r="G259" s="5" t="s">
        <v>49</v>
      </c>
      <c r="H259" s="4"/>
      <c r="I259" s="4"/>
      <c r="J259" s="6"/>
      <c r="K259" s="6"/>
      <c r="L259" s="6"/>
      <c r="M259" s="4"/>
      <c r="N259" s="4"/>
      <c r="O259" s="4"/>
      <c r="P259" s="6"/>
      <c r="Q259" s="6"/>
      <c r="R259" s="6"/>
      <c r="S259" s="6"/>
      <c r="T259" s="4"/>
      <c r="U259" s="6"/>
      <c r="V259" s="6"/>
      <c r="W259" s="6"/>
      <c r="X259" s="6"/>
      <c r="Y259" s="4"/>
      <c r="Z259" s="6"/>
      <c r="AA259" s="4"/>
      <c r="AB259" s="4"/>
      <c r="AC259" s="4"/>
      <c r="AD259" s="6"/>
      <c r="AE259" s="4">
        <v>2179122847119</v>
      </c>
      <c r="AF259" s="4">
        <v>4342685730499</v>
      </c>
      <c r="AG259" s="4">
        <v>6766905020593</v>
      </c>
      <c r="AH259" s="4">
        <v>31390728791500</v>
      </c>
    </row>
    <row r="260" spans="1:34" x14ac:dyDescent="0.25">
      <c r="A260" s="4">
        <v>259</v>
      </c>
      <c r="B260" s="5" t="s">
        <v>610</v>
      </c>
      <c r="C260" s="5" t="s">
        <v>611</v>
      </c>
      <c r="D260" s="5" t="s">
        <v>23</v>
      </c>
      <c r="E260" s="5" t="s">
        <v>75</v>
      </c>
      <c r="F260" s="5" t="s">
        <v>79</v>
      </c>
      <c r="G260" s="5" t="s">
        <v>612</v>
      </c>
      <c r="H260" s="4"/>
      <c r="I260" s="4"/>
      <c r="J260" s="6"/>
      <c r="K260" s="6"/>
      <c r="L260" s="6"/>
      <c r="M260" s="4"/>
      <c r="N260" s="4"/>
      <c r="O260" s="4"/>
      <c r="P260" s="6"/>
      <c r="Q260" s="6"/>
      <c r="R260" s="6"/>
      <c r="S260" s="6"/>
      <c r="T260" s="4"/>
      <c r="U260" s="6"/>
      <c r="V260" s="6"/>
      <c r="W260" s="6"/>
      <c r="X260" s="6"/>
      <c r="Y260" s="4"/>
      <c r="Z260" s="6"/>
      <c r="AA260" s="4"/>
      <c r="AB260" s="4"/>
      <c r="AC260" s="4"/>
      <c r="AD260" s="6"/>
      <c r="AE260" s="4"/>
      <c r="AF260" s="4"/>
      <c r="AG260" s="4"/>
      <c r="AH260" s="4">
        <v>644999997850</v>
      </c>
    </row>
    <row r="261" spans="1:34" x14ac:dyDescent="0.25">
      <c r="A261" s="4">
        <v>260</v>
      </c>
      <c r="B261" s="5" t="s">
        <v>613</v>
      </c>
      <c r="C261" s="5" t="s">
        <v>614</v>
      </c>
      <c r="D261" s="5" t="s">
        <v>23</v>
      </c>
      <c r="E261" s="5" t="s">
        <v>234</v>
      </c>
      <c r="F261" s="5" t="s">
        <v>235</v>
      </c>
      <c r="G261" s="5" t="s">
        <v>236</v>
      </c>
      <c r="H261" s="4"/>
      <c r="I261" s="4"/>
      <c r="J261" s="6"/>
      <c r="K261" s="6"/>
      <c r="L261" s="6"/>
      <c r="M261" s="4"/>
      <c r="N261" s="4"/>
      <c r="O261" s="4"/>
      <c r="P261" s="6"/>
      <c r="Q261" s="6"/>
      <c r="R261" s="6"/>
      <c r="S261" s="6"/>
      <c r="T261" s="4"/>
      <c r="U261" s="6"/>
      <c r="V261" s="6"/>
      <c r="W261" s="6"/>
      <c r="X261" s="6"/>
      <c r="Y261" s="4"/>
      <c r="Z261" s="6"/>
      <c r="AA261" s="4"/>
      <c r="AB261" s="4"/>
      <c r="AC261" s="4"/>
      <c r="AD261" s="6"/>
      <c r="AE261" s="4"/>
      <c r="AF261" s="4"/>
      <c r="AG261" s="4"/>
      <c r="AH261" s="4">
        <v>1573730403000</v>
      </c>
    </row>
    <row r="262" spans="1:34" x14ac:dyDescent="0.25">
      <c r="A262" s="4">
        <v>261</v>
      </c>
      <c r="B262" s="5" t="s">
        <v>615</v>
      </c>
      <c r="C262" s="5" t="s">
        <v>616</v>
      </c>
      <c r="D262" s="5" t="s">
        <v>23</v>
      </c>
      <c r="E262" s="5" t="s">
        <v>75</v>
      </c>
      <c r="F262" s="5" t="s">
        <v>79</v>
      </c>
      <c r="G262" s="5" t="s">
        <v>80</v>
      </c>
      <c r="H262" s="4">
        <v>365688020078</v>
      </c>
      <c r="I262" s="4">
        <v>636222700442</v>
      </c>
      <c r="J262" s="6">
        <v>0.25629999999999997</v>
      </c>
      <c r="K262" s="6">
        <v>-0.13780000000000001</v>
      </c>
      <c r="L262" s="6">
        <v>-0.16889999999999999</v>
      </c>
      <c r="M262" s="4">
        <v>129439351482</v>
      </c>
      <c r="N262" s="4">
        <v>163171729426</v>
      </c>
      <c r="O262" s="4"/>
      <c r="P262" s="6">
        <v>2.2265000000000001</v>
      </c>
      <c r="Q262" s="6">
        <v>2.4479000000000002</v>
      </c>
      <c r="R262" s="6">
        <v>7.2514000000000003</v>
      </c>
      <c r="S262" s="6">
        <v>2.8372000000000002</v>
      </c>
      <c r="T262" s="4"/>
      <c r="U262" s="6">
        <v>-0.71719999999999995</v>
      </c>
      <c r="V262" s="6">
        <v>-0.52310000000000001</v>
      </c>
      <c r="W262" s="6">
        <v>-0.52339999999999998</v>
      </c>
      <c r="X262" s="6">
        <v>0</v>
      </c>
      <c r="Y262" s="4"/>
      <c r="Z262" s="6">
        <v>0.35170000000000001</v>
      </c>
      <c r="AA262" s="4"/>
      <c r="AB262" s="4"/>
      <c r="AC262" s="4"/>
      <c r="AD262" s="6">
        <v>0</v>
      </c>
      <c r="AE262" s="4"/>
      <c r="AF262" s="4"/>
      <c r="AG262" s="4"/>
      <c r="AH262" s="4">
        <v>8360674113600</v>
      </c>
    </row>
    <row r="263" spans="1:34" x14ac:dyDescent="0.25">
      <c r="A263" s="4">
        <v>262</v>
      </c>
      <c r="B263" s="5" t="s">
        <v>617</v>
      </c>
      <c r="C263" s="5" t="s">
        <v>618</v>
      </c>
      <c r="D263" s="5" t="s">
        <v>23</v>
      </c>
      <c r="E263" s="5" t="s">
        <v>40</v>
      </c>
      <c r="F263" s="5" t="s">
        <v>41</v>
      </c>
      <c r="G263" s="5" t="s">
        <v>619</v>
      </c>
      <c r="H263" s="4">
        <v>1007106027043</v>
      </c>
      <c r="I263" s="4">
        <v>1886384465025</v>
      </c>
      <c r="J263" s="6">
        <v>0.1114</v>
      </c>
      <c r="K263" s="6">
        <v>6.6900000000000001E-2</v>
      </c>
      <c r="L263" s="6">
        <v>0.10489999999999999</v>
      </c>
      <c r="M263" s="4">
        <v>25839264575</v>
      </c>
      <c r="N263" s="4">
        <v>47949854675</v>
      </c>
      <c r="O263" s="4"/>
      <c r="P263" s="6">
        <v>-0.33950000000000002</v>
      </c>
      <c r="Q263" s="6">
        <v>-0.29749999999999999</v>
      </c>
      <c r="R263" s="6">
        <v>-0.19289999999999999</v>
      </c>
      <c r="S263" s="6">
        <v>0.1686</v>
      </c>
      <c r="T263" s="4"/>
      <c r="U263" s="6">
        <v>-0.60699999999999998</v>
      </c>
      <c r="V263" s="6">
        <v>-0.4859</v>
      </c>
      <c r="W263" s="6">
        <v>-0.51270000000000004</v>
      </c>
      <c r="X263" s="6">
        <v>0</v>
      </c>
      <c r="Y263" s="4"/>
      <c r="Z263" s="6">
        <v>0.1454</v>
      </c>
      <c r="AA263" s="4"/>
      <c r="AB263" s="4"/>
      <c r="AC263" s="4"/>
      <c r="AD263" s="6">
        <v>0</v>
      </c>
      <c r="AE263" s="4"/>
      <c r="AF263" s="4"/>
      <c r="AG263" s="4"/>
      <c r="AH263" s="4">
        <v>1165499915200</v>
      </c>
    </row>
    <row r="264" spans="1:34" x14ac:dyDescent="0.25">
      <c r="A264" s="4">
        <v>263</v>
      </c>
      <c r="B264" s="5" t="s">
        <v>620</v>
      </c>
      <c r="C264" s="5" t="s">
        <v>621</v>
      </c>
      <c r="D264" s="5" t="s">
        <v>23</v>
      </c>
      <c r="E264" s="5" t="s">
        <v>29</v>
      </c>
      <c r="F264" s="5" t="s">
        <v>30</v>
      </c>
      <c r="G264" s="5" t="s">
        <v>83</v>
      </c>
      <c r="H264" s="4"/>
      <c r="I264" s="4"/>
      <c r="J264" s="6"/>
      <c r="K264" s="6"/>
      <c r="L264" s="6"/>
      <c r="M264" s="4"/>
      <c r="N264" s="4"/>
      <c r="O264" s="4"/>
      <c r="P264" s="6"/>
      <c r="Q264" s="6"/>
      <c r="R264" s="6"/>
      <c r="S264" s="6"/>
      <c r="T264" s="4"/>
      <c r="U264" s="6"/>
      <c r="V264" s="6"/>
      <c r="W264" s="6"/>
      <c r="X264" s="6"/>
      <c r="Y264" s="4"/>
      <c r="Z264" s="6"/>
      <c r="AA264" s="4"/>
      <c r="AB264" s="4"/>
      <c r="AC264" s="4"/>
      <c r="AD264" s="6"/>
      <c r="AE264" s="4"/>
      <c r="AF264" s="4"/>
      <c r="AG264" s="4"/>
      <c r="AH264" s="4">
        <v>5276670144300</v>
      </c>
    </row>
    <row r="265" spans="1:34" x14ac:dyDescent="0.25">
      <c r="A265" s="4">
        <v>264</v>
      </c>
      <c r="B265" s="5" t="s">
        <v>622</v>
      </c>
      <c r="C265" s="5" t="s">
        <v>623</v>
      </c>
      <c r="D265" s="5" t="s">
        <v>23</v>
      </c>
      <c r="E265" s="5" t="s">
        <v>40</v>
      </c>
      <c r="F265" s="5" t="s">
        <v>52</v>
      </c>
      <c r="G265" s="5" t="s">
        <v>110</v>
      </c>
      <c r="H265" s="4"/>
      <c r="I265" s="4"/>
      <c r="J265" s="6"/>
      <c r="K265" s="6"/>
      <c r="L265" s="6"/>
      <c r="M265" s="4"/>
      <c r="N265" s="4"/>
      <c r="O265" s="4"/>
      <c r="P265" s="6"/>
      <c r="Q265" s="6"/>
      <c r="R265" s="6"/>
      <c r="S265" s="6"/>
      <c r="T265" s="4"/>
      <c r="U265" s="6"/>
      <c r="V265" s="6"/>
      <c r="W265" s="6"/>
      <c r="X265" s="6"/>
      <c r="Y265" s="4"/>
      <c r="Z265" s="6"/>
      <c r="AA265" s="4"/>
      <c r="AB265" s="4"/>
      <c r="AC265" s="4"/>
      <c r="AD265" s="6"/>
      <c r="AE265" s="4"/>
      <c r="AF265" s="4"/>
      <c r="AG265" s="4"/>
      <c r="AH265" s="4">
        <v>8451913798650</v>
      </c>
    </row>
    <row r="266" spans="1:34" x14ac:dyDescent="0.25">
      <c r="A266" s="4">
        <v>265</v>
      </c>
      <c r="B266" s="5" t="s">
        <v>624</v>
      </c>
      <c r="C266" s="5" t="s">
        <v>625</v>
      </c>
      <c r="D266" s="5" t="s">
        <v>23</v>
      </c>
      <c r="E266" s="5" t="s">
        <v>40</v>
      </c>
      <c r="F266" s="5" t="s">
        <v>41</v>
      </c>
      <c r="G266" s="5" t="s">
        <v>93</v>
      </c>
      <c r="H266" s="4">
        <v>439127771972</v>
      </c>
      <c r="I266" s="4"/>
      <c r="J266" s="6">
        <v>0.1203</v>
      </c>
      <c r="K266" s="6">
        <v>9.1899999999999996E-2</v>
      </c>
      <c r="L266" s="6">
        <v>0.1163</v>
      </c>
      <c r="M266" s="4">
        <v>140077845381</v>
      </c>
      <c r="N266" s="4"/>
      <c r="O266" s="4"/>
      <c r="P266" s="6">
        <v>0.11650000000000001</v>
      </c>
      <c r="Q266" s="6">
        <v>0.11559999999999999</v>
      </c>
      <c r="R266" s="6">
        <v>0.1381</v>
      </c>
      <c r="S266" s="6">
        <v>0.2676</v>
      </c>
      <c r="T266" s="4"/>
      <c r="U266" s="6">
        <v>-0.51190000000000002</v>
      </c>
      <c r="V266" s="6">
        <v>-0.4506</v>
      </c>
      <c r="W266" s="6">
        <v>-0.45050000000000001</v>
      </c>
      <c r="X266" s="6">
        <v>4.07E-2</v>
      </c>
      <c r="Y266" s="4"/>
      <c r="Z266" s="6">
        <v>0.16800000000000001</v>
      </c>
      <c r="AA266" s="4"/>
      <c r="AB266" s="4"/>
      <c r="AC266" s="4"/>
      <c r="AD266" s="6">
        <v>0</v>
      </c>
      <c r="AE266" s="4"/>
      <c r="AF266" s="4"/>
      <c r="AG266" s="4"/>
      <c r="AH266" s="4">
        <v>5456563524000</v>
      </c>
    </row>
    <row r="267" spans="1:34" x14ac:dyDescent="0.25">
      <c r="A267" s="4">
        <v>266</v>
      </c>
      <c r="B267" s="5" t="s">
        <v>626</v>
      </c>
      <c r="C267" s="5" t="s">
        <v>627</v>
      </c>
      <c r="D267" s="5" t="s">
        <v>23</v>
      </c>
      <c r="E267" s="5" t="s">
        <v>75</v>
      </c>
      <c r="F267" s="5" t="s">
        <v>76</v>
      </c>
      <c r="G267" s="5" t="s">
        <v>76</v>
      </c>
      <c r="H267" s="4"/>
      <c r="I267" s="4"/>
      <c r="J267" s="6"/>
      <c r="K267" s="6"/>
      <c r="L267" s="6"/>
      <c r="M267" s="4"/>
      <c r="N267" s="4"/>
      <c r="O267" s="4"/>
      <c r="P267" s="6"/>
      <c r="Q267" s="6"/>
      <c r="R267" s="6"/>
      <c r="S267" s="6"/>
      <c r="T267" s="4"/>
      <c r="U267" s="6"/>
      <c r="V267" s="6"/>
      <c r="W267" s="6"/>
      <c r="X267" s="6"/>
      <c r="Y267" s="4"/>
      <c r="Z267" s="6"/>
      <c r="AA267" s="4"/>
      <c r="AB267" s="4"/>
      <c r="AC267" s="4"/>
      <c r="AD267" s="6"/>
      <c r="AE267" s="4"/>
      <c r="AF267" s="4"/>
      <c r="AG267" s="4"/>
      <c r="AH267" s="4">
        <v>12073493485900</v>
      </c>
    </row>
    <row r="268" spans="1:34" x14ac:dyDescent="0.25">
      <c r="A268" s="4">
        <v>267</v>
      </c>
      <c r="B268" s="5" t="s">
        <v>628</v>
      </c>
      <c r="C268" s="5" t="s">
        <v>629</v>
      </c>
      <c r="D268" s="5" t="s">
        <v>23</v>
      </c>
      <c r="E268" s="5" t="s">
        <v>40</v>
      </c>
      <c r="F268" s="5" t="s">
        <v>41</v>
      </c>
      <c r="G268" s="5" t="s">
        <v>406</v>
      </c>
      <c r="H268" s="4">
        <v>687847607079</v>
      </c>
      <c r="I268" s="4">
        <v>1128780237917</v>
      </c>
      <c r="J268" s="6">
        <v>0.46129999999999999</v>
      </c>
      <c r="K268" s="6">
        <v>0.37380000000000002</v>
      </c>
      <c r="L268" s="6">
        <v>0.43059999999999998</v>
      </c>
      <c r="M268" s="4">
        <v>16715870455</v>
      </c>
      <c r="N268" s="4">
        <v>35750244009</v>
      </c>
      <c r="O268" s="4"/>
      <c r="P268" s="6">
        <v>5.9999000000000002</v>
      </c>
      <c r="Q268" s="6">
        <v>1.2149000000000001</v>
      </c>
      <c r="R268" s="6">
        <v>3.4236</v>
      </c>
      <c r="S268" s="6">
        <v>-0.12180000000000001</v>
      </c>
      <c r="T268" s="4"/>
      <c r="U268" s="6">
        <v>-0.50919999999999999</v>
      </c>
      <c r="V268" s="6">
        <v>-0.61770000000000003</v>
      </c>
      <c r="W268" s="6">
        <v>-0.62760000000000005</v>
      </c>
      <c r="X268" s="6">
        <v>0</v>
      </c>
      <c r="Y268" s="4"/>
      <c r="Z268" s="6">
        <v>0.56000000000000005</v>
      </c>
      <c r="AA268" s="4"/>
      <c r="AB268" s="4"/>
      <c r="AC268" s="4"/>
      <c r="AD268" s="6">
        <v>0</v>
      </c>
      <c r="AE268" s="4"/>
      <c r="AF268" s="4"/>
      <c r="AG268" s="4"/>
      <c r="AH268" s="4">
        <v>664659079880</v>
      </c>
    </row>
    <row r="269" spans="1:34" x14ac:dyDescent="0.25">
      <c r="A269" s="4">
        <v>268</v>
      </c>
      <c r="B269" s="5" t="s">
        <v>630</v>
      </c>
      <c r="C269" s="5" t="s">
        <v>631</v>
      </c>
      <c r="D269" s="5" t="s">
        <v>23</v>
      </c>
      <c r="E269" s="5" t="s">
        <v>62</v>
      </c>
      <c r="F269" s="5" t="s">
        <v>71</v>
      </c>
      <c r="G269" s="5" t="s">
        <v>103</v>
      </c>
      <c r="H269" s="4"/>
      <c r="I269" s="4"/>
      <c r="J269" s="6"/>
      <c r="K269" s="6"/>
      <c r="L269" s="6"/>
      <c r="M269" s="4"/>
      <c r="N269" s="4"/>
      <c r="O269" s="4"/>
      <c r="P269" s="6"/>
      <c r="Q269" s="6"/>
      <c r="R269" s="6"/>
      <c r="S269" s="6"/>
      <c r="T269" s="4"/>
      <c r="U269" s="6"/>
      <c r="V269" s="6"/>
      <c r="W269" s="6"/>
      <c r="X269" s="6"/>
      <c r="Y269" s="4"/>
      <c r="Z269" s="6"/>
      <c r="AA269" s="4"/>
      <c r="AB269" s="4"/>
      <c r="AC269" s="4"/>
      <c r="AD269" s="6"/>
      <c r="AE269" s="4"/>
      <c r="AF269" s="4"/>
      <c r="AG269" s="4"/>
      <c r="AH269" s="4">
        <v>5385082813200</v>
      </c>
    </row>
    <row r="270" spans="1:34" x14ac:dyDescent="0.25">
      <c r="A270" s="4">
        <v>269</v>
      </c>
      <c r="B270" s="5" t="s">
        <v>632</v>
      </c>
      <c r="C270" s="5" t="s">
        <v>633</v>
      </c>
      <c r="D270" s="5" t="s">
        <v>23</v>
      </c>
      <c r="E270" s="5" t="s">
        <v>98</v>
      </c>
      <c r="F270" s="5" t="s">
        <v>99</v>
      </c>
      <c r="G270" s="5" t="s">
        <v>100</v>
      </c>
      <c r="H270" s="4"/>
      <c r="I270" s="4"/>
      <c r="J270" s="6"/>
      <c r="K270" s="6"/>
      <c r="L270" s="6"/>
      <c r="M270" s="4"/>
      <c r="N270" s="4"/>
      <c r="O270" s="4"/>
      <c r="P270" s="6"/>
      <c r="Q270" s="6"/>
      <c r="R270" s="6"/>
      <c r="S270" s="6"/>
      <c r="T270" s="4"/>
      <c r="U270" s="6"/>
      <c r="V270" s="6"/>
      <c r="W270" s="6"/>
      <c r="X270" s="6"/>
      <c r="Y270" s="4"/>
      <c r="Z270" s="6"/>
      <c r="AA270" s="4"/>
      <c r="AB270" s="4"/>
      <c r="AC270" s="4"/>
      <c r="AD270" s="6"/>
      <c r="AE270" s="4"/>
      <c r="AF270" s="4"/>
      <c r="AG270" s="4"/>
      <c r="AH270" s="4">
        <v>730105348500</v>
      </c>
    </row>
    <row r="271" spans="1:34" x14ac:dyDescent="0.25">
      <c r="A271" s="4">
        <v>270</v>
      </c>
      <c r="B271" s="5" t="s">
        <v>634</v>
      </c>
      <c r="C271" s="5" t="s">
        <v>635</v>
      </c>
      <c r="D271" s="5" t="s">
        <v>23</v>
      </c>
      <c r="E271" s="5" t="s">
        <v>98</v>
      </c>
      <c r="F271" s="5" t="s">
        <v>99</v>
      </c>
      <c r="G271" s="5" t="s">
        <v>100</v>
      </c>
      <c r="H271" s="4">
        <v>3858525117091</v>
      </c>
      <c r="I271" s="4">
        <v>6348379331941</v>
      </c>
      <c r="J271" s="6">
        <v>0.2974</v>
      </c>
      <c r="K271" s="6">
        <v>0.1474</v>
      </c>
      <c r="L271" s="6">
        <v>9.6100000000000005E-2</v>
      </c>
      <c r="M271" s="4">
        <v>-44714049007</v>
      </c>
      <c r="N271" s="4">
        <v>20251615810</v>
      </c>
      <c r="O271" s="4"/>
      <c r="P271" s="6">
        <v>-1.6951000000000001</v>
      </c>
      <c r="Q271" s="6">
        <v>-0.68530000000000002</v>
      </c>
      <c r="R271" s="6">
        <v>-0.1943</v>
      </c>
      <c r="S271" s="6">
        <v>-1.6882999999999999</v>
      </c>
      <c r="T271" s="4"/>
      <c r="U271" s="6">
        <v>-0.50070000000000003</v>
      </c>
      <c r="V271" s="6">
        <v>-0.8841</v>
      </c>
      <c r="W271" s="6">
        <v>-0.90210000000000001</v>
      </c>
      <c r="X271" s="6">
        <v>4.4200000000000003E-2</v>
      </c>
      <c r="Y271" s="4"/>
      <c r="Z271" s="6">
        <v>0.54969999999999997</v>
      </c>
      <c r="AA271" s="4"/>
      <c r="AB271" s="4"/>
      <c r="AC271" s="4"/>
      <c r="AD271" s="6">
        <v>0</v>
      </c>
      <c r="AE271" s="4"/>
      <c r="AF271" s="4"/>
      <c r="AG271" s="4"/>
      <c r="AH271" s="4">
        <v>2237339228600</v>
      </c>
    </row>
    <row r="272" spans="1:34" x14ac:dyDescent="0.25">
      <c r="A272" s="4">
        <v>271</v>
      </c>
      <c r="B272" s="5" t="s">
        <v>636</v>
      </c>
      <c r="C272" s="5" t="s">
        <v>637</v>
      </c>
      <c r="D272" s="5" t="s">
        <v>23</v>
      </c>
      <c r="E272" s="5" t="s">
        <v>75</v>
      </c>
      <c r="F272" s="5" t="s">
        <v>120</v>
      </c>
      <c r="G272" s="5" t="s">
        <v>121</v>
      </c>
      <c r="H272" s="4"/>
      <c r="I272" s="4"/>
      <c r="J272" s="6"/>
      <c r="K272" s="6"/>
      <c r="L272" s="6"/>
      <c r="M272" s="4"/>
      <c r="N272" s="4"/>
      <c r="O272" s="4"/>
      <c r="P272" s="6"/>
      <c r="Q272" s="6"/>
      <c r="R272" s="6"/>
      <c r="S272" s="6"/>
      <c r="T272" s="4"/>
      <c r="U272" s="6"/>
      <c r="V272" s="6"/>
      <c r="W272" s="6"/>
      <c r="X272" s="6"/>
      <c r="Y272" s="4"/>
      <c r="Z272" s="6"/>
      <c r="AA272" s="4"/>
      <c r="AB272" s="4"/>
      <c r="AC272" s="4"/>
      <c r="AD272" s="6"/>
      <c r="AE272" s="4"/>
      <c r="AF272" s="4"/>
      <c r="AG272" s="4"/>
      <c r="AH272" s="4">
        <v>1951783609600</v>
      </c>
    </row>
    <row r="273" spans="1:34" x14ac:dyDescent="0.25">
      <c r="A273" s="4">
        <v>272</v>
      </c>
      <c r="B273" s="5" t="s">
        <v>638</v>
      </c>
      <c r="C273" s="5" t="s">
        <v>639</v>
      </c>
      <c r="D273" s="5" t="s">
        <v>23</v>
      </c>
      <c r="E273" s="5" t="s">
        <v>98</v>
      </c>
      <c r="F273" s="5" t="s">
        <v>99</v>
      </c>
      <c r="G273" s="5" t="s">
        <v>144</v>
      </c>
      <c r="H273" s="4"/>
      <c r="I273" s="4"/>
      <c r="J273" s="6"/>
      <c r="K273" s="6"/>
      <c r="L273" s="6"/>
      <c r="M273" s="4"/>
      <c r="N273" s="4"/>
      <c r="O273" s="4"/>
      <c r="P273" s="6"/>
      <c r="Q273" s="6"/>
      <c r="R273" s="6"/>
      <c r="S273" s="6"/>
      <c r="T273" s="4"/>
      <c r="U273" s="6"/>
      <c r="V273" s="6"/>
      <c r="W273" s="6"/>
      <c r="X273" s="6"/>
      <c r="Y273" s="4"/>
      <c r="Z273" s="6"/>
      <c r="AA273" s="4"/>
      <c r="AB273" s="4"/>
      <c r="AC273" s="4"/>
      <c r="AD273" s="6"/>
      <c r="AE273" s="4"/>
      <c r="AF273" s="4"/>
      <c r="AG273" s="4"/>
      <c r="AH273" s="4">
        <v>25839765058000</v>
      </c>
    </row>
    <row r="274" spans="1:34" x14ac:dyDescent="0.25">
      <c r="A274" s="4">
        <v>273</v>
      </c>
      <c r="B274" s="5" t="s">
        <v>640</v>
      </c>
      <c r="C274" s="5" t="s">
        <v>641</v>
      </c>
      <c r="D274" s="5" t="s">
        <v>23</v>
      </c>
      <c r="E274" s="5" t="s">
        <v>40</v>
      </c>
      <c r="F274" s="5" t="s">
        <v>52</v>
      </c>
      <c r="G274" s="5" t="s">
        <v>110</v>
      </c>
      <c r="H274" s="4"/>
      <c r="I274" s="4"/>
      <c r="J274" s="6"/>
      <c r="K274" s="6"/>
      <c r="L274" s="6"/>
      <c r="M274" s="4"/>
      <c r="N274" s="4"/>
      <c r="O274" s="4"/>
      <c r="P274" s="6"/>
      <c r="Q274" s="6"/>
      <c r="R274" s="6"/>
      <c r="S274" s="6"/>
      <c r="T274" s="4"/>
      <c r="U274" s="6"/>
      <c r="V274" s="6"/>
      <c r="W274" s="6"/>
      <c r="X274" s="6"/>
      <c r="Y274" s="4"/>
      <c r="Z274" s="6"/>
      <c r="AA274" s="4"/>
      <c r="AB274" s="4"/>
      <c r="AC274" s="4"/>
      <c r="AD274" s="6"/>
      <c r="AE274" s="4"/>
      <c r="AF274" s="4"/>
      <c r="AG274" s="4"/>
      <c r="AH274" s="4">
        <v>221480020990</v>
      </c>
    </row>
    <row r="275" spans="1:34" x14ac:dyDescent="0.25">
      <c r="A275" s="4">
        <v>274</v>
      </c>
      <c r="B275" s="5" t="s">
        <v>642</v>
      </c>
      <c r="C275" s="5" t="s">
        <v>643</v>
      </c>
      <c r="D275" s="5" t="s">
        <v>23</v>
      </c>
      <c r="E275" s="5" t="s">
        <v>24</v>
      </c>
      <c r="F275" s="5" t="s">
        <v>25</v>
      </c>
      <c r="G275" s="5" t="s">
        <v>26</v>
      </c>
      <c r="H275" s="4"/>
      <c r="I275" s="4"/>
      <c r="J275" s="6"/>
      <c r="K275" s="6"/>
      <c r="L275" s="6"/>
      <c r="M275" s="4"/>
      <c r="N275" s="4"/>
      <c r="O275" s="4"/>
      <c r="P275" s="6"/>
      <c r="Q275" s="6"/>
      <c r="R275" s="6"/>
      <c r="S275" s="6"/>
      <c r="T275" s="4"/>
      <c r="U275" s="6"/>
      <c r="V275" s="6"/>
      <c r="W275" s="6"/>
      <c r="X275" s="6"/>
      <c r="Y275" s="4"/>
      <c r="Z275" s="6"/>
      <c r="AA275" s="4"/>
      <c r="AB275" s="4"/>
      <c r="AC275" s="4"/>
      <c r="AD275" s="6"/>
      <c r="AE275" s="4"/>
      <c r="AF275" s="4"/>
      <c r="AG275" s="4"/>
      <c r="AH275" s="4">
        <v>7831853644400</v>
      </c>
    </row>
    <row r="276" spans="1:34" x14ac:dyDescent="0.25">
      <c r="A276" s="4">
        <v>275</v>
      </c>
      <c r="B276" s="5" t="s">
        <v>644</v>
      </c>
      <c r="C276" s="5" t="s">
        <v>645</v>
      </c>
      <c r="D276" s="5" t="s">
        <v>23</v>
      </c>
      <c r="E276" s="5" t="s">
        <v>62</v>
      </c>
      <c r="F276" s="5" t="s">
        <v>71</v>
      </c>
      <c r="G276" s="5" t="s">
        <v>147</v>
      </c>
      <c r="H276" s="4">
        <v>113075807380</v>
      </c>
      <c r="I276" s="4">
        <v>264601211553</v>
      </c>
      <c r="J276" s="6">
        <v>-0.42870000000000003</v>
      </c>
      <c r="K276" s="6">
        <v>-0.16969999999999999</v>
      </c>
      <c r="L276" s="6">
        <v>-5.3999999999999999E-2</v>
      </c>
      <c r="M276" s="4">
        <v>-11591352612</v>
      </c>
      <c r="N276" s="4">
        <v>-12208677478</v>
      </c>
      <c r="O276" s="4"/>
      <c r="P276" s="6">
        <v>-4.3693999999999997</v>
      </c>
      <c r="Q276" s="6">
        <v>-33.9086</v>
      </c>
      <c r="R276" s="6">
        <v>-25.682400000000001</v>
      </c>
      <c r="S276" s="6">
        <v>-17.776700000000002</v>
      </c>
      <c r="T276" s="4"/>
      <c r="U276" s="6">
        <v>-0.69969999999999999</v>
      </c>
      <c r="V276" s="6">
        <v>-6.0345000000000004</v>
      </c>
      <c r="W276" s="6">
        <v>-7.2930999999999999</v>
      </c>
      <c r="X276" s="6">
        <v>0</v>
      </c>
      <c r="Y276" s="4"/>
      <c r="Z276" s="6">
        <v>-0.25380000000000003</v>
      </c>
      <c r="AA276" s="4"/>
      <c r="AB276" s="4"/>
      <c r="AC276" s="4"/>
      <c r="AD276" s="6">
        <v>0</v>
      </c>
      <c r="AE276" s="4"/>
      <c r="AF276" s="4"/>
      <c r="AG276" s="4"/>
      <c r="AH276" s="4">
        <v>106576687500</v>
      </c>
    </row>
    <row r="277" spans="1:34" x14ac:dyDescent="0.25">
      <c r="A277" s="4">
        <v>276</v>
      </c>
      <c r="B277" s="5" t="s">
        <v>646</v>
      </c>
      <c r="C277" s="5" t="s">
        <v>647</v>
      </c>
      <c r="D277" s="5" t="s">
        <v>23</v>
      </c>
      <c r="E277" s="5" t="s">
        <v>40</v>
      </c>
      <c r="F277" s="5" t="s">
        <v>41</v>
      </c>
      <c r="G277" s="5" t="s">
        <v>406</v>
      </c>
      <c r="H277" s="4"/>
      <c r="I277" s="4"/>
      <c r="J277" s="6"/>
      <c r="K277" s="6"/>
      <c r="L277" s="6"/>
      <c r="M277" s="4"/>
      <c r="N277" s="4"/>
      <c r="O277" s="4"/>
      <c r="P277" s="6"/>
      <c r="Q277" s="6"/>
      <c r="R277" s="6"/>
      <c r="S277" s="6"/>
      <c r="T277" s="4"/>
      <c r="U277" s="6"/>
      <c r="V277" s="6"/>
      <c r="W277" s="6"/>
      <c r="X277" s="6"/>
      <c r="Y277" s="4"/>
      <c r="Z277" s="6"/>
      <c r="AA277" s="4"/>
      <c r="AB277" s="4"/>
      <c r="AC277" s="4"/>
      <c r="AD277" s="6"/>
      <c r="AE277" s="4"/>
      <c r="AF277" s="4"/>
      <c r="AG277" s="4"/>
      <c r="AH277" s="4">
        <v>206527115500</v>
      </c>
    </row>
    <row r="278" spans="1:34" x14ac:dyDescent="0.25">
      <c r="A278" s="4">
        <v>277</v>
      </c>
      <c r="B278" s="5" t="s">
        <v>648</v>
      </c>
      <c r="C278" s="5" t="s">
        <v>649</v>
      </c>
      <c r="D278" s="5" t="s">
        <v>23</v>
      </c>
      <c r="E278" s="5" t="s">
        <v>24</v>
      </c>
      <c r="F278" s="5" t="s">
        <v>25</v>
      </c>
      <c r="G278" s="5" t="s">
        <v>26</v>
      </c>
      <c r="H278" s="4"/>
      <c r="I278" s="4"/>
      <c r="J278" s="6"/>
      <c r="K278" s="6"/>
      <c r="L278" s="6"/>
      <c r="M278" s="4"/>
      <c r="N278" s="4"/>
      <c r="O278" s="4"/>
      <c r="P278" s="6"/>
      <c r="Q278" s="6"/>
      <c r="R278" s="6"/>
      <c r="S278" s="6"/>
      <c r="T278" s="4"/>
      <c r="U278" s="6"/>
      <c r="V278" s="6"/>
      <c r="W278" s="6"/>
      <c r="X278" s="6"/>
      <c r="Y278" s="4"/>
      <c r="Z278" s="6"/>
      <c r="AA278" s="4"/>
      <c r="AB278" s="4"/>
      <c r="AC278" s="4"/>
      <c r="AD278" s="6"/>
      <c r="AE278" s="4"/>
      <c r="AF278" s="4"/>
      <c r="AG278" s="4"/>
      <c r="AH278" s="4">
        <v>346499410950</v>
      </c>
    </row>
    <row r="279" spans="1:34" x14ac:dyDescent="0.25">
      <c r="A279" s="4">
        <v>278</v>
      </c>
      <c r="B279" s="5" t="s">
        <v>650</v>
      </c>
      <c r="C279" s="5" t="s">
        <v>651</v>
      </c>
      <c r="D279" s="5" t="s">
        <v>23</v>
      </c>
      <c r="E279" s="5" t="s">
        <v>140</v>
      </c>
      <c r="F279" s="5" t="s">
        <v>140</v>
      </c>
      <c r="G279" s="5" t="s">
        <v>141</v>
      </c>
      <c r="H279" s="4"/>
      <c r="I279" s="4"/>
      <c r="J279" s="6"/>
      <c r="K279" s="6"/>
      <c r="L279" s="6"/>
      <c r="M279" s="4"/>
      <c r="N279" s="4"/>
      <c r="O279" s="4"/>
      <c r="P279" s="6"/>
      <c r="Q279" s="6"/>
      <c r="R279" s="6"/>
      <c r="S279" s="6"/>
      <c r="T279" s="4"/>
      <c r="U279" s="6"/>
      <c r="V279" s="6"/>
      <c r="W279" s="6"/>
      <c r="X279" s="6"/>
      <c r="Y279" s="4"/>
      <c r="Z279" s="6"/>
      <c r="AA279" s="4"/>
      <c r="AB279" s="4"/>
      <c r="AC279" s="4"/>
      <c r="AD279" s="6"/>
      <c r="AE279" s="4"/>
      <c r="AF279" s="4"/>
      <c r="AG279" s="4"/>
      <c r="AH279" s="4">
        <v>41611895696250</v>
      </c>
    </row>
    <row r="280" spans="1:34" x14ac:dyDescent="0.25">
      <c r="A280" s="4">
        <v>279</v>
      </c>
      <c r="B280" s="5" t="s">
        <v>652</v>
      </c>
      <c r="C280" s="5" t="s">
        <v>653</v>
      </c>
      <c r="D280" s="5" t="s">
        <v>23</v>
      </c>
      <c r="E280" s="5" t="s">
        <v>98</v>
      </c>
      <c r="F280" s="5" t="s">
        <v>99</v>
      </c>
      <c r="G280" s="5" t="s">
        <v>100</v>
      </c>
      <c r="H280" s="4"/>
      <c r="I280" s="4"/>
      <c r="J280" s="6"/>
      <c r="K280" s="6"/>
      <c r="L280" s="6"/>
      <c r="M280" s="4"/>
      <c r="N280" s="4"/>
      <c r="O280" s="4"/>
      <c r="P280" s="6"/>
      <c r="Q280" s="6"/>
      <c r="R280" s="6"/>
      <c r="S280" s="6"/>
      <c r="T280" s="4"/>
      <c r="U280" s="6"/>
      <c r="V280" s="6"/>
      <c r="W280" s="6"/>
      <c r="X280" s="6"/>
      <c r="Y280" s="4"/>
      <c r="Z280" s="6"/>
      <c r="AA280" s="4"/>
      <c r="AB280" s="4"/>
      <c r="AC280" s="4"/>
      <c r="AD280" s="6"/>
      <c r="AE280" s="4"/>
      <c r="AF280" s="4"/>
      <c r="AG280" s="4"/>
      <c r="AH280" s="4">
        <v>288211649160</v>
      </c>
    </row>
    <row r="281" spans="1:34" x14ac:dyDescent="0.25">
      <c r="A281" s="4">
        <v>280</v>
      </c>
      <c r="B281" s="5" t="s">
        <v>654</v>
      </c>
      <c r="C281" s="5" t="s">
        <v>655</v>
      </c>
      <c r="D281" s="5" t="s">
        <v>23</v>
      </c>
      <c r="E281" s="5" t="s">
        <v>62</v>
      </c>
      <c r="F281" s="5" t="s">
        <v>63</v>
      </c>
      <c r="G281" s="5" t="s">
        <v>656</v>
      </c>
      <c r="H281" s="4"/>
      <c r="I281" s="4"/>
      <c r="J281" s="6"/>
      <c r="K281" s="6"/>
      <c r="L281" s="6"/>
      <c r="M281" s="4"/>
      <c r="N281" s="4"/>
      <c r="O281" s="4"/>
      <c r="P281" s="6"/>
      <c r="Q281" s="6"/>
      <c r="R281" s="6"/>
      <c r="S281" s="6"/>
      <c r="T281" s="4"/>
      <c r="U281" s="6"/>
      <c r="V281" s="6"/>
      <c r="W281" s="6"/>
      <c r="X281" s="6"/>
      <c r="Y281" s="4"/>
      <c r="Z281" s="6"/>
      <c r="AA281" s="4"/>
      <c r="AB281" s="4"/>
      <c r="AC281" s="4"/>
      <c r="AD281" s="6"/>
      <c r="AE281" s="4"/>
      <c r="AF281" s="4"/>
      <c r="AG281" s="4"/>
      <c r="AH281" s="4">
        <v>322900594900</v>
      </c>
    </row>
    <row r="282" spans="1:34" x14ac:dyDescent="0.25">
      <c r="A282" s="4">
        <v>281</v>
      </c>
      <c r="B282" s="5" t="s">
        <v>657</v>
      </c>
      <c r="C282" s="5" t="s">
        <v>658</v>
      </c>
      <c r="D282" s="5" t="s">
        <v>23</v>
      </c>
      <c r="E282" s="5" t="s">
        <v>29</v>
      </c>
      <c r="F282" s="5" t="s">
        <v>36</v>
      </c>
      <c r="G282" s="5" t="s">
        <v>536</v>
      </c>
      <c r="H282" s="4"/>
      <c r="I282" s="4"/>
      <c r="J282" s="6"/>
      <c r="K282" s="6"/>
      <c r="L282" s="6"/>
      <c r="M282" s="4"/>
      <c r="N282" s="4"/>
      <c r="O282" s="4"/>
      <c r="P282" s="6"/>
      <c r="Q282" s="6"/>
      <c r="R282" s="6"/>
      <c r="S282" s="6"/>
      <c r="T282" s="4"/>
      <c r="U282" s="6"/>
      <c r="V282" s="6"/>
      <c r="W282" s="6"/>
      <c r="X282" s="6"/>
      <c r="Y282" s="4"/>
      <c r="Z282" s="6"/>
      <c r="AA282" s="4"/>
      <c r="AB282" s="4"/>
      <c r="AC282" s="4"/>
      <c r="AD282" s="6"/>
      <c r="AE282" s="4"/>
      <c r="AF282" s="4"/>
      <c r="AG282" s="4"/>
      <c r="AH282" s="4">
        <v>18166129544500</v>
      </c>
    </row>
    <row r="283" spans="1:34" x14ac:dyDescent="0.25">
      <c r="A283" s="4">
        <v>282</v>
      </c>
      <c r="B283" s="5" t="s">
        <v>659</v>
      </c>
      <c r="C283" s="5" t="s">
        <v>660</v>
      </c>
      <c r="D283" s="5" t="s">
        <v>23</v>
      </c>
      <c r="E283" s="5" t="s">
        <v>98</v>
      </c>
      <c r="F283" s="5" t="s">
        <v>99</v>
      </c>
      <c r="G283" s="5" t="s">
        <v>144</v>
      </c>
      <c r="H283" s="4"/>
      <c r="I283" s="4"/>
      <c r="J283" s="6"/>
      <c r="K283" s="6"/>
      <c r="L283" s="6"/>
      <c r="M283" s="4"/>
      <c r="N283" s="4"/>
      <c r="O283" s="4"/>
      <c r="P283" s="6"/>
      <c r="Q283" s="6"/>
      <c r="R283" s="6"/>
      <c r="S283" s="6"/>
      <c r="T283" s="4"/>
      <c r="U283" s="6"/>
      <c r="V283" s="6"/>
      <c r="W283" s="6"/>
      <c r="X283" s="6"/>
      <c r="Y283" s="4"/>
      <c r="Z283" s="6"/>
      <c r="AA283" s="4"/>
      <c r="AB283" s="4"/>
      <c r="AC283" s="4"/>
      <c r="AD283" s="6"/>
      <c r="AE283" s="4"/>
      <c r="AF283" s="4"/>
      <c r="AG283" s="4"/>
      <c r="AH283" s="4">
        <v>40495563081600</v>
      </c>
    </row>
    <row r="284" spans="1:34" x14ac:dyDescent="0.25">
      <c r="A284" s="4">
        <v>283</v>
      </c>
      <c r="B284" s="5" t="s">
        <v>661</v>
      </c>
      <c r="C284" s="5" t="s">
        <v>662</v>
      </c>
      <c r="D284" s="5" t="s">
        <v>23</v>
      </c>
      <c r="E284" s="5" t="s">
        <v>98</v>
      </c>
      <c r="F284" s="5" t="s">
        <v>99</v>
      </c>
      <c r="G284" s="5" t="s">
        <v>144</v>
      </c>
      <c r="H284" s="4">
        <v>2858045064750</v>
      </c>
      <c r="I284" s="4">
        <v>4656225721985</v>
      </c>
      <c r="J284" s="6">
        <v>0.47310000000000002</v>
      </c>
      <c r="K284" s="6">
        <v>0.33939999999999998</v>
      </c>
      <c r="L284" s="6">
        <v>0.1956</v>
      </c>
      <c r="M284" s="4">
        <v>70268062920</v>
      </c>
      <c r="N284" s="4">
        <v>165999569336</v>
      </c>
      <c r="O284" s="4"/>
      <c r="P284" s="6">
        <v>10.534800000000001</v>
      </c>
      <c r="Q284" s="6">
        <v>1.8414999999999999</v>
      </c>
      <c r="R284" s="6">
        <v>0.19819999999999999</v>
      </c>
      <c r="S284" s="6">
        <v>-0.26600000000000001</v>
      </c>
      <c r="T284" s="4"/>
      <c r="U284" s="6">
        <v>-0.42199999999999999</v>
      </c>
      <c r="V284" s="6">
        <v>-0.54959999999999998</v>
      </c>
      <c r="W284" s="6">
        <v>-0.4839</v>
      </c>
      <c r="X284" s="6">
        <v>0.05</v>
      </c>
      <c r="Y284" s="4"/>
      <c r="Z284" s="6">
        <v>0.58940000000000003</v>
      </c>
      <c r="AA284" s="4"/>
      <c r="AB284" s="4"/>
      <c r="AC284" s="4"/>
      <c r="AD284" s="6">
        <v>0</v>
      </c>
      <c r="AE284" s="4"/>
      <c r="AF284" s="4"/>
      <c r="AG284" s="4"/>
      <c r="AH284" s="4">
        <v>2885517486000</v>
      </c>
    </row>
    <row r="285" spans="1:34" x14ac:dyDescent="0.25">
      <c r="A285" s="4">
        <v>284</v>
      </c>
      <c r="B285" s="5" t="s">
        <v>663</v>
      </c>
      <c r="C285" s="5" t="s">
        <v>664</v>
      </c>
      <c r="D285" s="5" t="s">
        <v>23</v>
      </c>
      <c r="E285" s="5" t="s">
        <v>24</v>
      </c>
      <c r="F285" s="5" t="s">
        <v>56</v>
      </c>
      <c r="G285" s="5" t="s">
        <v>57</v>
      </c>
      <c r="H285" s="4"/>
      <c r="I285" s="4"/>
      <c r="J285" s="6"/>
      <c r="K285" s="6"/>
      <c r="L285" s="6"/>
      <c r="M285" s="4"/>
      <c r="N285" s="4"/>
      <c r="O285" s="4"/>
      <c r="P285" s="6"/>
      <c r="Q285" s="6"/>
      <c r="R285" s="6"/>
      <c r="S285" s="6"/>
      <c r="T285" s="4"/>
      <c r="U285" s="6"/>
      <c r="V285" s="6"/>
      <c r="W285" s="6"/>
      <c r="X285" s="6"/>
      <c r="Y285" s="4"/>
      <c r="Z285" s="6"/>
      <c r="AA285" s="4"/>
      <c r="AB285" s="4"/>
      <c r="AC285" s="4"/>
      <c r="AD285" s="6"/>
      <c r="AE285" s="4"/>
      <c r="AF285" s="4"/>
      <c r="AG285" s="4"/>
      <c r="AH285" s="4">
        <v>3373677686400</v>
      </c>
    </row>
    <row r="286" spans="1:34" x14ac:dyDescent="0.25">
      <c r="A286" s="4">
        <v>285</v>
      </c>
      <c r="B286" s="5" t="s">
        <v>665</v>
      </c>
      <c r="C286" s="5" t="s">
        <v>666</v>
      </c>
      <c r="D286" s="5" t="s">
        <v>23</v>
      </c>
      <c r="E286" s="5" t="s">
        <v>40</v>
      </c>
      <c r="F286" s="5" t="s">
        <v>52</v>
      </c>
      <c r="G286" s="5" t="s">
        <v>110</v>
      </c>
      <c r="H286" s="4">
        <v>15000000</v>
      </c>
      <c r="I286" s="4">
        <v>30000000</v>
      </c>
      <c r="J286" s="6">
        <v>0</v>
      </c>
      <c r="K286" s="6">
        <v>0</v>
      </c>
      <c r="L286" s="6">
        <v>0</v>
      </c>
      <c r="M286" s="4">
        <v>3710899754</v>
      </c>
      <c r="N286" s="4">
        <v>8090182024</v>
      </c>
      <c r="O286" s="4"/>
      <c r="P286" s="6">
        <v>-0.48659999999999998</v>
      </c>
      <c r="Q286" s="6">
        <v>-0.29909999999999998</v>
      </c>
      <c r="R286" s="6">
        <v>-0.1394</v>
      </c>
      <c r="S286" s="6">
        <v>-0.15260000000000001</v>
      </c>
      <c r="T286" s="4"/>
      <c r="U286" s="6">
        <v>-0.99909999999999999</v>
      </c>
      <c r="V286" s="6">
        <v>-0.66769999999999996</v>
      </c>
      <c r="W286" s="6">
        <v>-0.66569999999999996</v>
      </c>
      <c r="X286" s="6">
        <v>0</v>
      </c>
      <c r="Y286" s="4"/>
      <c r="Z286" s="6">
        <v>0</v>
      </c>
      <c r="AA286" s="4"/>
      <c r="AB286" s="4"/>
      <c r="AC286" s="4"/>
      <c r="AD286" s="6">
        <v>0</v>
      </c>
      <c r="AE286" s="4"/>
      <c r="AF286" s="4"/>
      <c r="AG286" s="4"/>
      <c r="AH286" s="4">
        <v>209245556000</v>
      </c>
    </row>
    <row r="287" spans="1:34" x14ac:dyDescent="0.25">
      <c r="A287" s="4">
        <v>286</v>
      </c>
      <c r="B287" s="5" t="s">
        <v>667</v>
      </c>
      <c r="C287" s="5" t="s">
        <v>668</v>
      </c>
      <c r="D287" s="5" t="s">
        <v>23</v>
      </c>
      <c r="E287" s="5" t="s">
        <v>75</v>
      </c>
      <c r="F287" s="5" t="s">
        <v>76</v>
      </c>
      <c r="G287" s="5" t="s">
        <v>76</v>
      </c>
      <c r="H287" s="4"/>
      <c r="I287" s="4"/>
      <c r="J287" s="6"/>
      <c r="K287" s="6"/>
      <c r="L287" s="6"/>
      <c r="M287" s="4"/>
      <c r="N287" s="4"/>
      <c r="O287" s="4"/>
      <c r="P287" s="6"/>
      <c r="Q287" s="6"/>
      <c r="R287" s="6"/>
      <c r="S287" s="6"/>
      <c r="T287" s="4"/>
      <c r="U287" s="6"/>
      <c r="V287" s="6"/>
      <c r="W287" s="6"/>
      <c r="X287" s="6"/>
      <c r="Y287" s="4"/>
      <c r="Z287" s="6"/>
      <c r="AA287" s="4"/>
      <c r="AB287" s="4"/>
      <c r="AC287" s="4"/>
      <c r="AD287" s="6"/>
      <c r="AE287" s="4"/>
      <c r="AF287" s="4"/>
      <c r="AG287" s="4"/>
      <c r="AH287" s="4">
        <v>187000000000</v>
      </c>
    </row>
    <row r="288" spans="1:34" x14ac:dyDescent="0.25">
      <c r="A288" s="4">
        <v>287</v>
      </c>
      <c r="B288" s="5" t="s">
        <v>669</v>
      </c>
      <c r="C288" s="5" t="s">
        <v>670</v>
      </c>
      <c r="D288" s="5" t="s">
        <v>23</v>
      </c>
      <c r="E288" s="5" t="s">
        <v>140</v>
      </c>
      <c r="F288" s="5" t="s">
        <v>140</v>
      </c>
      <c r="G288" s="5" t="s">
        <v>671</v>
      </c>
      <c r="H288" s="4"/>
      <c r="I288" s="4"/>
      <c r="J288" s="6"/>
      <c r="K288" s="6"/>
      <c r="L288" s="6"/>
      <c r="M288" s="4"/>
      <c r="N288" s="4"/>
      <c r="O288" s="4"/>
      <c r="P288" s="6"/>
      <c r="Q288" s="6"/>
      <c r="R288" s="6"/>
      <c r="S288" s="6"/>
      <c r="T288" s="4"/>
      <c r="U288" s="6"/>
      <c r="V288" s="6"/>
      <c r="W288" s="6"/>
      <c r="X288" s="6"/>
      <c r="Y288" s="4"/>
      <c r="Z288" s="6"/>
      <c r="AA288" s="4"/>
      <c r="AB288" s="4"/>
      <c r="AC288" s="4"/>
      <c r="AD288" s="6"/>
      <c r="AE288" s="4"/>
      <c r="AF288" s="4"/>
      <c r="AG288" s="4"/>
      <c r="AH288" s="4">
        <v>16235865275000</v>
      </c>
    </row>
    <row r="289" spans="1:34" x14ac:dyDescent="0.25">
      <c r="A289" s="4">
        <v>288</v>
      </c>
      <c r="B289" s="5" t="s">
        <v>672</v>
      </c>
      <c r="C289" s="5" t="s">
        <v>673</v>
      </c>
      <c r="D289" s="5" t="s">
        <v>23</v>
      </c>
      <c r="E289" s="5" t="s">
        <v>40</v>
      </c>
      <c r="F289" s="5" t="s">
        <v>41</v>
      </c>
      <c r="G289" s="5" t="s">
        <v>557</v>
      </c>
      <c r="H289" s="4">
        <v>722768639793</v>
      </c>
      <c r="I289" s="4">
        <v>1367586681589</v>
      </c>
      <c r="J289" s="6">
        <v>0.29780000000000001</v>
      </c>
      <c r="K289" s="6">
        <v>0.3982</v>
      </c>
      <c r="L289" s="6">
        <v>0.1668</v>
      </c>
      <c r="M289" s="4">
        <v>134190628877</v>
      </c>
      <c r="N289" s="4">
        <v>209733828489</v>
      </c>
      <c r="O289" s="4"/>
      <c r="P289" s="6">
        <v>1.9807999999999999</v>
      </c>
      <c r="Q289" s="6">
        <v>1.456</v>
      </c>
      <c r="R289" s="6">
        <v>1.1472</v>
      </c>
      <c r="S289" s="6">
        <v>0.77629999999999999</v>
      </c>
      <c r="T289" s="4"/>
      <c r="U289" s="6">
        <v>-0.49349999999999999</v>
      </c>
      <c r="V289" s="6">
        <v>-2.6700000000000002E-2</v>
      </c>
      <c r="W289" s="6">
        <v>-2.9000000000000001E-2</v>
      </c>
      <c r="X289" s="6">
        <v>0</v>
      </c>
      <c r="Y289" s="4"/>
      <c r="Z289" s="6">
        <v>0.12089999999999999</v>
      </c>
      <c r="AA289" s="4"/>
      <c r="AB289" s="4"/>
      <c r="AC289" s="4"/>
      <c r="AD289" s="6">
        <v>0</v>
      </c>
      <c r="AE289" s="4"/>
      <c r="AF289" s="4"/>
      <c r="AG289" s="4"/>
      <c r="AH289" s="4">
        <v>1783682174400</v>
      </c>
    </row>
    <row r="290" spans="1:34" x14ac:dyDescent="0.25">
      <c r="A290" s="4">
        <v>289</v>
      </c>
      <c r="B290" s="5" t="s">
        <v>674</v>
      </c>
      <c r="C290" s="5" t="s">
        <v>675</v>
      </c>
      <c r="D290" s="5" t="s">
        <v>23</v>
      </c>
      <c r="E290" s="5" t="s">
        <v>40</v>
      </c>
      <c r="F290" s="5" t="s">
        <v>41</v>
      </c>
      <c r="G290" s="5" t="s">
        <v>406</v>
      </c>
      <c r="H290" s="4"/>
      <c r="I290" s="4"/>
      <c r="J290" s="6"/>
      <c r="K290" s="6"/>
      <c r="L290" s="6"/>
      <c r="M290" s="4"/>
      <c r="N290" s="4"/>
      <c r="O290" s="4"/>
      <c r="P290" s="6"/>
      <c r="Q290" s="6"/>
      <c r="R290" s="6"/>
      <c r="S290" s="6"/>
      <c r="T290" s="4"/>
      <c r="U290" s="6"/>
      <c r="V290" s="6"/>
      <c r="W290" s="6"/>
      <c r="X290" s="6"/>
      <c r="Y290" s="4"/>
      <c r="Z290" s="6"/>
      <c r="AA290" s="4"/>
      <c r="AB290" s="4"/>
      <c r="AC290" s="4"/>
      <c r="AD290" s="6"/>
      <c r="AE290" s="4"/>
      <c r="AF290" s="4"/>
      <c r="AG290" s="4"/>
      <c r="AH290" s="4">
        <v>8684238158400</v>
      </c>
    </row>
    <row r="291" spans="1:34" x14ac:dyDescent="0.25">
      <c r="A291" s="4">
        <v>290</v>
      </c>
      <c r="B291" s="5" t="s">
        <v>676</v>
      </c>
      <c r="C291" s="5" t="s">
        <v>677</v>
      </c>
      <c r="D291" s="5" t="s">
        <v>23</v>
      </c>
      <c r="E291" s="5" t="s">
        <v>75</v>
      </c>
      <c r="F291" s="5" t="s">
        <v>76</v>
      </c>
      <c r="G291" s="5" t="s">
        <v>76</v>
      </c>
      <c r="H291" s="4"/>
      <c r="I291" s="4"/>
      <c r="J291" s="6"/>
      <c r="K291" s="6"/>
      <c r="L291" s="6"/>
      <c r="M291" s="4"/>
      <c r="N291" s="4"/>
      <c r="O291" s="4"/>
      <c r="P291" s="6"/>
      <c r="Q291" s="6"/>
      <c r="R291" s="6"/>
      <c r="S291" s="6"/>
      <c r="T291" s="4"/>
      <c r="U291" s="6"/>
      <c r="V291" s="6"/>
      <c r="W291" s="6"/>
      <c r="X291" s="6"/>
      <c r="Y291" s="4"/>
      <c r="Z291" s="6"/>
      <c r="AA291" s="4"/>
      <c r="AB291" s="4"/>
      <c r="AC291" s="4"/>
      <c r="AD291" s="6"/>
      <c r="AE291" s="4"/>
      <c r="AF291" s="4"/>
      <c r="AG291" s="4"/>
      <c r="AH291" s="4">
        <v>2778804324100</v>
      </c>
    </row>
    <row r="292" spans="1:34" x14ac:dyDescent="0.25">
      <c r="A292" s="4">
        <v>291</v>
      </c>
      <c r="B292" s="5" t="s">
        <v>678</v>
      </c>
      <c r="C292" s="5" t="s">
        <v>679</v>
      </c>
      <c r="D292" s="5" t="s">
        <v>23</v>
      </c>
      <c r="E292" s="5" t="s">
        <v>40</v>
      </c>
      <c r="F292" s="5" t="s">
        <v>41</v>
      </c>
      <c r="G292" s="5" t="s">
        <v>93</v>
      </c>
      <c r="H292" s="4">
        <v>381162296385</v>
      </c>
      <c r="I292" s="4">
        <v>738844720305</v>
      </c>
      <c r="J292" s="6">
        <v>0.36209999999999998</v>
      </c>
      <c r="K292" s="6">
        <v>0.39190000000000003</v>
      </c>
      <c r="L292" s="6">
        <v>0.32379999999999998</v>
      </c>
      <c r="M292" s="4">
        <v>43095459588</v>
      </c>
      <c r="N292" s="4">
        <v>85204456082</v>
      </c>
      <c r="O292" s="4"/>
      <c r="P292" s="6">
        <v>9.4E-2</v>
      </c>
      <c r="Q292" s="6">
        <v>0.3054</v>
      </c>
      <c r="R292" s="6">
        <v>0.37530000000000002</v>
      </c>
      <c r="S292" s="6">
        <v>2.3400000000000001E-2</v>
      </c>
      <c r="T292" s="4"/>
      <c r="U292" s="6">
        <v>-0.45229999999999998</v>
      </c>
      <c r="V292" s="6">
        <v>-0.45319999999999999</v>
      </c>
      <c r="W292" s="6">
        <v>-0.45379999999999998</v>
      </c>
      <c r="X292" s="6">
        <v>4.3900000000000002E-2</v>
      </c>
      <c r="Y292" s="4"/>
      <c r="Z292" s="6">
        <v>6.5600000000000006E-2</v>
      </c>
      <c r="AA292" s="4"/>
      <c r="AB292" s="4"/>
      <c r="AC292" s="4"/>
      <c r="AD292" s="6">
        <v>0</v>
      </c>
      <c r="AE292" s="4"/>
      <c r="AF292" s="4"/>
      <c r="AG292" s="4"/>
      <c r="AH292" s="4">
        <v>1289077405000</v>
      </c>
    </row>
    <row r="293" spans="1:34" x14ac:dyDescent="0.25">
      <c r="A293" s="4">
        <v>292</v>
      </c>
      <c r="B293" s="5" t="s">
        <v>680</v>
      </c>
      <c r="C293" s="5" t="s">
        <v>681</v>
      </c>
      <c r="D293" s="5" t="s">
        <v>23</v>
      </c>
      <c r="E293" s="5" t="s">
        <v>29</v>
      </c>
      <c r="F293" s="5" t="s">
        <v>36</v>
      </c>
      <c r="G293" s="5" t="s">
        <v>126</v>
      </c>
      <c r="H293" s="4"/>
      <c r="I293" s="4"/>
      <c r="J293" s="6"/>
      <c r="K293" s="6"/>
      <c r="L293" s="6"/>
      <c r="M293" s="4"/>
      <c r="N293" s="4"/>
      <c r="O293" s="4"/>
      <c r="P293" s="6"/>
      <c r="Q293" s="6"/>
      <c r="R293" s="6"/>
      <c r="S293" s="6"/>
      <c r="T293" s="4"/>
      <c r="U293" s="6"/>
      <c r="V293" s="6"/>
      <c r="W293" s="6"/>
      <c r="X293" s="6"/>
      <c r="Y293" s="4"/>
      <c r="Z293" s="6"/>
      <c r="AA293" s="4"/>
      <c r="AB293" s="4"/>
      <c r="AC293" s="4"/>
      <c r="AD293" s="6"/>
      <c r="AE293" s="4"/>
      <c r="AF293" s="4"/>
      <c r="AG293" s="4"/>
      <c r="AH293" s="4">
        <v>1883793520000</v>
      </c>
    </row>
    <row r="294" spans="1:34" x14ac:dyDescent="0.25">
      <c r="A294" s="4">
        <v>293</v>
      </c>
      <c r="B294" s="5" t="s">
        <v>682</v>
      </c>
      <c r="C294" s="5" t="s">
        <v>683</v>
      </c>
      <c r="D294" s="5" t="s">
        <v>23</v>
      </c>
      <c r="E294" s="5" t="s">
        <v>98</v>
      </c>
      <c r="F294" s="5" t="s">
        <v>99</v>
      </c>
      <c r="G294" s="5" t="s">
        <v>144</v>
      </c>
      <c r="H294" s="4"/>
      <c r="I294" s="4"/>
      <c r="J294" s="6"/>
      <c r="K294" s="6"/>
      <c r="L294" s="6"/>
      <c r="M294" s="4"/>
      <c r="N294" s="4"/>
      <c r="O294" s="4"/>
      <c r="P294" s="6"/>
      <c r="Q294" s="6"/>
      <c r="R294" s="6"/>
      <c r="S294" s="6"/>
      <c r="T294" s="4"/>
      <c r="U294" s="6"/>
      <c r="V294" s="6"/>
      <c r="W294" s="6"/>
      <c r="X294" s="6"/>
      <c r="Y294" s="4"/>
      <c r="Z294" s="6"/>
      <c r="AA294" s="4"/>
      <c r="AB294" s="4"/>
      <c r="AC294" s="4"/>
      <c r="AD294" s="6"/>
      <c r="AE294" s="4"/>
      <c r="AF294" s="4"/>
      <c r="AG294" s="4"/>
      <c r="AH294" s="4">
        <v>27314122728600</v>
      </c>
    </row>
    <row r="295" spans="1:34" x14ac:dyDescent="0.25">
      <c r="A295" s="4">
        <v>294</v>
      </c>
      <c r="B295" s="5" t="s">
        <v>684</v>
      </c>
      <c r="C295" s="5" t="s">
        <v>685</v>
      </c>
      <c r="D295" s="5" t="s">
        <v>23</v>
      </c>
      <c r="E295" s="5" t="s">
        <v>40</v>
      </c>
      <c r="F295" s="5" t="s">
        <v>52</v>
      </c>
      <c r="G295" s="5" t="s">
        <v>53</v>
      </c>
      <c r="H295" s="4"/>
      <c r="I295" s="4"/>
      <c r="J295" s="6"/>
      <c r="K295" s="6"/>
      <c r="L295" s="6"/>
      <c r="M295" s="4"/>
      <c r="N295" s="4"/>
      <c r="O295" s="4"/>
      <c r="P295" s="6"/>
      <c r="Q295" s="6"/>
      <c r="R295" s="6"/>
      <c r="S295" s="6"/>
      <c r="T295" s="4"/>
      <c r="U295" s="6"/>
      <c r="V295" s="6"/>
      <c r="W295" s="6"/>
      <c r="X295" s="6"/>
      <c r="Y295" s="4"/>
      <c r="Z295" s="6"/>
      <c r="AA295" s="4"/>
      <c r="AB295" s="4"/>
      <c r="AC295" s="4"/>
      <c r="AD295" s="6"/>
      <c r="AE295" s="4"/>
      <c r="AF295" s="4"/>
      <c r="AG295" s="4"/>
      <c r="AH295" s="4">
        <v>412650000000</v>
      </c>
    </row>
    <row r="296" spans="1:34" x14ac:dyDescent="0.25">
      <c r="A296" s="4">
        <v>295</v>
      </c>
      <c r="B296" s="5" t="s">
        <v>686</v>
      </c>
      <c r="C296" s="5" t="s">
        <v>687</v>
      </c>
      <c r="D296" s="5" t="s">
        <v>23</v>
      </c>
      <c r="E296" s="5" t="s">
        <v>98</v>
      </c>
      <c r="F296" s="5" t="s">
        <v>99</v>
      </c>
      <c r="G296" s="5" t="s">
        <v>144</v>
      </c>
      <c r="H296" s="4">
        <v>62433393301</v>
      </c>
      <c r="I296" s="4">
        <v>116054434970</v>
      </c>
      <c r="J296" s="6">
        <v>-1.7000000000000001E-2</v>
      </c>
      <c r="K296" s="6">
        <v>4.8099999999999997E-2</v>
      </c>
      <c r="L296" s="6">
        <v>0.29210000000000003</v>
      </c>
      <c r="M296" s="4">
        <v>16641560522</v>
      </c>
      <c r="N296" s="4">
        <v>64060282232</v>
      </c>
      <c r="O296" s="4"/>
      <c r="P296" s="6">
        <v>0.18</v>
      </c>
      <c r="Q296" s="6">
        <v>0.96750000000000003</v>
      </c>
      <c r="R296" s="6">
        <v>1.2616000000000001</v>
      </c>
      <c r="S296" s="6">
        <v>-0.64910000000000001</v>
      </c>
      <c r="T296" s="4"/>
      <c r="U296" s="6">
        <v>-0.60919999999999996</v>
      </c>
      <c r="V296" s="6">
        <v>-0.35549999999999998</v>
      </c>
      <c r="W296" s="6">
        <v>-0.35589999999999999</v>
      </c>
      <c r="X296" s="6">
        <v>9.2600000000000002E-2</v>
      </c>
      <c r="Y296" s="4"/>
      <c r="Z296" s="6">
        <v>0.1643</v>
      </c>
      <c r="AA296" s="4"/>
      <c r="AB296" s="4"/>
      <c r="AC296" s="4"/>
      <c r="AD296" s="6">
        <v>0</v>
      </c>
      <c r="AE296" s="4"/>
      <c r="AF296" s="4"/>
      <c r="AG296" s="4"/>
      <c r="AH296" s="4">
        <v>1367280000000</v>
      </c>
    </row>
    <row r="297" spans="1:34" x14ac:dyDescent="0.25">
      <c r="A297" s="4">
        <v>296</v>
      </c>
      <c r="B297" s="5" t="s">
        <v>688</v>
      </c>
      <c r="C297" s="5" t="s">
        <v>689</v>
      </c>
      <c r="D297" s="5" t="s">
        <v>23</v>
      </c>
      <c r="E297" s="5" t="s">
        <v>29</v>
      </c>
      <c r="F297" s="5" t="s">
        <v>30</v>
      </c>
      <c r="G297" s="5" t="s">
        <v>117</v>
      </c>
      <c r="H297" s="4"/>
      <c r="I297" s="4"/>
      <c r="J297" s="6"/>
      <c r="K297" s="6"/>
      <c r="L297" s="6"/>
      <c r="M297" s="4"/>
      <c r="N297" s="4"/>
      <c r="O297" s="4"/>
      <c r="P297" s="6"/>
      <c r="Q297" s="6"/>
      <c r="R297" s="6"/>
      <c r="S297" s="6"/>
      <c r="T297" s="4"/>
      <c r="U297" s="6"/>
      <c r="V297" s="6"/>
      <c r="W297" s="6"/>
      <c r="X297" s="6"/>
      <c r="Y297" s="4"/>
      <c r="Z297" s="6"/>
      <c r="AA297" s="4"/>
      <c r="AB297" s="4"/>
      <c r="AC297" s="4"/>
      <c r="AD297" s="6"/>
      <c r="AE297" s="4"/>
      <c r="AF297" s="4"/>
      <c r="AG297" s="4"/>
      <c r="AH297" s="4">
        <v>60216303365400</v>
      </c>
    </row>
    <row r="298" spans="1:34" x14ac:dyDescent="0.25">
      <c r="A298" s="4">
        <v>297</v>
      </c>
      <c r="B298" s="5" t="s">
        <v>690</v>
      </c>
      <c r="C298" s="5" t="s">
        <v>691</v>
      </c>
      <c r="D298" s="5" t="s">
        <v>23</v>
      </c>
      <c r="E298" s="5" t="s">
        <v>185</v>
      </c>
      <c r="F298" s="5" t="s">
        <v>185</v>
      </c>
      <c r="G298" s="5" t="s">
        <v>310</v>
      </c>
      <c r="H298" s="4"/>
      <c r="I298" s="4"/>
      <c r="J298" s="6"/>
      <c r="K298" s="6"/>
      <c r="L298" s="6"/>
      <c r="M298" s="4"/>
      <c r="N298" s="4"/>
      <c r="O298" s="4"/>
      <c r="P298" s="6"/>
      <c r="Q298" s="6"/>
      <c r="R298" s="6"/>
      <c r="S298" s="6"/>
      <c r="T298" s="4"/>
      <c r="U298" s="6"/>
      <c r="V298" s="6"/>
      <c r="W298" s="6"/>
      <c r="X298" s="6"/>
      <c r="Y298" s="4"/>
      <c r="Z298" s="6"/>
      <c r="AA298" s="4"/>
      <c r="AB298" s="4"/>
      <c r="AC298" s="4"/>
      <c r="AD298" s="6"/>
      <c r="AE298" s="4"/>
      <c r="AF298" s="4"/>
      <c r="AG298" s="4"/>
      <c r="AH298" s="4">
        <v>2287638988240</v>
      </c>
    </row>
    <row r="299" spans="1:34" x14ac:dyDescent="0.25">
      <c r="A299" s="4">
        <v>298</v>
      </c>
      <c r="B299" s="5" t="s">
        <v>692</v>
      </c>
      <c r="C299" s="5" t="s">
        <v>693</v>
      </c>
      <c r="D299" s="5" t="s">
        <v>23</v>
      </c>
      <c r="E299" s="5" t="s">
        <v>24</v>
      </c>
      <c r="F299" s="5" t="s">
        <v>56</v>
      </c>
      <c r="G299" s="5" t="s">
        <v>57</v>
      </c>
      <c r="H299" s="4">
        <v>304190447768</v>
      </c>
      <c r="I299" s="4">
        <v>603511599501</v>
      </c>
      <c r="J299" s="6">
        <v>0.2797</v>
      </c>
      <c r="K299" s="6">
        <v>0.17649999999999999</v>
      </c>
      <c r="L299" s="6">
        <v>9.5399999999999999E-2</v>
      </c>
      <c r="M299" s="4">
        <v>2241568522</v>
      </c>
      <c r="N299" s="4">
        <v>24034811514</v>
      </c>
      <c r="O299" s="4"/>
      <c r="P299" s="6">
        <v>1.0992999999999999</v>
      </c>
      <c r="Q299" s="6">
        <v>5.1482000000000001</v>
      </c>
      <c r="R299" s="6">
        <v>9.2291000000000007</v>
      </c>
      <c r="S299" s="6">
        <v>-0.89710000000000001</v>
      </c>
      <c r="T299" s="4"/>
      <c r="U299" s="6">
        <v>-0.49709999999999999</v>
      </c>
      <c r="V299" s="6">
        <v>-0.37409999999999999</v>
      </c>
      <c r="W299" s="6">
        <v>-0.37409999999999999</v>
      </c>
      <c r="X299" s="6">
        <v>0.1176</v>
      </c>
      <c r="Y299" s="4"/>
      <c r="Z299" s="6">
        <v>1.6299999999999999E-2</v>
      </c>
      <c r="AA299" s="4"/>
      <c r="AB299" s="4"/>
      <c r="AC299" s="4"/>
      <c r="AD299" s="6">
        <v>0</v>
      </c>
      <c r="AE299" s="4"/>
      <c r="AF299" s="4"/>
      <c r="AG299" s="4"/>
      <c r="AH299" s="4">
        <v>348517552500</v>
      </c>
    </row>
    <row r="300" spans="1:34" x14ac:dyDescent="0.25">
      <c r="A300" s="4">
        <v>299</v>
      </c>
      <c r="B300" s="5" t="s">
        <v>694</v>
      </c>
      <c r="C300" s="5" t="s">
        <v>695</v>
      </c>
      <c r="D300" s="5" t="s">
        <v>23</v>
      </c>
      <c r="E300" s="5" t="s">
        <v>98</v>
      </c>
      <c r="F300" s="5" t="s">
        <v>99</v>
      </c>
      <c r="G300" s="5" t="s">
        <v>144</v>
      </c>
      <c r="H300" s="4">
        <v>48234623008</v>
      </c>
      <c r="I300" s="4">
        <v>120586268192</v>
      </c>
      <c r="J300" s="6">
        <v>-0.17749999999999999</v>
      </c>
      <c r="K300" s="6">
        <v>-0.14030000000000001</v>
      </c>
      <c r="L300" s="6">
        <v>0.14230000000000001</v>
      </c>
      <c r="M300" s="4">
        <v>18904023373</v>
      </c>
      <c r="N300" s="4">
        <v>51584402757</v>
      </c>
      <c r="O300" s="4"/>
      <c r="P300" s="6">
        <v>-0.23</v>
      </c>
      <c r="Q300" s="6">
        <v>-0.15029999999999999</v>
      </c>
      <c r="R300" s="6">
        <v>0.12909999999999999</v>
      </c>
      <c r="S300" s="6">
        <v>-0.42149999999999999</v>
      </c>
      <c r="T300" s="4"/>
      <c r="U300" s="6">
        <v>-0.49969999999999998</v>
      </c>
      <c r="V300" s="6">
        <v>-0.47049999999999997</v>
      </c>
      <c r="W300" s="6">
        <v>-0.46789999999999998</v>
      </c>
      <c r="X300" s="6">
        <v>0</v>
      </c>
      <c r="Y300" s="4"/>
      <c r="Z300" s="6">
        <v>-0.33329999999999999</v>
      </c>
      <c r="AA300" s="4"/>
      <c r="AB300" s="4"/>
      <c r="AC300" s="4"/>
      <c r="AD300" s="6">
        <v>0</v>
      </c>
      <c r="AE300" s="4"/>
      <c r="AF300" s="4"/>
      <c r="AG300" s="4"/>
      <c r="AH300" s="4">
        <v>1548499481600</v>
      </c>
    </row>
    <row r="301" spans="1:34" x14ac:dyDescent="0.25">
      <c r="A301" s="4">
        <v>300</v>
      </c>
      <c r="B301" s="5" t="s">
        <v>696</v>
      </c>
      <c r="C301" s="5" t="s">
        <v>697</v>
      </c>
      <c r="D301" s="5" t="s">
        <v>23</v>
      </c>
      <c r="E301" s="5" t="s">
        <v>40</v>
      </c>
      <c r="F301" s="5" t="s">
        <v>41</v>
      </c>
      <c r="G301" s="5" t="s">
        <v>698</v>
      </c>
      <c r="H301" s="4"/>
      <c r="I301" s="4"/>
      <c r="J301" s="6"/>
      <c r="K301" s="6"/>
      <c r="L301" s="6"/>
      <c r="M301" s="4"/>
      <c r="N301" s="4"/>
      <c r="O301" s="4"/>
      <c r="P301" s="6"/>
      <c r="Q301" s="6"/>
      <c r="R301" s="6"/>
      <c r="S301" s="6"/>
      <c r="T301" s="4"/>
      <c r="U301" s="6"/>
      <c r="V301" s="6"/>
      <c r="W301" s="6"/>
      <c r="X301" s="6"/>
      <c r="Y301" s="4"/>
      <c r="Z301" s="6"/>
      <c r="AA301" s="4"/>
      <c r="AB301" s="4"/>
      <c r="AC301" s="4"/>
      <c r="AD301" s="6"/>
      <c r="AE301" s="4"/>
      <c r="AF301" s="4"/>
      <c r="AG301" s="4"/>
      <c r="AH301" s="4">
        <v>716999008150</v>
      </c>
    </row>
    <row r="302" spans="1:34" x14ac:dyDescent="0.25">
      <c r="A302" s="4">
        <v>301</v>
      </c>
      <c r="B302" s="5" t="s">
        <v>699</v>
      </c>
      <c r="C302" s="5" t="s">
        <v>700</v>
      </c>
      <c r="D302" s="5" t="s">
        <v>23</v>
      </c>
      <c r="E302" s="5" t="s">
        <v>29</v>
      </c>
      <c r="F302" s="5" t="s">
        <v>30</v>
      </c>
      <c r="G302" s="5" t="s">
        <v>83</v>
      </c>
      <c r="H302" s="4"/>
      <c r="I302" s="4"/>
      <c r="J302" s="6"/>
      <c r="K302" s="6"/>
      <c r="L302" s="6"/>
      <c r="M302" s="4"/>
      <c r="N302" s="4"/>
      <c r="O302" s="4"/>
      <c r="P302" s="6"/>
      <c r="Q302" s="6"/>
      <c r="R302" s="6"/>
      <c r="S302" s="6"/>
      <c r="T302" s="4"/>
      <c r="U302" s="6"/>
      <c r="V302" s="6"/>
      <c r="W302" s="6"/>
      <c r="X302" s="6"/>
      <c r="Y302" s="4"/>
      <c r="Z302" s="6"/>
      <c r="AA302" s="4"/>
      <c r="AB302" s="4"/>
      <c r="AC302" s="4"/>
      <c r="AD302" s="6"/>
      <c r="AE302" s="4"/>
      <c r="AF302" s="4"/>
      <c r="AG302" s="4"/>
      <c r="AH302" s="4">
        <v>18898753625700</v>
      </c>
    </row>
    <row r="303" spans="1:34" x14ac:dyDescent="0.25">
      <c r="A303" s="4">
        <v>302</v>
      </c>
      <c r="B303" s="5" t="s">
        <v>701</v>
      </c>
      <c r="C303" s="5" t="s">
        <v>702</v>
      </c>
      <c r="D303" s="5" t="s">
        <v>23</v>
      </c>
      <c r="E303" s="5" t="s">
        <v>62</v>
      </c>
      <c r="F303" s="5" t="s">
        <v>71</v>
      </c>
      <c r="G303" s="5" t="s">
        <v>103</v>
      </c>
      <c r="H303" s="4"/>
      <c r="I303" s="4"/>
      <c r="J303" s="6"/>
      <c r="K303" s="6"/>
      <c r="L303" s="6"/>
      <c r="M303" s="4"/>
      <c r="N303" s="4"/>
      <c r="O303" s="4"/>
      <c r="P303" s="6"/>
      <c r="Q303" s="6"/>
      <c r="R303" s="6"/>
      <c r="S303" s="6"/>
      <c r="T303" s="4"/>
      <c r="U303" s="6"/>
      <c r="V303" s="6"/>
      <c r="W303" s="6"/>
      <c r="X303" s="6"/>
      <c r="Y303" s="4"/>
      <c r="Z303" s="6"/>
      <c r="AA303" s="4"/>
      <c r="AB303" s="4"/>
      <c r="AC303" s="4"/>
      <c r="AD303" s="6"/>
      <c r="AE303" s="4"/>
      <c r="AF303" s="4"/>
      <c r="AG303" s="4"/>
      <c r="AH303" s="4">
        <v>169271342200</v>
      </c>
    </row>
    <row r="304" spans="1:34" x14ac:dyDescent="0.25">
      <c r="A304" s="4">
        <v>303</v>
      </c>
      <c r="B304" s="5" t="s">
        <v>703</v>
      </c>
      <c r="C304" s="5" t="s">
        <v>704</v>
      </c>
      <c r="D304" s="5" t="s">
        <v>23</v>
      </c>
      <c r="E304" s="5" t="s">
        <v>40</v>
      </c>
      <c r="F304" s="5" t="s">
        <v>52</v>
      </c>
      <c r="G304" s="5" t="s">
        <v>110</v>
      </c>
      <c r="H304" s="4"/>
      <c r="I304" s="4"/>
      <c r="J304" s="6"/>
      <c r="K304" s="6"/>
      <c r="L304" s="6"/>
      <c r="M304" s="4"/>
      <c r="N304" s="4"/>
      <c r="O304" s="4"/>
      <c r="P304" s="6"/>
      <c r="Q304" s="6"/>
      <c r="R304" s="6"/>
      <c r="S304" s="6"/>
      <c r="T304" s="4"/>
      <c r="U304" s="6"/>
      <c r="V304" s="6"/>
      <c r="W304" s="6"/>
      <c r="X304" s="6"/>
      <c r="Y304" s="4"/>
      <c r="Z304" s="6"/>
      <c r="AA304" s="4"/>
      <c r="AB304" s="4"/>
      <c r="AC304" s="4"/>
      <c r="AD304" s="6"/>
      <c r="AE304" s="4"/>
      <c r="AF304" s="4"/>
      <c r="AG304" s="4"/>
      <c r="AH304" s="4">
        <v>239735984000</v>
      </c>
    </row>
    <row r="305" spans="1:34" x14ac:dyDescent="0.25">
      <c r="A305" s="4">
        <v>304</v>
      </c>
      <c r="B305" s="5" t="s">
        <v>705</v>
      </c>
      <c r="C305" s="5" t="s">
        <v>706</v>
      </c>
      <c r="D305" s="5" t="s">
        <v>23</v>
      </c>
      <c r="E305" s="5" t="s">
        <v>75</v>
      </c>
      <c r="F305" s="5" t="s">
        <v>76</v>
      </c>
      <c r="G305" s="5" t="s">
        <v>76</v>
      </c>
      <c r="H305" s="4"/>
      <c r="I305" s="4"/>
      <c r="J305" s="6"/>
      <c r="K305" s="6"/>
      <c r="L305" s="6"/>
      <c r="M305" s="4"/>
      <c r="N305" s="4"/>
      <c r="O305" s="4"/>
      <c r="P305" s="6"/>
      <c r="Q305" s="6"/>
      <c r="R305" s="6"/>
      <c r="S305" s="6"/>
      <c r="T305" s="4"/>
      <c r="U305" s="6"/>
      <c r="V305" s="6"/>
      <c r="W305" s="6"/>
      <c r="X305" s="6"/>
      <c r="Y305" s="4"/>
      <c r="Z305" s="6"/>
      <c r="AA305" s="4"/>
      <c r="AB305" s="4"/>
      <c r="AC305" s="4"/>
      <c r="AD305" s="6"/>
      <c r="AE305" s="4"/>
      <c r="AF305" s="4"/>
      <c r="AG305" s="4"/>
      <c r="AH305" s="4">
        <v>2023796669200</v>
      </c>
    </row>
    <row r="306" spans="1:34" x14ac:dyDescent="0.25">
      <c r="A306" s="4">
        <v>305</v>
      </c>
      <c r="B306" s="5" t="s">
        <v>707</v>
      </c>
      <c r="C306" s="5" t="s">
        <v>708</v>
      </c>
      <c r="D306" s="5" t="s">
        <v>23</v>
      </c>
      <c r="E306" s="5" t="s">
        <v>62</v>
      </c>
      <c r="F306" s="5" t="s">
        <v>226</v>
      </c>
      <c r="G306" s="5" t="s">
        <v>481</v>
      </c>
      <c r="H306" s="4">
        <v>279258342133</v>
      </c>
      <c r="I306" s="4">
        <v>551227493250</v>
      </c>
      <c r="J306" s="6">
        <v>-4.2799999999999998E-2</v>
      </c>
      <c r="K306" s="6">
        <v>-1.23E-2</v>
      </c>
      <c r="L306" s="6">
        <v>3.0599999999999999E-2</v>
      </c>
      <c r="M306" s="4">
        <v>187336717196</v>
      </c>
      <c r="N306" s="4">
        <v>360628646509</v>
      </c>
      <c r="O306" s="4"/>
      <c r="P306" s="6">
        <v>-9.1000000000000004E-3</v>
      </c>
      <c r="Q306" s="6">
        <v>4.5999999999999999E-3</v>
      </c>
      <c r="R306" s="6">
        <v>3.6900000000000002E-2</v>
      </c>
      <c r="S306" s="6">
        <v>8.1000000000000003E-2</v>
      </c>
      <c r="T306" s="4"/>
      <c r="U306" s="6">
        <v>-0.57599999999999996</v>
      </c>
      <c r="V306" s="6">
        <v>-0.52810000000000001</v>
      </c>
      <c r="W306" s="6">
        <v>-0.53039999999999998</v>
      </c>
      <c r="X306" s="6">
        <v>6.3899999999999998E-2</v>
      </c>
      <c r="Y306" s="4"/>
      <c r="Z306" s="6">
        <v>2.6800000000000001E-2</v>
      </c>
      <c r="AA306" s="4"/>
      <c r="AB306" s="4"/>
      <c r="AC306" s="4"/>
      <c r="AD306" s="6">
        <v>0</v>
      </c>
      <c r="AE306" s="4"/>
      <c r="AF306" s="4"/>
      <c r="AG306" s="4"/>
      <c r="AH306" s="4">
        <v>4502865669900</v>
      </c>
    </row>
    <row r="307" spans="1:34" x14ac:dyDescent="0.25">
      <c r="A307" s="4">
        <v>306</v>
      </c>
      <c r="B307" s="5" t="s">
        <v>709</v>
      </c>
      <c r="C307" s="5" t="s">
        <v>710</v>
      </c>
      <c r="D307" s="5" t="s">
        <v>23</v>
      </c>
      <c r="E307" s="5" t="s">
        <v>98</v>
      </c>
      <c r="F307" s="5" t="s">
        <v>99</v>
      </c>
      <c r="G307" s="5" t="s">
        <v>100</v>
      </c>
      <c r="H307" s="4"/>
      <c r="I307" s="4"/>
      <c r="J307" s="6"/>
      <c r="K307" s="6"/>
      <c r="L307" s="6"/>
      <c r="M307" s="4"/>
      <c r="N307" s="4"/>
      <c r="O307" s="4"/>
      <c r="P307" s="6"/>
      <c r="Q307" s="6"/>
      <c r="R307" s="6"/>
      <c r="S307" s="6"/>
      <c r="T307" s="4"/>
      <c r="U307" s="6"/>
      <c r="V307" s="6"/>
      <c r="W307" s="6"/>
      <c r="X307" s="6"/>
      <c r="Y307" s="4"/>
      <c r="Z307" s="6"/>
      <c r="AA307" s="4"/>
      <c r="AB307" s="4"/>
      <c r="AC307" s="4"/>
      <c r="AD307" s="6"/>
      <c r="AE307" s="4"/>
      <c r="AF307" s="4"/>
      <c r="AG307" s="4"/>
      <c r="AH307" s="4">
        <v>190261084150</v>
      </c>
    </row>
    <row r="308" spans="1:34" x14ac:dyDescent="0.25">
      <c r="A308" s="4">
        <v>307</v>
      </c>
      <c r="B308" s="5" t="s">
        <v>711</v>
      </c>
      <c r="C308" s="5" t="s">
        <v>712</v>
      </c>
      <c r="D308" s="5" t="s">
        <v>23</v>
      </c>
      <c r="E308" s="5" t="s">
        <v>24</v>
      </c>
      <c r="F308" s="5" t="s">
        <v>25</v>
      </c>
      <c r="G308" s="5" t="s">
        <v>45</v>
      </c>
      <c r="H308" s="4">
        <v>687817064792</v>
      </c>
      <c r="I308" s="4">
        <v>1706727883534</v>
      </c>
      <c r="J308" s="6">
        <v>0.20150000000000001</v>
      </c>
      <c r="K308" s="6">
        <v>0.61050000000000004</v>
      </c>
      <c r="L308" s="6">
        <v>0.29630000000000001</v>
      </c>
      <c r="M308" s="4">
        <v>16024070246</v>
      </c>
      <c r="N308" s="4">
        <v>25679409888</v>
      </c>
      <c r="O308" s="4"/>
      <c r="P308" s="6">
        <v>0.33069999999999999</v>
      </c>
      <c r="Q308" s="6">
        <v>0.39169999999999999</v>
      </c>
      <c r="R308" s="6">
        <v>4.1599999999999998E-2</v>
      </c>
      <c r="S308" s="6">
        <v>0.65959999999999996</v>
      </c>
      <c r="T308" s="4"/>
      <c r="U308" s="6">
        <v>-0.25790000000000002</v>
      </c>
      <c r="V308" s="6">
        <v>-0.23419999999999999</v>
      </c>
      <c r="W308" s="6">
        <v>-0.23569999999999999</v>
      </c>
      <c r="X308" s="6">
        <v>4.6100000000000002E-2</v>
      </c>
      <c r="Y308" s="4"/>
      <c r="Z308" s="6">
        <v>-0.32490000000000002</v>
      </c>
      <c r="AA308" s="4"/>
      <c r="AB308" s="4"/>
      <c r="AC308" s="4"/>
      <c r="AD308" s="6">
        <v>0</v>
      </c>
      <c r="AE308" s="4"/>
      <c r="AF308" s="4"/>
      <c r="AG308" s="4"/>
      <c r="AH308" s="4">
        <v>519686063050</v>
      </c>
    </row>
    <row r="309" spans="1:34" x14ac:dyDescent="0.25">
      <c r="A309" s="4">
        <v>308</v>
      </c>
      <c r="B309" s="5" t="s">
        <v>713</v>
      </c>
      <c r="C309" s="5" t="s">
        <v>714</v>
      </c>
      <c r="D309" s="5" t="s">
        <v>23</v>
      </c>
      <c r="E309" s="5" t="s">
        <v>40</v>
      </c>
      <c r="F309" s="5" t="s">
        <v>41</v>
      </c>
      <c r="G309" s="5" t="s">
        <v>406</v>
      </c>
      <c r="H309" s="4"/>
      <c r="I309" s="4"/>
      <c r="J309" s="6"/>
      <c r="K309" s="6"/>
      <c r="L309" s="6"/>
      <c r="M309" s="4"/>
      <c r="N309" s="4"/>
      <c r="O309" s="4"/>
      <c r="P309" s="6"/>
      <c r="Q309" s="6"/>
      <c r="R309" s="6"/>
      <c r="S309" s="6"/>
      <c r="T309" s="4"/>
      <c r="U309" s="6"/>
      <c r="V309" s="6"/>
      <c r="W309" s="6"/>
      <c r="X309" s="6"/>
      <c r="Y309" s="4"/>
      <c r="Z309" s="6"/>
      <c r="AA309" s="4"/>
      <c r="AB309" s="4"/>
      <c r="AC309" s="4"/>
      <c r="AD309" s="6"/>
      <c r="AE309" s="4"/>
      <c r="AF309" s="4"/>
      <c r="AG309" s="4"/>
      <c r="AH309" s="4">
        <v>632112884000</v>
      </c>
    </row>
    <row r="310" spans="1:34" x14ac:dyDescent="0.25">
      <c r="A310" s="4">
        <v>309</v>
      </c>
      <c r="B310" s="5" t="s">
        <v>715</v>
      </c>
      <c r="C310" s="5" t="s">
        <v>716</v>
      </c>
      <c r="D310" s="5" t="s">
        <v>23</v>
      </c>
      <c r="E310" s="5" t="s">
        <v>40</v>
      </c>
      <c r="F310" s="5" t="s">
        <v>41</v>
      </c>
      <c r="G310" s="5" t="s">
        <v>93</v>
      </c>
      <c r="H310" s="4"/>
      <c r="I310" s="4"/>
      <c r="J310" s="6"/>
      <c r="K310" s="6"/>
      <c r="L310" s="6"/>
      <c r="M310" s="4"/>
      <c r="N310" s="4"/>
      <c r="O310" s="4"/>
      <c r="P310" s="6"/>
      <c r="Q310" s="6"/>
      <c r="R310" s="6"/>
      <c r="S310" s="6"/>
      <c r="T310" s="4"/>
      <c r="U310" s="6"/>
      <c r="V310" s="6"/>
      <c r="W310" s="6"/>
      <c r="X310" s="6"/>
      <c r="Y310" s="4"/>
      <c r="Z310" s="6"/>
      <c r="AA310" s="4"/>
      <c r="AB310" s="4"/>
      <c r="AC310" s="4"/>
      <c r="AD310" s="6"/>
      <c r="AE310" s="4"/>
      <c r="AF310" s="4"/>
      <c r="AG310" s="4"/>
      <c r="AH310" s="4">
        <v>1785474900300</v>
      </c>
    </row>
    <row r="311" spans="1:34" x14ac:dyDescent="0.25">
      <c r="A311" s="4">
        <v>310</v>
      </c>
      <c r="B311" s="5" t="s">
        <v>717</v>
      </c>
      <c r="C311" s="5" t="s">
        <v>718</v>
      </c>
      <c r="D311" s="5" t="s">
        <v>23</v>
      </c>
      <c r="E311" s="5" t="s">
        <v>75</v>
      </c>
      <c r="F311" s="5" t="s">
        <v>76</v>
      </c>
      <c r="G311" s="5" t="s">
        <v>76</v>
      </c>
      <c r="H311" s="4"/>
      <c r="I311" s="4"/>
      <c r="J311" s="6"/>
      <c r="K311" s="6"/>
      <c r="L311" s="6"/>
      <c r="M311" s="4"/>
      <c r="N311" s="4"/>
      <c r="O311" s="4"/>
      <c r="P311" s="6"/>
      <c r="Q311" s="6"/>
      <c r="R311" s="6"/>
      <c r="S311" s="6"/>
      <c r="T311" s="4"/>
      <c r="U311" s="6"/>
      <c r="V311" s="6"/>
      <c r="W311" s="6"/>
      <c r="X311" s="6"/>
      <c r="Y311" s="4"/>
      <c r="Z311" s="6"/>
      <c r="AA311" s="4"/>
      <c r="AB311" s="4"/>
      <c r="AC311" s="4"/>
      <c r="AD311" s="6"/>
      <c r="AE311" s="4"/>
      <c r="AF311" s="4"/>
      <c r="AG311" s="4"/>
      <c r="AH311" s="4">
        <v>841993617450</v>
      </c>
    </row>
    <row r="312" spans="1:34" x14ac:dyDescent="0.25">
      <c r="A312" s="4">
        <v>311</v>
      </c>
      <c r="B312" s="5" t="s">
        <v>719</v>
      </c>
      <c r="C312" s="5" t="s">
        <v>720</v>
      </c>
      <c r="D312" s="5" t="s">
        <v>23</v>
      </c>
      <c r="E312" s="5" t="s">
        <v>185</v>
      </c>
      <c r="F312" s="5" t="s">
        <v>185</v>
      </c>
      <c r="G312" s="5" t="s">
        <v>721</v>
      </c>
      <c r="H312" s="4"/>
      <c r="I312" s="4"/>
      <c r="J312" s="6"/>
      <c r="K312" s="6"/>
      <c r="L312" s="6"/>
      <c r="M312" s="4"/>
      <c r="N312" s="4"/>
      <c r="O312" s="4"/>
      <c r="P312" s="6"/>
      <c r="Q312" s="6"/>
      <c r="R312" s="6"/>
      <c r="S312" s="6"/>
      <c r="T312" s="4"/>
      <c r="U312" s="6"/>
      <c r="V312" s="6"/>
      <c r="W312" s="6"/>
      <c r="X312" s="6"/>
      <c r="Y312" s="4"/>
      <c r="Z312" s="6"/>
      <c r="AA312" s="4"/>
      <c r="AB312" s="4"/>
      <c r="AC312" s="4"/>
      <c r="AD312" s="6"/>
      <c r="AE312" s="4"/>
      <c r="AF312" s="4"/>
      <c r="AG312" s="4"/>
      <c r="AH312" s="4">
        <v>1591034486000</v>
      </c>
    </row>
    <row r="313" spans="1:34" x14ac:dyDescent="0.25">
      <c r="A313" s="4">
        <v>312</v>
      </c>
      <c r="B313" s="5" t="s">
        <v>722</v>
      </c>
      <c r="C313" s="5" t="s">
        <v>723</v>
      </c>
      <c r="D313" s="5" t="s">
        <v>23</v>
      </c>
      <c r="E313" s="5" t="s">
        <v>24</v>
      </c>
      <c r="F313" s="5" t="s">
        <v>56</v>
      </c>
      <c r="G313" s="5" t="s">
        <v>291</v>
      </c>
      <c r="H313" s="4"/>
      <c r="I313" s="4"/>
      <c r="J313" s="6"/>
      <c r="K313" s="6"/>
      <c r="L313" s="6"/>
      <c r="M313" s="4"/>
      <c r="N313" s="4"/>
      <c r="O313" s="4"/>
      <c r="P313" s="6"/>
      <c r="Q313" s="6"/>
      <c r="R313" s="6"/>
      <c r="S313" s="6"/>
      <c r="T313" s="4"/>
      <c r="U313" s="6"/>
      <c r="V313" s="6"/>
      <c r="W313" s="6"/>
      <c r="X313" s="6"/>
      <c r="Y313" s="4"/>
      <c r="Z313" s="6"/>
      <c r="AA313" s="4"/>
      <c r="AB313" s="4"/>
      <c r="AC313" s="4"/>
      <c r="AD313" s="6"/>
      <c r="AE313" s="4"/>
      <c r="AF313" s="4"/>
      <c r="AG313" s="4"/>
      <c r="AH313" s="4">
        <v>136611478480</v>
      </c>
    </row>
    <row r="314" spans="1:34" x14ac:dyDescent="0.25">
      <c r="A314" s="4">
        <v>313</v>
      </c>
      <c r="B314" s="5" t="s">
        <v>724</v>
      </c>
      <c r="C314" s="5" t="s">
        <v>724</v>
      </c>
      <c r="D314" s="5" t="s">
        <v>23</v>
      </c>
      <c r="E314" s="5" t="s">
        <v>49</v>
      </c>
      <c r="F314" s="5" t="s">
        <v>49</v>
      </c>
      <c r="G314" s="5" t="s">
        <v>49</v>
      </c>
      <c r="H314" s="4"/>
      <c r="I314" s="4"/>
      <c r="J314" s="6"/>
      <c r="K314" s="6"/>
      <c r="L314" s="6"/>
      <c r="M314" s="4"/>
      <c r="N314" s="4"/>
      <c r="O314" s="4"/>
      <c r="P314" s="6"/>
      <c r="Q314" s="6"/>
      <c r="R314" s="6"/>
      <c r="S314" s="6"/>
      <c r="T314" s="4"/>
      <c r="U314" s="6"/>
      <c r="V314" s="6"/>
      <c r="W314" s="6"/>
      <c r="X314" s="6"/>
      <c r="Y314" s="4"/>
      <c r="Z314" s="6"/>
      <c r="AA314" s="4"/>
      <c r="AB314" s="4"/>
      <c r="AC314" s="4"/>
      <c r="AD314" s="6"/>
      <c r="AE314" s="4">
        <v>9160064000000</v>
      </c>
      <c r="AF314" s="4">
        <v>14703733000000</v>
      </c>
      <c r="AG314" s="4">
        <v>20027554000000</v>
      </c>
      <c r="AH314" s="4">
        <v>62521334904600</v>
      </c>
    </row>
    <row r="315" spans="1:34" x14ac:dyDescent="0.25">
      <c r="A315" s="4">
        <v>314</v>
      </c>
      <c r="B315" s="5" t="s">
        <v>725</v>
      </c>
      <c r="C315" s="5" t="s">
        <v>726</v>
      </c>
      <c r="D315" s="5" t="s">
        <v>23</v>
      </c>
      <c r="E315" s="5" t="s">
        <v>24</v>
      </c>
      <c r="F315" s="5" t="s">
        <v>56</v>
      </c>
      <c r="G315" s="5" t="s">
        <v>291</v>
      </c>
      <c r="H315" s="4"/>
      <c r="I315" s="4"/>
      <c r="J315" s="6"/>
      <c r="K315" s="6"/>
      <c r="L315" s="6"/>
      <c r="M315" s="4"/>
      <c r="N315" s="4"/>
      <c r="O315" s="4"/>
      <c r="P315" s="6"/>
      <c r="Q315" s="6"/>
      <c r="R315" s="6"/>
      <c r="S315" s="6"/>
      <c r="T315" s="4"/>
      <c r="U315" s="6"/>
      <c r="V315" s="6"/>
      <c r="W315" s="6"/>
      <c r="X315" s="6"/>
      <c r="Y315" s="4"/>
      <c r="Z315" s="6"/>
      <c r="AA315" s="4"/>
      <c r="AB315" s="4"/>
      <c r="AC315" s="4"/>
      <c r="AD315" s="6"/>
      <c r="AE315" s="4"/>
      <c r="AF315" s="4"/>
      <c r="AG315" s="4"/>
      <c r="AH315" s="4">
        <v>2404786118350</v>
      </c>
    </row>
    <row r="316" spans="1:34" x14ac:dyDescent="0.25">
      <c r="A316" s="4">
        <v>315</v>
      </c>
      <c r="B316" s="5" t="s">
        <v>727</v>
      </c>
      <c r="C316" s="5" t="s">
        <v>728</v>
      </c>
      <c r="D316" s="5" t="s">
        <v>23</v>
      </c>
      <c r="E316" s="5" t="s">
        <v>98</v>
      </c>
      <c r="F316" s="5" t="s">
        <v>99</v>
      </c>
      <c r="G316" s="5" t="s">
        <v>144</v>
      </c>
      <c r="H316" s="4">
        <v>98687874624</v>
      </c>
      <c r="I316" s="4">
        <v>195711512698</v>
      </c>
      <c r="J316" s="6">
        <v>-0.28820000000000001</v>
      </c>
      <c r="K316" s="6">
        <v>-4.4299999999999999E-2</v>
      </c>
      <c r="L316" s="6">
        <v>-9.4100000000000003E-2</v>
      </c>
      <c r="M316" s="4">
        <v>31898849515</v>
      </c>
      <c r="N316" s="4">
        <v>69475730055</v>
      </c>
      <c r="O316" s="4"/>
      <c r="P316" s="6">
        <v>-0.45789999999999997</v>
      </c>
      <c r="Q316" s="6">
        <v>-3.56E-2</v>
      </c>
      <c r="R316" s="6">
        <v>-0.21360000000000001</v>
      </c>
      <c r="S316" s="6">
        <v>-0.15110000000000001</v>
      </c>
      <c r="T316" s="4"/>
      <c r="U316" s="6">
        <v>-0.68959999999999999</v>
      </c>
      <c r="V316" s="6">
        <v>-0.74760000000000004</v>
      </c>
      <c r="W316" s="6">
        <v>-0.75329999999999997</v>
      </c>
      <c r="X316" s="6">
        <v>7.8E-2</v>
      </c>
      <c r="Y316" s="4"/>
      <c r="Z316" s="6">
        <v>1.72E-2</v>
      </c>
      <c r="AA316" s="4"/>
      <c r="AB316" s="4"/>
      <c r="AC316" s="4"/>
      <c r="AD316" s="6">
        <v>0</v>
      </c>
      <c r="AE316" s="4"/>
      <c r="AF316" s="4"/>
      <c r="AG316" s="4"/>
      <c r="AH316" s="4">
        <v>3243663581600</v>
      </c>
    </row>
    <row r="317" spans="1:34" x14ac:dyDescent="0.25">
      <c r="A317" s="4">
        <v>316</v>
      </c>
      <c r="B317" s="5" t="s">
        <v>729</v>
      </c>
      <c r="C317" s="5" t="s">
        <v>730</v>
      </c>
      <c r="D317" s="5" t="s">
        <v>23</v>
      </c>
      <c r="E317" s="5" t="s">
        <v>75</v>
      </c>
      <c r="F317" s="5" t="s">
        <v>76</v>
      </c>
      <c r="G317" s="5" t="s">
        <v>76</v>
      </c>
      <c r="H317" s="4"/>
      <c r="I317" s="4"/>
      <c r="J317" s="6"/>
      <c r="K317" s="6"/>
      <c r="L317" s="6"/>
      <c r="M317" s="4"/>
      <c r="N317" s="4"/>
      <c r="O317" s="4"/>
      <c r="P317" s="6"/>
      <c r="Q317" s="6"/>
      <c r="R317" s="6"/>
      <c r="S317" s="6"/>
      <c r="T317" s="4"/>
      <c r="U317" s="6"/>
      <c r="V317" s="6"/>
      <c r="W317" s="6"/>
      <c r="X317" s="6"/>
      <c r="Y317" s="4"/>
      <c r="Z317" s="6"/>
      <c r="AA317" s="4"/>
      <c r="AB317" s="4"/>
      <c r="AC317" s="4"/>
      <c r="AD317" s="6"/>
      <c r="AE317" s="4"/>
      <c r="AF317" s="4"/>
      <c r="AG317" s="4"/>
      <c r="AH317" s="4">
        <v>11330885732400</v>
      </c>
    </row>
    <row r="318" spans="1:34" x14ac:dyDescent="0.25">
      <c r="A318" s="4">
        <v>317</v>
      </c>
      <c r="B318" s="5" t="s">
        <v>731</v>
      </c>
      <c r="C318" s="5" t="s">
        <v>732</v>
      </c>
      <c r="D318" s="5" t="s">
        <v>23</v>
      </c>
      <c r="E318" s="5" t="s">
        <v>98</v>
      </c>
      <c r="F318" s="5" t="s">
        <v>99</v>
      </c>
      <c r="G318" s="5" t="s">
        <v>144</v>
      </c>
      <c r="H318" s="4"/>
      <c r="I318" s="4"/>
      <c r="J318" s="6"/>
      <c r="K318" s="6"/>
      <c r="L318" s="6"/>
      <c r="M318" s="4"/>
      <c r="N318" s="4"/>
      <c r="O318" s="4"/>
      <c r="P318" s="6"/>
      <c r="Q318" s="6"/>
      <c r="R318" s="6"/>
      <c r="S318" s="6"/>
      <c r="T318" s="4"/>
      <c r="U318" s="6"/>
      <c r="V318" s="6"/>
      <c r="W318" s="6"/>
      <c r="X318" s="6"/>
      <c r="Y318" s="4"/>
      <c r="Z318" s="6"/>
      <c r="AA318" s="4"/>
      <c r="AB318" s="4"/>
      <c r="AC318" s="4"/>
      <c r="AD318" s="6"/>
      <c r="AE318" s="4"/>
      <c r="AF318" s="4"/>
      <c r="AG318" s="4"/>
      <c r="AH318" s="4">
        <v>955630887000</v>
      </c>
    </row>
    <row r="319" spans="1:34" x14ac:dyDescent="0.25">
      <c r="A319" s="4">
        <v>318</v>
      </c>
      <c r="B319" s="5" t="s">
        <v>733</v>
      </c>
      <c r="C319" s="5" t="s">
        <v>734</v>
      </c>
      <c r="D319" s="5" t="s">
        <v>23</v>
      </c>
      <c r="E319" s="5" t="s">
        <v>75</v>
      </c>
      <c r="F319" s="5" t="s">
        <v>76</v>
      </c>
      <c r="G319" s="5" t="s">
        <v>76</v>
      </c>
      <c r="H319" s="4"/>
      <c r="I319" s="4"/>
      <c r="J319" s="6"/>
      <c r="K319" s="6"/>
      <c r="L319" s="6"/>
      <c r="M319" s="4"/>
      <c r="N319" s="4"/>
      <c r="O319" s="4"/>
      <c r="P319" s="6"/>
      <c r="Q319" s="6"/>
      <c r="R319" s="6"/>
      <c r="S319" s="6"/>
      <c r="T319" s="4"/>
      <c r="U319" s="6"/>
      <c r="V319" s="6"/>
      <c r="W319" s="6"/>
      <c r="X319" s="6"/>
      <c r="Y319" s="4"/>
      <c r="Z319" s="6"/>
      <c r="AA319" s="4"/>
      <c r="AB319" s="4"/>
      <c r="AC319" s="4"/>
      <c r="AD319" s="6"/>
      <c r="AE319" s="4"/>
      <c r="AF319" s="4"/>
      <c r="AG319" s="4"/>
      <c r="AH319" s="4">
        <v>14040811881600</v>
      </c>
    </row>
    <row r="320" spans="1:34" x14ac:dyDescent="0.25">
      <c r="A320" s="4">
        <v>319</v>
      </c>
      <c r="B320" s="5" t="s">
        <v>735</v>
      </c>
      <c r="C320" s="5" t="s">
        <v>736</v>
      </c>
      <c r="D320" s="5" t="s">
        <v>23</v>
      </c>
      <c r="E320" s="5" t="s">
        <v>62</v>
      </c>
      <c r="F320" s="5" t="s">
        <v>226</v>
      </c>
      <c r="G320" s="5" t="s">
        <v>737</v>
      </c>
      <c r="H320" s="4">
        <v>167055629563</v>
      </c>
      <c r="I320" s="4">
        <v>293547108413</v>
      </c>
      <c r="J320" s="6">
        <v>0.2102</v>
      </c>
      <c r="K320" s="6">
        <v>0.17910000000000001</v>
      </c>
      <c r="L320" s="6">
        <v>0.16800000000000001</v>
      </c>
      <c r="M320" s="4">
        <v>25942059261</v>
      </c>
      <c r="N320" s="4">
        <v>50889953475</v>
      </c>
      <c r="O320" s="4"/>
      <c r="P320" s="6">
        <v>-0.2329</v>
      </c>
      <c r="Q320" s="6">
        <v>2.8199999999999999E-2</v>
      </c>
      <c r="R320" s="6">
        <v>7.8100000000000003E-2</v>
      </c>
      <c r="S320" s="6">
        <v>3.9800000000000002E-2</v>
      </c>
      <c r="T320" s="4"/>
      <c r="U320" s="6">
        <v>-0.3931</v>
      </c>
      <c r="V320" s="6">
        <v>-1.26E-2</v>
      </c>
      <c r="W320" s="6">
        <v>6.0199999999999997E-2</v>
      </c>
      <c r="X320" s="6">
        <v>0</v>
      </c>
      <c r="Y320" s="4"/>
      <c r="Z320" s="6">
        <v>0.32069999999999999</v>
      </c>
      <c r="AA320" s="4"/>
      <c r="AB320" s="4"/>
      <c r="AC320" s="4"/>
      <c r="AD320" s="6">
        <v>0</v>
      </c>
      <c r="AE320" s="4"/>
      <c r="AF320" s="4"/>
      <c r="AG320" s="4"/>
      <c r="AH320" s="4">
        <v>528656691150</v>
      </c>
    </row>
    <row r="321" spans="1:34" x14ac:dyDescent="0.25">
      <c r="A321" s="4">
        <v>320</v>
      </c>
      <c r="B321" s="5" t="s">
        <v>738</v>
      </c>
      <c r="C321" s="5" t="s">
        <v>739</v>
      </c>
      <c r="D321" s="5" t="s">
        <v>23</v>
      </c>
      <c r="E321" s="5" t="s">
        <v>98</v>
      </c>
      <c r="F321" s="5" t="s">
        <v>99</v>
      </c>
      <c r="G321" s="5" t="s">
        <v>144</v>
      </c>
      <c r="H321" s="4">
        <v>10274778701</v>
      </c>
      <c r="I321" s="4">
        <v>15753293815</v>
      </c>
      <c r="J321" s="6">
        <v>-0.37330000000000002</v>
      </c>
      <c r="K321" s="6">
        <v>-0.21479999999999999</v>
      </c>
      <c r="L321" s="6">
        <v>1.47E-2</v>
      </c>
      <c r="M321" s="4">
        <v>-1352496535</v>
      </c>
      <c r="N321" s="4">
        <v>-6410266074</v>
      </c>
      <c r="O321" s="4"/>
      <c r="P321" s="6">
        <v>-1.3813</v>
      </c>
      <c r="Q321" s="6">
        <v>-0.76719999999999999</v>
      </c>
      <c r="R321" s="6">
        <v>-0.27460000000000001</v>
      </c>
      <c r="S321" s="6">
        <v>0.73260000000000003</v>
      </c>
      <c r="T321" s="4"/>
      <c r="U321" s="6">
        <v>-0.79479999999999995</v>
      </c>
      <c r="V321" s="6">
        <v>-1.2713000000000001</v>
      </c>
      <c r="W321" s="6">
        <v>-1.3237000000000001</v>
      </c>
      <c r="X321" s="6">
        <v>0.08</v>
      </c>
      <c r="Y321" s="4"/>
      <c r="Z321" s="6">
        <v>0.87549999999999994</v>
      </c>
      <c r="AA321" s="4"/>
      <c r="AB321" s="4"/>
      <c r="AC321" s="4"/>
      <c r="AD321" s="6">
        <v>0</v>
      </c>
      <c r="AE321" s="4"/>
      <c r="AF321" s="4"/>
      <c r="AG321" s="4"/>
      <c r="AH321" s="4">
        <v>152646270000</v>
      </c>
    </row>
    <row r="322" spans="1:34" x14ac:dyDescent="0.25">
      <c r="A322" s="4">
        <v>321</v>
      </c>
      <c r="B322" s="5" t="s">
        <v>740</v>
      </c>
      <c r="C322" s="5" t="s">
        <v>741</v>
      </c>
      <c r="D322" s="5" t="s">
        <v>23</v>
      </c>
      <c r="E322" s="5" t="s">
        <v>29</v>
      </c>
      <c r="F322" s="5" t="s">
        <v>30</v>
      </c>
      <c r="G322" s="5" t="s">
        <v>117</v>
      </c>
      <c r="H322" s="4"/>
      <c r="I322" s="4"/>
      <c r="J322" s="6"/>
      <c r="K322" s="6"/>
      <c r="L322" s="6"/>
      <c r="M322" s="4"/>
      <c r="N322" s="4"/>
      <c r="O322" s="4"/>
      <c r="P322" s="6"/>
      <c r="Q322" s="6"/>
      <c r="R322" s="6"/>
      <c r="S322" s="6"/>
      <c r="T322" s="4"/>
      <c r="U322" s="6"/>
      <c r="V322" s="6"/>
      <c r="W322" s="6"/>
      <c r="X322" s="6"/>
      <c r="Y322" s="4"/>
      <c r="Z322" s="6"/>
      <c r="AA322" s="4"/>
      <c r="AB322" s="4"/>
      <c r="AC322" s="4"/>
      <c r="AD322" s="6"/>
      <c r="AE322" s="4"/>
      <c r="AF322" s="4"/>
      <c r="AG322" s="4"/>
      <c r="AH322" s="4">
        <v>1155065277600</v>
      </c>
    </row>
    <row r="323" spans="1:34" x14ac:dyDescent="0.25">
      <c r="A323" s="4">
        <v>322</v>
      </c>
      <c r="B323" s="5" t="s">
        <v>742</v>
      </c>
      <c r="C323" s="5" t="s">
        <v>743</v>
      </c>
      <c r="D323" s="5" t="s">
        <v>23</v>
      </c>
      <c r="E323" s="5" t="s">
        <v>24</v>
      </c>
      <c r="F323" s="5" t="s">
        <v>56</v>
      </c>
      <c r="G323" s="5" t="s">
        <v>291</v>
      </c>
      <c r="H323" s="4"/>
      <c r="I323" s="4"/>
      <c r="J323" s="6"/>
      <c r="K323" s="6"/>
      <c r="L323" s="6"/>
      <c r="M323" s="4"/>
      <c r="N323" s="4"/>
      <c r="O323" s="4"/>
      <c r="P323" s="6"/>
      <c r="Q323" s="6"/>
      <c r="R323" s="6"/>
      <c r="S323" s="6"/>
      <c r="T323" s="4"/>
      <c r="U323" s="6"/>
      <c r="V323" s="6"/>
      <c r="W323" s="6"/>
      <c r="X323" s="6"/>
      <c r="Y323" s="4"/>
      <c r="Z323" s="6"/>
      <c r="AA323" s="4"/>
      <c r="AB323" s="4"/>
      <c r="AC323" s="4"/>
      <c r="AD323" s="6"/>
      <c r="AE323" s="4"/>
      <c r="AF323" s="4"/>
      <c r="AG323" s="4"/>
      <c r="AH323" s="4">
        <v>699264951500</v>
      </c>
    </row>
    <row r="324" spans="1:34" x14ac:dyDescent="0.25">
      <c r="A324" s="4">
        <v>323</v>
      </c>
      <c r="B324" s="5" t="s">
        <v>744</v>
      </c>
      <c r="C324" s="5" t="s">
        <v>745</v>
      </c>
      <c r="D324" s="5" t="s">
        <v>23</v>
      </c>
      <c r="E324" s="5" t="s">
        <v>234</v>
      </c>
      <c r="F324" s="5" t="s">
        <v>235</v>
      </c>
      <c r="G324" s="5" t="s">
        <v>236</v>
      </c>
      <c r="H324" s="4">
        <v>56680550990</v>
      </c>
      <c r="I324" s="4">
        <v>102688041895</v>
      </c>
      <c r="J324" s="6">
        <v>-0.1366</v>
      </c>
      <c r="K324" s="6">
        <v>-0.30690000000000001</v>
      </c>
      <c r="L324" s="6">
        <v>-0.31859999999999999</v>
      </c>
      <c r="M324" s="4">
        <v>8838627632</v>
      </c>
      <c r="N324" s="4">
        <v>12054843533</v>
      </c>
      <c r="O324" s="4"/>
      <c r="P324" s="6">
        <v>133.3287</v>
      </c>
      <c r="Q324" s="6">
        <v>2.7502</v>
      </c>
      <c r="R324" s="6">
        <v>-0.8226</v>
      </c>
      <c r="S324" s="6">
        <v>1.7481</v>
      </c>
      <c r="T324" s="4"/>
      <c r="U324" s="6">
        <v>-0.65769999999999995</v>
      </c>
      <c r="V324" s="6">
        <v>0.22270000000000001</v>
      </c>
      <c r="W324" s="6">
        <v>0.20549999999999999</v>
      </c>
      <c r="X324" s="6">
        <v>4.9299999999999997E-2</v>
      </c>
      <c r="Y324" s="4"/>
      <c r="Z324" s="6">
        <v>0.23200000000000001</v>
      </c>
      <c r="AA324" s="4"/>
      <c r="AB324" s="4"/>
      <c r="AC324" s="4"/>
      <c r="AD324" s="6">
        <v>0</v>
      </c>
      <c r="AE324" s="4"/>
      <c r="AF324" s="4"/>
      <c r="AG324" s="4"/>
      <c r="AH324" s="4">
        <v>139765500000</v>
      </c>
    </row>
    <row r="325" spans="1:34" x14ac:dyDescent="0.25">
      <c r="A325" s="4">
        <v>324</v>
      </c>
      <c r="B325" s="5" t="s">
        <v>746</v>
      </c>
      <c r="C325" s="5" t="s">
        <v>747</v>
      </c>
      <c r="D325" s="5" t="s">
        <v>23</v>
      </c>
      <c r="E325" s="5" t="s">
        <v>29</v>
      </c>
      <c r="F325" s="5" t="s">
        <v>203</v>
      </c>
      <c r="G325" s="5" t="s">
        <v>204</v>
      </c>
      <c r="H325" s="4">
        <v>326427545356</v>
      </c>
      <c r="I325" s="4"/>
      <c r="J325" s="6">
        <v>-0.13070000000000001</v>
      </c>
      <c r="K325" s="6">
        <v>5.6099999999999997E-2</v>
      </c>
      <c r="L325" s="6">
        <v>0.38290000000000002</v>
      </c>
      <c r="M325" s="4">
        <v>1937131212</v>
      </c>
      <c r="N325" s="4"/>
      <c r="O325" s="4"/>
      <c r="P325" s="6">
        <v>-0.76</v>
      </c>
      <c r="Q325" s="6">
        <v>5.3999999999999999E-2</v>
      </c>
      <c r="R325" s="6">
        <v>-0.52900000000000003</v>
      </c>
      <c r="S325" s="6">
        <v>-0.79410000000000003</v>
      </c>
      <c r="T325" s="4"/>
      <c r="U325" s="6">
        <v>-0.66379999999999995</v>
      </c>
      <c r="V325" s="6">
        <v>-0.85650000000000004</v>
      </c>
      <c r="W325" s="6">
        <v>-0.85640000000000005</v>
      </c>
      <c r="X325" s="6">
        <v>1.5800000000000002E-2</v>
      </c>
      <c r="Y325" s="4"/>
      <c r="Z325" s="6">
        <v>-5.6399999999999999E-2</v>
      </c>
      <c r="AA325" s="4"/>
      <c r="AB325" s="4"/>
      <c r="AC325" s="4"/>
      <c r="AD325" s="6">
        <v>0</v>
      </c>
      <c r="AE325" s="4"/>
      <c r="AF325" s="4"/>
      <c r="AG325" s="4"/>
      <c r="AH325" s="4">
        <v>1386305626000</v>
      </c>
    </row>
    <row r="326" spans="1:34" x14ac:dyDescent="0.25">
      <c r="A326" s="4">
        <v>325</v>
      </c>
      <c r="B326" s="5" t="s">
        <v>748</v>
      </c>
      <c r="C326" s="5" t="s">
        <v>749</v>
      </c>
      <c r="D326" s="5" t="s">
        <v>23</v>
      </c>
      <c r="E326" s="5" t="s">
        <v>40</v>
      </c>
      <c r="F326" s="5" t="s">
        <v>41</v>
      </c>
      <c r="G326" s="5" t="s">
        <v>519</v>
      </c>
      <c r="H326" s="4"/>
      <c r="I326" s="4"/>
      <c r="J326" s="6"/>
      <c r="K326" s="6"/>
      <c r="L326" s="6"/>
      <c r="M326" s="4"/>
      <c r="N326" s="4"/>
      <c r="O326" s="4"/>
      <c r="P326" s="6"/>
      <c r="Q326" s="6"/>
      <c r="R326" s="6"/>
      <c r="S326" s="6"/>
      <c r="T326" s="4"/>
      <c r="U326" s="6"/>
      <c r="V326" s="6"/>
      <c r="W326" s="6"/>
      <c r="X326" s="6"/>
      <c r="Y326" s="4"/>
      <c r="Z326" s="6"/>
      <c r="AA326" s="4"/>
      <c r="AB326" s="4"/>
      <c r="AC326" s="4"/>
      <c r="AD326" s="6"/>
      <c r="AE326" s="4"/>
      <c r="AF326" s="4"/>
      <c r="AG326" s="4"/>
      <c r="AH326" s="4">
        <v>243264816000</v>
      </c>
    </row>
    <row r="327" spans="1:34" x14ac:dyDescent="0.25">
      <c r="A327" s="4">
        <v>326</v>
      </c>
      <c r="B327" s="5" t="s">
        <v>750</v>
      </c>
      <c r="C327" s="5" t="s">
        <v>751</v>
      </c>
      <c r="D327" s="5" t="s">
        <v>23</v>
      </c>
      <c r="E327" s="5" t="s">
        <v>49</v>
      </c>
      <c r="F327" s="5" t="s">
        <v>49</v>
      </c>
      <c r="G327" s="5" t="s">
        <v>49</v>
      </c>
      <c r="H327" s="4"/>
      <c r="I327" s="4"/>
      <c r="J327" s="6"/>
      <c r="K327" s="6"/>
      <c r="L327" s="6"/>
      <c r="M327" s="4"/>
      <c r="N327" s="4"/>
      <c r="O327" s="4"/>
      <c r="P327" s="6"/>
      <c r="Q327" s="6"/>
      <c r="R327" s="6"/>
      <c r="S327" s="6"/>
      <c r="T327" s="4"/>
      <c r="U327" s="6"/>
      <c r="V327" s="6"/>
      <c r="W327" s="6"/>
      <c r="X327" s="6"/>
      <c r="Y327" s="4"/>
      <c r="Z327" s="6"/>
      <c r="AA327" s="4"/>
      <c r="AB327" s="4"/>
      <c r="AC327" s="4"/>
      <c r="AD327" s="6"/>
      <c r="AE327" s="4">
        <v>2464389000000</v>
      </c>
      <c r="AF327" s="4">
        <v>4914871000000</v>
      </c>
      <c r="AG327" s="4">
        <v>7251968000000</v>
      </c>
      <c r="AH327" s="4">
        <v>53660720000000</v>
      </c>
    </row>
    <row r="328" spans="1:34" x14ac:dyDescent="0.25">
      <c r="A328" s="4">
        <v>327</v>
      </c>
      <c r="B328" s="5" t="s">
        <v>752</v>
      </c>
      <c r="C328" s="5" t="s">
        <v>753</v>
      </c>
      <c r="D328" s="5" t="s">
        <v>23</v>
      </c>
      <c r="E328" s="5" t="s">
        <v>29</v>
      </c>
      <c r="F328" s="5" t="s">
        <v>30</v>
      </c>
      <c r="G328" s="5" t="s">
        <v>31</v>
      </c>
      <c r="H328" s="4">
        <v>69623163538</v>
      </c>
      <c r="I328" s="4"/>
      <c r="J328" s="6">
        <v>-0.21440000000000001</v>
      </c>
      <c r="K328" s="6">
        <v>-0.2427</v>
      </c>
      <c r="L328" s="6">
        <v>-0.19620000000000001</v>
      </c>
      <c r="M328" s="4">
        <v>600307497</v>
      </c>
      <c r="N328" s="4"/>
      <c r="O328" s="4"/>
      <c r="P328" s="6">
        <v>-0.94589999999999996</v>
      </c>
      <c r="Q328" s="6">
        <v>-0.95350000000000001</v>
      </c>
      <c r="R328" s="6">
        <v>-1.1722999999999999</v>
      </c>
      <c r="S328" s="6">
        <v>18.5092</v>
      </c>
      <c r="T328" s="4"/>
      <c r="U328" s="6">
        <v>-0.70289999999999997</v>
      </c>
      <c r="V328" s="6">
        <v>-0.96550000000000002</v>
      </c>
      <c r="W328" s="6">
        <v>-0.98250000000000004</v>
      </c>
      <c r="X328" s="6">
        <v>7.1400000000000005E-2</v>
      </c>
      <c r="Y328" s="4"/>
      <c r="Z328" s="6">
        <v>0.86950000000000005</v>
      </c>
      <c r="AA328" s="4"/>
      <c r="AB328" s="4"/>
      <c r="AC328" s="4"/>
      <c r="AD328" s="6">
        <v>0</v>
      </c>
      <c r="AE328" s="4"/>
      <c r="AF328" s="4"/>
      <c r="AG328" s="4"/>
      <c r="AH328" s="4">
        <v>371609980000</v>
      </c>
    </row>
    <row r="329" spans="1:34" x14ac:dyDescent="0.25">
      <c r="A329" s="4">
        <v>328</v>
      </c>
      <c r="B329" s="5" t="s">
        <v>754</v>
      </c>
      <c r="C329" s="5" t="s">
        <v>755</v>
      </c>
      <c r="D329" s="5" t="s">
        <v>23</v>
      </c>
      <c r="E329" s="5" t="s">
        <v>75</v>
      </c>
      <c r="F329" s="5" t="s">
        <v>79</v>
      </c>
      <c r="G329" s="5" t="s">
        <v>80</v>
      </c>
      <c r="H329" s="4"/>
      <c r="I329" s="4"/>
      <c r="J329" s="6"/>
      <c r="K329" s="6"/>
      <c r="L329" s="6"/>
      <c r="M329" s="4"/>
      <c r="N329" s="4"/>
      <c r="O329" s="4"/>
      <c r="P329" s="6"/>
      <c r="Q329" s="6"/>
      <c r="R329" s="6"/>
      <c r="S329" s="6"/>
      <c r="T329" s="4"/>
      <c r="U329" s="6"/>
      <c r="V329" s="6"/>
      <c r="W329" s="6"/>
      <c r="X329" s="6"/>
      <c r="Y329" s="4"/>
      <c r="Z329" s="6"/>
      <c r="AA329" s="4"/>
      <c r="AB329" s="4"/>
      <c r="AC329" s="4"/>
      <c r="AD329" s="6"/>
      <c r="AE329" s="4"/>
      <c r="AF329" s="4"/>
      <c r="AG329" s="4"/>
      <c r="AH329" s="4">
        <v>56649864082800</v>
      </c>
    </row>
    <row r="330" spans="1:34" x14ac:dyDescent="0.25">
      <c r="A330" s="4">
        <v>329</v>
      </c>
      <c r="B330" s="5" t="s">
        <v>756</v>
      </c>
      <c r="C330" s="5" t="s">
        <v>757</v>
      </c>
      <c r="D330" s="5" t="s">
        <v>23</v>
      </c>
      <c r="E330" s="5" t="s">
        <v>185</v>
      </c>
      <c r="F330" s="5" t="s">
        <v>185</v>
      </c>
      <c r="G330" s="5" t="s">
        <v>758</v>
      </c>
      <c r="H330" s="4"/>
      <c r="I330" s="4"/>
      <c r="J330" s="6"/>
      <c r="K330" s="6"/>
      <c r="L330" s="6"/>
      <c r="M330" s="4"/>
      <c r="N330" s="4"/>
      <c r="O330" s="4"/>
      <c r="P330" s="6"/>
      <c r="Q330" s="6"/>
      <c r="R330" s="6"/>
      <c r="S330" s="6"/>
      <c r="T330" s="4"/>
      <c r="U330" s="6"/>
      <c r="V330" s="6"/>
      <c r="W330" s="6"/>
      <c r="X330" s="6"/>
      <c r="Y330" s="4"/>
      <c r="Z330" s="6"/>
      <c r="AA330" s="4"/>
      <c r="AB330" s="4"/>
      <c r="AC330" s="4"/>
      <c r="AD330" s="6"/>
      <c r="AE330" s="4"/>
      <c r="AF330" s="4"/>
      <c r="AG330" s="4"/>
      <c r="AH330" s="4">
        <v>65588300100</v>
      </c>
    </row>
    <row r="331" spans="1:34" x14ac:dyDescent="0.25">
      <c r="A331" s="4">
        <v>330</v>
      </c>
      <c r="B331" s="5" t="s">
        <v>759</v>
      </c>
      <c r="C331" s="5" t="s">
        <v>760</v>
      </c>
      <c r="D331" s="5" t="s">
        <v>23</v>
      </c>
      <c r="E331" s="5" t="s">
        <v>49</v>
      </c>
      <c r="F331" s="5" t="s">
        <v>49</v>
      </c>
      <c r="G331" s="5" t="s">
        <v>49</v>
      </c>
      <c r="H331" s="4"/>
      <c r="I331" s="4"/>
      <c r="J331" s="6"/>
      <c r="K331" s="6"/>
      <c r="L331" s="6"/>
      <c r="M331" s="4"/>
      <c r="N331" s="4"/>
      <c r="O331" s="4"/>
      <c r="P331" s="6"/>
      <c r="Q331" s="6"/>
      <c r="R331" s="6"/>
      <c r="S331" s="6"/>
      <c r="T331" s="4"/>
      <c r="U331" s="6"/>
      <c r="V331" s="6"/>
      <c r="W331" s="6"/>
      <c r="X331" s="6"/>
      <c r="Y331" s="4"/>
      <c r="Z331" s="6"/>
      <c r="AA331" s="4"/>
      <c r="AB331" s="4"/>
      <c r="AC331" s="4"/>
      <c r="AD331" s="6"/>
      <c r="AE331" s="4">
        <v>6585077000000</v>
      </c>
      <c r="AF331" s="4">
        <v>13448250000000</v>
      </c>
      <c r="AG331" s="4">
        <v>21322616000000</v>
      </c>
      <c r="AH331" s="4">
        <v>133850315836000</v>
      </c>
    </row>
    <row r="332" spans="1:34" x14ac:dyDescent="0.25">
      <c r="A332" s="4">
        <v>331</v>
      </c>
      <c r="B332" s="5" t="s">
        <v>761</v>
      </c>
      <c r="C332" s="5" t="s">
        <v>762</v>
      </c>
      <c r="D332" s="5" t="s">
        <v>23</v>
      </c>
      <c r="E332" s="5" t="s">
        <v>40</v>
      </c>
      <c r="F332" s="5" t="s">
        <v>41</v>
      </c>
      <c r="G332" s="5" t="s">
        <v>93</v>
      </c>
      <c r="H332" s="4"/>
      <c r="I332" s="4"/>
      <c r="J332" s="6"/>
      <c r="K332" s="6"/>
      <c r="L332" s="6"/>
      <c r="M332" s="4"/>
      <c r="N332" s="4"/>
      <c r="O332" s="4"/>
      <c r="P332" s="6"/>
      <c r="Q332" s="6"/>
      <c r="R332" s="6"/>
      <c r="S332" s="6"/>
      <c r="T332" s="4"/>
      <c r="U332" s="6"/>
      <c r="V332" s="6"/>
      <c r="W332" s="6"/>
      <c r="X332" s="6"/>
      <c r="Y332" s="4"/>
      <c r="Z332" s="6"/>
      <c r="AA332" s="4"/>
      <c r="AB332" s="4"/>
      <c r="AC332" s="4"/>
      <c r="AD332" s="6"/>
      <c r="AE332" s="4"/>
      <c r="AF332" s="4"/>
      <c r="AG332" s="4"/>
      <c r="AH332" s="4">
        <v>3497819509200</v>
      </c>
    </row>
    <row r="333" spans="1:34" x14ac:dyDescent="0.25">
      <c r="A333" s="4">
        <v>332</v>
      </c>
      <c r="B333" s="5" t="s">
        <v>763</v>
      </c>
      <c r="C333" s="5" t="s">
        <v>764</v>
      </c>
      <c r="D333" s="5" t="s">
        <v>23</v>
      </c>
      <c r="E333" s="5" t="s">
        <v>29</v>
      </c>
      <c r="F333" s="5" t="s">
        <v>36</v>
      </c>
      <c r="G333" s="5" t="s">
        <v>37</v>
      </c>
      <c r="H333" s="4"/>
      <c r="I333" s="4"/>
      <c r="J333" s="6"/>
      <c r="K333" s="6"/>
      <c r="L333" s="6"/>
      <c r="M333" s="4"/>
      <c r="N333" s="4"/>
      <c r="O333" s="4"/>
      <c r="P333" s="6"/>
      <c r="Q333" s="6"/>
      <c r="R333" s="6"/>
      <c r="S333" s="6"/>
      <c r="T333" s="4"/>
      <c r="U333" s="6"/>
      <c r="V333" s="6"/>
      <c r="W333" s="6"/>
      <c r="X333" s="6"/>
      <c r="Y333" s="4"/>
      <c r="Z333" s="6"/>
      <c r="AA333" s="4"/>
      <c r="AB333" s="4"/>
      <c r="AC333" s="4"/>
      <c r="AD333" s="6"/>
      <c r="AE333" s="4"/>
      <c r="AF333" s="4"/>
      <c r="AG333" s="4"/>
      <c r="AH333" s="4">
        <v>1288568767200</v>
      </c>
    </row>
    <row r="334" spans="1:34" x14ac:dyDescent="0.25">
      <c r="A334" s="4">
        <v>333</v>
      </c>
      <c r="B334" s="5" t="s">
        <v>765</v>
      </c>
      <c r="C334" s="5" t="s">
        <v>766</v>
      </c>
      <c r="D334" s="5" t="s">
        <v>23</v>
      </c>
      <c r="E334" s="5" t="s">
        <v>29</v>
      </c>
      <c r="F334" s="5" t="s">
        <v>203</v>
      </c>
      <c r="G334" s="5" t="s">
        <v>211</v>
      </c>
      <c r="H334" s="4"/>
      <c r="I334" s="4"/>
      <c r="J334" s="6"/>
      <c r="K334" s="6"/>
      <c r="L334" s="6"/>
      <c r="M334" s="4"/>
      <c r="N334" s="4"/>
      <c r="O334" s="4"/>
      <c r="P334" s="6"/>
      <c r="Q334" s="6"/>
      <c r="R334" s="6"/>
      <c r="S334" s="6"/>
      <c r="T334" s="4"/>
      <c r="U334" s="6"/>
      <c r="V334" s="6"/>
      <c r="W334" s="6"/>
      <c r="X334" s="6"/>
      <c r="Y334" s="4"/>
      <c r="Z334" s="6"/>
      <c r="AA334" s="4"/>
      <c r="AB334" s="4"/>
      <c r="AC334" s="4"/>
      <c r="AD334" s="6"/>
      <c r="AE334" s="4"/>
      <c r="AF334" s="4"/>
      <c r="AG334" s="4"/>
      <c r="AH334" s="4">
        <v>1865355780000</v>
      </c>
    </row>
    <row r="335" spans="1:34" x14ac:dyDescent="0.25">
      <c r="A335" s="4">
        <v>334</v>
      </c>
      <c r="B335" s="5" t="s">
        <v>767</v>
      </c>
      <c r="C335" s="5" t="s">
        <v>768</v>
      </c>
      <c r="D335" s="5" t="s">
        <v>23</v>
      </c>
      <c r="E335" s="5" t="s">
        <v>29</v>
      </c>
      <c r="F335" s="5" t="s">
        <v>36</v>
      </c>
      <c r="G335" s="5" t="s">
        <v>37</v>
      </c>
      <c r="H335" s="4">
        <v>71437350102</v>
      </c>
      <c r="I335" s="4"/>
      <c r="J335" s="6">
        <v>0.40539999999999998</v>
      </c>
      <c r="K335" s="6">
        <v>0.2994</v>
      </c>
      <c r="L335" s="6">
        <v>0.34350000000000003</v>
      </c>
      <c r="M335" s="4">
        <v>117026807</v>
      </c>
      <c r="N335" s="4"/>
      <c r="O335" s="4"/>
      <c r="P335" s="6">
        <v>-0.60919999999999996</v>
      </c>
      <c r="Q335" s="6">
        <v>-0.25519999999999998</v>
      </c>
      <c r="R335" s="6">
        <v>-0.99670000000000003</v>
      </c>
      <c r="S335" s="6">
        <v>-0.6623</v>
      </c>
      <c r="T335" s="4"/>
      <c r="U335" s="6">
        <v>-0.54120000000000001</v>
      </c>
      <c r="V335" s="6">
        <v>-0.69099999999999995</v>
      </c>
      <c r="W335" s="6">
        <v>-0.61370000000000002</v>
      </c>
      <c r="X335" s="6">
        <v>0</v>
      </c>
      <c r="Y335" s="4"/>
      <c r="Z335" s="6">
        <v>7.9200000000000007E-2</v>
      </c>
      <c r="AA335" s="4"/>
      <c r="AB335" s="4"/>
      <c r="AC335" s="4"/>
      <c r="AD335" s="6">
        <v>0</v>
      </c>
      <c r="AE335" s="4"/>
      <c r="AF335" s="4"/>
      <c r="AG335" s="4"/>
      <c r="AH335" s="4">
        <v>115944813600</v>
      </c>
    </row>
    <row r="336" spans="1:34" x14ac:dyDescent="0.25">
      <c r="A336" s="4">
        <v>335</v>
      </c>
      <c r="B336" s="5" t="s">
        <v>769</v>
      </c>
      <c r="C336" s="5" t="s">
        <v>770</v>
      </c>
      <c r="D336" s="5" t="s">
        <v>23</v>
      </c>
      <c r="E336" s="5" t="s">
        <v>62</v>
      </c>
      <c r="F336" s="5" t="s">
        <v>71</v>
      </c>
      <c r="G336" s="5" t="s">
        <v>771</v>
      </c>
      <c r="H336" s="4">
        <v>4941776748</v>
      </c>
      <c r="I336" s="4">
        <v>11925097751</v>
      </c>
      <c r="J336" s="6">
        <v>6.2478999999999996</v>
      </c>
      <c r="K336" s="6">
        <v>7.7450999999999999</v>
      </c>
      <c r="L336" s="6">
        <v>8.4253999999999998</v>
      </c>
      <c r="M336" s="4">
        <v>614026372</v>
      </c>
      <c r="N336" s="4">
        <v>867147565</v>
      </c>
      <c r="O336" s="4"/>
      <c r="P336" s="6">
        <v>-0.89580000000000004</v>
      </c>
      <c r="Q336" s="6">
        <v>-0.91900000000000004</v>
      </c>
      <c r="R336" s="6">
        <v>-0.25790000000000002</v>
      </c>
      <c r="S336" s="6">
        <v>1.4258</v>
      </c>
      <c r="T336" s="4"/>
      <c r="U336" s="6">
        <v>-0.73499999999999999</v>
      </c>
      <c r="V336" s="6">
        <v>-0.96899999999999997</v>
      </c>
      <c r="W336" s="6">
        <v>-0.96130000000000004</v>
      </c>
      <c r="X336" s="6">
        <v>0.1143</v>
      </c>
      <c r="Y336" s="4"/>
      <c r="Z336" s="6">
        <v>-0.2923</v>
      </c>
      <c r="AA336" s="4"/>
      <c r="AB336" s="4"/>
      <c r="AC336" s="4"/>
      <c r="AD336" s="6">
        <v>0</v>
      </c>
      <c r="AE336" s="4"/>
      <c r="AF336" s="4"/>
      <c r="AG336" s="4"/>
      <c r="AH336" s="4">
        <v>181765269000</v>
      </c>
    </row>
    <row r="337" spans="1:34" x14ac:dyDescent="0.25">
      <c r="A337" s="4">
        <v>336</v>
      </c>
      <c r="B337" s="5" t="s">
        <v>772</v>
      </c>
      <c r="C337" s="5" t="s">
        <v>773</v>
      </c>
      <c r="D337" s="5" t="s">
        <v>23</v>
      </c>
      <c r="E337" s="5" t="s">
        <v>75</v>
      </c>
      <c r="F337" s="5" t="s">
        <v>76</v>
      </c>
      <c r="G337" s="5" t="s">
        <v>76</v>
      </c>
      <c r="H337" s="4">
        <v>132265378646</v>
      </c>
      <c r="I337" s="4">
        <v>234207442536</v>
      </c>
      <c r="J337" s="6">
        <v>-0.39279999999999998</v>
      </c>
      <c r="K337" s="6">
        <v>-0.62949999999999995</v>
      </c>
      <c r="L337" s="6">
        <v>-0.28789999999999999</v>
      </c>
      <c r="M337" s="4">
        <v>18938903362</v>
      </c>
      <c r="N337" s="4">
        <v>36085386656</v>
      </c>
      <c r="O337" s="4"/>
      <c r="P337" s="6">
        <v>-0.80049999999999999</v>
      </c>
      <c r="Q337" s="6">
        <v>-0.83689999999999998</v>
      </c>
      <c r="R337" s="6">
        <v>-0.52629999999999999</v>
      </c>
      <c r="S337" s="6">
        <v>0.1045</v>
      </c>
      <c r="T337" s="4"/>
      <c r="U337" s="6">
        <v>-0.54800000000000004</v>
      </c>
      <c r="V337" s="6">
        <v>-0.36649999999999999</v>
      </c>
      <c r="W337" s="6">
        <v>-0.35659999999999997</v>
      </c>
      <c r="X337" s="6">
        <v>5.33E-2</v>
      </c>
      <c r="Y337" s="4"/>
      <c r="Z337" s="6">
        <v>0.29749999999999999</v>
      </c>
      <c r="AA337" s="4"/>
      <c r="AB337" s="4"/>
      <c r="AC337" s="4"/>
      <c r="AD337" s="6">
        <v>0</v>
      </c>
      <c r="AE337" s="4"/>
      <c r="AF337" s="4"/>
      <c r="AG337" s="4"/>
      <c r="AH337" s="4">
        <v>3374734931250</v>
      </c>
    </row>
    <row r="338" spans="1:34" x14ac:dyDescent="0.25">
      <c r="A338" s="4">
        <v>337</v>
      </c>
      <c r="B338" s="5" t="s">
        <v>774</v>
      </c>
      <c r="C338" s="5" t="s">
        <v>775</v>
      </c>
      <c r="D338" s="5" t="s">
        <v>23</v>
      </c>
      <c r="E338" s="5" t="s">
        <v>75</v>
      </c>
      <c r="F338" s="5" t="s">
        <v>76</v>
      </c>
      <c r="G338" s="5" t="s">
        <v>76</v>
      </c>
      <c r="H338" s="4">
        <v>157930194846</v>
      </c>
      <c r="I338" s="4">
        <v>296853607606</v>
      </c>
      <c r="J338" s="6">
        <v>0.1157</v>
      </c>
      <c r="K338" s="6">
        <v>0.1133</v>
      </c>
      <c r="L338" s="6">
        <v>0.1003</v>
      </c>
      <c r="M338" s="4">
        <v>31753072800</v>
      </c>
      <c r="N338" s="4">
        <v>63876361246</v>
      </c>
      <c r="O338" s="4"/>
      <c r="P338" s="6">
        <v>-7.2400000000000006E-2</v>
      </c>
      <c r="Q338" s="6">
        <v>5.2999999999999999E-2</v>
      </c>
      <c r="R338" s="6">
        <v>0.3402</v>
      </c>
      <c r="S338" s="6">
        <v>-1.15E-2</v>
      </c>
      <c r="T338" s="4"/>
      <c r="U338" s="6">
        <v>-0.4995</v>
      </c>
      <c r="V338" s="6">
        <v>-0.55430000000000001</v>
      </c>
      <c r="W338" s="6">
        <v>-0.56850000000000001</v>
      </c>
      <c r="X338" s="6">
        <v>4.2599999999999999E-2</v>
      </c>
      <c r="Y338" s="4"/>
      <c r="Z338" s="6">
        <v>0.1368</v>
      </c>
      <c r="AA338" s="4"/>
      <c r="AB338" s="4"/>
      <c r="AC338" s="4"/>
      <c r="AD338" s="6">
        <v>0</v>
      </c>
      <c r="AE338" s="4"/>
      <c r="AF338" s="4"/>
      <c r="AG338" s="4"/>
      <c r="AH338" s="4">
        <v>1310024253000</v>
      </c>
    </row>
    <row r="339" spans="1:34" x14ac:dyDescent="0.25">
      <c r="A339" s="4">
        <v>338</v>
      </c>
      <c r="B339" s="5" t="s">
        <v>776</v>
      </c>
      <c r="C339" s="5" t="s">
        <v>777</v>
      </c>
      <c r="D339" s="5" t="s">
        <v>23</v>
      </c>
      <c r="E339" s="5" t="s">
        <v>75</v>
      </c>
      <c r="F339" s="5" t="s">
        <v>76</v>
      </c>
      <c r="G339" s="5" t="s">
        <v>76</v>
      </c>
      <c r="H339" s="4"/>
      <c r="I339" s="4"/>
      <c r="J339" s="6"/>
      <c r="K339" s="6"/>
      <c r="L339" s="6"/>
      <c r="M339" s="4"/>
      <c r="N339" s="4"/>
      <c r="O339" s="4"/>
      <c r="P339" s="6"/>
      <c r="Q339" s="6"/>
      <c r="R339" s="6"/>
      <c r="S339" s="6"/>
      <c r="T339" s="4"/>
      <c r="U339" s="6"/>
      <c r="V339" s="6"/>
      <c r="W339" s="6"/>
      <c r="X339" s="6"/>
      <c r="Y339" s="4"/>
      <c r="Z339" s="6"/>
      <c r="AA339" s="4"/>
      <c r="AB339" s="4"/>
      <c r="AC339" s="4"/>
      <c r="AD339" s="6"/>
      <c r="AE339" s="4"/>
      <c r="AF339" s="4"/>
      <c r="AG339" s="4"/>
      <c r="AH339" s="4">
        <v>10079994160000</v>
      </c>
    </row>
    <row r="340" spans="1:34" x14ac:dyDescent="0.25">
      <c r="A340" s="4">
        <v>339</v>
      </c>
      <c r="B340" s="5" t="s">
        <v>778</v>
      </c>
      <c r="C340" s="5" t="s">
        <v>779</v>
      </c>
      <c r="D340" s="5" t="s">
        <v>23</v>
      </c>
      <c r="E340" s="5" t="s">
        <v>98</v>
      </c>
      <c r="F340" s="5" t="s">
        <v>99</v>
      </c>
      <c r="G340" s="5" t="s">
        <v>144</v>
      </c>
      <c r="H340" s="4"/>
      <c r="I340" s="4"/>
      <c r="J340" s="6"/>
      <c r="K340" s="6"/>
      <c r="L340" s="6"/>
      <c r="M340" s="4"/>
      <c r="N340" s="4"/>
      <c r="O340" s="4"/>
      <c r="P340" s="6"/>
      <c r="Q340" s="6"/>
      <c r="R340" s="6"/>
      <c r="S340" s="6"/>
      <c r="T340" s="4"/>
      <c r="U340" s="6"/>
      <c r="V340" s="6"/>
      <c r="W340" s="6"/>
      <c r="X340" s="6"/>
      <c r="Y340" s="4"/>
      <c r="Z340" s="6"/>
      <c r="AA340" s="4"/>
      <c r="AB340" s="4"/>
      <c r="AC340" s="4"/>
      <c r="AD340" s="6"/>
      <c r="AE340" s="4"/>
      <c r="AF340" s="4"/>
      <c r="AG340" s="4"/>
      <c r="AH340" s="4">
        <v>2025650000000</v>
      </c>
    </row>
    <row r="341" spans="1:34" x14ac:dyDescent="0.25">
      <c r="A341" s="4">
        <v>340</v>
      </c>
      <c r="B341" s="5" t="s">
        <v>780</v>
      </c>
      <c r="C341" s="5" t="s">
        <v>781</v>
      </c>
      <c r="D341" s="5" t="s">
        <v>23</v>
      </c>
      <c r="E341" s="5" t="s">
        <v>49</v>
      </c>
      <c r="F341" s="5" t="s">
        <v>49</v>
      </c>
      <c r="G341" s="5" t="s">
        <v>49</v>
      </c>
      <c r="H341" s="4"/>
      <c r="I341" s="4"/>
      <c r="J341" s="6">
        <v>0.43959999999999999</v>
      </c>
      <c r="K341" s="6">
        <v>0.40589999999999998</v>
      </c>
      <c r="L341" s="6">
        <v>0.37680000000000002</v>
      </c>
      <c r="M341" s="4">
        <v>7350059000000</v>
      </c>
      <c r="N341" s="4">
        <v>14021140000000</v>
      </c>
      <c r="O341" s="4"/>
      <c r="P341" s="6">
        <v>0.17649999999999999</v>
      </c>
      <c r="Q341" s="6">
        <v>0.1497</v>
      </c>
      <c r="R341" s="6">
        <v>0.3296</v>
      </c>
      <c r="S341" s="6">
        <v>0.1018</v>
      </c>
      <c r="T341" s="4"/>
      <c r="U341" s="6">
        <v>0</v>
      </c>
      <c r="V341" s="6">
        <v>-0.50560000000000005</v>
      </c>
      <c r="W341" s="6">
        <v>-0.53259999999999996</v>
      </c>
      <c r="X341" s="6">
        <v>0</v>
      </c>
      <c r="Y341" s="4"/>
      <c r="Z341" s="6">
        <v>0.16159999999999999</v>
      </c>
      <c r="AA341" s="4">
        <v>10763002000000</v>
      </c>
      <c r="AB341" s="4">
        <v>20285055000000</v>
      </c>
      <c r="AC341" s="4"/>
      <c r="AD341" s="6">
        <v>0.17230000000000001</v>
      </c>
      <c r="AE341" s="4">
        <v>9137076000000</v>
      </c>
      <c r="AF341" s="4">
        <v>17442469000000</v>
      </c>
      <c r="AG341" s="4">
        <v>27367112000000</v>
      </c>
      <c r="AH341" s="4">
        <v>205500972006000</v>
      </c>
    </row>
    <row r="342" spans="1:34" x14ac:dyDescent="0.25">
      <c r="A342" s="4">
        <v>341</v>
      </c>
      <c r="B342" s="5" t="s">
        <v>782</v>
      </c>
      <c r="C342" s="5" t="s">
        <v>783</v>
      </c>
      <c r="D342" s="5" t="s">
        <v>23</v>
      </c>
      <c r="E342" s="5" t="s">
        <v>75</v>
      </c>
      <c r="F342" s="5" t="s">
        <v>76</v>
      </c>
      <c r="G342" s="5" t="s">
        <v>76</v>
      </c>
      <c r="H342" s="4"/>
      <c r="I342" s="4"/>
      <c r="J342" s="6"/>
      <c r="K342" s="6"/>
      <c r="L342" s="6"/>
      <c r="M342" s="4"/>
      <c r="N342" s="4"/>
      <c r="O342" s="4"/>
      <c r="P342" s="6"/>
      <c r="Q342" s="6"/>
      <c r="R342" s="6"/>
      <c r="S342" s="6"/>
      <c r="T342" s="4"/>
      <c r="U342" s="6"/>
      <c r="V342" s="6"/>
      <c r="W342" s="6"/>
      <c r="X342" s="6"/>
      <c r="Y342" s="4"/>
      <c r="Z342" s="6"/>
      <c r="AA342" s="4"/>
      <c r="AB342" s="4"/>
      <c r="AC342" s="4"/>
      <c r="AD342" s="6"/>
      <c r="AE342" s="4"/>
      <c r="AF342" s="4"/>
      <c r="AG342" s="4"/>
      <c r="AH342" s="4">
        <v>10854099765600</v>
      </c>
    </row>
    <row r="343" spans="1:34" x14ac:dyDescent="0.25">
      <c r="A343" s="4">
        <v>342</v>
      </c>
      <c r="B343" s="5" t="s">
        <v>784</v>
      </c>
      <c r="C343" s="5" t="s">
        <v>785</v>
      </c>
      <c r="D343" s="5" t="s">
        <v>23</v>
      </c>
      <c r="E343" s="5" t="s">
        <v>75</v>
      </c>
      <c r="F343" s="5" t="s">
        <v>79</v>
      </c>
      <c r="G343" s="5" t="s">
        <v>80</v>
      </c>
      <c r="H343" s="4">
        <v>63702252385</v>
      </c>
      <c r="I343" s="4">
        <v>132092111354</v>
      </c>
      <c r="J343" s="6">
        <v>-0.1449</v>
      </c>
      <c r="K343" s="6">
        <v>-2.9100000000000001E-2</v>
      </c>
      <c r="L343" s="6">
        <v>0.19520000000000001</v>
      </c>
      <c r="M343" s="4">
        <v>33622012989</v>
      </c>
      <c r="N343" s="4">
        <v>34328876041</v>
      </c>
      <c r="O343" s="4"/>
      <c r="P343" s="6">
        <v>0.93910000000000005</v>
      </c>
      <c r="Q343" s="6">
        <v>-0.16450000000000001</v>
      </c>
      <c r="R343" s="6">
        <v>-2.3744000000000001</v>
      </c>
      <c r="S343" s="6">
        <v>62.609099999999998</v>
      </c>
      <c r="T343" s="4"/>
      <c r="U343" s="6">
        <v>-0.37819999999999998</v>
      </c>
      <c r="V343" s="6">
        <v>1.2843</v>
      </c>
      <c r="W343" s="6">
        <v>1.3837999999999999</v>
      </c>
      <c r="X343" s="6">
        <v>0</v>
      </c>
      <c r="Y343" s="4"/>
      <c r="Z343" s="6">
        <v>-0.21490000000000001</v>
      </c>
      <c r="AA343" s="4"/>
      <c r="AB343" s="4"/>
      <c r="AC343" s="4"/>
      <c r="AD343" s="6">
        <v>0</v>
      </c>
      <c r="AE343" s="4"/>
      <c r="AF343" s="4"/>
      <c r="AG343" s="4"/>
      <c r="AH343" s="4">
        <v>1156209640000</v>
      </c>
    </row>
    <row r="344" spans="1:34" x14ac:dyDescent="0.25">
      <c r="A344" s="4">
        <v>343</v>
      </c>
      <c r="B344" s="5" t="s">
        <v>786</v>
      </c>
      <c r="C344" s="5" t="s">
        <v>787</v>
      </c>
      <c r="D344" s="5" t="s">
        <v>23</v>
      </c>
      <c r="E344" s="5" t="s">
        <v>40</v>
      </c>
      <c r="F344" s="5" t="s">
        <v>41</v>
      </c>
      <c r="G344" s="5" t="s">
        <v>557</v>
      </c>
      <c r="H344" s="4"/>
      <c r="I344" s="4"/>
      <c r="J344" s="6"/>
      <c r="K344" s="6"/>
      <c r="L344" s="6"/>
      <c r="M344" s="4"/>
      <c r="N344" s="4"/>
      <c r="O344" s="4"/>
      <c r="P344" s="6"/>
      <c r="Q344" s="6"/>
      <c r="R344" s="6"/>
      <c r="S344" s="6"/>
      <c r="T344" s="4"/>
      <c r="U344" s="6"/>
      <c r="V344" s="6"/>
      <c r="W344" s="6"/>
      <c r="X344" s="6"/>
      <c r="Y344" s="4"/>
      <c r="Z344" s="6"/>
      <c r="AA344" s="4"/>
      <c r="AB344" s="4"/>
      <c r="AC344" s="4"/>
      <c r="AD344" s="6"/>
      <c r="AE344" s="4"/>
      <c r="AF344" s="4"/>
      <c r="AG344" s="4"/>
      <c r="AH344" s="4">
        <v>904753080000</v>
      </c>
    </row>
    <row r="345" spans="1:34" x14ac:dyDescent="0.25">
      <c r="A345" s="4">
        <v>344</v>
      </c>
      <c r="B345" s="5" t="s">
        <v>788</v>
      </c>
      <c r="C345" s="5" t="s">
        <v>789</v>
      </c>
      <c r="D345" s="5" t="s">
        <v>23</v>
      </c>
      <c r="E345" s="5" t="s">
        <v>29</v>
      </c>
      <c r="F345" s="5" t="s">
        <v>36</v>
      </c>
      <c r="G345" s="5" t="s">
        <v>37</v>
      </c>
      <c r="H345" s="4"/>
      <c r="I345" s="4"/>
      <c r="J345" s="6"/>
      <c r="K345" s="6"/>
      <c r="L345" s="6"/>
      <c r="M345" s="4"/>
      <c r="N345" s="4"/>
      <c r="O345" s="4"/>
      <c r="P345" s="6"/>
      <c r="Q345" s="6"/>
      <c r="R345" s="6"/>
      <c r="S345" s="6"/>
      <c r="T345" s="4"/>
      <c r="U345" s="6"/>
      <c r="V345" s="6"/>
      <c r="W345" s="6"/>
      <c r="X345" s="6"/>
      <c r="Y345" s="4"/>
      <c r="Z345" s="6"/>
      <c r="AA345" s="4"/>
      <c r="AB345" s="4"/>
      <c r="AC345" s="4"/>
      <c r="AD345" s="6"/>
      <c r="AE345" s="4"/>
      <c r="AF345" s="4"/>
      <c r="AG345" s="4"/>
      <c r="AH345" s="4">
        <v>2046912109800</v>
      </c>
    </row>
    <row r="346" spans="1:34" x14ac:dyDescent="0.25">
      <c r="A346" s="4">
        <v>345</v>
      </c>
      <c r="B346" s="5" t="s">
        <v>790</v>
      </c>
      <c r="C346" s="5" t="s">
        <v>791</v>
      </c>
      <c r="D346" s="5" t="s">
        <v>23</v>
      </c>
      <c r="E346" s="5" t="s">
        <v>29</v>
      </c>
      <c r="F346" s="5" t="s">
        <v>30</v>
      </c>
      <c r="G346" s="5" t="s">
        <v>31</v>
      </c>
      <c r="H346" s="4"/>
      <c r="I346" s="4"/>
      <c r="J346" s="6"/>
      <c r="K346" s="6"/>
      <c r="L346" s="6"/>
      <c r="M346" s="4"/>
      <c r="N346" s="4"/>
      <c r="O346" s="4"/>
      <c r="P346" s="6"/>
      <c r="Q346" s="6"/>
      <c r="R346" s="6"/>
      <c r="S346" s="6"/>
      <c r="T346" s="4"/>
      <c r="U346" s="6"/>
      <c r="V346" s="6"/>
      <c r="W346" s="6"/>
      <c r="X346" s="6"/>
      <c r="Y346" s="4"/>
      <c r="Z346" s="6"/>
      <c r="AA346" s="4"/>
      <c r="AB346" s="4"/>
      <c r="AC346" s="4"/>
      <c r="AD346" s="6"/>
      <c r="AE346" s="4"/>
      <c r="AF346" s="4"/>
      <c r="AG346" s="4"/>
      <c r="AH346" s="4">
        <v>596134468800</v>
      </c>
    </row>
    <row r="347" spans="1:34" x14ac:dyDescent="0.25">
      <c r="A347" s="4">
        <v>346</v>
      </c>
      <c r="B347" s="5" t="s">
        <v>792</v>
      </c>
      <c r="C347" s="5" t="s">
        <v>793</v>
      </c>
      <c r="D347" s="5" t="s">
        <v>23</v>
      </c>
      <c r="E347" s="5" t="s">
        <v>40</v>
      </c>
      <c r="F347" s="5" t="s">
        <v>52</v>
      </c>
      <c r="G347" s="5" t="s">
        <v>53</v>
      </c>
      <c r="H347" s="4"/>
      <c r="I347" s="4"/>
      <c r="J347" s="6"/>
      <c r="K347" s="6"/>
      <c r="L347" s="6"/>
      <c r="M347" s="4"/>
      <c r="N347" s="4"/>
      <c r="O347" s="4"/>
      <c r="P347" s="6"/>
      <c r="Q347" s="6"/>
      <c r="R347" s="6"/>
      <c r="S347" s="6"/>
      <c r="T347" s="4"/>
      <c r="U347" s="6"/>
      <c r="V347" s="6"/>
      <c r="W347" s="6"/>
      <c r="X347" s="6"/>
      <c r="Y347" s="4"/>
      <c r="Z347" s="6"/>
      <c r="AA347" s="4"/>
      <c r="AB347" s="4"/>
      <c r="AC347" s="4"/>
      <c r="AD347" s="6"/>
      <c r="AE347" s="4"/>
      <c r="AF347" s="4"/>
      <c r="AG347" s="4"/>
      <c r="AH347" s="4">
        <v>96755552460</v>
      </c>
    </row>
    <row r="348" spans="1:34" x14ac:dyDescent="0.25">
      <c r="A348" s="4">
        <v>347</v>
      </c>
      <c r="B348" s="5" t="s">
        <v>794</v>
      </c>
      <c r="C348" s="5" t="s">
        <v>795</v>
      </c>
      <c r="D348" s="5" t="s">
        <v>23</v>
      </c>
      <c r="E348" s="5" t="s">
        <v>62</v>
      </c>
      <c r="F348" s="5" t="s">
        <v>226</v>
      </c>
      <c r="G348" s="5" t="s">
        <v>737</v>
      </c>
      <c r="H348" s="4">
        <v>12343069650</v>
      </c>
      <c r="I348" s="4"/>
      <c r="J348" s="6">
        <v>0.3962</v>
      </c>
      <c r="K348" s="6">
        <v>5.1000000000000004E-3</v>
      </c>
      <c r="L348" s="6">
        <v>8.2799999999999999E-2</v>
      </c>
      <c r="M348" s="4">
        <v>6856585661</v>
      </c>
      <c r="N348" s="4"/>
      <c r="O348" s="4"/>
      <c r="P348" s="6">
        <v>0.23760000000000001</v>
      </c>
      <c r="Q348" s="6">
        <v>-0.12970000000000001</v>
      </c>
      <c r="R348" s="6">
        <v>-3.0300000000000001E-2</v>
      </c>
      <c r="S348" s="6">
        <v>-0.22470000000000001</v>
      </c>
      <c r="T348" s="4"/>
      <c r="U348" s="6">
        <v>-0.52100000000000002</v>
      </c>
      <c r="V348" s="6">
        <v>-0.18090000000000001</v>
      </c>
      <c r="W348" s="6">
        <v>-0.18229999999999999</v>
      </c>
      <c r="X348" s="6">
        <v>2.76E-2</v>
      </c>
      <c r="Y348" s="4"/>
      <c r="Z348" s="6">
        <v>-0.28870000000000001</v>
      </c>
      <c r="AA348" s="4"/>
      <c r="AB348" s="4"/>
      <c r="AC348" s="4"/>
      <c r="AD348" s="6">
        <v>0</v>
      </c>
      <c r="AE348" s="4"/>
      <c r="AF348" s="4"/>
      <c r="AG348" s="4"/>
      <c r="AH348" s="4">
        <v>231462800000</v>
      </c>
    </row>
    <row r="349" spans="1:34" x14ac:dyDescent="0.25">
      <c r="A349" s="4">
        <v>348</v>
      </c>
      <c r="B349" s="5" t="s">
        <v>796</v>
      </c>
      <c r="C349" s="5" t="s">
        <v>797</v>
      </c>
      <c r="D349" s="5" t="s">
        <v>23</v>
      </c>
      <c r="E349" s="5" t="s">
        <v>75</v>
      </c>
      <c r="F349" s="5" t="s">
        <v>79</v>
      </c>
      <c r="G349" s="5" t="s">
        <v>80</v>
      </c>
      <c r="H349" s="4">
        <v>3744618689735</v>
      </c>
      <c r="I349" s="4">
        <v>6527822116103</v>
      </c>
      <c r="J349" s="6">
        <v>0.4078</v>
      </c>
      <c r="K349" s="6">
        <v>0.39240000000000003</v>
      </c>
      <c r="L349" s="6">
        <v>0.51470000000000005</v>
      </c>
      <c r="M349" s="4">
        <v>1691893604468</v>
      </c>
      <c r="N349" s="4">
        <v>2839527033960</v>
      </c>
      <c r="O349" s="4"/>
      <c r="P349" s="6">
        <v>0.19139999999999999</v>
      </c>
      <c r="Q349" s="6">
        <v>0.16819999999999999</v>
      </c>
      <c r="R349" s="6">
        <v>0.4078</v>
      </c>
      <c r="S349" s="6">
        <v>0.47420000000000001</v>
      </c>
      <c r="T349" s="4"/>
      <c r="U349" s="6">
        <v>-0.50649999999999995</v>
      </c>
      <c r="V349" s="6">
        <v>-0.5282</v>
      </c>
      <c r="W349" s="6">
        <v>-0.52890000000000004</v>
      </c>
      <c r="X349" s="6">
        <v>0</v>
      </c>
      <c r="Y349" s="4"/>
      <c r="Z349" s="6">
        <v>0.34539999999999998</v>
      </c>
      <c r="AA349" s="4"/>
      <c r="AB349" s="4"/>
      <c r="AC349" s="4"/>
      <c r="AD349" s="6">
        <v>0</v>
      </c>
      <c r="AE349" s="4"/>
      <c r="AF349" s="4"/>
      <c r="AG349" s="4"/>
      <c r="AH349" s="4">
        <v>112504082328750</v>
      </c>
    </row>
    <row r="350" spans="1:34" x14ac:dyDescent="0.25">
      <c r="A350" s="4">
        <v>349</v>
      </c>
      <c r="B350" s="5" t="s">
        <v>798</v>
      </c>
      <c r="C350" s="5" t="s">
        <v>799</v>
      </c>
      <c r="D350" s="5" t="s">
        <v>23</v>
      </c>
      <c r="E350" s="5" t="s">
        <v>75</v>
      </c>
      <c r="F350" s="5" t="s">
        <v>76</v>
      </c>
      <c r="G350" s="5" t="s">
        <v>300</v>
      </c>
      <c r="H350" s="4"/>
      <c r="I350" s="4"/>
      <c r="J350" s="6"/>
      <c r="K350" s="6"/>
      <c r="L350" s="6"/>
      <c r="M350" s="4"/>
      <c r="N350" s="4"/>
      <c r="O350" s="4"/>
      <c r="P350" s="6"/>
      <c r="Q350" s="6"/>
      <c r="R350" s="6"/>
      <c r="S350" s="6"/>
      <c r="T350" s="4"/>
      <c r="U350" s="6"/>
      <c r="V350" s="6"/>
      <c r="W350" s="6"/>
      <c r="X350" s="6"/>
      <c r="Y350" s="4"/>
      <c r="Z350" s="6"/>
      <c r="AA350" s="4"/>
      <c r="AB350" s="4"/>
      <c r="AC350" s="4"/>
      <c r="AD350" s="6"/>
      <c r="AE350" s="4"/>
      <c r="AF350" s="4"/>
      <c r="AG350" s="4"/>
      <c r="AH350" s="4">
        <v>904591080000</v>
      </c>
    </row>
    <row r="351" spans="1:34" x14ac:dyDescent="0.25">
      <c r="A351" s="4">
        <v>350</v>
      </c>
      <c r="B351" s="5" t="s">
        <v>800</v>
      </c>
      <c r="C351" s="5" t="s">
        <v>801</v>
      </c>
      <c r="D351" s="5" t="s">
        <v>23</v>
      </c>
      <c r="E351" s="5" t="s">
        <v>98</v>
      </c>
      <c r="F351" s="5" t="s">
        <v>99</v>
      </c>
      <c r="G351" s="5" t="s">
        <v>100</v>
      </c>
      <c r="H351" s="4"/>
      <c r="I351" s="4"/>
      <c r="J351" s="6"/>
      <c r="K351" s="6"/>
      <c r="L351" s="6"/>
      <c r="M351" s="4"/>
      <c r="N351" s="4"/>
      <c r="O351" s="4"/>
      <c r="P351" s="6"/>
      <c r="Q351" s="6"/>
      <c r="R351" s="6"/>
      <c r="S351" s="6"/>
      <c r="T351" s="4"/>
      <c r="U351" s="6"/>
      <c r="V351" s="6"/>
      <c r="W351" s="6"/>
      <c r="X351" s="6"/>
      <c r="Y351" s="4"/>
      <c r="Z351" s="6"/>
      <c r="AA351" s="4"/>
      <c r="AB351" s="4"/>
      <c r="AC351" s="4"/>
      <c r="AD351" s="6"/>
      <c r="AE351" s="4"/>
      <c r="AF351" s="4"/>
      <c r="AG351" s="4"/>
      <c r="AH351" s="4">
        <v>60285863100</v>
      </c>
    </row>
    <row r="352" spans="1:34" x14ac:dyDescent="0.25">
      <c r="A352" s="4">
        <v>351</v>
      </c>
      <c r="B352" s="5" t="s">
        <v>802</v>
      </c>
      <c r="C352" s="5" t="s">
        <v>803</v>
      </c>
      <c r="D352" s="5" t="s">
        <v>23</v>
      </c>
      <c r="E352" s="5" t="s">
        <v>75</v>
      </c>
      <c r="F352" s="5" t="s">
        <v>76</v>
      </c>
      <c r="G352" s="5" t="s">
        <v>76</v>
      </c>
      <c r="H352" s="4"/>
      <c r="I352" s="4"/>
      <c r="J352" s="6"/>
      <c r="K352" s="6"/>
      <c r="L352" s="6"/>
      <c r="M352" s="4"/>
      <c r="N352" s="4"/>
      <c r="O352" s="4"/>
      <c r="P352" s="6"/>
      <c r="Q352" s="6"/>
      <c r="R352" s="6"/>
      <c r="S352" s="6"/>
      <c r="T352" s="4"/>
      <c r="U352" s="6"/>
      <c r="V352" s="6"/>
      <c r="W352" s="6"/>
      <c r="X352" s="6"/>
      <c r="Y352" s="4"/>
      <c r="Z352" s="6"/>
      <c r="AA352" s="4"/>
      <c r="AB352" s="4"/>
      <c r="AC352" s="4"/>
      <c r="AD352" s="6"/>
      <c r="AE352" s="4"/>
      <c r="AF352" s="4"/>
      <c r="AG352" s="4"/>
      <c r="AH352" s="4">
        <v>376260241780</v>
      </c>
    </row>
    <row r="353" spans="1:34" x14ac:dyDescent="0.25">
      <c r="A353" s="4">
        <v>352</v>
      </c>
      <c r="B353" s="5" t="s">
        <v>804</v>
      </c>
      <c r="C353" s="5" t="s">
        <v>805</v>
      </c>
      <c r="D353" s="5" t="s">
        <v>23</v>
      </c>
      <c r="E353" s="5" t="s">
        <v>98</v>
      </c>
      <c r="F353" s="5" t="s">
        <v>99</v>
      </c>
      <c r="G353" s="5" t="s">
        <v>155</v>
      </c>
      <c r="H353" s="4">
        <v>89538517400</v>
      </c>
      <c r="I353" s="4">
        <v>167864053500</v>
      </c>
      <c r="J353" s="6">
        <v>-0.10390000000000001</v>
      </c>
      <c r="K353" s="6">
        <v>-0.16039999999999999</v>
      </c>
      <c r="L353" s="6">
        <v>0.19020000000000001</v>
      </c>
      <c r="M353" s="4">
        <v>19896540177</v>
      </c>
      <c r="N353" s="4">
        <v>142167245523</v>
      </c>
      <c r="O353" s="4"/>
      <c r="P353" s="6">
        <v>-0.62190000000000001</v>
      </c>
      <c r="Q353" s="6">
        <v>-0.27610000000000001</v>
      </c>
      <c r="R353" s="6">
        <v>-0.39939999999999998</v>
      </c>
      <c r="S353" s="6">
        <v>-0.83730000000000004</v>
      </c>
      <c r="T353" s="4"/>
      <c r="U353" s="6">
        <v>-0.6643</v>
      </c>
      <c r="V353" s="6">
        <v>-0.47810000000000002</v>
      </c>
      <c r="W353" s="6">
        <v>-0.36820000000000003</v>
      </c>
      <c r="X353" s="6">
        <v>2.3300000000000001E-2</v>
      </c>
      <c r="Y353" s="4"/>
      <c r="Z353" s="6">
        <v>0.14319999999999999</v>
      </c>
      <c r="AA353" s="4"/>
      <c r="AB353" s="4"/>
      <c r="AC353" s="4"/>
      <c r="AD353" s="6">
        <v>0</v>
      </c>
      <c r="AE353" s="4"/>
      <c r="AF353" s="4"/>
      <c r="AG353" s="4"/>
      <c r="AH353" s="4">
        <v>7332600000000</v>
      </c>
    </row>
    <row r="354" spans="1:34" x14ac:dyDescent="0.25">
      <c r="A354" s="4">
        <v>353</v>
      </c>
      <c r="B354" s="5" t="s">
        <v>806</v>
      </c>
      <c r="C354" s="5" t="s">
        <v>807</v>
      </c>
      <c r="D354" s="5" t="s">
        <v>23</v>
      </c>
      <c r="E354" s="5" t="s">
        <v>40</v>
      </c>
      <c r="F354" s="5" t="s">
        <v>41</v>
      </c>
      <c r="G354" s="5" t="s">
        <v>90</v>
      </c>
      <c r="H354" s="4"/>
      <c r="I354" s="4"/>
      <c r="J354" s="6"/>
      <c r="K354" s="6"/>
      <c r="L354" s="6"/>
      <c r="M354" s="4"/>
      <c r="N354" s="4"/>
      <c r="O354" s="4"/>
      <c r="P354" s="6"/>
      <c r="Q354" s="6"/>
      <c r="R354" s="6"/>
      <c r="S354" s="6"/>
      <c r="T354" s="4"/>
      <c r="U354" s="6"/>
      <c r="V354" s="6"/>
      <c r="W354" s="6"/>
      <c r="X354" s="6"/>
      <c r="Y354" s="4"/>
      <c r="Z354" s="6"/>
      <c r="AA354" s="4"/>
      <c r="AB354" s="4"/>
      <c r="AC354" s="4"/>
      <c r="AD354" s="6"/>
      <c r="AE354" s="4"/>
      <c r="AF354" s="4"/>
      <c r="AG354" s="4"/>
      <c r="AH354" s="4">
        <v>2679807816400</v>
      </c>
    </row>
    <row r="355" spans="1:34" x14ac:dyDescent="0.25">
      <c r="A355" s="4">
        <v>354</v>
      </c>
      <c r="B355" s="5" t="s">
        <v>808</v>
      </c>
      <c r="C355" s="5" t="s">
        <v>809</v>
      </c>
      <c r="D355" s="5" t="s">
        <v>23</v>
      </c>
      <c r="E355" s="5" t="s">
        <v>98</v>
      </c>
      <c r="F355" s="5" t="s">
        <v>99</v>
      </c>
      <c r="G355" s="5" t="s">
        <v>155</v>
      </c>
      <c r="H355" s="4">
        <v>363671949035</v>
      </c>
      <c r="I355" s="4">
        <v>688977139600</v>
      </c>
      <c r="J355" s="6">
        <v>4.4699999999999997E-2</v>
      </c>
      <c r="K355" s="6">
        <v>3.5400000000000001E-2</v>
      </c>
      <c r="L355" s="6">
        <v>3.5400000000000001E-2</v>
      </c>
      <c r="M355" s="4">
        <v>20617709103</v>
      </c>
      <c r="N355" s="4">
        <v>30664691996</v>
      </c>
      <c r="O355" s="4"/>
      <c r="P355" s="6">
        <v>0.3528</v>
      </c>
      <c r="Q355" s="6">
        <v>0.14829999999999999</v>
      </c>
      <c r="R355" s="6">
        <v>0.27539999999999998</v>
      </c>
      <c r="S355" s="6">
        <v>1.0521</v>
      </c>
      <c r="T355" s="4"/>
      <c r="U355" s="6">
        <v>-0.505</v>
      </c>
      <c r="V355" s="6">
        <v>-0.49930000000000002</v>
      </c>
      <c r="W355" s="6">
        <v>-0.50019999999999998</v>
      </c>
      <c r="X355" s="6">
        <v>3.04E-2</v>
      </c>
      <c r="Y355" s="4"/>
      <c r="Z355" s="6">
        <v>0.1179</v>
      </c>
      <c r="AA355" s="4"/>
      <c r="AB355" s="4"/>
      <c r="AC355" s="4"/>
      <c r="AD355" s="6">
        <v>0</v>
      </c>
      <c r="AE355" s="4"/>
      <c r="AF355" s="4"/>
      <c r="AG355" s="4"/>
      <c r="AH355" s="4">
        <v>391000000000</v>
      </c>
    </row>
    <row r="356" spans="1:34" x14ac:dyDescent="0.25">
      <c r="A356" s="4">
        <v>355</v>
      </c>
      <c r="B356" s="5" t="s">
        <v>810</v>
      </c>
      <c r="C356" s="5" t="s">
        <v>811</v>
      </c>
      <c r="D356" s="5" t="s">
        <v>23</v>
      </c>
      <c r="E356" s="5" t="s">
        <v>75</v>
      </c>
      <c r="F356" s="5" t="s">
        <v>76</v>
      </c>
      <c r="G356" s="5" t="s">
        <v>76</v>
      </c>
      <c r="H356" s="4"/>
      <c r="I356" s="4"/>
      <c r="J356" s="6"/>
      <c r="K356" s="6"/>
      <c r="L356" s="6"/>
      <c r="M356" s="4"/>
      <c r="N356" s="4"/>
      <c r="O356" s="4"/>
      <c r="P356" s="6"/>
      <c r="Q356" s="6"/>
      <c r="R356" s="6"/>
      <c r="S356" s="6"/>
      <c r="T356" s="4"/>
      <c r="U356" s="6"/>
      <c r="V356" s="6"/>
      <c r="W356" s="6"/>
      <c r="X356" s="6"/>
      <c r="Y356" s="4"/>
      <c r="Z356" s="6"/>
      <c r="AA356" s="4"/>
      <c r="AB356" s="4"/>
      <c r="AC356" s="4"/>
      <c r="AD356" s="6"/>
      <c r="AE356" s="4"/>
      <c r="AF356" s="4"/>
      <c r="AG356" s="4"/>
      <c r="AH356" s="4">
        <v>700678059600</v>
      </c>
    </row>
    <row r="357" spans="1:34" x14ac:dyDescent="0.25">
      <c r="A357" s="4">
        <v>356</v>
      </c>
      <c r="B357" s="5" t="s">
        <v>812</v>
      </c>
      <c r="C357" s="5" t="s">
        <v>813</v>
      </c>
      <c r="D357" s="5" t="s">
        <v>23</v>
      </c>
      <c r="E357" s="5" t="s">
        <v>40</v>
      </c>
      <c r="F357" s="5" t="s">
        <v>52</v>
      </c>
      <c r="G357" s="5" t="s">
        <v>53</v>
      </c>
      <c r="H357" s="4"/>
      <c r="I357" s="4"/>
      <c r="J357" s="6"/>
      <c r="K357" s="6"/>
      <c r="L357" s="6"/>
      <c r="M357" s="4"/>
      <c r="N357" s="4"/>
      <c r="O357" s="4"/>
      <c r="P357" s="6"/>
      <c r="Q357" s="6"/>
      <c r="R357" s="6"/>
      <c r="S357" s="6"/>
      <c r="T357" s="4"/>
      <c r="U357" s="6"/>
      <c r="V357" s="6"/>
      <c r="W357" s="6"/>
      <c r="X357" s="6"/>
      <c r="Y357" s="4"/>
      <c r="Z357" s="6"/>
      <c r="AA357" s="4"/>
      <c r="AB357" s="4"/>
      <c r="AC357" s="4"/>
      <c r="AD357" s="6"/>
      <c r="AE357" s="4"/>
      <c r="AF357" s="4"/>
      <c r="AG357" s="4"/>
      <c r="AH357" s="4">
        <v>991971857400</v>
      </c>
    </row>
    <row r="358" spans="1:34" x14ac:dyDescent="0.25">
      <c r="A358" s="4">
        <v>357</v>
      </c>
      <c r="B358" s="5" t="s">
        <v>814</v>
      </c>
      <c r="C358" s="5" t="s">
        <v>815</v>
      </c>
      <c r="D358" s="5" t="s">
        <v>23</v>
      </c>
      <c r="E358" s="5" t="s">
        <v>75</v>
      </c>
      <c r="F358" s="5" t="s">
        <v>76</v>
      </c>
      <c r="G358" s="5" t="s">
        <v>76</v>
      </c>
      <c r="H358" s="4"/>
      <c r="I358" s="4"/>
      <c r="J358" s="6"/>
      <c r="K358" s="6"/>
      <c r="L358" s="6"/>
      <c r="M358" s="4"/>
      <c r="N358" s="4"/>
      <c r="O358" s="4"/>
      <c r="P358" s="6"/>
      <c r="Q358" s="6"/>
      <c r="R358" s="6"/>
      <c r="S358" s="6"/>
      <c r="T358" s="4"/>
      <c r="U358" s="6"/>
      <c r="V358" s="6"/>
      <c r="W358" s="6"/>
      <c r="X358" s="6"/>
      <c r="Y358" s="4"/>
      <c r="Z358" s="6"/>
      <c r="AA358" s="4"/>
      <c r="AB358" s="4"/>
      <c r="AC358" s="4"/>
      <c r="AD358" s="6"/>
      <c r="AE358" s="4"/>
      <c r="AF358" s="4"/>
      <c r="AG358" s="4"/>
      <c r="AH358" s="4">
        <v>1098632783300</v>
      </c>
    </row>
    <row r="359" spans="1:34" x14ac:dyDescent="0.25">
      <c r="A359" s="4">
        <v>358</v>
      </c>
      <c r="B359" s="5" t="s">
        <v>816</v>
      </c>
      <c r="C359" s="5" t="s">
        <v>817</v>
      </c>
      <c r="D359" s="5" t="s">
        <v>23</v>
      </c>
      <c r="E359" s="5" t="s">
        <v>75</v>
      </c>
      <c r="F359" s="5" t="s">
        <v>76</v>
      </c>
      <c r="G359" s="5" t="s">
        <v>76</v>
      </c>
      <c r="H359" s="4">
        <v>59179750547</v>
      </c>
      <c r="I359" s="4"/>
      <c r="J359" s="6">
        <v>-0.1948</v>
      </c>
      <c r="K359" s="6">
        <v>-7.7799999999999994E-2</v>
      </c>
      <c r="L359" s="6">
        <v>-4.8099999999999997E-2</v>
      </c>
      <c r="M359" s="4">
        <v>30687734087</v>
      </c>
      <c r="N359" s="4"/>
      <c r="O359" s="4"/>
      <c r="P359" s="6">
        <v>-0.2114</v>
      </c>
      <c r="Q359" s="6">
        <v>-2.64E-2</v>
      </c>
      <c r="R359" s="6">
        <v>1.72E-2</v>
      </c>
      <c r="S359" s="6">
        <v>-8.4900000000000003E-2</v>
      </c>
      <c r="T359" s="4"/>
      <c r="U359" s="6">
        <v>0</v>
      </c>
      <c r="V359" s="6">
        <v>0</v>
      </c>
      <c r="W359" s="6">
        <v>0</v>
      </c>
      <c r="X359" s="6">
        <v>0</v>
      </c>
      <c r="Y359" s="4"/>
      <c r="Z359" s="6">
        <v>-3.9399999999999998E-2</v>
      </c>
      <c r="AA359" s="4"/>
      <c r="AB359" s="4"/>
      <c r="AC359" s="4"/>
      <c r="AD359" s="6">
        <v>0</v>
      </c>
      <c r="AE359" s="4"/>
      <c r="AF359" s="4"/>
      <c r="AG359" s="4"/>
      <c r="AH359" s="4">
        <v>1200000000000</v>
      </c>
    </row>
    <row r="360" spans="1:34" x14ac:dyDescent="0.25">
      <c r="A360" s="4">
        <v>359</v>
      </c>
      <c r="B360" s="5" t="s">
        <v>818</v>
      </c>
      <c r="C360" s="5" t="s">
        <v>819</v>
      </c>
      <c r="D360" s="5" t="s">
        <v>23</v>
      </c>
      <c r="E360" s="5" t="s">
        <v>40</v>
      </c>
      <c r="F360" s="5" t="s">
        <v>52</v>
      </c>
      <c r="G360" s="5" t="s">
        <v>53</v>
      </c>
      <c r="H360" s="4"/>
      <c r="I360" s="4"/>
      <c r="J360" s="6"/>
      <c r="K360" s="6"/>
      <c r="L360" s="6"/>
      <c r="M360" s="4"/>
      <c r="N360" s="4"/>
      <c r="O360" s="4"/>
      <c r="P360" s="6"/>
      <c r="Q360" s="6"/>
      <c r="R360" s="6"/>
      <c r="S360" s="6"/>
      <c r="T360" s="4"/>
      <c r="U360" s="6"/>
      <c r="V360" s="6"/>
      <c r="W360" s="6"/>
      <c r="X360" s="6"/>
      <c r="Y360" s="4"/>
      <c r="Z360" s="6"/>
      <c r="AA360" s="4"/>
      <c r="AB360" s="4"/>
      <c r="AC360" s="4"/>
      <c r="AD360" s="6"/>
      <c r="AE360" s="4"/>
      <c r="AF360" s="4"/>
      <c r="AG360" s="4"/>
      <c r="AH360" s="4">
        <v>653027390400</v>
      </c>
    </row>
    <row r="361" spans="1:34" x14ac:dyDescent="0.25">
      <c r="A361" s="4">
        <v>360</v>
      </c>
      <c r="B361" s="5" t="s">
        <v>820</v>
      </c>
      <c r="C361" s="5" t="s">
        <v>821</v>
      </c>
      <c r="D361" s="5" t="s">
        <v>23</v>
      </c>
      <c r="E361" s="5" t="s">
        <v>29</v>
      </c>
      <c r="F361" s="5" t="s">
        <v>36</v>
      </c>
      <c r="G361" s="5" t="s">
        <v>822</v>
      </c>
      <c r="H361" s="4"/>
      <c r="I361" s="4"/>
      <c r="J361" s="6"/>
      <c r="K361" s="6"/>
      <c r="L361" s="6"/>
      <c r="M361" s="4"/>
      <c r="N361" s="4"/>
      <c r="O361" s="4"/>
      <c r="P361" s="6"/>
      <c r="Q361" s="6"/>
      <c r="R361" s="6"/>
      <c r="S361" s="6"/>
      <c r="T361" s="4"/>
      <c r="U361" s="6"/>
      <c r="V361" s="6"/>
      <c r="W361" s="6"/>
      <c r="X361" s="6"/>
      <c r="Y361" s="4"/>
      <c r="Z361" s="6"/>
      <c r="AA361" s="4"/>
      <c r="AB361" s="4"/>
      <c r="AC361" s="4"/>
      <c r="AD361" s="6"/>
      <c r="AE361" s="4"/>
      <c r="AF361" s="4"/>
      <c r="AG361" s="4"/>
      <c r="AH361" s="4">
        <v>4425824389000</v>
      </c>
    </row>
    <row r="362" spans="1:34" x14ac:dyDescent="0.25">
      <c r="A362" s="4">
        <v>361</v>
      </c>
      <c r="B362" s="5" t="s">
        <v>823</v>
      </c>
      <c r="C362" s="5" t="s">
        <v>824</v>
      </c>
      <c r="D362" s="5" t="s">
        <v>23</v>
      </c>
      <c r="E362" s="5" t="s">
        <v>24</v>
      </c>
      <c r="F362" s="5" t="s">
        <v>56</v>
      </c>
      <c r="G362" s="5" t="s">
        <v>291</v>
      </c>
      <c r="H362" s="4"/>
      <c r="I362" s="4"/>
      <c r="J362" s="6"/>
      <c r="K362" s="6"/>
      <c r="L362" s="6"/>
      <c r="M362" s="4"/>
      <c r="N362" s="4"/>
      <c r="O362" s="4"/>
      <c r="P362" s="6"/>
      <c r="Q362" s="6"/>
      <c r="R362" s="6"/>
      <c r="S362" s="6"/>
      <c r="T362" s="4"/>
      <c r="U362" s="6"/>
      <c r="V362" s="6"/>
      <c r="W362" s="6"/>
      <c r="X362" s="6"/>
      <c r="Y362" s="4"/>
      <c r="Z362" s="6"/>
      <c r="AA362" s="4"/>
      <c r="AB362" s="4"/>
      <c r="AC362" s="4"/>
      <c r="AD362" s="6"/>
      <c r="AE362" s="4"/>
      <c r="AF362" s="4"/>
      <c r="AG362" s="4"/>
      <c r="AH362" s="4">
        <v>447033667660</v>
      </c>
    </row>
    <row r="363" spans="1:34" x14ac:dyDescent="0.25">
      <c r="A363" s="4">
        <v>362</v>
      </c>
      <c r="B363" s="5" t="s">
        <v>825</v>
      </c>
      <c r="C363" s="5" t="s">
        <v>826</v>
      </c>
      <c r="D363" s="5" t="s">
        <v>23</v>
      </c>
      <c r="E363" s="5" t="s">
        <v>98</v>
      </c>
      <c r="F363" s="5" t="s">
        <v>99</v>
      </c>
      <c r="G363" s="5" t="s">
        <v>144</v>
      </c>
      <c r="H363" s="4"/>
      <c r="I363" s="4"/>
      <c r="J363" s="6"/>
      <c r="K363" s="6"/>
      <c r="L363" s="6"/>
      <c r="M363" s="4"/>
      <c r="N363" s="4"/>
      <c r="O363" s="4"/>
      <c r="P363" s="6"/>
      <c r="Q363" s="6"/>
      <c r="R363" s="6"/>
      <c r="S363" s="6"/>
      <c r="T363" s="4"/>
      <c r="U363" s="6"/>
      <c r="V363" s="6"/>
      <c r="W363" s="6"/>
      <c r="X363" s="6"/>
      <c r="Y363" s="4"/>
      <c r="Z363" s="6"/>
      <c r="AA363" s="4"/>
      <c r="AB363" s="4"/>
      <c r="AC363" s="4"/>
      <c r="AD363" s="6"/>
      <c r="AE363" s="4"/>
      <c r="AF363" s="4"/>
      <c r="AG363" s="4"/>
      <c r="AH363" s="4">
        <v>3185000000000</v>
      </c>
    </row>
    <row r="364" spans="1:34" x14ac:dyDescent="0.25">
      <c r="A364" s="4">
        <v>363</v>
      </c>
      <c r="B364" s="5" t="s">
        <v>827</v>
      </c>
      <c r="C364" s="5" t="s">
        <v>828</v>
      </c>
      <c r="D364" s="5" t="s">
        <v>23</v>
      </c>
      <c r="E364" s="5" t="s">
        <v>40</v>
      </c>
      <c r="F364" s="5" t="s">
        <v>41</v>
      </c>
      <c r="G364" s="5" t="s">
        <v>93</v>
      </c>
      <c r="H364" s="4"/>
      <c r="I364" s="4"/>
      <c r="J364" s="6"/>
      <c r="K364" s="6"/>
      <c r="L364" s="6"/>
      <c r="M364" s="4"/>
      <c r="N364" s="4"/>
      <c r="O364" s="4"/>
      <c r="P364" s="6"/>
      <c r="Q364" s="6"/>
      <c r="R364" s="6"/>
      <c r="S364" s="6"/>
      <c r="T364" s="4"/>
      <c r="U364" s="6"/>
      <c r="V364" s="6"/>
      <c r="W364" s="6"/>
      <c r="X364" s="6"/>
      <c r="Y364" s="4"/>
      <c r="Z364" s="6"/>
      <c r="AA364" s="4"/>
      <c r="AB364" s="4"/>
      <c r="AC364" s="4"/>
      <c r="AD364" s="6"/>
      <c r="AE364" s="4"/>
      <c r="AF364" s="4"/>
      <c r="AG364" s="4"/>
      <c r="AH364" s="4">
        <v>6304373732000</v>
      </c>
    </row>
    <row r="365" spans="1:34" x14ac:dyDescent="0.25">
      <c r="A365" s="4">
        <v>364</v>
      </c>
      <c r="B365" s="5" t="s">
        <v>829</v>
      </c>
      <c r="C365" s="5" t="s">
        <v>830</v>
      </c>
      <c r="D365" s="5" t="s">
        <v>23</v>
      </c>
      <c r="E365" s="5" t="s">
        <v>29</v>
      </c>
      <c r="F365" s="5" t="s">
        <v>203</v>
      </c>
      <c r="G365" s="5" t="s">
        <v>211</v>
      </c>
      <c r="H365" s="4"/>
      <c r="I365" s="4"/>
      <c r="J365" s="6"/>
      <c r="K365" s="6"/>
      <c r="L365" s="6"/>
      <c r="M365" s="4"/>
      <c r="N365" s="4"/>
      <c r="O365" s="4"/>
      <c r="P365" s="6"/>
      <c r="Q365" s="6"/>
      <c r="R365" s="6"/>
      <c r="S365" s="6"/>
      <c r="T365" s="4"/>
      <c r="U365" s="6"/>
      <c r="V365" s="6"/>
      <c r="W365" s="6"/>
      <c r="X365" s="6"/>
      <c r="Y365" s="4"/>
      <c r="Z365" s="6"/>
      <c r="AA365" s="4"/>
      <c r="AB365" s="4"/>
      <c r="AC365" s="4"/>
      <c r="AD365" s="6"/>
      <c r="AE365" s="4"/>
      <c r="AF365" s="4"/>
      <c r="AG365" s="4"/>
      <c r="AH365" s="4">
        <v>418565073000</v>
      </c>
    </row>
    <row r="366" spans="1:34" x14ac:dyDescent="0.25">
      <c r="A366" s="4">
        <v>365</v>
      </c>
      <c r="B366" s="5" t="s">
        <v>831</v>
      </c>
      <c r="C366" s="5" t="s">
        <v>832</v>
      </c>
      <c r="D366" s="5" t="s">
        <v>23</v>
      </c>
      <c r="E366" s="5" t="s">
        <v>75</v>
      </c>
      <c r="F366" s="5" t="s">
        <v>76</v>
      </c>
      <c r="G366" s="5" t="s">
        <v>76</v>
      </c>
      <c r="H366" s="4"/>
      <c r="I366" s="4"/>
      <c r="J366" s="6"/>
      <c r="K366" s="6"/>
      <c r="L366" s="6"/>
      <c r="M366" s="4"/>
      <c r="N366" s="4"/>
      <c r="O366" s="4"/>
      <c r="P366" s="6"/>
      <c r="Q366" s="6"/>
      <c r="R366" s="6"/>
      <c r="S366" s="6"/>
      <c r="T366" s="4"/>
      <c r="U366" s="6"/>
      <c r="V366" s="6"/>
      <c r="W366" s="6"/>
      <c r="X366" s="6"/>
      <c r="Y366" s="4"/>
      <c r="Z366" s="6"/>
      <c r="AA366" s="4"/>
      <c r="AB366" s="4"/>
      <c r="AC366" s="4"/>
      <c r="AD366" s="6"/>
      <c r="AE366" s="4"/>
      <c r="AF366" s="4"/>
      <c r="AG366" s="4"/>
      <c r="AH366" s="4">
        <v>835327172000</v>
      </c>
    </row>
    <row r="367" spans="1:34" x14ac:dyDescent="0.25">
      <c r="A367" s="4">
        <v>366</v>
      </c>
      <c r="B367" s="5" t="s">
        <v>833</v>
      </c>
      <c r="C367" s="5" t="s">
        <v>834</v>
      </c>
      <c r="D367" s="5" t="s">
        <v>23</v>
      </c>
      <c r="E367" s="5" t="s">
        <v>24</v>
      </c>
      <c r="F367" s="5" t="s">
        <v>25</v>
      </c>
      <c r="G367" s="5" t="s">
        <v>26</v>
      </c>
      <c r="H367" s="4">
        <v>51556861294</v>
      </c>
      <c r="I367" s="4">
        <v>90483013579</v>
      </c>
      <c r="J367" s="6">
        <v>1.1422000000000001</v>
      </c>
      <c r="K367" s="6">
        <v>0.57599999999999996</v>
      </c>
      <c r="L367" s="6">
        <v>0.48680000000000001</v>
      </c>
      <c r="M367" s="4">
        <v>30007124380</v>
      </c>
      <c r="N367" s="4">
        <v>41618274532</v>
      </c>
      <c r="O367" s="4"/>
      <c r="P367" s="6">
        <v>-7.2300000000000003E-2</v>
      </c>
      <c r="Q367" s="6">
        <v>5.8099999999999999E-2</v>
      </c>
      <c r="R367" s="6">
        <v>-8.3699999999999997E-2</v>
      </c>
      <c r="S367" s="6">
        <v>1.5843</v>
      </c>
      <c r="T367" s="4"/>
      <c r="U367" s="6">
        <v>0</v>
      </c>
      <c r="V367" s="6">
        <v>0</v>
      </c>
      <c r="W367" s="6">
        <v>0</v>
      </c>
      <c r="X367" s="6">
        <v>0</v>
      </c>
      <c r="Y367" s="4"/>
      <c r="Z367" s="6">
        <v>0.32450000000000001</v>
      </c>
      <c r="AA367" s="4"/>
      <c r="AB367" s="4"/>
      <c r="AC367" s="4"/>
      <c r="AD367" s="6">
        <v>0</v>
      </c>
      <c r="AE367" s="4"/>
      <c r="AF367" s="4"/>
      <c r="AG367" s="4"/>
      <c r="AH367" s="4">
        <v>613112500000</v>
      </c>
    </row>
    <row r="368" spans="1:34" x14ac:dyDescent="0.25">
      <c r="A368" s="4">
        <v>367</v>
      </c>
      <c r="B368" s="5" t="s">
        <v>835</v>
      </c>
      <c r="C368" s="5" t="s">
        <v>836</v>
      </c>
      <c r="D368" s="5" t="s">
        <v>23</v>
      </c>
      <c r="E368" s="5" t="s">
        <v>234</v>
      </c>
      <c r="F368" s="5" t="s">
        <v>235</v>
      </c>
      <c r="G368" s="5" t="s">
        <v>837</v>
      </c>
      <c r="H368" s="4"/>
      <c r="I368" s="4"/>
      <c r="J368" s="6"/>
      <c r="K368" s="6"/>
      <c r="L368" s="6"/>
      <c r="M368" s="4"/>
      <c r="N368" s="4"/>
      <c r="O368" s="4"/>
      <c r="P368" s="6"/>
      <c r="Q368" s="6"/>
      <c r="R368" s="6"/>
      <c r="S368" s="6"/>
      <c r="T368" s="4"/>
      <c r="U368" s="6"/>
      <c r="V368" s="6"/>
      <c r="W368" s="6"/>
      <c r="X368" s="6"/>
      <c r="Y368" s="4"/>
      <c r="Z368" s="6"/>
      <c r="AA368" s="4"/>
      <c r="AB368" s="4"/>
      <c r="AC368" s="4"/>
      <c r="AD368" s="6"/>
      <c r="AE368" s="4"/>
      <c r="AF368" s="4"/>
      <c r="AG368" s="4"/>
      <c r="AH368" s="4">
        <v>1352331854880</v>
      </c>
    </row>
    <row r="369" spans="1:34" x14ac:dyDescent="0.25">
      <c r="A369" s="4">
        <v>368</v>
      </c>
      <c r="B369" s="5" t="s">
        <v>838</v>
      </c>
      <c r="C369" s="5" t="s">
        <v>839</v>
      </c>
      <c r="D369" s="5" t="s">
        <v>23</v>
      </c>
      <c r="E369" s="5" t="s">
        <v>24</v>
      </c>
      <c r="F369" s="5" t="s">
        <v>56</v>
      </c>
      <c r="G369" s="5" t="s">
        <v>291</v>
      </c>
      <c r="H369" s="4"/>
      <c r="I369" s="4"/>
      <c r="J369" s="6"/>
      <c r="K369" s="6"/>
      <c r="L369" s="6"/>
      <c r="M369" s="4"/>
      <c r="N369" s="4"/>
      <c r="O369" s="4"/>
      <c r="P369" s="6"/>
      <c r="Q369" s="6"/>
      <c r="R369" s="6"/>
      <c r="S369" s="6"/>
      <c r="T369" s="4"/>
      <c r="U369" s="6"/>
      <c r="V369" s="6"/>
      <c r="W369" s="6"/>
      <c r="X369" s="6"/>
      <c r="Y369" s="4"/>
      <c r="Z369" s="6"/>
      <c r="AA369" s="4"/>
      <c r="AB369" s="4"/>
      <c r="AC369" s="4"/>
      <c r="AD369" s="6"/>
      <c r="AE369" s="4"/>
      <c r="AF369" s="4"/>
      <c r="AG369" s="4"/>
      <c r="AH369" s="4">
        <v>358050000000</v>
      </c>
    </row>
    <row r="370" spans="1:34" x14ac:dyDescent="0.25">
      <c r="A370" s="4">
        <v>369</v>
      </c>
      <c r="B370" s="5" t="s">
        <v>840</v>
      </c>
      <c r="C370" s="5" t="s">
        <v>841</v>
      </c>
      <c r="D370" s="5" t="s">
        <v>23</v>
      </c>
      <c r="E370" s="5" t="s">
        <v>40</v>
      </c>
      <c r="F370" s="5" t="s">
        <v>52</v>
      </c>
      <c r="G370" s="5" t="s">
        <v>53</v>
      </c>
      <c r="H370" s="4"/>
      <c r="I370" s="4"/>
      <c r="J370" s="6"/>
      <c r="K370" s="6"/>
      <c r="L370" s="6"/>
      <c r="M370" s="4"/>
      <c r="N370" s="4"/>
      <c r="O370" s="4"/>
      <c r="P370" s="6"/>
      <c r="Q370" s="6"/>
      <c r="R370" s="6"/>
      <c r="S370" s="6"/>
      <c r="T370" s="4"/>
      <c r="U370" s="6"/>
      <c r="V370" s="6"/>
      <c r="W370" s="6"/>
      <c r="X370" s="6"/>
      <c r="Y370" s="4"/>
      <c r="Z370" s="6"/>
      <c r="AA370" s="4"/>
      <c r="AB370" s="4"/>
      <c r="AC370" s="4"/>
      <c r="AD370" s="6"/>
      <c r="AE370" s="4"/>
      <c r="AF370" s="4"/>
      <c r="AG370" s="4"/>
      <c r="AH370" s="4">
        <v>470220000000</v>
      </c>
    </row>
    <row r="371" spans="1:34" x14ac:dyDescent="0.25">
      <c r="A371" s="4">
        <v>370</v>
      </c>
      <c r="B371" s="5" t="s">
        <v>842</v>
      </c>
      <c r="C371" s="5" t="s">
        <v>843</v>
      </c>
      <c r="D371" s="5" t="s">
        <v>23</v>
      </c>
      <c r="E371" s="5" t="s">
        <v>49</v>
      </c>
      <c r="F371" s="5" t="s">
        <v>49</v>
      </c>
      <c r="G371" s="5" t="s">
        <v>49</v>
      </c>
      <c r="H371" s="4"/>
      <c r="I371" s="4"/>
      <c r="J371" s="6"/>
      <c r="K371" s="6"/>
      <c r="L371" s="6"/>
      <c r="M371" s="4"/>
      <c r="N371" s="4"/>
      <c r="O371" s="4"/>
      <c r="P371" s="6"/>
      <c r="Q371" s="6"/>
      <c r="R371" s="6"/>
      <c r="S371" s="6"/>
      <c r="T371" s="4"/>
      <c r="U371" s="6"/>
      <c r="V371" s="6"/>
      <c r="W371" s="6"/>
      <c r="X371" s="6"/>
      <c r="Y371" s="4"/>
      <c r="Z371" s="6"/>
      <c r="AA371" s="4"/>
      <c r="AB371" s="4"/>
      <c r="AC371" s="4"/>
      <c r="AD371" s="6"/>
      <c r="AE371" s="4">
        <v>3151325000000</v>
      </c>
      <c r="AF371" s="4">
        <v>6534943000000</v>
      </c>
      <c r="AG371" s="4">
        <v>9772562000000</v>
      </c>
      <c r="AH371" s="4">
        <v>39114060909300</v>
      </c>
    </row>
    <row r="372" spans="1:34" x14ac:dyDescent="0.25">
      <c r="A372" s="4">
        <v>371</v>
      </c>
      <c r="B372" s="5" t="s">
        <v>844</v>
      </c>
      <c r="C372" s="5" t="s">
        <v>845</v>
      </c>
      <c r="D372" s="5" t="s">
        <v>23</v>
      </c>
      <c r="E372" s="5" t="s">
        <v>24</v>
      </c>
      <c r="F372" s="5" t="s">
        <v>25</v>
      </c>
      <c r="G372" s="5" t="s">
        <v>26</v>
      </c>
      <c r="H372" s="4">
        <v>134041163535</v>
      </c>
      <c r="I372" s="4">
        <v>244156517680</v>
      </c>
      <c r="J372" s="6">
        <v>0.1132</v>
      </c>
      <c r="K372" s="6"/>
      <c r="L372" s="6"/>
      <c r="M372" s="4">
        <v>9654972249</v>
      </c>
      <c r="N372" s="4">
        <v>11565962055</v>
      </c>
      <c r="O372" s="4"/>
      <c r="P372" s="6">
        <v>3.7029000000000001</v>
      </c>
      <c r="Q372" s="6"/>
      <c r="R372" s="6"/>
      <c r="S372" s="6">
        <v>4.0522999999999998</v>
      </c>
      <c r="T372" s="4"/>
      <c r="U372" s="6"/>
      <c r="V372" s="6"/>
      <c r="W372" s="6"/>
      <c r="X372" s="6"/>
      <c r="Y372" s="4"/>
      <c r="Z372" s="6">
        <v>0.21729999999999999</v>
      </c>
      <c r="AA372" s="4"/>
      <c r="AB372" s="4"/>
      <c r="AC372" s="4"/>
      <c r="AD372" s="6"/>
      <c r="AE372" s="4"/>
      <c r="AF372" s="4"/>
      <c r="AG372" s="4"/>
      <c r="AH372" s="4">
        <v>161442777600</v>
      </c>
    </row>
    <row r="373" spans="1:34" x14ac:dyDescent="0.25">
      <c r="A373" s="4">
        <v>372</v>
      </c>
      <c r="B373" s="5" t="s">
        <v>846</v>
      </c>
      <c r="C373" s="5" t="s">
        <v>847</v>
      </c>
      <c r="D373" s="5" t="s">
        <v>23</v>
      </c>
      <c r="E373" s="5" t="s">
        <v>234</v>
      </c>
      <c r="F373" s="5" t="s">
        <v>235</v>
      </c>
      <c r="G373" s="5" t="s">
        <v>236</v>
      </c>
      <c r="H373" s="4"/>
      <c r="I373" s="4"/>
      <c r="J373" s="6"/>
      <c r="K373" s="6"/>
      <c r="L373" s="6"/>
      <c r="M373" s="4"/>
      <c r="N373" s="4"/>
      <c r="O373" s="4"/>
      <c r="P373" s="6"/>
      <c r="Q373" s="6"/>
      <c r="R373" s="6"/>
      <c r="S373" s="6"/>
      <c r="T373" s="4"/>
      <c r="U373" s="6"/>
      <c r="V373" s="6"/>
      <c r="W373" s="6"/>
      <c r="X373" s="6"/>
      <c r="Y373" s="4"/>
      <c r="Z373" s="6"/>
      <c r="AA373" s="4"/>
      <c r="AB373" s="4"/>
      <c r="AC373" s="4"/>
      <c r="AD373" s="6"/>
      <c r="AE373" s="4"/>
      <c r="AF373" s="4"/>
      <c r="AG373" s="4"/>
      <c r="AH373" s="4">
        <v>3150241040000</v>
      </c>
    </row>
    <row r="374" spans="1:34" x14ac:dyDescent="0.25">
      <c r="A374" s="4">
        <v>373</v>
      </c>
      <c r="B374" s="5" t="s">
        <v>848</v>
      </c>
      <c r="C374" s="5" t="s">
        <v>849</v>
      </c>
      <c r="D374" s="5" t="s">
        <v>23</v>
      </c>
      <c r="E374" s="5" t="s">
        <v>24</v>
      </c>
      <c r="F374" s="5" t="s">
        <v>25</v>
      </c>
      <c r="G374" s="5" t="s">
        <v>26</v>
      </c>
      <c r="H374" s="4">
        <v>127047223747</v>
      </c>
      <c r="I374" s="4">
        <v>402406259999</v>
      </c>
      <c r="J374" s="6">
        <v>-3.8199999999999998E-2</v>
      </c>
      <c r="K374" s="6">
        <v>0.1234</v>
      </c>
      <c r="L374" s="6">
        <v>4.7999999999999996E-3</v>
      </c>
      <c r="M374" s="4">
        <v>42044185666</v>
      </c>
      <c r="N374" s="4">
        <v>141763673791</v>
      </c>
      <c r="O374" s="4"/>
      <c r="P374" s="6">
        <v>0.20549999999999999</v>
      </c>
      <c r="Q374" s="6">
        <v>0.34660000000000002</v>
      </c>
      <c r="R374" s="6">
        <v>-0.24640000000000001</v>
      </c>
      <c r="S374" s="6">
        <v>-0.57840000000000003</v>
      </c>
      <c r="T374" s="4"/>
      <c r="U374" s="6">
        <v>-0.60309999999999997</v>
      </c>
      <c r="V374" s="6">
        <v>-0.74180000000000001</v>
      </c>
      <c r="W374" s="6">
        <v>-0.71140000000000003</v>
      </c>
      <c r="X374" s="6">
        <v>0</v>
      </c>
      <c r="Y374" s="4"/>
      <c r="Z374" s="6">
        <v>-0.53859999999999997</v>
      </c>
      <c r="AA374" s="4"/>
      <c r="AB374" s="4"/>
      <c r="AC374" s="4"/>
      <c r="AD374" s="6">
        <v>0</v>
      </c>
      <c r="AE374" s="4"/>
      <c r="AF374" s="4"/>
      <c r="AG374" s="4"/>
      <c r="AH374" s="4">
        <v>2247000000000</v>
      </c>
    </row>
    <row r="375" spans="1:34" x14ac:dyDescent="0.25">
      <c r="A375" s="4">
        <v>374</v>
      </c>
      <c r="B375" s="5" t="s">
        <v>850</v>
      </c>
      <c r="C375" s="5" t="s">
        <v>851</v>
      </c>
      <c r="D375" s="5" t="s">
        <v>23</v>
      </c>
      <c r="E375" s="5" t="s">
        <v>40</v>
      </c>
      <c r="F375" s="5" t="s">
        <v>52</v>
      </c>
      <c r="G375" s="5" t="s">
        <v>110</v>
      </c>
      <c r="H375" s="4"/>
      <c r="I375" s="4"/>
      <c r="J375" s="6">
        <v>0</v>
      </c>
      <c r="K375" s="6"/>
      <c r="L375" s="6"/>
      <c r="M375" s="4"/>
      <c r="N375" s="4"/>
      <c r="O375" s="4"/>
      <c r="P375" s="6">
        <v>0</v>
      </c>
      <c r="Q375" s="6"/>
      <c r="R375" s="6"/>
      <c r="S375" s="6">
        <v>0</v>
      </c>
      <c r="T375" s="4"/>
      <c r="U375" s="6"/>
      <c r="V375" s="6"/>
      <c r="W375" s="6"/>
      <c r="X375" s="6"/>
      <c r="Y375" s="4"/>
      <c r="Z375" s="6">
        <v>0</v>
      </c>
      <c r="AA375" s="4"/>
      <c r="AB375" s="4"/>
      <c r="AC375" s="4"/>
      <c r="AD375" s="6"/>
      <c r="AE375" s="4"/>
      <c r="AF375" s="4"/>
      <c r="AG375" s="4"/>
      <c r="AH375" s="4">
        <v>614459908800</v>
      </c>
    </row>
    <row r="376" spans="1:34" x14ac:dyDescent="0.25">
      <c r="A376" s="4">
        <v>375</v>
      </c>
      <c r="B376" s="5" t="s">
        <v>852</v>
      </c>
      <c r="C376" s="5" t="s">
        <v>853</v>
      </c>
      <c r="D376" s="5" t="s">
        <v>23</v>
      </c>
      <c r="E376" s="5" t="s">
        <v>24</v>
      </c>
      <c r="F376" s="5" t="s">
        <v>25</v>
      </c>
      <c r="G376" s="5" t="s">
        <v>45</v>
      </c>
      <c r="H376" s="4"/>
      <c r="I376" s="4"/>
      <c r="J376" s="6"/>
      <c r="K376" s="6"/>
      <c r="L376" s="6"/>
      <c r="M376" s="4"/>
      <c r="N376" s="4"/>
      <c r="O376" s="4"/>
      <c r="P376" s="6"/>
      <c r="Q376" s="6"/>
      <c r="R376" s="6"/>
      <c r="S376" s="6"/>
      <c r="T376" s="4"/>
      <c r="U376" s="6"/>
      <c r="V376" s="6"/>
      <c r="W376" s="6"/>
      <c r="X376" s="6"/>
      <c r="Y376" s="4"/>
      <c r="Z376" s="6"/>
      <c r="AA376" s="4"/>
      <c r="AB376" s="4"/>
      <c r="AC376" s="4"/>
      <c r="AD376" s="6"/>
      <c r="AE376" s="4"/>
      <c r="AF376" s="4"/>
      <c r="AG376" s="4"/>
      <c r="AH376" s="4">
        <v>393717850000</v>
      </c>
    </row>
    <row r="377" spans="1:34" x14ac:dyDescent="0.25">
      <c r="A377" s="4">
        <v>376</v>
      </c>
      <c r="B377" s="5" t="s">
        <v>854</v>
      </c>
      <c r="C377" s="5" t="s">
        <v>855</v>
      </c>
      <c r="D377" s="5" t="s">
        <v>23</v>
      </c>
      <c r="E377" s="5" t="s">
        <v>98</v>
      </c>
      <c r="F377" s="5" t="s">
        <v>99</v>
      </c>
      <c r="G377" s="5" t="s">
        <v>144</v>
      </c>
      <c r="H377" s="4"/>
      <c r="I377" s="4"/>
      <c r="J377" s="6"/>
      <c r="K377" s="6"/>
      <c r="L377" s="6"/>
      <c r="M377" s="4"/>
      <c r="N377" s="4"/>
      <c r="O377" s="4"/>
      <c r="P377" s="6"/>
      <c r="Q377" s="6"/>
      <c r="R377" s="6"/>
      <c r="S377" s="6"/>
      <c r="T377" s="4"/>
      <c r="U377" s="6"/>
      <c r="V377" s="6"/>
      <c r="W377" s="6"/>
      <c r="X377" s="6"/>
      <c r="Y377" s="4"/>
      <c r="Z377" s="6"/>
      <c r="AA377" s="4"/>
      <c r="AB377" s="4"/>
      <c r="AC377" s="4"/>
      <c r="AD377" s="6"/>
      <c r="AE377" s="4"/>
      <c r="AF377" s="4"/>
      <c r="AG377" s="4"/>
      <c r="AH377" s="4">
        <v>1892726322200</v>
      </c>
    </row>
    <row r="378" spans="1:34" x14ac:dyDescent="0.25">
      <c r="A378" s="4">
        <v>377</v>
      </c>
      <c r="B378" s="5" t="s">
        <v>856</v>
      </c>
      <c r="C378" s="5" t="s">
        <v>857</v>
      </c>
      <c r="D378" s="5" t="s">
        <v>23</v>
      </c>
      <c r="E378" s="5" t="s">
        <v>98</v>
      </c>
      <c r="F378" s="5" t="s">
        <v>99</v>
      </c>
      <c r="G378" s="5" t="s">
        <v>144</v>
      </c>
      <c r="H378" s="4"/>
      <c r="I378" s="4"/>
      <c r="J378" s="6"/>
      <c r="K378" s="6"/>
      <c r="L378" s="6"/>
      <c r="M378" s="4"/>
      <c r="N378" s="4"/>
      <c r="O378" s="4"/>
      <c r="P378" s="6"/>
      <c r="Q378" s="6"/>
      <c r="R378" s="6"/>
      <c r="S378" s="6"/>
      <c r="T378" s="4"/>
      <c r="U378" s="6"/>
      <c r="V378" s="6"/>
      <c r="W378" s="6"/>
      <c r="X378" s="6"/>
      <c r="Y378" s="4"/>
      <c r="Z378" s="6"/>
      <c r="AA378" s="4"/>
      <c r="AB378" s="4"/>
      <c r="AC378" s="4"/>
      <c r="AD378" s="6"/>
      <c r="AE378" s="4"/>
      <c r="AF378" s="4"/>
      <c r="AG378" s="4"/>
      <c r="AH378" s="4">
        <v>967249080000</v>
      </c>
    </row>
    <row r="379" spans="1:34" x14ac:dyDescent="0.25">
      <c r="A379" s="4">
        <v>378</v>
      </c>
      <c r="B379" s="5" t="s">
        <v>858</v>
      </c>
      <c r="C379" s="5" t="s">
        <v>859</v>
      </c>
      <c r="D379" s="5" t="s">
        <v>23</v>
      </c>
      <c r="E379" s="5" t="s">
        <v>24</v>
      </c>
      <c r="F379" s="5" t="s">
        <v>56</v>
      </c>
      <c r="G379" s="5" t="s">
        <v>57</v>
      </c>
      <c r="H379" s="4"/>
      <c r="I379" s="4"/>
      <c r="J379" s="6"/>
      <c r="K379" s="6"/>
      <c r="L379" s="6"/>
      <c r="M379" s="4"/>
      <c r="N379" s="4"/>
      <c r="O379" s="4"/>
      <c r="P379" s="6"/>
      <c r="Q379" s="6"/>
      <c r="R379" s="6"/>
      <c r="S379" s="6"/>
      <c r="T379" s="4"/>
      <c r="U379" s="6"/>
      <c r="V379" s="6"/>
      <c r="W379" s="6"/>
      <c r="X379" s="6"/>
      <c r="Y379" s="4"/>
      <c r="Z379" s="6"/>
      <c r="AA379" s="4"/>
      <c r="AB379" s="4"/>
      <c r="AC379" s="4"/>
      <c r="AD379" s="6"/>
      <c r="AE379" s="4"/>
      <c r="AF379" s="4"/>
      <c r="AG379" s="4"/>
      <c r="AH379" s="4">
        <v>751646948940</v>
      </c>
    </row>
    <row r="380" spans="1:34" x14ac:dyDescent="0.25">
      <c r="A380" s="4">
        <v>379</v>
      </c>
      <c r="B380" s="5" t="s">
        <v>860</v>
      </c>
      <c r="C380" s="5" t="s">
        <v>861</v>
      </c>
      <c r="D380" s="5" t="s">
        <v>23</v>
      </c>
      <c r="E380" s="5" t="s">
        <v>40</v>
      </c>
      <c r="F380" s="5" t="s">
        <v>41</v>
      </c>
      <c r="G380" s="5" t="s">
        <v>42</v>
      </c>
      <c r="H380" s="4"/>
      <c r="I380" s="4"/>
      <c r="J380" s="6"/>
      <c r="K380" s="6"/>
      <c r="L380" s="6"/>
      <c r="M380" s="4"/>
      <c r="N380" s="4"/>
      <c r="O380" s="4"/>
      <c r="P380" s="6"/>
      <c r="Q380" s="6"/>
      <c r="R380" s="6"/>
      <c r="S380" s="6"/>
      <c r="T380" s="4"/>
      <c r="U380" s="6"/>
      <c r="V380" s="6"/>
      <c r="W380" s="6"/>
      <c r="X380" s="6"/>
      <c r="Y380" s="4"/>
      <c r="Z380" s="6"/>
      <c r="AA380" s="4"/>
      <c r="AB380" s="4"/>
      <c r="AC380" s="4"/>
      <c r="AD380" s="6"/>
      <c r="AE380" s="4"/>
      <c r="AF380" s="4"/>
      <c r="AG380" s="4"/>
      <c r="AH380" s="4">
        <v>1651014734250</v>
      </c>
    </row>
    <row r="381" spans="1:34" x14ac:dyDescent="0.25">
      <c r="A381" s="4">
        <v>380</v>
      </c>
      <c r="B381" s="5" t="s">
        <v>862</v>
      </c>
      <c r="C381" s="5" t="s">
        <v>863</v>
      </c>
      <c r="D381" s="5" t="s">
        <v>23</v>
      </c>
      <c r="E381" s="5" t="s">
        <v>75</v>
      </c>
      <c r="F381" s="5" t="s">
        <v>79</v>
      </c>
      <c r="G381" s="5" t="s">
        <v>80</v>
      </c>
      <c r="H381" s="4">
        <v>11245347292</v>
      </c>
      <c r="I381" s="4">
        <v>29259284508</v>
      </c>
      <c r="J381" s="6">
        <v>1.4000999999999999</v>
      </c>
      <c r="K381" s="6">
        <v>-0.34260000000000002</v>
      </c>
      <c r="L381" s="6">
        <v>-0.26179999999999998</v>
      </c>
      <c r="M381" s="4">
        <v>26458389740</v>
      </c>
      <c r="N381" s="4">
        <v>6641754737</v>
      </c>
      <c r="O381" s="4"/>
      <c r="P381" s="6">
        <v>1.9959</v>
      </c>
      <c r="Q381" s="6">
        <v>7.8899999999999998E-2</v>
      </c>
      <c r="R381" s="6">
        <v>-1.8171999999999999</v>
      </c>
      <c r="S381" s="6">
        <v>2.3351999999999999</v>
      </c>
      <c r="T381" s="4"/>
      <c r="U381" s="6">
        <v>-0.82789999999999997</v>
      </c>
      <c r="V381" s="6">
        <v>-0.94099999999999995</v>
      </c>
      <c r="W381" s="6">
        <v>-0.92620000000000002</v>
      </c>
      <c r="X381" s="6">
        <v>0.1268</v>
      </c>
      <c r="Y381" s="4"/>
      <c r="Z381" s="6">
        <v>-0.37569999999999998</v>
      </c>
      <c r="AA381" s="4"/>
      <c r="AB381" s="4"/>
      <c r="AC381" s="4"/>
      <c r="AD381" s="6">
        <v>0</v>
      </c>
      <c r="AE381" s="4"/>
      <c r="AF381" s="4"/>
      <c r="AG381" s="4"/>
      <c r="AH381" s="4">
        <v>774762784900</v>
      </c>
    </row>
    <row r="382" spans="1:34" x14ac:dyDescent="0.25">
      <c r="A382" s="4">
        <v>381</v>
      </c>
      <c r="B382" s="5" t="s">
        <v>864</v>
      </c>
      <c r="C382" s="5" t="s">
        <v>865</v>
      </c>
      <c r="D382" s="5" t="s">
        <v>23</v>
      </c>
      <c r="E382" s="5" t="s">
        <v>75</v>
      </c>
      <c r="F382" s="5" t="s">
        <v>79</v>
      </c>
      <c r="G382" s="5" t="s">
        <v>80</v>
      </c>
      <c r="H382" s="4">
        <v>176820146915</v>
      </c>
      <c r="I382" s="4">
        <v>435515927105</v>
      </c>
      <c r="J382" s="6">
        <v>-0.21560000000000001</v>
      </c>
      <c r="K382" s="6">
        <v>8.1100000000000005E-2</v>
      </c>
      <c r="L382" s="6">
        <v>-3.8100000000000002E-2</v>
      </c>
      <c r="M382" s="4">
        <v>3206219425</v>
      </c>
      <c r="N382" s="4">
        <v>5386460622</v>
      </c>
      <c r="O382" s="4"/>
      <c r="P382" s="6">
        <v>-0.93879999999999997</v>
      </c>
      <c r="Q382" s="6">
        <v>-0.94379999999999997</v>
      </c>
      <c r="R382" s="6">
        <v>-0.9244</v>
      </c>
      <c r="S382" s="6">
        <v>0.47060000000000002</v>
      </c>
      <c r="T382" s="4"/>
      <c r="U382" s="6">
        <v>0</v>
      </c>
      <c r="V382" s="6">
        <v>-0.93359999999999999</v>
      </c>
      <c r="W382" s="6">
        <v>-0.98419999999999996</v>
      </c>
      <c r="X382" s="6">
        <v>7.0699999999999999E-2</v>
      </c>
      <c r="Y382" s="4"/>
      <c r="Z382" s="6">
        <v>-0.3165</v>
      </c>
      <c r="AA382" s="4"/>
      <c r="AB382" s="4"/>
      <c r="AC382" s="4"/>
      <c r="AD382" s="6">
        <v>0</v>
      </c>
      <c r="AE382" s="4"/>
      <c r="AF382" s="4"/>
      <c r="AG382" s="4"/>
      <c r="AH382" s="4">
        <v>3235254825550</v>
      </c>
    </row>
    <row r="383" spans="1:34" x14ac:dyDescent="0.25">
      <c r="A383" s="4">
        <v>382</v>
      </c>
      <c r="B383" s="5" t="s">
        <v>866</v>
      </c>
      <c r="C383" s="5" t="s">
        <v>867</v>
      </c>
      <c r="D383" s="5" t="s">
        <v>23</v>
      </c>
      <c r="E383" s="5" t="s">
        <v>29</v>
      </c>
      <c r="F383" s="5" t="s">
        <v>36</v>
      </c>
      <c r="G383" s="5" t="s">
        <v>37</v>
      </c>
      <c r="H383" s="4"/>
      <c r="I383" s="4"/>
      <c r="J383" s="6"/>
      <c r="K383" s="6"/>
      <c r="L383" s="6"/>
      <c r="M383" s="4"/>
      <c r="N383" s="4"/>
      <c r="O383" s="4"/>
      <c r="P383" s="6"/>
      <c r="Q383" s="6"/>
      <c r="R383" s="6"/>
      <c r="S383" s="6"/>
      <c r="T383" s="4"/>
      <c r="U383" s="6"/>
      <c r="V383" s="6"/>
      <c r="W383" s="6"/>
      <c r="X383" s="6"/>
      <c r="Y383" s="4"/>
      <c r="Z383" s="6"/>
      <c r="AA383" s="4"/>
      <c r="AB383" s="4"/>
      <c r="AC383" s="4"/>
      <c r="AD383" s="6"/>
      <c r="AE383" s="4"/>
      <c r="AF383" s="4"/>
      <c r="AG383" s="4"/>
      <c r="AH383" s="4">
        <v>315000000000</v>
      </c>
    </row>
    <row r="384" spans="1:34" x14ac:dyDescent="0.25">
      <c r="A384" s="4">
        <v>383</v>
      </c>
      <c r="B384" s="5" t="s">
        <v>868</v>
      </c>
      <c r="C384" s="5" t="s">
        <v>869</v>
      </c>
      <c r="D384" s="5" t="s">
        <v>23</v>
      </c>
      <c r="E384" s="5" t="s">
        <v>40</v>
      </c>
      <c r="F384" s="5" t="s">
        <v>41</v>
      </c>
      <c r="G384" s="5" t="s">
        <v>619</v>
      </c>
      <c r="H384" s="4"/>
      <c r="I384" s="4"/>
      <c r="J384" s="6"/>
      <c r="K384" s="6"/>
      <c r="L384" s="6"/>
      <c r="M384" s="4"/>
      <c r="N384" s="4"/>
      <c r="O384" s="4"/>
      <c r="P384" s="6"/>
      <c r="Q384" s="6"/>
      <c r="R384" s="6"/>
      <c r="S384" s="6"/>
      <c r="T384" s="4"/>
      <c r="U384" s="6"/>
      <c r="V384" s="6"/>
      <c r="W384" s="6"/>
      <c r="X384" s="6"/>
      <c r="Y384" s="4"/>
      <c r="Z384" s="6"/>
      <c r="AA384" s="4"/>
      <c r="AB384" s="4"/>
      <c r="AC384" s="4"/>
      <c r="AD384" s="6"/>
      <c r="AE384" s="4"/>
      <c r="AF384" s="4"/>
      <c r="AG384" s="4"/>
      <c r="AH384" s="4">
        <v>521569894000</v>
      </c>
    </row>
    <row r="385" spans="1:34" x14ac:dyDescent="0.25">
      <c r="A385" s="4">
        <v>384</v>
      </c>
      <c r="B385" s="5" t="s">
        <v>870</v>
      </c>
      <c r="C385" s="5" t="s">
        <v>871</v>
      </c>
      <c r="D385" s="5" t="s">
        <v>23</v>
      </c>
      <c r="E385" s="5" t="s">
        <v>98</v>
      </c>
      <c r="F385" s="5" t="s">
        <v>99</v>
      </c>
      <c r="G385" s="5" t="s">
        <v>144</v>
      </c>
      <c r="H385" s="4">
        <v>908801483527</v>
      </c>
      <c r="I385" s="4">
        <v>1719116304557</v>
      </c>
      <c r="J385" s="6">
        <v>8.8300000000000003E-2</v>
      </c>
      <c r="K385" s="6">
        <v>9.4200000000000006E-2</v>
      </c>
      <c r="L385" s="6">
        <v>9.5000000000000001E-2</v>
      </c>
      <c r="M385" s="4">
        <v>26814789165</v>
      </c>
      <c r="N385" s="4">
        <v>51605432752</v>
      </c>
      <c r="O385" s="4"/>
      <c r="P385" s="6">
        <v>0.1066</v>
      </c>
      <c r="Q385" s="6">
        <v>0.19980000000000001</v>
      </c>
      <c r="R385" s="6">
        <v>0.37319999999999998</v>
      </c>
      <c r="S385" s="6">
        <v>8.1600000000000006E-2</v>
      </c>
      <c r="T385" s="4"/>
      <c r="U385" s="6">
        <v>-0.53759999999999997</v>
      </c>
      <c r="V385" s="6">
        <v>-0.50049999999999994</v>
      </c>
      <c r="W385" s="6">
        <v>-0.50249999999999995</v>
      </c>
      <c r="X385" s="6">
        <v>0</v>
      </c>
      <c r="Y385" s="4"/>
      <c r="Z385" s="6">
        <v>0.1215</v>
      </c>
      <c r="AA385" s="4"/>
      <c r="AB385" s="4"/>
      <c r="AC385" s="4"/>
      <c r="AD385" s="6">
        <v>0</v>
      </c>
      <c r="AE385" s="4"/>
      <c r="AF385" s="4"/>
      <c r="AG385" s="4"/>
      <c r="AH385" s="4">
        <v>464800000000</v>
      </c>
    </row>
    <row r="386" spans="1:34" x14ac:dyDescent="0.25">
      <c r="A386" s="4">
        <v>385</v>
      </c>
      <c r="B386" s="5" t="s">
        <v>872</v>
      </c>
      <c r="C386" s="5" t="s">
        <v>873</v>
      </c>
      <c r="D386" s="5" t="s">
        <v>23</v>
      </c>
      <c r="E386" s="5" t="s">
        <v>49</v>
      </c>
      <c r="F386" s="5" t="s">
        <v>49</v>
      </c>
      <c r="G386" s="5" t="s">
        <v>49</v>
      </c>
      <c r="H386" s="4"/>
      <c r="I386" s="4"/>
      <c r="J386" s="6"/>
      <c r="K386" s="6"/>
      <c r="L386" s="6"/>
      <c r="M386" s="4"/>
      <c r="N386" s="4"/>
      <c r="O386" s="4"/>
      <c r="P386" s="6"/>
      <c r="Q386" s="6"/>
      <c r="R386" s="6"/>
      <c r="S386" s="6"/>
      <c r="T386" s="4"/>
      <c r="U386" s="6"/>
      <c r="V386" s="6"/>
      <c r="W386" s="6"/>
      <c r="X386" s="6"/>
      <c r="Y386" s="4"/>
      <c r="Z386" s="6"/>
      <c r="AA386" s="4"/>
      <c r="AB386" s="4"/>
      <c r="AC386" s="4"/>
      <c r="AD386" s="6"/>
      <c r="AE386" s="4">
        <v>542378510292</v>
      </c>
      <c r="AF386" s="4">
        <v>1154913462424</v>
      </c>
      <c r="AG386" s="4">
        <v>1793594738584</v>
      </c>
      <c r="AH386" s="4">
        <v>8163606720000</v>
      </c>
    </row>
    <row r="387" spans="1:34" x14ac:dyDescent="0.25">
      <c r="A387" s="4">
        <v>386</v>
      </c>
      <c r="B387" s="5" t="s">
        <v>874</v>
      </c>
      <c r="C387" s="5" t="s">
        <v>875</v>
      </c>
      <c r="D387" s="5" t="s">
        <v>23</v>
      </c>
      <c r="E387" s="5" t="s">
        <v>49</v>
      </c>
      <c r="F387" s="5" t="s">
        <v>49</v>
      </c>
      <c r="G387" s="5" t="s">
        <v>49</v>
      </c>
      <c r="H387" s="4"/>
      <c r="I387" s="4"/>
      <c r="J387" s="6"/>
      <c r="K387" s="6"/>
      <c r="L387" s="6"/>
      <c r="M387" s="4"/>
      <c r="N387" s="4"/>
      <c r="O387" s="4"/>
      <c r="P387" s="6"/>
      <c r="Q387" s="6"/>
      <c r="R387" s="6"/>
      <c r="S387" s="6"/>
      <c r="T387" s="4"/>
      <c r="U387" s="6"/>
      <c r="V387" s="6"/>
      <c r="W387" s="6"/>
      <c r="X387" s="6"/>
      <c r="Y387" s="4"/>
      <c r="Z387" s="6"/>
      <c r="AA387" s="4"/>
      <c r="AB387" s="4"/>
      <c r="AC387" s="4"/>
      <c r="AD387" s="6"/>
      <c r="AE387" s="4">
        <v>687406000000</v>
      </c>
      <c r="AF387" s="4">
        <v>1389918000000</v>
      </c>
      <c r="AG387" s="4">
        <v>2217906000000</v>
      </c>
      <c r="AH387" s="4">
        <v>16584212456000</v>
      </c>
    </row>
    <row r="388" spans="1:34" x14ac:dyDescent="0.25">
      <c r="A388" s="4">
        <v>387</v>
      </c>
      <c r="B388" s="5" t="s">
        <v>876</v>
      </c>
      <c r="C388" s="5" t="s">
        <v>877</v>
      </c>
      <c r="D388" s="5" t="s">
        <v>23</v>
      </c>
      <c r="E388" s="5" t="s">
        <v>24</v>
      </c>
      <c r="F388" s="5" t="s">
        <v>56</v>
      </c>
      <c r="G388" s="5" t="s">
        <v>291</v>
      </c>
      <c r="H388" s="4">
        <v>67233726692</v>
      </c>
      <c r="I388" s="4">
        <v>112895771192</v>
      </c>
      <c r="J388" s="6">
        <v>-0.88290000000000002</v>
      </c>
      <c r="K388" s="6">
        <v>-0.87239999999999995</v>
      </c>
      <c r="L388" s="6">
        <v>-0.83520000000000005</v>
      </c>
      <c r="M388" s="4">
        <v>19355983702</v>
      </c>
      <c r="N388" s="4">
        <v>21036536796</v>
      </c>
      <c r="O388" s="4"/>
      <c r="P388" s="6">
        <v>9.0274999999999999</v>
      </c>
      <c r="Q388" s="6">
        <v>9.6981999999999999</v>
      </c>
      <c r="R388" s="6">
        <v>-0.92110000000000003</v>
      </c>
      <c r="S388" s="6">
        <v>10.5176</v>
      </c>
      <c r="T388" s="4"/>
      <c r="U388" s="6">
        <v>0</v>
      </c>
      <c r="V388" s="6">
        <v>0</v>
      </c>
      <c r="W388" s="6">
        <v>0</v>
      </c>
      <c r="X388" s="6">
        <v>0</v>
      </c>
      <c r="Y388" s="4"/>
      <c r="Z388" s="6">
        <v>0.47239999999999999</v>
      </c>
      <c r="AA388" s="4"/>
      <c r="AB388" s="4"/>
      <c r="AC388" s="4"/>
      <c r="AD388" s="6">
        <v>0</v>
      </c>
      <c r="AE388" s="4"/>
      <c r="AF388" s="4"/>
      <c r="AG388" s="4"/>
      <c r="AH388" s="4">
        <v>90516439120</v>
      </c>
    </row>
    <row r="389" spans="1:34" x14ac:dyDescent="0.25">
      <c r="A389" s="4">
        <v>388</v>
      </c>
      <c r="B389" s="5" t="s">
        <v>878</v>
      </c>
      <c r="C389" s="5" t="s">
        <v>879</v>
      </c>
      <c r="D389" s="5" t="s">
        <v>23</v>
      </c>
      <c r="E389" s="5" t="s">
        <v>49</v>
      </c>
      <c r="F389" s="5" t="s">
        <v>49</v>
      </c>
      <c r="G389" s="5" t="s">
        <v>49</v>
      </c>
      <c r="H389" s="4"/>
      <c r="I389" s="4"/>
      <c r="J389" s="6"/>
      <c r="K389" s="6"/>
      <c r="L389" s="6"/>
      <c r="M389" s="4"/>
      <c r="N389" s="4"/>
      <c r="O389" s="4"/>
      <c r="P389" s="6"/>
      <c r="Q389" s="6"/>
      <c r="R389" s="6"/>
      <c r="S389" s="6"/>
      <c r="T389" s="4"/>
      <c r="U389" s="6"/>
      <c r="V389" s="6"/>
      <c r="W389" s="6"/>
      <c r="X389" s="6"/>
      <c r="Y389" s="4"/>
      <c r="Z389" s="6"/>
      <c r="AA389" s="4"/>
      <c r="AB389" s="4"/>
      <c r="AC389" s="4"/>
      <c r="AD389" s="6"/>
      <c r="AE389" s="4">
        <v>14160192000000</v>
      </c>
      <c r="AF389" s="4">
        <v>27847345000000</v>
      </c>
      <c r="AG389" s="4">
        <v>42504585000000</v>
      </c>
      <c r="AH389" s="4">
        <v>455384292623000</v>
      </c>
    </row>
    <row r="390" spans="1:34" x14ac:dyDescent="0.25">
      <c r="A390" s="4">
        <v>389</v>
      </c>
      <c r="B390" s="5" t="s">
        <v>880</v>
      </c>
      <c r="C390" s="5" t="s">
        <v>881</v>
      </c>
      <c r="D390" s="5" t="s">
        <v>23</v>
      </c>
      <c r="E390" s="5" t="s">
        <v>29</v>
      </c>
      <c r="F390" s="5" t="s">
        <v>30</v>
      </c>
      <c r="G390" s="5" t="s">
        <v>574</v>
      </c>
      <c r="H390" s="4">
        <v>613150659017</v>
      </c>
      <c r="I390" s="4"/>
      <c r="J390" s="6">
        <v>-3.5799999999999998E-2</v>
      </c>
      <c r="K390" s="6">
        <v>-2.64E-2</v>
      </c>
      <c r="L390" s="6">
        <v>-7.7000000000000002E-3</v>
      </c>
      <c r="M390" s="4">
        <v>103142406203</v>
      </c>
      <c r="N390" s="4"/>
      <c r="O390" s="4"/>
      <c r="P390" s="6">
        <v>-0.14810000000000001</v>
      </c>
      <c r="Q390" s="6">
        <v>-0.1356</v>
      </c>
      <c r="R390" s="6">
        <v>-0.09</v>
      </c>
      <c r="S390" s="6">
        <v>-8.1100000000000005E-2</v>
      </c>
      <c r="T390" s="4"/>
      <c r="U390" s="6">
        <v>-0.58889999999999998</v>
      </c>
      <c r="V390" s="6">
        <v>-0.58579999999999999</v>
      </c>
      <c r="W390" s="6">
        <v>-0.58579999999999999</v>
      </c>
      <c r="X390" s="6">
        <v>0</v>
      </c>
      <c r="Y390" s="4"/>
      <c r="Z390" s="6">
        <v>-7.2700000000000001E-2</v>
      </c>
      <c r="AA390" s="4"/>
      <c r="AB390" s="4"/>
      <c r="AC390" s="4"/>
      <c r="AD390" s="6">
        <v>0</v>
      </c>
      <c r="AE390" s="4"/>
      <c r="AF390" s="4"/>
      <c r="AG390" s="4"/>
      <c r="AH390" s="4">
        <v>7790344468500</v>
      </c>
    </row>
    <row r="391" spans="1:34" x14ac:dyDescent="0.25">
      <c r="A391" s="4">
        <v>390</v>
      </c>
      <c r="B391" s="5" t="s">
        <v>882</v>
      </c>
      <c r="C391" s="5" t="s">
        <v>883</v>
      </c>
      <c r="D391" s="5" t="s">
        <v>23</v>
      </c>
      <c r="E391" s="5" t="s">
        <v>40</v>
      </c>
      <c r="F391" s="5" t="s">
        <v>52</v>
      </c>
      <c r="G391" s="5" t="s">
        <v>110</v>
      </c>
      <c r="H391" s="4"/>
      <c r="I391" s="4"/>
      <c r="J391" s="6"/>
      <c r="K391" s="6"/>
      <c r="L391" s="6"/>
      <c r="M391" s="4"/>
      <c r="N391" s="4"/>
      <c r="O391" s="4"/>
      <c r="P391" s="6"/>
      <c r="Q391" s="6"/>
      <c r="R391" s="6"/>
      <c r="S391" s="6"/>
      <c r="T391" s="4"/>
      <c r="U391" s="6"/>
      <c r="V391" s="6"/>
      <c r="W391" s="6"/>
      <c r="X391" s="6"/>
      <c r="Y391" s="4"/>
      <c r="Z391" s="6"/>
      <c r="AA391" s="4"/>
      <c r="AB391" s="4"/>
      <c r="AC391" s="4"/>
      <c r="AD391" s="6"/>
      <c r="AE391" s="4"/>
      <c r="AF391" s="4"/>
      <c r="AG391" s="4"/>
      <c r="AH391" s="4">
        <v>10821731797500</v>
      </c>
    </row>
    <row r="392" spans="1:34" x14ac:dyDescent="0.25">
      <c r="A392" s="4">
        <v>391</v>
      </c>
      <c r="B392" s="5" t="s">
        <v>884</v>
      </c>
      <c r="C392" s="5" t="s">
        <v>885</v>
      </c>
      <c r="D392" s="5" t="s">
        <v>23</v>
      </c>
      <c r="E392" s="5" t="s">
        <v>75</v>
      </c>
      <c r="F392" s="5" t="s">
        <v>79</v>
      </c>
      <c r="G392" s="5" t="s">
        <v>80</v>
      </c>
      <c r="H392" s="4">
        <v>1175848817294</v>
      </c>
      <c r="I392" s="4">
        <v>2582331159169</v>
      </c>
      <c r="J392" s="6">
        <v>1.3899999999999999E-2</v>
      </c>
      <c r="K392" s="6">
        <v>0.28439999999999999</v>
      </c>
      <c r="L392" s="6">
        <v>0.36520000000000002</v>
      </c>
      <c r="M392" s="4">
        <v>250588812865</v>
      </c>
      <c r="N392" s="4">
        <v>591318693953</v>
      </c>
      <c r="O392" s="4"/>
      <c r="P392" s="6">
        <v>0.36259999999999998</v>
      </c>
      <c r="Q392" s="6">
        <v>0.2351</v>
      </c>
      <c r="R392" s="6">
        <v>0.48349999999999999</v>
      </c>
      <c r="S392" s="6">
        <v>-0.2646</v>
      </c>
      <c r="T392" s="4"/>
      <c r="U392" s="6">
        <v>-0.60419999999999996</v>
      </c>
      <c r="V392" s="6">
        <v>-0.70669999999999999</v>
      </c>
      <c r="W392" s="6">
        <v>-0.67859999999999998</v>
      </c>
      <c r="X392" s="6">
        <v>6.0299999999999999E-2</v>
      </c>
      <c r="Y392" s="4"/>
      <c r="Z392" s="6">
        <v>-0.16400000000000001</v>
      </c>
      <c r="AA392" s="4"/>
      <c r="AB392" s="4"/>
      <c r="AC392" s="4"/>
      <c r="AD392" s="6">
        <v>0</v>
      </c>
      <c r="AE392" s="4"/>
      <c r="AF392" s="4"/>
      <c r="AG392" s="4"/>
      <c r="AH392" s="4">
        <v>22929415307500</v>
      </c>
    </row>
    <row r="393" spans="1:34" x14ac:dyDescent="0.25">
      <c r="A393" s="4">
        <v>392</v>
      </c>
      <c r="B393" s="5" t="s">
        <v>886</v>
      </c>
      <c r="C393" s="5" t="s">
        <v>887</v>
      </c>
      <c r="D393" s="5" t="s">
        <v>23</v>
      </c>
      <c r="E393" s="5" t="s">
        <v>75</v>
      </c>
      <c r="F393" s="5" t="s">
        <v>79</v>
      </c>
      <c r="G393" s="5" t="s">
        <v>80</v>
      </c>
      <c r="H393" s="4">
        <v>2353844251179</v>
      </c>
      <c r="I393" s="4">
        <v>4873028013544</v>
      </c>
      <c r="J393" s="6">
        <v>0.36570000000000003</v>
      </c>
      <c r="K393" s="6">
        <v>0.52659999999999996</v>
      </c>
      <c r="L393" s="6">
        <v>0.52869999999999995</v>
      </c>
      <c r="M393" s="4">
        <v>1104330413192</v>
      </c>
      <c r="N393" s="4">
        <v>2339601212206</v>
      </c>
      <c r="O393" s="4"/>
      <c r="P393" s="6">
        <v>0.5706</v>
      </c>
      <c r="Q393" s="6">
        <v>0.62709999999999999</v>
      </c>
      <c r="R393" s="6">
        <v>0.47549999999999998</v>
      </c>
      <c r="S393" s="6">
        <v>-0.106</v>
      </c>
      <c r="T393" s="4"/>
      <c r="U393" s="6">
        <v>-0.57630000000000003</v>
      </c>
      <c r="V393" s="6">
        <v>-0.49120000000000003</v>
      </c>
      <c r="W393" s="6">
        <v>-0.4914</v>
      </c>
      <c r="X393" s="6">
        <v>0</v>
      </c>
      <c r="Y393" s="4"/>
      <c r="Z393" s="6">
        <v>-6.5600000000000006E-2</v>
      </c>
      <c r="AA393" s="4"/>
      <c r="AB393" s="4"/>
      <c r="AC393" s="4"/>
      <c r="AD393" s="6">
        <v>0</v>
      </c>
      <c r="AE393" s="4"/>
      <c r="AF393" s="4"/>
      <c r="AG393" s="4"/>
      <c r="AH393" s="4">
        <v>71830131268000</v>
      </c>
    </row>
    <row r="394" spans="1:34" x14ac:dyDescent="0.25">
      <c r="A394" s="4">
        <v>393</v>
      </c>
      <c r="B394" s="5" t="s">
        <v>888</v>
      </c>
      <c r="C394" s="5" t="s">
        <v>889</v>
      </c>
      <c r="D394" s="5" t="s">
        <v>23</v>
      </c>
      <c r="E394" s="5" t="s">
        <v>234</v>
      </c>
      <c r="F394" s="5" t="s">
        <v>235</v>
      </c>
      <c r="G394" s="5" t="s">
        <v>236</v>
      </c>
      <c r="H394" s="4">
        <v>232900556951</v>
      </c>
      <c r="I394" s="4">
        <v>428824267484</v>
      </c>
      <c r="J394" s="6">
        <v>-0.1202</v>
      </c>
      <c r="K394" s="6">
        <v>-9.7299999999999998E-2</v>
      </c>
      <c r="L394" s="6">
        <v>-0.1933</v>
      </c>
      <c r="M394" s="4">
        <v>19070880092</v>
      </c>
      <c r="N394" s="4">
        <v>30988471837</v>
      </c>
      <c r="O394" s="4"/>
      <c r="P394" s="6">
        <v>4.6100000000000002E-2</v>
      </c>
      <c r="Q394" s="6">
        <v>-4.2500000000000003E-2</v>
      </c>
      <c r="R394" s="6">
        <v>-8.8800000000000004E-2</v>
      </c>
      <c r="S394" s="6">
        <v>0.60019999999999996</v>
      </c>
      <c r="T394" s="4"/>
      <c r="U394" s="6">
        <v>-0.57120000000000004</v>
      </c>
      <c r="V394" s="6">
        <v>-0.56540000000000001</v>
      </c>
      <c r="W394" s="6">
        <v>-0.5696</v>
      </c>
      <c r="X394" s="6">
        <v>0</v>
      </c>
      <c r="Y394" s="4"/>
      <c r="Z394" s="6">
        <v>0.18870000000000001</v>
      </c>
      <c r="AA394" s="4"/>
      <c r="AB394" s="4"/>
      <c r="AC394" s="4"/>
      <c r="AD394" s="6">
        <v>0</v>
      </c>
      <c r="AE394" s="4"/>
      <c r="AF394" s="4"/>
      <c r="AG394" s="4"/>
      <c r="AH394" s="4">
        <v>1126252992000</v>
      </c>
    </row>
    <row r="395" spans="1:34" x14ac:dyDescent="0.25">
      <c r="A395" s="4">
        <v>394</v>
      </c>
      <c r="B395" s="5" t="s">
        <v>890</v>
      </c>
      <c r="C395" s="5" t="s">
        <v>891</v>
      </c>
      <c r="D395" s="5" t="s">
        <v>23</v>
      </c>
      <c r="E395" s="5" t="s">
        <v>75</v>
      </c>
      <c r="F395" s="5" t="s">
        <v>79</v>
      </c>
      <c r="G395" s="5" t="s">
        <v>80</v>
      </c>
      <c r="H395" s="4"/>
      <c r="I395" s="4"/>
      <c r="J395" s="6"/>
      <c r="K395" s="6"/>
      <c r="L395" s="6"/>
      <c r="M395" s="4"/>
      <c r="N395" s="4"/>
      <c r="O395" s="4"/>
      <c r="P395" s="6"/>
      <c r="Q395" s="6"/>
      <c r="R395" s="6"/>
      <c r="S395" s="6"/>
      <c r="T395" s="4"/>
      <c r="U395" s="6"/>
      <c r="V395" s="6"/>
      <c r="W395" s="6"/>
      <c r="X395" s="6"/>
      <c r="Y395" s="4"/>
      <c r="Z395" s="6"/>
      <c r="AA395" s="4"/>
      <c r="AB395" s="4"/>
      <c r="AC395" s="4"/>
      <c r="AD395" s="6"/>
      <c r="AE395" s="4"/>
      <c r="AF395" s="4"/>
      <c r="AG395" s="4"/>
      <c r="AH395" s="4">
        <v>3345600000000</v>
      </c>
    </row>
    <row r="396" spans="1:34" x14ac:dyDescent="0.25">
      <c r="A396" s="4">
        <v>395</v>
      </c>
      <c r="B396" s="5" t="s">
        <v>892</v>
      </c>
      <c r="C396" s="5" t="s">
        <v>893</v>
      </c>
      <c r="D396" s="5" t="s">
        <v>23</v>
      </c>
      <c r="E396" s="5" t="s">
        <v>24</v>
      </c>
      <c r="F396" s="5" t="s">
        <v>25</v>
      </c>
      <c r="G396" s="5" t="s">
        <v>45</v>
      </c>
      <c r="H396" s="4">
        <v>935638285568</v>
      </c>
      <c r="I396" s="4">
        <v>2054884071161</v>
      </c>
      <c r="J396" s="6">
        <v>0.16969999999999999</v>
      </c>
      <c r="K396" s="6"/>
      <c r="L396" s="6"/>
      <c r="M396" s="4">
        <v>74692710169</v>
      </c>
      <c r="N396" s="4">
        <v>171088197968</v>
      </c>
      <c r="O396" s="4"/>
      <c r="P396" s="6">
        <v>7.5899999999999995E-2</v>
      </c>
      <c r="Q396" s="6"/>
      <c r="R396" s="6"/>
      <c r="S396" s="6">
        <v>-0.22509999999999999</v>
      </c>
      <c r="T396" s="4"/>
      <c r="U396" s="6"/>
      <c r="V396" s="6"/>
      <c r="W396" s="6"/>
      <c r="X396" s="6"/>
      <c r="Y396" s="4"/>
      <c r="Z396" s="6">
        <v>-0.16400000000000001</v>
      </c>
      <c r="AA396" s="4"/>
      <c r="AB396" s="4"/>
      <c r="AC396" s="4"/>
      <c r="AD396" s="6"/>
      <c r="AE396" s="4"/>
      <c r="AF396" s="4"/>
      <c r="AG396" s="4"/>
      <c r="AH396" s="4">
        <v>1920865874700</v>
      </c>
    </row>
    <row r="397" spans="1:34" x14ac:dyDescent="0.25">
      <c r="A397" s="4">
        <v>396</v>
      </c>
      <c r="B397" s="5" t="s">
        <v>894</v>
      </c>
      <c r="C397" s="5" t="s">
        <v>895</v>
      </c>
      <c r="D397" s="5" t="s">
        <v>23</v>
      </c>
      <c r="E397" s="5" t="s">
        <v>40</v>
      </c>
      <c r="F397" s="5" t="s">
        <v>52</v>
      </c>
      <c r="G397" s="5" t="s">
        <v>53</v>
      </c>
      <c r="H397" s="4"/>
      <c r="I397" s="4"/>
      <c r="J397" s="6"/>
      <c r="K397" s="6"/>
      <c r="L397" s="6"/>
      <c r="M397" s="4"/>
      <c r="N397" s="4"/>
      <c r="O397" s="4"/>
      <c r="P397" s="6"/>
      <c r="Q397" s="6"/>
      <c r="R397" s="6"/>
      <c r="S397" s="6"/>
      <c r="T397" s="4"/>
      <c r="U397" s="6"/>
      <c r="V397" s="6"/>
      <c r="W397" s="6"/>
      <c r="X397" s="6"/>
      <c r="Y397" s="4"/>
      <c r="Z397" s="6"/>
      <c r="AA397" s="4"/>
      <c r="AB397" s="4"/>
      <c r="AC397" s="4"/>
      <c r="AD397" s="6"/>
      <c r="AE397" s="4"/>
      <c r="AF397" s="4"/>
      <c r="AG397" s="4"/>
      <c r="AH397" s="4">
        <v>17283892500000</v>
      </c>
    </row>
    <row r="398" spans="1:34" x14ac:dyDescent="0.25">
      <c r="A398" s="4">
        <v>397</v>
      </c>
      <c r="B398" s="5" t="s">
        <v>896</v>
      </c>
      <c r="C398" s="5" t="s">
        <v>897</v>
      </c>
      <c r="D398" s="5" t="s">
        <v>23</v>
      </c>
      <c r="E398" s="5" t="s">
        <v>29</v>
      </c>
      <c r="F398" s="5" t="s">
        <v>30</v>
      </c>
      <c r="G398" s="5" t="s">
        <v>31</v>
      </c>
      <c r="H398" s="4"/>
      <c r="I398" s="4"/>
      <c r="J398" s="6"/>
      <c r="K398" s="6"/>
      <c r="L398" s="6"/>
      <c r="M398" s="4"/>
      <c r="N398" s="4"/>
      <c r="O398" s="4"/>
      <c r="P398" s="6"/>
      <c r="Q398" s="6"/>
      <c r="R398" s="6"/>
      <c r="S398" s="6"/>
      <c r="T398" s="4"/>
      <c r="U398" s="6"/>
      <c r="V398" s="6"/>
      <c r="W398" s="6"/>
      <c r="X398" s="6"/>
      <c r="Y398" s="4"/>
      <c r="Z398" s="6"/>
      <c r="AA398" s="4"/>
      <c r="AB398" s="4"/>
      <c r="AC398" s="4"/>
      <c r="AD398" s="6"/>
      <c r="AE398" s="4"/>
      <c r="AF398" s="4"/>
      <c r="AG398" s="4"/>
      <c r="AH398" s="4">
        <v>11121962742900</v>
      </c>
    </row>
    <row r="399" spans="1:34" x14ac:dyDescent="0.25">
      <c r="A399" s="4">
        <v>398</v>
      </c>
      <c r="B399" s="5" t="s">
        <v>898</v>
      </c>
      <c r="C399" s="5" t="s">
        <v>899</v>
      </c>
      <c r="D399" s="5" t="s">
        <v>23</v>
      </c>
      <c r="E399" s="5" t="s">
        <v>75</v>
      </c>
      <c r="F399" s="5" t="s">
        <v>76</v>
      </c>
      <c r="G399" s="5" t="s">
        <v>76</v>
      </c>
      <c r="H399" s="4"/>
      <c r="I399" s="4"/>
      <c r="J399" s="6"/>
      <c r="K399" s="6"/>
      <c r="L399" s="6"/>
      <c r="M399" s="4"/>
      <c r="N399" s="4"/>
      <c r="O399" s="4"/>
      <c r="P399" s="6"/>
      <c r="Q399" s="6"/>
      <c r="R399" s="6"/>
      <c r="S399" s="6"/>
      <c r="T399" s="4"/>
      <c r="U399" s="6"/>
      <c r="V399" s="6"/>
      <c r="W399" s="6"/>
      <c r="X399" s="6"/>
      <c r="Y399" s="4"/>
      <c r="Z399" s="6"/>
      <c r="AA399" s="4"/>
      <c r="AB399" s="4"/>
      <c r="AC399" s="4"/>
      <c r="AD399" s="6"/>
      <c r="AE399" s="4"/>
      <c r="AF399" s="4"/>
      <c r="AG399" s="4"/>
      <c r="AH399" s="4">
        <v>521230583307600</v>
      </c>
    </row>
    <row r="400" spans="1:34" x14ac:dyDescent="0.25">
      <c r="A400" s="4">
        <v>399</v>
      </c>
      <c r="B400" s="5" t="s">
        <v>900</v>
      </c>
      <c r="C400" s="5" t="s">
        <v>901</v>
      </c>
      <c r="D400" s="5" t="s">
        <v>23</v>
      </c>
      <c r="E400" s="5" t="s">
        <v>49</v>
      </c>
      <c r="F400" s="5" t="s">
        <v>49</v>
      </c>
      <c r="G400" s="5" t="s">
        <v>49</v>
      </c>
      <c r="H400" s="4"/>
      <c r="I400" s="4"/>
      <c r="J400" s="6"/>
      <c r="K400" s="6"/>
      <c r="L400" s="6"/>
      <c r="M400" s="4"/>
      <c r="N400" s="4"/>
      <c r="O400" s="4"/>
      <c r="P400" s="6"/>
      <c r="Q400" s="6"/>
      <c r="R400" s="6"/>
      <c r="S400" s="6"/>
      <c r="T400" s="4"/>
      <c r="U400" s="6"/>
      <c r="V400" s="6"/>
      <c r="W400" s="6"/>
      <c r="X400" s="6"/>
      <c r="Y400" s="4"/>
      <c r="Z400" s="6"/>
      <c r="AA400" s="4"/>
      <c r="AB400" s="4"/>
      <c r="AC400" s="4"/>
      <c r="AD400" s="6"/>
      <c r="AE400" s="4">
        <v>3968694000000</v>
      </c>
      <c r="AF400" s="4">
        <v>7705803000000</v>
      </c>
      <c r="AG400" s="4">
        <v>11878529000000</v>
      </c>
      <c r="AH400" s="4">
        <v>49187882509500</v>
      </c>
    </row>
    <row r="401" spans="1:34" x14ac:dyDescent="0.25">
      <c r="A401" s="4">
        <v>400</v>
      </c>
      <c r="B401" s="5" t="s">
        <v>902</v>
      </c>
      <c r="C401" s="5" t="s">
        <v>903</v>
      </c>
      <c r="D401" s="5" t="s">
        <v>23</v>
      </c>
      <c r="E401" s="5" t="s">
        <v>75</v>
      </c>
      <c r="F401" s="5" t="s">
        <v>76</v>
      </c>
      <c r="G401" s="5" t="s">
        <v>76</v>
      </c>
      <c r="H401" s="4"/>
      <c r="I401" s="4"/>
      <c r="J401" s="6"/>
      <c r="K401" s="6"/>
      <c r="L401" s="6"/>
      <c r="M401" s="4"/>
      <c r="N401" s="4"/>
      <c r="O401" s="4"/>
      <c r="P401" s="6"/>
      <c r="Q401" s="6"/>
      <c r="R401" s="6"/>
      <c r="S401" s="6"/>
      <c r="T401" s="4"/>
      <c r="U401" s="6"/>
      <c r="V401" s="6"/>
      <c r="W401" s="6"/>
      <c r="X401" s="6"/>
      <c r="Y401" s="4"/>
      <c r="Z401" s="6"/>
      <c r="AA401" s="4"/>
      <c r="AB401" s="4"/>
      <c r="AC401" s="4"/>
      <c r="AD401" s="6"/>
      <c r="AE401" s="4"/>
      <c r="AF401" s="4"/>
      <c r="AG401" s="4"/>
      <c r="AH401" s="4">
        <v>1568737877300899.8</v>
      </c>
    </row>
    <row r="402" spans="1:34" x14ac:dyDescent="0.25">
      <c r="A402" s="4">
        <v>401</v>
      </c>
      <c r="B402" s="5" t="s">
        <v>904</v>
      </c>
      <c r="C402" s="5" t="s">
        <v>905</v>
      </c>
      <c r="D402" s="5" t="s">
        <v>23</v>
      </c>
      <c r="E402" s="5" t="s">
        <v>24</v>
      </c>
      <c r="F402" s="5" t="s">
        <v>56</v>
      </c>
      <c r="G402" s="5" t="s">
        <v>253</v>
      </c>
      <c r="H402" s="4"/>
      <c r="I402" s="4"/>
      <c r="J402" s="6"/>
      <c r="K402" s="6"/>
      <c r="L402" s="6"/>
      <c r="M402" s="4"/>
      <c r="N402" s="4"/>
      <c r="O402" s="4"/>
      <c r="P402" s="6"/>
      <c r="Q402" s="6"/>
      <c r="R402" s="6"/>
      <c r="S402" s="6"/>
      <c r="T402" s="4"/>
      <c r="U402" s="6"/>
      <c r="V402" s="6"/>
      <c r="W402" s="6"/>
      <c r="X402" s="6"/>
      <c r="Y402" s="4"/>
      <c r="Z402" s="6"/>
      <c r="AA402" s="4"/>
      <c r="AB402" s="4"/>
      <c r="AC402" s="4"/>
      <c r="AD402" s="6"/>
      <c r="AE402" s="4"/>
      <c r="AF402" s="4"/>
      <c r="AG402" s="4"/>
      <c r="AH402" s="4">
        <v>199688377410</v>
      </c>
    </row>
    <row r="403" spans="1:34" x14ac:dyDescent="0.25">
      <c r="A403" s="4">
        <v>402</v>
      </c>
      <c r="B403" s="5" t="s">
        <v>906</v>
      </c>
      <c r="C403" s="5" t="s">
        <v>907</v>
      </c>
      <c r="D403" s="5" t="s">
        <v>23</v>
      </c>
      <c r="E403" s="5" t="s">
        <v>40</v>
      </c>
      <c r="F403" s="5" t="s">
        <v>41</v>
      </c>
      <c r="G403" s="5" t="s">
        <v>406</v>
      </c>
      <c r="H403" s="4"/>
      <c r="I403" s="4"/>
      <c r="J403" s="6"/>
      <c r="K403" s="6"/>
      <c r="L403" s="6"/>
      <c r="M403" s="4"/>
      <c r="N403" s="4"/>
      <c r="O403" s="4"/>
      <c r="P403" s="6"/>
      <c r="Q403" s="6"/>
      <c r="R403" s="6"/>
      <c r="S403" s="6"/>
      <c r="T403" s="4"/>
      <c r="U403" s="6"/>
      <c r="V403" s="6"/>
      <c r="W403" s="6"/>
      <c r="X403" s="6"/>
      <c r="Y403" s="4"/>
      <c r="Z403" s="6"/>
      <c r="AA403" s="4"/>
      <c r="AB403" s="4"/>
      <c r="AC403" s="4"/>
      <c r="AD403" s="6"/>
      <c r="AE403" s="4"/>
      <c r="AF403" s="4"/>
      <c r="AG403" s="4"/>
      <c r="AH403" s="4">
        <v>677862315900</v>
      </c>
    </row>
    <row r="404" spans="1:34" x14ac:dyDescent="0.25">
      <c r="A404" s="4">
        <v>403</v>
      </c>
      <c r="B404" s="5" t="s">
        <v>908</v>
      </c>
      <c r="C404" s="5" t="s">
        <v>909</v>
      </c>
      <c r="D404" s="5" t="s">
        <v>23</v>
      </c>
      <c r="E404" s="5" t="s">
        <v>75</v>
      </c>
      <c r="F404" s="5" t="s">
        <v>79</v>
      </c>
      <c r="G404" s="5" t="s">
        <v>80</v>
      </c>
      <c r="H404" s="4">
        <v>1349303071717</v>
      </c>
      <c r="I404" s="4">
        <v>3002706627541</v>
      </c>
      <c r="J404" s="6">
        <v>-0.31719999999999998</v>
      </c>
      <c r="K404" s="6">
        <v>1.5900000000000001E-2</v>
      </c>
      <c r="L404" s="6">
        <v>0.4582</v>
      </c>
      <c r="M404" s="4">
        <v>75882025127</v>
      </c>
      <c r="N404" s="4">
        <v>214252294182</v>
      </c>
      <c r="O404" s="4"/>
      <c r="P404" s="6">
        <v>-0.94169999999999998</v>
      </c>
      <c r="Q404" s="6">
        <v>-0.872</v>
      </c>
      <c r="R404" s="6">
        <v>-0.15959999999999999</v>
      </c>
      <c r="S404" s="6">
        <v>-0.4516</v>
      </c>
      <c r="T404" s="4"/>
      <c r="U404" s="6">
        <v>0</v>
      </c>
      <c r="V404" s="6">
        <v>-0.93379999999999996</v>
      </c>
      <c r="W404" s="6">
        <v>-0.92349999999999999</v>
      </c>
      <c r="X404" s="6">
        <v>0</v>
      </c>
      <c r="Y404" s="4"/>
      <c r="Z404" s="6">
        <v>-0.18390000000000001</v>
      </c>
      <c r="AA404" s="4"/>
      <c r="AB404" s="4"/>
      <c r="AC404" s="4"/>
      <c r="AD404" s="6">
        <v>0</v>
      </c>
      <c r="AE404" s="4"/>
      <c r="AF404" s="4"/>
      <c r="AG404" s="4"/>
      <c r="AH404" s="4">
        <v>29648482041200</v>
      </c>
    </row>
    <row r="405" spans="1:34" x14ac:dyDescent="0.25">
      <c r="A405" s="4">
        <v>404</v>
      </c>
      <c r="B405" s="5" t="s">
        <v>910</v>
      </c>
      <c r="C405" s="5" t="s">
        <v>911</v>
      </c>
      <c r="D405" s="5" t="s">
        <v>23</v>
      </c>
      <c r="E405" s="5" t="s">
        <v>62</v>
      </c>
      <c r="F405" s="5" t="s">
        <v>226</v>
      </c>
      <c r="G405" s="5" t="s">
        <v>481</v>
      </c>
      <c r="H405" s="4"/>
      <c r="I405" s="4"/>
      <c r="J405" s="6"/>
      <c r="K405" s="6"/>
      <c r="L405" s="6"/>
      <c r="M405" s="4"/>
      <c r="N405" s="4"/>
      <c r="O405" s="4"/>
      <c r="P405" s="6"/>
      <c r="Q405" s="6"/>
      <c r="R405" s="6"/>
      <c r="S405" s="6"/>
      <c r="T405" s="4"/>
      <c r="U405" s="6"/>
      <c r="V405" s="6"/>
      <c r="W405" s="6"/>
      <c r="X405" s="6"/>
      <c r="Y405" s="4"/>
      <c r="Z405" s="6"/>
      <c r="AA405" s="4"/>
      <c r="AB405" s="4"/>
      <c r="AC405" s="4"/>
      <c r="AD405" s="6"/>
      <c r="AE405" s="4"/>
      <c r="AF405" s="4"/>
      <c r="AG405" s="4"/>
      <c r="AH405" s="4">
        <v>96905713086000</v>
      </c>
    </row>
    <row r="406" spans="1:34" x14ac:dyDescent="0.25">
      <c r="A406" s="4">
        <v>405</v>
      </c>
      <c r="B406" s="5" t="s">
        <v>912</v>
      </c>
      <c r="C406" s="5" t="s">
        <v>913</v>
      </c>
      <c r="D406" s="5" t="s">
        <v>23</v>
      </c>
      <c r="E406" s="5" t="s">
        <v>234</v>
      </c>
      <c r="F406" s="5" t="s">
        <v>235</v>
      </c>
      <c r="G406" s="5" t="s">
        <v>236</v>
      </c>
      <c r="H406" s="4"/>
      <c r="I406" s="4"/>
      <c r="J406" s="6"/>
      <c r="K406" s="6"/>
      <c r="L406" s="6"/>
      <c r="M406" s="4"/>
      <c r="N406" s="4"/>
      <c r="O406" s="4"/>
      <c r="P406" s="6"/>
      <c r="Q406" s="6"/>
      <c r="R406" s="6"/>
      <c r="S406" s="6"/>
      <c r="T406" s="4"/>
      <c r="U406" s="6"/>
      <c r="V406" s="6"/>
      <c r="W406" s="6"/>
      <c r="X406" s="6"/>
      <c r="Y406" s="4"/>
      <c r="Z406" s="6"/>
      <c r="AA406" s="4"/>
      <c r="AB406" s="4"/>
      <c r="AC406" s="4"/>
      <c r="AD406" s="6"/>
      <c r="AE406" s="4"/>
      <c r="AF406" s="4"/>
      <c r="AG406" s="4"/>
      <c r="AH406" s="4">
        <v>216163752000</v>
      </c>
    </row>
    <row r="407" spans="1:34" x14ac:dyDescent="0.25">
      <c r="A407" s="4">
        <v>406</v>
      </c>
      <c r="B407" s="5" t="s">
        <v>914</v>
      </c>
      <c r="C407" s="5" t="s">
        <v>915</v>
      </c>
      <c r="D407" s="5" t="s">
        <v>23</v>
      </c>
      <c r="E407" s="5" t="s">
        <v>75</v>
      </c>
      <c r="F407" s="5" t="s">
        <v>79</v>
      </c>
      <c r="G407" s="5" t="s">
        <v>80</v>
      </c>
      <c r="H407" s="4">
        <v>1869167915625</v>
      </c>
      <c r="I407" s="4">
        <v>3676178879412</v>
      </c>
      <c r="J407" s="6">
        <v>7.3899999999999993E-2</v>
      </c>
      <c r="K407" s="6">
        <v>0.22600000000000001</v>
      </c>
      <c r="L407" s="6">
        <v>0.21199999999999999</v>
      </c>
      <c r="M407" s="4">
        <v>882551882480</v>
      </c>
      <c r="N407" s="4">
        <v>1427887350655</v>
      </c>
      <c r="O407" s="4"/>
      <c r="P407" s="6">
        <v>1.3949</v>
      </c>
      <c r="Q407" s="6">
        <v>0.9012</v>
      </c>
      <c r="R407" s="6">
        <v>0.76570000000000005</v>
      </c>
      <c r="S407" s="6">
        <v>0.61839999999999995</v>
      </c>
      <c r="T407" s="4"/>
      <c r="U407" s="6">
        <v>-0.33989999999999998</v>
      </c>
      <c r="V407" s="6">
        <v>-0.40789999999999998</v>
      </c>
      <c r="W407" s="6">
        <v>-0.40849999999999997</v>
      </c>
      <c r="X407" s="6">
        <v>0</v>
      </c>
      <c r="Y407" s="4"/>
      <c r="Z407" s="6">
        <v>3.44E-2</v>
      </c>
      <c r="AA407" s="4"/>
      <c r="AB407" s="4"/>
      <c r="AC407" s="4"/>
      <c r="AD407" s="6">
        <v>0</v>
      </c>
      <c r="AE407" s="4"/>
      <c r="AF407" s="4"/>
      <c r="AG407" s="4"/>
      <c r="AH407" s="4">
        <v>25270178472800</v>
      </c>
    </row>
    <row r="408" spans="1:34" x14ac:dyDescent="0.25">
      <c r="A408" s="4">
        <v>407</v>
      </c>
      <c r="B408" s="5" t="s">
        <v>916</v>
      </c>
      <c r="C408" s="5" t="s">
        <v>917</v>
      </c>
      <c r="D408" s="5" t="s">
        <v>23</v>
      </c>
      <c r="E408" s="5" t="s">
        <v>62</v>
      </c>
      <c r="F408" s="5" t="s">
        <v>226</v>
      </c>
      <c r="G408" s="5" t="s">
        <v>227</v>
      </c>
      <c r="H408" s="4"/>
      <c r="I408" s="4"/>
      <c r="J408" s="6"/>
      <c r="K408" s="6"/>
      <c r="L408" s="6"/>
      <c r="M408" s="4"/>
      <c r="N408" s="4"/>
      <c r="O408" s="4"/>
      <c r="P408" s="6"/>
      <c r="Q408" s="6"/>
      <c r="R408" s="6"/>
      <c r="S408" s="6"/>
      <c r="T408" s="4"/>
      <c r="U408" s="6"/>
      <c r="V408" s="6"/>
      <c r="W408" s="6"/>
      <c r="X408" s="6"/>
      <c r="Y408" s="4"/>
      <c r="Z408" s="6"/>
      <c r="AA408" s="4"/>
      <c r="AB408" s="4"/>
      <c r="AC408" s="4"/>
      <c r="AD408" s="6"/>
      <c r="AE408" s="4"/>
      <c r="AF408" s="4"/>
      <c r="AG408" s="4"/>
      <c r="AH408" s="4">
        <v>583659648000</v>
      </c>
    </row>
    <row r="409" spans="1:34" x14ac:dyDescent="0.25">
      <c r="A409" s="4">
        <v>408</v>
      </c>
      <c r="B409" s="5" t="s">
        <v>918</v>
      </c>
      <c r="C409" s="5" t="s">
        <v>919</v>
      </c>
      <c r="D409" s="5" t="s">
        <v>23</v>
      </c>
      <c r="E409" s="5" t="s">
        <v>40</v>
      </c>
      <c r="F409" s="5" t="s">
        <v>41</v>
      </c>
      <c r="G409" s="5" t="s">
        <v>557</v>
      </c>
      <c r="H409" s="4"/>
      <c r="I409" s="4"/>
      <c r="J409" s="6"/>
      <c r="K409" s="6"/>
      <c r="L409" s="6"/>
      <c r="M409" s="4"/>
      <c r="N409" s="4"/>
      <c r="O409" s="4"/>
      <c r="P409" s="6"/>
      <c r="Q409" s="6"/>
      <c r="R409" s="6"/>
      <c r="S409" s="6"/>
      <c r="T409" s="4"/>
      <c r="U409" s="6"/>
      <c r="V409" s="6"/>
      <c r="W409" s="6"/>
      <c r="X409" s="6"/>
      <c r="Y409" s="4"/>
      <c r="Z409" s="6"/>
      <c r="AA409" s="4"/>
      <c r="AB409" s="4"/>
      <c r="AC409" s="4"/>
      <c r="AD409" s="6"/>
      <c r="AE409" s="4"/>
      <c r="AF409" s="4"/>
      <c r="AG409" s="4"/>
      <c r="AH409" s="4">
        <v>268669253000</v>
      </c>
    </row>
    <row r="410" spans="1:34" x14ac:dyDescent="0.25">
      <c r="A410" s="4">
        <v>409</v>
      </c>
      <c r="B410" s="5" t="s">
        <v>920</v>
      </c>
      <c r="C410" s="5" t="s">
        <v>921</v>
      </c>
      <c r="D410" s="5" t="s">
        <v>23</v>
      </c>
      <c r="E410" s="5" t="s">
        <v>29</v>
      </c>
      <c r="F410" s="5" t="s">
        <v>30</v>
      </c>
      <c r="G410" s="5" t="s">
        <v>83</v>
      </c>
      <c r="H410" s="4"/>
      <c r="I410" s="4"/>
      <c r="J410" s="6"/>
      <c r="K410" s="6"/>
      <c r="L410" s="6"/>
      <c r="M410" s="4"/>
      <c r="N410" s="4"/>
      <c r="O410" s="4"/>
      <c r="P410" s="6"/>
      <c r="Q410" s="6"/>
      <c r="R410" s="6"/>
      <c r="S410" s="6"/>
      <c r="T410" s="4"/>
      <c r="U410" s="6"/>
      <c r="V410" s="6"/>
      <c r="W410" s="6"/>
      <c r="X410" s="6"/>
      <c r="Y410" s="4"/>
      <c r="Z410" s="6"/>
      <c r="AA410" s="4"/>
      <c r="AB410" s="4"/>
      <c r="AC410" s="4"/>
      <c r="AD410" s="6"/>
      <c r="AE410" s="4"/>
      <c r="AF410" s="4"/>
      <c r="AG410" s="4"/>
      <c r="AH410" s="4">
        <v>123516366799500</v>
      </c>
    </row>
    <row r="411" spans="1:34" x14ac:dyDescent="0.25">
      <c r="A411" s="4">
        <v>410</v>
      </c>
      <c r="B411" s="5" t="s">
        <v>922</v>
      </c>
      <c r="C411" s="5" t="s">
        <v>923</v>
      </c>
      <c r="D411" s="5" t="s">
        <v>23</v>
      </c>
      <c r="E411" s="5" t="s">
        <v>62</v>
      </c>
      <c r="F411" s="5" t="s">
        <v>226</v>
      </c>
      <c r="G411" s="5" t="s">
        <v>737</v>
      </c>
      <c r="H411" s="4"/>
      <c r="I411" s="4"/>
      <c r="J411" s="6"/>
      <c r="K411" s="6"/>
      <c r="L411" s="6"/>
      <c r="M411" s="4"/>
      <c r="N411" s="4"/>
      <c r="O411" s="4"/>
      <c r="P411" s="6"/>
      <c r="Q411" s="6"/>
      <c r="R411" s="6"/>
      <c r="S411" s="6"/>
      <c r="T411" s="4"/>
      <c r="U411" s="6"/>
      <c r="V411" s="6"/>
      <c r="W411" s="6"/>
      <c r="X411" s="6"/>
      <c r="Y411" s="4"/>
      <c r="Z411" s="6"/>
      <c r="AA411" s="4"/>
      <c r="AB411" s="4"/>
      <c r="AC411" s="4"/>
      <c r="AD411" s="6"/>
      <c r="AE411" s="4"/>
      <c r="AF411" s="4"/>
      <c r="AG411" s="4"/>
      <c r="AH411" s="4">
        <v>525908738000</v>
      </c>
    </row>
    <row r="412" spans="1:34" x14ac:dyDescent="0.25">
      <c r="A412" s="4">
        <v>411</v>
      </c>
      <c r="B412" s="5" t="s">
        <v>924</v>
      </c>
      <c r="C412" s="5" t="s">
        <v>925</v>
      </c>
      <c r="D412" s="5" t="s">
        <v>23</v>
      </c>
      <c r="E412" s="5" t="s">
        <v>40</v>
      </c>
      <c r="F412" s="5" t="s">
        <v>41</v>
      </c>
      <c r="G412" s="5" t="s">
        <v>406</v>
      </c>
      <c r="H412" s="4"/>
      <c r="I412" s="4"/>
      <c r="J412" s="6"/>
      <c r="K412" s="6"/>
      <c r="L412" s="6"/>
      <c r="M412" s="4"/>
      <c r="N412" s="4"/>
      <c r="O412" s="4"/>
      <c r="P412" s="6"/>
      <c r="Q412" s="6"/>
      <c r="R412" s="6"/>
      <c r="S412" s="6"/>
      <c r="T412" s="4"/>
      <c r="U412" s="6"/>
      <c r="V412" s="6"/>
      <c r="W412" s="6"/>
      <c r="X412" s="6"/>
      <c r="Y412" s="4"/>
      <c r="Z412" s="6"/>
      <c r="AA412" s="4"/>
      <c r="AB412" s="4"/>
      <c r="AC412" s="4"/>
      <c r="AD412" s="6"/>
      <c r="AE412" s="4"/>
      <c r="AF412" s="4"/>
      <c r="AG412" s="4"/>
      <c r="AH412" s="4">
        <v>1463000000000</v>
      </c>
    </row>
    <row r="413" spans="1:34" x14ac:dyDescent="0.25">
      <c r="A413" s="4">
        <v>412</v>
      </c>
      <c r="B413" s="5" t="s">
        <v>926</v>
      </c>
      <c r="C413" s="5" t="s">
        <v>927</v>
      </c>
      <c r="D413" s="5" t="s">
        <v>23</v>
      </c>
      <c r="E413" s="5" t="s">
        <v>49</v>
      </c>
      <c r="F413" s="5" t="s">
        <v>49</v>
      </c>
      <c r="G413" s="5" t="s">
        <v>49</v>
      </c>
      <c r="H413" s="4"/>
      <c r="I413" s="4"/>
      <c r="J413" s="6">
        <v>0.56830000000000003</v>
      </c>
      <c r="K413" s="6">
        <v>0.49280000000000002</v>
      </c>
      <c r="L413" s="6">
        <v>0.45029999999999998</v>
      </c>
      <c r="M413" s="4">
        <v>8384630000000</v>
      </c>
      <c r="N413" s="4">
        <v>14583291000000</v>
      </c>
      <c r="O413" s="4"/>
      <c r="P413" s="6">
        <v>0.72440000000000004</v>
      </c>
      <c r="Q413" s="6">
        <v>0.6653</v>
      </c>
      <c r="R413" s="6">
        <v>0.68530000000000002</v>
      </c>
      <c r="S413" s="6">
        <v>0.35270000000000001</v>
      </c>
      <c r="T413" s="4"/>
      <c r="U413" s="6">
        <v>0</v>
      </c>
      <c r="V413" s="6">
        <v>-0.54310000000000003</v>
      </c>
      <c r="W413" s="6">
        <v>-0.55889999999999995</v>
      </c>
      <c r="X413" s="6">
        <v>0</v>
      </c>
      <c r="Y413" s="4"/>
      <c r="Z413" s="6">
        <v>0.1847</v>
      </c>
      <c r="AA413" s="4">
        <v>17973498000000</v>
      </c>
      <c r="AB413" s="4">
        <v>34934126000000</v>
      </c>
      <c r="AC413" s="4"/>
      <c r="AD413" s="6">
        <v>0.25719999999999998</v>
      </c>
      <c r="AE413" s="4">
        <v>13478566000000</v>
      </c>
      <c r="AF413" s="4">
        <v>26834330000000</v>
      </c>
      <c r="AG413" s="4">
        <v>41895538000000</v>
      </c>
      <c r="AH413" s="4">
        <v>198348090025000</v>
      </c>
    </row>
    <row r="414" spans="1:34" x14ac:dyDescent="0.25">
      <c r="A414" s="4">
        <v>413</v>
      </c>
      <c r="B414" s="5" t="s">
        <v>928</v>
      </c>
      <c r="C414" s="5" t="s">
        <v>929</v>
      </c>
      <c r="D414" s="5" t="s">
        <v>23</v>
      </c>
      <c r="E414" s="5" t="s">
        <v>98</v>
      </c>
      <c r="F414" s="5" t="s">
        <v>99</v>
      </c>
      <c r="G414" s="5" t="s">
        <v>144</v>
      </c>
      <c r="H414" s="4">
        <v>139757518829</v>
      </c>
      <c r="I414" s="4">
        <v>247082666413</v>
      </c>
      <c r="J414" s="6">
        <v>-0.193</v>
      </c>
      <c r="K414" s="6">
        <v>-4.2000000000000003E-2</v>
      </c>
      <c r="L414" s="6">
        <v>5.04E-2</v>
      </c>
      <c r="M414" s="4">
        <v>50869546639</v>
      </c>
      <c r="N414" s="4">
        <v>81466918715</v>
      </c>
      <c r="O414" s="4"/>
      <c r="P414" s="6">
        <v>-0.26790000000000003</v>
      </c>
      <c r="Q414" s="6">
        <v>1.6400000000000001E-2</v>
      </c>
      <c r="R414" s="6">
        <v>-2.4899999999999999E-2</v>
      </c>
      <c r="S414" s="6">
        <v>0.66249999999999998</v>
      </c>
      <c r="T414" s="4"/>
      <c r="U414" s="6">
        <v>-0.5423</v>
      </c>
      <c r="V414" s="6">
        <v>-0.47410000000000002</v>
      </c>
      <c r="W414" s="6">
        <v>-0.47499999999999998</v>
      </c>
      <c r="X414" s="6">
        <v>6.2100000000000002E-2</v>
      </c>
      <c r="Y414" s="4"/>
      <c r="Z414" s="6">
        <v>0.30220000000000002</v>
      </c>
      <c r="AA414" s="4"/>
      <c r="AB414" s="4"/>
      <c r="AC414" s="4"/>
      <c r="AD414" s="6">
        <v>0</v>
      </c>
      <c r="AE414" s="4"/>
      <c r="AF414" s="4"/>
      <c r="AG414" s="4"/>
      <c r="AH414" s="4">
        <v>2233052727550</v>
      </c>
    </row>
    <row r="415" spans="1:34" x14ac:dyDescent="0.25">
      <c r="A415" s="4">
        <v>414</v>
      </c>
      <c r="B415" s="5" t="s">
        <v>930</v>
      </c>
      <c r="C415" s="5" t="s">
        <v>931</v>
      </c>
      <c r="D415" s="5" t="s">
        <v>23</v>
      </c>
      <c r="E415" s="5" t="s">
        <v>24</v>
      </c>
      <c r="F415" s="5" t="s">
        <v>56</v>
      </c>
      <c r="G415" s="5" t="s">
        <v>129</v>
      </c>
      <c r="H415" s="4"/>
      <c r="I415" s="4"/>
      <c r="J415" s="6"/>
      <c r="K415" s="6"/>
      <c r="L415" s="6"/>
      <c r="M415" s="4"/>
      <c r="N415" s="4"/>
      <c r="O415" s="4"/>
      <c r="P415" s="6"/>
      <c r="Q415" s="6"/>
      <c r="R415" s="6"/>
      <c r="S415" s="6"/>
      <c r="T415" s="4"/>
      <c r="U415" s="6"/>
      <c r="V415" s="6"/>
      <c r="W415" s="6"/>
      <c r="X415" s="6"/>
      <c r="Y415" s="4"/>
      <c r="Z415" s="6"/>
      <c r="AA415" s="4"/>
      <c r="AB415" s="4"/>
      <c r="AC415" s="4"/>
      <c r="AD415" s="6"/>
      <c r="AE415" s="4"/>
      <c r="AF415" s="4"/>
      <c r="AG415" s="4"/>
      <c r="AH415" s="4">
        <v>170642399430</v>
      </c>
    </row>
    <row r="416" spans="1:34" x14ac:dyDescent="0.25">
      <c r="A416" s="4">
        <v>415</v>
      </c>
      <c r="B416" s="5" t="s">
        <v>932</v>
      </c>
      <c r="C416" s="5" t="s">
        <v>933</v>
      </c>
      <c r="D416" s="5" t="s">
        <v>23</v>
      </c>
      <c r="E416" s="5" t="s">
        <v>75</v>
      </c>
      <c r="F416" s="5" t="s">
        <v>76</v>
      </c>
      <c r="G416" s="5" t="s">
        <v>76</v>
      </c>
      <c r="H416" s="4"/>
      <c r="I416" s="4"/>
      <c r="J416" s="6"/>
      <c r="K416" s="6"/>
      <c r="L416" s="6"/>
      <c r="M416" s="4"/>
      <c r="N416" s="4"/>
      <c r="O416" s="4"/>
      <c r="P416" s="6"/>
      <c r="Q416" s="6"/>
      <c r="R416" s="6"/>
      <c r="S416" s="6"/>
      <c r="T416" s="4"/>
      <c r="U416" s="6"/>
      <c r="V416" s="6"/>
      <c r="W416" s="6"/>
      <c r="X416" s="6"/>
      <c r="Y416" s="4"/>
      <c r="Z416" s="6"/>
      <c r="AA416" s="4"/>
      <c r="AB416" s="4"/>
      <c r="AC416" s="4"/>
      <c r="AD416" s="6"/>
      <c r="AE416" s="4"/>
      <c r="AF416" s="4"/>
      <c r="AG416" s="4"/>
      <c r="AH416" s="4">
        <v>307052116000</v>
      </c>
    </row>
    <row r="417" spans="1:34" x14ac:dyDescent="0.25">
      <c r="A417" s="4">
        <v>416</v>
      </c>
      <c r="B417" s="5" t="s">
        <v>934</v>
      </c>
      <c r="C417" s="5" t="s">
        <v>935</v>
      </c>
      <c r="D417" s="5" t="s">
        <v>23</v>
      </c>
      <c r="E417" s="5" t="s">
        <v>75</v>
      </c>
      <c r="F417" s="5" t="s">
        <v>76</v>
      </c>
      <c r="G417" s="5" t="s">
        <v>76</v>
      </c>
      <c r="H417" s="4"/>
      <c r="I417" s="4"/>
      <c r="J417" s="6"/>
      <c r="K417" s="6"/>
      <c r="L417" s="6"/>
      <c r="M417" s="4"/>
      <c r="N417" s="4"/>
      <c r="O417" s="4"/>
      <c r="P417" s="6"/>
      <c r="Q417" s="6"/>
      <c r="R417" s="6"/>
      <c r="S417" s="6"/>
      <c r="T417" s="4"/>
      <c r="U417" s="6"/>
      <c r="V417" s="6"/>
      <c r="W417" s="6"/>
      <c r="X417" s="6"/>
      <c r="Y417" s="4"/>
      <c r="Z417" s="6"/>
      <c r="AA417" s="4"/>
      <c r="AB417" s="4"/>
      <c r="AC417" s="4"/>
      <c r="AD417" s="6"/>
      <c r="AE417" s="4"/>
      <c r="AF417" s="4"/>
      <c r="AG417" s="4"/>
      <c r="AH417" s="4">
        <v>19811068816300</v>
      </c>
    </row>
    <row r="418" spans="1:34" x14ac:dyDescent="0.25">
      <c r="A418" s="4">
        <v>417</v>
      </c>
      <c r="B418" s="5" t="s">
        <v>936</v>
      </c>
      <c r="C418" s="5" t="s">
        <v>937</v>
      </c>
      <c r="D418" s="5" t="s">
        <v>23</v>
      </c>
      <c r="E418" s="5" t="s">
        <v>62</v>
      </c>
      <c r="F418" s="5" t="s">
        <v>226</v>
      </c>
      <c r="G418" s="5" t="s">
        <v>286</v>
      </c>
      <c r="H418" s="4"/>
      <c r="I418" s="4"/>
      <c r="J418" s="6"/>
      <c r="K418" s="6"/>
      <c r="L418" s="6"/>
      <c r="M418" s="4"/>
      <c r="N418" s="4"/>
      <c r="O418" s="4"/>
      <c r="P418" s="6"/>
      <c r="Q418" s="6"/>
      <c r="R418" s="6"/>
      <c r="S418" s="6"/>
      <c r="T418" s="4"/>
      <c r="U418" s="6"/>
      <c r="V418" s="6"/>
      <c r="W418" s="6"/>
      <c r="X418" s="6"/>
      <c r="Y418" s="4"/>
      <c r="Z418" s="6"/>
      <c r="AA418" s="4"/>
      <c r="AB418" s="4"/>
      <c r="AC418" s="4"/>
      <c r="AD418" s="6"/>
      <c r="AE418" s="4"/>
      <c r="AF418" s="4"/>
      <c r="AG418" s="4"/>
      <c r="AH418" s="4">
        <v>131807577709500</v>
      </c>
    </row>
    <row r="419" spans="1:34" x14ac:dyDescent="0.25">
      <c r="A419" s="4">
        <v>418</v>
      </c>
      <c r="B419" s="5" t="s">
        <v>938</v>
      </c>
      <c r="C419" s="5" t="s">
        <v>939</v>
      </c>
      <c r="D419" s="5" t="s">
        <v>23</v>
      </c>
      <c r="E419" s="5" t="s">
        <v>24</v>
      </c>
      <c r="F419" s="5" t="s">
        <v>25</v>
      </c>
      <c r="G419" s="5" t="s">
        <v>45</v>
      </c>
      <c r="H419" s="4"/>
      <c r="I419" s="4"/>
      <c r="J419" s="6"/>
      <c r="K419" s="6"/>
      <c r="L419" s="6"/>
      <c r="M419" s="4"/>
      <c r="N419" s="4"/>
      <c r="O419" s="4"/>
      <c r="P419" s="6"/>
      <c r="Q419" s="6"/>
      <c r="R419" s="6"/>
      <c r="S419" s="6"/>
      <c r="T419" s="4"/>
      <c r="U419" s="6"/>
      <c r="V419" s="6"/>
      <c r="W419" s="6"/>
      <c r="X419" s="6"/>
      <c r="Y419" s="4"/>
      <c r="Z419" s="6"/>
      <c r="AA419" s="4"/>
      <c r="AB419" s="4"/>
      <c r="AC419" s="4"/>
      <c r="AD419" s="6"/>
      <c r="AE419" s="4"/>
      <c r="AF419" s="4"/>
      <c r="AG419" s="4"/>
      <c r="AH419" s="4">
        <v>220147128000</v>
      </c>
    </row>
    <row r="420" spans="1:34" x14ac:dyDescent="0.25">
      <c r="A420" s="4">
        <v>419</v>
      </c>
      <c r="B420" s="5" t="s">
        <v>940</v>
      </c>
      <c r="C420" s="5" t="s">
        <v>941</v>
      </c>
      <c r="D420" s="5" t="s">
        <v>23</v>
      </c>
      <c r="E420" s="5" t="s">
        <v>75</v>
      </c>
      <c r="F420" s="5" t="s">
        <v>79</v>
      </c>
      <c r="G420" s="5" t="s">
        <v>80</v>
      </c>
      <c r="H420" s="4">
        <v>4098141674328</v>
      </c>
      <c r="I420" s="4">
        <v>6969114910363</v>
      </c>
      <c r="J420" s="6">
        <v>2.4689000000000001</v>
      </c>
      <c r="K420" s="6">
        <v>2.6970999999999998</v>
      </c>
      <c r="L420" s="6">
        <v>2.6888999999999998</v>
      </c>
      <c r="M420" s="4">
        <v>1733062153800</v>
      </c>
      <c r="N420" s="4">
        <v>2168594726027</v>
      </c>
      <c r="O420" s="4"/>
      <c r="P420" s="6">
        <v>2.9297</v>
      </c>
      <c r="Q420" s="6">
        <v>2.0053999999999998</v>
      </c>
      <c r="R420" s="6">
        <v>2.0476000000000001</v>
      </c>
      <c r="S420" s="6">
        <v>2.9792000000000001</v>
      </c>
      <c r="T420" s="4"/>
      <c r="U420" s="6">
        <v>-0.37069999999999997</v>
      </c>
      <c r="V420" s="6">
        <v>-0.5857</v>
      </c>
      <c r="W420" s="6">
        <v>-0.57989999999999997</v>
      </c>
      <c r="X420" s="6">
        <v>0</v>
      </c>
      <c r="Y420" s="4"/>
      <c r="Z420" s="6">
        <v>0.4274</v>
      </c>
      <c r="AA420" s="4"/>
      <c r="AB420" s="4"/>
      <c r="AC420" s="4"/>
      <c r="AD420" s="6">
        <v>0</v>
      </c>
      <c r="AE420" s="4"/>
      <c r="AF420" s="4"/>
      <c r="AG420" s="4"/>
      <c r="AH420" s="4">
        <v>48375000000000</v>
      </c>
    </row>
    <row r="421" spans="1:34" x14ac:dyDescent="0.25">
      <c r="A421" s="4">
        <v>420</v>
      </c>
      <c r="B421" s="5" t="s">
        <v>942</v>
      </c>
      <c r="C421" s="5" t="s">
        <v>943</v>
      </c>
      <c r="D421" s="5" t="s">
        <v>23</v>
      </c>
      <c r="E421" s="5" t="s">
        <v>75</v>
      </c>
      <c r="F421" s="5" t="s">
        <v>76</v>
      </c>
      <c r="G421" s="5" t="s">
        <v>76</v>
      </c>
      <c r="H421" s="4"/>
      <c r="I421" s="4"/>
      <c r="J421" s="6"/>
      <c r="K421" s="6"/>
      <c r="L421" s="6"/>
      <c r="M421" s="4"/>
      <c r="N421" s="4"/>
      <c r="O421" s="4"/>
      <c r="P421" s="6"/>
      <c r="Q421" s="6"/>
      <c r="R421" s="6"/>
      <c r="S421" s="6"/>
      <c r="T421" s="4"/>
      <c r="U421" s="6"/>
      <c r="V421" s="6"/>
      <c r="W421" s="6"/>
      <c r="X421" s="6"/>
      <c r="Y421" s="4"/>
      <c r="Z421" s="6"/>
      <c r="AA421" s="4"/>
      <c r="AB421" s="4"/>
      <c r="AC421" s="4"/>
      <c r="AD421" s="6"/>
      <c r="AE421" s="4"/>
      <c r="AF421" s="4"/>
      <c r="AG421" s="4"/>
      <c r="AH421" s="4">
        <v>610000000000</v>
      </c>
    </row>
    <row r="422" spans="1:34" x14ac:dyDescent="0.25">
      <c r="A422" s="4">
        <v>421</v>
      </c>
      <c r="B422" s="5" t="s">
        <v>944</v>
      </c>
      <c r="C422" s="5" t="s">
        <v>945</v>
      </c>
      <c r="D422" s="5" t="s">
        <v>23</v>
      </c>
      <c r="E422" s="5" t="s">
        <v>75</v>
      </c>
      <c r="F422" s="5" t="s">
        <v>76</v>
      </c>
      <c r="G422" s="5" t="s">
        <v>76</v>
      </c>
      <c r="H422" s="4"/>
      <c r="I422" s="4"/>
      <c r="J422" s="6"/>
      <c r="K422" s="6"/>
      <c r="L422" s="6"/>
      <c r="M422" s="4"/>
      <c r="N422" s="4"/>
      <c r="O422" s="4"/>
      <c r="P422" s="6"/>
      <c r="Q422" s="6"/>
      <c r="R422" s="6"/>
      <c r="S422" s="6"/>
      <c r="T422" s="4"/>
      <c r="U422" s="6"/>
      <c r="V422" s="6"/>
      <c r="W422" s="6"/>
      <c r="X422" s="6"/>
      <c r="Y422" s="4"/>
      <c r="Z422" s="6"/>
      <c r="AA422" s="4"/>
      <c r="AB422" s="4"/>
      <c r="AC422" s="4"/>
      <c r="AD422" s="6"/>
      <c r="AE422" s="4"/>
      <c r="AF422" s="4"/>
      <c r="AG422" s="4"/>
      <c r="AH422" s="4">
        <v>49422925417500</v>
      </c>
    </row>
    <row r="423" spans="1:34" x14ac:dyDescent="0.25">
      <c r="A423" s="4">
        <v>422</v>
      </c>
      <c r="B423" s="5" t="s">
        <v>946</v>
      </c>
      <c r="C423" s="5" t="s">
        <v>947</v>
      </c>
      <c r="D423" s="5" t="s">
        <v>23</v>
      </c>
      <c r="E423" s="5" t="s">
        <v>40</v>
      </c>
      <c r="F423" s="5" t="s">
        <v>41</v>
      </c>
      <c r="G423" s="5" t="s">
        <v>93</v>
      </c>
      <c r="H423" s="4"/>
      <c r="I423" s="4"/>
      <c r="J423" s="6"/>
      <c r="K423" s="6"/>
      <c r="L423" s="6"/>
      <c r="M423" s="4"/>
      <c r="N423" s="4"/>
      <c r="O423" s="4"/>
      <c r="P423" s="6"/>
      <c r="Q423" s="6"/>
      <c r="R423" s="6"/>
      <c r="S423" s="6"/>
      <c r="T423" s="4"/>
      <c r="U423" s="6"/>
      <c r="V423" s="6"/>
      <c r="W423" s="6"/>
      <c r="X423" s="6"/>
      <c r="Y423" s="4"/>
      <c r="Z423" s="6"/>
      <c r="AA423" s="4"/>
      <c r="AB423" s="4"/>
      <c r="AC423" s="4"/>
      <c r="AD423" s="6"/>
      <c r="AE423" s="4"/>
      <c r="AF423" s="4"/>
      <c r="AG423" s="4"/>
      <c r="AH423" s="4">
        <v>5166310995600</v>
      </c>
    </row>
    <row r="424" spans="1:34" x14ac:dyDescent="0.25">
      <c r="A424" s="4">
        <v>423</v>
      </c>
      <c r="B424" s="5" t="s">
        <v>948</v>
      </c>
      <c r="C424" s="5" t="s">
        <v>949</v>
      </c>
      <c r="D424" s="5" t="s">
        <v>23</v>
      </c>
      <c r="E424" s="5" t="s">
        <v>98</v>
      </c>
      <c r="F424" s="5" t="s">
        <v>99</v>
      </c>
      <c r="G424" s="5" t="s">
        <v>144</v>
      </c>
      <c r="H424" s="4"/>
      <c r="I424" s="4"/>
      <c r="J424" s="6"/>
      <c r="K424" s="6"/>
      <c r="L424" s="6"/>
      <c r="M424" s="4"/>
      <c r="N424" s="4"/>
      <c r="O424" s="4"/>
      <c r="P424" s="6"/>
      <c r="Q424" s="6"/>
      <c r="R424" s="6"/>
      <c r="S424" s="6"/>
      <c r="T424" s="4"/>
      <c r="U424" s="6"/>
      <c r="V424" s="6"/>
      <c r="W424" s="6"/>
      <c r="X424" s="6"/>
      <c r="Y424" s="4"/>
      <c r="Z424" s="6"/>
      <c r="AA424" s="4"/>
      <c r="AB424" s="4"/>
      <c r="AC424" s="4"/>
      <c r="AD424" s="6"/>
      <c r="AE424" s="4"/>
      <c r="AF424" s="4"/>
      <c r="AG424" s="4"/>
      <c r="AH424" s="4">
        <v>10016628830400</v>
      </c>
    </row>
    <row r="425" spans="1:34" x14ac:dyDescent="0.25">
      <c r="A425" s="4">
        <v>424</v>
      </c>
      <c r="B425" s="5" t="s">
        <v>950</v>
      </c>
      <c r="C425" s="5" t="s">
        <v>951</v>
      </c>
      <c r="D425" s="5" t="s">
        <v>23</v>
      </c>
      <c r="E425" s="5" t="s">
        <v>40</v>
      </c>
      <c r="F425" s="5" t="s">
        <v>52</v>
      </c>
      <c r="G425" s="5" t="s">
        <v>110</v>
      </c>
      <c r="H425" s="4"/>
      <c r="I425" s="4"/>
      <c r="J425" s="6"/>
      <c r="K425" s="6"/>
      <c r="L425" s="6"/>
      <c r="M425" s="4"/>
      <c r="N425" s="4"/>
      <c r="O425" s="4"/>
      <c r="P425" s="6"/>
      <c r="Q425" s="6"/>
      <c r="R425" s="6"/>
      <c r="S425" s="6"/>
      <c r="T425" s="4"/>
      <c r="U425" s="6"/>
      <c r="V425" s="6"/>
      <c r="W425" s="6"/>
      <c r="X425" s="6"/>
      <c r="Y425" s="4"/>
      <c r="Z425" s="6"/>
      <c r="AA425" s="4"/>
      <c r="AB425" s="4"/>
      <c r="AC425" s="4"/>
      <c r="AD425" s="6"/>
      <c r="AE425" s="4"/>
      <c r="AF425" s="4"/>
      <c r="AG425" s="4"/>
      <c r="AH425" s="4">
        <v>246179944050</v>
      </c>
    </row>
    <row r="426" spans="1:34" x14ac:dyDescent="0.25">
      <c r="A426" s="4">
        <v>425</v>
      </c>
      <c r="B426" s="5" t="s">
        <v>952</v>
      </c>
      <c r="C426" s="5" t="s">
        <v>953</v>
      </c>
      <c r="D426" s="5" t="s">
        <v>23</v>
      </c>
      <c r="E426" s="5" t="s">
        <v>40</v>
      </c>
      <c r="F426" s="5" t="s">
        <v>41</v>
      </c>
      <c r="G426" s="5" t="s">
        <v>619</v>
      </c>
      <c r="H426" s="4">
        <v>37918561419</v>
      </c>
      <c r="I426" s="4">
        <v>66964235055</v>
      </c>
      <c r="J426" s="6">
        <v>-3.1399999999999997E-2</v>
      </c>
      <c r="K426" s="6">
        <v>1.3899999999999999E-2</v>
      </c>
      <c r="L426" s="6">
        <v>4.0300000000000002E-2</v>
      </c>
      <c r="M426" s="4">
        <v>5941295183</v>
      </c>
      <c r="N426" s="4">
        <v>9758040416</v>
      </c>
      <c r="O426" s="4"/>
      <c r="P426" s="6">
        <v>0.63400000000000001</v>
      </c>
      <c r="Q426" s="6">
        <v>0.63419999999999999</v>
      </c>
      <c r="R426" s="6">
        <v>0.84719999999999995</v>
      </c>
      <c r="S426" s="6">
        <v>0.55659999999999998</v>
      </c>
      <c r="T426" s="4"/>
      <c r="U426" s="6">
        <v>-0.6321</v>
      </c>
      <c r="V426" s="6">
        <v>-0.64659999999999995</v>
      </c>
      <c r="W426" s="6">
        <v>-0.64119999999999999</v>
      </c>
      <c r="X426" s="6">
        <v>0.1172</v>
      </c>
      <c r="Y426" s="4"/>
      <c r="Z426" s="6">
        <v>0.30549999999999999</v>
      </c>
      <c r="AA426" s="4"/>
      <c r="AB426" s="4"/>
      <c r="AC426" s="4"/>
      <c r="AD426" s="6">
        <v>0</v>
      </c>
      <c r="AE426" s="4"/>
      <c r="AF426" s="4"/>
      <c r="AG426" s="4"/>
      <c r="AH426" s="4">
        <v>138297856000</v>
      </c>
    </row>
    <row r="427" spans="1:34" x14ac:dyDescent="0.25">
      <c r="A427" s="4">
        <v>426</v>
      </c>
      <c r="B427" s="5" t="s">
        <v>954</v>
      </c>
      <c r="C427" s="5" t="s">
        <v>955</v>
      </c>
      <c r="D427" s="5" t="s">
        <v>23</v>
      </c>
      <c r="E427" s="5" t="s">
        <v>40</v>
      </c>
      <c r="F427" s="5" t="s">
        <v>41</v>
      </c>
      <c r="G427" s="5" t="s">
        <v>406</v>
      </c>
      <c r="H427" s="4"/>
      <c r="I427" s="4"/>
      <c r="J427" s="6"/>
      <c r="K427" s="6"/>
      <c r="L427" s="6"/>
      <c r="M427" s="4"/>
      <c r="N427" s="4"/>
      <c r="O427" s="4"/>
      <c r="P427" s="6"/>
      <c r="Q427" s="6"/>
      <c r="R427" s="6"/>
      <c r="S427" s="6"/>
      <c r="T427" s="4"/>
      <c r="U427" s="6"/>
      <c r="V427" s="6"/>
      <c r="W427" s="6"/>
      <c r="X427" s="6"/>
      <c r="Y427" s="4"/>
      <c r="Z427" s="6"/>
      <c r="AA427" s="4"/>
      <c r="AB427" s="4"/>
      <c r="AC427" s="4"/>
      <c r="AD427" s="6"/>
      <c r="AE427" s="4"/>
      <c r="AF427" s="4"/>
      <c r="AG427" s="4"/>
      <c r="AH427" s="4">
        <v>806653326600</v>
      </c>
    </row>
    <row r="428" spans="1:34" x14ac:dyDescent="0.25">
      <c r="A428" s="4">
        <v>427</v>
      </c>
      <c r="B428" s="5" t="s">
        <v>956</v>
      </c>
      <c r="C428" s="5" t="s">
        <v>957</v>
      </c>
      <c r="D428" s="5" t="s">
        <v>23</v>
      </c>
      <c r="E428" s="5" t="s">
        <v>40</v>
      </c>
      <c r="F428" s="5" t="s">
        <v>41</v>
      </c>
      <c r="G428" s="5" t="s">
        <v>958</v>
      </c>
      <c r="H428" s="4"/>
      <c r="I428" s="4"/>
      <c r="J428" s="6"/>
      <c r="K428" s="6"/>
      <c r="L428" s="6"/>
      <c r="M428" s="4"/>
      <c r="N428" s="4"/>
      <c r="O428" s="4"/>
      <c r="P428" s="6"/>
      <c r="Q428" s="6"/>
      <c r="R428" s="6"/>
      <c r="S428" s="6"/>
      <c r="T428" s="4"/>
      <c r="U428" s="6"/>
      <c r="V428" s="6"/>
      <c r="W428" s="6"/>
      <c r="X428" s="6"/>
      <c r="Y428" s="4"/>
      <c r="Z428" s="6"/>
      <c r="AA428" s="4"/>
      <c r="AB428" s="4"/>
      <c r="AC428" s="4"/>
      <c r="AD428" s="6"/>
      <c r="AE428" s="4"/>
      <c r="AF428" s="4"/>
      <c r="AG428" s="4"/>
      <c r="AH428" s="4">
        <v>9711539206200</v>
      </c>
    </row>
    <row r="429" spans="1:34" x14ac:dyDescent="0.25">
      <c r="A429" s="4">
        <v>428</v>
      </c>
      <c r="B429" s="5" t="s">
        <v>959</v>
      </c>
      <c r="C429" s="5" t="s">
        <v>960</v>
      </c>
      <c r="D429" s="5" t="s">
        <v>23</v>
      </c>
      <c r="E429" s="5" t="s">
        <v>29</v>
      </c>
      <c r="F429" s="5" t="s">
        <v>203</v>
      </c>
      <c r="G429" s="5" t="s">
        <v>211</v>
      </c>
      <c r="H429" s="4"/>
      <c r="I429" s="4"/>
      <c r="J429" s="6"/>
      <c r="K429" s="6"/>
      <c r="L429" s="6"/>
      <c r="M429" s="4"/>
      <c r="N429" s="4"/>
      <c r="O429" s="4"/>
      <c r="P429" s="6"/>
      <c r="Q429" s="6"/>
      <c r="R429" s="6"/>
      <c r="S429" s="6"/>
      <c r="T429" s="4"/>
      <c r="U429" s="6"/>
      <c r="V429" s="6"/>
      <c r="W429" s="6"/>
      <c r="X429" s="6"/>
      <c r="Y429" s="4"/>
      <c r="Z429" s="6"/>
      <c r="AA429" s="4"/>
      <c r="AB429" s="4"/>
      <c r="AC429" s="4"/>
      <c r="AD429" s="6"/>
      <c r="AE429" s="4"/>
      <c r="AF429" s="4"/>
      <c r="AG429" s="4"/>
      <c r="AH429" s="4">
        <v>4688145000000</v>
      </c>
    </row>
    <row r="430" spans="1:34" x14ac:dyDescent="0.25">
      <c r="A430" s="4">
        <v>429</v>
      </c>
      <c r="B430" s="5" t="s">
        <v>961</v>
      </c>
      <c r="C430" s="5" t="s">
        <v>962</v>
      </c>
      <c r="D430" s="5" t="s">
        <v>23</v>
      </c>
      <c r="E430" s="5" t="s">
        <v>24</v>
      </c>
      <c r="F430" s="5" t="s">
        <v>56</v>
      </c>
      <c r="G430" s="5" t="s">
        <v>129</v>
      </c>
      <c r="H430" s="4"/>
      <c r="I430" s="4"/>
      <c r="J430" s="6"/>
      <c r="K430" s="6"/>
      <c r="L430" s="6"/>
      <c r="M430" s="4"/>
      <c r="N430" s="4"/>
      <c r="O430" s="4"/>
      <c r="P430" s="6"/>
      <c r="Q430" s="6"/>
      <c r="R430" s="6"/>
      <c r="S430" s="6"/>
      <c r="T430" s="4"/>
      <c r="U430" s="6"/>
      <c r="V430" s="6"/>
      <c r="W430" s="6"/>
      <c r="X430" s="6"/>
      <c r="Y430" s="4"/>
      <c r="Z430" s="6"/>
      <c r="AA430" s="4"/>
      <c r="AB430" s="4"/>
      <c r="AC430" s="4"/>
      <c r="AD430" s="6"/>
      <c r="AE430" s="4"/>
      <c r="AF430" s="4"/>
      <c r="AG430" s="4"/>
      <c r="AH430" s="4">
        <v>310805911500</v>
      </c>
    </row>
    <row r="431" spans="1:34" x14ac:dyDescent="0.25">
      <c r="A431" s="4">
        <v>430</v>
      </c>
      <c r="B431" s="5" t="s">
        <v>963</v>
      </c>
      <c r="C431" s="5" t="s">
        <v>964</v>
      </c>
      <c r="D431" s="5" t="s">
        <v>23</v>
      </c>
      <c r="E431" s="5" t="s">
        <v>62</v>
      </c>
      <c r="F431" s="5" t="s">
        <v>63</v>
      </c>
      <c r="G431" s="5" t="s">
        <v>965</v>
      </c>
      <c r="H431" s="4"/>
      <c r="I431" s="4"/>
      <c r="J431" s="6"/>
      <c r="K431" s="6"/>
      <c r="L431" s="6"/>
      <c r="M431" s="4"/>
      <c r="N431" s="4"/>
      <c r="O431" s="4"/>
      <c r="P431" s="6"/>
      <c r="Q431" s="6"/>
      <c r="R431" s="6"/>
      <c r="S431" s="6"/>
      <c r="T431" s="4"/>
      <c r="U431" s="6"/>
      <c r="V431" s="6"/>
      <c r="W431" s="6"/>
      <c r="X431" s="6"/>
      <c r="Y431" s="4"/>
      <c r="Z431" s="6"/>
      <c r="AA431" s="4"/>
      <c r="AB431" s="4"/>
      <c r="AC431" s="4"/>
      <c r="AD431" s="6"/>
      <c r="AE431" s="4"/>
      <c r="AF431" s="4"/>
      <c r="AG431" s="4"/>
      <c r="AH431" s="4">
        <v>1569982327200</v>
      </c>
    </row>
    <row r="432" spans="1:34" x14ac:dyDescent="0.25">
      <c r="A432" s="4">
        <v>431</v>
      </c>
      <c r="B432" s="5" t="s">
        <v>966</v>
      </c>
      <c r="C432" s="5" t="s">
        <v>967</v>
      </c>
      <c r="D432" s="5" t="s">
        <v>968</v>
      </c>
      <c r="E432" s="5" t="s">
        <v>62</v>
      </c>
      <c r="F432" s="5" t="s">
        <v>63</v>
      </c>
      <c r="G432" s="5" t="s">
        <v>656</v>
      </c>
      <c r="H432" s="4">
        <v>66479298734</v>
      </c>
      <c r="I432" s="4">
        <v>130533464127</v>
      </c>
      <c r="J432" s="6">
        <v>3.6400000000000002E-2</v>
      </c>
      <c r="K432" s="6"/>
      <c r="L432" s="6"/>
      <c r="M432" s="4">
        <v>1600971004</v>
      </c>
      <c r="N432" s="4">
        <v>3292908805</v>
      </c>
      <c r="O432" s="4"/>
      <c r="P432" s="6">
        <v>1.8499999999999999E-2</v>
      </c>
      <c r="Q432" s="6"/>
      <c r="R432" s="6"/>
      <c r="S432" s="6">
        <v>-5.3800000000000001E-2</v>
      </c>
      <c r="T432" s="4"/>
      <c r="U432" s="6"/>
      <c r="V432" s="6"/>
      <c r="W432" s="6"/>
      <c r="X432" s="6"/>
      <c r="Y432" s="4"/>
      <c r="Z432" s="6">
        <v>3.7900000000000003E-2</v>
      </c>
      <c r="AA432" s="4"/>
      <c r="AB432" s="4"/>
      <c r="AC432" s="4"/>
      <c r="AD432" s="6"/>
      <c r="AE432" s="4"/>
      <c r="AF432" s="4"/>
      <c r="AG432" s="4"/>
      <c r="AH432" s="4">
        <v>67624912000</v>
      </c>
    </row>
    <row r="433" spans="1:34" x14ac:dyDescent="0.25">
      <c r="A433" s="4">
        <v>432</v>
      </c>
      <c r="B433" s="5" t="s">
        <v>969</v>
      </c>
      <c r="C433" s="5" t="s">
        <v>970</v>
      </c>
      <c r="D433" s="5" t="s">
        <v>968</v>
      </c>
      <c r="E433" s="5" t="s">
        <v>62</v>
      </c>
      <c r="F433" s="5" t="s">
        <v>63</v>
      </c>
      <c r="G433" s="5" t="s">
        <v>656</v>
      </c>
      <c r="H433" s="4"/>
      <c r="I433" s="4"/>
      <c r="J433" s="6"/>
      <c r="K433" s="6"/>
      <c r="L433" s="6"/>
      <c r="M433" s="4"/>
      <c r="N433" s="4"/>
      <c r="O433" s="4"/>
      <c r="P433" s="6"/>
      <c r="Q433" s="6"/>
      <c r="R433" s="6"/>
      <c r="S433" s="6"/>
      <c r="T433" s="4"/>
      <c r="U433" s="6"/>
      <c r="V433" s="6"/>
      <c r="W433" s="6"/>
      <c r="X433" s="6"/>
      <c r="Y433" s="4"/>
      <c r="Z433" s="6"/>
      <c r="AA433" s="4"/>
      <c r="AB433" s="4"/>
      <c r="AC433" s="4"/>
      <c r="AD433" s="6"/>
      <c r="AE433" s="4"/>
      <c r="AF433" s="4"/>
      <c r="AG433" s="4"/>
      <c r="AH433" s="4">
        <v>71708862500</v>
      </c>
    </row>
    <row r="434" spans="1:34" x14ac:dyDescent="0.25">
      <c r="A434" s="4">
        <v>433</v>
      </c>
      <c r="B434" s="5" t="s">
        <v>971</v>
      </c>
      <c r="C434" s="5" t="s">
        <v>972</v>
      </c>
      <c r="D434" s="5" t="s">
        <v>968</v>
      </c>
      <c r="E434" s="5" t="s">
        <v>24</v>
      </c>
      <c r="F434" s="5" t="s">
        <v>56</v>
      </c>
      <c r="G434" s="5" t="s">
        <v>129</v>
      </c>
      <c r="H434" s="4">
        <v>50829744209</v>
      </c>
      <c r="I434" s="4">
        <v>102079070828</v>
      </c>
      <c r="J434" s="6">
        <v>0.19500000000000001</v>
      </c>
      <c r="K434" s="6"/>
      <c r="L434" s="6"/>
      <c r="M434" s="4">
        <v>2971188373</v>
      </c>
      <c r="N434" s="4">
        <v>5617127193</v>
      </c>
      <c r="O434" s="4"/>
      <c r="P434" s="6">
        <v>0.94650000000000001</v>
      </c>
      <c r="Q434" s="6"/>
      <c r="R434" s="6"/>
      <c r="S434" s="6">
        <v>0.1229</v>
      </c>
      <c r="T434" s="4"/>
      <c r="U434" s="6"/>
      <c r="V434" s="6"/>
      <c r="W434" s="6"/>
      <c r="X434" s="6"/>
      <c r="Y434" s="4"/>
      <c r="Z434" s="6">
        <v>-8.2000000000000007E-3</v>
      </c>
      <c r="AA434" s="4"/>
      <c r="AB434" s="4"/>
      <c r="AC434" s="4"/>
      <c r="AD434" s="6"/>
      <c r="AE434" s="4"/>
      <c r="AF434" s="4"/>
      <c r="AG434" s="4"/>
      <c r="AH434" s="4">
        <v>53009876000</v>
      </c>
    </row>
    <row r="435" spans="1:34" x14ac:dyDescent="0.25">
      <c r="A435" s="4">
        <v>434</v>
      </c>
      <c r="B435" s="5" t="s">
        <v>973</v>
      </c>
      <c r="C435" s="5" t="s">
        <v>974</v>
      </c>
      <c r="D435" s="5" t="s">
        <v>968</v>
      </c>
      <c r="E435" s="5" t="s">
        <v>40</v>
      </c>
      <c r="F435" s="5" t="s">
        <v>41</v>
      </c>
      <c r="G435" s="5" t="s">
        <v>389</v>
      </c>
      <c r="H435" s="4"/>
      <c r="I435" s="4"/>
      <c r="J435" s="6"/>
      <c r="K435" s="6"/>
      <c r="L435" s="6"/>
      <c r="M435" s="4"/>
      <c r="N435" s="4"/>
      <c r="O435" s="4"/>
      <c r="P435" s="6"/>
      <c r="Q435" s="6"/>
      <c r="R435" s="6"/>
      <c r="S435" s="6"/>
      <c r="T435" s="4"/>
      <c r="U435" s="6"/>
      <c r="V435" s="6"/>
      <c r="W435" s="6"/>
      <c r="X435" s="6"/>
      <c r="Y435" s="4"/>
      <c r="Z435" s="6"/>
      <c r="AA435" s="4"/>
      <c r="AB435" s="4"/>
      <c r="AC435" s="4"/>
      <c r="AD435" s="6"/>
      <c r="AE435" s="4"/>
      <c r="AF435" s="4"/>
      <c r="AG435" s="4"/>
      <c r="AH435" s="4">
        <v>436840000000</v>
      </c>
    </row>
    <row r="436" spans="1:34" x14ac:dyDescent="0.25">
      <c r="A436" s="4">
        <v>435</v>
      </c>
      <c r="B436" s="5" t="s">
        <v>975</v>
      </c>
      <c r="C436" s="5" t="s">
        <v>976</v>
      </c>
      <c r="D436" s="5" t="s">
        <v>968</v>
      </c>
      <c r="E436" s="5" t="s">
        <v>234</v>
      </c>
      <c r="F436" s="5" t="s">
        <v>235</v>
      </c>
      <c r="G436" s="5" t="s">
        <v>498</v>
      </c>
      <c r="H436" s="4"/>
      <c r="I436" s="4"/>
      <c r="J436" s="6"/>
      <c r="K436" s="6"/>
      <c r="L436" s="6"/>
      <c r="M436" s="4"/>
      <c r="N436" s="4"/>
      <c r="O436" s="4"/>
      <c r="P436" s="6"/>
      <c r="Q436" s="6"/>
      <c r="R436" s="6"/>
      <c r="S436" s="6"/>
      <c r="T436" s="4"/>
      <c r="U436" s="6"/>
      <c r="V436" s="6"/>
      <c r="W436" s="6"/>
      <c r="X436" s="6"/>
      <c r="Y436" s="4"/>
      <c r="Z436" s="6"/>
      <c r="AA436" s="4"/>
      <c r="AB436" s="4"/>
      <c r="AC436" s="4"/>
      <c r="AD436" s="6"/>
      <c r="AE436" s="4"/>
      <c r="AF436" s="4"/>
      <c r="AG436" s="4"/>
      <c r="AH436" s="4">
        <v>170437345000</v>
      </c>
    </row>
    <row r="437" spans="1:34" x14ac:dyDescent="0.25">
      <c r="A437" s="4">
        <v>436</v>
      </c>
      <c r="B437" s="5" t="s">
        <v>977</v>
      </c>
      <c r="C437" s="5" t="s">
        <v>978</v>
      </c>
      <c r="D437" s="5" t="s">
        <v>968</v>
      </c>
      <c r="E437" s="5" t="s">
        <v>75</v>
      </c>
      <c r="F437" s="5" t="s">
        <v>76</v>
      </c>
      <c r="G437" s="5" t="s">
        <v>76</v>
      </c>
      <c r="H437" s="4"/>
      <c r="I437" s="4"/>
      <c r="J437" s="6"/>
      <c r="K437" s="6"/>
      <c r="L437" s="6"/>
      <c r="M437" s="4"/>
      <c r="N437" s="4"/>
      <c r="O437" s="4"/>
      <c r="P437" s="6"/>
      <c r="Q437" s="6"/>
      <c r="R437" s="6"/>
      <c r="S437" s="6"/>
      <c r="T437" s="4"/>
      <c r="U437" s="6"/>
      <c r="V437" s="6"/>
      <c r="W437" s="6"/>
      <c r="X437" s="6"/>
      <c r="Y437" s="4"/>
      <c r="Z437" s="6"/>
      <c r="AA437" s="4"/>
      <c r="AB437" s="4"/>
      <c r="AC437" s="4"/>
      <c r="AD437" s="6"/>
      <c r="AE437" s="4"/>
      <c r="AF437" s="4"/>
      <c r="AG437" s="4"/>
      <c r="AH437" s="4">
        <v>479278663200</v>
      </c>
    </row>
    <row r="438" spans="1:34" x14ac:dyDescent="0.25">
      <c r="A438" s="4">
        <v>437</v>
      </c>
      <c r="B438" s="5" t="s">
        <v>979</v>
      </c>
      <c r="C438" s="5" t="s">
        <v>980</v>
      </c>
      <c r="D438" s="5" t="s">
        <v>968</v>
      </c>
      <c r="E438" s="5" t="s">
        <v>75</v>
      </c>
      <c r="F438" s="5" t="s">
        <v>79</v>
      </c>
      <c r="G438" s="5" t="s">
        <v>80</v>
      </c>
      <c r="H438" s="4">
        <v>31820490294</v>
      </c>
      <c r="I438" s="4">
        <v>47239897206</v>
      </c>
      <c r="J438" s="6">
        <v>-0.2868</v>
      </c>
      <c r="K438" s="6">
        <v>-0.30680000000000002</v>
      </c>
      <c r="L438" s="6">
        <v>-0.28360000000000002</v>
      </c>
      <c r="M438" s="4">
        <v>54459620249</v>
      </c>
      <c r="N438" s="4">
        <v>24624290993</v>
      </c>
      <c r="O438" s="4"/>
      <c r="P438" s="6">
        <v>8.9878999999999998</v>
      </c>
      <c r="Q438" s="6">
        <v>1.7751999999999999</v>
      </c>
      <c r="R438" s="6">
        <v>0.6825</v>
      </c>
      <c r="S438" s="6">
        <v>2.8252999999999999</v>
      </c>
      <c r="T438" s="4"/>
      <c r="U438" s="6">
        <v>-0.26190000000000002</v>
      </c>
      <c r="V438" s="6">
        <v>-0.71530000000000005</v>
      </c>
      <c r="W438" s="6">
        <v>-0.57950000000000002</v>
      </c>
      <c r="X438" s="6">
        <v>0</v>
      </c>
      <c r="Y438" s="4"/>
      <c r="Z438" s="6">
        <v>1.0637000000000001</v>
      </c>
      <c r="AA438" s="4"/>
      <c r="AB438" s="4"/>
      <c r="AC438" s="4"/>
      <c r="AD438" s="6">
        <v>0</v>
      </c>
      <c r="AE438" s="4"/>
      <c r="AF438" s="4"/>
      <c r="AG438" s="4"/>
      <c r="AH438" s="4">
        <v>506300000000</v>
      </c>
    </row>
    <row r="439" spans="1:34" x14ac:dyDescent="0.25">
      <c r="A439" s="4">
        <v>438</v>
      </c>
      <c r="B439" s="5" t="s">
        <v>981</v>
      </c>
      <c r="C439" s="5" t="s">
        <v>982</v>
      </c>
      <c r="D439" s="5" t="s">
        <v>968</v>
      </c>
      <c r="E439" s="5" t="s">
        <v>40</v>
      </c>
      <c r="F439" s="5" t="s">
        <v>41</v>
      </c>
      <c r="G439" s="5" t="s">
        <v>983</v>
      </c>
      <c r="H439" s="4">
        <v>150518646421</v>
      </c>
      <c r="I439" s="4">
        <v>228699106079</v>
      </c>
      <c r="J439" s="6">
        <v>1.0490999999999999</v>
      </c>
      <c r="K439" s="6">
        <v>0.84460000000000002</v>
      </c>
      <c r="L439" s="6">
        <v>0.25009999999999999</v>
      </c>
      <c r="M439" s="4">
        <v>3629836748</v>
      </c>
      <c r="N439" s="4">
        <v>5552098705</v>
      </c>
      <c r="O439" s="4"/>
      <c r="P439" s="6">
        <v>1.0906</v>
      </c>
      <c r="Q439" s="6">
        <v>0.81850000000000001</v>
      </c>
      <c r="R439" s="6">
        <v>0.67159999999999997</v>
      </c>
      <c r="S439" s="6">
        <v>0.88829999999999998</v>
      </c>
      <c r="T439" s="4"/>
      <c r="U439" s="6">
        <v>-0.49709999999999999</v>
      </c>
      <c r="V439" s="6">
        <v>-0.15959999999999999</v>
      </c>
      <c r="W439" s="6">
        <v>-0.17130000000000001</v>
      </c>
      <c r="X439" s="6">
        <v>3.49E-2</v>
      </c>
      <c r="Y439" s="4"/>
      <c r="Z439" s="6">
        <v>0.92530000000000001</v>
      </c>
      <c r="AA439" s="4"/>
      <c r="AB439" s="4"/>
      <c r="AC439" s="4"/>
      <c r="AD439" s="6">
        <v>0</v>
      </c>
      <c r="AE439" s="4"/>
      <c r="AF439" s="4"/>
      <c r="AG439" s="4"/>
      <c r="AH439" s="4">
        <v>142496761400</v>
      </c>
    </row>
    <row r="440" spans="1:34" x14ac:dyDescent="0.25">
      <c r="A440" s="4">
        <v>439</v>
      </c>
      <c r="B440" s="5" t="s">
        <v>984</v>
      </c>
      <c r="C440" s="5" t="s">
        <v>985</v>
      </c>
      <c r="D440" s="5" t="s">
        <v>968</v>
      </c>
      <c r="E440" s="5" t="s">
        <v>62</v>
      </c>
      <c r="F440" s="5" t="s">
        <v>226</v>
      </c>
      <c r="G440" s="5" t="s">
        <v>986</v>
      </c>
      <c r="H440" s="4">
        <v>18838340920</v>
      </c>
      <c r="I440" s="4">
        <v>32164542074</v>
      </c>
      <c r="J440" s="6">
        <v>0.61270000000000002</v>
      </c>
      <c r="K440" s="6">
        <v>0.4783</v>
      </c>
      <c r="L440" s="6">
        <v>0.26939999999999997</v>
      </c>
      <c r="M440" s="4">
        <v>55151627</v>
      </c>
      <c r="N440" s="4">
        <v>296191804</v>
      </c>
      <c r="O440" s="4"/>
      <c r="P440" s="6">
        <v>-0.61170000000000002</v>
      </c>
      <c r="Q440" s="6">
        <v>0.22</v>
      </c>
      <c r="R440" s="6">
        <v>0.435</v>
      </c>
      <c r="S440" s="6">
        <v>-0.7712</v>
      </c>
      <c r="T440" s="4"/>
      <c r="U440" s="6">
        <v>-0.35670000000000002</v>
      </c>
      <c r="V440" s="6">
        <v>-0.85189999999999999</v>
      </c>
      <c r="W440" s="6">
        <v>-0.85189999999999999</v>
      </c>
      <c r="X440" s="6">
        <v>0</v>
      </c>
      <c r="Y440" s="4"/>
      <c r="Z440" s="6">
        <v>0.41360000000000002</v>
      </c>
      <c r="AA440" s="4"/>
      <c r="AB440" s="4"/>
      <c r="AC440" s="4"/>
      <c r="AD440" s="6">
        <v>0</v>
      </c>
      <c r="AE440" s="4"/>
      <c r="AF440" s="4"/>
      <c r="AG440" s="4"/>
      <c r="AH440" s="4">
        <v>86450000000</v>
      </c>
    </row>
    <row r="441" spans="1:34" x14ac:dyDescent="0.25">
      <c r="A441" s="4">
        <v>440</v>
      </c>
      <c r="B441" s="5" t="s">
        <v>987</v>
      </c>
      <c r="C441" s="5" t="s">
        <v>988</v>
      </c>
      <c r="D441" s="5" t="s">
        <v>968</v>
      </c>
      <c r="E441" s="5" t="s">
        <v>49</v>
      </c>
      <c r="F441" s="5" t="s">
        <v>49</v>
      </c>
      <c r="G441" s="5" t="s">
        <v>49</v>
      </c>
      <c r="H441" s="4"/>
      <c r="I441" s="4"/>
      <c r="J441" s="6"/>
      <c r="K441" s="6"/>
      <c r="L441" s="6"/>
      <c r="M441" s="4"/>
      <c r="N441" s="4"/>
      <c r="O441" s="4"/>
      <c r="P441" s="6"/>
      <c r="Q441" s="6"/>
      <c r="R441" s="6"/>
      <c r="S441" s="6"/>
      <c r="T441" s="4"/>
      <c r="U441" s="6"/>
      <c r="V441" s="6"/>
      <c r="W441" s="6"/>
      <c r="X441" s="6"/>
      <c r="Y441" s="4"/>
      <c r="Z441" s="6"/>
      <c r="AA441" s="4"/>
      <c r="AB441" s="4"/>
      <c r="AC441" s="4"/>
      <c r="AD441" s="6"/>
      <c r="AE441" s="4">
        <v>892223000000</v>
      </c>
      <c r="AF441" s="4">
        <v>1766204000000</v>
      </c>
      <c r="AG441" s="4">
        <v>2467603000000</v>
      </c>
      <c r="AH441" s="4">
        <v>12447547732800</v>
      </c>
    </row>
    <row r="442" spans="1:34" x14ac:dyDescent="0.25">
      <c r="A442" s="4">
        <v>441</v>
      </c>
      <c r="B442" s="5" t="s">
        <v>989</v>
      </c>
      <c r="C442" s="5" t="s">
        <v>990</v>
      </c>
      <c r="D442" s="5" t="s">
        <v>968</v>
      </c>
      <c r="E442" s="5" t="s">
        <v>40</v>
      </c>
      <c r="F442" s="5" t="s">
        <v>52</v>
      </c>
      <c r="G442" s="5" t="s">
        <v>110</v>
      </c>
      <c r="H442" s="4">
        <v>30559191435</v>
      </c>
      <c r="I442" s="4">
        <v>61596870098</v>
      </c>
      <c r="J442" s="6">
        <v>-0.2417</v>
      </c>
      <c r="K442" s="6">
        <v>3.6600000000000001E-2</v>
      </c>
      <c r="L442" s="6">
        <v>0.14430000000000001</v>
      </c>
      <c r="M442" s="4">
        <v>15293916762</v>
      </c>
      <c r="N442" s="4">
        <v>23808546293</v>
      </c>
      <c r="O442" s="4"/>
      <c r="P442" s="6">
        <v>0.2455</v>
      </c>
      <c r="Q442" s="6">
        <v>0.3221</v>
      </c>
      <c r="R442" s="6">
        <v>0.42270000000000002</v>
      </c>
      <c r="S442" s="6">
        <v>0.79620000000000002</v>
      </c>
      <c r="T442" s="4"/>
      <c r="U442" s="6">
        <v>-0.55100000000000005</v>
      </c>
      <c r="V442" s="6">
        <v>-0.1346</v>
      </c>
      <c r="W442" s="6">
        <v>-0.11700000000000001</v>
      </c>
      <c r="X442" s="6">
        <v>8.3299999999999999E-2</v>
      </c>
      <c r="Y442" s="4"/>
      <c r="Z442" s="6">
        <v>-1.54E-2</v>
      </c>
      <c r="AA442" s="4"/>
      <c r="AB442" s="4"/>
      <c r="AC442" s="4"/>
      <c r="AD442" s="6">
        <v>0</v>
      </c>
      <c r="AE442" s="4"/>
      <c r="AF442" s="4"/>
      <c r="AG442" s="4"/>
      <c r="AH442" s="4">
        <v>246000000000</v>
      </c>
    </row>
    <row r="443" spans="1:34" x14ac:dyDescent="0.25">
      <c r="A443" s="4">
        <v>442</v>
      </c>
      <c r="B443" s="5" t="s">
        <v>991</v>
      </c>
      <c r="C443" s="5" t="s">
        <v>992</v>
      </c>
      <c r="D443" s="5" t="s">
        <v>968</v>
      </c>
      <c r="E443" s="5" t="s">
        <v>40</v>
      </c>
      <c r="F443" s="5" t="s">
        <v>41</v>
      </c>
      <c r="G443" s="5" t="s">
        <v>90</v>
      </c>
      <c r="H443" s="4">
        <v>131371220981</v>
      </c>
      <c r="I443" s="4">
        <v>253381286221</v>
      </c>
      <c r="J443" s="6">
        <v>0.122</v>
      </c>
      <c r="K443" s="6">
        <v>0.15079999999999999</v>
      </c>
      <c r="L443" s="6">
        <v>0.10390000000000001</v>
      </c>
      <c r="M443" s="4">
        <v>2722852539</v>
      </c>
      <c r="N443" s="4">
        <v>3872906493</v>
      </c>
      <c r="O443" s="4"/>
      <c r="P443" s="6">
        <v>0.58730000000000004</v>
      </c>
      <c r="Q443" s="6">
        <v>0.30690000000000001</v>
      </c>
      <c r="R443" s="6">
        <v>0.40960000000000002</v>
      </c>
      <c r="S443" s="6">
        <v>1.3675999999999999</v>
      </c>
      <c r="T443" s="4"/>
      <c r="U443" s="6">
        <v>-0.26290000000000002</v>
      </c>
      <c r="V443" s="6">
        <v>-0.2586</v>
      </c>
      <c r="W443" s="6">
        <v>-0.33560000000000001</v>
      </c>
      <c r="X443" s="6">
        <v>7.0900000000000005E-2</v>
      </c>
      <c r="Y443" s="4"/>
      <c r="Z443" s="6">
        <v>7.6700000000000004E-2</v>
      </c>
      <c r="AA443" s="4"/>
      <c r="AB443" s="4"/>
      <c r="AC443" s="4"/>
      <c r="AD443" s="6">
        <v>0</v>
      </c>
      <c r="AE443" s="4"/>
      <c r="AF443" s="4"/>
      <c r="AG443" s="4"/>
      <c r="AH443" s="4">
        <v>76200000000</v>
      </c>
    </row>
    <row r="444" spans="1:34" x14ac:dyDescent="0.25">
      <c r="A444" s="4">
        <v>443</v>
      </c>
      <c r="B444" s="5" t="s">
        <v>993</v>
      </c>
      <c r="C444" s="5" t="s">
        <v>994</v>
      </c>
      <c r="D444" s="5" t="s">
        <v>968</v>
      </c>
      <c r="E444" s="5" t="s">
        <v>40</v>
      </c>
      <c r="F444" s="5" t="s">
        <v>52</v>
      </c>
      <c r="G444" s="5" t="s">
        <v>53</v>
      </c>
      <c r="H444" s="4"/>
      <c r="I444" s="4"/>
      <c r="J444" s="6"/>
      <c r="K444" s="6"/>
      <c r="L444" s="6"/>
      <c r="M444" s="4"/>
      <c r="N444" s="4"/>
      <c r="O444" s="4"/>
      <c r="P444" s="6"/>
      <c r="Q444" s="6"/>
      <c r="R444" s="6"/>
      <c r="S444" s="6"/>
      <c r="T444" s="4"/>
      <c r="U444" s="6"/>
      <c r="V444" s="6"/>
      <c r="W444" s="6"/>
      <c r="X444" s="6"/>
      <c r="Y444" s="4"/>
      <c r="Z444" s="6"/>
      <c r="AA444" s="4"/>
      <c r="AB444" s="4"/>
      <c r="AC444" s="4"/>
      <c r="AD444" s="6"/>
      <c r="AE444" s="4"/>
      <c r="AF444" s="4"/>
      <c r="AG444" s="4"/>
      <c r="AH444" s="4">
        <v>788542796800</v>
      </c>
    </row>
    <row r="445" spans="1:34" x14ac:dyDescent="0.25">
      <c r="A445" s="4">
        <v>444</v>
      </c>
      <c r="B445" s="5" t="s">
        <v>995</v>
      </c>
      <c r="C445" s="5" t="s">
        <v>996</v>
      </c>
      <c r="D445" s="5" t="s">
        <v>968</v>
      </c>
      <c r="E445" s="5" t="s">
        <v>29</v>
      </c>
      <c r="F445" s="5" t="s">
        <v>30</v>
      </c>
      <c r="G445" s="5" t="s">
        <v>83</v>
      </c>
      <c r="H445" s="4"/>
      <c r="I445" s="4"/>
      <c r="J445" s="6"/>
      <c r="K445" s="6"/>
      <c r="L445" s="6"/>
      <c r="M445" s="4"/>
      <c r="N445" s="4"/>
      <c r="O445" s="4"/>
      <c r="P445" s="6"/>
      <c r="Q445" s="6"/>
      <c r="R445" s="6"/>
      <c r="S445" s="6"/>
      <c r="T445" s="4"/>
      <c r="U445" s="6"/>
      <c r="V445" s="6"/>
      <c r="W445" s="6"/>
      <c r="X445" s="6"/>
      <c r="Y445" s="4"/>
      <c r="Z445" s="6"/>
      <c r="AA445" s="4"/>
      <c r="AB445" s="4"/>
      <c r="AC445" s="4"/>
      <c r="AD445" s="6"/>
      <c r="AE445" s="4"/>
      <c r="AF445" s="4"/>
      <c r="AG445" s="4"/>
      <c r="AH445" s="4">
        <v>1571741478000</v>
      </c>
    </row>
    <row r="446" spans="1:34" x14ac:dyDescent="0.25">
      <c r="A446" s="4">
        <v>445</v>
      </c>
      <c r="B446" s="5" t="s">
        <v>997</v>
      </c>
      <c r="C446" s="5" t="s">
        <v>998</v>
      </c>
      <c r="D446" s="5" t="s">
        <v>968</v>
      </c>
      <c r="E446" s="5" t="s">
        <v>234</v>
      </c>
      <c r="F446" s="5" t="s">
        <v>235</v>
      </c>
      <c r="G446" s="5" t="s">
        <v>236</v>
      </c>
      <c r="H446" s="4"/>
      <c r="I446" s="4"/>
      <c r="J446" s="6"/>
      <c r="K446" s="6"/>
      <c r="L446" s="6"/>
      <c r="M446" s="4"/>
      <c r="N446" s="4"/>
      <c r="O446" s="4"/>
      <c r="P446" s="6"/>
      <c r="Q446" s="6"/>
      <c r="R446" s="6"/>
      <c r="S446" s="6"/>
      <c r="T446" s="4"/>
      <c r="U446" s="6"/>
      <c r="V446" s="6"/>
      <c r="W446" s="6"/>
      <c r="X446" s="6"/>
      <c r="Y446" s="4"/>
      <c r="Z446" s="6"/>
      <c r="AA446" s="4"/>
      <c r="AB446" s="4"/>
      <c r="AC446" s="4"/>
      <c r="AD446" s="6"/>
      <c r="AE446" s="4"/>
      <c r="AF446" s="4"/>
      <c r="AG446" s="4"/>
      <c r="AH446" s="4"/>
    </row>
    <row r="447" spans="1:34" x14ac:dyDescent="0.25">
      <c r="A447" s="4">
        <v>446</v>
      </c>
      <c r="B447" s="5" t="s">
        <v>999</v>
      </c>
      <c r="C447" s="5" t="s">
        <v>1000</v>
      </c>
      <c r="D447" s="5" t="s">
        <v>968</v>
      </c>
      <c r="E447" s="5" t="s">
        <v>62</v>
      </c>
      <c r="F447" s="5" t="s">
        <v>63</v>
      </c>
      <c r="G447" s="5" t="s">
        <v>656</v>
      </c>
      <c r="H447" s="4">
        <v>23654680283</v>
      </c>
      <c r="I447" s="4"/>
      <c r="J447" s="6">
        <v>-9.2399999999999996E-2</v>
      </c>
      <c r="K447" s="6">
        <v>-7.5899999999999995E-2</v>
      </c>
      <c r="L447" s="6">
        <v>-5.9200000000000003E-2</v>
      </c>
      <c r="M447" s="4">
        <v>1205720948</v>
      </c>
      <c r="N447" s="4"/>
      <c r="O447" s="4"/>
      <c r="P447" s="6">
        <v>-9.1600000000000001E-2</v>
      </c>
      <c r="Q447" s="6">
        <v>-0.1862</v>
      </c>
      <c r="R447" s="6">
        <v>-0.40679999999999999</v>
      </c>
      <c r="S447" s="6">
        <v>4.9904000000000002</v>
      </c>
      <c r="T447" s="4"/>
      <c r="U447" s="6">
        <v>-0.58360000000000001</v>
      </c>
      <c r="V447" s="6">
        <v>-0.71530000000000005</v>
      </c>
      <c r="W447" s="6">
        <v>-0.72150000000000003</v>
      </c>
      <c r="X447" s="6">
        <v>0</v>
      </c>
      <c r="Y447" s="4"/>
      <c r="Z447" s="6">
        <v>2.1230000000000002</v>
      </c>
      <c r="AA447" s="4"/>
      <c r="AB447" s="4"/>
      <c r="AC447" s="4"/>
      <c r="AD447" s="6">
        <v>0</v>
      </c>
      <c r="AE447" s="4"/>
      <c r="AF447" s="4"/>
      <c r="AG447" s="4"/>
      <c r="AH447" s="4">
        <v>70800000000</v>
      </c>
    </row>
    <row r="448" spans="1:34" x14ac:dyDescent="0.25">
      <c r="A448" s="4">
        <v>447</v>
      </c>
      <c r="B448" s="5" t="s">
        <v>1001</v>
      </c>
      <c r="C448" s="5" t="s">
        <v>1002</v>
      </c>
      <c r="D448" s="5" t="s">
        <v>968</v>
      </c>
      <c r="E448" s="5" t="s">
        <v>24</v>
      </c>
      <c r="F448" s="5" t="s">
        <v>56</v>
      </c>
      <c r="G448" s="5" t="s">
        <v>129</v>
      </c>
      <c r="H448" s="4"/>
      <c r="I448" s="4"/>
      <c r="J448" s="6"/>
      <c r="K448" s="6"/>
      <c r="L448" s="6"/>
      <c r="M448" s="4"/>
      <c r="N448" s="4"/>
      <c r="O448" s="4"/>
      <c r="P448" s="6"/>
      <c r="Q448" s="6"/>
      <c r="R448" s="6"/>
      <c r="S448" s="6"/>
      <c r="T448" s="4"/>
      <c r="U448" s="6"/>
      <c r="V448" s="6"/>
      <c r="W448" s="6"/>
      <c r="X448" s="6"/>
      <c r="Y448" s="4"/>
      <c r="Z448" s="6"/>
      <c r="AA448" s="4"/>
      <c r="AB448" s="4"/>
      <c r="AC448" s="4"/>
      <c r="AD448" s="6"/>
      <c r="AE448" s="4"/>
      <c r="AF448" s="4"/>
      <c r="AG448" s="4"/>
      <c r="AH448" s="4">
        <v>410820480000</v>
      </c>
    </row>
    <row r="449" spans="1:34" x14ac:dyDescent="0.25">
      <c r="A449" s="4">
        <v>448</v>
      </c>
      <c r="B449" s="5" t="s">
        <v>1003</v>
      </c>
      <c r="C449" s="5" t="s">
        <v>1004</v>
      </c>
      <c r="D449" s="5" t="s">
        <v>968</v>
      </c>
      <c r="E449" s="5" t="s">
        <v>29</v>
      </c>
      <c r="F449" s="5" t="s">
        <v>30</v>
      </c>
      <c r="G449" s="5" t="s">
        <v>83</v>
      </c>
      <c r="H449" s="4"/>
      <c r="I449" s="4"/>
      <c r="J449" s="6"/>
      <c r="K449" s="6"/>
      <c r="L449" s="6"/>
      <c r="M449" s="4"/>
      <c r="N449" s="4"/>
      <c r="O449" s="4"/>
      <c r="P449" s="6"/>
      <c r="Q449" s="6"/>
      <c r="R449" s="6"/>
      <c r="S449" s="6"/>
      <c r="T449" s="4"/>
      <c r="U449" s="6"/>
      <c r="V449" s="6"/>
      <c r="W449" s="6"/>
      <c r="X449" s="6"/>
      <c r="Y449" s="4"/>
      <c r="Z449" s="6"/>
      <c r="AA449" s="4"/>
      <c r="AB449" s="4"/>
      <c r="AC449" s="4"/>
      <c r="AD449" s="6"/>
      <c r="AE449" s="4"/>
      <c r="AF449" s="4"/>
      <c r="AG449" s="4"/>
      <c r="AH449" s="4">
        <v>109372879000</v>
      </c>
    </row>
    <row r="450" spans="1:34" x14ac:dyDescent="0.25">
      <c r="A450" s="4">
        <v>449</v>
      </c>
      <c r="B450" s="5" t="s">
        <v>1005</v>
      </c>
      <c r="C450" s="5" t="s">
        <v>1006</v>
      </c>
      <c r="D450" s="5" t="s">
        <v>968</v>
      </c>
      <c r="E450" s="5" t="s">
        <v>40</v>
      </c>
      <c r="F450" s="5" t="s">
        <v>41</v>
      </c>
      <c r="G450" s="5" t="s">
        <v>90</v>
      </c>
      <c r="H450" s="4">
        <v>83472088929</v>
      </c>
      <c r="I450" s="4">
        <v>145952625220</v>
      </c>
      <c r="J450" s="6">
        <v>9.8199999999999996E-2</v>
      </c>
      <c r="K450" s="6"/>
      <c r="L450" s="6"/>
      <c r="M450" s="4">
        <v>789811777</v>
      </c>
      <c r="N450" s="4">
        <v>1133624173</v>
      </c>
      <c r="O450" s="4"/>
      <c r="P450" s="6">
        <v>0.91310000000000002</v>
      </c>
      <c r="Q450" s="6"/>
      <c r="R450" s="6"/>
      <c r="S450" s="6">
        <v>1.2971999999999999</v>
      </c>
      <c r="T450" s="4"/>
      <c r="U450" s="6"/>
      <c r="V450" s="6"/>
      <c r="W450" s="6"/>
      <c r="X450" s="6"/>
      <c r="Y450" s="4"/>
      <c r="Z450" s="6">
        <v>0.33600000000000002</v>
      </c>
      <c r="AA450" s="4"/>
      <c r="AB450" s="4"/>
      <c r="AC450" s="4"/>
      <c r="AD450" s="6"/>
      <c r="AE450" s="4"/>
      <c r="AF450" s="4"/>
      <c r="AG450" s="4"/>
      <c r="AH450" s="4">
        <v>47500000000</v>
      </c>
    </row>
    <row r="451" spans="1:34" x14ac:dyDescent="0.25">
      <c r="A451" s="4">
        <v>450</v>
      </c>
      <c r="B451" s="5" t="s">
        <v>1007</v>
      </c>
      <c r="C451" s="5" t="s">
        <v>1008</v>
      </c>
      <c r="D451" s="5" t="s">
        <v>968</v>
      </c>
      <c r="E451" s="5" t="s">
        <v>40</v>
      </c>
      <c r="F451" s="5" t="s">
        <v>52</v>
      </c>
      <c r="G451" s="5" t="s">
        <v>53</v>
      </c>
      <c r="H451" s="4">
        <v>748799416628</v>
      </c>
      <c r="I451" s="4">
        <v>1356842029162</v>
      </c>
      <c r="J451" s="6">
        <v>0.1139</v>
      </c>
      <c r="K451" s="6"/>
      <c r="L451" s="6"/>
      <c r="M451" s="4">
        <v>11092661865</v>
      </c>
      <c r="N451" s="4">
        <v>14136286495</v>
      </c>
      <c r="O451" s="4"/>
      <c r="P451" s="6">
        <v>-0.1074</v>
      </c>
      <c r="Q451" s="6"/>
      <c r="R451" s="6"/>
      <c r="S451" s="6">
        <v>2.6446000000000001</v>
      </c>
      <c r="T451" s="4"/>
      <c r="U451" s="6"/>
      <c r="V451" s="6"/>
      <c r="W451" s="6"/>
      <c r="X451" s="6"/>
      <c r="Y451" s="4"/>
      <c r="Z451" s="6">
        <v>0.23150000000000001</v>
      </c>
      <c r="AA451" s="4"/>
      <c r="AB451" s="4"/>
      <c r="AC451" s="4"/>
      <c r="AD451" s="6"/>
      <c r="AE451" s="4"/>
      <c r="AF451" s="4"/>
      <c r="AG451" s="4"/>
      <c r="AH451" s="4">
        <v>605443304200</v>
      </c>
    </row>
    <row r="452" spans="1:34" x14ac:dyDescent="0.25">
      <c r="A452" s="4">
        <v>451</v>
      </c>
      <c r="B452" s="5" t="s">
        <v>1009</v>
      </c>
      <c r="C452" s="5" t="s">
        <v>1010</v>
      </c>
      <c r="D452" s="5" t="s">
        <v>968</v>
      </c>
      <c r="E452" s="5" t="s">
        <v>98</v>
      </c>
      <c r="F452" s="5" t="s">
        <v>99</v>
      </c>
      <c r="G452" s="5" t="s">
        <v>155</v>
      </c>
      <c r="H452" s="4">
        <v>141702232693</v>
      </c>
      <c r="I452" s="4">
        <v>278792025196</v>
      </c>
      <c r="J452" s="6">
        <v>1.5599999999999999E-2</v>
      </c>
      <c r="K452" s="6"/>
      <c r="L452" s="6"/>
      <c r="M452" s="4">
        <v>10646474443</v>
      </c>
      <c r="N452" s="4">
        <v>25408701193</v>
      </c>
      <c r="O452" s="4"/>
      <c r="P452" s="6">
        <v>0.1777</v>
      </c>
      <c r="Q452" s="6"/>
      <c r="R452" s="6"/>
      <c r="S452" s="6">
        <v>-0.27879999999999999</v>
      </c>
      <c r="T452" s="4"/>
      <c r="U452" s="6"/>
      <c r="V452" s="6"/>
      <c r="W452" s="6"/>
      <c r="X452" s="6"/>
      <c r="Y452" s="4"/>
      <c r="Z452" s="6">
        <v>3.3599999999999998E-2</v>
      </c>
      <c r="AA452" s="4"/>
      <c r="AB452" s="4"/>
      <c r="AC452" s="4"/>
      <c r="AD452" s="6"/>
      <c r="AE452" s="4"/>
      <c r="AF452" s="4"/>
      <c r="AG452" s="4"/>
      <c r="AH452" s="4">
        <v>562536000000</v>
      </c>
    </row>
    <row r="453" spans="1:34" x14ac:dyDescent="0.25">
      <c r="A453" s="4">
        <v>452</v>
      </c>
      <c r="B453" s="5" t="s">
        <v>1011</v>
      </c>
      <c r="C453" s="5" t="s">
        <v>1012</v>
      </c>
      <c r="D453" s="5" t="s">
        <v>968</v>
      </c>
      <c r="E453" s="5" t="s">
        <v>75</v>
      </c>
      <c r="F453" s="5" t="s">
        <v>79</v>
      </c>
      <c r="G453" s="5" t="s">
        <v>80</v>
      </c>
      <c r="H453" s="4">
        <v>265741300946</v>
      </c>
      <c r="I453" s="4">
        <v>548236760062</v>
      </c>
      <c r="J453" s="6">
        <v>-1.2999999999999999E-2</v>
      </c>
      <c r="K453" s="6">
        <v>0.2243</v>
      </c>
      <c r="L453" s="6">
        <v>0.19900000000000001</v>
      </c>
      <c r="M453" s="4">
        <v>42386035336</v>
      </c>
      <c r="N453" s="4">
        <v>63331454054</v>
      </c>
      <c r="O453" s="4"/>
      <c r="P453" s="6">
        <v>-0.4042</v>
      </c>
      <c r="Q453" s="6">
        <v>-0.43580000000000002</v>
      </c>
      <c r="R453" s="6">
        <v>-0.46079999999999999</v>
      </c>
      <c r="S453" s="6">
        <v>1.0236000000000001</v>
      </c>
      <c r="T453" s="4"/>
      <c r="U453" s="6">
        <v>-0.49170000000000003</v>
      </c>
      <c r="V453" s="6">
        <v>-0.73409999999999997</v>
      </c>
      <c r="W453" s="6">
        <v>-0.71699999999999997</v>
      </c>
      <c r="X453" s="6">
        <v>2.81E-2</v>
      </c>
      <c r="Y453" s="4"/>
      <c r="Z453" s="6">
        <v>-5.9299999999999999E-2</v>
      </c>
      <c r="AA453" s="4"/>
      <c r="AB453" s="4"/>
      <c r="AC453" s="4"/>
      <c r="AD453" s="6">
        <v>0</v>
      </c>
      <c r="AE453" s="4"/>
      <c r="AF453" s="4"/>
      <c r="AG453" s="4"/>
      <c r="AH453" s="4">
        <v>2057704132500</v>
      </c>
    </row>
    <row r="454" spans="1:34" x14ac:dyDescent="0.25">
      <c r="A454" s="4">
        <v>453</v>
      </c>
      <c r="B454" s="5" t="s">
        <v>1013</v>
      </c>
      <c r="C454" s="5" t="s">
        <v>1014</v>
      </c>
      <c r="D454" s="5" t="s">
        <v>968</v>
      </c>
      <c r="E454" s="5" t="s">
        <v>40</v>
      </c>
      <c r="F454" s="5" t="s">
        <v>41</v>
      </c>
      <c r="G454" s="5" t="s">
        <v>90</v>
      </c>
      <c r="H454" s="4"/>
      <c r="I454" s="4"/>
      <c r="J454" s="6"/>
      <c r="K454" s="6"/>
      <c r="L454" s="6"/>
      <c r="M454" s="4"/>
      <c r="N454" s="4"/>
      <c r="O454" s="4"/>
      <c r="P454" s="6"/>
      <c r="Q454" s="6"/>
      <c r="R454" s="6"/>
      <c r="S454" s="6"/>
      <c r="T454" s="4"/>
      <c r="U454" s="6"/>
      <c r="V454" s="6"/>
      <c r="W454" s="6"/>
      <c r="X454" s="6"/>
      <c r="Y454" s="4"/>
      <c r="Z454" s="6"/>
      <c r="AA454" s="4"/>
      <c r="AB454" s="4"/>
      <c r="AC454" s="4"/>
      <c r="AD454" s="6"/>
      <c r="AE454" s="4"/>
      <c r="AF454" s="4"/>
      <c r="AG454" s="4"/>
      <c r="AH454" s="4">
        <v>36445684000</v>
      </c>
    </row>
    <row r="455" spans="1:34" x14ac:dyDescent="0.25">
      <c r="A455" s="4">
        <v>454</v>
      </c>
      <c r="B455" s="5" t="s">
        <v>1015</v>
      </c>
      <c r="C455" s="5" t="s">
        <v>1016</v>
      </c>
      <c r="D455" s="5" t="s">
        <v>968</v>
      </c>
      <c r="E455" s="5" t="s">
        <v>40</v>
      </c>
      <c r="F455" s="5" t="s">
        <v>52</v>
      </c>
      <c r="G455" s="5" t="s">
        <v>110</v>
      </c>
      <c r="H455" s="4"/>
      <c r="I455" s="4"/>
      <c r="J455" s="6"/>
      <c r="K455" s="6"/>
      <c r="L455" s="6"/>
      <c r="M455" s="4"/>
      <c r="N455" s="4"/>
      <c r="O455" s="4"/>
      <c r="P455" s="6"/>
      <c r="Q455" s="6"/>
      <c r="R455" s="6"/>
      <c r="S455" s="6"/>
      <c r="T455" s="4"/>
      <c r="U455" s="6"/>
      <c r="V455" s="6"/>
      <c r="W455" s="6"/>
      <c r="X455" s="6"/>
      <c r="Y455" s="4"/>
      <c r="Z455" s="6"/>
      <c r="AA455" s="4"/>
      <c r="AB455" s="4"/>
      <c r="AC455" s="4"/>
      <c r="AD455" s="6"/>
      <c r="AE455" s="4"/>
      <c r="AF455" s="4"/>
      <c r="AG455" s="4"/>
      <c r="AH455" s="4">
        <v>1137119484800</v>
      </c>
    </row>
    <row r="456" spans="1:34" x14ac:dyDescent="0.25">
      <c r="A456" s="4">
        <v>455</v>
      </c>
      <c r="B456" s="5" t="s">
        <v>1017</v>
      </c>
      <c r="C456" s="5" t="s">
        <v>1018</v>
      </c>
      <c r="D456" s="5" t="s">
        <v>968</v>
      </c>
      <c r="E456" s="5" t="s">
        <v>40</v>
      </c>
      <c r="F456" s="5" t="s">
        <v>41</v>
      </c>
      <c r="G456" s="5" t="s">
        <v>93</v>
      </c>
      <c r="H456" s="4">
        <v>17066160860</v>
      </c>
      <c r="I456" s="4">
        <v>27832904839</v>
      </c>
      <c r="J456" s="6">
        <v>0.2157</v>
      </c>
      <c r="K456" s="6">
        <v>0.2475</v>
      </c>
      <c r="L456" s="6">
        <v>0.27679999999999999</v>
      </c>
      <c r="M456" s="4">
        <v>2324759249</v>
      </c>
      <c r="N456" s="4">
        <v>2574232138</v>
      </c>
      <c r="O456" s="4"/>
      <c r="P456" s="6">
        <v>0.35899999999999999</v>
      </c>
      <c r="Q456" s="6">
        <v>391.95699999999999</v>
      </c>
      <c r="R456" s="6">
        <v>10.894500000000001</v>
      </c>
      <c r="S456" s="6">
        <v>8.3186999999999998</v>
      </c>
      <c r="T456" s="4"/>
      <c r="U456" s="6">
        <v>-0.50180000000000002</v>
      </c>
      <c r="V456" s="6">
        <v>0.11840000000000001</v>
      </c>
      <c r="W456" s="6">
        <v>0.1096</v>
      </c>
      <c r="X456" s="6">
        <v>0</v>
      </c>
      <c r="Y456" s="4"/>
      <c r="Z456" s="6">
        <v>0.58509999999999995</v>
      </c>
      <c r="AA456" s="4"/>
      <c r="AB456" s="4"/>
      <c r="AC456" s="4"/>
      <c r="AD456" s="6">
        <v>0</v>
      </c>
      <c r="AE456" s="4"/>
      <c r="AF456" s="4"/>
      <c r="AG456" s="4"/>
      <c r="AH456" s="4">
        <v>82800000000</v>
      </c>
    </row>
    <row r="457" spans="1:34" x14ac:dyDescent="0.25">
      <c r="A457" s="4">
        <v>456</v>
      </c>
      <c r="B457" s="5" t="s">
        <v>1019</v>
      </c>
      <c r="C457" s="5" t="s">
        <v>1020</v>
      </c>
      <c r="D457" s="5" t="s">
        <v>968</v>
      </c>
      <c r="E457" s="5" t="s">
        <v>29</v>
      </c>
      <c r="F457" s="5" t="s">
        <v>30</v>
      </c>
      <c r="G457" s="5" t="s">
        <v>83</v>
      </c>
      <c r="H457" s="4"/>
      <c r="I457" s="4"/>
      <c r="J457" s="6"/>
      <c r="K457" s="6"/>
      <c r="L457" s="6"/>
      <c r="M457" s="4"/>
      <c r="N457" s="4"/>
      <c r="O457" s="4"/>
      <c r="P457" s="6"/>
      <c r="Q457" s="6"/>
      <c r="R457" s="6"/>
      <c r="S457" s="6"/>
      <c r="T457" s="4"/>
      <c r="U457" s="6"/>
      <c r="V457" s="6"/>
      <c r="W457" s="6"/>
      <c r="X457" s="6"/>
      <c r="Y457" s="4"/>
      <c r="Z457" s="6"/>
      <c r="AA457" s="4"/>
      <c r="AB457" s="4"/>
      <c r="AC457" s="4"/>
      <c r="AD457" s="6"/>
      <c r="AE457" s="4"/>
      <c r="AF457" s="4"/>
      <c r="AG457" s="4"/>
      <c r="AH457" s="4">
        <v>114000000000</v>
      </c>
    </row>
    <row r="458" spans="1:34" x14ac:dyDescent="0.25">
      <c r="A458" s="4">
        <v>457</v>
      </c>
      <c r="B458" s="5" t="s">
        <v>1021</v>
      </c>
      <c r="C458" s="5" t="s">
        <v>1022</v>
      </c>
      <c r="D458" s="5" t="s">
        <v>968</v>
      </c>
      <c r="E458" s="5" t="s">
        <v>24</v>
      </c>
      <c r="F458" s="5" t="s">
        <v>56</v>
      </c>
      <c r="G458" s="5" t="s">
        <v>253</v>
      </c>
      <c r="H458" s="4"/>
      <c r="I458" s="4"/>
      <c r="J458" s="6"/>
      <c r="K458" s="6"/>
      <c r="L458" s="6"/>
      <c r="M458" s="4"/>
      <c r="N458" s="4"/>
      <c r="O458" s="4"/>
      <c r="P458" s="6"/>
      <c r="Q458" s="6"/>
      <c r="R458" s="6"/>
      <c r="S458" s="6"/>
      <c r="T458" s="4"/>
      <c r="U458" s="6"/>
      <c r="V458" s="6"/>
      <c r="W458" s="6"/>
      <c r="X458" s="6"/>
      <c r="Y458" s="4"/>
      <c r="Z458" s="6"/>
      <c r="AA458" s="4"/>
      <c r="AB458" s="4"/>
      <c r="AC458" s="4"/>
      <c r="AD458" s="6"/>
      <c r="AE458" s="4"/>
      <c r="AF458" s="4"/>
      <c r="AG458" s="4"/>
      <c r="AH458" s="4">
        <v>706999379500</v>
      </c>
    </row>
    <row r="459" spans="1:34" x14ac:dyDescent="0.25">
      <c r="A459" s="4">
        <v>458</v>
      </c>
      <c r="B459" s="5" t="s">
        <v>1023</v>
      </c>
      <c r="C459" s="5" t="s">
        <v>1024</v>
      </c>
      <c r="D459" s="5" t="s">
        <v>968</v>
      </c>
      <c r="E459" s="5" t="s">
        <v>40</v>
      </c>
      <c r="F459" s="5" t="s">
        <v>41</v>
      </c>
      <c r="G459" s="5" t="s">
        <v>1025</v>
      </c>
      <c r="H459" s="4">
        <v>13323483923</v>
      </c>
      <c r="I459" s="4">
        <v>18047902647</v>
      </c>
      <c r="J459" s="6">
        <v>4.65E-2</v>
      </c>
      <c r="K459" s="6"/>
      <c r="L459" s="6"/>
      <c r="M459" s="4">
        <v>2982008016</v>
      </c>
      <c r="N459" s="4">
        <v>287325771</v>
      </c>
      <c r="O459" s="4"/>
      <c r="P459" s="6">
        <v>12.781700000000001</v>
      </c>
      <c r="Q459" s="6"/>
      <c r="R459" s="6"/>
      <c r="S459" s="6">
        <v>2.0979999999999999</v>
      </c>
      <c r="T459" s="4"/>
      <c r="U459" s="6"/>
      <c r="V459" s="6"/>
      <c r="W459" s="6"/>
      <c r="X459" s="6"/>
      <c r="Y459" s="4"/>
      <c r="Z459" s="6">
        <v>1.8201000000000001</v>
      </c>
      <c r="AA459" s="4"/>
      <c r="AB459" s="4"/>
      <c r="AC459" s="4"/>
      <c r="AD459" s="6"/>
      <c r="AE459" s="4"/>
      <c r="AF459" s="4"/>
      <c r="AG459" s="4"/>
      <c r="AH459" s="4">
        <v>75684054400</v>
      </c>
    </row>
    <row r="460" spans="1:34" x14ac:dyDescent="0.25">
      <c r="A460" s="4">
        <v>459</v>
      </c>
      <c r="B460" s="5" t="s">
        <v>1026</v>
      </c>
      <c r="C460" s="5" t="s">
        <v>1027</v>
      </c>
      <c r="D460" s="5" t="s">
        <v>968</v>
      </c>
      <c r="E460" s="5" t="s">
        <v>40</v>
      </c>
      <c r="F460" s="5" t="s">
        <v>41</v>
      </c>
      <c r="G460" s="5" t="s">
        <v>93</v>
      </c>
      <c r="H460" s="4"/>
      <c r="I460" s="4"/>
      <c r="J460" s="6"/>
      <c r="K460" s="6"/>
      <c r="L460" s="6"/>
      <c r="M460" s="4"/>
      <c r="N460" s="4"/>
      <c r="O460" s="4"/>
      <c r="P460" s="6"/>
      <c r="Q460" s="6"/>
      <c r="R460" s="6"/>
      <c r="S460" s="6"/>
      <c r="T460" s="4"/>
      <c r="U460" s="6"/>
      <c r="V460" s="6"/>
      <c r="W460" s="6"/>
      <c r="X460" s="6"/>
      <c r="Y460" s="4"/>
      <c r="Z460" s="6"/>
      <c r="AA460" s="4"/>
      <c r="AB460" s="4"/>
      <c r="AC460" s="4"/>
      <c r="AD460" s="6"/>
      <c r="AE460" s="4"/>
      <c r="AF460" s="4"/>
      <c r="AG460" s="4"/>
      <c r="AH460" s="4">
        <v>342350638000</v>
      </c>
    </row>
    <row r="461" spans="1:34" x14ac:dyDescent="0.25">
      <c r="A461" s="4">
        <v>460</v>
      </c>
      <c r="B461" s="5" t="s">
        <v>1028</v>
      </c>
      <c r="C461" s="5" t="s">
        <v>1029</v>
      </c>
      <c r="D461" s="5" t="s">
        <v>968</v>
      </c>
      <c r="E461" s="5" t="s">
        <v>40</v>
      </c>
      <c r="F461" s="5" t="s">
        <v>41</v>
      </c>
      <c r="G461" s="5" t="s">
        <v>93</v>
      </c>
      <c r="H461" s="4"/>
      <c r="I461" s="4"/>
      <c r="J461" s="6"/>
      <c r="K461" s="6"/>
      <c r="L461" s="6"/>
      <c r="M461" s="4"/>
      <c r="N461" s="4"/>
      <c r="O461" s="4"/>
      <c r="P461" s="6"/>
      <c r="Q461" s="6"/>
      <c r="R461" s="6"/>
      <c r="S461" s="6"/>
      <c r="T461" s="4"/>
      <c r="U461" s="6"/>
      <c r="V461" s="6"/>
      <c r="W461" s="6"/>
      <c r="X461" s="6"/>
      <c r="Y461" s="4"/>
      <c r="Z461" s="6"/>
      <c r="AA461" s="4"/>
      <c r="AB461" s="4"/>
      <c r="AC461" s="4"/>
      <c r="AD461" s="6"/>
      <c r="AE461" s="4"/>
      <c r="AF461" s="4"/>
      <c r="AG461" s="4"/>
      <c r="AH461" s="4">
        <v>2534400000000</v>
      </c>
    </row>
    <row r="462" spans="1:34" x14ac:dyDescent="0.25">
      <c r="A462" s="4">
        <v>461</v>
      </c>
      <c r="B462" s="5" t="s">
        <v>1030</v>
      </c>
      <c r="C462" s="5" t="s">
        <v>1031</v>
      </c>
      <c r="D462" s="5" t="s">
        <v>968</v>
      </c>
      <c r="E462" s="5" t="s">
        <v>75</v>
      </c>
      <c r="F462" s="5" t="s">
        <v>76</v>
      </c>
      <c r="G462" s="5" t="s">
        <v>76</v>
      </c>
      <c r="H462" s="4"/>
      <c r="I462" s="4"/>
      <c r="J462" s="6"/>
      <c r="K462" s="6"/>
      <c r="L462" s="6"/>
      <c r="M462" s="4"/>
      <c r="N462" s="4"/>
      <c r="O462" s="4"/>
      <c r="P462" s="6"/>
      <c r="Q462" s="6"/>
      <c r="R462" s="6"/>
      <c r="S462" s="6"/>
      <c r="T462" s="4"/>
      <c r="U462" s="6"/>
      <c r="V462" s="6"/>
      <c r="W462" s="6"/>
      <c r="X462" s="6"/>
      <c r="Y462" s="4"/>
      <c r="Z462" s="6"/>
      <c r="AA462" s="4"/>
      <c r="AB462" s="4"/>
      <c r="AC462" s="4"/>
      <c r="AD462" s="6"/>
      <c r="AE462" s="4"/>
      <c r="AF462" s="4"/>
      <c r="AG462" s="4"/>
      <c r="AH462" s="4">
        <v>7089731484500</v>
      </c>
    </row>
    <row r="463" spans="1:34" x14ac:dyDescent="0.25">
      <c r="A463" s="4">
        <v>462</v>
      </c>
      <c r="B463" s="5" t="s">
        <v>1032</v>
      </c>
      <c r="C463" s="5" t="s">
        <v>1033</v>
      </c>
      <c r="D463" s="5" t="s">
        <v>968</v>
      </c>
      <c r="E463" s="5" t="s">
        <v>29</v>
      </c>
      <c r="F463" s="5" t="s">
        <v>36</v>
      </c>
      <c r="G463" s="5" t="s">
        <v>536</v>
      </c>
      <c r="H463" s="4">
        <v>1734000000</v>
      </c>
      <c r="I463" s="4">
        <v>1734000000</v>
      </c>
      <c r="J463" s="6">
        <v>5.2164000000000001</v>
      </c>
      <c r="K463" s="6"/>
      <c r="L463" s="6"/>
      <c r="M463" s="4">
        <v>339524582</v>
      </c>
      <c r="N463" s="4">
        <v>555807421</v>
      </c>
      <c r="O463" s="4"/>
      <c r="P463" s="6">
        <v>1.1649</v>
      </c>
      <c r="Q463" s="6"/>
      <c r="R463" s="6"/>
      <c r="S463" s="6">
        <v>1.3138000000000001</v>
      </c>
      <c r="T463" s="4"/>
      <c r="U463" s="6"/>
      <c r="V463" s="6"/>
      <c r="W463" s="6"/>
      <c r="X463" s="6"/>
      <c r="Y463" s="4"/>
      <c r="Z463" s="6">
        <v>0</v>
      </c>
      <c r="AA463" s="4"/>
      <c r="AB463" s="4"/>
      <c r="AC463" s="4"/>
      <c r="AD463" s="6"/>
      <c r="AE463" s="4"/>
      <c r="AF463" s="4"/>
      <c r="AG463" s="4"/>
      <c r="AH463" s="4">
        <v>24805000000</v>
      </c>
    </row>
    <row r="464" spans="1:34" x14ac:dyDescent="0.25">
      <c r="A464" s="4">
        <v>463</v>
      </c>
      <c r="B464" s="5" t="s">
        <v>1034</v>
      </c>
      <c r="C464" s="5" t="s">
        <v>1035</v>
      </c>
      <c r="D464" s="5" t="s">
        <v>968</v>
      </c>
      <c r="E464" s="5" t="s">
        <v>40</v>
      </c>
      <c r="F464" s="5" t="s">
        <v>41</v>
      </c>
      <c r="G464" s="5" t="s">
        <v>93</v>
      </c>
      <c r="H464" s="4"/>
      <c r="I464" s="4"/>
      <c r="J464" s="6"/>
      <c r="K464" s="6"/>
      <c r="L464" s="6"/>
      <c r="M464" s="4"/>
      <c r="N464" s="4"/>
      <c r="O464" s="4"/>
      <c r="P464" s="6"/>
      <c r="Q464" s="6"/>
      <c r="R464" s="6"/>
      <c r="S464" s="6"/>
      <c r="T464" s="4"/>
      <c r="U464" s="6"/>
      <c r="V464" s="6"/>
      <c r="W464" s="6"/>
      <c r="X464" s="6"/>
      <c r="Y464" s="4"/>
      <c r="Z464" s="6"/>
      <c r="AA464" s="4"/>
      <c r="AB464" s="4"/>
      <c r="AC464" s="4"/>
      <c r="AD464" s="6"/>
      <c r="AE464" s="4"/>
      <c r="AF464" s="4"/>
      <c r="AG464" s="4"/>
      <c r="AH464" s="4">
        <v>175415684200</v>
      </c>
    </row>
    <row r="465" spans="1:34" x14ac:dyDescent="0.25">
      <c r="A465" s="4">
        <v>464</v>
      </c>
      <c r="B465" s="5" t="s">
        <v>1036</v>
      </c>
      <c r="C465" s="5" t="s">
        <v>1037</v>
      </c>
      <c r="D465" s="5" t="s">
        <v>968</v>
      </c>
      <c r="E465" s="5" t="s">
        <v>40</v>
      </c>
      <c r="F465" s="5" t="s">
        <v>41</v>
      </c>
      <c r="G465" s="5" t="s">
        <v>389</v>
      </c>
      <c r="H465" s="4">
        <v>92777117948</v>
      </c>
      <c r="I465" s="4">
        <v>126938783681</v>
      </c>
      <c r="J465" s="6">
        <v>9.6100000000000005E-2</v>
      </c>
      <c r="K465" s="6"/>
      <c r="L465" s="6"/>
      <c r="M465" s="4">
        <v>1120269828</v>
      </c>
      <c r="N465" s="4">
        <v>1693929052</v>
      </c>
      <c r="O465" s="4"/>
      <c r="P465" s="6">
        <v>1.9605999999999999</v>
      </c>
      <c r="Q465" s="6"/>
      <c r="R465" s="6"/>
      <c r="S465" s="6">
        <v>0.95279999999999998</v>
      </c>
      <c r="T465" s="4"/>
      <c r="U465" s="6"/>
      <c r="V465" s="6"/>
      <c r="W465" s="6"/>
      <c r="X465" s="6"/>
      <c r="Y465" s="4"/>
      <c r="Z465" s="6">
        <v>1.7158</v>
      </c>
      <c r="AA465" s="4"/>
      <c r="AB465" s="4"/>
      <c r="AC465" s="4"/>
      <c r="AD465" s="6"/>
      <c r="AE465" s="4"/>
      <c r="AF465" s="4"/>
      <c r="AG465" s="4"/>
      <c r="AH465" s="4">
        <v>158400000000</v>
      </c>
    </row>
    <row r="466" spans="1:34" x14ac:dyDescent="0.25">
      <c r="A466" s="4">
        <v>465</v>
      </c>
      <c r="B466" s="5" t="s">
        <v>1038</v>
      </c>
      <c r="C466" s="5" t="s">
        <v>1039</v>
      </c>
      <c r="D466" s="5" t="s">
        <v>968</v>
      </c>
      <c r="E466" s="5" t="s">
        <v>185</v>
      </c>
      <c r="F466" s="5" t="s">
        <v>185</v>
      </c>
      <c r="G466" s="5" t="s">
        <v>310</v>
      </c>
      <c r="H466" s="4">
        <v>70479448077</v>
      </c>
      <c r="I466" s="4">
        <v>114711897018</v>
      </c>
      <c r="J466" s="6">
        <v>-8.6999999999999994E-3</v>
      </c>
      <c r="K466" s="6"/>
      <c r="L466" s="6"/>
      <c r="M466" s="4">
        <v>1061529209</v>
      </c>
      <c r="N466" s="4">
        <v>2094551978</v>
      </c>
      <c r="O466" s="4"/>
      <c r="P466" s="6">
        <v>8.8800000000000004E-2</v>
      </c>
      <c r="Q466" s="6"/>
      <c r="R466" s="6"/>
      <c r="S466" s="6">
        <v>2.76E-2</v>
      </c>
      <c r="T466" s="4"/>
      <c r="U466" s="6"/>
      <c r="V466" s="6"/>
      <c r="W466" s="6"/>
      <c r="X466" s="6"/>
      <c r="Y466" s="4"/>
      <c r="Z466" s="6">
        <v>0.59340000000000004</v>
      </c>
      <c r="AA466" s="4"/>
      <c r="AB466" s="4"/>
      <c r="AC466" s="4"/>
      <c r="AD466" s="6"/>
      <c r="AE466" s="4"/>
      <c r="AF466" s="4"/>
      <c r="AG466" s="4"/>
      <c r="AH466" s="4">
        <v>63389600000</v>
      </c>
    </row>
    <row r="467" spans="1:34" x14ac:dyDescent="0.25">
      <c r="A467" s="4">
        <v>466</v>
      </c>
      <c r="B467" s="5" t="s">
        <v>1040</v>
      </c>
      <c r="C467" s="5" t="s">
        <v>1041</v>
      </c>
      <c r="D467" s="5" t="s">
        <v>968</v>
      </c>
      <c r="E467" s="5" t="s">
        <v>40</v>
      </c>
      <c r="F467" s="5" t="s">
        <v>52</v>
      </c>
      <c r="G467" s="5" t="s">
        <v>53</v>
      </c>
      <c r="H467" s="4">
        <v>199133477089</v>
      </c>
      <c r="I467" s="4">
        <v>378506893593</v>
      </c>
      <c r="J467" s="6">
        <v>5.0099999999999999E-2</v>
      </c>
      <c r="K467" s="6">
        <v>0.12620000000000001</v>
      </c>
      <c r="L467" s="6">
        <v>5.8999999999999997E-2</v>
      </c>
      <c r="M467" s="4">
        <v>20101764198</v>
      </c>
      <c r="N467" s="4">
        <v>22438492732</v>
      </c>
      <c r="O467" s="4"/>
      <c r="P467" s="6">
        <v>0.4713</v>
      </c>
      <c r="Q467" s="6">
        <v>0.41510000000000002</v>
      </c>
      <c r="R467" s="6">
        <v>0.18540000000000001</v>
      </c>
      <c r="S467" s="6">
        <v>7.6025</v>
      </c>
      <c r="T467" s="4"/>
      <c r="U467" s="6">
        <v>-0.39910000000000001</v>
      </c>
      <c r="V467" s="6">
        <v>-6.4000000000000001E-2</v>
      </c>
      <c r="W467" s="6">
        <v>-6.5100000000000005E-2</v>
      </c>
      <c r="X467" s="6">
        <v>0</v>
      </c>
      <c r="Y467" s="4"/>
      <c r="Z467" s="6">
        <v>0.11020000000000001</v>
      </c>
      <c r="AA467" s="4"/>
      <c r="AB467" s="4"/>
      <c r="AC467" s="4"/>
      <c r="AD467" s="6">
        <v>0</v>
      </c>
      <c r="AE467" s="4"/>
      <c r="AF467" s="4"/>
      <c r="AG467" s="4"/>
      <c r="AH467" s="4">
        <v>241200000000</v>
      </c>
    </row>
    <row r="468" spans="1:34" x14ac:dyDescent="0.25">
      <c r="A468" s="4">
        <v>467</v>
      </c>
      <c r="B468" s="5" t="s">
        <v>1042</v>
      </c>
      <c r="C468" s="5" t="s">
        <v>1043</v>
      </c>
      <c r="D468" s="5" t="s">
        <v>968</v>
      </c>
      <c r="E468" s="5" t="s">
        <v>24</v>
      </c>
      <c r="F468" s="5" t="s">
        <v>56</v>
      </c>
      <c r="G468" s="5" t="s">
        <v>1044</v>
      </c>
      <c r="H468" s="4">
        <v>6456876298364</v>
      </c>
      <c r="I468" s="4">
        <v>10784318555823</v>
      </c>
      <c r="J468" s="6">
        <v>0.1179</v>
      </c>
      <c r="K468" s="6">
        <v>-3.3000000000000002E-2</v>
      </c>
      <c r="L468" s="6">
        <v>-5.2600000000000001E-2</v>
      </c>
      <c r="M468" s="4">
        <v>35660452196</v>
      </c>
      <c r="N468" s="4">
        <v>59657037270</v>
      </c>
      <c r="O468" s="4"/>
      <c r="P468" s="6">
        <v>0.17430000000000001</v>
      </c>
      <c r="Q468" s="6">
        <v>0.18440000000000001</v>
      </c>
      <c r="R468" s="6">
        <v>2.4799999999999999E-2</v>
      </c>
      <c r="S468" s="6">
        <v>0.48609999999999998</v>
      </c>
      <c r="T468" s="4"/>
      <c r="U468" s="6">
        <v>-0.41160000000000002</v>
      </c>
      <c r="V468" s="6">
        <v>-0.25040000000000001</v>
      </c>
      <c r="W468" s="6">
        <v>-0.26669999999999999</v>
      </c>
      <c r="X468" s="6">
        <v>0</v>
      </c>
      <c r="Y468" s="4"/>
      <c r="Z468" s="6">
        <v>0.49209999999999998</v>
      </c>
      <c r="AA468" s="4"/>
      <c r="AB468" s="4"/>
      <c r="AC468" s="4"/>
      <c r="AD468" s="6">
        <v>0</v>
      </c>
      <c r="AE468" s="4"/>
      <c r="AF468" s="4"/>
      <c r="AG468" s="4"/>
      <c r="AH468" s="4">
        <v>770000000000</v>
      </c>
    </row>
    <row r="469" spans="1:34" x14ac:dyDescent="0.25">
      <c r="A469" s="4">
        <v>468</v>
      </c>
      <c r="B469" s="5" t="s">
        <v>1045</v>
      </c>
      <c r="C469" s="5" t="s">
        <v>1046</v>
      </c>
      <c r="D469" s="5" t="s">
        <v>968</v>
      </c>
      <c r="E469" s="5" t="s">
        <v>40</v>
      </c>
      <c r="F469" s="5" t="s">
        <v>41</v>
      </c>
      <c r="G469" s="5" t="s">
        <v>519</v>
      </c>
      <c r="H469" s="4">
        <v>23673696296</v>
      </c>
      <c r="I469" s="4">
        <v>46737100002</v>
      </c>
      <c r="J469" s="6">
        <v>4.8099999999999997E-2</v>
      </c>
      <c r="K469" s="6">
        <v>5.9200000000000003E-2</v>
      </c>
      <c r="L469" s="6">
        <v>6.59E-2</v>
      </c>
      <c r="M469" s="4">
        <v>-2125000773</v>
      </c>
      <c r="N469" s="4">
        <v>-1982034486</v>
      </c>
      <c r="O469" s="4"/>
      <c r="P469" s="6">
        <v>-2.5421</v>
      </c>
      <c r="Q469" s="6">
        <v>-2.2991000000000001</v>
      </c>
      <c r="R469" s="6">
        <v>0.39750000000000002</v>
      </c>
      <c r="S469" s="6">
        <v>-15.8636</v>
      </c>
      <c r="T469" s="4"/>
      <c r="U469" s="6">
        <v>-0.46889999999999998</v>
      </c>
      <c r="V469" s="6">
        <v>-1.3076000000000001</v>
      </c>
      <c r="W469" s="6">
        <v>-1.3643000000000001</v>
      </c>
      <c r="X469" s="6">
        <v>0</v>
      </c>
      <c r="Y469" s="4"/>
      <c r="Z469" s="6">
        <v>2.6499999999999999E-2</v>
      </c>
      <c r="AA469" s="4"/>
      <c r="AB469" s="4"/>
      <c r="AC469" s="4"/>
      <c r="AD469" s="6">
        <v>0</v>
      </c>
      <c r="AE469" s="4"/>
      <c r="AF469" s="4"/>
      <c r="AG469" s="4"/>
      <c r="AH469" s="4">
        <v>44442618900</v>
      </c>
    </row>
    <row r="470" spans="1:34" x14ac:dyDescent="0.25">
      <c r="A470" s="4">
        <v>469</v>
      </c>
      <c r="B470" s="5" t="s">
        <v>1047</v>
      </c>
      <c r="C470" s="5" t="s">
        <v>1048</v>
      </c>
      <c r="D470" s="5" t="s">
        <v>968</v>
      </c>
      <c r="E470" s="5" t="s">
        <v>40</v>
      </c>
      <c r="F470" s="5" t="s">
        <v>52</v>
      </c>
      <c r="G470" s="5" t="s">
        <v>110</v>
      </c>
      <c r="H470" s="4"/>
      <c r="I470" s="4"/>
      <c r="J470" s="6"/>
      <c r="K470" s="6"/>
      <c r="L470" s="6"/>
      <c r="M470" s="4"/>
      <c r="N470" s="4"/>
      <c r="O470" s="4"/>
      <c r="P470" s="6"/>
      <c r="Q470" s="6"/>
      <c r="R470" s="6"/>
      <c r="S470" s="6"/>
      <c r="T470" s="4"/>
      <c r="U470" s="6"/>
      <c r="V470" s="6"/>
      <c r="W470" s="6"/>
      <c r="X470" s="6"/>
      <c r="Y470" s="4"/>
      <c r="Z470" s="6"/>
      <c r="AA470" s="4"/>
      <c r="AB470" s="4"/>
      <c r="AC470" s="4"/>
      <c r="AD470" s="6"/>
      <c r="AE470" s="4"/>
      <c r="AF470" s="4"/>
      <c r="AG470" s="4"/>
      <c r="AH470" s="4">
        <v>155260250000</v>
      </c>
    </row>
    <row r="471" spans="1:34" x14ac:dyDescent="0.25">
      <c r="A471" s="4">
        <v>470</v>
      </c>
      <c r="B471" s="5" t="s">
        <v>1049</v>
      </c>
      <c r="C471" s="5" t="s">
        <v>1050</v>
      </c>
      <c r="D471" s="5" t="s">
        <v>968</v>
      </c>
      <c r="E471" s="5" t="s">
        <v>24</v>
      </c>
      <c r="F471" s="5" t="s">
        <v>25</v>
      </c>
      <c r="G471" s="5" t="s">
        <v>45</v>
      </c>
      <c r="H471" s="4">
        <v>51262741225</v>
      </c>
      <c r="I471" s="4"/>
      <c r="J471" s="6">
        <v>-0.19259999999999999</v>
      </c>
      <c r="K471" s="6">
        <v>-2.35E-2</v>
      </c>
      <c r="L471" s="6">
        <v>-3.4200000000000001E-2</v>
      </c>
      <c r="M471" s="4">
        <v>4128528522</v>
      </c>
      <c r="N471" s="4"/>
      <c r="O471" s="4"/>
      <c r="P471" s="6">
        <v>-0.22420000000000001</v>
      </c>
      <c r="Q471" s="6">
        <v>-0.14949999999999999</v>
      </c>
      <c r="R471" s="6">
        <v>8.1900000000000001E-2</v>
      </c>
      <c r="S471" s="6">
        <v>3.5535999999999999</v>
      </c>
      <c r="T471" s="4"/>
      <c r="U471" s="6">
        <v>-0.61229999999999996</v>
      </c>
      <c r="V471" s="6">
        <v>-0.42780000000000001</v>
      </c>
      <c r="W471" s="6">
        <v>-0.42780000000000001</v>
      </c>
      <c r="X471" s="6">
        <v>0</v>
      </c>
      <c r="Y471" s="4"/>
      <c r="Z471" s="6">
        <v>1.2890999999999999</v>
      </c>
      <c r="AA471" s="4"/>
      <c r="AB471" s="4"/>
      <c r="AC471" s="4"/>
      <c r="AD471" s="6">
        <v>0</v>
      </c>
      <c r="AE471" s="4"/>
      <c r="AF471" s="4"/>
      <c r="AG471" s="4"/>
      <c r="AH471" s="4">
        <v>64895055000</v>
      </c>
    </row>
    <row r="472" spans="1:34" x14ac:dyDescent="0.25">
      <c r="A472" s="4">
        <v>471</v>
      </c>
      <c r="B472" s="5" t="s">
        <v>1051</v>
      </c>
      <c r="C472" s="5" t="s">
        <v>1052</v>
      </c>
      <c r="D472" s="5" t="s">
        <v>968</v>
      </c>
      <c r="E472" s="5" t="s">
        <v>40</v>
      </c>
      <c r="F472" s="5" t="s">
        <v>52</v>
      </c>
      <c r="G472" s="5" t="s">
        <v>110</v>
      </c>
      <c r="H472" s="4"/>
      <c r="I472" s="4"/>
      <c r="J472" s="6"/>
      <c r="K472" s="6"/>
      <c r="L472" s="6"/>
      <c r="M472" s="4"/>
      <c r="N472" s="4"/>
      <c r="O472" s="4"/>
      <c r="P472" s="6"/>
      <c r="Q472" s="6"/>
      <c r="R472" s="6"/>
      <c r="S472" s="6"/>
      <c r="T472" s="4"/>
      <c r="U472" s="6"/>
      <c r="V472" s="6"/>
      <c r="W472" s="6"/>
      <c r="X472" s="6"/>
      <c r="Y472" s="4"/>
      <c r="Z472" s="6"/>
      <c r="AA472" s="4"/>
      <c r="AB472" s="4"/>
      <c r="AC472" s="4"/>
      <c r="AD472" s="6"/>
      <c r="AE472" s="4"/>
      <c r="AF472" s="4"/>
      <c r="AG472" s="4"/>
      <c r="AH472" s="4">
        <v>493373043800</v>
      </c>
    </row>
    <row r="473" spans="1:34" x14ac:dyDescent="0.25">
      <c r="A473" s="4">
        <v>472</v>
      </c>
      <c r="B473" s="5" t="s">
        <v>1053</v>
      </c>
      <c r="C473" s="5" t="s">
        <v>1054</v>
      </c>
      <c r="D473" s="5" t="s">
        <v>968</v>
      </c>
      <c r="E473" s="5" t="s">
        <v>24</v>
      </c>
      <c r="F473" s="5" t="s">
        <v>56</v>
      </c>
      <c r="G473" s="5" t="s">
        <v>1044</v>
      </c>
      <c r="H473" s="4">
        <v>2215111820942</v>
      </c>
      <c r="I473" s="4">
        <v>4527558381917</v>
      </c>
      <c r="J473" s="6">
        <v>-4.53E-2</v>
      </c>
      <c r="K473" s="6">
        <v>-3.27E-2</v>
      </c>
      <c r="L473" s="6">
        <v>-6.2399999999999997E-2</v>
      </c>
      <c r="M473" s="4">
        <v>9654117203</v>
      </c>
      <c r="N473" s="4">
        <v>20248603199</v>
      </c>
      <c r="O473" s="4"/>
      <c r="P473" s="6">
        <v>-0.3805</v>
      </c>
      <c r="Q473" s="6">
        <v>-0.28460000000000002</v>
      </c>
      <c r="R473" s="6">
        <v>1.2746</v>
      </c>
      <c r="S473" s="6">
        <v>-8.8800000000000004E-2</v>
      </c>
      <c r="T473" s="4"/>
      <c r="U473" s="6">
        <v>-0.16700000000000001</v>
      </c>
      <c r="V473" s="6">
        <v>-0.28939999999999999</v>
      </c>
      <c r="W473" s="6">
        <v>-0.3034</v>
      </c>
      <c r="X473" s="6">
        <v>0</v>
      </c>
      <c r="Y473" s="4"/>
      <c r="Z473" s="6">
        <v>-4.2099999999999999E-2</v>
      </c>
      <c r="AA473" s="4"/>
      <c r="AB473" s="4"/>
      <c r="AC473" s="4"/>
      <c r="AD473" s="6">
        <v>0</v>
      </c>
      <c r="AE473" s="4"/>
      <c r="AF473" s="4"/>
      <c r="AG473" s="4"/>
      <c r="AH473" s="4">
        <v>415613698100</v>
      </c>
    </row>
    <row r="474" spans="1:34" x14ac:dyDescent="0.25">
      <c r="A474" s="4">
        <v>473</v>
      </c>
      <c r="B474" s="5" t="s">
        <v>1055</v>
      </c>
      <c r="C474" s="5" t="s">
        <v>1056</v>
      </c>
      <c r="D474" s="5" t="s">
        <v>968</v>
      </c>
      <c r="E474" s="5" t="s">
        <v>40</v>
      </c>
      <c r="F474" s="5" t="s">
        <v>41</v>
      </c>
      <c r="G474" s="5" t="s">
        <v>519</v>
      </c>
      <c r="H474" s="4">
        <v>164788593665</v>
      </c>
      <c r="I474" s="4">
        <v>221140127573</v>
      </c>
      <c r="J474" s="6">
        <v>0.1331</v>
      </c>
      <c r="K474" s="6"/>
      <c r="L474" s="6"/>
      <c r="M474" s="4">
        <v>27134944925</v>
      </c>
      <c r="N474" s="4">
        <v>29974215554</v>
      </c>
      <c r="O474" s="4"/>
      <c r="P474" s="6">
        <v>1.2611000000000001</v>
      </c>
      <c r="Q474" s="6"/>
      <c r="R474" s="6"/>
      <c r="S474" s="6">
        <v>1.2346999999999999</v>
      </c>
      <c r="T474" s="4"/>
      <c r="U474" s="6"/>
      <c r="V474" s="6"/>
      <c r="W474" s="6"/>
      <c r="X474" s="6"/>
      <c r="Y474" s="4"/>
      <c r="Z474" s="6">
        <v>1.9242999999999999</v>
      </c>
      <c r="AA474" s="4"/>
      <c r="AB474" s="4"/>
      <c r="AC474" s="4"/>
      <c r="AD474" s="6"/>
      <c r="AE474" s="4"/>
      <c r="AF474" s="4"/>
      <c r="AG474" s="4"/>
      <c r="AH474" s="4">
        <v>336960000000</v>
      </c>
    </row>
    <row r="475" spans="1:34" x14ac:dyDescent="0.25">
      <c r="A475" s="4">
        <v>474</v>
      </c>
      <c r="B475" s="5" t="s">
        <v>1057</v>
      </c>
      <c r="C475" s="5" t="s">
        <v>1058</v>
      </c>
      <c r="D475" s="5" t="s">
        <v>968</v>
      </c>
      <c r="E475" s="5" t="s">
        <v>29</v>
      </c>
      <c r="F475" s="5" t="s">
        <v>30</v>
      </c>
      <c r="G475" s="5" t="s">
        <v>574</v>
      </c>
      <c r="H475" s="4">
        <v>57097941330</v>
      </c>
      <c r="I475" s="4">
        <v>68523942983</v>
      </c>
      <c r="J475" s="6">
        <v>2.8948</v>
      </c>
      <c r="K475" s="6"/>
      <c r="L475" s="6"/>
      <c r="M475" s="4">
        <v>188212985</v>
      </c>
      <c r="N475" s="4">
        <v>141385484</v>
      </c>
      <c r="O475" s="4"/>
      <c r="P475" s="6">
        <v>-0.17380000000000001</v>
      </c>
      <c r="Q475" s="6"/>
      <c r="R475" s="6"/>
      <c r="S475" s="6">
        <v>3.8330000000000002</v>
      </c>
      <c r="T475" s="4"/>
      <c r="U475" s="6"/>
      <c r="V475" s="6"/>
      <c r="W475" s="6"/>
      <c r="X475" s="6"/>
      <c r="Y475" s="4"/>
      <c r="Z475" s="6">
        <v>3.9971999999999999</v>
      </c>
      <c r="AA475" s="4"/>
      <c r="AB475" s="4"/>
      <c r="AC475" s="4"/>
      <c r="AD475" s="6"/>
      <c r="AE475" s="4"/>
      <c r="AF475" s="4"/>
      <c r="AG475" s="4"/>
      <c r="AH475" s="4">
        <v>87119942400</v>
      </c>
    </row>
    <row r="476" spans="1:34" x14ac:dyDescent="0.25">
      <c r="A476" s="4">
        <v>475</v>
      </c>
      <c r="B476" s="5" t="s">
        <v>1059</v>
      </c>
      <c r="C476" s="5" t="s">
        <v>1060</v>
      </c>
      <c r="D476" s="5" t="s">
        <v>968</v>
      </c>
      <c r="E476" s="5" t="s">
        <v>40</v>
      </c>
      <c r="F476" s="5" t="s">
        <v>41</v>
      </c>
      <c r="G476" s="5" t="s">
        <v>519</v>
      </c>
      <c r="H476" s="4">
        <v>633535335710</v>
      </c>
      <c r="I476" s="4">
        <v>1216226477583</v>
      </c>
      <c r="J476" s="6">
        <v>0.1071</v>
      </c>
      <c r="K476" s="6">
        <v>8.7099999999999997E-2</v>
      </c>
      <c r="L476" s="6">
        <v>5.5500000000000001E-2</v>
      </c>
      <c r="M476" s="4">
        <v>4066652460</v>
      </c>
      <c r="N476" s="4">
        <v>10022754620</v>
      </c>
      <c r="O476" s="4"/>
      <c r="P476" s="6">
        <v>7.9299999999999995E-2</v>
      </c>
      <c r="Q476" s="6">
        <v>0.34699999999999998</v>
      </c>
      <c r="R476" s="6">
        <v>0.51219999999999999</v>
      </c>
      <c r="S476" s="6">
        <v>-0.31719999999999998</v>
      </c>
      <c r="T476" s="4"/>
      <c r="U476" s="6">
        <v>-0.42080000000000001</v>
      </c>
      <c r="V476" s="6">
        <v>-0.55569999999999997</v>
      </c>
      <c r="W476" s="6">
        <v>-0.55569999999999997</v>
      </c>
      <c r="X476" s="6">
        <v>0</v>
      </c>
      <c r="Y476" s="4"/>
      <c r="Z476" s="6">
        <v>8.7300000000000003E-2</v>
      </c>
      <c r="AA476" s="4"/>
      <c r="AB476" s="4"/>
      <c r="AC476" s="4"/>
      <c r="AD476" s="6">
        <v>0</v>
      </c>
      <c r="AE476" s="4"/>
      <c r="AF476" s="4"/>
      <c r="AG476" s="4"/>
      <c r="AH476" s="4">
        <v>73278675600</v>
      </c>
    </row>
    <row r="477" spans="1:34" x14ac:dyDescent="0.25">
      <c r="A477" s="4">
        <v>476</v>
      </c>
      <c r="B477" s="5" t="s">
        <v>1061</v>
      </c>
      <c r="C477" s="5" t="s">
        <v>1062</v>
      </c>
      <c r="D477" s="5" t="s">
        <v>968</v>
      </c>
      <c r="E477" s="5" t="s">
        <v>40</v>
      </c>
      <c r="F477" s="5" t="s">
        <v>52</v>
      </c>
      <c r="G477" s="5" t="s">
        <v>110</v>
      </c>
      <c r="H477" s="4">
        <v>30099516308</v>
      </c>
      <c r="I477" s="4">
        <v>49518237835</v>
      </c>
      <c r="J477" s="6">
        <v>0.32940000000000003</v>
      </c>
      <c r="K477" s="6">
        <v>0.55530000000000002</v>
      </c>
      <c r="L477" s="6">
        <v>0.43580000000000002</v>
      </c>
      <c r="M477" s="4">
        <v>68209468</v>
      </c>
      <c r="N477" s="4">
        <v>206857735</v>
      </c>
      <c r="O477" s="4"/>
      <c r="P477" s="6">
        <v>-0.48630000000000001</v>
      </c>
      <c r="Q477" s="6">
        <v>0.34649999999999997</v>
      </c>
      <c r="R477" s="6">
        <v>0.1414</v>
      </c>
      <c r="S477" s="6">
        <v>-0.50800000000000001</v>
      </c>
      <c r="T477" s="4"/>
      <c r="U477" s="6">
        <v>-0.52839999999999998</v>
      </c>
      <c r="V477" s="6">
        <v>-0.6482</v>
      </c>
      <c r="W477" s="6">
        <v>-0.6482</v>
      </c>
      <c r="X477" s="6">
        <v>0.01</v>
      </c>
      <c r="Y477" s="4"/>
      <c r="Z477" s="6">
        <v>0.55000000000000004</v>
      </c>
      <c r="AA477" s="4"/>
      <c r="AB477" s="4"/>
      <c r="AC477" s="4"/>
      <c r="AD477" s="6">
        <v>0</v>
      </c>
      <c r="AE477" s="4"/>
      <c r="AF477" s="4"/>
      <c r="AG477" s="4"/>
      <c r="AH477" s="4">
        <v>25537710000</v>
      </c>
    </row>
    <row r="478" spans="1:34" x14ac:dyDescent="0.25">
      <c r="A478" s="4">
        <v>477</v>
      </c>
      <c r="B478" s="5" t="s">
        <v>1063</v>
      </c>
      <c r="C478" s="5" t="s">
        <v>1064</v>
      </c>
      <c r="D478" s="5" t="s">
        <v>968</v>
      </c>
      <c r="E478" s="5" t="s">
        <v>75</v>
      </c>
      <c r="F478" s="5" t="s">
        <v>76</v>
      </c>
      <c r="G478" s="5" t="s">
        <v>76</v>
      </c>
      <c r="H478" s="4">
        <v>33222686142</v>
      </c>
      <c r="I478" s="4">
        <v>53734558792</v>
      </c>
      <c r="J478" s="6">
        <v>0.15570000000000001</v>
      </c>
      <c r="K478" s="6">
        <v>2.75E-2</v>
      </c>
      <c r="L478" s="6">
        <v>0.92710000000000004</v>
      </c>
      <c r="M478" s="4">
        <v>1531408374</v>
      </c>
      <c r="N478" s="4">
        <v>2797496038</v>
      </c>
      <c r="O478" s="4"/>
      <c r="P478" s="6">
        <v>1.9489000000000001</v>
      </c>
      <c r="Q478" s="6">
        <v>-0.1124</v>
      </c>
      <c r="R478" s="6">
        <v>0.62860000000000005</v>
      </c>
      <c r="S478" s="6">
        <v>0.20960000000000001</v>
      </c>
      <c r="T478" s="4"/>
      <c r="U478" s="6">
        <v>-0.47420000000000001</v>
      </c>
      <c r="V478" s="6">
        <v>-0.37790000000000001</v>
      </c>
      <c r="W478" s="6">
        <v>-0.38519999999999999</v>
      </c>
      <c r="X478" s="6">
        <v>3.3099999999999997E-2</v>
      </c>
      <c r="Y478" s="4"/>
      <c r="Z478" s="6">
        <v>0.61970000000000003</v>
      </c>
      <c r="AA478" s="4"/>
      <c r="AB478" s="4"/>
      <c r="AC478" s="4"/>
      <c r="AD478" s="6">
        <v>0</v>
      </c>
      <c r="AE478" s="4"/>
      <c r="AF478" s="4"/>
      <c r="AG478" s="4"/>
      <c r="AH478" s="4">
        <v>99443317600</v>
      </c>
    </row>
    <row r="479" spans="1:34" x14ac:dyDescent="0.25">
      <c r="A479" s="4">
        <v>478</v>
      </c>
      <c r="B479" s="5" t="s">
        <v>1065</v>
      </c>
      <c r="C479" s="5" t="s">
        <v>1066</v>
      </c>
      <c r="D479" s="5" t="s">
        <v>968</v>
      </c>
      <c r="E479" s="5" t="s">
        <v>62</v>
      </c>
      <c r="F479" s="5" t="s">
        <v>63</v>
      </c>
      <c r="G479" s="5" t="s">
        <v>656</v>
      </c>
      <c r="H479" s="4">
        <v>252457856933</v>
      </c>
      <c r="I479" s="4">
        <v>260274335170</v>
      </c>
      <c r="J479" s="6">
        <v>-5.8900000000000001E-2</v>
      </c>
      <c r="K479" s="6"/>
      <c r="L479" s="6"/>
      <c r="M479" s="4">
        <v>2630388518</v>
      </c>
      <c r="N479" s="4">
        <v>2717285773</v>
      </c>
      <c r="O479" s="4"/>
      <c r="P479" s="6">
        <v>-0.66290000000000004</v>
      </c>
      <c r="Q479" s="6"/>
      <c r="R479" s="6"/>
      <c r="S479" s="6">
        <v>29.270099999999999</v>
      </c>
      <c r="T479" s="4"/>
      <c r="U479" s="6"/>
      <c r="V479" s="6"/>
      <c r="W479" s="6"/>
      <c r="X479" s="6"/>
      <c r="Y479" s="4"/>
      <c r="Z479" s="6">
        <v>31.298200000000001</v>
      </c>
      <c r="AA479" s="4"/>
      <c r="AB479" s="4"/>
      <c r="AC479" s="4"/>
      <c r="AD479" s="6"/>
      <c r="AE479" s="4"/>
      <c r="AF479" s="4"/>
      <c r="AG479" s="4"/>
      <c r="AH479" s="4">
        <v>69888000000</v>
      </c>
    </row>
    <row r="480" spans="1:34" x14ac:dyDescent="0.25">
      <c r="A480" s="4">
        <v>479</v>
      </c>
      <c r="B480" s="5" t="s">
        <v>1067</v>
      </c>
      <c r="C480" s="5" t="s">
        <v>1068</v>
      </c>
      <c r="D480" s="5" t="s">
        <v>968</v>
      </c>
      <c r="E480" s="5" t="s">
        <v>62</v>
      </c>
      <c r="F480" s="5" t="s">
        <v>63</v>
      </c>
      <c r="G480" s="5" t="s">
        <v>656</v>
      </c>
      <c r="H480" s="4">
        <v>24148520948</v>
      </c>
      <c r="I480" s="4">
        <v>33137354808</v>
      </c>
      <c r="J480" s="6">
        <v>8.8000000000000005E-3</v>
      </c>
      <c r="K480" s="6">
        <v>-9.8299999999999998E-2</v>
      </c>
      <c r="L480" s="6">
        <v>-0.2056</v>
      </c>
      <c r="M480" s="4">
        <v>1355256057</v>
      </c>
      <c r="N480" s="4">
        <v>1752586900</v>
      </c>
      <c r="O480" s="4"/>
      <c r="P480" s="6">
        <v>-0.1293</v>
      </c>
      <c r="Q480" s="6">
        <v>-0.223</v>
      </c>
      <c r="R480" s="6">
        <v>-0.1386</v>
      </c>
      <c r="S480" s="6">
        <v>2.4108999999999998</v>
      </c>
      <c r="T480" s="4"/>
      <c r="U480" s="6">
        <v>-0.49020000000000002</v>
      </c>
      <c r="V480" s="6">
        <v>-0.35049999999999998</v>
      </c>
      <c r="W480" s="6">
        <v>-0.35570000000000002</v>
      </c>
      <c r="X480" s="6">
        <v>0</v>
      </c>
      <c r="Y480" s="4"/>
      <c r="Z480" s="6">
        <v>1.6865000000000001</v>
      </c>
      <c r="AA480" s="4"/>
      <c r="AB480" s="4"/>
      <c r="AC480" s="4"/>
      <c r="AD480" s="6">
        <v>0</v>
      </c>
      <c r="AE480" s="4"/>
      <c r="AF480" s="4"/>
      <c r="AG480" s="4"/>
      <c r="AH480" s="4">
        <v>27922041000</v>
      </c>
    </row>
    <row r="481" spans="1:34" x14ac:dyDescent="0.25">
      <c r="A481" s="4">
        <v>480</v>
      </c>
      <c r="B481" s="5" t="s">
        <v>1069</v>
      </c>
      <c r="C481" s="5" t="s">
        <v>1070</v>
      </c>
      <c r="D481" s="5" t="s">
        <v>968</v>
      </c>
      <c r="E481" s="5" t="s">
        <v>40</v>
      </c>
      <c r="F481" s="5" t="s">
        <v>52</v>
      </c>
      <c r="G481" s="5" t="s">
        <v>110</v>
      </c>
      <c r="H481" s="4">
        <v>80652635002</v>
      </c>
      <c r="I481" s="4">
        <v>134360890329</v>
      </c>
      <c r="J481" s="6">
        <v>0.32029999999999997</v>
      </c>
      <c r="K481" s="6">
        <v>0.46949999999999997</v>
      </c>
      <c r="L481" s="6">
        <v>-3.8899999999999997E-2</v>
      </c>
      <c r="M481" s="4">
        <v>1537657441</v>
      </c>
      <c r="N481" s="4">
        <v>2281674510</v>
      </c>
      <c r="O481" s="4"/>
      <c r="P481" s="6">
        <v>4.65E-2</v>
      </c>
      <c r="Q481" s="6">
        <v>-0.40339999999999998</v>
      </c>
      <c r="R481" s="6">
        <v>-0.53180000000000005</v>
      </c>
      <c r="S481" s="6">
        <v>1.0667</v>
      </c>
      <c r="T481" s="4"/>
      <c r="U481" s="6">
        <v>-0.5494</v>
      </c>
      <c r="V481" s="6">
        <v>-0.5393</v>
      </c>
      <c r="W481" s="6">
        <v>-0.63549999999999995</v>
      </c>
      <c r="X481" s="6">
        <v>0</v>
      </c>
      <c r="Y481" s="4"/>
      <c r="Z481" s="6">
        <v>0.50170000000000003</v>
      </c>
      <c r="AA481" s="4"/>
      <c r="AB481" s="4"/>
      <c r="AC481" s="4"/>
      <c r="AD481" s="6">
        <v>0</v>
      </c>
      <c r="AE481" s="4"/>
      <c r="AF481" s="4"/>
      <c r="AG481" s="4"/>
      <c r="AH481" s="4">
        <v>79176595600</v>
      </c>
    </row>
    <row r="482" spans="1:34" x14ac:dyDescent="0.25">
      <c r="A482" s="4">
        <v>481</v>
      </c>
      <c r="B482" s="5" t="s">
        <v>1071</v>
      </c>
      <c r="C482" s="5" t="s">
        <v>1072</v>
      </c>
      <c r="D482" s="5" t="s">
        <v>968</v>
      </c>
      <c r="E482" s="5" t="s">
        <v>40</v>
      </c>
      <c r="F482" s="5" t="s">
        <v>41</v>
      </c>
      <c r="G482" s="5" t="s">
        <v>389</v>
      </c>
      <c r="H482" s="4">
        <v>90169032621</v>
      </c>
      <c r="I482" s="4">
        <v>153269116935</v>
      </c>
      <c r="J482" s="6">
        <v>7.0000000000000007E-2</v>
      </c>
      <c r="K482" s="6"/>
      <c r="L482" s="6"/>
      <c r="M482" s="4">
        <v>4706671267</v>
      </c>
      <c r="N482" s="4">
        <v>7530960401</v>
      </c>
      <c r="O482" s="4"/>
      <c r="P482" s="6">
        <v>7.4999999999999997E-3</v>
      </c>
      <c r="Q482" s="6"/>
      <c r="R482" s="6"/>
      <c r="S482" s="6">
        <v>0.66649999999999998</v>
      </c>
      <c r="T482" s="4"/>
      <c r="U482" s="6"/>
      <c r="V482" s="6"/>
      <c r="W482" s="6"/>
      <c r="X482" s="6"/>
      <c r="Y482" s="4"/>
      <c r="Z482" s="6">
        <v>0.42899999999999999</v>
      </c>
      <c r="AA482" s="4"/>
      <c r="AB482" s="4"/>
      <c r="AC482" s="4"/>
      <c r="AD482" s="6"/>
      <c r="AE482" s="4"/>
      <c r="AF482" s="4"/>
      <c r="AG482" s="4"/>
      <c r="AH482" s="4">
        <v>98718880000</v>
      </c>
    </row>
    <row r="483" spans="1:34" x14ac:dyDescent="0.25">
      <c r="A483" s="4">
        <v>482</v>
      </c>
      <c r="B483" s="5" t="s">
        <v>1073</v>
      </c>
      <c r="C483" s="5" t="s">
        <v>1074</v>
      </c>
      <c r="D483" s="5" t="s">
        <v>968</v>
      </c>
      <c r="E483" s="5" t="s">
        <v>234</v>
      </c>
      <c r="F483" s="5" t="s">
        <v>235</v>
      </c>
      <c r="G483" s="5" t="s">
        <v>236</v>
      </c>
      <c r="H483" s="4"/>
      <c r="I483" s="4"/>
      <c r="J483" s="6"/>
      <c r="K483" s="6"/>
      <c r="L483" s="6"/>
      <c r="M483" s="4"/>
      <c r="N483" s="4"/>
      <c r="O483" s="4"/>
      <c r="P483" s="6"/>
      <c r="Q483" s="6"/>
      <c r="R483" s="6"/>
      <c r="S483" s="6"/>
      <c r="T483" s="4"/>
      <c r="U483" s="6"/>
      <c r="V483" s="6"/>
      <c r="W483" s="6"/>
      <c r="X483" s="6"/>
      <c r="Y483" s="4"/>
      <c r="Z483" s="6"/>
      <c r="AA483" s="4"/>
      <c r="AB483" s="4"/>
      <c r="AC483" s="4"/>
      <c r="AD483" s="6"/>
      <c r="AE483" s="4"/>
      <c r="AF483" s="4"/>
      <c r="AG483" s="4"/>
      <c r="AH483" s="4">
        <v>5371040453400</v>
      </c>
    </row>
    <row r="484" spans="1:34" x14ac:dyDescent="0.25">
      <c r="A484" s="4">
        <v>483</v>
      </c>
      <c r="B484" s="5" t="s">
        <v>1075</v>
      </c>
      <c r="C484" s="5" t="s">
        <v>1076</v>
      </c>
      <c r="D484" s="5" t="s">
        <v>968</v>
      </c>
      <c r="E484" s="5" t="s">
        <v>40</v>
      </c>
      <c r="F484" s="5" t="s">
        <v>52</v>
      </c>
      <c r="G484" s="5" t="s">
        <v>110</v>
      </c>
      <c r="H484" s="4">
        <v>53178206020</v>
      </c>
      <c r="I484" s="4"/>
      <c r="J484" s="6">
        <v>4.4806999999999997</v>
      </c>
      <c r="K484" s="6"/>
      <c r="L484" s="6"/>
      <c r="M484" s="4">
        <v>5505610674</v>
      </c>
      <c r="N484" s="4"/>
      <c r="O484" s="4"/>
      <c r="P484" s="6">
        <v>11.488</v>
      </c>
      <c r="Q484" s="6"/>
      <c r="R484" s="6"/>
      <c r="S484" s="6">
        <v>8.9800000000000005E-2</v>
      </c>
      <c r="T484" s="4"/>
      <c r="U484" s="6"/>
      <c r="V484" s="6"/>
      <c r="W484" s="6"/>
      <c r="X484" s="6"/>
      <c r="Y484" s="4"/>
      <c r="Z484" s="6">
        <v>-0.30080000000000001</v>
      </c>
      <c r="AA484" s="4"/>
      <c r="AB484" s="4"/>
      <c r="AC484" s="4"/>
      <c r="AD484" s="6"/>
      <c r="AE484" s="4"/>
      <c r="AF484" s="4"/>
      <c r="AG484" s="4"/>
      <c r="AH484" s="4">
        <v>60254008400</v>
      </c>
    </row>
    <row r="485" spans="1:34" x14ac:dyDescent="0.25">
      <c r="A485" s="4">
        <v>484</v>
      </c>
      <c r="B485" s="5" t="s">
        <v>1077</v>
      </c>
      <c r="C485" s="5" t="s">
        <v>1078</v>
      </c>
      <c r="D485" s="5" t="s">
        <v>968</v>
      </c>
      <c r="E485" s="5" t="s">
        <v>40</v>
      </c>
      <c r="F485" s="5" t="s">
        <v>41</v>
      </c>
      <c r="G485" s="5" t="s">
        <v>93</v>
      </c>
      <c r="H485" s="4"/>
      <c r="I485" s="4"/>
      <c r="J485" s="6"/>
      <c r="K485" s="6"/>
      <c r="L485" s="6"/>
      <c r="M485" s="4"/>
      <c r="N485" s="4"/>
      <c r="O485" s="4"/>
      <c r="P485" s="6"/>
      <c r="Q485" s="6"/>
      <c r="R485" s="6"/>
      <c r="S485" s="6"/>
      <c r="T485" s="4"/>
      <c r="U485" s="6"/>
      <c r="V485" s="6"/>
      <c r="W485" s="6"/>
      <c r="X485" s="6"/>
      <c r="Y485" s="4"/>
      <c r="Z485" s="6"/>
      <c r="AA485" s="4"/>
      <c r="AB485" s="4"/>
      <c r="AC485" s="4"/>
      <c r="AD485" s="6"/>
      <c r="AE485" s="4"/>
      <c r="AF485" s="4"/>
      <c r="AG485" s="4"/>
      <c r="AH485" s="4">
        <v>812701741500</v>
      </c>
    </row>
    <row r="486" spans="1:34" x14ac:dyDescent="0.25">
      <c r="A486" s="4">
        <v>485</v>
      </c>
      <c r="B486" s="5" t="s">
        <v>1079</v>
      </c>
      <c r="C486" s="5" t="s">
        <v>1080</v>
      </c>
      <c r="D486" s="5" t="s">
        <v>968</v>
      </c>
      <c r="E486" s="5" t="s">
        <v>98</v>
      </c>
      <c r="F486" s="5" t="s">
        <v>99</v>
      </c>
      <c r="G486" s="5" t="s">
        <v>144</v>
      </c>
      <c r="H486" s="4">
        <v>373438836954</v>
      </c>
      <c r="I486" s="4">
        <v>618935903052</v>
      </c>
      <c r="J486" s="6">
        <v>0.28089999999999998</v>
      </c>
      <c r="K486" s="6"/>
      <c r="L486" s="6"/>
      <c r="M486" s="4">
        <v>14267140913</v>
      </c>
      <c r="N486" s="4">
        <v>22279148040</v>
      </c>
      <c r="O486" s="4"/>
      <c r="P486" s="6">
        <v>0.1152</v>
      </c>
      <c r="Q486" s="6"/>
      <c r="R486" s="6"/>
      <c r="S486" s="6">
        <v>0.78069999999999995</v>
      </c>
      <c r="T486" s="4"/>
      <c r="U486" s="6"/>
      <c r="V486" s="6"/>
      <c r="W486" s="6"/>
      <c r="X486" s="6"/>
      <c r="Y486" s="4"/>
      <c r="Z486" s="6">
        <v>0.5212</v>
      </c>
      <c r="AA486" s="4"/>
      <c r="AB486" s="4"/>
      <c r="AC486" s="4"/>
      <c r="AD486" s="6"/>
      <c r="AE486" s="4"/>
      <c r="AF486" s="4"/>
      <c r="AG486" s="4"/>
      <c r="AH486" s="4">
        <v>501734050000</v>
      </c>
    </row>
    <row r="487" spans="1:34" x14ac:dyDescent="0.25">
      <c r="A487" s="4">
        <v>486</v>
      </c>
      <c r="B487" s="5" t="s">
        <v>1081</v>
      </c>
      <c r="C487" s="5" t="s">
        <v>1082</v>
      </c>
      <c r="D487" s="5" t="s">
        <v>968</v>
      </c>
      <c r="E487" s="5" t="s">
        <v>40</v>
      </c>
      <c r="F487" s="5" t="s">
        <v>52</v>
      </c>
      <c r="G487" s="5" t="s">
        <v>53</v>
      </c>
      <c r="H487" s="4"/>
      <c r="I487" s="4"/>
      <c r="J487" s="6"/>
      <c r="K487" s="6"/>
      <c r="L487" s="6"/>
      <c r="M487" s="4"/>
      <c r="N487" s="4"/>
      <c r="O487" s="4"/>
      <c r="P487" s="6"/>
      <c r="Q487" s="6"/>
      <c r="R487" s="6"/>
      <c r="S487" s="6"/>
      <c r="T487" s="4"/>
      <c r="U487" s="6"/>
      <c r="V487" s="6"/>
      <c r="W487" s="6"/>
      <c r="X487" s="6"/>
      <c r="Y487" s="4"/>
      <c r="Z487" s="6"/>
      <c r="AA487" s="4"/>
      <c r="AB487" s="4"/>
      <c r="AC487" s="4"/>
      <c r="AD487" s="6"/>
      <c r="AE487" s="4"/>
      <c r="AF487" s="4"/>
      <c r="AG487" s="4"/>
      <c r="AH487" s="4">
        <v>2960286756000</v>
      </c>
    </row>
    <row r="488" spans="1:34" x14ac:dyDescent="0.25">
      <c r="A488" s="4">
        <v>487</v>
      </c>
      <c r="B488" s="5" t="s">
        <v>1083</v>
      </c>
      <c r="C488" s="5" t="s">
        <v>1084</v>
      </c>
      <c r="D488" s="5" t="s">
        <v>968</v>
      </c>
      <c r="E488" s="5" t="s">
        <v>234</v>
      </c>
      <c r="F488" s="5" t="s">
        <v>235</v>
      </c>
      <c r="G488" s="5" t="s">
        <v>236</v>
      </c>
      <c r="H488" s="4"/>
      <c r="I488" s="4"/>
      <c r="J488" s="6"/>
      <c r="K488" s="6"/>
      <c r="L488" s="6"/>
      <c r="M488" s="4"/>
      <c r="N488" s="4"/>
      <c r="O488" s="4"/>
      <c r="P488" s="6"/>
      <c r="Q488" s="6"/>
      <c r="R488" s="6"/>
      <c r="S488" s="6"/>
      <c r="T488" s="4"/>
      <c r="U488" s="6"/>
      <c r="V488" s="6"/>
      <c r="W488" s="6"/>
      <c r="X488" s="6"/>
      <c r="Y488" s="4"/>
      <c r="Z488" s="6"/>
      <c r="AA488" s="4"/>
      <c r="AB488" s="4"/>
      <c r="AC488" s="4"/>
      <c r="AD488" s="6"/>
      <c r="AE488" s="4"/>
      <c r="AF488" s="4"/>
      <c r="AG488" s="4"/>
      <c r="AH488" s="4">
        <v>1313645906300</v>
      </c>
    </row>
    <row r="489" spans="1:34" x14ac:dyDescent="0.25">
      <c r="A489" s="4">
        <v>488</v>
      </c>
      <c r="B489" s="5" t="s">
        <v>1085</v>
      </c>
      <c r="C489" s="5" t="s">
        <v>1086</v>
      </c>
      <c r="D489" s="5" t="s">
        <v>968</v>
      </c>
      <c r="E489" s="5" t="s">
        <v>40</v>
      </c>
      <c r="F489" s="5" t="s">
        <v>41</v>
      </c>
      <c r="G489" s="5" t="s">
        <v>93</v>
      </c>
      <c r="H489" s="4"/>
      <c r="I489" s="4"/>
      <c r="J489" s="6"/>
      <c r="K489" s="6"/>
      <c r="L489" s="6"/>
      <c r="M489" s="4"/>
      <c r="N489" s="4"/>
      <c r="O489" s="4"/>
      <c r="P489" s="6"/>
      <c r="Q489" s="6"/>
      <c r="R489" s="6"/>
      <c r="S489" s="6"/>
      <c r="T489" s="4"/>
      <c r="U489" s="6"/>
      <c r="V489" s="6"/>
      <c r="W489" s="6"/>
      <c r="X489" s="6"/>
      <c r="Y489" s="4"/>
      <c r="Z489" s="6"/>
      <c r="AA489" s="4"/>
      <c r="AB489" s="4"/>
      <c r="AC489" s="4"/>
      <c r="AD489" s="6"/>
      <c r="AE489" s="4"/>
      <c r="AF489" s="4"/>
      <c r="AG489" s="4"/>
      <c r="AH489" s="4">
        <v>48013785000</v>
      </c>
    </row>
    <row r="490" spans="1:34" x14ac:dyDescent="0.25">
      <c r="A490" s="4">
        <v>489</v>
      </c>
      <c r="B490" s="5" t="s">
        <v>1087</v>
      </c>
      <c r="C490" s="5" t="s">
        <v>1088</v>
      </c>
      <c r="D490" s="5" t="s">
        <v>968</v>
      </c>
      <c r="E490" s="5" t="s">
        <v>62</v>
      </c>
      <c r="F490" s="5" t="s">
        <v>63</v>
      </c>
      <c r="G490" s="5" t="s">
        <v>656</v>
      </c>
      <c r="H490" s="4">
        <v>0</v>
      </c>
      <c r="I490" s="4">
        <v>0</v>
      </c>
      <c r="J490" s="6">
        <v>0</v>
      </c>
      <c r="K490" s="6">
        <v>0</v>
      </c>
      <c r="L490" s="6">
        <v>-1</v>
      </c>
      <c r="M490" s="4">
        <v>1753046003</v>
      </c>
      <c r="N490" s="4">
        <v>1819169352</v>
      </c>
      <c r="O490" s="4"/>
      <c r="P490" s="6">
        <v>0.3286</v>
      </c>
      <c r="Q490" s="6">
        <v>0.37640000000000001</v>
      </c>
      <c r="R490" s="6">
        <v>0.1676</v>
      </c>
      <c r="S490" s="6">
        <v>25.511800000000001</v>
      </c>
      <c r="T490" s="4"/>
      <c r="U490" s="6">
        <v>-1</v>
      </c>
      <c r="V490" s="6">
        <v>-0.78779999999999994</v>
      </c>
      <c r="W490" s="6">
        <v>-0.75629999999999997</v>
      </c>
      <c r="X490" s="6">
        <v>0</v>
      </c>
      <c r="Y490" s="4"/>
      <c r="Z490" s="6">
        <v>0</v>
      </c>
      <c r="AA490" s="4"/>
      <c r="AB490" s="4"/>
      <c r="AC490" s="4"/>
      <c r="AD490" s="6">
        <v>0</v>
      </c>
      <c r="AE490" s="4"/>
      <c r="AF490" s="4"/>
      <c r="AG490" s="4"/>
      <c r="AH490" s="4">
        <v>306080500000</v>
      </c>
    </row>
    <row r="491" spans="1:34" x14ac:dyDescent="0.25">
      <c r="A491" s="4">
        <v>490</v>
      </c>
      <c r="B491" s="5" t="s">
        <v>1089</v>
      </c>
      <c r="C491" s="5" t="s">
        <v>1090</v>
      </c>
      <c r="D491" s="5" t="s">
        <v>968</v>
      </c>
      <c r="E491" s="5" t="s">
        <v>75</v>
      </c>
      <c r="F491" s="5" t="s">
        <v>76</v>
      </c>
      <c r="G491" s="5" t="s">
        <v>76</v>
      </c>
      <c r="H491" s="4"/>
      <c r="I491" s="4"/>
      <c r="J491" s="6"/>
      <c r="K491" s="6"/>
      <c r="L491" s="6"/>
      <c r="M491" s="4"/>
      <c r="N491" s="4"/>
      <c r="O491" s="4"/>
      <c r="P491" s="6"/>
      <c r="Q491" s="6"/>
      <c r="R491" s="6"/>
      <c r="S491" s="6"/>
      <c r="T491" s="4"/>
      <c r="U491" s="6"/>
      <c r="V491" s="6"/>
      <c r="W491" s="6"/>
      <c r="X491" s="6"/>
      <c r="Y491" s="4"/>
      <c r="Z491" s="6"/>
      <c r="AA491" s="4"/>
      <c r="AB491" s="4"/>
      <c r="AC491" s="4"/>
      <c r="AD491" s="6"/>
      <c r="AE491" s="4"/>
      <c r="AF491" s="4"/>
      <c r="AG491" s="4"/>
      <c r="AH491" s="4">
        <v>938928486400</v>
      </c>
    </row>
    <row r="492" spans="1:34" x14ac:dyDescent="0.25">
      <c r="A492" s="4">
        <v>491</v>
      </c>
      <c r="B492" s="5" t="s">
        <v>1091</v>
      </c>
      <c r="C492" s="5" t="s">
        <v>1092</v>
      </c>
      <c r="D492" s="5" t="s">
        <v>968</v>
      </c>
      <c r="E492" s="5" t="s">
        <v>234</v>
      </c>
      <c r="F492" s="5" t="s">
        <v>235</v>
      </c>
      <c r="G492" s="5" t="s">
        <v>236</v>
      </c>
      <c r="H492" s="4">
        <v>78253181578</v>
      </c>
      <c r="I492" s="4">
        <v>148932714369</v>
      </c>
      <c r="J492" s="6">
        <v>0.18659999999999999</v>
      </c>
      <c r="K492" s="6">
        <v>0.19869999999999999</v>
      </c>
      <c r="L492" s="6">
        <v>1.1999999999999999E-3</v>
      </c>
      <c r="M492" s="4">
        <v>6992653410</v>
      </c>
      <c r="N492" s="4">
        <v>13013617687</v>
      </c>
      <c r="O492" s="4"/>
      <c r="P492" s="6">
        <v>23.351199999999999</v>
      </c>
      <c r="Q492" s="6">
        <v>19.476199999999999</v>
      </c>
      <c r="R492" s="6">
        <v>1.2524</v>
      </c>
      <c r="S492" s="6">
        <v>0.16139999999999999</v>
      </c>
      <c r="T492" s="4"/>
      <c r="U492" s="6">
        <v>-0.58689999999999998</v>
      </c>
      <c r="V492" s="6">
        <v>-0.42959999999999998</v>
      </c>
      <c r="W492" s="6">
        <v>-0.43440000000000001</v>
      </c>
      <c r="X492" s="6">
        <v>2.8400000000000002E-2</v>
      </c>
      <c r="Y492" s="4"/>
      <c r="Z492" s="6">
        <v>0.1072</v>
      </c>
      <c r="AA492" s="4"/>
      <c r="AB492" s="4"/>
      <c r="AC492" s="4"/>
      <c r="AD492" s="6">
        <v>0</v>
      </c>
      <c r="AE492" s="4"/>
      <c r="AF492" s="4"/>
      <c r="AG492" s="4"/>
      <c r="AH492" s="4">
        <v>169053596800</v>
      </c>
    </row>
    <row r="493" spans="1:34" x14ac:dyDescent="0.25">
      <c r="A493" s="4">
        <v>492</v>
      </c>
      <c r="B493" s="5" t="s">
        <v>1093</v>
      </c>
      <c r="C493" s="5" t="s">
        <v>1094</v>
      </c>
      <c r="D493" s="5" t="s">
        <v>968</v>
      </c>
      <c r="E493" s="5" t="s">
        <v>98</v>
      </c>
      <c r="F493" s="5" t="s">
        <v>99</v>
      </c>
      <c r="G493" s="5" t="s">
        <v>144</v>
      </c>
      <c r="H493" s="4"/>
      <c r="I493" s="4"/>
      <c r="J493" s="6"/>
      <c r="K493" s="6"/>
      <c r="L493" s="6"/>
      <c r="M493" s="4"/>
      <c r="N493" s="4"/>
      <c r="O493" s="4"/>
      <c r="P493" s="6"/>
      <c r="Q493" s="6"/>
      <c r="R493" s="6"/>
      <c r="S493" s="6"/>
      <c r="T493" s="4"/>
      <c r="U493" s="6"/>
      <c r="V493" s="6"/>
      <c r="W493" s="6"/>
      <c r="X493" s="6"/>
      <c r="Y493" s="4"/>
      <c r="Z493" s="6"/>
      <c r="AA493" s="4"/>
      <c r="AB493" s="4"/>
      <c r="AC493" s="4"/>
      <c r="AD493" s="6"/>
      <c r="AE493" s="4"/>
      <c r="AF493" s="4"/>
      <c r="AG493" s="4"/>
      <c r="AH493" s="4">
        <v>7442165477500</v>
      </c>
    </row>
    <row r="494" spans="1:34" x14ac:dyDescent="0.25">
      <c r="A494" s="4">
        <v>493</v>
      </c>
      <c r="B494" s="5" t="s">
        <v>1095</v>
      </c>
      <c r="C494" s="5" t="s">
        <v>1096</v>
      </c>
      <c r="D494" s="5" t="s">
        <v>968</v>
      </c>
      <c r="E494" s="5" t="s">
        <v>234</v>
      </c>
      <c r="F494" s="5" t="s">
        <v>235</v>
      </c>
      <c r="G494" s="5" t="s">
        <v>236</v>
      </c>
      <c r="H494" s="4"/>
      <c r="I494" s="4"/>
      <c r="J494" s="6"/>
      <c r="K494" s="6"/>
      <c r="L494" s="6"/>
      <c r="M494" s="4"/>
      <c r="N494" s="4"/>
      <c r="O494" s="4"/>
      <c r="P494" s="6"/>
      <c r="Q494" s="6"/>
      <c r="R494" s="6"/>
      <c r="S494" s="6"/>
      <c r="T494" s="4"/>
      <c r="U494" s="6"/>
      <c r="V494" s="6"/>
      <c r="W494" s="6"/>
      <c r="X494" s="6"/>
      <c r="Y494" s="4"/>
      <c r="Z494" s="6"/>
      <c r="AA494" s="4"/>
      <c r="AB494" s="4"/>
      <c r="AC494" s="4"/>
      <c r="AD494" s="6"/>
      <c r="AE494" s="4"/>
      <c r="AF494" s="4"/>
      <c r="AG494" s="4"/>
      <c r="AH494" s="4">
        <v>258817828500</v>
      </c>
    </row>
    <row r="495" spans="1:34" x14ac:dyDescent="0.25">
      <c r="A495" s="4">
        <v>494</v>
      </c>
      <c r="B495" s="5" t="s">
        <v>1097</v>
      </c>
      <c r="C495" s="5" t="s">
        <v>1098</v>
      </c>
      <c r="D495" s="5" t="s">
        <v>968</v>
      </c>
      <c r="E495" s="5" t="s">
        <v>40</v>
      </c>
      <c r="F495" s="5" t="s">
        <v>41</v>
      </c>
      <c r="G495" s="5" t="s">
        <v>93</v>
      </c>
      <c r="H495" s="4"/>
      <c r="I495" s="4"/>
      <c r="J495" s="6"/>
      <c r="K495" s="6"/>
      <c r="L495" s="6"/>
      <c r="M495" s="4"/>
      <c r="N495" s="4"/>
      <c r="O495" s="4"/>
      <c r="P495" s="6"/>
      <c r="Q495" s="6"/>
      <c r="R495" s="6"/>
      <c r="S495" s="6"/>
      <c r="T495" s="4"/>
      <c r="U495" s="6"/>
      <c r="V495" s="6"/>
      <c r="W495" s="6"/>
      <c r="X495" s="6"/>
      <c r="Y495" s="4"/>
      <c r="Z495" s="6"/>
      <c r="AA495" s="4"/>
      <c r="AB495" s="4"/>
      <c r="AC495" s="4"/>
      <c r="AD495" s="6"/>
      <c r="AE495" s="4"/>
      <c r="AF495" s="4"/>
      <c r="AG495" s="4"/>
      <c r="AH495" s="4">
        <v>778831729000</v>
      </c>
    </row>
    <row r="496" spans="1:34" x14ac:dyDescent="0.25">
      <c r="A496" s="4">
        <v>495</v>
      </c>
      <c r="B496" s="5" t="s">
        <v>1099</v>
      </c>
      <c r="C496" s="5" t="s">
        <v>1100</v>
      </c>
      <c r="D496" s="5" t="s">
        <v>968</v>
      </c>
      <c r="E496" s="5" t="s">
        <v>62</v>
      </c>
      <c r="F496" s="5" t="s">
        <v>63</v>
      </c>
      <c r="G496" s="5" t="s">
        <v>656</v>
      </c>
      <c r="H496" s="4"/>
      <c r="I496" s="4"/>
      <c r="J496" s="6"/>
      <c r="K496" s="6"/>
      <c r="L496" s="6"/>
      <c r="M496" s="4"/>
      <c r="N496" s="4"/>
      <c r="O496" s="4"/>
      <c r="P496" s="6"/>
      <c r="Q496" s="6"/>
      <c r="R496" s="6"/>
      <c r="S496" s="6"/>
      <c r="T496" s="4"/>
      <c r="U496" s="6"/>
      <c r="V496" s="6"/>
      <c r="W496" s="6"/>
      <c r="X496" s="6"/>
      <c r="Y496" s="4"/>
      <c r="Z496" s="6"/>
      <c r="AA496" s="4"/>
      <c r="AB496" s="4"/>
      <c r="AC496" s="4"/>
      <c r="AD496" s="6"/>
      <c r="AE496" s="4"/>
      <c r="AF496" s="4"/>
      <c r="AG496" s="4"/>
      <c r="AH496" s="4">
        <v>96666164800</v>
      </c>
    </row>
    <row r="497" spans="1:34" x14ac:dyDescent="0.25">
      <c r="A497" s="4">
        <v>496</v>
      </c>
      <c r="B497" s="5" t="s">
        <v>1101</v>
      </c>
      <c r="C497" s="5" t="s">
        <v>1102</v>
      </c>
      <c r="D497" s="5" t="s">
        <v>968</v>
      </c>
      <c r="E497" s="5" t="s">
        <v>62</v>
      </c>
      <c r="F497" s="5" t="s">
        <v>63</v>
      </c>
      <c r="G497" s="5" t="s">
        <v>656</v>
      </c>
      <c r="H497" s="4"/>
      <c r="I497" s="4"/>
      <c r="J497" s="6"/>
      <c r="K497" s="6"/>
      <c r="L497" s="6"/>
      <c r="M497" s="4"/>
      <c r="N497" s="4"/>
      <c r="O497" s="4"/>
      <c r="P497" s="6"/>
      <c r="Q497" s="6"/>
      <c r="R497" s="6"/>
      <c r="S497" s="6"/>
      <c r="T497" s="4"/>
      <c r="U497" s="6"/>
      <c r="V497" s="6"/>
      <c r="W497" s="6"/>
      <c r="X497" s="6"/>
      <c r="Y497" s="4"/>
      <c r="Z497" s="6"/>
      <c r="AA497" s="4"/>
      <c r="AB497" s="4"/>
      <c r="AC497" s="4"/>
      <c r="AD497" s="6"/>
      <c r="AE497" s="4"/>
      <c r="AF497" s="4"/>
      <c r="AG497" s="4"/>
      <c r="AH497" s="4">
        <v>16192000000</v>
      </c>
    </row>
    <row r="498" spans="1:34" x14ac:dyDescent="0.25">
      <c r="A498" s="4">
        <v>497</v>
      </c>
      <c r="B498" s="5" t="s">
        <v>1103</v>
      </c>
      <c r="C498" s="5" t="s">
        <v>1104</v>
      </c>
      <c r="D498" s="5" t="s">
        <v>968</v>
      </c>
      <c r="E498" s="5" t="s">
        <v>62</v>
      </c>
      <c r="F498" s="5" t="s">
        <v>63</v>
      </c>
      <c r="G498" s="5" t="s">
        <v>656</v>
      </c>
      <c r="H498" s="4"/>
      <c r="I498" s="4"/>
      <c r="J498" s="6"/>
      <c r="K498" s="6"/>
      <c r="L498" s="6"/>
      <c r="M498" s="4"/>
      <c r="N498" s="4"/>
      <c r="O498" s="4"/>
      <c r="P498" s="6"/>
      <c r="Q498" s="6"/>
      <c r="R498" s="6"/>
      <c r="S498" s="6"/>
      <c r="T498" s="4"/>
      <c r="U498" s="6"/>
      <c r="V498" s="6"/>
      <c r="W498" s="6"/>
      <c r="X498" s="6"/>
      <c r="Y498" s="4"/>
      <c r="Z498" s="6"/>
      <c r="AA498" s="4"/>
      <c r="AB498" s="4"/>
      <c r="AC498" s="4"/>
      <c r="AD498" s="6"/>
      <c r="AE498" s="4"/>
      <c r="AF498" s="4"/>
      <c r="AG498" s="4"/>
      <c r="AH498" s="4">
        <v>297000000000</v>
      </c>
    </row>
    <row r="499" spans="1:34" x14ac:dyDescent="0.25">
      <c r="A499" s="4">
        <v>498</v>
      </c>
      <c r="B499" s="5" t="s">
        <v>1105</v>
      </c>
      <c r="C499" s="5" t="s">
        <v>1106</v>
      </c>
      <c r="D499" s="5" t="s">
        <v>968</v>
      </c>
      <c r="E499" s="5" t="s">
        <v>75</v>
      </c>
      <c r="F499" s="5" t="s">
        <v>79</v>
      </c>
      <c r="G499" s="5" t="s">
        <v>80</v>
      </c>
      <c r="H499" s="4">
        <v>281342815690</v>
      </c>
      <c r="I499" s="4">
        <v>289496874285</v>
      </c>
      <c r="J499" s="6">
        <v>8.1544000000000008</v>
      </c>
      <c r="K499" s="6">
        <v>1.4593</v>
      </c>
      <c r="L499" s="6">
        <v>0.60560000000000003</v>
      </c>
      <c r="M499" s="4">
        <v>194833641057</v>
      </c>
      <c r="N499" s="4">
        <v>37347591496</v>
      </c>
      <c r="O499" s="4"/>
      <c r="P499" s="6">
        <v>25.622800000000002</v>
      </c>
      <c r="Q499" s="6">
        <v>14.173400000000001</v>
      </c>
      <c r="R499" s="6">
        <v>1.7181</v>
      </c>
      <c r="S499" s="6">
        <v>2.2370999999999999</v>
      </c>
      <c r="T499" s="4"/>
      <c r="U499" s="6">
        <v>1.3555999999999999</v>
      </c>
      <c r="V499" s="6">
        <v>5.2224000000000004</v>
      </c>
      <c r="W499" s="6">
        <v>5.2885</v>
      </c>
      <c r="X499" s="6">
        <v>0</v>
      </c>
      <c r="Y499" s="4"/>
      <c r="Z499" s="6">
        <v>33.503399999999999</v>
      </c>
      <c r="AA499" s="4"/>
      <c r="AB499" s="4"/>
      <c r="AC499" s="4"/>
      <c r="AD499" s="6">
        <v>0</v>
      </c>
      <c r="AE499" s="4"/>
      <c r="AF499" s="4"/>
      <c r="AG499" s="4"/>
      <c r="AH499" s="4">
        <v>988803708000</v>
      </c>
    </row>
    <row r="500" spans="1:34" x14ac:dyDescent="0.25">
      <c r="A500" s="4">
        <v>499</v>
      </c>
      <c r="B500" s="5" t="s">
        <v>1107</v>
      </c>
      <c r="C500" s="5" t="s">
        <v>1108</v>
      </c>
      <c r="D500" s="5" t="s">
        <v>968</v>
      </c>
      <c r="E500" s="5" t="s">
        <v>40</v>
      </c>
      <c r="F500" s="5" t="s">
        <v>52</v>
      </c>
      <c r="G500" s="5" t="s">
        <v>53</v>
      </c>
      <c r="H500" s="4"/>
      <c r="I500" s="4"/>
      <c r="J500" s="6"/>
      <c r="K500" s="6"/>
      <c r="L500" s="6"/>
      <c r="M500" s="4"/>
      <c r="N500" s="4"/>
      <c r="O500" s="4"/>
      <c r="P500" s="6"/>
      <c r="Q500" s="6"/>
      <c r="R500" s="6"/>
      <c r="S500" s="6"/>
      <c r="T500" s="4"/>
      <c r="U500" s="6"/>
      <c r="V500" s="6"/>
      <c r="W500" s="6"/>
      <c r="X500" s="6"/>
      <c r="Y500" s="4"/>
      <c r="Z500" s="6"/>
      <c r="AA500" s="4"/>
      <c r="AB500" s="4"/>
      <c r="AC500" s="4"/>
      <c r="AD500" s="6"/>
      <c r="AE500" s="4"/>
      <c r="AF500" s="4"/>
      <c r="AG500" s="4"/>
      <c r="AH500" s="4">
        <v>37073937000</v>
      </c>
    </row>
    <row r="501" spans="1:34" x14ac:dyDescent="0.25">
      <c r="A501" s="4">
        <v>500</v>
      </c>
      <c r="B501" s="5" t="s">
        <v>1109</v>
      </c>
      <c r="C501" s="5" t="s">
        <v>1110</v>
      </c>
      <c r="D501" s="5" t="s">
        <v>968</v>
      </c>
      <c r="E501" s="5" t="s">
        <v>98</v>
      </c>
      <c r="F501" s="5" t="s">
        <v>99</v>
      </c>
      <c r="G501" s="5" t="s">
        <v>155</v>
      </c>
      <c r="H501" s="4">
        <v>172958684981</v>
      </c>
      <c r="I501" s="4">
        <v>333386815394</v>
      </c>
      <c r="J501" s="6">
        <v>1.21E-2</v>
      </c>
      <c r="K501" s="6">
        <v>-8.6999999999999994E-3</v>
      </c>
      <c r="L501" s="6">
        <v>-1.1999999999999999E-3</v>
      </c>
      <c r="M501" s="4">
        <v>10947063187</v>
      </c>
      <c r="N501" s="4">
        <v>11667085013</v>
      </c>
      <c r="O501" s="4"/>
      <c r="P501" s="6">
        <v>-0.40350000000000003</v>
      </c>
      <c r="Q501" s="6">
        <v>-0.3876</v>
      </c>
      <c r="R501" s="6">
        <v>-0.222</v>
      </c>
      <c r="S501" s="6">
        <v>14.203799999999999</v>
      </c>
      <c r="T501" s="4"/>
      <c r="U501" s="6">
        <v>-0.51429999999999998</v>
      </c>
      <c r="V501" s="6">
        <v>-0.71230000000000004</v>
      </c>
      <c r="W501" s="6">
        <v>-0.71399999999999997</v>
      </c>
      <c r="X501" s="6">
        <v>0</v>
      </c>
      <c r="Y501" s="4"/>
      <c r="Z501" s="6">
        <v>7.8100000000000003E-2</v>
      </c>
      <c r="AA501" s="4"/>
      <c r="AB501" s="4"/>
      <c r="AC501" s="4"/>
      <c r="AD501" s="6">
        <v>0</v>
      </c>
      <c r="AE501" s="4"/>
      <c r="AF501" s="4"/>
      <c r="AG501" s="4"/>
      <c r="AH501" s="4">
        <v>290700000000</v>
      </c>
    </row>
    <row r="502" spans="1:34" x14ac:dyDescent="0.25">
      <c r="A502" s="4">
        <v>501</v>
      </c>
      <c r="B502" s="5" t="s">
        <v>1111</v>
      </c>
      <c r="C502" s="5" t="s">
        <v>1112</v>
      </c>
      <c r="D502" s="5" t="s">
        <v>968</v>
      </c>
      <c r="E502" s="5" t="s">
        <v>40</v>
      </c>
      <c r="F502" s="5" t="s">
        <v>41</v>
      </c>
      <c r="G502" s="5" t="s">
        <v>93</v>
      </c>
      <c r="H502" s="4">
        <v>45932435952</v>
      </c>
      <c r="I502" s="4">
        <v>85927461585</v>
      </c>
      <c r="J502" s="6">
        <v>0.19719999999999999</v>
      </c>
      <c r="K502" s="6">
        <v>0.1462</v>
      </c>
      <c r="L502" s="6">
        <v>7.3999999999999996E-2</v>
      </c>
      <c r="M502" s="4">
        <v>3641055043</v>
      </c>
      <c r="N502" s="4">
        <v>5956377140</v>
      </c>
      <c r="O502" s="4"/>
      <c r="P502" s="6">
        <v>-0.12</v>
      </c>
      <c r="Q502" s="6">
        <v>-0.12920000000000001</v>
      </c>
      <c r="R502" s="6">
        <v>6.6E-3</v>
      </c>
      <c r="S502" s="6">
        <v>0.5726</v>
      </c>
      <c r="T502" s="4"/>
      <c r="U502" s="6">
        <v>-0.42720000000000002</v>
      </c>
      <c r="V502" s="6">
        <v>-0.54100000000000004</v>
      </c>
      <c r="W502" s="6">
        <v>-0.51959999999999995</v>
      </c>
      <c r="X502" s="6">
        <v>4.1000000000000002E-2</v>
      </c>
      <c r="Y502" s="4"/>
      <c r="Z502" s="6">
        <v>0.14849999999999999</v>
      </c>
      <c r="AA502" s="4"/>
      <c r="AB502" s="4"/>
      <c r="AC502" s="4"/>
      <c r="AD502" s="6">
        <v>0</v>
      </c>
      <c r="AE502" s="4"/>
      <c r="AF502" s="4"/>
      <c r="AG502" s="4"/>
      <c r="AH502" s="4">
        <v>310514253600</v>
      </c>
    </row>
    <row r="503" spans="1:34" x14ac:dyDescent="0.25">
      <c r="A503" s="4">
        <v>502</v>
      </c>
      <c r="B503" s="5" t="s">
        <v>1113</v>
      </c>
      <c r="C503" s="5" t="s">
        <v>1114</v>
      </c>
      <c r="D503" s="5" t="s">
        <v>968</v>
      </c>
      <c r="E503" s="5" t="s">
        <v>40</v>
      </c>
      <c r="F503" s="5" t="s">
        <v>52</v>
      </c>
      <c r="G503" s="5" t="s">
        <v>53</v>
      </c>
      <c r="H503" s="4"/>
      <c r="I503" s="4"/>
      <c r="J503" s="6"/>
      <c r="K503" s="6"/>
      <c r="L503" s="6"/>
      <c r="M503" s="4"/>
      <c r="N503" s="4"/>
      <c r="O503" s="4"/>
      <c r="P503" s="6"/>
      <c r="Q503" s="6"/>
      <c r="R503" s="6"/>
      <c r="S503" s="6"/>
      <c r="T503" s="4"/>
      <c r="U503" s="6"/>
      <c r="V503" s="6"/>
      <c r="W503" s="6"/>
      <c r="X503" s="6"/>
      <c r="Y503" s="4"/>
      <c r="Z503" s="6"/>
      <c r="AA503" s="4"/>
      <c r="AB503" s="4"/>
      <c r="AC503" s="4"/>
      <c r="AD503" s="6"/>
      <c r="AE503" s="4"/>
      <c r="AF503" s="4"/>
      <c r="AG503" s="4"/>
      <c r="AH503" s="4">
        <v>44007931800</v>
      </c>
    </row>
    <row r="504" spans="1:34" x14ac:dyDescent="0.25">
      <c r="A504" s="4">
        <v>503</v>
      </c>
      <c r="B504" s="5" t="s">
        <v>1115</v>
      </c>
      <c r="C504" s="5" t="s">
        <v>1116</v>
      </c>
      <c r="D504" s="5" t="s">
        <v>968</v>
      </c>
      <c r="E504" s="5" t="s">
        <v>29</v>
      </c>
      <c r="F504" s="5" t="s">
        <v>36</v>
      </c>
      <c r="G504" s="5" t="s">
        <v>1117</v>
      </c>
      <c r="H504" s="4"/>
      <c r="I504" s="4"/>
      <c r="J504" s="6"/>
      <c r="K504" s="6"/>
      <c r="L504" s="6"/>
      <c r="M504" s="4"/>
      <c r="N504" s="4"/>
      <c r="O504" s="4"/>
      <c r="P504" s="6"/>
      <c r="Q504" s="6"/>
      <c r="R504" s="6"/>
      <c r="S504" s="6"/>
      <c r="T504" s="4"/>
      <c r="U504" s="6"/>
      <c r="V504" s="6"/>
      <c r="W504" s="6"/>
      <c r="X504" s="6"/>
      <c r="Y504" s="4"/>
      <c r="Z504" s="6"/>
      <c r="AA504" s="4"/>
      <c r="AB504" s="4"/>
      <c r="AC504" s="4"/>
      <c r="AD504" s="6"/>
      <c r="AE504" s="4"/>
      <c r="AF504" s="4"/>
      <c r="AG504" s="4"/>
      <c r="AH504" s="4">
        <v>279802260000</v>
      </c>
    </row>
    <row r="505" spans="1:34" x14ac:dyDescent="0.25">
      <c r="A505" s="4">
        <v>504</v>
      </c>
      <c r="B505" s="5" t="s">
        <v>1118</v>
      </c>
      <c r="C505" s="5" t="s">
        <v>1119</v>
      </c>
      <c r="D505" s="5" t="s">
        <v>968</v>
      </c>
      <c r="E505" s="5" t="s">
        <v>29</v>
      </c>
      <c r="F505" s="5" t="s">
        <v>203</v>
      </c>
      <c r="G505" s="5" t="s">
        <v>211</v>
      </c>
      <c r="H505" s="4"/>
      <c r="I505" s="4"/>
      <c r="J505" s="6"/>
      <c r="K505" s="6"/>
      <c r="L505" s="6"/>
      <c r="M505" s="4"/>
      <c r="N505" s="4"/>
      <c r="O505" s="4"/>
      <c r="P505" s="6"/>
      <c r="Q505" s="6"/>
      <c r="R505" s="6"/>
      <c r="S505" s="6"/>
      <c r="T505" s="4"/>
      <c r="U505" s="6"/>
      <c r="V505" s="6"/>
      <c r="W505" s="6"/>
      <c r="X505" s="6"/>
      <c r="Y505" s="4"/>
      <c r="Z505" s="6"/>
      <c r="AA505" s="4"/>
      <c r="AB505" s="4"/>
      <c r="AC505" s="4"/>
      <c r="AD505" s="6"/>
      <c r="AE505" s="4"/>
      <c r="AF505" s="4"/>
      <c r="AG505" s="4"/>
      <c r="AH505" s="4">
        <v>1139999943000</v>
      </c>
    </row>
    <row r="506" spans="1:34" x14ac:dyDescent="0.25">
      <c r="A506" s="4">
        <v>505</v>
      </c>
      <c r="B506" s="5" t="s">
        <v>1120</v>
      </c>
      <c r="C506" s="5" t="s">
        <v>1121</v>
      </c>
      <c r="D506" s="5" t="s">
        <v>968</v>
      </c>
      <c r="E506" s="5" t="s">
        <v>40</v>
      </c>
      <c r="F506" s="5" t="s">
        <v>52</v>
      </c>
      <c r="G506" s="5" t="s">
        <v>53</v>
      </c>
      <c r="H506" s="4">
        <v>60328018356</v>
      </c>
      <c r="I506" s="4">
        <v>103857233085</v>
      </c>
      <c r="J506" s="6">
        <v>0.1623</v>
      </c>
      <c r="K506" s="6">
        <v>0.27360000000000001</v>
      </c>
      <c r="L506" s="6">
        <v>0.23469999999999999</v>
      </c>
      <c r="M506" s="4">
        <v>8571448101</v>
      </c>
      <c r="N506" s="4">
        <v>11389017159</v>
      </c>
      <c r="O506" s="4"/>
      <c r="P506" s="6">
        <v>0.79900000000000004</v>
      </c>
      <c r="Q506" s="6">
        <v>0.79910000000000003</v>
      </c>
      <c r="R506" s="6">
        <v>0.62790000000000001</v>
      </c>
      <c r="S506" s="6">
        <v>2.0421</v>
      </c>
      <c r="T506" s="4"/>
      <c r="U506" s="6">
        <v>-0.40889999999999999</v>
      </c>
      <c r="V506" s="6">
        <v>-0.3458</v>
      </c>
      <c r="W506" s="6">
        <v>-0.35160000000000002</v>
      </c>
      <c r="X506" s="6">
        <v>0</v>
      </c>
      <c r="Y506" s="4"/>
      <c r="Z506" s="6">
        <v>0.38590000000000002</v>
      </c>
      <c r="AA506" s="4"/>
      <c r="AB506" s="4"/>
      <c r="AC506" s="4"/>
      <c r="AD506" s="6">
        <v>0</v>
      </c>
      <c r="AE506" s="4"/>
      <c r="AF506" s="4"/>
      <c r="AG506" s="4"/>
      <c r="AH506" s="4">
        <v>147261551300</v>
      </c>
    </row>
    <row r="507" spans="1:34" x14ac:dyDescent="0.25">
      <c r="A507" s="4">
        <v>506</v>
      </c>
      <c r="B507" s="5" t="s">
        <v>1122</v>
      </c>
      <c r="C507" s="5" t="s">
        <v>1123</v>
      </c>
      <c r="D507" s="5" t="s">
        <v>968</v>
      </c>
      <c r="E507" s="5" t="s">
        <v>29</v>
      </c>
      <c r="F507" s="5" t="s">
        <v>30</v>
      </c>
      <c r="G507" s="5" t="s">
        <v>117</v>
      </c>
      <c r="H507" s="4">
        <v>69428209535</v>
      </c>
      <c r="I507" s="4">
        <v>96099623389</v>
      </c>
      <c r="J507" s="6">
        <v>0.15110000000000001</v>
      </c>
      <c r="K507" s="6">
        <v>0.2843</v>
      </c>
      <c r="L507" s="6">
        <v>0.15429999999999999</v>
      </c>
      <c r="M507" s="4">
        <v>7082139536</v>
      </c>
      <c r="N507" s="4">
        <v>6180356825</v>
      </c>
      <c r="O507" s="4"/>
      <c r="P507" s="6">
        <v>0.32069999999999999</v>
      </c>
      <c r="Q507" s="6">
        <v>0.39069999999999999</v>
      </c>
      <c r="R507" s="6">
        <v>1.3086</v>
      </c>
      <c r="S507" s="6">
        <v>8.8535000000000004</v>
      </c>
      <c r="T507" s="4"/>
      <c r="U507" s="6">
        <v>-0.44269999999999998</v>
      </c>
      <c r="V507" s="6">
        <v>-0.13389999999999999</v>
      </c>
      <c r="W507" s="6">
        <v>-0.13389999999999999</v>
      </c>
      <c r="X507" s="6">
        <v>0</v>
      </c>
      <c r="Y507" s="4"/>
      <c r="Z507" s="6">
        <v>1.6031</v>
      </c>
      <c r="AA507" s="4"/>
      <c r="AB507" s="4"/>
      <c r="AC507" s="4"/>
      <c r="AD507" s="6">
        <v>0</v>
      </c>
      <c r="AE507" s="4"/>
      <c r="AF507" s="4"/>
      <c r="AG507" s="4"/>
      <c r="AH507" s="4">
        <v>53600000000</v>
      </c>
    </row>
    <row r="508" spans="1:34" x14ac:dyDescent="0.25">
      <c r="A508" s="4">
        <v>507</v>
      </c>
      <c r="B508" s="5" t="s">
        <v>1124</v>
      </c>
      <c r="C508" s="5" t="s">
        <v>1125</v>
      </c>
      <c r="D508" s="5" t="s">
        <v>968</v>
      </c>
      <c r="E508" s="5" t="s">
        <v>29</v>
      </c>
      <c r="F508" s="5" t="s">
        <v>30</v>
      </c>
      <c r="G508" s="5" t="s">
        <v>117</v>
      </c>
      <c r="H508" s="4">
        <v>560979457309</v>
      </c>
      <c r="I508" s="4">
        <v>771195841819</v>
      </c>
      <c r="J508" s="6">
        <v>0.1113</v>
      </c>
      <c r="K508" s="6">
        <v>0.1258</v>
      </c>
      <c r="L508" s="6">
        <v>7.3899999999999993E-2</v>
      </c>
      <c r="M508" s="4">
        <v>3053861783</v>
      </c>
      <c r="N508" s="4">
        <v>3437161053</v>
      </c>
      <c r="O508" s="4"/>
      <c r="P508" s="6">
        <v>4.7100000000000003E-2</v>
      </c>
      <c r="Q508" s="6">
        <v>4.1300000000000003E-2</v>
      </c>
      <c r="R508" s="6">
        <v>0.56869999999999998</v>
      </c>
      <c r="S508" s="6">
        <v>6.9672999999999998</v>
      </c>
      <c r="T508" s="4"/>
      <c r="U508" s="6">
        <v>-0.53449999999999998</v>
      </c>
      <c r="V508" s="6">
        <v>-0.48099999999999998</v>
      </c>
      <c r="W508" s="6">
        <v>-0.48099999999999998</v>
      </c>
      <c r="X508" s="6">
        <v>3.5700000000000003E-2</v>
      </c>
      <c r="Y508" s="4"/>
      <c r="Z508" s="6">
        <v>1.6686000000000001</v>
      </c>
      <c r="AA508" s="4"/>
      <c r="AB508" s="4"/>
      <c r="AC508" s="4"/>
      <c r="AD508" s="6">
        <v>0</v>
      </c>
      <c r="AE508" s="4"/>
      <c r="AF508" s="4"/>
      <c r="AG508" s="4"/>
      <c r="AH508" s="4">
        <v>87444000000</v>
      </c>
    </row>
    <row r="509" spans="1:34" x14ac:dyDescent="0.25">
      <c r="A509" s="4">
        <v>508</v>
      </c>
      <c r="B509" s="5" t="s">
        <v>1126</v>
      </c>
      <c r="C509" s="5" t="s">
        <v>1127</v>
      </c>
      <c r="D509" s="5" t="s">
        <v>968</v>
      </c>
      <c r="E509" s="5" t="s">
        <v>75</v>
      </c>
      <c r="F509" s="5" t="s">
        <v>79</v>
      </c>
      <c r="G509" s="5" t="s">
        <v>80</v>
      </c>
      <c r="H509" s="4"/>
      <c r="I509" s="4"/>
      <c r="J509" s="6"/>
      <c r="K509" s="6"/>
      <c r="L509" s="6"/>
      <c r="M509" s="4"/>
      <c r="N509" s="4"/>
      <c r="O509" s="4"/>
      <c r="P509" s="6"/>
      <c r="Q509" s="6"/>
      <c r="R509" s="6"/>
      <c r="S509" s="6"/>
      <c r="T509" s="4"/>
      <c r="U509" s="6"/>
      <c r="V509" s="6"/>
      <c r="W509" s="6"/>
      <c r="X509" s="6"/>
      <c r="Y509" s="4"/>
      <c r="Z509" s="6"/>
      <c r="AA509" s="4"/>
      <c r="AB509" s="4"/>
      <c r="AC509" s="4"/>
      <c r="AD509" s="6"/>
      <c r="AE509" s="4"/>
      <c r="AF509" s="4"/>
      <c r="AG509" s="4"/>
      <c r="AH509" s="4">
        <v>145199912000</v>
      </c>
    </row>
    <row r="510" spans="1:34" x14ac:dyDescent="0.25">
      <c r="A510" s="4">
        <v>509</v>
      </c>
      <c r="B510" s="5" t="s">
        <v>1128</v>
      </c>
      <c r="C510" s="5" t="s">
        <v>1129</v>
      </c>
      <c r="D510" s="5" t="s">
        <v>968</v>
      </c>
      <c r="E510" s="5" t="s">
        <v>40</v>
      </c>
      <c r="F510" s="5" t="s">
        <v>52</v>
      </c>
      <c r="G510" s="5" t="s">
        <v>53</v>
      </c>
      <c r="H510" s="4">
        <v>161981027784</v>
      </c>
      <c r="I510" s="4">
        <v>274020027874</v>
      </c>
      <c r="J510" s="6">
        <v>0.3538</v>
      </c>
      <c r="K510" s="6">
        <v>0.39650000000000002</v>
      </c>
      <c r="L510" s="6">
        <v>0.37809999999999999</v>
      </c>
      <c r="M510" s="4">
        <v>20472545010</v>
      </c>
      <c r="N510" s="4">
        <v>31418044588</v>
      </c>
      <c r="O510" s="4"/>
      <c r="P510" s="6">
        <v>0.69840000000000002</v>
      </c>
      <c r="Q510" s="6">
        <v>0.89400000000000002</v>
      </c>
      <c r="R510" s="6">
        <v>0.87709999999999999</v>
      </c>
      <c r="S510" s="6">
        <v>0.87039999999999995</v>
      </c>
      <c r="T510" s="4"/>
      <c r="U510" s="6">
        <v>-0.3397</v>
      </c>
      <c r="V510" s="6">
        <v>0.315</v>
      </c>
      <c r="W510" s="6">
        <v>0.30909999999999999</v>
      </c>
      <c r="X510" s="6">
        <v>0</v>
      </c>
      <c r="Y510" s="4"/>
      <c r="Z510" s="6">
        <v>0.44579999999999997</v>
      </c>
      <c r="AA510" s="4"/>
      <c r="AB510" s="4"/>
      <c r="AC510" s="4"/>
      <c r="AD510" s="6">
        <v>0</v>
      </c>
      <c r="AE510" s="4"/>
      <c r="AF510" s="4"/>
      <c r="AG510" s="4"/>
      <c r="AH510" s="4">
        <v>183171170700</v>
      </c>
    </row>
    <row r="511" spans="1:34" x14ac:dyDescent="0.25">
      <c r="A511" s="4">
        <v>510</v>
      </c>
      <c r="B511" s="5" t="s">
        <v>1130</v>
      </c>
      <c r="C511" s="5" t="s">
        <v>1131</v>
      </c>
      <c r="D511" s="5" t="s">
        <v>968</v>
      </c>
      <c r="E511" s="5" t="s">
        <v>40</v>
      </c>
      <c r="F511" s="5" t="s">
        <v>41</v>
      </c>
      <c r="G511" s="5" t="s">
        <v>557</v>
      </c>
      <c r="H511" s="4">
        <v>10984513899</v>
      </c>
      <c r="I511" s="4">
        <v>19357231307</v>
      </c>
      <c r="J511" s="6">
        <v>0.39439999999999997</v>
      </c>
      <c r="K511" s="6">
        <v>0.27939999999999998</v>
      </c>
      <c r="L511" s="6">
        <v>0.14119999999999999</v>
      </c>
      <c r="M511" s="4">
        <v>149505119</v>
      </c>
      <c r="N511" s="4">
        <v>502580583</v>
      </c>
      <c r="O511" s="4"/>
      <c r="P511" s="6">
        <v>-0.13800000000000001</v>
      </c>
      <c r="Q511" s="6">
        <v>0.749</v>
      </c>
      <c r="R511" s="6">
        <v>-0.7278</v>
      </c>
      <c r="S511" s="6">
        <v>-0.5766</v>
      </c>
      <c r="T511" s="4"/>
      <c r="U511" s="6">
        <v>-0.33260000000000001</v>
      </c>
      <c r="V511" s="6">
        <v>-0.1492</v>
      </c>
      <c r="W511" s="6">
        <v>0.107</v>
      </c>
      <c r="X511" s="6">
        <v>0</v>
      </c>
      <c r="Y511" s="4"/>
      <c r="Z511" s="6">
        <v>0.3206</v>
      </c>
      <c r="AA511" s="4"/>
      <c r="AB511" s="4"/>
      <c r="AC511" s="4"/>
      <c r="AD511" s="6">
        <v>0</v>
      </c>
      <c r="AE511" s="4"/>
      <c r="AF511" s="4"/>
      <c r="AG511" s="4"/>
      <c r="AH511" s="4">
        <v>21373681000</v>
      </c>
    </row>
    <row r="512" spans="1:34" x14ac:dyDescent="0.25">
      <c r="A512" s="4">
        <v>511</v>
      </c>
      <c r="B512" s="5" t="s">
        <v>1132</v>
      </c>
      <c r="C512" s="5" t="s">
        <v>1133</v>
      </c>
      <c r="D512" s="5" t="s">
        <v>968</v>
      </c>
      <c r="E512" s="5" t="s">
        <v>40</v>
      </c>
      <c r="F512" s="5" t="s">
        <v>52</v>
      </c>
      <c r="G512" s="5" t="s">
        <v>53</v>
      </c>
      <c r="H512" s="4"/>
      <c r="I512" s="4"/>
      <c r="J512" s="6"/>
      <c r="K512" s="6"/>
      <c r="L512" s="6"/>
      <c r="M512" s="4"/>
      <c r="N512" s="4"/>
      <c r="O512" s="4"/>
      <c r="P512" s="6"/>
      <c r="Q512" s="6"/>
      <c r="R512" s="6"/>
      <c r="S512" s="6"/>
      <c r="T512" s="4"/>
      <c r="U512" s="6"/>
      <c r="V512" s="6"/>
      <c r="W512" s="6"/>
      <c r="X512" s="6"/>
      <c r="Y512" s="4"/>
      <c r="Z512" s="6"/>
      <c r="AA512" s="4"/>
      <c r="AB512" s="4"/>
      <c r="AC512" s="4"/>
      <c r="AD512" s="6"/>
      <c r="AE512" s="4"/>
      <c r="AF512" s="4"/>
      <c r="AG512" s="4"/>
      <c r="AH512" s="4">
        <v>197339408500</v>
      </c>
    </row>
    <row r="513" spans="1:34" x14ac:dyDescent="0.25">
      <c r="A513" s="4">
        <v>512</v>
      </c>
      <c r="B513" s="5" t="s">
        <v>1134</v>
      </c>
      <c r="C513" s="5" t="s">
        <v>1135</v>
      </c>
      <c r="D513" s="5" t="s">
        <v>968</v>
      </c>
      <c r="E513" s="5" t="s">
        <v>62</v>
      </c>
      <c r="F513" s="5" t="s">
        <v>63</v>
      </c>
      <c r="G513" s="5" t="s">
        <v>656</v>
      </c>
      <c r="H513" s="4"/>
      <c r="I513" s="4"/>
      <c r="J513" s="6"/>
      <c r="K513" s="6"/>
      <c r="L513" s="6"/>
      <c r="M513" s="4"/>
      <c r="N513" s="4"/>
      <c r="O513" s="4"/>
      <c r="P513" s="6"/>
      <c r="Q513" s="6"/>
      <c r="R513" s="6"/>
      <c r="S513" s="6"/>
      <c r="T513" s="4"/>
      <c r="U513" s="6"/>
      <c r="V513" s="6"/>
      <c r="W513" s="6"/>
      <c r="X513" s="6"/>
      <c r="Y513" s="4"/>
      <c r="Z513" s="6"/>
      <c r="AA513" s="4"/>
      <c r="AB513" s="4"/>
      <c r="AC513" s="4"/>
      <c r="AD513" s="6"/>
      <c r="AE513" s="4"/>
      <c r="AF513" s="4"/>
      <c r="AG513" s="4"/>
      <c r="AH513" s="4">
        <v>38000000000</v>
      </c>
    </row>
    <row r="514" spans="1:34" x14ac:dyDescent="0.25">
      <c r="A514" s="4">
        <v>513</v>
      </c>
      <c r="B514" s="5" t="s">
        <v>1136</v>
      </c>
      <c r="C514" s="5" t="s">
        <v>1137</v>
      </c>
      <c r="D514" s="5" t="s">
        <v>968</v>
      </c>
      <c r="E514" s="5" t="s">
        <v>24</v>
      </c>
      <c r="F514" s="5" t="s">
        <v>56</v>
      </c>
      <c r="G514" s="5" t="s">
        <v>129</v>
      </c>
      <c r="H514" s="4">
        <v>41723088658</v>
      </c>
      <c r="I514" s="4">
        <v>118927547771</v>
      </c>
      <c r="J514" s="6">
        <v>-0.85060000000000002</v>
      </c>
      <c r="K514" s="6"/>
      <c r="L514" s="6"/>
      <c r="M514" s="4">
        <v>8674963568</v>
      </c>
      <c r="N514" s="4">
        <v>51747505970</v>
      </c>
      <c r="O514" s="4"/>
      <c r="P514" s="6">
        <v>-0.9577</v>
      </c>
      <c r="Q514" s="6"/>
      <c r="R514" s="6"/>
      <c r="S514" s="6">
        <v>-0.79859999999999998</v>
      </c>
      <c r="T514" s="4"/>
      <c r="U514" s="6"/>
      <c r="V514" s="6"/>
      <c r="W514" s="6"/>
      <c r="X514" s="6"/>
      <c r="Y514" s="4"/>
      <c r="Z514" s="6">
        <v>-0.45960000000000001</v>
      </c>
      <c r="AA514" s="4"/>
      <c r="AB514" s="4"/>
      <c r="AC514" s="4"/>
      <c r="AD514" s="6"/>
      <c r="AE514" s="4"/>
      <c r="AF514" s="4"/>
      <c r="AG514" s="4"/>
      <c r="AH514" s="4">
        <v>1615320000000</v>
      </c>
    </row>
    <row r="515" spans="1:34" x14ac:dyDescent="0.25">
      <c r="A515" s="4">
        <v>514</v>
      </c>
      <c r="B515" s="5" t="s">
        <v>1138</v>
      </c>
      <c r="C515" s="5" t="s">
        <v>1139</v>
      </c>
      <c r="D515" s="5" t="s">
        <v>968</v>
      </c>
      <c r="E515" s="5" t="s">
        <v>29</v>
      </c>
      <c r="F515" s="5" t="s">
        <v>30</v>
      </c>
      <c r="G515" s="5" t="s">
        <v>83</v>
      </c>
      <c r="H515" s="4"/>
      <c r="I515" s="4"/>
      <c r="J515" s="6"/>
      <c r="K515" s="6"/>
      <c r="L515" s="6"/>
      <c r="M515" s="4"/>
      <c r="N515" s="4"/>
      <c r="O515" s="4"/>
      <c r="P515" s="6"/>
      <c r="Q515" s="6"/>
      <c r="R515" s="6"/>
      <c r="S515" s="6"/>
      <c r="T515" s="4"/>
      <c r="U515" s="6"/>
      <c r="V515" s="6"/>
      <c r="W515" s="6"/>
      <c r="X515" s="6"/>
      <c r="Y515" s="4"/>
      <c r="Z515" s="6"/>
      <c r="AA515" s="4"/>
      <c r="AB515" s="4"/>
      <c r="AC515" s="4"/>
      <c r="AD515" s="6"/>
      <c r="AE515" s="4"/>
      <c r="AF515" s="4"/>
      <c r="AG515" s="4"/>
      <c r="AH515" s="4">
        <v>1113615000000</v>
      </c>
    </row>
    <row r="516" spans="1:34" x14ac:dyDescent="0.25">
      <c r="A516" s="4">
        <v>515</v>
      </c>
      <c r="B516" s="5" t="s">
        <v>1140</v>
      </c>
      <c r="C516" s="5" t="s">
        <v>1141</v>
      </c>
      <c r="D516" s="5" t="s">
        <v>968</v>
      </c>
      <c r="E516" s="5" t="s">
        <v>98</v>
      </c>
      <c r="F516" s="5" t="s">
        <v>99</v>
      </c>
      <c r="G516" s="5" t="s">
        <v>144</v>
      </c>
      <c r="H516" s="4"/>
      <c r="I516" s="4"/>
      <c r="J516" s="6"/>
      <c r="K516" s="6"/>
      <c r="L516" s="6"/>
      <c r="M516" s="4"/>
      <c r="N516" s="4"/>
      <c r="O516" s="4"/>
      <c r="P516" s="6"/>
      <c r="Q516" s="6"/>
      <c r="R516" s="6"/>
      <c r="S516" s="6"/>
      <c r="T516" s="4"/>
      <c r="U516" s="6"/>
      <c r="V516" s="6"/>
      <c r="W516" s="6"/>
      <c r="X516" s="6"/>
      <c r="Y516" s="4"/>
      <c r="Z516" s="6"/>
      <c r="AA516" s="4"/>
      <c r="AB516" s="4"/>
      <c r="AC516" s="4"/>
      <c r="AD516" s="6"/>
      <c r="AE516" s="4"/>
      <c r="AF516" s="4"/>
      <c r="AG516" s="4"/>
      <c r="AH516" s="4">
        <v>602697130000</v>
      </c>
    </row>
    <row r="517" spans="1:34" x14ac:dyDescent="0.25">
      <c r="A517" s="4">
        <v>516</v>
      </c>
      <c r="B517" s="5" t="s">
        <v>1142</v>
      </c>
      <c r="C517" s="5" t="s">
        <v>1143</v>
      </c>
      <c r="D517" s="5" t="s">
        <v>968</v>
      </c>
      <c r="E517" s="5" t="s">
        <v>29</v>
      </c>
      <c r="F517" s="5" t="s">
        <v>30</v>
      </c>
      <c r="G517" s="5" t="s">
        <v>574</v>
      </c>
      <c r="H517" s="4"/>
      <c r="I517" s="4"/>
      <c r="J517" s="6"/>
      <c r="K517" s="6"/>
      <c r="L517" s="6"/>
      <c r="M517" s="4"/>
      <c r="N517" s="4"/>
      <c r="O517" s="4"/>
      <c r="P517" s="6"/>
      <c r="Q517" s="6"/>
      <c r="R517" s="6"/>
      <c r="S517" s="6"/>
      <c r="T517" s="4"/>
      <c r="U517" s="6"/>
      <c r="V517" s="6"/>
      <c r="W517" s="6"/>
      <c r="X517" s="6"/>
      <c r="Y517" s="4"/>
      <c r="Z517" s="6"/>
      <c r="AA517" s="4"/>
      <c r="AB517" s="4"/>
      <c r="AC517" s="4"/>
      <c r="AD517" s="6"/>
      <c r="AE517" s="4"/>
      <c r="AF517" s="4"/>
      <c r="AG517" s="4"/>
      <c r="AH517" s="4">
        <v>502691336000</v>
      </c>
    </row>
    <row r="518" spans="1:34" x14ac:dyDescent="0.25">
      <c r="A518" s="4">
        <v>517</v>
      </c>
      <c r="B518" s="5" t="s">
        <v>1144</v>
      </c>
      <c r="C518" s="5" t="s">
        <v>1145</v>
      </c>
      <c r="D518" s="5" t="s">
        <v>968</v>
      </c>
      <c r="E518" s="5" t="s">
        <v>24</v>
      </c>
      <c r="F518" s="5" t="s">
        <v>56</v>
      </c>
      <c r="G518" s="5" t="s">
        <v>1044</v>
      </c>
      <c r="H518" s="4">
        <v>1085609021977</v>
      </c>
      <c r="I518" s="4">
        <v>1914420263243</v>
      </c>
      <c r="J518" s="6">
        <v>0.28289999999999998</v>
      </c>
      <c r="K518" s="6">
        <v>0.13619999999999999</v>
      </c>
      <c r="L518" s="6">
        <v>-9.6299999999999997E-2</v>
      </c>
      <c r="M518" s="4">
        <v>8893113669</v>
      </c>
      <c r="N518" s="4">
        <v>20792230586</v>
      </c>
      <c r="O518" s="4"/>
      <c r="P518" s="6">
        <v>-0.62439999999999996</v>
      </c>
      <c r="Q518" s="6">
        <v>-0.46300000000000002</v>
      </c>
      <c r="R518" s="6">
        <v>-1.1172</v>
      </c>
      <c r="S518" s="6">
        <v>-0.25259999999999999</v>
      </c>
      <c r="T518" s="4"/>
      <c r="U518" s="6">
        <v>-0.39079999999999998</v>
      </c>
      <c r="V518" s="6">
        <v>-0.44800000000000001</v>
      </c>
      <c r="W518" s="6">
        <v>-0.45079999999999998</v>
      </c>
      <c r="X518" s="6">
        <v>0</v>
      </c>
      <c r="Y518" s="4"/>
      <c r="Z518" s="6">
        <v>0.30980000000000002</v>
      </c>
      <c r="AA518" s="4"/>
      <c r="AB518" s="4"/>
      <c r="AC518" s="4"/>
      <c r="AD518" s="6">
        <v>0</v>
      </c>
      <c r="AE518" s="4"/>
      <c r="AF518" s="4"/>
      <c r="AG518" s="4"/>
      <c r="AH518" s="4">
        <v>266859589500</v>
      </c>
    </row>
    <row r="519" spans="1:34" x14ac:dyDescent="0.25">
      <c r="A519" s="4">
        <v>518</v>
      </c>
      <c r="B519" s="5" t="s">
        <v>1146</v>
      </c>
      <c r="C519" s="5" t="s">
        <v>1147</v>
      </c>
      <c r="D519" s="5" t="s">
        <v>968</v>
      </c>
      <c r="E519" s="5" t="s">
        <v>75</v>
      </c>
      <c r="F519" s="5" t="s">
        <v>76</v>
      </c>
      <c r="G519" s="5" t="s">
        <v>76</v>
      </c>
      <c r="H519" s="4">
        <v>109687318253</v>
      </c>
      <c r="I519" s="4">
        <v>279005373095</v>
      </c>
      <c r="J519" s="6">
        <v>26.765699999999999</v>
      </c>
      <c r="K519" s="6">
        <v>19.9237</v>
      </c>
      <c r="L519" s="6">
        <v>20.068999999999999</v>
      </c>
      <c r="M519" s="4">
        <v>6881747536</v>
      </c>
      <c r="N519" s="4">
        <v>18928932279</v>
      </c>
      <c r="O519" s="4"/>
      <c r="P519" s="6">
        <v>5.0377999999999998</v>
      </c>
      <c r="Q519" s="6">
        <v>5.4752000000000001</v>
      </c>
      <c r="R519" s="6">
        <v>4.4057000000000004</v>
      </c>
      <c r="S519" s="6">
        <v>-0.42880000000000001</v>
      </c>
      <c r="T519" s="4"/>
      <c r="U519" s="6">
        <v>-0.69899999999999995</v>
      </c>
      <c r="V519" s="6">
        <v>-0.65890000000000004</v>
      </c>
      <c r="W519" s="6">
        <v>-0.69469999999999998</v>
      </c>
      <c r="X519" s="6">
        <v>0</v>
      </c>
      <c r="Y519" s="4"/>
      <c r="Z519" s="6">
        <v>-0.35220000000000001</v>
      </c>
      <c r="AA519" s="4"/>
      <c r="AB519" s="4"/>
      <c r="AC519" s="4"/>
      <c r="AD519" s="6">
        <v>0</v>
      </c>
      <c r="AE519" s="4"/>
      <c r="AF519" s="4"/>
      <c r="AG519" s="4"/>
      <c r="AH519" s="4">
        <v>769999454000</v>
      </c>
    </row>
    <row r="520" spans="1:34" x14ac:dyDescent="0.25">
      <c r="A520" s="4">
        <v>519</v>
      </c>
      <c r="B520" s="5" t="s">
        <v>1148</v>
      </c>
      <c r="C520" s="5" t="s">
        <v>1149</v>
      </c>
      <c r="D520" s="5" t="s">
        <v>968</v>
      </c>
      <c r="E520" s="5" t="s">
        <v>40</v>
      </c>
      <c r="F520" s="5" t="s">
        <v>41</v>
      </c>
      <c r="G520" s="5" t="s">
        <v>557</v>
      </c>
      <c r="H520" s="4"/>
      <c r="I520" s="4"/>
      <c r="J520" s="6"/>
      <c r="K520" s="6"/>
      <c r="L520" s="6"/>
      <c r="M520" s="4"/>
      <c r="N520" s="4"/>
      <c r="O520" s="4"/>
      <c r="P520" s="6"/>
      <c r="Q520" s="6"/>
      <c r="R520" s="6"/>
      <c r="S520" s="6"/>
      <c r="T520" s="4"/>
      <c r="U520" s="6"/>
      <c r="V520" s="6"/>
      <c r="W520" s="6"/>
      <c r="X520" s="6"/>
      <c r="Y520" s="4"/>
      <c r="Z520" s="6"/>
      <c r="AA520" s="4"/>
      <c r="AB520" s="4"/>
      <c r="AC520" s="4"/>
      <c r="AD520" s="6"/>
      <c r="AE520" s="4"/>
      <c r="AF520" s="4"/>
      <c r="AG520" s="4"/>
      <c r="AH520" s="4">
        <v>247775899100</v>
      </c>
    </row>
    <row r="521" spans="1:34" x14ac:dyDescent="0.25">
      <c r="A521" s="4">
        <v>520</v>
      </c>
      <c r="B521" s="5" t="s">
        <v>1150</v>
      </c>
      <c r="C521" s="5" t="s">
        <v>1151</v>
      </c>
      <c r="D521" s="5" t="s">
        <v>968</v>
      </c>
      <c r="E521" s="5" t="s">
        <v>40</v>
      </c>
      <c r="F521" s="5" t="s">
        <v>52</v>
      </c>
      <c r="G521" s="5" t="s">
        <v>53</v>
      </c>
      <c r="H521" s="4">
        <v>5049236099</v>
      </c>
      <c r="I521" s="4">
        <v>14927658152</v>
      </c>
      <c r="J521" s="6">
        <v>-0.3453</v>
      </c>
      <c r="K521" s="6"/>
      <c r="L521" s="6"/>
      <c r="M521" s="4">
        <v>7261975</v>
      </c>
      <c r="N521" s="4">
        <v>510206061</v>
      </c>
      <c r="O521" s="4"/>
      <c r="P521" s="6">
        <v>-0.97030000000000005</v>
      </c>
      <c r="Q521" s="6"/>
      <c r="R521" s="6"/>
      <c r="S521" s="6">
        <v>-0.98560000000000003</v>
      </c>
      <c r="T521" s="4"/>
      <c r="U521" s="6"/>
      <c r="V521" s="6"/>
      <c r="W521" s="6"/>
      <c r="X521" s="6"/>
      <c r="Y521" s="4"/>
      <c r="Z521" s="6">
        <v>-0.4889</v>
      </c>
      <c r="AA521" s="4"/>
      <c r="AB521" s="4"/>
      <c r="AC521" s="4"/>
      <c r="AD521" s="6"/>
      <c r="AE521" s="4"/>
      <c r="AF521" s="4"/>
      <c r="AG521" s="4"/>
      <c r="AH521" s="4">
        <v>53318218000</v>
      </c>
    </row>
    <row r="522" spans="1:34" x14ac:dyDescent="0.25">
      <c r="A522" s="4">
        <v>521</v>
      </c>
      <c r="B522" s="5" t="s">
        <v>1152</v>
      </c>
      <c r="C522" s="5" t="s">
        <v>1153</v>
      </c>
      <c r="D522" s="5" t="s">
        <v>968</v>
      </c>
      <c r="E522" s="5" t="s">
        <v>40</v>
      </c>
      <c r="F522" s="5" t="s">
        <v>52</v>
      </c>
      <c r="G522" s="5" t="s">
        <v>53</v>
      </c>
      <c r="H522" s="4">
        <v>473047102298</v>
      </c>
      <c r="I522" s="4">
        <v>786917614994</v>
      </c>
      <c r="J522" s="6">
        <v>-3.9800000000000002E-2</v>
      </c>
      <c r="K522" s="6">
        <v>-6.4899999999999999E-2</v>
      </c>
      <c r="L522" s="6">
        <v>-6.7100000000000007E-2</v>
      </c>
      <c r="M522" s="4">
        <v>7519665328</v>
      </c>
      <c r="N522" s="4">
        <v>8008005937</v>
      </c>
      <c r="O522" s="4"/>
      <c r="P522" s="6">
        <v>2.3400000000000001E-2</v>
      </c>
      <c r="Q522" s="6">
        <v>1.5900000000000001E-2</v>
      </c>
      <c r="R522" s="6">
        <v>2.4011999999999998</v>
      </c>
      <c r="S522" s="6">
        <v>14.398400000000001</v>
      </c>
      <c r="T522" s="4"/>
      <c r="U522" s="6">
        <v>-0.51629999999999998</v>
      </c>
      <c r="V522" s="6">
        <v>-0.70669999999999999</v>
      </c>
      <c r="W522" s="6">
        <v>-0.70669999999999999</v>
      </c>
      <c r="X522" s="6">
        <v>0</v>
      </c>
      <c r="Y522" s="4"/>
      <c r="Z522" s="6">
        <v>0.5071</v>
      </c>
      <c r="AA522" s="4"/>
      <c r="AB522" s="4"/>
      <c r="AC522" s="4"/>
      <c r="AD522" s="6">
        <v>0</v>
      </c>
      <c r="AE522" s="4"/>
      <c r="AF522" s="4"/>
      <c r="AG522" s="4"/>
      <c r="AH522" s="4">
        <v>287990924000</v>
      </c>
    </row>
    <row r="523" spans="1:34" x14ac:dyDescent="0.25">
      <c r="A523" s="4">
        <v>522</v>
      </c>
      <c r="B523" s="5" t="s">
        <v>1154</v>
      </c>
      <c r="C523" s="5" t="s">
        <v>1155</v>
      </c>
      <c r="D523" s="5" t="s">
        <v>968</v>
      </c>
      <c r="E523" s="5" t="s">
        <v>98</v>
      </c>
      <c r="F523" s="5" t="s">
        <v>99</v>
      </c>
      <c r="G523" s="5" t="s">
        <v>100</v>
      </c>
      <c r="H523" s="4"/>
      <c r="I523" s="4"/>
      <c r="J523" s="6"/>
      <c r="K523" s="6"/>
      <c r="L523" s="6"/>
      <c r="M523" s="4"/>
      <c r="N523" s="4"/>
      <c r="O523" s="4"/>
      <c r="P523" s="6"/>
      <c r="Q523" s="6"/>
      <c r="R523" s="6"/>
      <c r="S523" s="6"/>
      <c r="T523" s="4"/>
      <c r="U523" s="6"/>
      <c r="V523" s="6"/>
      <c r="W523" s="6"/>
      <c r="X523" s="6"/>
      <c r="Y523" s="4"/>
      <c r="Z523" s="6"/>
      <c r="AA523" s="4"/>
      <c r="AB523" s="4"/>
      <c r="AC523" s="4"/>
      <c r="AD523" s="6"/>
      <c r="AE523" s="4"/>
      <c r="AF523" s="4"/>
      <c r="AG523" s="4"/>
      <c r="AH523" s="4">
        <v>593999748000</v>
      </c>
    </row>
    <row r="524" spans="1:34" x14ac:dyDescent="0.25">
      <c r="A524" s="4">
        <v>523</v>
      </c>
      <c r="B524" s="5" t="s">
        <v>1156</v>
      </c>
      <c r="C524" s="5" t="s">
        <v>1157</v>
      </c>
      <c r="D524" s="5" t="s">
        <v>968</v>
      </c>
      <c r="E524" s="5" t="s">
        <v>29</v>
      </c>
      <c r="F524" s="5" t="s">
        <v>203</v>
      </c>
      <c r="G524" s="5" t="s">
        <v>211</v>
      </c>
      <c r="H524" s="4"/>
      <c r="I524" s="4"/>
      <c r="J524" s="6"/>
      <c r="K524" s="6"/>
      <c r="L524" s="6"/>
      <c r="M524" s="4"/>
      <c r="N524" s="4"/>
      <c r="O524" s="4"/>
      <c r="P524" s="6"/>
      <c r="Q524" s="6"/>
      <c r="R524" s="6"/>
      <c r="S524" s="6"/>
      <c r="T524" s="4"/>
      <c r="U524" s="6"/>
      <c r="V524" s="6"/>
      <c r="W524" s="6"/>
      <c r="X524" s="6"/>
      <c r="Y524" s="4"/>
      <c r="Z524" s="6"/>
      <c r="AA524" s="4"/>
      <c r="AB524" s="4"/>
      <c r="AC524" s="4"/>
      <c r="AD524" s="6"/>
      <c r="AE524" s="4"/>
      <c r="AF524" s="4"/>
      <c r="AG524" s="4"/>
      <c r="AH524" s="4">
        <v>15917455156900</v>
      </c>
    </row>
    <row r="525" spans="1:34" x14ac:dyDescent="0.25">
      <c r="A525" s="4">
        <v>524</v>
      </c>
      <c r="B525" s="5" t="s">
        <v>1158</v>
      </c>
      <c r="C525" s="5" t="s">
        <v>1159</v>
      </c>
      <c r="D525" s="5" t="s">
        <v>968</v>
      </c>
      <c r="E525" s="5" t="s">
        <v>24</v>
      </c>
      <c r="F525" s="5" t="s">
        <v>25</v>
      </c>
      <c r="G525" s="5" t="s">
        <v>45</v>
      </c>
      <c r="H525" s="4">
        <v>471323812714</v>
      </c>
      <c r="I525" s="4">
        <v>891093205364</v>
      </c>
      <c r="J525" s="6">
        <v>0.2344</v>
      </c>
      <c r="K525" s="6">
        <v>0.15090000000000001</v>
      </c>
      <c r="L525" s="6">
        <v>0.13569999999999999</v>
      </c>
      <c r="M525" s="4">
        <v>37138846925</v>
      </c>
      <c r="N525" s="4">
        <v>68047205683</v>
      </c>
      <c r="O525" s="4"/>
      <c r="P525" s="6">
        <v>0.52110000000000001</v>
      </c>
      <c r="Q525" s="6">
        <v>0.6754</v>
      </c>
      <c r="R525" s="6">
        <v>0.32029999999999997</v>
      </c>
      <c r="S525" s="6">
        <v>0.2016</v>
      </c>
      <c r="T525" s="4"/>
      <c r="U525" s="6">
        <v>-0.53220000000000001</v>
      </c>
      <c r="V525" s="6">
        <v>-0.34539999999999998</v>
      </c>
      <c r="W525" s="6">
        <v>-0.34570000000000001</v>
      </c>
      <c r="X525" s="6">
        <v>0</v>
      </c>
      <c r="Y525" s="4"/>
      <c r="Z525" s="6">
        <v>0.12280000000000001</v>
      </c>
      <c r="AA525" s="4"/>
      <c r="AB525" s="4"/>
      <c r="AC525" s="4"/>
      <c r="AD525" s="6">
        <v>0</v>
      </c>
      <c r="AE525" s="4"/>
      <c r="AF525" s="4"/>
      <c r="AG525" s="4"/>
      <c r="AH525" s="4">
        <v>662028108600</v>
      </c>
    </row>
    <row r="526" spans="1:34" x14ac:dyDescent="0.25">
      <c r="A526" s="4">
        <v>525</v>
      </c>
      <c r="B526" s="5" t="s">
        <v>1160</v>
      </c>
      <c r="C526" s="5" t="s">
        <v>1161</v>
      </c>
      <c r="D526" s="5" t="s">
        <v>968</v>
      </c>
      <c r="E526" s="5" t="s">
        <v>40</v>
      </c>
      <c r="F526" s="5" t="s">
        <v>52</v>
      </c>
      <c r="G526" s="5" t="s">
        <v>110</v>
      </c>
      <c r="H526" s="4"/>
      <c r="I526" s="4"/>
      <c r="J526" s="6"/>
      <c r="K526" s="6"/>
      <c r="L526" s="6"/>
      <c r="M526" s="4"/>
      <c r="N526" s="4"/>
      <c r="O526" s="4"/>
      <c r="P526" s="6"/>
      <c r="Q526" s="6"/>
      <c r="R526" s="6"/>
      <c r="S526" s="6"/>
      <c r="T526" s="4"/>
      <c r="U526" s="6"/>
      <c r="V526" s="6"/>
      <c r="W526" s="6"/>
      <c r="X526" s="6"/>
      <c r="Y526" s="4"/>
      <c r="Z526" s="6"/>
      <c r="AA526" s="4"/>
      <c r="AB526" s="4"/>
      <c r="AC526" s="4"/>
      <c r="AD526" s="6"/>
      <c r="AE526" s="4"/>
      <c r="AF526" s="4"/>
      <c r="AG526" s="4"/>
      <c r="AH526" s="4">
        <v>256551200000</v>
      </c>
    </row>
    <row r="527" spans="1:34" x14ac:dyDescent="0.25">
      <c r="A527" s="4">
        <v>526</v>
      </c>
      <c r="B527" s="5" t="s">
        <v>1162</v>
      </c>
      <c r="C527" s="5" t="s">
        <v>1163</v>
      </c>
      <c r="D527" s="5" t="s">
        <v>968</v>
      </c>
      <c r="E527" s="5" t="s">
        <v>75</v>
      </c>
      <c r="F527" s="5" t="s">
        <v>76</v>
      </c>
      <c r="G527" s="5" t="s">
        <v>76</v>
      </c>
      <c r="H527" s="4"/>
      <c r="I527" s="4"/>
      <c r="J527" s="6"/>
      <c r="K527" s="6"/>
      <c r="L527" s="6"/>
      <c r="M527" s="4"/>
      <c r="N527" s="4"/>
      <c r="O527" s="4"/>
      <c r="P527" s="6"/>
      <c r="Q527" s="6"/>
      <c r="R527" s="6"/>
      <c r="S527" s="6"/>
      <c r="T527" s="4"/>
      <c r="U527" s="6"/>
      <c r="V527" s="6"/>
      <c r="W527" s="6"/>
      <c r="X527" s="6"/>
      <c r="Y527" s="4"/>
      <c r="Z527" s="6"/>
      <c r="AA527" s="4"/>
      <c r="AB527" s="4"/>
      <c r="AC527" s="4"/>
      <c r="AD527" s="6"/>
      <c r="AE527" s="4"/>
      <c r="AF527" s="4"/>
      <c r="AG527" s="4"/>
      <c r="AH527" s="4">
        <v>14193255980200</v>
      </c>
    </row>
    <row r="528" spans="1:34" x14ac:dyDescent="0.25">
      <c r="A528" s="4">
        <v>527</v>
      </c>
      <c r="B528" s="5" t="s">
        <v>1164</v>
      </c>
      <c r="C528" s="5" t="s">
        <v>1165</v>
      </c>
      <c r="D528" s="5" t="s">
        <v>968</v>
      </c>
      <c r="E528" s="5" t="s">
        <v>75</v>
      </c>
      <c r="F528" s="5" t="s">
        <v>76</v>
      </c>
      <c r="G528" s="5" t="s">
        <v>76</v>
      </c>
      <c r="H528" s="4"/>
      <c r="I528" s="4"/>
      <c r="J528" s="6"/>
      <c r="K528" s="6"/>
      <c r="L528" s="6"/>
      <c r="M528" s="4"/>
      <c r="N528" s="4"/>
      <c r="O528" s="4"/>
      <c r="P528" s="6"/>
      <c r="Q528" s="6"/>
      <c r="R528" s="6"/>
      <c r="S528" s="6"/>
      <c r="T528" s="4"/>
      <c r="U528" s="6"/>
      <c r="V528" s="6"/>
      <c r="W528" s="6"/>
      <c r="X528" s="6"/>
      <c r="Y528" s="4"/>
      <c r="Z528" s="6"/>
      <c r="AA528" s="4"/>
      <c r="AB528" s="4"/>
      <c r="AC528" s="4"/>
      <c r="AD528" s="6"/>
      <c r="AE528" s="4"/>
      <c r="AF528" s="4"/>
      <c r="AG528" s="4"/>
      <c r="AH528" s="4">
        <v>641913714100</v>
      </c>
    </row>
    <row r="529" spans="1:34" x14ac:dyDescent="0.25">
      <c r="A529" s="4">
        <v>528</v>
      </c>
      <c r="B529" s="5" t="s">
        <v>1166</v>
      </c>
      <c r="C529" s="5" t="s">
        <v>1167</v>
      </c>
      <c r="D529" s="5" t="s">
        <v>968</v>
      </c>
      <c r="E529" s="5" t="s">
        <v>75</v>
      </c>
      <c r="F529" s="5" t="s">
        <v>76</v>
      </c>
      <c r="G529" s="5" t="s">
        <v>76</v>
      </c>
      <c r="H529" s="4">
        <v>30431905602</v>
      </c>
      <c r="I529" s="4"/>
      <c r="J529" s="6">
        <v>9.5399999999999999E-2</v>
      </c>
      <c r="K529" s="6">
        <v>0.1229</v>
      </c>
      <c r="L529" s="6">
        <v>0.16700000000000001</v>
      </c>
      <c r="M529" s="4">
        <v>46039100920</v>
      </c>
      <c r="N529" s="4"/>
      <c r="O529" s="4"/>
      <c r="P529" s="6">
        <v>1.8586</v>
      </c>
      <c r="Q529" s="6">
        <v>0.2402</v>
      </c>
      <c r="R529" s="6">
        <v>0.14169999999999999</v>
      </c>
      <c r="S529" s="6">
        <v>2.6116999999999999</v>
      </c>
      <c r="T529" s="4"/>
      <c r="U529" s="6">
        <v>-0.78720000000000001</v>
      </c>
      <c r="V529" s="6">
        <v>-0.62560000000000004</v>
      </c>
      <c r="W529" s="6">
        <v>-0.58230000000000004</v>
      </c>
      <c r="X529" s="6">
        <v>4.6899999999999997E-2</v>
      </c>
      <c r="Y529" s="4"/>
      <c r="Z529" s="6">
        <v>7.2800000000000004E-2</v>
      </c>
      <c r="AA529" s="4"/>
      <c r="AB529" s="4"/>
      <c r="AC529" s="4"/>
      <c r="AD529" s="6">
        <v>0</v>
      </c>
      <c r="AE529" s="4"/>
      <c r="AF529" s="4"/>
      <c r="AG529" s="4"/>
      <c r="AH529" s="4">
        <v>1010086065300</v>
      </c>
    </row>
    <row r="530" spans="1:34" x14ac:dyDescent="0.25">
      <c r="A530" s="4">
        <v>529</v>
      </c>
      <c r="B530" s="5" t="s">
        <v>1168</v>
      </c>
      <c r="C530" s="5" t="s">
        <v>1169</v>
      </c>
      <c r="D530" s="5" t="s">
        <v>968</v>
      </c>
      <c r="E530" s="5" t="s">
        <v>40</v>
      </c>
      <c r="F530" s="5" t="s">
        <v>52</v>
      </c>
      <c r="G530" s="5" t="s">
        <v>110</v>
      </c>
      <c r="H530" s="4">
        <v>8305699987</v>
      </c>
      <c r="I530" s="4">
        <v>13909436555</v>
      </c>
      <c r="J530" s="6">
        <v>8.3799999999999999E-2</v>
      </c>
      <c r="K530" s="6"/>
      <c r="L530" s="6"/>
      <c r="M530" s="4">
        <v>696697924</v>
      </c>
      <c r="N530" s="4">
        <v>1093324489</v>
      </c>
      <c r="O530" s="4"/>
      <c r="P530" s="6">
        <v>0.1278</v>
      </c>
      <c r="Q530" s="6"/>
      <c r="R530" s="6"/>
      <c r="S530" s="6">
        <v>0.75660000000000005</v>
      </c>
      <c r="T530" s="4"/>
      <c r="U530" s="6"/>
      <c r="V530" s="6"/>
      <c r="W530" s="6"/>
      <c r="X530" s="6"/>
      <c r="Y530" s="4"/>
      <c r="Z530" s="6">
        <v>0.48220000000000002</v>
      </c>
      <c r="AA530" s="4"/>
      <c r="AB530" s="4"/>
      <c r="AC530" s="4"/>
      <c r="AD530" s="6"/>
      <c r="AE530" s="4"/>
      <c r="AF530" s="4"/>
      <c r="AG530" s="4"/>
      <c r="AH530" s="4">
        <v>41600000000</v>
      </c>
    </row>
    <row r="531" spans="1:34" x14ac:dyDescent="0.25">
      <c r="A531" s="4">
        <v>530</v>
      </c>
      <c r="B531" s="5" t="s">
        <v>1170</v>
      </c>
      <c r="C531" s="5" t="s">
        <v>1171</v>
      </c>
      <c r="D531" s="5" t="s">
        <v>968</v>
      </c>
      <c r="E531" s="5" t="s">
        <v>40</v>
      </c>
      <c r="F531" s="5" t="s">
        <v>41</v>
      </c>
      <c r="G531" s="5" t="s">
        <v>90</v>
      </c>
      <c r="H531" s="4"/>
      <c r="I531" s="4"/>
      <c r="J531" s="6"/>
      <c r="K531" s="6"/>
      <c r="L531" s="6"/>
      <c r="M531" s="4"/>
      <c r="N531" s="4"/>
      <c r="O531" s="4"/>
      <c r="P531" s="6"/>
      <c r="Q531" s="6"/>
      <c r="R531" s="6"/>
      <c r="S531" s="6"/>
      <c r="T531" s="4"/>
      <c r="U531" s="6"/>
      <c r="V531" s="6"/>
      <c r="W531" s="6"/>
      <c r="X531" s="6"/>
      <c r="Y531" s="4"/>
      <c r="Z531" s="6"/>
      <c r="AA531" s="4"/>
      <c r="AB531" s="4"/>
      <c r="AC531" s="4"/>
      <c r="AD531" s="6"/>
      <c r="AE531" s="4"/>
      <c r="AF531" s="4"/>
      <c r="AG531" s="4"/>
      <c r="AH531" s="4">
        <v>1004400000000</v>
      </c>
    </row>
    <row r="532" spans="1:34" x14ac:dyDescent="0.25">
      <c r="A532" s="4">
        <v>531</v>
      </c>
      <c r="B532" s="5" t="s">
        <v>1172</v>
      </c>
      <c r="C532" s="5" t="s">
        <v>1173</v>
      </c>
      <c r="D532" s="5" t="s">
        <v>968</v>
      </c>
      <c r="E532" s="5" t="s">
        <v>40</v>
      </c>
      <c r="F532" s="5" t="s">
        <v>41</v>
      </c>
      <c r="G532" s="5" t="s">
        <v>42</v>
      </c>
      <c r="H532" s="4"/>
      <c r="I532" s="4"/>
      <c r="J532" s="6"/>
      <c r="K532" s="6"/>
      <c r="L532" s="6"/>
      <c r="M532" s="4"/>
      <c r="N532" s="4"/>
      <c r="O532" s="4"/>
      <c r="P532" s="6"/>
      <c r="Q532" s="6"/>
      <c r="R532" s="6"/>
      <c r="S532" s="6"/>
      <c r="T532" s="4"/>
      <c r="U532" s="6"/>
      <c r="V532" s="6"/>
      <c r="W532" s="6"/>
      <c r="X532" s="6"/>
      <c r="Y532" s="4"/>
      <c r="Z532" s="6"/>
      <c r="AA532" s="4"/>
      <c r="AB532" s="4"/>
      <c r="AC532" s="4"/>
      <c r="AD532" s="6"/>
      <c r="AE532" s="4"/>
      <c r="AF532" s="4"/>
      <c r="AG532" s="4"/>
      <c r="AH532" s="4">
        <v>3100618737500</v>
      </c>
    </row>
    <row r="533" spans="1:34" x14ac:dyDescent="0.25">
      <c r="A533" s="4">
        <v>532</v>
      </c>
      <c r="B533" s="5" t="s">
        <v>1174</v>
      </c>
      <c r="C533" s="5" t="s">
        <v>1175</v>
      </c>
      <c r="D533" s="5" t="s">
        <v>968</v>
      </c>
      <c r="E533" s="5" t="s">
        <v>24</v>
      </c>
      <c r="F533" s="5" t="s">
        <v>56</v>
      </c>
      <c r="G533" s="5" t="s">
        <v>291</v>
      </c>
      <c r="H533" s="4">
        <v>214495603020</v>
      </c>
      <c r="I533" s="4">
        <v>379145534888</v>
      </c>
      <c r="J533" s="6">
        <v>0.33110000000000001</v>
      </c>
      <c r="K533" s="6">
        <v>0.35</v>
      </c>
      <c r="L533" s="6">
        <v>0.27400000000000002</v>
      </c>
      <c r="M533" s="4">
        <v>6899677889</v>
      </c>
      <c r="N533" s="4">
        <v>7950249469</v>
      </c>
      <c r="O533" s="4"/>
      <c r="P533" s="6">
        <v>10.064299999999999</v>
      </c>
      <c r="Q533" s="6">
        <v>9.7424999999999997</v>
      </c>
      <c r="R533" s="6">
        <v>8.6561000000000003</v>
      </c>
      <c r="S533" s="6">
        <v>5.5674999999999999</v>
      </c>
      <c r="T533" s="4"/>
      <c r="U533" s="6">
        <v>-0.36809999999999998</v>
      </c>
      <c r="V533" s="6">
        <v>0.1358</v>
      </c>
      <c r="W533" s="6">
        <v>0.41970000000000002</v>
      </c>
      <c r="X533" s="6">
        <v>0</v>
      </c>
      <c r="Y533" s="4"/>
      <c r="Z533" s="6">
        <v>0.30270000000000002</v>
      </c>
      <c r="AA533" s="4"/>
      <c r="AB533" s="4"/>
      <c r="AC533" s="4"/>
      <c r="AD533" s="6">
        <v>0</v>
      </c>
      <c r="AE533" s="4"/>
      <c r="AF533" s="4"/>
      <c r="AG533" s="4"/>
      <c r="AH533" s="4">
        <v>79608262500</v>
      </c>
    </row>
    <row r="534" spans="1:34" x14ac:dyDescent="0.25">
      <c r="A534" s="4">
        <v>533</v>
      </c>
      <c r="B534" s="5" t="s">
        <v>1176</v>
      </c>
      <c r="C534" s="5" t="s">
        <v>1177</v>
      </c>
      <c r="D534" s="5" t="s">
        <v>968</v>
      </c>
      <c r="E534" s="5" t="s">
        <v>75</v>
      </c>
      <c r="F534" s="5" t="s">
        <v>79</v>
      </c>
      <c r="G534" s="5" t="s">
        <v>80</v>
      </c>
      <c r="H534" s="4">
        <v>34615809180</v>
      </c>
      <c r="I534" s="4">
        <v>65513401732</v>
      </c>
      <c r="J534" s="6">
        <v>0.28770000000000001</v>
      </c>
      <c r="K534" s="6">
        <v>0.44469999999999998</v>
      </c>
      <c r="L534" s="6">
        <v>0.51380000000000003</v>
      </c>
      <c r="M534" s="4">
        <v>11745183982</v>
      </c>
      <c r="N534" s="4">
        <v>22661794238</v>
      </c>
      <c r="O534" s="4"/>
      <c r="P534" s="6">
        <v>0.29820000000000002</v>
      </c>
      <c r="Q534" s="6">
        <v>0.71950000000000003</v>
      </c>
      <c r="R534" s="6">
        <v>0.24249999999999999</v>
      </c>
      <c r="S534" s="6">
        <v>7.5899999999999995E-2</v>
      </c>
      <c r="T534" s="4"/>
      <c r="U534" s="6">
        <v>-0.49530000000000002</v>
      </c>
      <c r="V534" s="6">
        <v>-0.38040000000000002</v>
      </c>
      <c r="W534" s="6">
        <v>-0.38150000000000001</v>
      </c>
      <c r="X534" s="6">
        <v>0</v>
      </c>
      <c r="Y534" s="4"/>
      <c r="Z534" s="6">
        <v>0.1203</v>
      </c>
      <c r="AA534" s="4"/>
      <c r="AB534" s="4"/>
      <c r="AC534" s="4"/>
      <c r="AD534" s="6">
        <v>0</v>
      </c>
      <c r="AE534" s="4"/>
      <c r="AF534" s="4"/>
      <c r="AG534" s="4"/>
      <c r="AH534" s="4">
        <v>650524683200</v>
      </c>
    </row>
    <row r="535" spans="1:34" x14ac:dyDescent="0.25">
      <c r="A535" s="4">
        <v>534</v>
      </c>
      <c r="B535" s="5" t="s">
        <v>1178</v>
      </c>
      <c r="C535" s="5" t="s">
        <v>1179</v>
      </c>
      <c r="D535" s="5" t="s">
        <v>968</v>
      </c>
      <c r="E535" s="5" t="s">
        <v>40</v>
      </c>
      <c r="F535" s="5" t="s">
        <v>52</v>
      </c>
      <c r="G535" s="5" t="s">
        <v>110</v>
      </c>
      <c r="H535" s="4"/>
      <c r="I535" s="4"/>
      <c r="J535" s="6"/>
      <c r="K535" s="6"/>
      <c r="L535" s="6"/>
      <c r="M535" s="4"/>
      <c r="N535" s="4"/>
      <c r="O535" s="4"/>
      <c r="P535" s="6"/>
      <c r="Q535" s="6"/>
      <c r="R535" s="6"/>
      <c r="S535" s="6"/>
      <c r="T535" s="4"/>
      <c r="U535" s="6"/>
      <c r="V535" s="6"/>
      <c r="W535" s="6"/>
      <c r="X535" s="6"/>
      <c r="Y535" s="4"/>
      <c r="Z535" s="6"/>
      <c r="AA535" s="4"/>
      <c r="AB535" s="4"/>
      <c r="AC535" s="4"/>
      <c r="AD535" s="6"/>
      <c r="AE535" s="4"/>
      <c r="AF535" s="4"/>
      <c r="AG535" s="4"/>
      <c r="AH535" s="4">
        <v>165614185800</v>
      </c>
    </row>
    <row r="536" spans="1:34" x14ac:dyDescent="0.25">
      <c r="A536" s="4">
        <v>535</v>
      </c>
      <c r="B536" s="5" t="s">
        <v>1180</v>
      </c>
      <c r="C536" s="5" t="s">
        <v>1181</v>
      </c>
      <c r="D536" s="5" t="s">
        <v>968</v>
      </c>
      <c r="E536" s="5" t="s">
        <v>29</v>
      </c>
      <c r="F536" s="5" t="s">
        <v>30</v>
      </c>
      <c r="G536" s="5" t="s">
        <v>31</v>
      </c>
      <c r="H536" s="4">
        <v>205071719172</v>
      </c>
      <c r="I536" s="4">
        <v>392036678576</v>
      </c>
      <c r="J536" s="6">
        <v>0.1053</v>
      </c>
      <c r="K536" s="6"/>
      <c r="L536" s="6"/>
      <c r="M536" s="4">
        <v>20302418996</v>
      </c>
      <c r="N536" s="4">
        <v>29440148697</v>
      </c>
      <c r="O536" s="4"/>
      <c r="P536" s="6">
        <v>0.51400000000000001</v>
      </c>
      <c r="Q536" s="6"/>
      <c r="R536" s="6"/>
      <c r="S536" s="6">
        <v>1.2218</v>
      </c>
      <c r="T536" s="4"/>
      <c r="U536" s="6"/>
      <c r="V536" s="6"/>
      <c r="W536" s="6"/>
      <c r="X536" s="6"/>
      <c r="Y536" s="4"/>
      <c r="Z536" s="6">
        <v>9.6799999999999997E-2</v>
      </c>
      <c r="AA536" s="4"/>
      <c r="AB536" s="4"/>
      <c r="AC536" s="4"/>
      <c r="AD536" s="6"/>
      <c r="AE536" s="4"/>
      <c r="AF536" s="4"/>
      <c r="AG536" s="4"/>
      <c r="AH536" s="4">
        <v>194246195200</v>
      </c>
    </row>
    <row r="537" spans="1:34" x14ac:dyDescent="0.25">
      <c r="A537" s="4">
        <v>536</v>
      </c>
      <c r="B537" s="5" t="s">
        <v>1182</v>
      </c>
      <c r="C537" s="5" t="s">
        <v>1183</v>
      </c>
      <c r="D537" s="5" t="s">
        <v>968</v>
      </c>
      <c r="E537" s="5" t="s">
        <v>24</v>
      </c>
      <c r="F537" s="5" t="s">
        <v>56</v>
      </c>
      <c r="G537" s="5" t="s">
        <v>291</v>
      </c>
      <c r="H537" s="4">
        <v>925134595</v>
      </c>
      <c r="I537" s="4">
        <v>3026570307</v>
      </c>
      <c r="J537" s="6">
        <v>-0.86199999999999999</v>
      </c>
      <c r="K537" s="6"/>
      <c r="L537" s="6"/>
      <c r="M537" s="4">
        <v>798122602</v>
      </c>
      <c r="N537" s="4">
        <v>2238354937</v>
      </c>
      <c r="O537" s="4"/>
      <c r="P537" s="6">
        <v>2.0777000000000001</v>
      </c>
      <c r="Q537" s="6"/>
      <c r="R537" s="6"/>
      <c r="S537" s="6">
        <v>-0.44579999999999997</v>
      </c>
      <c r="T537" s="4"/>
      <c r="U537" s="6"/>
      <c r="V537" s="6"/>
      <c r="W537" s="6"/>
      <c r="X537" s="6"/>
      <c r="Y537" s="4"/>
      <c r="Z537" s="6">
        <v>-0.55979999999999996</v>
      </c>
      <c r="AA537" s="4"/>
      <c r="AB537" s="4"/>
      <c r="AC537" s="4"/>
      <c r="AD537" s="6"/>
      <c r="AE537" s="4"/>
      <c r="AF537" s="4"/>
      <c r="AG537" s="4"/>
      <c r="AH537" s="4">
        <v>30678914400</v>
      </c>
    </row>
    <row r="538" spans="1:34" x14ac:dyDescent="0.25">
      <c r="A538" s="4">
        <v>537</v>
      </c>
      <c r="B538" s="5" t="s">
        <v>1184</v>
      </c>
      <c r="C538" s="5" t="s">
        <v>1185</v>
      </c>
      <c r="D538" s="5" t="s">
        <v>968</v>
      </c>
      <c r="E538" s="5" t="s">
        <v>24</v>
      </c>
      <c r="F538" s="5" t="s">
        <v>56</v>
      </c>
      <c r="G538" s="5" t="s">
        <v>291</v>
      </c>
      <c r="H538" s="4"/>
      <c r="I538" s="4"/>
      <c r="J538" s="6"/>
      <c r="K538" s="6"/>
      <c r="L538" s="6"/>
      <c r="M538" s="4"/>
      <c r="N538" s="4"/>
      <c r="O538" s="4"/>
      <c r="P538" s="6"/>
      <c r="Q538" s="6"/>
      <c r="R538" s="6"/>
      <c r="S538" s="6"/>
      <c r="T538" s="4"/>
      <c r="U538" s="6"/>
      <c r="V538" s="6"/>
      <c r="W538" s="6"/>
      <c r="X538" s="6"/>
      <c r="Y538" s="4"/>
      <c r="Z538" s="6"/>
      <c r="AA538" s="4"/>
      <c r="AB538" s="4"/>
      <c r="AC538" s="4"/>
      <c r="AD538" s="6"/>
      <c r="AE538" s="4"/>
      <c r="AF538" s="4"/>
      <c r="AG538" s="4"/>
      <c r="AH538" s="4">
        <v>129974618400</v>
      </c>
    </row>
    <row r="539" spans="1:34" x14ac:dyDescent="0.25">
      <c r="A539" s="4">
        <v>538</v>
      </c>
      <c r="B539" s="5" t="s">
        <v>1186</v>
      </c>
      <c r="C539" s="5" t="s">
        <v>1187</v>
      </c>
      <c r="D539" s="5" t="s">
        <v>968</v>
      </c>
      <c r="E539" s="5" t="s">
        <v>29</v>
      </c>
      <c r="F539" s="5" t="s">
        <v>36</v>
      </c>
      <c r="G539" s="5" t="s">
        <v>1188</v>
      </c>
      <c r="H539" s="4">
        <v>4697086116</v>
      </c>
      <c r="I539" s="4">
        <v>12374044979</v>
      </c>
      <c r="J539" s="6">
        <v>-0.40400000000000003</v>
      </c>
      <c r="K539" s="6"/>
      <c r="L539" s="6"/>
      <c r="M539" s="4">
        <v>-168945290</v>
      </c>
      <c r="N539" s="4">
        <v>-1021646179</v>
      </c>
      <c r="O539" s="4"/>
      <c r="P539" s="6">
        <v>0.89780000000000004</v>
      </c>
      <c r="Q539" s="6"/>
      <c r="R539" s="6"/>
      <c r="S539" s="6">
        <v>0.81420000000000003</v>
      </c>
      <c r="T539" s="4"/>
      <c r="U539" s="6"/>
      <c r="V539" s="6"/>
      <c r="W539" s="6"/>
      <c r="X539" s="6"/>
      <c r="Y539" s="4"/>
      <c r="Z539" s="6">
        <v>-0.36649999999999999</v>
      </c>
      <c r="AA539" s="4"/>
      <c r="AB539" s="4"/>
      <c r="AC539" s="4"/>
      <c r="AD539" s="6"/>
      <c r="AE539" s="4"/>
      <c r="AF539" s="4"/>
      <c r="AG539" s="4"/>
      <c r="AH539" s="4">
        <v>58800000000</v>
      </c>
    </row>
    <row r="540" spans="1:34" x14ac:dyDescent="0.25">
      <c r="A540" s="4">
        <v>539</v>
      </c>
      <c r="B540" s="5" t="s">
        <v>1189</v>
      </c>
      <c r="C540" s="5" t="s">
        <v>1190</v>
      </c>
      <c r="D540" s="5" t="s">
        <v>968</v>
      </c>
      <c r="E540" s="5" t="s">
        <v>75</v>
      </c>
      <c r="F540" s="5" t="s">
        <v>76</v>
      </c>
      <c r="G540" s="5" t="s">
        <v>76</v>
      </c>
      <c r="H540" s="4"/>
      <c r="I540" s="4"/>
      <c r="J540" s="6"/>
      <c r="K540" s="6"/>
      <c r="L540" s="6"/>
      <c r="M540" s="4"/>
      <c r="N540" s="4"/>
      <c r="O540" s="4"/>
      <c r="P540" s="6"/>
      <c r="Q540" s="6"/>
      <c r="R540" s="6"/>
      <c r="S540" s="6"/>
      <c r="T540" s="4"/>
      <c r="U540" s="6"/>
      <c r="V540" s="6"/>
      <c r="W540" s="6"/>
      <c r="X540" s="6"/>
      <c r="Y540" s="4"/>
      <c r="Z540" s="6"/>
      <c r="AA540" s="4"/>
      <c r="AB540" s="4"/>
      <c r="AC540" s="4"/>
      <c r="AD540" s="6"/>
      <c r="AE540" s="4"/>
      <c r="AF540" s="4"/>
      <c r="AG540" s="4"/>
      <c r="AH540" s="4">
        <v>70183410024000</v>
      </c>
    </row>
    <row r="541" spans="1:34" x14ac:dyDescent="0.25">
      <c r="A541" s="4">
        <v>540</v>
      </c>
      <c r="B541" s="5" t="s">
        <v>1191</v>
      </c>
      <c r="C541" s="5" t="s">
        <v>1192</v>
      </c>
      <c r="D541" s="5" t="s">
        <v>968</v>
      </c>
      <c r="E541" s="5" t="s">
        <v>185</v>
      </c>
      <c r="F541" s="5" t="s">
        <v>185</v>
      </c>
      <c r="G541" s="5" t="s">
        <v>310</v>
      </c>
      <c r="H541" s="4"/>
      <c r="I541" s="4"/>
      <c r="J541" s="6"/>
      <c r="K541" s="6"/>
      <c r="L541" s="6"/>
      <c r="M541" s="4"/>
      <c r="N541" s="4"/>
      <c r="O541" s="4"/>
      <c r="P541" s="6"/>
      <c r="Q541" s="6"/>
      <c r="R541" s="6"/>
      <c r="S541" s="6"/>
      <c r="T541" s="4"/>
      <c r="U541" s="6"/>
      <c r="V541" s="6"/>
      <c r="W541" s="6"/>
      <c r="X541" s="6"/>
      <c r="Y541" s="4"/>
      <c r="Z541" s="6"/>
      <c r="AA541" s="4"/>
      <c r="AB541" s="4"/>
      <c r="AC541" s="4"/>
      <c r="AD541" s="6"/>
      <c r="AE541" s="4"/>
      <c r="AF541" s="4"/>
      <c r="AG541" s="4"/>
      <c r="AH541" s="4">
        <v>82689876000</v>
      </c>
    </row>
    <row r="542" spans="1:34" x14ac:dyDescent="0.25">
      <c r="A542" s="4">
        <v>541</v>
      </c>
      <c r="B542" s="5" t="s">
        <v>1193</v>
      </c>
      <c r="C542" s="5" t="s">
        <v>1194</v>
      </c>
      <c r="D542" s="5" t="s">
        <v>968</v>
      </c>
      <c r="E542" s="5" t="s">
        <v>24</v>
      </c>
      <c r="F542" s="5" t="s">
        <v>56</v>
      </c>
      <c r="G542" s="5" t="s">
        <v>129</v>
      </c>
      <c r="H542" s="4"/>
      <c r="I542" s="4"/>
      <c r="J542" s="6"/>
      <c r="K542" s="6"/>
      <c r="L542" s="6"/>
      <c r="M542" s="4"/>
      <c r="N542" s="4"/>
      <c r="O542" s="4"/>
      <c r="P542" s="6"/>
      <c r="Q542" s="6"/>
      <c r="R542" s="6"/>
      <c r="S542" s="6"/>
      <c r="T542" s="4"/>
      <c r="U542" s="6"/>
      <c r="V542" s="6"/>
      <c r="W542" s="6"/>
      <c r="X542" s="6"/>
      <c r="Y542" s="4"/>
      <c r="Z542" s="6"/>
      <c r="AA542" s="4"/>
      <c r="AB542" s="4"/>
      <c r="AC542" s="4"/>
      <c r="AD542" s="6"/>
      <c r="AE542" s="4"/>
      <c r="AF542" s="4"/>
      <c r="AG542" s="4"/>
      <c r="AH542" s="4">
        <v>29070000000000</v>
      </c>
    </row>
    <row r="543" spans="1:34" x14ac:dyDescent="0.25">
      <c r="A543" s="4">
        <v>542</v>
      </c>
      <c r="B543" s="5" t="s">
        <v>1195</v>
      </c>
      <c r="C543" s="5" t="s">
        <v>1196</v>
      </c>
      <c r="D543" s="5" t="s">
        <v>968</v>
      </c>
      <c r="E543" s="5" t="s">
        <v>29</v>
      </c>
      <c r="F543" s="5" t="s">
        <v>30</v>
      </c>
      <c r="G543" s="5" t="s">
        <v>83</v>
      </c>
      <c r="H543" s="4"/>
      <c r="I543" s="4"/>
      <c r="J543" s="6"/>
      <c r="K543" s="6"/>
      <c r="L543" s="6"/>
      <c r="M543" s="4"/>
      <c r="N543" s="4"/>
      <c r="O543" s="4"/>
      <c r="P543" s="6"/>
      <c r="Q543" s="6"/>
      <c r="R543" s="6"/>
      <c r="S543" s="6"/>
      <c r="T543" s="4"/>
      <c r="U543" s="6"/>
      <c r="V543" s="6"/>
      <c r="W543" s="6"/>
      <c r="X543" s="6"/>
      <c r="Y543" s="4"/>
      <c r="Z543" s="6"/>
      <c r="AA543" s="4"/>
      <c r="AB543" s="4"/>
      <c r="AC543" s="4"/>
      <c r="AD543" s="6"/>
      <c r="AE543" s="4"/>
      <c r="AF543" s="4"/>
      <c r="AG543" s="4"/>
      <c r="AH543" s="4">
        <v>96330000000</v>
      </c>
    </row>
    <row r="544" spans="1:34" x14ac:dyDescent="0.25">
      <c r="A544" s="4">
        <v>543</v>
      </c>
      <c r="B544" s="5" t="s">
        <v>1197</v>
      </c>
      <c r="C544" s="5" t="s">
        <v>1198</v>
      </c>
      <c r="D544" s="5" t="s">
        <v>968</v>
      </c>
      <c r="E544" s="5" t="s">
        <v>40</v>
      </c>
      <c r="F544" s="5" t="s">
        <v>52</v>
      </c>
      <c r="G544" s="5" t="s">
        <v>110</v>
      </c>
      <c r="H544" s="4">
        <v>14266430988</v>
      </c>
      <c r="I544" s="4">
        <v>42496064636</v>
      </c>
      <c r="J544" s="6">
        <v>-0.1012</v>
      </c>
      <c r="K544" s="6">
        <v>-0.1075</v>
      </c>
      <c r="L544" s="6">
        <v>-0.25729999999999997</v>
      </c>
      <c r="M544" s="4">
        <v>111785487</v>
      </c>
      <c r="N544" s="4">
        <v>1622144392</v>
      </c>
      <c r="O544" s="4"/>
      <c r="P544" s="6">
        <v>-0.9778</v>
      </c>
      <c r="Q544" s="6">
        <v>-0.88</v>
      </c>
      <c r="R544" s="6">
        <v>-0.81269999999999998</v>
      </c>
      <c r="S544" s="6">
        <v>-0.92600000000000005</v>
      </c>
      <c r="T544" s="4"/>
      <c r="U544" s="6">
        <v>-0.75719999999999998</v>
      </c>
      <c r="V544" s="6">
        <v>-0.90959999999999996</v>
      </c>
      <c r="W544" s="6">
        <v>-0.90990000000000004</v>
      </c>
      <c r="X544" s="6">
        <v>0</v>
      </c>
      <c r="Y544" s="4"/>
      <c r="Z544" s="6">
        <v>-0.49459999999999998</v>
      </c>
      <c r="AA544" s="4"/>
      <c r="AB544" s="4"/>
      <c r="AC544" s="4"/>
      <c r="AD544" s="6">
        <v>0</v>
      </c>
      <c r="AE544" s="4"/>
      <c r="AF544" s="4"/>
      <c r="AG544" s="4"/>
      <c r="AH544" s="4">
        <v>567811396000</v>
      </c>
    </row>
    <row r="545" spans="1:34" x14ac:dyDescent="0.25">
      <c r="A545" s="4">
        <v>544</v>
      </c>
      <c r="B545" s="5" t="s">
        <v>1199</v>
      </c>
      <c r="C545" s="5" t="s">
        <v>1200</v>
      </c>
      <c r="D545" s="5" t="s">
        <v>968</v>
      </c>
      <c r="E545" s="5" t="s">
        <v>40</v>
      </c>
      <c r="F545" s="5" t="s">
        <v>52</v>
      </c>
      <c r="G545" s="5" t="s">
        <v>110</v>
      </c>
      <c r="H545" s="4"/>
      <c r="I545" s="4"/>
      <c r="J545" s="6"/>
      <c r="K545" s="6"/>
      <c r="L545" s="6"/>
      <c r="M545" s="4"/>
      <c r="N545" s="4"/>
      <c r="O545" s="4"/>
      <c r="P545" s="6"/>
      <c r="Q545" s="6"/>
      <c r="R545" s="6"/>
      <c r="S545" s="6"/>
      <c r="T545" s="4"/>
      <c r="U545" s="6"/>
      <c r="V545" s="6"/>
      <c r="W545" s="6"/>
      <c r="X545" s="6"/>
      <c r="Y545" s="4"/>
      <c r="Z545" s="6"/>
      <c r="AA545" s="4"/>
      <c r="AB545" s="4"/>
      <c r="AC545" s="4"/>
      <c r="AD545" s="6"/>
      <c r="AE545" s="4"/>
      <c r="AF545" s="4"/>
      <c r="AG545" s="4"/>
      <c r="AH545" s="4">
        <v>937664292800</v>
      </c>
    </row>
    <row r="546" spans="1:34" x14ac:dyDescent="0.25">
      <c r="A546" s="4">
        <v>545</v>
      </c>
      <c r="B546" s="5" t="s">
        <v>1201</v>
      </c>
      <c r="C546" s="5" t="s">
        <v>1202</v>
      </c>
      <c r="D546" s="5" t="s">
        <v>968</v>
      </c>
      <c r="E546" s="5" t="s">
        <v>40</v>
      </c>
      <c r="F546" s="5" t="s">
        <v>52</v>
      </c>
      <c r="G546" s="5" t="s">
        <v>110</v>
      </c>
      <c r="H546" s="4"/>
      <c r="I546" s="4"/>
      <c r="J546" s="6"/>
      <c r="K546" s="6"/>
      <c r="L546" s="6"/>
      <c r="M546" s="4"/>
      <c r="N546" s="4"/>
      <c r="O546" s="4"/>
      <c r="P546" s="6"/>
      <c r="Q546" s="6"/>
      <c r="R546" s="6"/>
      <c r="S546" s="6"/>
      <c r="T546" s="4"/>
      <c r="U546" s="6"/>
      <c r="V546" s="6"/>
      <c r="W546" s="6"/>
      <c r="X546" s="6"/>
      <c r="Y546" s="4"/>
      <c r="Z546" s="6"/>
      <c r="AA546" s="4"/>
      <c r="AB546" s="4"/>
      <c r="AC546" s="4"/>
      <c r="AD546" s="6"/>
      <c r="AE546" s="4"/>
      <c r="AF546" s="4"/>
      <c r="AG546" s="4"/>
      <c r="AH546" s="4">
        <v>551231188000</v>
      </c>
    </row>
    <row r="547" spans="1:34" x14ac:dyDescent="0.25">
      <c r="A547" s="4">
        <v>546</v>
      </c>
      <c r="B547" s="5" t="s">
        <v>1203</v>
      </c>
      <c r="C547" s="5" t="s">
        <v>1204</v>
      </c>
      <c r="D547" s="5" t="s">
        <v>968</v>
      </c>
      <c r="E547" s="5" t="s">
        <v>24</v>
      </c>
      <c r="F547" s="5" t="s">
        <v>25</v>
      </c>
      <c r="G547" s="5" t="s">
        <v>45</v>
      </c>
      <c r="H547" s="4"/>
      <c r="I547" s="4"/>
      <c r="J547" s="6"/>
      <c r="K547" s="6"/>
      <c r="L547" s="6"/>
      <c r="M547" s="4"/>
      <c r="N547" s="4"/>
      <c r="O547" s="4"/>
      <c r="P547" s="6"/>
      <c r="Q547" s="6"/>
      <c r="R547" s="6"/>
      <c r="S547" s="6"/>
      <c r="T547" s="4"/>
      <c r="U547" s="6"/>
      <c r="V547" s="6"/>
      <c r="W547" s="6"/>
      <c r="X547" s="6"/>
      <c r="Y547" s="4"/>
      <c r="Z547" s="6"/>
      <c r="AA547" s="4"/>
      <c r="AB547" s="4"/>
      <c r="AC547" s="4"/>
      <c r="AD547" s="6"/>
      <c r="AE547" s="4"/>
      <c r="AF547" s="4"/>
      <c r="AG547" s="4"/>
      <c r="AH547" s="4">
        <v>1309134240000</v>
      </c>
    </row>
    <row r="548" spans="1:34" x14ac:dyDescent="0.25">
      <c r="A548" s="4">
        <v>547</v>
      </c>
      <c r="B548" s="5" t="s">
        <v>1205</v>
      </c>
      <c r="C548" s="5" t="s">
        <v>1206</v>
      </c>
      <c r="D548" s="5" t="s">
        <v>968</v>
      </c>
      <c r="E548" s="5" t="s">
        <v>29</v>
      </c>
      <c r="F548" s="5" t="s">
        <v>36</v>
      </c>
      <c r="G548" s="5" t="s">
        <v>536</v>
      </c>
      <c r="H548" s="4">
        <v>29895692050</v>
      </c>
      <c r="I548" s="4">
        <v>66846187934</v>
      </c>
      <c r="J548" s="6">
        <v>-0.5645</v>
      </c>
      <c r="K548" s="6"/>
      <c r="L548" s="6"/>
      <c r="M548" s="4">
        <v>2098430210</v>
      </c>
      <c r="N548" s="4">
        <v>6728030502</v>
      </c>
      <c r="O548" s="4"/>
      <c r="P548" s="6">
        <v>-0.13270000000000001</v>
      </c>
      <c r="Q548" s="6"/>
      <c r="R548" s="6"/>
      <c r="S548" s="6">
        <v>-0.54669999999999996</v>
      </c>
      <c r="T548" s="4"/>
      <c r="U548" s="6"/>
      <c r="V548" s="6"/>
      <c r="W548" s="6"/>
      <c r="X548" s="6"/>
      <c r="Y548" s="4"/>
      <c r="Z548" s="6">
        <v>-0.19089999999999999</v>
      </c>
      <c r="AA548" s="4"/>
      <c r="AB548" s="4"/>
      <c r="AC548" s="4"/>
      <c r="AD548" s="6"/>
      <c r="AE548" s="4"/>
      <c r="AF548" s="4"/>
      <c r="AG548" s="4"/>
      <c r="AH548" s="4">
        <v>69671137000</v>
      </c>
    </row>
    <row r="549" spans="1:34" x14ac:dyDescent="0.25">
      <c r="A549" s="4">
        <v>548</v>
      </c>
      <c r="B549" s="5" t="s">
        <v>1207</v>
      </c>
      <c r="C549" s="5" t="s">
        <v>1208</v>
      </c>
      <c r="D549" s="5" t="s">
        <v>968</v>
      </c>
      <c r="E549" s="5" t="s">
        <v>40</v>
      </c>
      <c r="F549" s="5" t="s">
        <v>52</v>
      </c>
      <c r="G549" s="5" t="s">
        <v>110</v>
      </c>
      <c r="H549" s="4"/>
      <c r="I549" s="4"/>
      <c r="J549" s="6"/>
      <c r="K549" s="6"/>
      <c r="L549" s="6"/>
      <c r="M549" s="4"/>
      <c r="N549" s="4"/>
      <c r="O549" s="4"/>
      <c r="P549" s="6"/>
      <c r="Q549" s="6"/>
      <c r="R549" s="6"/>
      <c r="S549" s="6"/>
      <c r="T549" s="4"/>
      <c r="U549" s="6"/>
      <c r="V549" s="6"/>
      <c r="W549" s="6"/>
      <c r="X549" s="6"/>
      <c r="Y549" s="4"/>
      <c r="Z549" s="6"/>
      <c r="AA549" s="4"/>
      <c r="AB549" s="4"/>
      <c r="AC549" s="4"/>
      <c r="AD549" s="6"/>
      <c r="AE549" s="4"/>
      <c r="AF549" s="4"/>
      <c r="AG549" s="4"/>
      <c r="AH549" s="4">
        <v>29398922000</v>
      </c>
    </row>
    <row r="550" spans="1:34" x14ac:dyDescent="0.25">
      <c r="A550" s="4">
        <v>549</v>
      </c>
      <c r="B550" s="5" t="s">
        <v>1209</v>
      </c>
      <c r="C550" s="5" t="s">
        <v>1210</v>
      </c>
      <c r="D550" s="5" t="s">
        <v>968</v>
      </c>
      <c r="E550" s="5" t="s">
        <v>234</v>
      </c>
      <c r="F550" s="5" t="s">
        <v>235</v>
      </c>
      <c r="G550" s="5" t="s">
        <v>236</v>
      </c>
      <c r="H550" s="4"/>
      <c r="I550" s="4"/>
      <c r="J550" s="6"/>
      <c r="K550" s="6"/>
      <c r="L550" s="6"/>
      <c r="M550" s="4"/>
      <c r="N550" s="4"/>
      <c r="O550" s="4"/>
      <c r="P550" s="6"/>
      <c r="Q550" s="6"/>
      <c r="R550" s="6"/>
      <c r="S550" s="6"/>
      <c r="T550" s="4"/>
      <c r="U550" s="6"/>
      <c r="V550" s="6"/>
      <c r="W550" s="6"/>
      <c r="X550" s="6"/>
      <c r="Y550" s="4"/>
      <c r="Z550" s="6"/>
      <c r="AA550" s="4"/>
      <c r="AB550" s="4"/>
      <c r="AC550" s="4"/>
      <c r="AD550" s="6"/>
      <c r="AE550" s="4"/>
      <c r="AF550" s="4"/>
      <c r="AG550" s="4"/>
      <c r="AH550" s="4">
        <v>155443520500</v>
      </c>
    </row>
    <row r="551" spans="1:34" x14ac:dyDescent="0.25">
      <c r="A551" s="4">
        <v>550</v>
      </c>
      <c r="B551" s="5" t="s">
        <v>1211</v>
      </c>
      <c r="C551" s="5" t="s">
        <v>1212</v>
      </c>
      <c r="D551" s="5" t="s">
        <v>968</v>
      </c>
      <c r="E551" s="5" t="s">
        <v>40</v>
      </c>
      <c r="F551" s="5" t="s">
        <v>52</v>
      </c>
      <c r="G551" s="5" t="s">
        <v>110</v>
      </c>
      <c r="H551" s="4"/>
      <c r="I551" s="4"/>
      <c r="J551" s="6"/>
      <c r="K551" s="6"/>
      <c r="L551" s="6"/>
      <c r="M551" s="4"/>
      <c r="N551" s="4"/>
      <c r="O551" s="4"/>
      <c r="P551" s="6"/>
      <c r="Q551" s="6"/>
      <c r="R551" s="6"/>
      <c r="S551" s="6"/>
      <c r="T551" s="4"/>
      <c r="U551" s="6"/>
      <c r="V551" s="6"/>
      <c r="W551" s="6"/>
      <c r="X551" s="6"/>
      <c r="Y551" s="4"/>
      <c r="Z551" s="6"/>
      <c r="AA551" s="4"/>
      <c r="AB551" s="4"/>
      <c r="AC551" s="4"/>
      <c r="AD551" s="6"/>
      <c r="AE551" s="4"/>
      <c r="AF551" s="4"/>
      <c r="AG551" s="4"/>
      <c r="AH551" s="4">
        <v>1330560000000</v>
      </c>
    </row>
    <row r="552" spans="1:34" x14ac:dyDescent="0.25">
      <c r="A552" s="4">
        <v>551</v>
      </c>
      <c r="B552" s="5" t="s">
        <v>1213</v>
      </c>
      <c r="C552" s="5" t="s">
        <v>1214</v>
      </c>
      <c r="D552" s="5" t="s">
        <v>968</v>
      </c>
      <c r="E552" s="5" t="s">
        <v>40</v>
      </c>
      <c r="F552" s="5" t="s">
        <v>52</v>
      </c>
      <c r="G552" s="5" t="s">
        <v>110</v>
      </c>
      <c r="H552" s="4"/>
      <c r="I552" s="4"/>
      <c r="J552" s="6"/>
      <c r="K552" s="6"/>
      <c r="L552" s="6"/>
      <c r="M552" s="4"/>
      <c r="N552" s="4"/>
      <c r="O552" s="4"/>
      <c r="P552" s="6"/>
      <c r="Q552" s="6"/>
      <c r="R552" s="6"/>
      <c r="S552" s="6"/>
      <c r="T552" s="4"/>
      <c r="U552" s="6"/>
      <c r="V552" s="6"/>
      <c r="W552" s="6"/>
      <c r="X552" s="6"/>
      <c r="Y552" s="4"/>
      <c r="Z552" s="6"/>
      <c r="AA552" s="4"/>
      <c r="AB552" s="4"/>
      <c r="AC552" s="4"/>
      <c r="AD552" s="6"/>
      <c r="AE552" s="4"/>
      <c r="AF552" s="4"/>
      <c r="AG552" s="4"/>
      <c r="AH552" s="4">
        <v>329772313500</v>
      </c>
    </row>
    <row r="553" spans="1:34" x14ac:dyDescent="0.25">
      <c r="A553" s="4">
        <v>552</v>
      </c>
      <c r="B553" s="5" t="s">
        <v>1215</v>
      </c>
      <c r="C553" s="5" t="s">
        <v>1216</v>
      </c>
      <c r="D553" s="5" t="s">
        <v>968</v>
      </c>
      <c r="E553" s="5" t="s">
        <v>40</v>
      </c>
      <c r="F553" s="5" t="s">
        <v>41</v>
      </c>
      <c r="G553" s="5" t="s">
        <v>1217</v>
      </c>
      <c r="H553" s="4"/>
      <c r="I553" s="4"/>
      <c r="J553" s="6"/>
      <c r="K553" s="6"/>
      <c r="L553" s="6"/>
      <c r="M553" s="4"/>
      <c r="N553" s="4"/>
      <c r="O553" s="4"/>
      <c r="P553" s="6"/>
      <c r="Q553" s="6"/>
      <c r="R553" s="6"/>
      <c r="S553" s="6"/>
      <c r="T553" s="4"/>
      <c r="U553" s="6"/>
      <c r="V553" s="6"/>
      <c r="W553" s="6"/>
      <c r="X553" s="6"/>
      <c r="Y553" s="4"/>
      <c r="Z553" s="6"/>
      <c r="AA553" s="4"/>
      <c r="AB553" s="4"/>
      <c r="AC553" s="4"/>
      <c r="AD553" s="6"/>
      <c r="AE553" s="4"/>
      <c r="AF553" s="4"/>
      <c r="AG553" s="4"/>
      <c r="AH553" s="4">
        <v>589886274800</v>
      </c>
    </row>
    <row r="554" spans="1:34" x14ac:dyDescent="0.25">
      <c r="A554" s="4">
        <v>553</v>
      </c>
      <c r="B554" s="5" t="s">
        <v>1218</v>
      </c>
      <c r="C554" s="5" t="s">
        <v>1219</v>
      </c>
      <c r="D554" s="5" t="s">
        <v>968</v>
      </c>
      <c r="E554" s="5" t="s">
        <v>62</v>
      </c>
      <c r="F554" s="5" t="s">
        <v>226</v>
      </c>
      <c r="G554" s="5" t="s">
        <v>737</v>
      </c>
      <c r="H554" s="4"/>
      <c r="I554" s="4"/>
      <c r="J554" s="6"/>
      <c r="K554" s="6"/>
      <c r="L554" s="6"/>
      <c r="M554" s="4"/>
      <c r="N554" s="4"/>
      <c r="O554" s="4"/>
      <c r="P554" s="6"/>
      <c r="Q554" s="6"/>
      <c r="R554" s="6"/>
      <c r="S554" s="6"/>
      <c r="T554" s="4"/>
      <c r="U554" s="6"/>
      <c r="V554" s="6"/>
      <c r="W554" s="6"/>
      <c r="X554" s="6"/>
      <c r="Y554" s="4"/>
      <c r="Z554" s="6"/>
      <c r="AA554" s="4"/>
      <c r="AB554" s="4"/>
      <c r="AC554" s="4"/>
      <c r="AD554" s="6"/>
      <c r="AE554" s="4"/>
      <c r="AF554" s="4"/>
      <c r="AG554" s="4"/>
      <c r="AH554" s="4">
        <v>148515368400</v>
      </c>
    </row>
    <row r="555" spans="1:34" x14ac:dyDescent="0.25">
      <c r="A555" s="4">
        <v>554</v>
      </c>
      <c r="B555" s="5" t="s">
        <v>1220</v>
      </c>
      <c r="C555" s="5" t="s">
        <v>1221</v>
      </c>
      <c r="D555" s="5" t="s">
        <v>968</v>
      </c>
      <c r="E555" s="5" t="s">
        <v>40</v>
      </c>
      <c r="F555" s="5" t="s">
        <v>52</v>
      </c>
      <c r="G555" s="5" t="s">
        <v>53</v>
      </c>
      <c r="H555" s="4"/>
      <c r="I555" s="4"/>
      <c r="J555" s="6"/>
      <c r="K555" s="6"/>
      <c r="L555" s="6"/>
      <c r="M555" s="4"/>
      <c r="N555" s="4"/>
      <c r="O555" s="4"/>
      <c r="P555" s="6"/>
      <c r="Q555" s="6"/>
      <c r="R555" s="6"/>
      <c r="S555" s="6"/>
      <c r="T555" s="4"/>
      <c r="U555" s="6"/>
      <c r="V555" s="6"/>
      <c r="W555" s="6"/>
      <c r="X555" s="6"/>
      <c r="Y555" s="4"/>
      <c r="Z555" s="6"/>
      <c r="AA555" s="4"/>
      <c r="AB555" s="4"/>
      <c r="AC555" s="4"/>
      <c r="AD555" s="6"/>
      <c r="AE555" s="4"/>
      <c r="AF555" s="4"/>
      <c r="AG555" s="4"/>
      <c r="AH555" s="4">
        <v>288524496000</v>
      </c>
    </row>
    <row r="556" spans="1:34" x14ac:dyDescent="0.25">
      <c r="A556" s="4">
        <v>555</v>
      </c>
      <c r="B556" s="5" t="s">
        <v>1222</v>
      </c>
      <c r="C556" s="5" t="s">
        <v>1223</v>
      </c>
      <c r="D556" s="5" t="s">
        <v>968</v>
      </c>
      <c r="E556" s="5" t="s">
        <v>75</v>
      </c>
      <c r="F556" s="5" t="s">
        <v>79</v>
      </c>
      <c r="G556" s="5" t="s">
        <v>80</v>
      </c>
      <c r="H556" s="4">
        <v>1196245644077</v>
      </c>
      <c r="I556" s="4">
        <v>2215341584599</v>
      </c>
      <c r="J556" s="6">
        <v>0.50980000000000003</v>
      </c>
      <c r="K556" s="6">
        <v>0.5161</v>
      </c>
      <c r="L556" s="6">
        <v>0.45619999999999999</v>
      </c>
      <c r="M556" s="4">
        <v>300717620648</v>
      </c>
      <c r="N556" s="4">
        <v>592345989973</v>
      </c>
      <c r="O556" s="4"/>
      <c r="P556" s="6">
        <v>0.3604</v>
      </c>
      <c r="Q556" s="6">
        <v>0.2087</v>
      </c>
      <c r="R556" s="6">
        <v>0.374</v>
      </c>
      <c r="S556" s="6">
        <v>3.1199999999999999E-2</v>
      </c>
      <c r="T556" s="4"/>
      <c r="U556" s="6">
        <v>-0.52610000000000001</v>
      </c>
      <c r="V556" s="6">
        <v>-0.59719999999999995</v>
      </c>
      <c r="W556" s="6">
        <v>-0.5998</v>
      </c>
      <c r="X556" s="6">
        <v>0</v>
      </c>
      <c r="Y556" s="4"/>
      <c r="Z556" s="6">
        <v>0.17380000000000001</v>
      </c>
      <c r="AA556" s="4"/>
      <c r="AB556" s="4"/>
      <c r="AC556" s="4"/>
      <c r="AD556" s="6">
        <v>0</v>
      </c>
      <c r="AE556" s="4"/>
      <c r="AF556" s="4"/>
      <c r="AG556" s="4"/>
      <c r="AH556" s="4">
        <v>18717454767000</v>
      </c>
    </row>
    <row r="557" spans="1:34" x14ac:dyDescent="0.25">
      <c r="A557" s="4">
        <v>556</v>
      </c>
      <c r="B557" s="5" t="s">
        <v>1224</v>
      </c>
      <c r="C557" s="5" t="s">
        <v>1225</v>
      </c>
      <c r="D557" s="5" t="s">
        <v>968</v>
      </c>
      <c r="E557" s="5" t="s">
        <v>40</v>
      </c>
      <c r="F557" s="5" t="s">
        <v>52</v>
      </c>
      <c r="G557" s="5" t="s">
        <v>53</v>
      </c>
      <c r="H557" s="4"/>
      <c r="I557" s="4"/>
      <c r="J557" s="6"/>
      <c r="K557" s="6"/>
      <c r="L557" s="6"/>
      <c r="M557" s="4"/>
      <c r="N557" s="4"/>
      <c r="O557" s="4"/>
      <c r="P557" s="6"/>
      <c r="Q557" s="6"/>
      <c r="R557" s="6"/>
      <c r="S557" s="6"/>
      <c r="T557" s="4"/>
      <c r="U557" s="6"/>
      <c r="V557" s="6"/>
      <c r="W557" s="6"/>
      <c r="X557" s="6"/>
      <c r="Y557" s="4"/>
      <c r="Z557" s="6"/>
      <c r="AA557" s="4"/>
      <c r="AB557" s="4"/>
      <c r="AC557" s="4"/>
      <c r="AD557" s="6"/>
      <c r="AE557" s="4"/>
      <c r="AF557" s="4"/>
      <c r="AG557" s="4"/>
      <c r="AH557" s="4">
        <v>65816836800</v>
      </c>
    </row>
    <row r="558" spans="1:34" x14ac:dyDescent="0.25">
      <c r="A558" s="4">
        <v>557</v>
      </c>
      <c r="B558" s="5" t="s">
        <v>1226</v>
      </c>
      <c r="C558" s="5" t="s">
        <v>1227</v>
      </c>
      <c r="D558" s="5" t="s">
        <v>968</v>
      </c>
      <c r="E558" s="5" t="s">
        <v>29</v>
      </c>
      <c r="F558" s="5" t="s">
        <v>30</v>
      </c>
      <c r="G558" s="5" t="s">
        <v>83</v>
      </c>
      <c r="H558" s="4">
        <v>212763349383</v>
      </c>
      <c r="I558" s="4">
        <v>336632094539</v>
      </c>
      <c r="J558" s="6">
        <v>0.5111</v>
      </c>
      <c r="K558" s="6">
        <v>0.1782</v>
      </c>
      <c r="L558" s="6">
        <v>7.8799999999999995E-2</v>
      </c>
      <c r="M558" s="4">
        <v>7743063916</v>
      </c>
      <c r="N558" s="4">
        <v>10927673444</v>
      </c>
      <c r="O558" s="4"/>
      <c r="P558" s="6">
        <v>1.2704</v>
      </c>
      <c r="Q558" s="6">
        <v>1.1071</v>
      </c>
      <c r="R558" s="6">
        <v>1.0883</v>
      </c>
      <c r="S558" s="6">
        <v>1.4314</v>
      </c>
      <c r="T558" s="4"/>
      <c r="U558" s="6">
        <v>-0.40710000000000002</v>
      </c>
      <c r="V558" s="6">
        <v>0.1115</v>
      </c>
      <c r="W558" s="6">
        <v>8.4099999999999994E-2</v>
      </c>
      <c r="X558" s="6">
        <v>0</v>
      </c>
      <c r="Y558" s="4"/>
      <c r="Z558" s="6">
        <v>0.7177</v>
      </c>
      <c r="AA558" s="4"/>
      <c r="AB558" s="4"/>
      <c r="AC558" s="4"/>
      <c r="AD558" s="6">
        <v>0</v>
      </c>
      <c r="AE558" s="4"/>
      <c r="AF558" s="4"/>
      <c r="AG558" s="4"/>
      <c r="AH558" s="4">
        <v>76522649800</v>
      </c>
    </row>
    <row r="559" spans="1:34" x14ac:dyDescent="0.25">
      <c r="A559" s="4">
        <v>558</v>
      </c>
      <c r="B559" s="5" t="s">
        <v>1228</v>
      </c>
      <c r="C559" s="5" t="s">
        <v>1229</v>
      </c>
      <c r="D559" s="5" t="s">
        <v>968</v>
      </c>
      <c r="E559" s="5" t="s">
        <v>40</v>
      </c>
      <c r="F559" s="5" t="s">
        <v>52</v>
      </c>
      <c r="G559" s="5" t="s">
        <v>110</v>
      </c>
      <c r="H559" s="4"/>
      <c r="I559" s="4"/>
      <c r="J559" s="6"/>
      <c r="K559" s="6"/>
      <c r="L559" s="6"/>
      <c r="M559" s="4"/>
      <c r="N559" s="4"/>
      <c r="O559" s="4"/>
      <c r="P559" s="6"/>
      <c r="Q559" s="6"/>
      <c r="R559" s="6"/>
      <c r="S559" s="6"/>
      <c r="T559" s="4"/>
      <c r="U559" s="6"/>
      <c r="V559" s="6"/>
      <c r="W559" s="6"/>
      <c r="X559" s="6"/>
      <c r="Y559" s="4"/>
      <c r="Z559" s="6"/>
      <c r="AA559" s="4"/>
      <c r="AB559" s="4"/>
      <c r="AC559" s="4"/>
      <c r="AD559" s="6"/>
      <c r="AE559" s="4"/>
      <c r="AF559" s="4"/>
      <c r="AG559" s="4"/>
      <c r="AH559" s="4">
        <v>19698859200</v>
      </c>
    </row>
    <row r="560" spans="1:34" x14ac:dyDescent="0.25">
      <c r="A560" s="4">
        <v>559</v>
      </c>
      <c r="B560" s="5" t="s">
        <v>1230</v>
      </c>
      <c r="C560" s="5" t="s">
        <v>1231</v>
      </c>
      <c r="D560" s="5" t="s">
        <v>968</v>
      </c>
      <c r="E560" s="5" t="s">
        <v>24</v>
      </c>
      <c r="F560" s="5" t="s">
        <v>56</v>
      </c>
      <c r="G560" s="5" t="s">
        <v>1044</v>
      </c>
      <c r="H560" s="4">
        <v>655659298288</v>
      </c>
      <c r="I560" s="4">
        <v>1179271535035</v>
      </c>
      <c r="J560" s="6">
        <v>-0.10340000000000001</v>
      </c>
      <c r="K560" s="6"/>
      <c r="L560" s="6"/>
      <c r="M560" s="4">
        <v>766690358</v>
      </c>
      <c r="N560" s="4">
        <v>5886350852</v>
      </c>
      <c r="O560" s="4"/>
      <c r="P560" s="6">
        <v>-0.89539999999999997</v>
      </c>
      <c r="Q560" s="6"/>
      <c r="R560" s="6"/>
      <c r="S560" s="6">
        <v>-0.85019999999999996</v>
      </c>
      <c r="T560" s="4"/>
      <c r="U560" s="6"/>
      <c r="V560" s="6"/>
      <c r="W560" s="6"/>
      <c r="X560" s="6"/>
      <c r="Y560" s="4"/>
      <c r="Z560" s="6">
        <v>0.25219999999999998</v>
      </c>
      <c r="AA560" s="4"/>
      <c r="AB560" s="4"/>
      <c r="AC560" s="4"/>
      <c r="AD560" s="6"/>
      <c r="AE560" s="4"/>
      <c r="AF560" s="4"/>
      <c r="AG560" s="4"/>
      <c r="AH560" s="4">
        <v>184197775600</v>
      </c>
    </row>
    <row r="561" spans="1:34" x14ac:dyDescent="0.25">
      <c r="A561" s="4">
        <v>560</v>
      </c>
      <c r="B561" s="5" t="s">
        <v>1232</v>
      </c>
      <c r="C561" s="5" t="s">
        <v>1233</v>
      </c>
      <c r="D561" s="5" t="s">
        <v>968</v>
      </c>
      <c r="E561" s="5" t="s">
        <v>40</v>
      </c>
      <c r="F561" s="5" t="s">
        <v>41</v>
      </c>
      <c r="G561" s="5" t="s">
        <v>519</v>
      </c>
      <c r="H561" s="4"/>
      <c r="I561" s="4"/>
      <c r="J561" s="6"/>
      <c r="K561" s="6"/>
      <c r="L561" s="6"/>
      <c r="M561" s="4"/>
      <c r="N561" s="4"/>
      <c r="O561" s="4"/>
      <c r="P561" s="6"/>
      <c r="Q561" s="6"/>
      <c r="R561" s="6"/>
      <c r="S561" s="6"/>
      <c r="T561" s="4"/>
      <c r="U561" s="6"/>
      <c r="V561" s="6"/>
      <c r="W561" s="6"/>
      <c r="X561" s="6"/>
      <c r="Y561" s="4"/>
      <c r="Z561" s="6"/>
      <c r="AA561" s="4"/>
      <c r="AB561" s="4"/>
      <c r="AC561" s="4"/>
      <c r="AD561" s="6"/>
      <c r="AE561" s="4"/>
      <c r="AF561" s="4"/>
      <c r="AG561" s="4"/>
      <c r="AH561" s="4"/>
    </row>
    <row r="562" spans="1:34" x14ac:dyDescent="0.25">
      <c r="A562" s="4">
        <v>561</v>
      </c>
      <c r="B562" s="5" t="s">
        <v>1234</v>
      </c>
      <c r="C562" s="5" t="s">
        <v>1235</v>
      </c>
      <c r="D562" s="5" t="s">
        <v>968</v>
      </c>
      <c r="E562" s="5" t="s">
        <v>234</v>
      </c>
      <c r="F562" s="5" t="s">
        <v>235</v>
      </c>
      <c r="G562" s="5" t="s">
        <v>236</v>
      </c>
      <c r="H562" s="4">
        <v>122927977974</v>
      </c>
      <c r="I562" s="4">
        <v>211592187161</v>
      </c>
      <c r="J562" s="6">
        <v>0.41449999999999998</v>
      </c>
      <c r="K562" s="6"/>
      <c r="L562" s="6"/>
      <c r="M562" s="4">
        <v>5287914976</v>
      </c>
      <c r="N562" s="4">
        <v>11216524847</v>
      </c>
      <c r="O562" s="4"/>
      <c r="P562" s="6">
        <v>0.73850000000000005</v>
      </c>
      <c r="Q562" s="6"/>
      <c r="R562" s="6"/>
      <c r="S562" s="6">
        <v>-0.1077</v>
      </c>
      <c r="T562" s="4"/>
      <c r="U562" s="6"/>
      <c r="V562" s="6"/>
      <c r="W562" s="6"/>
      <c r="X562" s="6"/>
      <c r="Y562" s="4"/>
      <c r="Z562" s="6">
        <v>0.38640000000000002</v>
      </c>
      <c r="AA562" s="4"/>
      <c r="AB562" s="4"/>
      <c r="AC562" s="4"/>
      <c r="AD562" s="6"/>
      <c r="AE562" s="4"/>
      <c r="AF562" s="4"/>
      <c r="AG562" s="4"/>
      <c r="AH562" s="4">
        <v>228344000000</v>
      </c>
    </row>
    <row r="563" spans="1:34" x14ac:dyDescent="0.25">
      <c r="A563" s="4">
        <v>562</v>
      </c>
      <c r="B563" s="5" t="s">
        <v>1236</v>
      </c>
      <c r="C563" s="5" t="s">
        <v>1237</v>
      </c>
      <c r="D563" s="5" t="s">
        <v>968</v>
      </c>
      <c r="E563" s="5" t="s">
        <v>24</v>
      </c>
      <c r="F563" s="5" t="s">
        <v>56</v>
      </c>
      <c r="G563" s="5" t="s">
        <v>291</v>
      </c>
      <c r="H563" s="4">
        <v>319283744128</v>
      </c>
      <c r="I563" s="4">
        <v>555618809486</v>
      </c>
      <c r="J563" s="6">
        <v>0.97799999999999998</v>
      </c>
      <c r="K563" s="6">
        <v>0.4713</v>
      </c>
      <c r="L563" s="6">
        <v>0.19159999999999999</v>
      </c>
      <c r="M563" s="4">
        <v>8145211607</v>
      </c>
      <c r="N563" s="4">
        <v>10539787035</v>
      </c>
      <c r="O563" s="4"/>
      <c r="P563" s="6">
        <v>0.25580000000000003</v>
      </c>
      <c r="Q563" s="6">
        <v>0.38890000000000002</v>
      </c>
      <c r="R563" s="6">
        <v>5.3199999999999997E-2</v>
      </c>
      <c r="S563" s="6">
        <v>2.4015</v>
      </c>
      <c r="T563" s="4"/>
      <c r="U563" s="6">
        <v>-0.30549999999999999</v>
      </c>
      <c r="V563" s="6">
        <v>0.5363</v>
      </c>
      <c r="W563" s="6">
        <v>0.55000000000000004</v>
      </c>
      <c r="X563" s="6">
        <v>0</v>
      </c>
      <c r="Y563" s="4"/>
      <c r="Z563" s="6">
        <v>0.35099999999999998</v>
      </c>
      <c r="AA563" s="4"/>
      <c r="AB563" s="4"/>
      <c r="AC563" s="4"/>
      <c r="AD563" s="6">
        <v>0</v>
      </c>
      <c r="AE563" s="4"/>
      <c r="AF563" s="4"/>
      <c r="AG563" s="4"/>
      <c r="AH563" s="4">
        <v>114000000000</v>
      </c>
    </row>
    <row r="564" spans="1:34" x14ac:dyDescent="0.25">
      <c r="A564" s="4">
        <v>563</v>
      </c>
      <c r="B564" s="5" t="s">
        <v>1238</v>
      </c>
      <c r="C564" s="5" t="s">
        <v>1239</v>
      </c>
      <c r="D564" s="5" t="s">
        <v>968</v>
      </c>
      <c r="E564" s="5" t="s">
        <v>24</v>
      </c>
      <c r="F564" s="5" t="s">
        <v>56</v>
      </c>
      <c r="G564" s="5" t="s">
        <v>129</v>
      </c>
      <c r="H564" s="4"/>
      <c r="I564" s="4"/>
      <c r="J564" s="6"/>
      <c r="K564" s="6"/>
      <c r="L564" s="6"/>
      <c r="M564" s="4"/>
      <c r="N564" s="4"/>
      <c r="O564" s="4"/>
      <c r="P564" s="6"/>
      <c r="Q564" s="6"/>
      <c r="R564" s="6"/>
      <c r="S564" s="6"/>
      <c r="T564" s="4"/>
      <c r="U564" s="6"/>
      <c r="V564" s="6"/>
      <c r="W564" s="6"/>
      <c r="X564" s="6"/>
      <c r="Y564" s="4"/>
      <c r="Z564" s="6"/>
      <c r="AA564" s="4"/>
      <c r="AB564" s="4"/>
      <c r="AC564" s="4"/>
      <c r="AD564" s="6"/>
      <c r="AE564" s="4"/>
      <c r="AF564" s="4"/>
      <c r="AG564" s="4"/>
      <c r="AH564" s="4">
        <v>89748172500</v>
      </c>
    </row>
    <row r="565" spans="1:34" x14ac:dyDescent="0.25">
      <c r="A565" s="4">
        <v>564</v>
      </c>
      <c r="B565" s="5" t="s">
        <v>1240</v>
      </c>
      <c r="C565" s="5" t="s">
        <v>1241</v>
      </c>
      <c r="D565" s="5" t="s">
        <v>968</v>
      </c>
      <c r="E565" s="5" t="s">
        <v>234</v>
      </c>
      <c r="F565" s="5" t="s">
        <v>235</v>
      </c>
      <c r="G565" s="5" t="s">
        <v>236</v>
      </c>
      <c r="H565" s="4">
        <v>35398416050</v>
      </c>
      <c r="I565" s="4">
        <v>71423512556</v>
      </c>
      <c r="J565" s="6">
        <v>4.65E-2</v>
      </c>
      <c r="K565" s="6">
        <v>6.2199999999999998E-2</v>
      </c>
      <c r="L565" s="6">
        <v>0.16819999999999999</v>
      </c>
      <c r="M565" s="4">
        <v>1169254827</v>
      </c>
      <c r="N565" s="4">
        <v>2217978707</v>
      </c>
      <c r="O565" s="4"/>
      <c r="P565" s="6">
        <v>-0.48470000000000002</v>
      </c>
      <c r="Q565" s="6">
        <v>-0.4753</v>
      </c>
      <c r="R565" s="6">
        <v>1.0538000000000001</v>
      </c>
      <c r="S565" s="6">
        <v>0.1149</v>
      </c>
      <c r="T565" s="4"/>
      <c r="U565" s="6">
        <v>-0.46100000000000002</v>
      </c>
      <c r="V565" s="6">
        <v>-0.70830000000000004</v>
      </c>
      <c r="W565" s="6">
        <v>-0.70899999999999996</v>
      </c>
      <c r="X565" s="6">
        <v>0</v>
      </c>
      <c r="Y565" s="4"/>
      <c r="Z565" s="6">
        <v>-1.7399999999999999E-2</v>
      </c>
      <c r="AA565" s="4"/>
      <c r="AB565" s="4"/>
      <c r="AC565" s="4"/>
      <c r="AD565" s="6">
        <v>0</v>
      </c>
      <c r="AE565" s="4"/>
      <c r="AF565" s="4"/>
      <c r="AG565" s="4"/>
      <c r="AH565" s="4">
        <v>93000000000</v>
      </c>
    </row>
    <row r="566" spans="1:34" x14ac:dyDescent="0.25">
      <c r="A566" s="4">
        <v>565</v>
      </c>
      <c r="B566" s="5" t="s">
        <v>1242</v>
      </c>
      <c r="C566" s="5" t="s">
        <v>1243</v>
      </c>
      <c r="D566" s="5" t="s">
        <v>968</v>
      </c>
      <c r="E566" s="5" t="s">
        <v>40</v>
      </c>
      <c r="F566" s="5" t="s">
        <v>52</v>
      </c>
      <c r="G566" s="5" t="s">
        <v>110</v>
      </c>
      <c r="H566" s="4">
        <v>501731112981</v>
      </c>
      <c r="I566" s="4">
        <v>894971990524</v>
      </c>
      <c r="J566" s="6">
        <v>0.36609999999999998</v>
      </c>
      <c r="K566" s="6">
        <v>0.2235</v>
      </c>
      <c r="L566" s="6">
        <v>0.1249</v>
      </c>
      <c r="M566" s="4">
        <v>8523779415</v>
      </c>
      <c r="N566" s="4">
        <v>16245498136</v>
      </c>
      <c r="O566" s="4"/>
      <c r="P566" s="6">
        <v>1.5322</v>
      </c>
      <c r="Q566" s="6">
        <v>0.50919999999999999</v>
      </c>
      <c r="R566" s="6">
        <v>0.43059999999999998</v>
      </c>
      <c r="S566" s="6">
        <v>0.13239999999999999</v>
      </c>
      <c r="T566" s="4"/>
      <c r="U566" s="6">
        <v>-0.69650000000000001</v>
      </c>
      <c r="V566" s="6">
        <v>-0.85660000000000003</v>
      </c>
      <c r="W566" s="6">
        <v>-0.85719999999999996</v>
      </c>
      <c r="X566" s="6">
        <v>0</v>
      </c>
      <c r="Y566" s="4"/>
      <c r="Z566" s="6">
        <v>0.27589999999999998</v>
      </c>
      <c r="AA566" s="4"/>
      <c r="AB566" s="4"/>
      <c r="AC566" s="4"/>
      <c r="AD566" s="6">
        <v>0</v>
      </c>
      <c r="AE566" s="4"/>
      <c r="AF566" s="4"/>
      <c r="AG566" s="4"/>
      <c r="AH566" s="4">
        <v>1136042200000</v>
      </c>
    </row>
    <row r="567" spans="1:34" x14ac:dyDescent="0.25">
      <c r="A567" s="4">
        <v>566</v>
      </c>
      <c r="B567" s="5" t="s">
        <v>1244</v>
      </c>
      <c r="C567" s="5" t="s">
        <v>1245</v>
      </c>
      <c r="D567" s="5" t="s">
        <v>968</v>
      </c>
      <c r="E567" s="5" t="s">
        <v>24</v>
      </c>
      <c r="F567" s="5" t="s">
        <v>56</v>
      </c>
      <c r="G567" s="5" t="s">
        <v>129</v>
      </c>
      <c r="H567" s="4"/>
      <c r="I567" s="4"/>
      <c r="J567" s="6"/>
      <c r="K567" s="6"/>
      <c r="L567" s="6"/>
      <c r="M567" s="4"/>
      <c r="N567" s="4"/>
      <c r="O567" s="4"/>
      <c r="P567" s="6"/>
      <c r="Q567" s="6"/>
      <c r="R567" s="6"/>
      <c r="S567" s="6"/>
      <c r="T567" s="4"/>
      <c r="U567" s="6"/>
      <c r="V567" s="6"/>
      <c r="W567" s="6"/>
      <c r="X567" s="6"/>
      <c r="Y567" s="4"/>
      <c r="Z567" s="6"/>
      <c r="AA567" s="4"/>
      <c r="AB567" s="4"/>
      <c r="AC567" s="4"/>
      <c r="AD567" s="6"/>
      <c r="AE567" s="4"/>
      <c r="AF567" s="4"/>
      <c r="AG567" s="4"/>
      <c r="AH567" s="4">
        <v>1743000000000</v>
      </c>
    </row>
    <row r="568" spans="1:34" x14ac:dyDescent="0.25">
      <c r="A568" s="4">
        <v>567</v>
      </c>
      <c r="B568" s="5" t="s">
        <v>1246</v>
      </c>
      <c r="C568" s="5" t="s">
        <v>1247</v>
      </c>
      <c r="D568" s="5" t="s">
        <v>968</v>
      </c>
      <c r="E568" s="5" t="s">
        <v>40</v>
      </c>
      <c r="F568" s="5" t="s">
        <v>41</v>
      </c>
      <c r="G568" s="5" t="s">
        <v>619</v>
      </c>
      <c r="H568" s="4"/>
      <c r="I568" s="4"/>
      <c r="J568" s="6"/>
      <c r="K568" s="6"/>
      <c r="L568" s="6"/>
      <c r="M568" s="4"/>
      <c r="N568" s="4"/>
      <c r="O568" s="4"/>
      <c r="P568" s="6"/>
      <c r="Q568" s="6"/>
      <c r="R568" s="6"/>
      <c r="S568" s="6"/>
      <c r="T568" s="4"/>
      <c r="U568" s="6"/>
      <c r="V568" s="6"/>
      <c r="W568" s="6"/>
      <c r="X568" s="6"/>
      <c r="Y568" s="4"/>
      <c r="Z568" s="6"/>
      <c r="AA568" s="4"/>
      <c r="AB568" s="4"/>
      <c r="AC568" s="4"/>
      <c r="AD568" s="6"/>
      <c r="AE568" s="4"/>
      <c r="AF568" s="4"/>
      <c r="AG568" s="4"/>
      <c r="AH568" s="4">
        <v>368156082000</v>
      </c>
    </row>
    <row r="569" spans="1:34" x14ac:dyDescent="0.25">
      <c r="A569" s="4">
        <v>568</v>
      </c>
      <c r="B569" s="5" t="s">
        <v>1248</v>
      </c>
      <c r="C569" s="5" t="s">
        <v>1249</v>
      </c>
      <c r="D569" s="5" t="s">
        <v>968</v>
      </c>
      <c r="E569" s="5" t="s">
        <v>40</v>
      </c>
      <c r="F569" s="5" t="s">
        <v>41</v>
      </c>
      <c r="G569" s="5" t="s">
        <v>93</v>
      </c>
      <c r="H569" s="4">
        <v>72046718509</v>
      </c>
      <c r="I569" s="4">
        <v>135450719671</v>
      </c>
      <c r="J569" s="6">
        <v>8.5500000000000007E-2</v>
      </c>
      <c r="K569" s="6"/>
      <c r="L569" s="6"/>
      <c r="M569" s="4">
        <v>6339278764</v>
      </c>
      <c r="N569" s="4">
        <v>12630219869</v>
      </c>
      <c r="O569" s="4"/>
      <c r="P569" s="6">
        <v>-0.41920000000000002</v>
      </c>
      <c r="Q569" s="6"/>
      <c r="R569" s="6"/>
      <c r="S569" s="6">
        <v>7.7000000000000002E-3</v>
      </c>
      <c r="T569" s="4"/>
      <c r="U569" s="6"/>
      <c r="V569" s="6"/>
      <c r="W569" s="6"/>
      <c r="X569" s="6"/>
      <c r="Y569" s="4"/>
      <c r="Z569" s="6">
        <v>0.1363</v>
      </c>
      <c r="AA569" s="4"/>
      <c r="AB569" s="4"/>
      <c r="AC569" s="4"/>
      <c r="AD569" s="6"/>
      <c r="AE569" s="4"/>
      <c r="AF569" s="4"/>
      <c r="AG569" s="4"/>
      <c r="AH569" s="4">
        <v>238840920000</v>
      </c>
    </row>
    <row r="570" spans="1:34" x14ac:dyDescent="0.25">
      <c r="A570" s="4">
        <v>569</v>
      </c>
      <c r="B570" s="5" t="s">
        <v>1250</v>
      </c>
      <c r="C570" s="5" t="s">
        <v>1251</v>
      </c>
      <c r="D570" s="5" t="s">
        <v>968</v>
      </c>
      <c r="E570" s="5" t="s">
        <v>24</v>
      </c>
      <c r="F570" s="5" t="s">
        <v>56</v>
      </c>
      <c r="G570" s="5" t="s">
        <v>1044</v>
      </c>
      <c r="H570" s="4">
        <v>750321171470</v>
      </c>
      <c r="I570" s="4">
        <v>1193872458099</v>
      </c>
      <c r="J570" s="6">
        <v>0.32950000000000002</v>
      </c>
      <c r="K570" s="6">
        <v>-7.2900000000000006E-2</v>
      </c>
      <c r="L570" s="6">
        <v>-6.5299999999999997E-2</v>
      </c>
      <c r="M570" s="4">
        <v>20795683544</v>
      </c>
      <c r="N570" s="4">
        <v>27121683780</v>
      </c>
      <c r="O570" s="4"/>
      <c r="P570" s="6">
        <v>3.6111</v>
      </c>
      <c r="Q570" s="6">
        <v>0.86399999999999999</v>
      </c>
      <c r="R570" s="6">
        <v>-0.57840000000000003</v>
      </c>
      <c r="S570" s="6">
        <v>2.2873000000000001</v>
      </c>
      <c r="T570" s="4"/>
      <c r="U570" s="6">
        <v>-0.58499999999999996</v>
      </c>
      <c r="V570" s="6">
        <v>-6.3500000000000001E-2</v>
      </c>
      <c r="W570" s="6">
        <v>-6.3500000000000001E-2</v>
      </c>
      <c r="X570" s="6">
        <v>0</v>
      </c>
      <c r="Y570" s="4"/>
      <c r="Z570" s="6">
        <v>0.69159999999999999</v>
      </c>
      <c r="AA570" s="4"/>
      <c r="AB570" s="4"/>
      <c r="AC570" s="4"/>
      <c r="AD570" s="6">
        <v>0</v>
      </c>
      <c r="AE570" s="4"/>
      <c r="AF570" s="4"/>
      <c r="AG570" s="4"/>
      <c r="AH570" s="4">
        <v>288593167200</v>
      </c>
    </row>
    <row r="571" spans="1:34" x14ac:dyDescent="0.25">
      <c r="A571" s="4">
        <v>570</v>
      </c>
      <c r="B571" s="5" t="s">
        <v>1252</v>
      </c>
      <c r="C571" s="5" t="s">
        <v>1253</v>
      </c>
      <c r="D571" s="5" t="s">
        <v>968</v>
      </c>
      <c r="E571" s="5" t="s">
        <v>98</v>
      </c>
      <c r="F571" s="5" t="s">
        <v>99</v>
      </c>
      <c r="G571" s="5" t="s">
        <v>144</v>
      </c>
      <c r="H571" s="4">
        <v>197783382638</v>
      </c>
      <c r="I571" s="4">
        <v>270768310751</v>
      </c>
      <c r="J571" s="6">
        <v>0.67020000000000002</v>
      </c>
      <c r="K571" s="6"/>
      <c r="L571" s="6"/>
      <c r="M571" s="4">
        <v>12101626647</v>
      </c>
      <c r="N571" s="4">
        <v>19278050939</v>
      </c>
      <c r="O571" s="4"/>
      <c r="P571" s="6">
        <v>1.3338000000000001</v>
      </c>
      <c r="Q571" s="6"/>
      <c r="R571" s="6"/>
      <c r="S571" s="6">
        <v>0.68630000000000002</v>
      </c>
      <c r="T571" s="4"/>
      <c r="U571" s="6"/>
      <c r="V571" s="6"/>
      <c r="W571" s="6"/>
      <c r="X571" s="6"/>
      <c r="Y571" s="4"/>
      <c r="Z571" s="6">
        <v>1.7099</v>
      </c>
      <c r="AA571" s="4"/>
      <c r="AB571" s="4"/>
      <c r="AC571" s="4"/>
      <c r="AD571" s="6"/>
      <c r="AE571" s="4"/>
      <c r="AF571" s="4"/>
      <c r="AG571" s="4"/>
      <c r="AH571" s="4">
        <v>97777800000</v>
      </c>
    </row>
    <row r="572" spans="1:34" x14ac:dyDescent="0.25">
      <c r="A572" s="4">
        <v>571</v>
      </c>
      <c r="B572" s="5" t="s">
        <v>1254</v>
      </c>
      <c r="C572" s="5" t="s">
        <v>1255</v>
      </c>
      <c r="D572" s="5" t="s">
        <v>968</v>
      </c>
      <c r="E572" s="5" t="s">
        <v>98</v>
      </c>
      <c r="F572" s="5" t="s">
        <v>99</v>
      </c>
      <c r="G572" s="5" t="s">
        <v>155</v>
      </c>
      <c r="H572" s="4">
        <v>239875655087</v>
      </c>
      <c r="I572" s="4">
        <v>463723802756</v>
      </c>
      <c r="J572" s="6">
        <v>1.9E-2</v>
      </c>
      <c r="K572" s="6">
        <v>1.3100000000000001E-2</v>
      </c>
      <c r="L572" s="6">
        <v>8.5000000000000006E-3</v>
      </c>
      <c r="M572" s="4">
        <v>8474051527</v>
      </c>
      <c r="N572" s="4">
        <v>16920488448</v>
      </c>
      <c r="O572" s="4"/>
      <c r="P572" s="6">
        <v>-7.2300000000000003E-2</v>
      </c>
      <c r="Q572" s="6">
        <v>-0.19370000000000001</v>
      </c>
      <c r="R572" s="6">
        <v>-0.1119</v>
      </c>
      <c r="S572" s="6">
        <v>3.3E-3</v>
      </c>
      <c r="T572" s="4"/>
      <c r="U572" s="6">
        <v>-0.49419999999999997</v>
      </c>
      <c r="V572" s="6">
        <v>-0.47749999999999998</v>
      </c>
      <c r="W572" s="6">
        <v>-0.47160000000000002</v>
      </c>
      <c r="X572" s="6">
        <v>0</v>
      </c>
      <c r="Y572" s="4"/>
      <c r="Z572" s="6">
        <v>7.1599999999999997E-2</v>
      </c>
      <c r="AA572" s="4"/>
      <c r="AB572" s="4"/>
      <c r="AC572" s="4"/>
      <c r="AD572" s="6">
        <v>0</v>
      </c>
      <c r="AE572" s="4"/>
      <c r="AF572" s="4"/>
      <c r="AG572" s="4"/>
      <c r="AH572" s="4">
        <v>364060000000</v>
      </c>
    </row>
    <row r="573" spans="1:34" x14ac:dyDescent="0.25">
      <c r="A573" s="4">
        <v>572</v>
      </c>
      <c r="B573" s="5" t="s">
        <v>1256</v>
      </c>
      <c r="C573" s="5" t="s">
        <v>1257</v>
      </c>
      <c r="D573" s="5" t="s">
        <v>968</v>
      </c>
      <c r="E573" s="5" t="s">
        <v>75</v>
      </c>
      <c r="F573" s="5" t="s">
        <v>76</v>
      </c>
      <c r="G573" s="5" t="s">
        <v>76</v>
      </c>
      <c r="H573" s="4"/>
      <c r="I573" s="4"/>
      <c r="J573" s="6"/>
      <c r="K573" s="6"/>
      <c r="L573" s="6"/>
      <c r="M573" s="4"/>
      <c r="N573" s="4"/>
      <c r="O573" s="4"/>
      <c r="P573" s="6"/>
      <c r="Q573" s="6"/>
      <c r="R573" s="6"/>
      <c r="S573" s="6"/>
      <c r="T573" s="4"/>
      <c r="U573" s="6"/>
      <c r="V573" s="6"/>
      <c r="W573" s="6"/>
      <c r="X573" s="6"/>
      <c r="Y573" s="4"/>
      <c r="Z573" s="6"/>
      <c r="AA573" s="4"/>
      <c r="AB573" s="4"/>
      <c r="AC573" s="4"/>
      <c r="AD573" s="6"/>
      <c r="AE573" s="4"/>
      <c r="AF573" s="4"/>
      <c r="AG573" s="4"/>
      <c r="AH573" s="4">
        <v>680750392000</v>
      </c>
    </row>
    <row r="574" spans="1:34" x14ac:dyDescent="0.25">
      <c r="A574" s="4">
        <v>573</v>
      </c>
      <c r="B574" s="5" t="s">
        <v>1258</v>
      </c>
      <c r="C574" s="5" t="s">
        <v>1259</v>
      </c>
      <c r="D574" s="5" t="s">
        <v>968</v>
      </c>
      <c r="E574" s="5" t="s">
        <v>40</v>
      </c>
      <c r="F574" s="5" t="s">
        <v>52</v>
      </c>
      <c r="G574" s="5" t="s">
        <v>110</v>
      </c>
      <c r="H574" s="4"/>
      <c r="I574" s="4"/>
      <c r="J574" s="6"/>
      <c r="K574" s="6"/>
      <c r="L574" s="6"/>
      <c r="M574" s="4"/>
      <c r="N574" s="4"/>
      <c r="O574" s="4"/>
      <c r="P574" s="6"/>
      <c r="Q574" s="6"/>
      <c r="R574" s="6"/>
      <c r="S574" s="6"/>
      <c r="T574" s="4"/>
      <c r="U574" s="6"/>
      <c r="V574" s="6"/>
      <c r="W574" s="6"/>
      <c r="X574" s="6"/>
      <c r="Y574" s="4"/>
      <c r="Z574" s="6"/>
      <c r="AA574" s="4"/>
      <c r="AB574" s="4"/>
      <c r="AC574" s="4"/>
      <c r="AD574" s="6"/>
      <c r="AE574" s="4"/>
      <c r="AF574" s="4"/>
      <c r="AG574" s="4"/>
      <c r="AH574" s="4">
        <v>65195387600</v>
      </c>
    </row>
    <row r="575" spans="1:34" x14ac:dyDescent="0.25">
      <c r="A575" s="4">
        <v>574</v>
      </c>
      <c r="B575" s="5" t="s">
        <v>1260</v>
      </c>
      <c r="C575" s="5" t="s">
        <v>1261</v>
      </c>
      <c r="D575" s="5" t="s">
        <v>968</v>
      </c>
      <c r="E575" s="5" t="s">
        <v>29</v>
      </c>
      <c r="F575" s="5" t="s">
        <v>36</v>
      </c>
      <c r="G575" s="5" t="s">
        <v>536</v>
      </c>
      <c r="H575" s="4">
        <v>455768657134</v>
      </c>
      <c r="I575" s="4">
        <v>891330873804</v>
      </c>
      <c r="J575" s="6">
        <v>0.29380000000000001</v>
      </c>
      <c r="K575" s="6">
        <v>0.2069</v>
      </c>
      <c r="L575" s="6">
        <v>0.12189999999999999</v>
      </c>
      <c r="M575" s="4">
        <v>8357546987</v>
      </c>
      <c r="N575" s="4">
        <v>46538958501</v>
      </c>
      <c r="O575" s="4"/>
      <c r="P575" s="6">
        <v>-0.72250000000000003</v>
      </c>
      <c r="Q575" s="6">
        <v>-0.43</v>
      </c>
      <c r="R575" s="6">
        <v>-0.40260000000000001</v>
      </c>
      <c r="S575" s="6">
        <v>-0.78110000000000002</v>
      </c>
      <c r="T575" s="4"/>
      <c r="U575" s="6">
        <v>-0.51819999999999999</v>
      </c>
      <c r="V575" s="6">
        <v>-0.74129999999999996</v>
      </c>
      <c r="W575" s="6">
        <v>-0.74139999999999995</v>
      </c>
      <c r="X575" s="6">
        <v>0</v>
      </c>
      <c r="Y575" s="4"/>
      <c r="Z575" s="6">
        <v>4.6399999999999997E-2</v>
      </c>
      <c r="AA575" s="4"/>
      <c r="AB575" s="4"/>
      <c r="AC575" s="4"/>
      <c r="AD575" s="6">
        <v>0</v>
      </c>
      <c r="AE575" s="4"/>
      <c r="AF575" s="4"/>
      <c r="AG575" s="4"/>
      <c r="AH575" s="4">
        <v>1406617887200</v>
      </c>
    </row>
    <row r="576" spans="1:34" x14ac:dyDescent="0.25">
      <c r="A576" s="4">
        <v>575</v>
      </c>
      <c r="B576" s="5" t="s">
        <v>1262</v>
      </c>
      <c r="C576" s="5" t="s">
        <v>1263</v>
      </c>
      <c r="D576" s="5" t="s">
        <v>968</v>
      </c>
      <c r="E576" s="5" t="s">
        <v>24</v>
      </c>
      <c r="F576" s="5" t="s">
        <v>25</v>
      </c>
      <c r="G576" s="5" t="s">
        <v>45</v>
      </c>
      <c r="H576" s="4">
        <v>376059426066</v>
      </c>
      <c r="I576" s="4">
        <v>891144023343</v>
      </c>
      <c r="J576" s="6">
        <v>1.3100000000000001E-2</v>
      </c>
      <c r="K576" s="6">
        <v>8.1699999999999995E-2</v>
      </c>
      <c r="L576" s="6">
        <v>0.13350000000000001</v>
      </c>
      <c r="M576" s="4">
        <v>39465369090</v>
      </c>
      <c r="N576" s="4">
        <v>93445897793</v>
      </c>
      <c r="O576" s="4"/>
      <c r="P576" s="6">
        <v>0.39350000000000002</v>
      </c>
      <c r="Q576" s="6">
        <v>0.3926</v>
      </c>
      <c r="R576" s="6">
        <v>0.68789999999999996</v>
      </c>
      <c r="S576" s="6">
        <v>-0.26889999999999997</v>
      </c>
      <c r="T576" s="4"/>
      <c r="U576" s="6">
        <v>-0.37380000000000002</v>
      </c>
      <c r="V576" s="6">
        <v>-0.33</v>
      </c>
      <c r="W576" s="6">
        <v>-0.35110000000000002</v>
      </c>
      <c r="X576" s="6">
        <v>0</v>
      </c>
      <c r="Y576" s="4"/>
      <c r="Z576" s="6">
        <v>-0.26989999999999997</v>
      </c>
      <c r="AA576" s="4"/>
      <c r="AB576" s="4"/>
      <c r="AC576" s="4"/>
      <c r="AD576" s="6">
        <v>0</v>
      </c>
      <c r="AE576" s="4"/>
      <c r="AF576" s="4"/>
      <c r="AG576" s="4"/>
      <c r="AH576" s="4">
        <v>835329906000</v>
      </c>
    </row>
    <row r="577" spans="1:34" x14ac:dyDescent="0.25">
      <c r="A577" s="4">
        <v>576</v>
      </c>
      <c r="B577" s="5" t="s">
        <v>1264</v>
      </c>
      <c r="C577" s="5" t="s">
        <v>1265</v>
      </c>
      <c r="D577" s="5" t="s">
        <v>968</v>
      </c>
      <c r="E577" s="5" t="s">
        <v>40</v>
      </c>
      <c r="F577" s="5" t="s">
        <v>52</v>
      </c>
      <c r="G577" s="5" t="s">
        <v>53</v>
      </c>
      <c r="H577" s="4"/>
      <c r="I577" s="4"/>
      <c r="J577" s="6"/>
      <c r="K577" s="6"/>
      <c r="L577" s="6"/>
      <c r="M577" s="4"/>
      <c r="N577" s="4"/>
      <c r="O577" s="4"/>
      <c r="P577" s="6"/>
      <c r="Q577" s="6"/>
      <c r="R577" s="6"/>
      <c r="S577" s="6"/>
      <c r="T577" s="4"/>
      <c r="U577" s="6"/>
      <c r="V577" s="6"/>
      <c r="W577" s="6"/>
      <c r="X577" s="6"/>
      <c r="Y577" s="4"/>
      <c r="Z577" s="6"/>
      <c r="AA577" s="4"/>
      <c r="AB577" s="4"/>
      <c r="AC577" s="4"/>
      <c r="AD577" s="6"/>
      <c r="AE577" s="4"/>
      <c r="AF577" s="4"/>
      <c r="AG577" s="4"/>
      <c r="AH577" s="4">
        <v>72084545400</v>
      </c>
    </row>
    <row r="578" spans="1:34" x14ac:dyDescent="0.25">
      <c r="A578" s="4">
        <v>577</v>
      </c>
      <c r="B578" s="5" t="s">
        <v>1266</v>
      </c>
      <c r="C578" s="5" t="s">
        <v>1267</v>
      </c>
      <c r="D578" s="5" t="s">
        <v>968</v>
      </c>
      <c r="E578" s="5" t="s">
        <v>75</v>
      </c>
      <c r="F578" s="5" t="s">
        <v>76</v>
      </c>
      <c r="G578" s="5" t="s">
        <v>76</v>
      </c>
      <c r="H578" s="4"/>
      <c r="I578" s="4"/>
      <c r="J578" s="6"/>
      <c r="K578" s="6"/>
      <c r="L578" s="6"/>
      <c r="M578" s="4"/>
      <c r="N578" s="4"/>
      <c r="O578" s="4"/>
      <c r="P578" s="6"/>
      <c r="Q578" s="6"/>
      <c r="R578" s="6"/>
      <c r="S578" s="6"/>
      <c r="T578" s="4"/>
      <c r="U578" s="6"/>
      <c r="V578" s="6"/>
      <c r="W578" s="6"/>
      <c r="X578" s="6"/>
      <c r="Y578" s="4"/>
      <c r="Z578" s="6"/>
      <c r="AA578" s="4"/>
      <c r="AB578" s="4"/>
      <c r="AC578" s="4"/>
      <c r="AD578" s="6"/>
      <c r="AE578" s="4"/>
      <c r="AF578" s="4"/>
      <c r="AG578" s="4"/>
      <c r="AH578" s="4">
        <v>472248586200</v>
      </c>
    </row>
    <row r="579" spans="1:34" x14ac:dyDescent="0.25">
      <c r="A579" s="4">
        <v>578</v>
      </c>
      <c r="B579" s="5" t="s">
        <v>1268</v>
      </c>
      <c r="C579" s="5" t="s">
        <v>1269</v>
      </c>
      <c r="D579" s="5" t="s">
        <v>968</v>
      </c>
      <c r="E579" s="5" t="s">
        <v>24</v>
      </c>
      <c r="F579" s="5" t="s">
        <v>56</v>
      </c>
      <c r="G579" s="5" t="s">
        <v>1270</v>
      </c>
      <c r="H579" s="4">
        <v>318388095456</v>
      </c>
      <c r="I579" s="4">
        <v>560829510014</v>
      </c>
      <c r="J579" s="6"/>
      <c r="K579" s="6"/>
      <c r="L579" s="6"/>
      <c r="M579" s="4">
        <v>834270131</v>
      </c>
      <c r="N579" s="4">
        <v>2061808012</v>
      </c>
      <c r="O579" s="4"/>
      <c r="P579" s="6"/>
      <c r="Q579" s="6"/>
      <c r="R579" s="6"/>
      <c r="S579" s="6"/>
      <c r="T579" s="4"/>
      <c r="U579" s="6"/>
      <c r="V579" s="6"/>
      <c r="W579" s="6"/>
      <c r="X579" s="6"/>
      <c r="Y579" s="4"/>
      <c r="Z579" s="6"/>
      <c r="AA579" s="4"/>
      <c r="AB579" s="4"/>
      <c r="AC579" s="4"/>
      <c r="AD579" s="6"/>
      <c r="AE579" s="4"/>
      <c r="AF579" s="4"/>
      <c r="AG579" s="4"/>
      <c r="AH579" s="4">
        <v>88981779100</v>
      </c>
    </row>
    <row r="580" spans="1:34" x14ac:dyDescent="0.25">
      <c r="A580" s="4">
        <v>579</v>
      </c>
      <c r="B580" s="5" t="s">
        <v>1271</v>
      </c>
      <c r="C580" s="5" t="s">
        <v>1272</v>
      </c>
      <c r="D580" s="5" t="s">
        <v>968</v>
      </c>
      <c r="E580" s="5" t="s">
        <v>29</v>
      </c>
      <c r="F580" s="5" t="s">
        <v>36</v>
      </c>
      <c r="G580" s="5" t="s">
        <v>178</v>
      </c>
      <c r="H580" s="4"/>
      <c r="I580" s="4"/>
      <c r="J580" s="6"/>
      <c r="K580" s="6"/>
      <c r="L580" s="6"/>
      <c r="M580" s="4"/>
      <c r="N580" s="4"/>
      <c r="O580" s="4"/>
      <c r="P580" s="6"/>
      <c r="Q580" s="6"/>
      <c r="R580" s="6"/>
      <c r="S580" s="6"/>
      <c r="T580" s="4"/>
      <c r="U580" s="6"/>
      <c r="V580" s="6"/>
      <c r="W580" s="6"/>
      <c r="X580" s="6"/>
      <c r="Y580" s="4"/>
      <c r="Z580" s="6"/>
      <c r="AA580" s="4"/>
      <c r="AB580" s="4"/>
      <c r="AC580" s="4"/>
      <c r="AD580" s="6"/>
      <c r="AE580" s="4"/>
      <c r="AF580" s="4"/>
      <c r="AG580" s="4"/>
      <c r="AH580" s="4">
        <v>136664436600</v>
      </c>
    </row>
    <row r="581" spans="1:34" x14ac:dyDescent="0.25">
      <c r="A581" s="4">
        <v>580</v>
      </c>
      <c r="B581" s="5" t="s">
        <v>1273</v>
      </c>
      <c r="C581" s="5" t="s">
        <v>1274</v>
      </c>
      <c r="D581" s="5" t="s">
        <v>968</v>
      </c>
      <c r="E581" s="5" t="s">
        <v>98</v>
      </c>
      <c r="F581" s="5" t="s">
        <v>99</v>
      </c>
      <c r="G581" s="5" t="s">
        <v>144</v>
      </c>
      <c r="H581" s="4">
        <v>31940356196</v>
      </c>
      <c r="I581" s="4">
        <v>64494804586</v>
      </c>
      <c r="J581" s="6">
        <v>-8.8999999999999999E-3</v>
      </c>
      <c r="K581" s="6">
        <v>-6.8400000000000002E-2</v>
      </c>
      <c r="L581" s="6">
        <v>-1.95E-2</v>
      </c>
      <c r="M581" s="4">
        <v>17548979174</v>
      </c>
      <c r="N581" s="4">
        <v>35595396978</v>
      </c>
      <c r="O581" s="4"/>
      <c r="P581" s="6">
        <v>1.01E-2</v>
      </c>
      <c r="Q581" s="6">
        <v>-7.3400000000000007E-2</v>
      </c>
      <c r="R581" s="6">
        <v>-7.0000000000000001E-3</v>
      </c>
      <c r="S581" s="6">
        <v>-2.76E-2</v>
      </c>
      <c r="T581" s="4"/>
      <c r="U581" s="6">
        <v>-0.30580000000000002</v>
      </c>
      <c r="V581" s="6">
        <v>-0.11550000000000001</v>
      </c>
      <c r="W581" s="6">
        <v>-0.11700000000000001</v>
      </c>
      <c r="X581" s="6">
        <v>0</v>
      </c>
      <c r="Y581" s="4"/>
      <c r="Z581" s="6">
        <v>-1.89E-2</v>
      </c>
      <c r="AA581" s="4"/>
      <c r="AB581" s="4"/>
      <c r="AC581" s="4"/>
      <c r="AD581" s="6">
        <v>0</v>
      </c>
      <c r="AE581" s="4"/>
      <c r="AF581" s="4"/>
      <c r="AG581" s="4"/>
      <c r="AH581" s="4">
        <v>572508809000</v>
      </c>
    </row>
    <row r="582" spans="1:34" x14ac:dyDescent="0.25">
      <c r="A582" s="4">
        <v>581</v>
      </c>
      <c r="B582" s="5" t="s">
        <v>1275</v>
      </c>
      <c r="C582" s="5" t="s">
        <v>1276</v>
      </c>
      <c r="D582" s="5" t="s">
        <v>968</v>
      </c>
      <c r="E582" s="5" t="s">
        <v>40</v>
      </c>
      <c r="F582" s="5" t="s">
        <v>52</v>
      </c>
      <c r="G582" s="5" t="s">
        <v>53</v>
      </c>
      <c r="H582" s="4">
        <v>2167175546055</v>
      </c>
      <c r="I582" s="4">
        <v>3645297444196</v>
      </c>
      <c r="J582" s="6">
        <v>8.8599999999999998E-2</v>
      </c>
      <c r="K582" s="6"/>
      <c r="L582" s="6"/>
      <c r="M582" s="4">
        <v>477559955109</v>
      </c>
      <c r="N582" s="4">
        <v>731968082063</v>
      </c>
      <c r="O582" s="4"/>
      <c r="P582" s="6">
        <v>0.49</v>
      </c>
      <c r="Q582" s="6"/>
      <c r="R582" s="6"/>
      <c r="S582" s="6">
        <v>0.87709999999999999</v>
      </c>
      <c r="T582" s="4"/>
      <c r="U582" s="6"/>
      <c r="V582" s="6"/>
      <c r="W582" s="6"/>
      <c r="X582" s="6"/>
      <c r="Y582" s="4"/>
      <c r="Z582" s="6">
        <v>0.4662</v>
      </c>
      <c r="AA582" s="4"/>
      <c r="AB582" s="4"/>
      <c r="AC582" s="4"/>
      <c r="AD582" s="6"/>
      <c r="AE582" s="4"/>
      <c r="AF582" s="4"/>
      <c r="AG582" s="4"/>
      <c r="AH582" s="4">
        <v>9769671710400</v>
      </c>
    </row>
    <row r="583" spans="1:34" x14ac:dyDescent="0.25">
      <c r="A583" s="4">
        <v>582</v>
      </c>
      <c r="B583" s="5" t="s">
        <v>1277</v>
      </c>
      <c r="C583" s="5" t="s">
        <v>1278</v>
      </c>
      <c r="D583" s="5" t="s">
        <v>968</v>
      </c>
      <c r="E583" s="5" t="s">
        <v>49</v>
      </c>
      <c r="F583" s="5" t="s">
        <v>49</v>
      </c>
      <c r="G583" s="5" t="s">
        <v>49</v>
      </c>
      <c r="H583" s="4"/>
      <c r="I583" s="4"/>
      <c r="J583" s="6"/>
      <c r="K583" s="6"/>
      <c r="L583" s="6"/>
      <c r="M583" s="4"/>
      <c r="N583" s="4"/>
      <c r="O583" s="4"/>
      <c r="P583" s="6"/>
      <c r="Q583" s="6"/>
      <c r="R583" s="6"/>
      <c r="S583" s="6"/>
      <c r="T583" s="4"/>
      <c r="U583" s="6"/>
      <c r="V583" s="6"/>
      <c r="W583" s="6"/>
      <c r="X583" s="6"/>
      <c r="Y583" s="4"/>
      <c r="Z583" s="6"/>
      <c r="AA583" s="4"/>
      <c r="AB583" s="4"/>
      <c r="AC583" s="4"/>
      <c r="AD583" s="6"/>
      <c r="AE583" s="4">
        <v>757676000000</v>
      </c>
      <c r="AF583" s="4">
        <v>1262537000000</v>
      </c>
      <c r="AG583" s="4">
        <v>1947762000000</v>
      </c>
      <c r="AH583" s="4">
        <v>33925739911600</v>
      </c>
    </row>
    <row r="584" spans="1:34" x14ac:dyDescent="0.25">
      <c r="A584" s="4">
        <v>583</v>
      </c>
      <c r="B584" s="5" t="s">
        <v>1279</v>
      </c>
      <c r="C584" s="5" t="s">
        <v>1280</v>
      </c>
      <c r="D584" s="5" t="s">
        <v>968</v>
      </c>
      <c r="E584" s="5" t="s">
        <v>29</v>
      </c>
      <c r="F584" s="5" t="s">
        <v>30</v>
      </c>
      <c r="G584" s="5" t="s">
        <v>83</v>
      </c>
      <c r="H584" s="4"/>
      <c r="I584" s="4"/>
      <c r="J584" s="6"/>
      <c r="K584" s="6"/>
      <c r="L584" s="6"/>
      <c r="M584" s="4"/>
      <c r="N584" s="4"/>
      <c r="O584" s="4"/>
      <c r="P584" s="6"/>
      <c r="Q584" s="6"/>
      <c r="R584" s="6"/>
      <c r="S584" s="6"/>
      <c r="T584" s="4"/>
      <c r="U584" s="6"/>
      <c r="V584" s="6"/>
      <c r="W584" s="6"/>
      <c r="X584" s="6"/>
      <c r="Y584" s="4"/>
      <c r="Z584" s="6"/>
      <c r="AA584" s="4"/>
      <c r="AB584" s="4"/>
      <c r="AC584" s="4"/>
      <c r="AD584" s="6"/>
      <c r="AE584" s="4"/>
      <c r="AF584" s="4"/>
      <c r="AG584" s="4"/>
      <c r="AH584" s="4">
        <v>1340000000000</v>
      </c>
    </row>
    <row r="585" spans="1:34" x14ac:dyDescent="0.25">
      <c r="A585" s="4">
        <v>584</v>
      </c>
      <c r="B585" s="5" t="s">
        <v>1281</v>
      </c>
      <c r="C585" s="5" t="s">
        <v>1282</v>
      </c>
      <c r="D585" s="5" t="s">
        <v>968</v>
      </c>
      <c r="E585" s="5" t="s">
        <v>185</v>
      </c>
      <c r="F585" s="5" t="s">
        <v>185</v>
      </c>
      <c r="G585" s="5" t="s">
        <v>1283</v>
      </c>
      <c r="H585" s="4">
        <v>153584360101</v>
      </c>
      <c r="I585" s="4">
        <v>199376788307</v>
      </c>
      <c r="J585" s="6">
        <v>1.2497</v>
      </c>
      <c r="K585" s="6">
        <v>0.92859999999999998</v>
      </c>
      <c r="L585" s="6">
        <v>-0.13350000000000001</v>
      </c>
      <c r="M585" s="4">
        <v>12949867573</v>
      </c>
      <c r="N585" s="4">
        <v>11288564571</v>
      </c>
      <c r="O585" s="4"/>
      <c r="P585" s="6">
        <v>13.254899999999999</v>
      </c>
      <c r="Q585" s="6">
        <v>22.768899999999999</v>
      </c>
      <c r="R585" s="6">
        <v>0.46789999999999998</v>
      </c>
      <c r="S585" s="6">
        <v>8.7949999999999999</v>
      </c>
      <c r="T585" s="4"/>
      <c r="U585" s="6">
        <v>-0.84660000000000002</v>
      </c>
      <c r="V585" s="6">
        <v>-0.46460000000000001</v>
      </c>
      <c r="W585" s="6">
        <v>-0.46750000000000003</v>
      </c>
      <c r="X585" s="6">
        <v>0</v>
      </c>
      <c r="Y585" s="4"/>
      <c r="Z585" s="6">
        <v>2.3538999999999999</v>
      </c>
      <c r="AA585" s="4"/>
      <c r="AB585" s="4"/>
      <c r="AC585" s="4"/>
      <c r="AD585" s="6">
        <v>0</v>
      </c>
      <c r="AE585" s="4"/>
      <c r="AF585" s="4"/>
      <c r="AG585" s="4"/>
      <c r="AH585" s="4">
        <v>90777067000</v>
      </c>
    </row>
    <row r="586" spans="1:34" x14ac:dyDescent="0.25">
      <c r="A586" s="4">
        <v>585</v>
      </c>
      <c r="B586" s="5" t="s">
        <v>1284</v>
      </c>
      <c r="C586" s="5" t="s">
        <v>1285</v>
      </c>
      <c r="D586" s="5" t="s">
        <v>968</v>
      </c>
      <c r="E586" s="5" t="s">
        <v>40</v>
      </c>
      <c r="F586" s="5" t="s">
        <v>41</v>
      </c>
      <c r="G586" s="5" t="s">
        <v>90</v>
      </c>
      <c r="H586" s="4">
        <v>148972222024</v>
      </c>
      <c r="I586" s="4">
        <v>199703052831</v>
      </c>
      <c r="J586" s="6">
        <v>0.57850000000000001</v>
      </c>
      <c r="K586" s="6"/>
      <c r="L586" s="6"/>
      <c r="M586" s="4">
        <v>2499892822</v>
      </c>
      <c r="N586" s="4">
        <v>4160459652</v>
      </c>
      <c r="O586" s="4"/>
      <c r="P586" s="6">
        <v>9.8599999999999993E-2</v>
      </c>
      <c r="Q586" s="6"/>
      <c r="R586" s="6"/>
      <c r="S586" s="6">
        <v>0.50539999999999996</v>
      </c>
      <c r="T586" s="4"/>
      <c r="U586" s="6"/>
      <c r="V586" s="6"/>
      <c r="W586" s="6"/>
      <c r="X586" s="6"/>
      <c r="Y586" s="4"/>
      <c r="Z586" s="6">
        <v>1.9365000000000001</v>
      </c>
      <c r="AA586" s="4"/>
      <c r="AB586" s="4"/>
      <c r="AC586" s="4"/>
      <c r="AD586" s="6"/>
      <c r="AE586" s="4"/>
      <c r="AF586" s="4"/>
      <c r="AG586" s="4"/>
      <c r="AH586" s="4">
        <v>54714482400</v>
      </c>
    </row>
    <row r="587" spans="1:34" x14ac:dyDescent="0.25">
      <c r="A587" s="4">
        <v>586</v>
      </c>
      <c r="B587" s="5" t="s">
        <v>1286</v>
      </c>
      <c r="C587" s="5" t="s">
        <v>1287</v>
      </c>
      <c r="D587" s="5" t="s">
        <v>968</v>
      </c>
      <c r="E587" s="5" t="s">
        <v>24</v>
      </c>
      <c r="F587" s="5" t="s">
        <v>25</v>
      </c>
      <c r="G587" s="5" t="s">
        <v>45</v>
      </c>
      <c r="H587" s="4"/>
      <c r="I587" s="4"/>
      <c r="J587" s="6"/>
      <c r="K587" s="6"/>
      <c r="L587" s="6"/>
      <c r="M587" s="4"/>
      <c r="N587" s="4"/>
      <c r="O587" s="4"/>
      <c r="P587" s="6"/>
      <c r="Q587" s="6"/>
      <c r="R587" s="6"/>
      <c r="S587" s="6"/>
      <c r="T587" s="4"/>
      <c r="U587" s="6"/>
      <c r="V587" s="6"/>
      <c r="W587" s="6"/>
      <c r="X587" s="6"/>
      <c r="Y587" s="4"/>
      <c r="Z587" s="6"/>
      <c r="AA587" s="4"/>
      <c r="AB587" s="4"/>
      <c r="AC587" s="4"/>
      <c r="AD587" s="6"/>
      <c r="AE587" s="4"/>
      <c r="AF587" s="4"/>
      <c r="AG587" s="4"/>
      <c r="AH587" s="4">
        <v>195000000000</v>
      </c>
    </row>
    <row r="588" spans="1:34" x14ac:dyDescent="0.25">
      <c r="A588" s="4">
        <v>587</v>
      </c>
      <c r="B588" s="5" t="s">
        <v>1288</v>
      </c>
      <c r="C588" s="5" t="s">
        <v>1289</v>
      </c>
      <c r="D588" s="5" t="s">
        <v>968</v>
      </c>
      <c r="E588" s="5" t="s">
        <v>24</v>
      </c>
      <c r="F588" s="5" t="s">
        <v>25</v>
      </c>
      <c r="G588" s="5" t="s">
        <v>26</v>
      </c>
      <c r="H588" s="4"/>
      <c r="I588" s="4"/>
      <c r="J588" s="6"/>
      <c r="K588" s="6"/>
      <c r="L588" s="6"/>
      <c r="M588" s="4"/>
      <c r="N588" s="4"/>
      <c r="O588" s="4"/>
      <c r="P588" s="6"/>
      <c r="Q588" s="6"/>
      <c r="R588" s="6"/>
      <c r="S588" s="6"/>
      <c r="T588" s="4"/>
      <c r="U588" s="6"/>
      <c r="V588" s="6"/>
      <c r="W588" s="6"/>
      <c r="X588" s="6"/>
      <c r="Y588" s="4"/>
      <c r="Z588" s="6"/>
      <c r="AA588" s="4"/>
      <c r="AB588" s="4"/>
      <c r="AC588" s="4"/>
      <c r="AD588" s="6"/>
      <c r="AE588" s="4"/>
      <c r="AF588" s="4"/>
      <c r="AG588" s="4"/>
      <c r="AH588" s="4">
        <v>467542031200</v>
      </c>
    </row>
    <row r="589" spans="1:34" x14ac:dyDescent="0.25">
      <c r="A589" s="4">
        <v>588</v>
      </c>
      <c r="B589" s="5" t="s">
        <v>1290</v>
      </c>
      <c r="C589" s="5" t="s">
        <v>1291</v>
      </c>
      <c r="D589" s="5" t="s">
        <v>968</v>
      </c>
      <c r="E589" s="5" t="s">
        <v>40</v>
      </c>
      <c r="F589" s="5" t="s">
        <v>41</v>
      </c>
      <c r="G589" s="5" t="s">
        <v>557</v>
      </c>
      <c r="H589" s="4"/>
      <c r="I589" s="4"/>
      <c r="J589" s="6"/>
      <c r="K589" s="6"/>
      <c r="L589" s="6"/>
      <c r="M589" s="4"/>
      <c r="N589" s="4"/>
      <c r="O589" s="4"/>
      <c r="P589" s="6"/>
      <c r="Q589" s="6"/>
      <c r="R589" s="6"/>
      <c r="S589" s="6"/>
      <c r="T589" s="4"/>
      <c r="U589" s="6"/>
      <c r="V589" s="6"/>
      <c r="W589" s="6"/>
      <c r="X589" s="6"/>
      <c r="Y589" s="4"/>
      <c r="Z589" s="6"/>
      <c r="AA589" s="4"/>
      <c r="AB589" s="4"/>
      <c r="AC589" s="4"/>
      <c r="AD589" s="6"/>
      <c r="AE589" s="4"/>
      <c r="AF589" s="4"/>
      <c r="AG589" s="4"/>
      <c r="AH589" s="4">
        <v>816362028600</v>
      </c>
    </row>
    <row r="590" spans="1:34" x14ac:dyDescent="0.25">
      <c r="A590" s="4">
        <v>589</v>
      </c>
      <c r="B590" s="5" t="s">
        <v>1292</v>
      </c>
      <c r="C590" s="5" t="s">
        <v>1293</v>
      </c>
      <c r="D590" s="5" t="s">
        <v>968</v>
      </c>
      <c r="E590" s="5" t="s">
        <v>40</v>
      </c>
      <c r="F590" s="5" t="s">
        <v>52</v>
      </c>
      <c r="G590" s="5" t="s">
        <v>53</v>
      </c>
      <c r="H590" s="4"/>
      <c r="I590" s="4"/>
      <c r="J590" s="6"/>
      <c r="K590" s="6"/>
      <c r="L590" s="6"/>
      <c r="M590" s="4"/>
      <c r="N590" s="4"/>
      <c r="O590" s="4"/>
      <c r="P590" s="6"/>
      <c r="Q590" s="6"/>
      <c r="R590" s="6"/>
      <c r="S590" s="6"/>
      <c r="T590" s="4"/>
      <c r="U590" s="6"/>
      <c r="V590" s="6"/>
      <c r="W590" s="6"/>
      <c r="X590" s="6"/>
      <c r="Y590" s="4"/>
      <c r="Z590" s="6"/>
      <c r="AA590" s="4"/>
      <c r="AB590" s="4"/>
      <c r="AC590" s="4"/>
      <c r="AD590" s="6"/>
      <c r="AE590" s="4"/>
      <c r="AF590" s="4"/>
      <c r="AG590" s="4"/>
      <c r="AH590" s="4">
        <v>183545608600</v>
      </c>
    </row>
    <row r="591" spans="1:34" x14ac:dyDescent="0.25">
      <c r="A591" s="4">
        <v>590</v>
      </c>
      <c r="B591" s="5" t="s">
        <v>1294</v>
      </c>
      <c r="C591" s="5" t="s">
        <v>1295</v>
      </c>
      <c r="D591" s="5" t="s">
        <v>968</v>
      </c>
      <c r="E591" s="5" t="s">
        <v>40</v>
      </c>
      <c r="F591" s="5" t="s">
        <v>52</v>
      </c>
      <c r="G591" s="5" t="s">
        <v>110</v>
      </c>
      <c r="H591" s="4">
        <v>98609231452</v>
      </c>
      <c r="I591" s="4">
        <v>141019238684</v>
      </c>
      <c r="J591" s="6">
        <v>0.77249999999999996</v>
      </c>
      <c r="K591" s="6">
        <v>0.32200000000000001</v>
      </c>
      <c r="L591" s="6">
        <v>0.63200000000000001</v>
      </c>
      <c r="M591" s="4">
        <v>117520802</v>
      </c>
      <c r="N591" s="4">
        <v>-3995547436</v>
      </c>
      <c r="O591" s="4"/>
      <c r="P591" s="6">
        <v>-0.95530000000000004</v>
      </c>
      <c r="Q591" s="6">
        <v>-5.2214999999999998</v>
      </c>
      <c r="R591" s="6">
        <v>-4.1776999999999997</v>
      </c>
      <c r="S591" s="6">
        <v>1.0286</v>
      </c>
      <c r="T591" s="4"/>
      <c r="U591" s="6">
        <v>-0.63980000000000004</v>
      </c>
      <c r="V591" s="6">
        <v>-2.8837999999999999</v>
      </c>
      <c r="W591" s="6">
        <v>-3.3548</v>
      </c>
      <c r="X591" s="6">
        <v>0</v>
      </c>
      <c r="Y591" s="4"/>
      <c r="Z591" s="6">
        <v>1.3250999999999999</v>
      </c>
      <c r="AA591" s="4"/>
      <c r="AB591" s="4"/>
      <c r="AC591" s="4"/>
      <c r="AD591" s="6">
        <v>0</v>
      </c>
      <c r="AE591" s="4"/>
      <c r="AF591" s="4"/>
      <c r="AG591" s="4"/>
      <c r="AH591" s="4">
        <v>52500000000</v>
      </c>
    </row>
    <row r="592" spans="1:34" x14ac:dyDescent="0.25">
      <c r="A592" s="4">
        <v>591</v>
      </c>
      <c r="B592" s="5" t="s">
        <v>1296</v>
      </c>
      <c r="C592" s="5" t="s">
        <v>1297</v>
      </c>
      <c r="D592" s="5" t="s">
        <v>968</v>
      </c>
      <c r="E592" s="5" t="s">
        <v>24</v>
      </c>
      <c r="F592" s="5" t="s">
        <v>25</v>
      </c>
      <c r="G592" s="5" t="s">
        <v>26</v>
      </c>
      <c r="H592" s="4">
        <v>29591320000</v>
      </c>
      <c r="I592" s="4">
        <v>47929832500</v>
      </c>
      <c r="J592" s="6">
        <v>1.8700000000000001E-2</v>
      </c>
      <c r="K592" s="6"/>
      <c r="L592" s="6"/>
      <c r="M592" s="4">
        <v>565641534</v>
      </c>
      <c r="N592" s="4">
        <v>643057836</v>
      </c>
      <c r="O592" s="4"/>
      <c r="P592" s="6">
        <v>1.4033</v>
      </c>
      <c r="Q592" s="6"/>
      <c r="R592" s="6"/>
      <c r="S592" s="6">
        <v>6.2925000000000004</v>
      </c>
      <c r="T592" s="4"/>
      <c r="U592" s="6"/>
      <c r="V592" s="6"/>
      <c r="W592" s="6"/>
      <c r="X592" s="6"/>
      <c r="Y592" s="4"/>
      <c r="Z592" s="6">
        <v>0.61360000000000003</v>
      </c>
      <c r="AA592" s="4"/>
      <c r="AB592" s="4"/>
      <c r="AC592" s="4"/>
      <c r="AD592" s="6"/>
      <c r="AE592" s="4"/>
      <c r="AF592" s="4"/>
      <c r="AG592" s="4"/>
      <c r="AH592" s="4">
        <v>50163752700</v>
      </c>
    </row>
    <row r="593" spans="1:34" x14ac:dyDescent="0.25">
      <c r="A593" s="4">
        <v>592</v>
      </c>
      <c r="B593" s="5" t="s">
        <v>1298</v>
      </c>
      <c r="C593" s="5" t="s">
        <v>1299</v>
      </c>
      <c r="D593" s="5" t="s">
        <v>968</v>
      </c>
      <c r="E593" s="5" t="s">
        <v>98</v>
      </c>
      <c r="F593" s="5" t="s">
        <v>99</v>
      </c>
      <c r="G593" s="5" t="s">
        <v>100</v>
      </c>
      <c r="H593" s="4"/>
      <c r="I593" s="4"/>
      <c r="J593" s="6"/>
      <c r="K593" s="6"/>
      <c r="L593" s="6"/>
      <c r="M593" s="4"/>
      <c r="N593" s="4"/>
      <c r="O593" s="4"/>
      <c r="P593" s="6"/>
      <c r="Q593" s="6"/>
      <c r="R593" s="6"/>
      <c r="S593" s="6"/>
      <c r="T593" s="4"/>
      <c r="U593" s="6"/>
      <c r="V593" s="6"/>
      <c r="W593" s="6"/>
      <c r="X593" s="6"/>
      <c r="Y593" s="4"/>
      <c r="Z593" s="6"/>
      <c r="AA593" s="4"/>
      <c r="AB593" s="4"/>
      <c r="AC593" s="4"/>
      <c r="AD593" s="6"/>
      <c r="AE593" s="4"/>
      <c r="AF593" s="4"/>
      <c r="AG593" s="4"/>
      <c r="AH593" s="4">
        <v>2749933670000</v>
      </c>
    </row>
    <row r="594" spans="1:34" x14ac:dyDescent="0.25">
      <c r="A594" s="4">
        <v>593</v>
      </c>
      <c r="B594" s="5" t="s">
        <v>1300</v>
      </c>
      <c r="C594" s="5" t="s">
        <v>1301</v>
      </c>
      <c r="D594" s="5" t="s">
        <v>968</v>
      </c>
      <c r="E594" s="5" t="s">
        <v>62</v>
      </c>
      <c r="F594" s="5" t="s">
        <v>226</v>
      </c>
      <c r="G594" s="5" t="s">
        <v>737</v>
      </c>
      <c r="H594" s="4"/>
      <c r="I594" s="4"/>
      <c r="J594" s="6"/>
      <c r="K594" s="6"/>
      <c r="L594" s="6"/>
      <c r="M594" s="4"/>
      <c r="N594" s="4"/>
      <c r="O594" s="4"/>
      <c r="P594" s="6"/>
      <c r="Q594" s="6"/>
      <c r="R594" s="6"/>
      <c r="S594" s="6"/>
      <c r="T594" s="4"/>
      <c r="U594" s="6"/>
      <c r="V594" s="6"/>
      <c r="W594" s="6"/>
      <c r="X594" s="6"/>
      <c r="Y594" s="4"/>
      <c r="Z594" s="6"/>
      <c r="AA594" s="4"/>
      <c r="AB594" s="4"/>
      <c r="AC594" s="4"/>
      <c r="AD594" s="6"/>
      <c r="AE594" s="4"/>
      <c r="AF594" s="4"/>
      <c r="AG594" s="4"/>
      <c r="AH594" s="4">
        <v>69313507500</v>
      </c>
    </row>
    <row r="595" spans="1:34" x14ac:dyDescent="0.25">
      <c r="A595" s="4">
        <v>594</v>
      </c>
      <c r="B595" s="5" t="s">
        <v>1302</v>
      </c>
      <c r="C595" s="5" t="s">
        <v>1303</v>
      </c>
      <c r="D595" s="5" t="s">
        <v>968</v>
      </c>
      <c r="E595" s="5" t="s">
        <v>40</v>
      </c>
      <c r="F595" s="5" t="s">
        <v>41</v>
      </c>
      <c r="G595" s="5" t="s">
        <v>619</v>
      </c>
      <c r="H595" s="4">
        <v>110519782101</v>
      </c>
      <c r="I595" s="4">
        <v>239609504642</v>
      </c>
      <c r="J595" s="6">
        <v>0.32419999999999999</v>
      </c>
      <c r="K595" s="6">
        <v>0.21679999999999999</v>
      </c>
      <c r="L595" s="6">
        <v>0.13300000000000001</v>
      </c>
      <c r="M595" s="4">
        <v>8231064269</v>
      </c>
      <c r="N595" s="4">
        <v>18869571561</v>
      </c>
      <c r="O595" s="4"/>
      <c r="P595" s="6">
        <v>8.2000000000000007E-3</v>
      </c>
      <c r="Q595" s="6">
        <v>-4.6199999999999998E-2</v>
      </c>
      <c r="R595" s="6">
        <v>-0.15529999999999999</v>
      </c>
      <c r="S595" s="6">
        <v>-0.2263</v>
      </c>
      <c r="T595" s="4"/>
      <c r="U595" s="6">
        <v>-0.52080000000000004</v>
      </c>
      <c r="V595" s="6">
        <v>-0.37290000000000001</v>
      </c>
      <c r="W595" s="6">
        <v>-0.37930000000000003</v>
      </c>
      <c r="X595" s="6">
        <v>0</v>
      </c>
      <c r="Y595" s="4"/>
      <c r="Z595" s="6">
        <v>-0.1439</v>
      </c>
      <c r="AA595" s="4"/>
      <c r="AB595" s="4"/>
      <c r="AC595" s="4"/>
      <c r="AD595" s="6">
        <v>0</v>
      </c>
      <c r="AE595" s="4"/>
      <c r="AF595" s="4"/>
      <c r="AG595" s="4"/>
      <c r="AH595" s="4">
        <v>406944407100</v>
      </c>
    </row>
    <row r="596" spans="1:34" x14ac:dyDescent="0.25">
      <c r="A596" s="4">
        <v>595</v>
      </c>
      <c r="B596" s="5" t="s">
        <v>1304</v>
      </c>
      <c r="C596" s="5" t="s">
        <v>1305</v>
      </c>
      <c r="D596" s="5" t="s">
        <v>968</v>
      </c>
      <c r="E596" s="5" t="s">
        <v>1306</v>
      </c>
      <c r="F596" s="5" t="s">
        <v>1306</v>
      </c>
      <c r="G596" s="5" t="s">
        <v>1307</v>
      </c>
      <c r="H596" s="4"/>
      <c r="I596" s="4"/>
      <c r="J596" s="6"/>
      <c r="K596" s="6"/>
      <c r="L596" s="6"/>
      <c r="M596" s="4"/>
      <c r="N596" s="4"/>
      <c r="O596" s="4"/>
      <c r="P596" s="6"/>
      <c r="Q596" s="6"/>
      <c r="R596" s="6"/>
      <c r="S596" s="6"/>
      <c r="T596" s="4"/>
      <c r="U596" s="6"/>
      <c r="V596" s="6"/>
      <c r="W596" s="6"/>
      <c r="X596" s="6"/>
      <c r="Y596" s="4"/>
      <c r="Z596" s="6"/>
      <c r="AA596" s="4"/>
      <c r="AB596" s="4"/>
      <c r="AC596" s="4"/>
      <c r="AD596" s="6"/>
      <c r="AE596" s="4"/>
      <c r="AF596" s="4"/>
      <c r="AG596" s="4"/>
      <c r="AH596" s="4">
        <v>93600000000</v>
      </c>
    </row>
    <row r="597" spans="1:34" x14ac:dyDescent="0.25">
      <c r="A597" s="4">
        <v>596</v>
      </c>
      <c r="B597" s="5" t="s">
        <v>1308</v>
      </c>
      <c r="C597" s="5" t="s">
        <v>1309</v>
      </c>
      <c r="D597" s="5" t="s">
        <v>968</v>
      </c>
      <c r="E597" s="5" t="s">
        <v>98</v>
      </c>
      <c r="F597" s="5" t="s">
        <v>99</v>
      </c>
      <c r="G597" s="5" t="s">
        <v>144</v>
      </c>
      <c r="H597" s="4">
        <v>17394750119</v>
      </c>
      <c r="I597" s="4">
        <v>51358670204</v>
      </c>
      <c r="J597" s="6">
        <v>-0.4788</v>
      </c>
      <c r="K597" s="6">
        <v>-0.31169999999999998</v>
      </c>
      <c r="L597" s="6">
        <v>-0.1588</v>
      </c>
      <c r="M597" s="4">
        <v>-2121346534</v>
      </c>
      <c r="N597" s="4">
        <v>10209543771</v>
      </c>
      <c r="O597" s="4"/>
      <c r="P597" s="6">
        <v>-1.1813</v>
      </c>
      <c r="Q597" s="6">
        <v>-0.64880000000000004</v>
      </c>
      <c r="R597" s="6">
        <v>-0.63880000000000003</v>
      </c>
      <c r="S597" s="6">
        <v>-1.1719999999999999</v>
      </c>
      <c r="T597" s="4"/>
      <c r="U597" s="6">
        <v>-0.58340000000000003</v>
      </c>
      <c r="V597" s="6">
        <v>-0.59640000000000004</v>
      </c>
      <c r="W597" s="6">
        <v>-0.60209999999999997</v>
      </c>
      <c r="X597" s="6">
        <v>5.7099999999999998E-2</v>
      </c>
      <c r="Y597" s="4"/>
      <c r="Z597" s="6">
        <v>-0.48780000000000001</v>
      </c>
      <c r="AA597" s="4"/>
      <c r="AB597" s="4"/>
      <c r="AC597" s="4"/>
      <c r="AD597" s="6">
        <v>0</v>
      </c>
      <c r="AE597" s="4"/>
      <c r="AF597" s="4"/>
      <c r="AG597" s="4"/>
      <c r="AH597" s="4">
        <v>466758474000</v>
      </c>
    </row>
    <row r="598" spans="1:34" x14ac:dyDescent="0.25">
      <c r="A598" s="4">
        <v>597</v>
      </c>
      <c r="B598" s="5" t="s">
        <v>1310</v>
      </c>
      <c r="C598" s="5" t="s">
        <v>1311</v>
      </c>
      <c r="D598" s="5" t="s">
        <v>968</v>
      </c>
      <c r="E598" s="5" t="s">
        <v>98</v>
      </c>
      <c r="F598" s="5" t="s">
        <v>99</v>
      </c>
      <c r="G598" s="5" t="s">
        <v>100</v>
      </c>
      <c r="H598" s="4">
        <v>526915518958</v>
      </c>
      <c r="I598" s="4">
        <v>930215255730</v>
      </c>
      <c r="J598" s="6">
        <v>0.72050000000000003</v>
      </c>
      <c r="K598" s="6"/>
      <c r="L598" s="6"/>
      <c r="M598" s="4">
        <v>13198380585</v>
      </c>
      <c r="N598" s="4">
        <v>28274900602</v>
      </c>
      <c r="O598" s="4"/>
      <c r="P598" s="6">
        <v>0.5393</v>
      </c>
      <c r="Q598" s="6"/>
      <c r="R598" s="6"/>
      <c r="S598" s="6">
        <v>-0.1246</v>
      </c>
      <c r="T598" s="4"/>
      <c r="U598" s="6"/>
      <c r="V598" s="6"/>
      <c r="W598" s="6"/>
      <c r="X598" s="6"/>
      <c r="Y598" s="4"/>
      <c r="Z598" s="6">
        <v>0.30649999999999999</v>
      </c>
      <c r="AA598" s="4"/>
      <c r="AB598" s="4"/>
      <c r="AC598" s="4"/>
      <c r="AD598" s="6"/>
      <c r="AE598" s="4"/>
      <c r="AF598" s="4"/>
      <c r="AG598" s="4"/>
      <c r="AH598" s="4">
        <v>282084148500</v>
      </c>
    </row>
    <row r="599" spans="1:34" x14ac:dyDescent="0.25">
      <c r="A599" s="4">
        <v>598</v>
      </c>
      <c r="B599" s="5" t="s">
        <v>1312</v>
      </c>
      <c r="C599" s="5" t="s">
        <v>1313</v>
      </c>
      <c r="D599" s="5" t="s">
        <v>968</v>
      </c>
      <c r="E599" s="5" t="s">
        <v>24</v>
      </c>
      <c r="F599" s="5" t="s">
        <v>25</v>
      </c>
      <c r="G599" s="5" t="s">
        <v>45</v>
      </c>
      <c r="H599" s="4"/>
      <c r="I599" s="4"/>
      <c r="J599" s="6"/>
      <c r="K599" s="6"/>
      <c r="L599" s="6"/>
      <c r="M599" s="4"/>
      <c r="N599" s="4"/>
      <c r="O599" s="4"/>
      <c r="P599" s="6"/>
      <c r="Q599" s="6"/>
      <c r="R599" s="6"/>
      <c r="S599" s="6"/>
      <c r="T599" s="4"/>
      <c r="U599" s="6"/>
      <c r="V599" s="6"/>
      <c r="W599" s="6"/>
      <c r="X599" s="6"/>
      <c r="Y599" s="4"/>
      <c r="Z599" s="6"/>
      <c r="AA599" s="4"/>
      <c r="AB599" s="4"/>
      <c r="AC599" s="4"/>
      <c r="AD599" s="6"/>
      <c r="AE599" s="4"/>
      <c r="AF599" s="4"/>
      <c r="AG599" s="4"/>
      <c r="AH599" s="4">
        <v>1454356188000</v>
      </c>
    </row>
    <row r="600" spans="1:34" x14ac:dyDescent="0.25">
      <c r="A600" s="4">
        <v>599</v>
      </c>
      <c r="B600" s="5" t="s">
        <v>1314</v>
      </c>
      <c r="C600" s="5" t="s">
        <v>1315</v>
      </c>
      <c r="D600" s="5" t="s">
        <v>968</v>
      </c>
      <c r="E600" s="5" t="s">
        <v>24</v>
      </c>
      <c r="F600" s="5" t="s">
        <v>25</v>
      </c>
      <c r="G600" s="5" t="s">
        <v>45</v>
      </c>
      <c r="H600" s="4">
        <v>562874714464</v>
      </c>
      <c r="I600" s="4">
        <v>1398382716166</v>
      </c>
      <c r="J600" s="6">
        <v>-0.29070000000000001</v>
      </c>
      <c r="K600" s="6">
        <v>-8.5099999999999995E-2</v>
      </c>
      <c r="L600" s="6">
        <v>2E-3</v>
      </c>
      <c r="M600" s="4">
        <v>4084955233</v>
      </c>
      <c r="N600" s="4">
        <v>18166064935</v>
      </c>
      <c r="O600" s="4"/>
      <c r="P600" s="6">
        <v>-0.42499999999999999</v>
      </c>
      <c r="Q600" s="6">
        <v>0.16289999999999999</v>
      </c>
      <c r="R600" s="6">
        <v>0.39379999999999998</v>
      </c>
      <c r="S600" s="6">
        <v>-0.70989999999999998</v>
      </c>
      <c r="T600" s="4"/>
      <c r="U600" s="6">
        <v>-0.48209999999999997</v>
      </c>
      <c r="V600" s="6">
        <v>0.48010000000000003</v>
      </c>
      <c r="W600" s="6">
        <v>0.47810000000000002</v>
      </c>
      <c r="X600" s="6">
        <v>0</v>
      </c>
      <c r="Y600" s="4"/>
      <c r="Z600" s="6">
        <v>-0.32629999999999998</v>
      </c>
      <c r="AA600" s="4"/>
      <c r="AB600" s="4"/>
      <c r="AC600" s="4"/>
      <c r="AD600" s="6">
        <v>0</v>
      </c>
      <c r="AE600" s="4"/>
      <c r="AF600" s="4"/>
      <c r="AG600" s="4"/>
      <c r="AH600" s="4">
        <v>127200000000</v>
      </c>
    </row>
    <row r="601" spans="1:34" x14ac:dyDescent="0.25">
      <c r="A601" s="4">
        <v>600</v>
      </c>
      <c r="B601" s="5" t="s">
        <v>1316</v>
      </c>
      <c r="C601" s="5" t="s">
        <v>1317</v>
      </c>
      <c r="D601" s="5" t="s">
        <v>968</v>
      </c>
      <c r="E601" s="5" t="s">
        <v>234</v>
      </c>
      <c r="F601" s="5" t="s">
        <v>235</v>
      </c>
      <c r="G601" s="5" t="s">
        <v>236</v>
      </c>
      <c r="H601" s="4"/>
      <c r="I601" s="4"/>
      <c r="J601" s="6"/>
      <c r="K601" s="6"/>
      <c r="L601" s="6"/>
      <c r="M601" s="4"/>
      <c r="N601" s="4"/>
      <c r="O601" s="4"/>
      <c r="P601" s="6"/>
      <c r="Q601" s="6"/>
      <c r="R601" s="6"/>
      <c r="S601" s="6"/>
      <c r="T601" s="4"/>
      <c r="U601" s="6"/>
      <c r="V601" s="6"/>
      <c r="W601" s="6"/>
      <c r="X601" s="6"/>
      <c r="Y601" s="4"/>
      <c r="Z601" s="6"/>
      <c r="AA601" s="4"/>
      <c r="AB601" s="4"/>
      <c r="AC601" s="4"/>
      <c r="AD601" s="6"/>
      <c r="AE601" s="4"/>
      <c r="AF601" s="4"/>
      <c r="AG601" s="4"/>
      <c r="AH601" s="4">
        <v>1193636086700</v>
      </c>
    </row>
    <row r="602" spans="1:34" x14ac:dyDescent="0.25">
      <c r="A602" s="4">
        <v>601</v>
      </c>
      <c r="B602" s="5" t="s">
        <v>1318</v>
      </c>
      <c r="C602" s="5" t="s">
        <v>1319</v>
      </c>
      <c r="D602" s="5" t="s">
        <v>968</v>
      </c>
      <c r="E602" s="5" t="s">
        <v>40</v>
      </c>
      <c r="F602" s="5" t="s">
        <v>41</v>
      </c>
      <c r="G602" s="5" t="s">
        <v>90</v>
      </c>
      <c r="H602" s="4">
        <v>242210506526</v>
      </c>
      <c r="I602" s="4">
        <v>388522445761</v>
      </c>
      <c r="J602" s="6">
        <v>0.36299999999999999</v>
      </c>
      <c r="K602" s="6">
        <v>0.19589999999999999</v>
      </c>
      <c r="L602" s="6">
        <v>0.1618</v>
      </c>
      <c r="M602" s="4">
        <v>2745961486</v>
      </c>
      <c r="N602" s="4">
        <v>4696076198</v>
      </c>
      <c r="O602" s="4"/>
      <c r="P602" s="6">
        <v>0.24510000000000001</v>
      </c>
      <c r="Q602" s="6">
        <v>0.1764</v>
      </c>
      <c r="R602" s="6">
        <v>0.2198</v>
      </c>
      <c r="S602" s="6">
        <v>0.40810000000000002</v>
      </c>
      <c r="T602" s="4"/>
      <c r="U602" s="6">
        <v>-0.38969999999999999</v>
      </c>
      <c r="V602" s="6">
        <v>-0.46179999999999999</v>
      </c>
      <c r="W602" s="6">
        <v>-0.46189999999999998</v>
      </c>
      <c r="X602" s="6">
        <v>9.1700000000000004E-2</v>
      </c>
      <c r="Y602" s="4"/>
      <c r="Z602" s="6">
        <v>0.65539999999999998</v>
      </c>
      <c r="AA602" s="4"/>
      <c r="AB602" s="4"/>
      <c r="AC602" s="4"/>
      <c r="AD602" s="6">
        <v>0</v>
      </c>
      <c r="AE602" s="4"/>
      <c r="AF602" s="4"/>
      <c r="AG602" s="4"/>
      <c r="AH602" s="4">
        <v>50400000000</v>
      </c>
    </row>
    <row r="603" spans="1:34" x14ac:dyDescent="0.25">
      <c r="A603" s="4">
        <v>602</v>
      </c>
      <c r="B603" s="5" t="s">
        <v>1320</v>
      </c>
      <c r="C603" s="5" t="s">
        <v>1321</v>
      </c>
      <c r="D603" s="5" t="s">
        <v>968</v>
      </c>
      <c r="E603" s="5" t="s">
        <v>40</v>
      </c>
      <c r="F603" s="5" t="s">
        <v>41</v>
      </c>
      <c r="G603" s="5" t="s">
        <v>519</v>
      </c>
      <c r="H603" s="4"/>
      <c r="I603" s="4"/>
      <c r="J603" s="6"/>
      <c r="K603" s="6"/>
      <c r="L603" s="6"/>
      <c r="M603" s="4"/>
      <c r="N603" s="4"/>
      <c r="O603" s="4"/>
      <c r="P603" s="6"/>
      <c r="Q603" s="6"/>
      <c r="R603" s="6"/>
      <c r="S603" s="6"/>
      <c r="T603" s="4"/>
      <c r="U603" s="6"/>
      <c r="V603" s="6"/>
      <c r="W603" s="6"/>
      <c r="X603" s="6"/>
      <c r="Y603" s="4"/>
      <c r="Z603" s="6"/>
      <c r="AA603" s="4"/>
      <c r="AB603" s="4"/>
      <c r="AC603" s="4"/>
      <c r="AD603" s="6"/>
      <c r="AE603" s="4"/>
      <c r="AF603" s="4"/>
      <c r="AG603" s="4"/>
      <c r="AH603" s="4">
        <v>241259362000</v>
      </c>
    </row>
    <row r="604" spans="1:34" x14ac:dyDescent="0.25">
      <c r="A604" s="4">
        <v>603</v>
      </c>
      <c r="B604" s="5" t="s">
        <v>1322</v>
      </c>
      <c r="C604" s="5" t="s">
        <v>1323</v>
      </c>
      <c r="D604" s="5" t="s">
        <v>968</v>
      </c>
      <c r="E604" s="5" t="s">
        <v>185</v>
      </c>
      <c r="F604" s="5" t="s">
        <v>185</v>
      </c>
      <c r="G604" s="5" t="s">
        <v>1283</v>
      </c>
      <c r="H604" s="4"/>
      <c r="I604" s="4"/>
      <c r="J604" s="6"/>
      <c r="K604" s="6"/>
      <c r="L604" s="6"/>
      <c r="M604" s="4"/>
      <c r="N604" s="4"/>
      <c r="O604" s="4"/>
      <c r="P604" s="6"/>
      <c r="Q604" s="6"/>
      <c r="R604" s="6"/>
      <c r="S604" s="6"/>
      <c r="T604" s="4"/>
      <c r="U604" s="6"/>
      <c r="V604" s="6"/>
      <c r="W604" s="6"/>
      <c r="X604" s="6"/>
      <c r="Y604" s="4"/>
      <c r="Z604" s="6"/>
      <c r="AA604" s="4"/>
      <c r="AB604" s="4"/>
      <c r="AC604" s="4"/>
      <c r="AD604" s="6"/>
      <c r="AE604" s="4"/>
      <c r="AF604" s="4"/>
      <c r="AG604" s="4"/>
      <c r="AH604" s="4">
        <v>427460132000</v>
      </c>
    </row>
    <row r="605" spans="1:34" x14ac:dyDescent="0.25">
      <c r="A605" s="4">
        <v>604</v>
      </c>
      <c r="B605" s="5" t="s">
        <v>1324</v>
      </c>
      <c r="C605" s="5" t="s">
        <v>1325</v>
      </c>
      <c r="D605" s="5" t="s">
        <v>968</v>
      </c>
      <c r="E605" s="5" t="s">
        <v>40</v>
      </c>
      <c r="F605" s="5" t="s">
        <v>41</v>
      </c>
      <c r="G605" s="5" t="s">
        <v>42</v>
      </c>
      <c r="H605" s="4"/>
      <c r="I605" s="4"/>
      <c r="J605" s="6"/>
      <c r="K605" s="6"/>
      <c r="L605" s="6"/>
      <c r="M605" s="4"/>
      <c r="N605" s="4"/>
      <c r="O605" s="4"/>
      <c r="P605" s="6"/>
      <c r="Q605" s="6"/>
      <c r="R605" s="6"/>
      <c r="S605" s="6"/>
      <c r="T605" s="4"/>
      <c r="U605" s="6"/>
      <c r="V605" s="6"/>
      <c r="W605" s="6"/>
      <c r="X605" s="6"/>
      <c r="Y605" s="4"/>
      <c r="Z605" s="6"/>
      <c r="AA605" s="4"/>
      <c r="AB605" s="4"/>
      <c r="AC605" s="4"/>
      <c r="AD605" s="6"/>
      <c r="AE605" s="4"/>
      <c r="AF605" s="4"/>
      <c r="AG605" s="4"/>
      <c r="AH605" s="4">
        <v>52200000000</v>
      </c>
    </row>
    <row r="606" spans="1:34" x14ac:dyDescent="0.25">
      <c r="A606" s="4">
        <v>605</v>
      </c>
      <c r="B606" s="5" t="s">
        <v>1326</v>
      </c>
      <c r="C606" s="5" t="s">
        <v>1327</v>
      </c>
      <c r="D606" s="5" t="s">
        <v>968</v>
      </c>
      <c r="E606" s="5" t="s">
        <v>234</v>
      </c>
      <c r="F606" s="5" t="s">
        <v>235</v>
      </c>
      <c r="G606" s="5" t="s">
        <v>236</v>
      </c>
      <c r="H606" s="4"/>
      <c r="I606" s="4"/>
      <c r="J606" s="6"/>
      <c r="K606" s="6"/>
      <c r="L606" s="6"/>
      <c r="M606" s="4"/>
      <c r="N606" s="4"/>
      <c r="O606" s="4"/>
      <c r="P606" s="6"/>
      <c r="Q606" s="6"/>
      <c r="R606" s="6"/>
      <c r="S606" s="6"/>
      <c r="T606" s="4"/>
      <c r="U606" s="6"/>
      <c r="V606" s="6"/>
      <c r="W606" s="6"/>
      <c r="X606" s="6"/>
      <c r="Y606" s="4"/>
      <c r="Z606" s="6"/>
      <c r="AA606" s="4"/>
      <c r="AB606" s="4"/>
      <c r="AC606" s="4"/>
      <c r="AD606" s="6"/>
      <c r="AE606" s="4"/>
      <c r="AF606" s="4"/>
      <c r="AG606" s="4"/>
      <c r="AH606" s="4">
        <v>157519838900</v>
      </c>
    </row>
    <row r="607" spans="1:34" x14ac:dyDescent="0.25">
      <c r="A607" s="4">
        <v>606</v>
      </c>
      <c r="B607" s="5" t="s">
        <v>1328</v>
      </c>
      <c r="C607" s="5" t="s">
        <v>1329</v>
      </c>
      <c r="D607" s="5" t="s">
        <v>968</v>
      </c>
      <c r="E607" s="5" t="s">
        <v>40</v>
      </c>
      <c r="F607" s="5" t="s">
        <v>41</v>
      </c>
      <c r="G607" s="5" t="s">
        <v>42</v>
      </c>
      <c r="H607" s="4"/>
      <c r="I607" s="4"/>
      <c r="J607" s="6"/>
      <c r="K607" s="6"/>
      <c r="L607" s="6"/>
      <c r="M607" s="4"/>
      <c r="N607" s="4"/>
      <c r="O607" s="4"/>
      <c r="P607" s="6"/>
      <c r="Q607" s="6"/>
      <c r="R607" s="6"/>
      <c r="S607" s="6"/>
      <c r="T607" s="4"/>
      <c r="U607" s="6"/>
      <c r="V607" s="6"/>
      <c r="W607" s="6"/>
      <c r="X607" s="6"/>
      <c r="Y607" s="4"/>
      <c r="Z607" s="6"/>
      <c r="AA607" s="4"/>
      <c r="AB607" s="4"/>
      <c r="AC607" s="4"/>
      <c r="AD607" s="6"/>
      <c r="AE607" s="4"/>
      <c r="AF607" s="4"/>
      <c r="AG607" s="4"/>
      <c r="AH607" s="4">
        <v>150000000000</v>
      </c>
    </row>
    <row r="608" spans="1:34" x14ac:dyDescent="0.25">
      <c r="A608" s="4">
        <v>607</v>
      </c>
      <c r="B608" s="5" t="s">
        <v>1330</v>
      </c>
      <c r="C608" s="5" t="s">
        <v>1331</v>
      </c>
      <c r="D608" s="5" t="s">
        <v>968</v>
      </c>
      <c r="E608" s="5" t="s">
        <v>98</v>
      </c>
      <c r="F608" s="5" t="s">
        <v>99</v>
      </c>
      <c r="G608" s="5" t="s">
        <v>100</v>
      </c>
      <c r="H608" s="4"/>
      <c r="I608" s="4"/>
      <c r="J608" s="6"/>
      <c r="K608" s="6"/>
      <c r="L608" s="6"/>
      <c r="M608" s="4"/>
      <c r="N608" s="4"/>
      <c r="O608" s="4"/>
      <c r="P608" s="6"/>
      <c r="Q608" s="6"/>
      <c r="R608" s="6"/>
      <c r="S608" s="6"/>
      <c r="T608" s="4"/>
      <c r="U608" s="6"/>
      <c r="V608" s="6"/>
      <c r="W608" s="6"/>
      <c r="X608" s="6"/>
      <c r="Y608" s="4"/>
      <c r="Z608" s="6"/>
      <c r="AA608" s="4"/>
      <c r="AB608" s="4"/>
      <c r="AC608" s="4"/>
      <c r="AD608" s="6"/>
      <c r="AE608" s="4"/>
      <c r="AF608" s="4"/>
      <c r="AG608" s="4"/>
      <c r="AH608" s="4">
        <v>300567321900</v>
      </c>
    </row>
    <row r="609" spans="1:34" x14ac:dyDescent="0.25">
      <c r="A609" s="4">
        <v>608</v>
      </c>
      <c r="B609" s="5" t="s">
        <v>1332</v>
      </c>
      <c r="C609" s="5" t="s">
        <v>1333</v>
      </c>
      <c r="D609" s="5" t="s">
        <v>968</v>
      </c>
      <c r="E609" s="5" t="s">
        <v>98</v>
      </c>
      <c r="F609" s="5" t="s">
        <v>99</v>
      </c>
      <c r="G609" s="5" t="s">
        <v>100</v>
      </c>
      <c r="H609" s="4">
        <v>2089479239791</v>
      </c>
      <c r="I609" s="4">
        <v>3412654859513</v>
      </c>
      <c r="J609" s="6">
        <v>1.0127999999999999</v>
      </c>
      <c r="K609" s="6">
        <v>0.6613</v>
      </c>
      <c r="L609" s="6">
        <v>0.51819999999999999</v>
      </c>
      <c r="M609" s="4">
        <v>9946180151</v>
      </c>
      <c r="N609" s="4">
        <v>18293253734</v>
      </c>
      <c r="O609" s="4"/>
      <c r="P609" s="6">
        <v>6.1593</v>
      </c>
      <c r="Q609" s="6">
        <v>8.1130999999999993</v>
      </c>
      <c r="R609" s="6">
        <v>1.292</v>
      </c>
      <c r="S609" s="6">
        <v>0.19159999999999999</v>
      </c>
      <c r="T609" s="4"/>
      <c r="U609" s="6">
        <v>-0.1545</v>
      </c>
      <c r="V609" s="6">
        <v>0.7087</v>
      </c>
      <c r="W609" s="6">
        <v>0.75900000000000001</v>
      </c>
      <c r="X609" s="6">
        <v>0</v>
      </c>
      <c r="Y609" s="4"/>
      <c r="Z609" s="6">
        <v>0.57909999999999995</v>
      </c>
      <c r="AA609" s="4"/>
      <c r="AB609" s="4"/>
      <c r="AC609" s="4"/>
      <c r="AD609" s="6">
        <v>0</v>
      </c>
      <c r="AE609" s="4"/>
      <c r="AF609" s="4"/>
      <c r="AG609" s="4"/>
      <c r="AH609" s="4">
        <v>86967238800</v>
      </c>
    </row>
    <row r="610" spans="1:34" x14ac:dyDescent="0.25">
      <c r="A610" s="4">
        <v>609</v>
      </c>
      <c r="B610" s="5" t="s">
        <v>1334</v>
      </c>
      <c r="C610" s="5" t="s">
        <v>1335</v>
      </c>
      <c r="D610" s="5" t="s">
        <v>968</v>
      </c>
      <c r="E610" s="5" t="s">
        <v>40</v>
      </c>
      <c r="F610" s="5" t="s">
        <v>41</v>
      </c>
      <c r="G610" s="5" t="s">
        <v>557</v>
      </c>
      <c r="H610" s="4">
        <v>79800456439</v>
      </c>
      <c r="I610" s="4">
        <v>134319244331</v>
      </c>
      <c r="J610" s="6">
        <v>0.95630000000000004</v>
      </c>
      <c r="K610" s="6">
        <v>0.85119999999999996</v>
      </c>
      <c r="L610" s="6">
        <v>0.73</v>
      </c>
      <c r="M610" s="4">
        <v>1681112465</v>
      </c>
      <c r="N610" s="4">
        <v>1036745963</v>
      </c>
      <c r="O610" s="4"/>
      <c r="P610" s="6">
        <v>0.36840000000000001</v>
      </c>
      <c r="Q610" s="6">
        <v>-0.44180000000000003</v>
      </c>
      <c r="R610" s="6">
        <v>-0.45660000000000001</v>
      </c>
      <c r="S610" s="6">
        <v>3.6711999999999998</v>
      </c>
      <c r="T610" s="4"/>
      <c r="U610" s="6">
        <v>-0.4627</v>
      </c>
      <c r="V610" s="6">
        <v>-0.82099999999999995</v>
      </c>
      <c r="W610" s="6">
        <v>-0.82469999999999999</v>
      </c>
      <c r="X610" s="6">
        <v>0</v>
      </c>
      <c r="Y610" s="4"/>
      <c r="Z610" s="6">
        <v>0.4637</v>
      </c>
      <c r="AA610" s="4"/>
      <c r="AB610" s="4"/>
      <c r="AC610" s="4"/>
      <c r="AD610" s="6">
        <v>0</v>
      </c>
      <c r="AE610" s="4"/>
      <c r="AF610" s="4"/>
      <c r="AG610" s="4"/>
      <c r="AH610" s="4">
        <v>65096829000</v>
      </c>
    </row>
    <row r="611" spans="1:34" x14ac:dyDescent="0.25">
      <c r="A611" s="4">
        <v>610</v>
      </c>
      <c r="B611" s="5" t="s">
        <v>1336</v>
      </c>
      <c r="C611" s="5" t="s">
        <v>1337</v>
      </c>
      <c r="D611" s="5" t="s">
        <v>968</v>
      </c>
      <c r="E611" s="5" t="s">
        <v>75</v>
      </c>
      <c r="F611" s="5" t="s">
        <v>120</v>
      </c>
      <c r="G611" s="5" t="s">
        <v>1338</v>
      </c>
      <c r="H611" s="4"/>
      <c r="I611" s="4"/>
      <c r="J611" s="6"/>
      <c r="K611" s="6"/>
      <c r="L611" s="6"/>
      <c r="M611" s="4"/>
      <c r="N611" s="4"/>
      <c r="O611" s="4"/>
      <c r="P611" s="6"/>
      <c r="Q611" s="6"/>
      <c r="R611" s="6"/>
      <c r="S611" s="6"/>
      <c r="T611" s="4"/>
      <c r="U611" s="6"/>
      <c r="V611" s="6"/>
      <c r="W611" s="6"/>
      <c r="X611" s="6"/>
      <c r="Y611" s="4"/>
      <c r="Z611" s="6"/>
      <c r="AA611" s="4"/>
      <c r="AB611" s="4"/>
      <c r="AC611" s="4"/>
      <c r="AD611" s="6"/>
      <c r="AE611" s="4"/>
      <c r="AF611" s="4"/>
      <c r="AG611" s="4"/>
      <c r="AH611" s="4">
        <v>2891880000000</v>
      </c>
    </row>
    <row r="612" spans="1:34" x14ac:dyDescent="0.25">
      <c r="A612" s="4">
        <v>611</v>
      </c>
      <c r="B612" s="5" t="s">
        <v>1339</v>
      </c>
      <c r="C612" s="5" t="s">
        <v>1340</v>
      </c>
      <c r="D612" s="5" t="s">
        <v>968</v>
      </c>
      <c r="E612" s="5" t="s">
        <v>40</v>
      </c>
      <c r="F612" s="5" t="s">
        <v>41</v>
      </c>
      <c r="G612" s="5" t="s">
        <v>557</v>
      </c>
      <c r="H612" s="4">
        <v>281114084840</v>
      </c>
      <c r="I612" s="4">
        <v>515286249584</v>
      </c>
      <c r="J612" s="6">
        <v>0.53090000000000004</v>
      </c>
      <c r="K612" s="6">
        <v>0.42009999999999997</v>
      </c>
      <c r="L612" s="6">
        <v>0.35970000000000002</v>
      </c>
      <c r="M612" s="4">
        <v>2924850403</v>
      </c>
      <c r="N612" s="4">
        <v>5065788697</v>
      </c>
      <c r="O612" s="4"/>
      <c r="P612" s="6">
        <v>0.49370000000000003</v>
      </c>
      <c r="Q612" s="6">
        <v>0.1227</v>
      </c>
      <c r="R612" s="6">
        <v>4.1509999999999998</v>
      </c>
      <c r="S612" s="6">
        <v>0.36620000000000003</v>
      </c>
      <c r="T612" s="4"/>
      <c r="U612" s="6">
        <v>-0.45579999999999998</v>
      </c>
      <c r="V612" s="6">
        <v>-0.47739999999999999</v>
      </c>
      <c r="W612" s="6">
        <v>-0.48930000000000001</v>
      </c>
      <c r="X612" s="6">
        <v>6.3100000000000003E-2</v>
      </c>
      <c r="Y612" s="4"/>
      <c r="Z612" s="6">
        <v>0.20050000000000001</v>
      </c>
      <c r="AA612" s="4"/>
      <c r="AB612" s="4"/>
      <c r="AC612" s="4"/>
      <c r="AD612" s="6">
        <v>0</v>
      </c>
      <c r="AE612" s="4"/>
      <c r="AF612" s="4"/>
      <c r="AG612" s="4"/>
      <c r="AH612" s="4">
        <v>79920000000</v>
      </c>
    </row>
    <row r="613" spans="1:34" x14ac:dyDescent="0.25">
      <c r="A613" s="4">
        <v>612</v>
      </c>
      <c r="B613" s="5" t="s">
        <v>1341</v>
      </c>
      <c r="C613" s="5" t="s">
        <v>1342</v>
      </c>
      <c r="D613" s="5" t="s">
        <v>968</v>
      </c>
      <c r="E613" s="5" t="s">
        <v>62</v>
      </c>
      <c r="F613" s="5" t="s">
        <v>71</v>
      </c>
      <c r="G613" s="5" t="s">
        <v>103</v>
      </c>
      <c r="H613" s="4">
        <v>2675101915422</v>
      </c>
      <c r="I613" s="4">
        <v>5192285679332</v>
      </c>
      <c r="J613" s="6">
        <v>0.41849999999999998</v>
      </c>
      <c r="K613" s="6">
        <v>0.60819999999999996</v>
      </c>
      <c r="L613" s="6">
        <v>0.66700000000000004</v>
      </c>
      <c r="M613" s="4">
        <v>49037004437</v>
      </c>
      <c r="N613" s="4">
        <v>103278161685</v>
      </c>
      <c r="O613" s="4"/>
      <c r="P613" s="6">
        <v>0.65149999999999997</v>
      </c>
      <c r="Q613" s="6">
        <v>0.99229999999999996</v>
      </c>
      <c r="R613" s="6">
        <v>1.1476</v>
      </c>
      <c r="S613" s="6">
        <v>-9.5899999999999999E-2</v>
      </c>
      <c r="T613" s="4"/>
      <c r="U613" s="6">
        <v>-0.42309999999999998</v>
      </c>
      <c r="V613" s="6">
        <v>-0.28199999999999997</v>
      </c>
      <c r="W613" s="6">
        <v>-0.2828</v>
      </c>
      <c r="X613" s="6">
        <v>0</v>
      </c>
      <c r="Y613" s="4"/>
      <c r="Z613" s="6">
        <v>6.2700000000000006E-2</v>
      </c>
      <c r="AA613" s="4"/>
      <c r="AB613" s="4"/>
      <c r="AC613" s="4"/>
      <c r="AD613" s="6">
        <v>0</v>
      </c>
      <c r="AE613" s="4"/>
      <c r="AF613" s="4"/>
      <c r="AG613" s="4"/>
      <c r="AH613" s="4">
        <v>864446304000</v>
      </c>
    </row>
    <row r="614" spans="1:34" x14ac:dyDescent="0.25">
      <c r="A614" s="4">
        <v>613</v>
      </c>
      <c r="B614" s="5" t="s">
        <v>1343</v>
      </c>
      <c r="C614" s="5" t="s">
        <v>1344</v>
      </c>
      <c r="D614" s="5" t="s">
        <v>968</v>
      </c>
      <c r="E614" s="5" t="s">
        <v>24</v>
      </c>
      <c r="F614" s="5" t="s">
        <v>25</v>
      </c>
      <c r="G614" s="5" t="s">
        <v>45</v>
      </c>
      <c r="H614" s="4">
        <v>1276973585512</v>
      </c>
      <c r="I614" s="4"/>
      <c r="J614" s="6"/>
      <c r="K614" s="6"/>
      <c r="L614" s="6"/>
      <c r="M614" s="4">
        <v>5041710045</v>
      </c>
      <c r="N614" s="4"/>
      <c r="O614" s="4"/>
      <c r="P614" s="6"/>
      <c r="Q614" s="6"/>
      <c r="R614" s="6"/>
      <c r="S614" s="6"/>
      <c r="T614" s="4"/>
      <c r="U614" s="6"/>
      <c r="V614" s="6"/>
      <c r="W614" s="6"/>
      <c r="X614" s="6"/>
      <c r="Y614" s="4"/>
      <c r="Z614" s="6"/>
      <c r="AA614" s="4"/>
      <c r="AB614" s="4"/>
      <c r="AC614" s="4"/>
      <c r="AD614" s="6"/>
      <c r="AE614" s="4"/>
      <c r="AF614" s="4"/>
      <c r="AG614" s="4"/>
      <c r="AH614" s="4">
        <v>130000000000</v>
      </c>
    </row>
    <row r="615" spans="1:34" x14ac:dyDescent="0.25">
      <c r="A615" s="4">
        <v>614</v>
      </c>
      <c r="B615" s="5" t="s">
        <v>1345</v>
      </c>
      <c r="C615" s="5" t="s">
        <v>1346</v>
      </c>
      <c r="D615" s="5" t="s">
        <v>968</v>
      </c>
      <c r="E615" s="5" t="s">
        <v>75</v>
      </c>
      <c r="F615" s="5" t="s">
        <v>79</v>
      </c>
      <c r="G615" s="5" t="s">
        <v>80</v>
      </c>
      <c r="H615" s="4">
        <v>107788595985</v>
      </c>
      <c r="I615" s="4">
        <v>236118713296</v>
      </c>
      <c r="J615" s="6">
        <v>-0.20069999999999999</v>
      </c>
      <c r="K615" s="6">
        <v>2.5700000000000001E-2</v>
      </c>
      <c r="L615" s="6">
        <v>0.12239999999999999</v>
      </c>
      <c r="M615" s="4">
        <v>15257019442</v>
      </c>
      <c r="N615" s="4">
        <v>41128619785</v>
      </c>
      <c r="O615" s="4"/>
      <c r="P615" s="6">
        <v>0.58179999999999998</v>
      </c>
      <c r="Q615" s="6">
        <v>1.2914000000000001</v>
      </c>
      <c r="R615" s="6">
        <v>1.1880999999999999</v>
      </c>
      <c r="S615" s="6">
        <v>-0.4103</v>
      </c>
      <c r="T615" s="4"/>
      <c r="U615" s="6">
        <v>-0.53320000000000001</v>
      </c>
      <c r="V615" s="6">
        <v>-0.13850000000000001</v>
      </c>
      <c r="W615" s="6">
        <v>-0.18720000000000001</v>
      </c>
      <c r="X615" s="6">
        <v>0</v>
      </c>
      <c r="Y615" s="4"/>
      <c r="Z615" s="6">
        <v>-0.16009999999999999</v>
      </c>
      <c r="AA615" s="4"/>
      <c r="AB615" s="4"/>
      <c r="AC615" s="4"/>
      <c r="AD615" s="6">
        <v>0</v>
      </c>
      <c r="AE615" s="4"/>
      <c r="AF615" s="4"/>
      <c r="AG615" s="4"/>
      <c r="AH615" s="4">
        <v>610381260000</v>
      </c>
    </row>
    <row r="616" spans="1:34" x14ac:dyDescent="0.25">
      <c r="A616" s="4">
        <v>615</v>
      </c>
      <c r="B616" s="5" t="s">
        <v>1347</v>
      </c>
      <c r="C616" s="5" t="s">
        <v>1348</v>
      </c>
      <c r="D616" s="5" t="s">
        <v>968</v>
      </c>
      <c r="E616" s="5" t="s">
        <v>24</v>
      </c>
      <c r="F616" s="5" t="s">
        <v>25</v>
      </c>
      <c r="G616" s="5" t="s">
        <v>45</v>
      </c>
      <c r="H616" s="4">
        <v>1245028287396</v>
      </c>
      <c r="I616" s="4">
        <v>2120671729386</v>
      </c>
      <c r="J616" s="6">
        <v>0.2399</v>
      </c>
      <c r="K616" s="6">
        <v>8.3400000000000002E-2</v>
      </c>
      <c r="L616" s="6">
        <v>6.3E-3</v>
      </c>
      <c r="M616" s="4">
        <v>18571950587</v>
      </c>
      <c r="N616" s="4">
        <v>25612393425</v>
      </c>
      <c r="O616" s="4"/>
      <c r="P616" s="6">
        <v>0.62839999999999996</v>
      </c>
      <c r="Q616" s="6">
        <v>0.62129999999999996</v>
      </c>
      <c r="R616" s="6">
        <v>0.3478</v>
      </c>
      <c r="S616" s="6">
        <v>1.6378999999999999</v>
      </c>
      <c r="T616" s="4"/>
      <c r="U616" s="6">
        <v>-0.41260000000000002</v>
      </c>
      <c r="V616" s="6">
        <v>0.68740000000000001</v>
      </c>
      <c r="W616" s="6">
        <v>0.68500000000000005</v>
      </c>
      <c r="X616" s="6">
        <v>5.9499999999999997E-2</v>
      </c>
      <c r="Y616" s="4"/>
      <c r="Z616" s="6">
        <v>0.42180000000000001</v>
      </c>
      <c r="AA616" s="4"/>
      <c r="AB616" s="4"/>
      <c r="AC616" s="4"/>
      <c r="AD616" s="6">
        <v>0</v>
      </c>
      <c r="AE616" s="4"/>
      <c r="AF616" s="4"/>
      <c r="AG616" s="4"/>
      <c r="AH616" s="4">
        <v>142800000000</v>
      </c>
    </row>
    <row r="617" spans="1:34" x14ac:dyDescent="0.25">
      <c r="A617" s="4">
        <v>616</v>
      </c>
      <c r="B617" s="5" t="s">
        <v>1349</v>
      </c>
      <c r="C617" s="5" t="s">
        <v>1350</v>
      </c>
      <c r="D617" s="5" t="s">
        <v>968</v>
      </c>
      <c r="E617" s="5" t="s">
        <v>40</v>
      </c>
      <c r="F617" s="5" t="s">
        <v>52</v>
      </c>
      <c r="G617" s="5" t="s">
        <v>110</v>
      </c>
      <c r="H617" s="4"/>
      <c r="I617" s="4"/>
      <c r="J617" s="6"/>
      <c r="K617" s="6"/>
      <c r="L617" s="6"/>
      <c r="M617" s="4"/>
      <c r="N617" s="4"/>
      <c r="O617" s="4"/>
      <c r="P617" s="6"/>
      <c r="Q617" s="6"/>
      <c r="R617" s="6"/>
      <c r="S617" s="6"/>
      <c r="T617" s="4"/>
      <c r="U617" s="6"/>
      <c r="V617" s="6"/>
      <c r="W617" s="6"/>
      <c r="X617" s="6"/>
      <c r="Y617" s="4"/>
      <c r="Z617" s="6"/>
      <c r="AA617" s="4"/>
      <c r="AB617" s="4"/>
      <c r="AC617" s="4"/>
      <c r="AD617" s="6"/>
      <c r="AE617" s="4"/>
      <c r="AF617" s="4"/>
      <c r="AG617" s="4"/>
      <c r="AH617" s="4">
        <v>73999752100</v>
      </c>
    </row>
    <row r="618" spans="1:34" x14ac:dyDescent="0.25">
      <c r="A618" s="4">
        <v>617</v>
      </c>
      <c r="B618" s="5" t="s">
        <v>1351</v>
      </c>
      <c r="C618" s="5" t="s">
        <v>1352</v>
      </c>
      <c r="D618" s="5" t="s">
        <v>968</v>
      </c>
      <c r="E618" s="5" t="s">
        <v>75</v>
      </c>
      <c r="F618" s="5" t="s">
        <v>120</v>
      </c>
      <c r="G618" s="5" t="s">
        <v>121</v>
      </c>
      <c r="H618" s="4"/>
      <c r="I618" s="4"/>
      <c r="J618" s="6"/>
      <c r="K618" s="6"/>
      <c r="L618" s="6"/>
      <c r="M618" s="4"/>
      <c r="N618" s="4"/>
      <c r="O618" s="4"/>
      <c r="P618" s="6"/>
      <c r="Q618" s="6"/>
      <c r="R618" s="6"/>
      <c r="S618" s="6"/>
      <c r="T618" s="4"/>
      <c r="U618" s="6"/>
      <c r="V618" s="6"/>
      <c r="W618" s="6"/>
      <c r="X618" s="6"/>
      <c r="Y618" s="4"/>
      <c r="Z618" s="6"/>
      <c r="AA618" s="4"/>
      <c r="AB618" s="4"/>
      <c r="AC618" s="4"/>
      <c r="AD618" s="6"/>
      <c r="AE618" s="4"/>
      <c r="AF618" s="4"/>
      <c r="AG618" s="4"/>
      <c r="AH618" s="4">
        <v>2653026838000</v>
      </c>
    </row>
    <row r="619" spans="1:34" x14ac:dyDescent="0.25">
      <c r="A619" s="4">
        <v>618</v>
      </c>
      <c r="B619" s="5" t="s">
        <v>1353</v>
      </c>
      <c r="C619" s="5" t="s">
        <v>1354</v>
      </c>
      <c r="D619" s="5" t="s">
        <v>968</v>
      </c>
      <c r="E619" s="5" t="s">
        <v>40</v>
      </c>
      <c r="F619" s="5" t="s">
        <v>41</v>
      </c>
      <c r="G619" s="5" t="s">
        <v>557</v>
      </c>
      <c r="H619" s="4"/>
      <c r="I619" s="4"/>
      <c r="J619" s="6"/>
      <c r="K619" s="6"/>
      <c r="L619" s="6"/>
      <c r="M619" s="4"/>
      <c r="N619" s="4"/>
      <c r="O619" s="4"/>
      <c r="P619" s="6"/>
      <c r="Q619" s="6"/>
      <c r="R619" s="6"/>
      <c r="S619" s="6"/>
      <c r="T619" s="4"/>
      <c r="U619" s="6"/>
      <c r="V619" s="6"/>
      <c r="W619" s="6"/>
      <c r="X619" s="6"/>
      <c r="Y619" s="4"/>
      <c r="Z619" s="6"/>
      <c r="AA619" s="4"/>
      <c r="AB619" s="4"/>
      <c r="AC619" s="4"/>
      <c r="AD619" s="6"/>
      <c r="AE619" s="4"/>
      <c r="AF619" s="4"/>
      <c r="AG619" s="4"/>
      <c r="AH619" s="4">
        <v>47328000000</v>
      </c>
    </row>
    <row r="620" spans="1:34" x14ac:dyDescent="0.25">
      <c r="A620" s="4">
        <v>619</v>
      </c>
      <c r="B620" s="5" t="s">
        <v>1355</v>
      </c>
      <c r="C620" s="5" t="s">
        <v>1356</v>
      </c>
      <c r="D620" s="5" t="s">
        <v>968</v>
      </c>
      <c r="E620" s="5" t="s">
        <v>98</v>
      </c>
      <c r="F620" s="5" t="s">
        <v>99</v>
      </c>
      <c r="G620" s="5" t="s">
        <v>100</v>
      </c>
      <c r="H620" s="4">
        <v>717486332833</v>
      </c>
      <c r="I620" s="4">
        <v>1260955590398</v>
      </c>
      <c r="J620" s="6">
        <v>0.66549999999999998</v>
      </c>
      <c r="K620" s="6">
        <v>0.4965</v>
      </c>
      <c r="L620" s="6">
        <v>0.3901</v>
      </c>
      <c r="M620" s="4">
        <v>4687259944</v>
      </c>
      <c r="N620" s="4">
        <v>16168121367</v>
      </c>
      <c r="O620" s="4"/>
      <c r="P620" s="6">
        <v>0.153</v>
      </c>
      <c r="Q620" s="6">
        <v>0.97750000000000004</v>
      </c>
      <c r="R620" s="6">
        <v>0.3296</v>
      </c>
      <c r="S620" s="6">
        <v>-0.5917</v>
      </c>
      <c r="T620" s="4"/>
      <c r="U620" s="6">
        <v>-0.32490000000000002</v>
      </c>
      <c r="V620" s="6">
        <v>-0.15709999999999999</v>
      </c>
      <c r="W620" s="6">
        <v>-0.16900000000000001</v>
      </c>
      <c r="X620" s="6">
        <v>0</v>
      </c>
      <c r="Y620" s="4"/>
      <c r="Z620" s="6">
        <v>0.32019999999999998</v>
      </c>
      <c r="AA620" s="4"/>
      <c r="AB620" s="4"/>
      <c r="AC620" s="4"/>
      <c r="AD620" s="6">
        <v>0</v>
      </c>
      <c r="AE620" s="4"/>
      <c r="AF620" s="4"/>
      <c r="AG620" s="4"/>
      <c r="AH620" s="4">
        <v>100989512100</v>
      </c>
    </row>
    <row r="621" spans="1:34" x14ac:dyDescent="0.25">
      <c r="A621" s="4">
        <v>620</v>
      </c>
      <c r="B621" s="5" t="s">
        <v>1357</v>
      </c>
      <c r="C621" s="5" t="s">
        <v>1358</v>
      </c>
      <c r="D621" s="5" t="s">
        <v>968</v>
      </c>
      <c r="E621" s="5" t="s">
        <v>75</v>
      </c>
      <c r="F621" s="5" t="s">
        <v>76</v>
      </c>
      <c r="G621" s="5" t="s">
        <v>76</v>
      </c>
      <c r="H621" s="4"/>
      <c r="I621" s="4"/>
      <c r="J621" s="6"/>
      <c r="K621" s="6"/>
      <c r="L621" s="6"/>
      <c r="M621" s="4"/>
      <c r="N621" s="4"/>
      <c r="O621" s="4"/>
      <c r="P621" s="6"/>
      <c r="Q621" s="6"/>
      <c r="R621" s="6"/>
      <c r="S621" s="6"/>
      <c r="T621" s="4"/>
      <c r="U621" s="6"/>
      <c r="V621" s="6"/>
      <c r="W621" s="6"/>
      <c r="X621" s="6"/>
      <c r="Y621" s="4"/>
      <c r="Z621" s="6"/>
      <c r="AA621" s="4"/>
      <c r="AB621" s="4"/>
      <c r="AC621" s="4"/>
      <c r="AD621" s="6"/>
      <c r="AE621" s="4"/>
      <c r="AF621" s="4"/>
      <c r="AG621" s="4"/>
      <c r="AH621" s="4">
        <v>66363840000</v>
      </c>
    </row>
    <row r="622" spans="1:34" x14ac:dyDescent="0.25">
      <c r="A622" s="4">
        <v>621</v>
      </c>
      <c r="B622" s="5" t="s">
        <v>1359</v>
      </c>
      <c r="C622" s="5" t="s">
        <v>1360</v>
      </c>
      <c r="D622" s="5" t="s">
        <v>968</v>
      </c>
      <c r="E622" s="5" t="s">
        <v>140</v>
      </c>
      <c r="F622" s="5" t="s">
        <v>140</v>
      </c>
      <c r="G622" s="5" t="s">
        <v>671</v>
      </c>
      <c r="H622" s="4"/>
      <c r="I622" s="4"/>
      <c r="J622" s="6"/>
      <c r="K622" s="6"/>
      <c r="L622" s="6"/>
      <c r="M622" s="4"/>
      <c r="N622" s="4"/>
      <c r="O622" s="4"/>
      <c r="P622" s="6"/>
      <c r="Q622" s="6"/>
      <c r="R622" s="6"/>
      <c r="S622" s="6"/>
      <c r="T622" s="4"/>
      <c r="U622" s="6"/>
      <c r="V622" s="6"/>
      <c r="W622" s="6"/>
      <c r="X622" s="6"/>
      <c r="Y622" s="4"/>
      <c r="Z622" s="6"/>
      <c r="AA622" s="4"/>
      <c r="AB622" s="4"/>
      <c r="AC622" s="4"/>
      <c r="AD622" s="6"/>
      <c r="AE622" s="4"/>
      <c r="AF622" s="4"/>
      <c r="AG622" s="4"/>
      <c r="AH622" s="4">
        <v>444959958800</v>
      </c>
    </row>
    <row r="623" spans="1:34" x14ac:dyDescent="0.25">
      <c r="A623" s="4">
        <v>622</v>
      </c>
      <c r="B623" s="5" t="s">
        <v>1361</v>
      </c>
      <c r="C623" s="5" t="s">
        <v>1362</v>
      </c>
      <c r="D623" s="5" t="s">
        <v>968</v>
      </c>
      <c r="E623" s="5" t="s">
        <v>140</v>
      </c>
      <c r="F623" s="5" t="s">
        <v>140</v>
      </c>
      <c r="G623" s="5" t="s">
        <v>671</v>
      </c>
      <c r="H623" s="4"/>
      <c r="I623" s="4"/>
      <c r="J623" s="6"/>
      <c r="K623" s="6"/>
      <c r="L623" s="6"/>
      <c r="M623" s="4"/>
      <c r="N623" s="4"/>
      <c r="O623" s="4"/>
      <c r="P623" s="6"/>
      <c r="Q623" s="6"/>
      <c r="R623" s="6"/>
      <c r="S623" s="6"/>
      <c r="T623" s="4"/>
      <c r="U623" s="6"/>
      <c r="V623" s="6"/>
      <c r="W623" s="6"/>
      <c r="X623" s="6"/>
      <c r="Y623" s="4"/>
      <c r="Z623" s="6"/>
      <c r="AA623" s="4"/>
      <c r="AB623" s="4"/>
      <c r="AC623" s="4"/>
      <c r="AD623" s="6"/>
      <c r="AE623" s="4"/>
      <c r="AF623" s="4"/>
      <c r="AG623" s="4"/>
      <c r="AH623" s="4">
        <v>958094663400</v>
      </c>
    </row>
    <row r="624" spans="1:34" x14ac:dyDescent="0.25">
      <c r="A624" s="4">
        <v>623</v>
      </c>
      <c r="B624" s="5" t="s">
        <v>1363</v>
      </c>
      <c r="C624" s="5" t="s">
        <v>1364</v>
      </c>
      <c r="D624" s="5" t="s">
        <v>968</v>
      </c>
      <c r="E624" s="5" t="s">
        <v>98</v>
      </c>
      <c r="F624" s="5" t="s">
        <v>99</v>
      </c>
      <c r="G624" s="5" t="s">
        <v>100</v>
      </c>
      <c r="H624" s="4">
        <v>1589137080114</v>
      </c>
      <c r="I624" s="4">
        <v>3037112494243</v>
      </c>
      <c r="J624" s="6">
        <v>6.1999999999999998E-3</v>
      </c>
      <c r="K624" s="6">
        <v>2.8999999999999998E-3</v>
      </c>
      <c r="L624" s="6">
        <v>0.1447</v>
      </c>
      <c r="M624" s="4">
        <v>5609216040</v>
      </c>
      <c r="N624" s="4">
        <v>9625562480</v>
      </c>
      <c r="O624" s="4"/>
      <c r="P624" s="6">
        <v>0.76139999999999997</v>
      </c>
      <c r="Q624" s="6">
        <v>0.58709999999999996</v>
      </c>
      <c r="R624" s="6">
        <v>0.35930000000000001</v>
      </c>
      <c r="S624" s="6">
        <v>0.39660000000000001</v>
      </c>
      <c r="T624" s="4"/>
      <c r="U624" s="6">
        <v>-0.57310000000000005</v>
      </c>
      <c r="V624" s="6">
        <v>-0.34250000000000003</v>
      </c>
      <c r="W624" s="6">
        <v>-0.3407</v>
      </c>
      <c r="X624" s="6">
        <v>0</v>
      </c>
      <c r="Y624" s="4"/>
      <c r="Z624" s="6">
        <v>9.7500000000000003E-2</v>
      </c>
      <c r="AA624" s="4"/>
      <c r="AB624" s="4"/>
      <c r="AC624" s="4"/>
      <c r="AD624" s="6">
        <v>0</v>
      </c>
      <c r="AE624" s="4"/>
      <c r="AF624" s="4"/>
      <c r="AG624" s="4"/>
      <c r="AH624" s="4">
        <v>223991723200</v>
      </c>
    </row>
    <row r="625" spans="1:34" x14ac:dyDescent="0.25">
      <c r="A625" s="4">
        <v>624</v>
      </c>
      <c r="B625" s="5" t="s">
        <v>1365</v>
      </c>
      <c r="C625" s="5" t="s">
        <v>1366</v>
      </c>
      <c r="D625" s="5" t="s">
        <v>968</v>
      </c>
      <c r="E625" s="5" t="s">
        <v>75</v>
      </c>
      <c r="F625" s="5" t="s">
        <v>120</v>
      </c>
      <c r="G625" s="5" t="s">
        <v>121</v>
      </c>
      <c r="H625" s="4">
        <v>2934176331107</v>
      </c>
      <c r="I625" s="4">
        <v>5628719580335</v>
      </c>
      <c r="J625" s="6">
        <v>0.29530000000000001</v>
      </c>
      <c r="K625" s="6">
        <v>0.28510000000000002</v>
      </c>
      <c r="L625" s="6">
        <v>0.28179999999999999</v>
      </c>
      <c r="M625" s="4">
        <v>414837317113</v>
      </c>
      <c r="N625" s="4">
        <v>960894164669</v>
      </c>
      <c r="O625" s="4"/>
      <c r="P625" s="6">
        <v>4.7999999999999996E-3</v>
      </c>
      <c r="Q625" s="6">
        <v>0.29389999999999999</v>
      </c>
      <c r="R625" s="6">
        <v>0.1489</v>
      </c>
      <c r="S625" s="6">
        <v>-0.25190000000000001</v>
      </c>
      <c r="T625" s="4"/>
      <c r="U625" s="6">
        <v>-0.80400000000000005</v>
      </c>
      <c r="V625" s="6">
        <v>4.7999999999999996E-3</v>
      </c>
      <c r="W625" s="6">
        <v>-2.52E-2</v>
      </c>
      <c r="X625" s="6">
        <v>4.2000000000000003E-2</v>
      </c>
      <c r="Y625" s="4"/>
      <c r="Z625" s="6">
        <v>8.0699999999999994E-2</v>
      </c>
      <c r="AA625" s="4"/>
      <c r="AB625" s="4"/>
      <c r="AC625" s="4"/>
      <c r="AD625" s="6">
        <v>0</v>
      </c>
      <c r="AE625" s="4"/>
      <c r="AF625" s="4"/>
      <c r="AG625" s="4"/>
      <c r="AH625" s="4">
        <v>16748293490500</v>
      </c>
    </row>
    <row r="626" spans="1:34" x14ac:dyDescent="0.25">
      <c r="A626" s="4">
        <v>625</v>
      </c>
      <c r="B626" s="5" t="s">
        <v>1367</v>
      </c>
      <c r="C626" s="5" t="s">
        <v>1368</v>
      </c>
      <c r="D626" s="5" t="s">
        <v>968</v>
      </c>
      <c r="E626" s="5" t="s">
        <v>140</v>
      </c>
      <c r="F626" s="5" t="s">
        <v>140</v>
      </c>
      <c r="G626" s="5" t="s">
        <v>671</v>
      </c>
      <c r="H626" s="4"/>
      <c r="I626" s="4"/>
      <c r="J626" s="6"/>
      <c r="K626" s="6"/>
      <c r="L626" s="6"/>
      <c r="M626" s="4"/>
      <c r="N626" s="4"/>
      <c r="O626" s="4"/>
      <c r="P626" s="6"/>
      <c r="Q626" s="6"/>
      <c r="R626" s="6"/>
      <c r="S626" s="6"/>
      <c r="T626" s="4"/>
      <c r="U626" s="6"/>
      <c r="V626" s="6"/>
      <c r="W626" s="6"/>
      <c r="X626" s="6"/>
      <c r="Y626" s="4"/>
      <c r="Z626" s="6"/>
      <c r="AA626" s="4"/>
      <c r="AB626" s="4"/>
      <c r="AC626" s="4"/>
      <c r="AD626" s="6"/>
      <c r="AE626" s="4"/>
      <c r="AF626" s="4"/>
      <c r="AG626" s="4"/>
      <c r="AH626" s="4">
        <v>16928005276900</v>
      </c>
    </row>
    <row r="627" spans="1:34" x14ac:dyDescent="0.25">
      <c r="A627" s="4">
        <v>626</v>
      </c>
      <c r="B627" s="5" t="s">
        <v>1369</v>
      </c>
      <c r="C627" s="5" t="s">
        <v>1370</v>
      </c>
      <c r="D627" s="5" t="s">
        <v>968</v>
      </c>
      <c r="E627" s="5" t="s">
        <v>40</v>
      </c>
      <c r="F627" s="5" t="s">
        <v>52</v>
      </c>
      <c r="G627" s="5" t="s">
        <v>110</v>
      </c>
      <c r="H627" s="4"/>
      <c r="I627" s="4"/>
      <c r="J627" s="6"/>
      <c r="K627" s="6"/>
      <c r="L627" s="6"/>
      <c r="M627" s="4"/>
      <c r="N627" s="4"/>
      <c r="O627" s="4"/>
      <c r="P627" s="6"/>
      <c r="Q627" s="6"/>
      <c r="R627" s="6"/>
      <c r="S627" s="6"/>
      <c r="T627" s="4"/>
      <c r="U627" s="6"/>
      <c r="V627" s="6"/>
      <c r="W627" s="6"/>
      <c r="X627" s="6"/>
      <c r="Y627" s="4"/>
      <c r="Z627" s="6"/>
      <c r="AA627" s="4"/>
      <c r="AB627" s="4"/>
      <c r="AC627" s="4"/>
      <c r="AD627" s="6"/>
      <c r="AE627" s="4"/>
      <c r="AF627" s="4"/>
      <c r="AG627" s="4"/>
      <c r="AH627" s="4"/>
    </row>
    <row r="628" spans="1:34" x14ac:dyDescent="0.25">
      <c r="A628" s="4">
        <v>627</v>
      </c>
      <c r="B628" s="5" t="s">
        <v>1371</v>
      </c>
      <c r="C628" s="5" t="s">
        <v>1372</v>
      </c>
      <c r="D628" s="5" t="s">
        <v>968</v>
      </c>
      <c r="E628" s="5" t="s">
        <v>40</v>
      </c>
      <c r="F628" s="5" t="s">
        <v>41</v>
      </c>
      <c r="G628" s="5" t="s">
        <v>698</v>
      </c>
      <c r="H628" s="4">
        <v>150523226163</v>
      </c>
      <c r="I628" s="4">
        <v>282268850335</v>
      </c>
      <c r="J628" s="6">
        <v>0.27739999999999998</v>
      </c>
      <c r="K628" s="6"/>
      <c r="L628" s="6"/>
      <c r="M628" s="4">
        <v>11661718931</v>
      </c>
      <c r="N628" s="4">
        <v>19741018646</v>
      </c>
      <c r="O628" s="4"/>
      <c r="P628" s="6">
        <v>1.0395000000000001</v>
      </c>
      <c r="Q628" s="6"/>
      <c r="R628" s="6"/>
      <c r="S628" s="6">
        <v>0.44340000000000002</v>
      </c>
      <c r="T628" s="4"/>
      <c r="U628" s="6"/>
      <c r="V628" s="6"/>
      <c r="W628" s="6"/>
      <c r="X628" s="6"/>
      <c r="Y628" s="4"/>
      <c r="Z628" s="6">
        <v>0.14249999999999999</v>
      </c>
      <c r="AA628" s="4"/>
      <c r="AB628" s="4"/>
      <c r="AC628" s="4"/>
      <c r="AD628" s="6"/>
      <c r="AE628" s="4"/>
      <c r="AF628" s="4"/>
      <c r="AG628" s="4"/>
      <c r="AH628" s="4">
        <v>324844961000</v>
      </c>
    </row>
    <row r="629" spans="1:34" x14ac:dyDescent="0.25">
      <c r="A629" s="4">
        <v>628</v>
      </c>
      <c r="B629" s="5" t="s">
        <v>1373</v>
      </c>
      <c r="C629" s="5" t="s">
        <v>1374</v>
      </c>
      <c r="D629" s="5" t="s">
        <v>968</v>
      </c>
      <c r="E629" s="5" t="s">
        <v>62</v>
      </c>
      <c r="F629" s="5" t="s">
        <v>63</v>
      </c>
      <c r="G629" s="5" t="s">
        <v>656</v>
      </c>
      <c r="H629" s="4"/>
      <c r="I629" s="4"/>
      <c r="J629" s="6"/>
      <c r="K629" s="6"/>
      <c r="L629" s="6"/>
      <c r="M629" s="4"/>
      <c r="N629" s="4"/>
      <c r="O629" s="4"/>
      <c r="P629" s="6"/>
      <c r="Q629" s="6"/>
      <c r="R629" s="6"/>
      <c r="S629" s="6"/>
      <c r="T629" s="4"/>
      <c r="U629" s="6"/>
      <c r="V629" s="6"/>
      <c r="W629" s="6"/>
      <c r="X629" s="6"/>
      <c r="Y629" s="4"/>
      <c r="Z629" s="6"/>
      <c r="AA629" s="4"/>
      <c r="AB629" s="4"/>
      <c r="AC629" s="4"/>
      <c r="AD629" s="6"/>
      <c r="AE629" s="4"/>
      <c r="AF629" s="4"/>
      <c r="AG629" s="4"/>
      <c r="AH629" s="4">
        <v>92340000000</v>
      </c>
    </row>
    <row r="630" spans="1:34" x14ac:dyDescent="0.25">
      <c r="A630" s="4">
        <v>629</v>
      </c>
      <c r="B630" s="5" t="s">
        <v>1375</v>
      </c>
      <c r="C630" s="5" t="s">
        <v>1376</v>
      </c>
      <c r="D630" s="5" t="s">
        <v>968</v>
      </c>
      <c r="E630" s="5" t="s">
        <v>40</v>
      </c>
      <c r="F630" s="5" t="s">
        <v>52</v>
      </c>
      <c r="G630" s="5" t="s">
        <v>110</v>
      </c>
      <c r="H630" s="4"/>
      <c r="I630" s="4"/>
      <c r="J630" s="6"/>
      <c r="K630" s="6"/>
      <c r="L630" s="6"/>
      <c r="M630" s="4"/>
      <c r="N630" s="4"/>
      <c r="O630" s="4"/>
      <c r="P630" s="6"/>
      <c r="Q630" s="6"/>
      <c r="R630" s="6"/>
      <c r="S630" s="6"/>
      <c r="T630" s="4"/>
      <c r="U630" s="6"/>
      <c r="V630" s="6"/>
      <c r="W630" s="6"/>
      <c r="X630" s="6"/>
      <c r="Y630" s="4"/>
      <c r="Z630" s="6"/>
      <c r="AA630" s="4"/>
      <c r="AB630" s="4"/>
      <c r="AC630" s="4"/>
      <c r="AD630" s="6"/>
      <c r="AE630" s="4"/>
      <c r="AF630" s="4"/>
      <c r="AG630" s="4"/>
      <c r="AH630" s="4">
        <v>94770000000</v>
      </c>
    </row>
    <row r="631" spans="1:34" x14ac:dyDescent="0.25">
      <c r="A631" s="4">
        <v>630</v>
      </c>
      <c r="B631" s="5" t="s">
        <v>1377</v>
      </c>
      <c r="C631" s="5" t="s">
        <v>1378</v>
      </c>
      <c r="D631" s="5" t="s">
        <v>968</v>
      </c>
      <c r="E631" s="5" t="s">
        <v>75</v>
      </c>
      <c r="F631" s="5" t="s">
        <v>76</v>
      </c>
      <c r="G631" s="5" t="s">
        <v>76</v>
      </c>
      <c r="H631" s="4">
        <v>2412673883</v>
      </c>
      <c r="I631" s="4">
        <v>4874773301</v>
      </c>
      <c r="J631" s="6">
        <v>-0.49469999999999997</v>
      </c>
      <c r="K631" s="6">
        <v>-0.3301</v>
      </c>
      <c r="L631" s="6">
        <v>0.55969999999999998</v>
      </c>
      <c r="M631" s="4">
        <v>2561420660</v>
      </c>
      <c r="N631" s="4">
        <v>2673806379</v>
      </c>
      <c r="O631" s="4"/>
      <c r="P631" s="6">
        <v>3.5996999999999999</v>
      </c>
      <c r="Q631" s="6">
        <v>3.2995000000000001</v>
      </c>
      <c r="R631" s="6">
        <v>7.2697000000000003</v>
      </c>
      <c r="S631" s="6">
        <v>21.7913</v>
      </c>
      <c r="T631" s="4"/>
      <c r="U631" s="6">
        <v>-0.91879999999999995</v>
      </c>
      <c r="V631" s="6">
        <v>-0.71389999999999998</v>
      </c>
      <c r="W631" s="6">
        <v>-0.69620000000000004</v>
      </c>
      <c r="X631" s="6">
        <v>0</v>
      </c>
      <c r="Y631" s="4"/>
      <c r="Z631" s="6">
        <v>-2.01E-2</v>
      </c>
      <c r="AA631" s="4"/>
      <c r="AB631" s="4"/>
      <c r="AC631" s="4"/>
      <c r="AD631" s="6">
        <v>0</v>
      </c>
      <c r="AE631" s="4"/>
      <c r="AF631" s="4"/>
      <c r="AG631" s="4"/>
      <c r="AH631" s="4">
        <v>161485150400</v>
      </c>
    </row>
    <row r="632" spans="1:34" x14ac:dyDescent="0.25">
      <c r="A632" s="4">
        <v>631</v>
      </c>
      <c r="B632" s="5" t="s">
        <v>1379</v>
      </c>
      <c r="C632" s="5" t="s">
        <v>1380</v>
      </c>
      <c r="D632" s="5" t="s">
        <v>968</v>
      </c>
      <c r="E632" s="5" t="s">
        <v>40</v>
      </c>
      <c r="F632" s="5" t="s">
        <v>52</v>
      </c>
      <c r="G632" s="5" t="s">
        <v>110</v>
      </c>
      <c r="H632" s="4"/>
      <c r="I632" s="4"/>
      <c r="J632" s="6"/>
      <c r="K632" s="6"/>
      <c r="L632" s="6"/>
      <c r="M632" s="4"/>
      <c r="N632" s="4"/>
      <c r="O632" s="4"/>
      <c r="P632" s="6"/>
      <c r="Q632" s="6"/>
      <c r="R632" s="6"/>
      <c r="S632" s="6"/>
      <c r="T632" s="4"/>
      <c r="U632" s="6"/>
      <c r="V632" s="6"/>
      <c r="W632" s="6"/>
      <c r="X632" s="6"/>
      <c r="Y632" s="4"/>
      <c r="Z632" s="6"/>
      <c r="AA632" s="4"/>
      <c r="AB632" s="4"/>
      <c r="AC632" s="4"/>
      <c r="AD632" s="6"/>
      <c r="AE632" s="4"/>
      <c r="AF632" s="4"/>
      <c r="AG632" s="4"/>
      <c r="AH632" s="4">
        <v>659000000000</v>
      </c>
    </row>
    <row r="633" spans="1:34" x14ac:dyDescent="0.25">
      <c r="A633" s="4">
        <v>632</v>
      </c>
      <c r="B633" s="5" t="s">
        <v>1381</v>
      </c>
      <c r="C633" s="5" t="s">
        <v>1382</v>
      </c>
      <c r="D633" s="5" t="s">
        <v>968</v>
      </c>
      <c r="E633" s="5" t="s">
        <v>40</v>
      </c>
      <c r="F633" s="5" t="s">
        <v>52</v>
      </c>
      <c r="G633" s="5" t="s">
        <v>110</v>
      </c>
      <c r="H633" s="4"/>
      <c r="I633" s="4"/>
      <c r="J633" s="6"/>
      <c r="K633" s="6"/>
      <c r="L633" s="6"/>
      <c r="M633" s="4"/>
      <c r="N633" s="4"/>
      <c r="O633" s="4"/>
      <c r="P633" s="6"/>
      <c r="Q633" s="6"/>
      <c r="R633" s="6"/>
      <c r="S633" s="6"/>
      <c r="T633" s="4"/>
      <c r="U633" s="6"/>
      <c r="V633" s="6"/>
      <c r="W633" s="6"/>
      <c r="X633" s="6"/>
      <c r="Y633" s="4"/>
      <c r="Z633" s="6"/>
      <c r="AA633" s="4"/>
      <c r="AB633" s="4"/>
      <c r="AC633" s="4"/>
      <c r="AD633" s="6"/>
      <c r="AE633" s="4"/>
      <c r="AF633" s="4"/>
      <c r="AG633" s="4"/>
      <c r="AH633" s="4">
        <v>848223835200</v>
      </c>
    </row>
    <row r="634" spans="1:34" x14ac:dyDescent="0.25">
      <c r="A634" s="4">
        <v>633</v>
      </c>
      <c r="B634" s="5" t="s">
        <v>1383</v>
      </c>
      <c r="C634" s="5" t="s">
        <v>1384</v>
      </c>
      <c r="D634" s="5" t="s">
        <v>968</v>
      </c>
      <c r="E634" s="5" t="s">
        <v>29</v>
      </c>
      <c r="F634" s="5" t="s">
        <v>30</v>
      </c>
      <c r="G634" s="5" t="s">
        <v>83</v>
      </c>
      <c r="H634" s="4">
        <v>177592487577</v>
      </c>
      <c r="I634" s="4">
        <v>369471704322</v>
      </c>
      <c r="J634" s="6">
        <v>-6.5699999999999995E-2</v>
      </c>
      <c r="K634" s="6">
        <v>1.38E-2</v>
      </c>
      <c r="L634" s="6">
        <v>3.44E-2</v>
      </c>
      <c r="M634" s="4">
        <v>11919388810</v>
      </c>
      <c r="N634" s="4">
        <v>24395396753</v>
      </c>
      <c r="O634" s="4"/>
      <c r="P634" s="6">
        <v>-9.7000000000000003E-3</v>
      </c>
      <c r="Q634" s="6">
        <v>-2.3999999999999998E-3</v>
      </c>
      <c r="R634" s="6">
        <v>-8.0000000000000004E-4</v>
      </c>
      <c r="S634" s="6">
        <v>-4.4600000000000001E-2</v>
      </c>
      <c r="T634" s="4"/>
      <c r="U634" s="6">
        <v>-0.50739999999999996</v>
      </c>
      <c r="V634" s="6">
        <v>-0.49890000000000001</v>
      </c>
      <c r="W634" s="6">
        <v>-0.50209999999999999</v>
      </c>
      <c r="X634" s="6">
        <v>5.45E-2</v>
      </c>
      <c r="Y634" s="4"/>
      <c r="Z634" s="6">
        <v>-7.4499999999999997E-2</v>
      </c>
      <c r="AA634" s="4"/>
      <c r="AB634" s="4"/>
      <c r="AC634" s="4"/>
      <c r="AD634" s="6">
        <v>0</v>
      </c>
      <c r="AE634" s="4"/>
      <c r="AF634" s="4"/>
      <c r="AG634" s="4"/>
      <c r="AH634" s="4">
        <v>662562450000</v>
      </c>
    </row>
    <row r="635" spans="1:34" x14ac:dyDescent="0.25">
      <c r="A635" s="4">
        <v>634</v>
      </c>
      <c r="B635" s="5" t="s">
        <v>1385</v>
      </c>
      <c r="C635" s="5" t="s">
        <v>1386</v>
      </c>
      <c r="D635" s="5" t="s">
        <v>968</v>
      </c>
      <c r="E635" s="5" t="s">
        <v>40</v>
      </c>
      <c r="F635" s="5" t="s">
        <v>52</v>
      </c>
      <c r="G635" s="5" t="s">
        <v>110</v>
      </c>
      <c r="H635" s="4"/>
      <c r="I635" s="4"/>
      <c r="J635" s="6"/>
      <c r="K635" s="6"/>
      <c r="L635" s="6"/>
      <c r="M635" s="4"/>
      <c r="N635" s="4"/>
      <c r="O635" s="4"/>
      <c r="P635" s="6"/>
      <c r="Q635" s="6"/>
      <c r="R635" s="6"/>
      <c r="S635" s="6"/>
      <c r="T635" s="4"/>
      <c r="U635" s="6"/>
      <c r="V635" s="6"/>
      <c r="W635" s="6"/>
      <c r="X635" s="6"/>
      <c r="Y635" s="4"/>
      <c r="Z635" s="6"/>
      <c r="AA635" s="4"/>
      <c r="AB635" s="4"/>
      <c r="AC635" s="4"/>
      <c r="AD635" s="6"/>
      <c r="AE635" s="4"/>
      <c r="AF635" s="4"/>
      <c r="AG635" s="4"/>
      <c r="AH635" s="4">
        <v>5151000000000</v>
      </c>
    </row>
    <row r="636" spans="1:34" x14ac:dyDescent="0.25">
      <c r="A636" s="4">
        <v>635</v>
      </c>
      <c r="B636" s="5" t="s">
        <v>1387</v>
      </c>
      <c r="C636" s="5" t="s">
        <v>1388</v>
      </c>
      <c r="D636" s="5" t="s">
        <v>968</v>
      </c>
      <c r="E636" s="5" t="s">
        <v>40</v>
      </c>
      <c r="F636" s="5" t="s">
        <v>52</v>
      </c>
      <c r="G636" s="5" t="s">
        <v>110</v>
      </c>
      <c r="H636" s="4"/>
      <c r="I636" s="4"/>
      <c r="J636" s="6"/>
      <c r="K636" s="6"/>
      <c r="L636" s="6"/>
      <c r="M636" s="4"/>
      <c r="N636" s="4"/>
      <c r="O636" s="4"/>
      <c r="P636" s="6"/>
      <c r="Q636" s="6"/>
      <c r="R636" s="6"/>
      <c r="S636" s="6"/>
      <c r="T636" s="4"/>
      <c r="U636" s="6"/>
      <c r="V636" s="6"/>
      <c r="W636" s="6"/>
      <c r="X636" s="6"/>
      <c r="Y636" s="4"/>
      <c r="Z636" s="6"/>
      <c r="AA636" s="4"/>
      <c r="AB636" s="4"/>
      <c r="AC636" s="4"/>
      <c r="AD636" s="6"/>
      <c r="AE636" s="4"/>
      <c r="AF636" s="4"/>
      <c r="AG636" s="4"/>
      <c r="AH636" s="4">
        <v>445200000000</v>
      </c>
    </row>
    <row r="637" spans="1:34" x14ac:dyDescent="0.25">
      <c r="A637" s="4">
        <v>636</v>
      </c>
      <c r="B637" s="5" t="s">
        <v>1389</v>
      </c>
      <c r="C637" s="5" t="s">
        <v>1390</v>
      </c>
      <c r="D637" s="5" t="s">
        <v>968</v>
      </c>
      <c r="E637" s="5" t="s">
        <v>40</v>
      </c>
      <c r="F637" s="5" t="s">
        <v>52</v>
      </c>
      <c r="G637" s="5" t="s">
        <v>110</v>
      </c>
      <c r="H637" s="4"/>
      <c r="I637" s="4"/>
      <c r="J637" s="6"/>
      <c r="K637" s="6"/>
      <c r="L637" s="6"/>
      <c r="M637" s="4"/>
      <c r="N637" s="4"/>
      <c r="O637" s="4"/>
      <c r="P637" s="6"/>
      <c r="Q637" s="6"/>
      <c r="R637" s="6"/>
      <c r="S637" s="6"/>
      <c r="T637" s="4"/>
      <c r="U637" s="6"/>
      <c r="V637" s="6"/>
      <c r="W637" s="6"/>
      <c r="X637" s="6"/>
      <c r="Y637" s="4"/>
      <c r="Z637" s="6"/>
      <c r="AA637" s="4"/>
      <c r="AB637" s="4"/>
      <c r="AC637" s="4"/>
      <c r="AD637" s="6"/>
      <c r="AE637" s="4"/>
      <c r="AF637" s="4"/>
      <c r="AG637" s="4"/>
      <c r="AH637" s="4">
        <v>179398951200</v>
      </c>
    </row>
    <row r="638" spans="1:34" x14ac:dyDescent="0.25">
      <c r="A638" s="4">
        <v>637</v>
      </c>
      <c r="B638" s="5" t="s">
        <v>1391</v>
      </c>
      <c r="C638" s="5" t="s">
        <v>1392</v>
      </c>
      <c r="D638" s="5" t="s">
        <v>968</v>
      </c>
      <c r="E638" s="5" t="s">
        <v>40</v>
      </c>
      <c r="F638" s="5" t="s">
        <v>52</v>
      </c>
      <c r="G638" s="5" t="s">
        <v>110</v>
      </c>
      <c r="H638" s="4"/>
      <c r="I638" s="4"/>
      <c r="J638" s="6"/>
      <c r="K638" s="6"/>
      <c r="L638" s="6"/>
      <c r="M638" s="4"/>
      <c r="N638" s="4"/>
      <c r="O638" s="4"/>
      <c r="P638" s="6"/>
      <c r="Q638" s="6"/>
      <c r="R638" s="6"/>
      <c r="S638" s="6"/>
      <c r="T638" s="4"/>
      <c r="U638" s="6"/>
      <c r="V638" s="6"/>
      <c r="W638" s="6"/>
      <c r="X638" s="6"/>
      <c r="Y638" s="4"/>
      <c r="Z638" s="6"/>
      <c r="AA638" s="4"/>
      <c r="AB638" s="4"/>
      <c r="AC638" s="4"/>
      <c r="AD638" s="6"/>
      <c r="AE638" s="4"/>
      <c r="AF638" s="4"/>
      <c r="AG638" s="4"/>
      <c r="AH638" s="4">
        <v>342340000000</v>
      </c>
    </row>
    <row r="639" spans="1:34" x14ac:dyDescent="0.25">
      <c r="A639" s="4">
        <v>638</v>
      </c>
      <c r="B639" s="5" t="s">
        <v>1393</v>
      </c>
      <c r="C639" s="5" t="s">
        <v>1394</v>
      </c>
      <c r="D639" s="5" t="s">
        <v>968</v>
      </c>
      <c r="E639" s="5" t="s">
        <v>40</v>
      </c>
      <c r="F639" s="5" t="s">
        <v>41</v>
      </c>
      <c r="G639" s="5" t="s">
        <v>42</v>
      </c>
      <c r="H639" s="4">
        <v>18500193617</v>
      </c>
      <c r="I639" s="4">
        <v>35004832340</v>
      </c>
      <c r="J639" s="6">
        <v>0.185</v>
      </c>
      <c r="K639" s="6">
        <v>0.35959999999999998</v>
      </c>
      <c r="L639" s="6">
        <v>0.32740000000000002</v>
      </c>
      <c r="M639" s="4">
        <v>535746878</v>
      </c>
      <c r="N639" s="4">
        <v>1052148975</v>
      </c>
      <c r="O639" s="4"/>
      <c r="P639" s="6">
        <v>0.35849999999999999</v>
      </c>
      <c r="Q639" s="6">
        <v>0.51429999999999998</v>
      </c>
      <c r="R639" s="6">
        <v>1.6138999999999999</v>
      </c>
      <c r="S639" s="6">
        <v>1.7500000000000002E-2</v>
      </c>
      <c r="T639" s="4"/>
      <c r="U639" s="6">
        <v>-0.53039999999999998</v>
      </c>
      <c r="V639" s="6">
        <v>-0.56269999999999998</v>
      </c>
      <c r="W639" s="6">
        <v>-0.56140000000000001</v>
      </c>
      <c r="X639" s="6">
        <v>0</v>
      </c>
      <c r="Y639" s="4"/>
      <c r="Z639" s="6">
        <v>0.12089999999999999</v>
      </c>
      <c r="AA639" s="4"/>
      <c r="AB639" s="4"/>
      <c r="AC639" s="4"/>
      <c r="AD639" s="6">
        <v>0</v>
      </c>
      <c r="AE639" s="4"/>
      <c r="AF639" s="4"/>
      <c r="AG639" s="4"/>
      <c r="AH639" s="4">
        <v>20885527200</v>
      </c>
    </row>
    <row r="640" spans="1:34" x14ac:dyDescent="0.25">
      <c r="A640" s="4">
        <v>639</v>
      </c>
      <c r="B640" s="5" t="s">
        <v>1395</v>
      </c>
      <c r="C640" s="5" t="s">
        <v>1396</v>
      </c>
      <c r="D640" s="5" t="s">
        <v>968</v>
      </c>
      <c r="E640" s="5" t="s">
        <v>40</v>
      </c>
      <c r="F640" s="5" t="s">
        <v>41</v>
      </c>
      <c r="G640" s="5" t="s">
        <v>90</v>
      </c>
      <c r="H640" s="4"/>
      <c r="I640" s="4"/>
      <c r="J640" s="6"/>
      <c r="K640" s="6"/>
      <c r="L640" s="6"/>
      <c r="M640" s="4"/>
      <c r="N640" s="4"/>
      <c r="O640" s="4"/>
      <c r="P640" s="6"/>
      <c r="Q640" s="6"/>
      <c r="R640" s="6"/>
      <c r="S640" s="6"/>
      <c r="T640" s="4"/>
      <c r="U640" s="6"/>
      <c r="V640" s="6"/>
      <c r="W640" s="6"/>
      <c r="X640" s="6"/>
      <c r="Y640" s="4"/>
      <c r="Z640" s="6"/>
      <c r="AA640" s="4"/>
      <c r="AB640" s="4"/>
      <c r="AC640" s="4"/>
      <c r="AD640" s="6"/>
      <c r="AE640" s="4"/>
      <c r="AF640" s="4"/>
      <c r="AG640" s="4"/>
      <c r="AH640" s="4">
        <v>100385970300</v>
      </c>
    </row>
    <row r="641" spans="1:34" x14ac:dyDescent="0.25">
      <c r="A641" s="4">
        <v>640</v>
      </c>
      <c r="B641" s="5" t="s">
        <v>1397</v>
      </c>
      <c r="C641" s="5" t="s">
        <v>1398</v>
      </c>
      <c r="D641" s="5" t="s">
        <v>968</v>
      </c>
      <c r="E641" s="5" t="s">
        <v>40</v>
      </c>
      <c r="F641" s="5" t="s">
        <v>52</v>
      </c>
      <c r="G641" s="5" t="s">
        <v>53</v>
      </c>
      <c r="H641" s="4">
        <v>28462203886</v>
      </c>
      <c r="I641" s="4"/>
      <c r="J641" s="6">
        <v>2.4899999999999999E-2</v>
      </c>
      <c r="K641" s="6">
        <v>4.0800000000000003E-2</v>
      </c>
      <c r="L641" s="6">
        <v>-2.5399999999999999E-2</v>
      </c>
      <c r="M641" s="4">
        <v>445164219</v>
      </c>
      <c r="N641" s="4"/>
      <c r="O641" s="4"/>
      <c r="P641" s="6">
        <v>-0.83599999999999997</v>
      </c>
      <c r="Q641" s="6">
        <v>3.7000000000000002E-3</v>
      </c>
      <c r="R641" s="6">
        <v>-0.3861</v>
      </c>
      <c r="S641" s="6">
        <v>-0.90390000000000004</v>
      </c>
      <c r="T641" s="4"/>
      <c r="U641" s="6">
        <v>-0.49249999999999999</v>
      </c>
      <c r="V641" s="6">
        <v>0.61240000000000006</v>
      </c>
      <c r="W641" s="6">
        <v>0.58689999999999998</v>
      </c>
      <c r="X641" s="6">
        <v>2.7799999999999998E-2</v>
      </c>
      <c r="Y641" s="4"/>
      <c r="Z641" s="6">
        <v>5.0900000000000001E-2</v>
      </c>
      <c r="AA641" s="4"/>
      <c r="AB641" s="4"/>
      <c r="AC641" s="4"/>
      <c r="AD641" s="6">
        <v>0</v>
      </c>
      <c r="AE641" s="4"/>
      <c r="AF641" s="4"/>
      <c r="AG641" s="4"/>
      <c r="AH641" s="4">
        <v>54655848000</v>
      </c>
    </row>
    <row r="642" spans="1:34" x14ac:dyDescent="0.25">
      <c r="A642" s="4">
        <v>641</v>
      </c>
      <c r="B642" s="5" t="s">
        <v>1399</v>
      </c>
      <c r="C642" s="5" t="s">
        <v>1400</v>
      </c>
      <c r="D642" s="5" t="s">
        <v>968</v>
      </c>
      <c r="E642" s="5" t="s">
        <v>40</v>
      </c>
      <c r="F642" s="5" t="s">
        <v>52</v>
      </c>
      <c r="G642" s="5" t="s">
        <v>110</v>
      </c>
      <c r="H642" s="4"/>
      <c r="I642" s="4"/>
      <c r="J642" s="6"/>
      <c r="K642" s="6"/>
      <c r="L642" s="6"/>
      <c r="M642" s="4"/>
      <c r="N642" s="4"/>
      <c r="O642" s="4"/>
      <c r="P642" s="6"/>
      <c r="Q642" s="6"/>
      <c r="R642" s="6"/>
      <c r="S642" s="6"/>
      <c r="T642" s="4"/>
      <c r="U642" s="6"/>
      <c r="V642" s="6"/>
      <c r="W642" s="6"/>
      <c r="X642" s="6"/>
      <c r="Y642" s="4"/>
      <c r="Z642" s="6"/>
      <c r="AA642" s="4"/>
      <c r="AB642" s="4"/>
      <c r="AC642" s="4"/>
      <c r="AD642" s="6"/>
      <c r="AE642" s="4"/>
      <c r="AF642" s="4"/>
      <c r="AG642" s="4"/>
      <c r="AH642" s="4">
        <v>132000000000</v>
      </c>
    </row>
    <row r="643" spans="1:34" x14ac:dyDescent="0.25">
      <c r="A643" s="4">
        <v>642</v>
      </c>
      <c r="B643" s="5" t="s">
        <v>1401</v>
      </c>
      <c r="C643" s="5" t="s">
        <v>1402</v>
      </c>
      <c r="D643" s="5" t="s">
        <v>968</v>
      </c>
      <c r="E643" s="5" t="s">
        <v>98</v>
      </c>
      <c r="F643" s="5" t="s">
        <v>99</v>
      </c>
      <c r="G643" s="5" t="s">
        <v>144</v>
      </c>
      <c r="H643" s="4"/>
      <c r="I643" s="4"/>
      <c r="J643" s="6"/>
      <c r="K643" s="6"/>
      <c r="L643" s="6"/>
      <c r="M643" s="4"/>
      <c r="N643" s="4"/>
      <c r="O643" s="4"/>
      <c r="P643" s="6"/>
      <c r="Q643" s="6"/>
      <c r="R643" s="6"/>
      <c r="S643" s="6"/>
      <c r="T643" s="4"/>
      <c r="U643" s="6"/>
      <c r="V643" s="6"/>
      <c r="W643" s="6"/>
      <c r="X643" s="6"/>
      <c r="Y643" s="4"/>
      <c r="Z643" s="6"/>
      <c r="AA643" s="4"/>
      <c r="AB643" s="4"/>
      <c r="AC643" s="4"/>
      <c r="AD643" s="6"/>
      <c r="AE643" s="4"/>
      <c r="AF643" s="4"/>
      <c r="AG643" s="4"/>
      <c r="AH643" s="4">
        <v>1212798825100</v>
      </c>
    </row>
    <row r="644" spans="1:34" x14ac:dyDescent="0.25">
      <c r="A644" s="4">
        <v>643</v>
      </c>
      <c r="B644" s="5" t="s">
        <v>1403</v>
      </c>
      <c r="C644" s="5" t="s">
        <v>1404</v>
      </c>
      <c r="D644" s="5" t="s">
        <v>968</v>
      </c>
      <c r="E644" s="5" t="s">
        <v>62</v>
      </c>
      <c r="F644" s="5" t="s">
        <v>63</v>
      </c>
      <c r="G644" s="5" t="s">
        <v>656</v>
      </c>
      <c r="H644" s="4">
        <v>810180691912</v>
      </c>
      <c r="I644" s="4">
        <v>857910668102</v>
      </c>
      <c r="J644" s="6">
        <v>0.19989999999999999</v>
      </c>
      <c r="K644" s="6"/>
      <c r="L644" s="6"/>
      <c r="M644" s="4">
        <v>19175581548</v>
      </c>
      <c r="N644" s="4">
        <v>21162661380</v>
      </c>
      <c r="O644" s="4"/>
      <c r="P644" s="6">
        <v>-0.22739999999999999</v>
      </c>
      <c r="Q644" s="6"/>
      <c r="R644" s="6"/>
      <c r="S644" s="6">
        <v>8.6501000000000001</v>
      </c>
      <c r="T644" s="4"/>
      <c r="U644" s="6"/>
      <c r="V644" s="6"/>
      <c r="W644" s="6"/>
      <c r="X644" s="6"/>
      <c r="Y644" s="4"/>
      <c r="Z644" s="6">
        <v>15.974299999999999</v>
      </c>
      <c r="AA644" s="4"/>
      <c r="AB644" s="4"/>
      <c r="AC644" s="4"/>
      <c r="AD644" s="6"/>
      <c r="AE644" s="4"/>
      <c r="AF644" s="4"/>
      <c r="AG644" s="4"/>
      <c r="AH644" s="4">
        <v>140004180000</v>
      </c>
    </row>
    <row r="645" spans="1:34" x14ac:dyDescent="0.25">
      <c r="A645" s="4">
        <v>644</v>
      </c>
      <c r="B645" s="5" t="s">
        <v>1405</v>
      </c>
      <c r="C645" s="5" t="s">
        <v>1406</v>
      </c>
      <c r="D645" s="5" t="s">
        <v>968</v>
      </c>
      <c r="E645" s="5" t="s">
        <v>40</v>
      </c>
      <c r="F645" s="5" t="s">
        <v>41</v>
      </c>
      <c r="G645" s="5" t="s">
        <v>983</v>
      </c>
      <c r="H645" s="4">
        <v>32470550799</v>
      </c>
      <c r="I645" s="4">
        <v>65850908428</v>
      </c>
      <c r="J645" s="6">
        <v>-0.159</v>
      </c>
      <c r="K645" s="6">
        <v>-9.3700000000000006E-2</v>
      </c>
      <c r="L645" s="6">
        <v>-5.5800000000000002E-2</v>
      </c>
      <c r="M645" s="4">
        <v>2660478455</v>
      </c>
      <c r="N645" s="4">
        <v>4090951940</v>
      </c>
      <c r="O645" s="4"/>
      <c r="P645" s="6">
        <v>-9.9900000000000003E-2</v>
      </c>
      <c r="Q645" s="6">
        <v>-0.17929999999999999</v>
      </c>
      <c r="R645" s="6">
        <v>4.6600000000000003E-2</v>
      </c>
      <c r="S645" s="6">
        <v>0.8599</v>
      </c>
      <c r="T645" s="4"/>
      <c r="U645" s="6">
        <v>-0.54879999999999995</v>
      </c>
      <c r="V645" s="6">
        <v>0.25540000000000002</v>
      </c>
      <c r="W645" s="6">
        <v>0.2427</v>
      </c>
      <c r="X645" s="6">
        <v>0</v>
      </c>
      <c r="Y645" s="4"/>
      <c r="Z645" s="6">
        <v>-2.7300000000000001E-2</v>
      </c>
      <c r="AA645" s="4"/>
      <c r="AB645" s="4"/>
      <c r="AC645" s="4"/>
      <c r="AD645" s="6">
        <v>0</v>
      </c>
      <c r="AE645" s="4"/>
      <c r="AF645" s="4"/>
      <c r="AG645" s="4"/>
      <c r="AH645" s="4">
        <v>43821495000</v>
      </c>
    </row>
    <row r="646" spans="1:34" x14ac:dyDescent="0.25">
      <c r="A646" s="4">
        <v>645</v>
      </c>
      <c r="B646" s="5" t="s">
        <v>1407</v>
      </c>
      <c r="C646" s="5" t="s">
        <v>1408</v>
      </c>
      <c r="D646" s="5" t="s">
        <v>968</v>
      </c>
      <c r="E646" s="5" t="s">
        <v>29</v>
      </c>
      <c r="F646" s="5" t="s">
        <v>30</v>
      </c>
      <c r="G646" s="5" t="s">
        <v>83</v>
      </c>
      <c r="H646" s="4"/>
      <c r="I646" s="4"/>
      <c r="J646" s="6"/>
      <c r="K646" s="6"/>
      <c r="L646" s="6"/>
      <c r="M646" s="4"/>
      <c r="N646" s="4"/>
      <c r="O646" s="4"/>
      <c r="P646" s="6"/>
      <c r="Q646" s="6"/>
      <c r="R646" s="6"/>
      <c r="S646" s="6"/>
      <c r="T646" s="4"/>
      <c r="U646" s="6"/>
      <c r="V646" s="6"/>
      <c r="W646" s="6"/>
      <c r="X646" s="6"/>
      <c r="Y646" s="4"/>
      <c r="Z646" s="6"/>
      <c r="AA646" s="4"/>
      <c r="AB646" s="4"/>
      <c r="AC646" s="4"/>
      <c r="AD646" s="6"/>
      <c r="AE646" s="4"/>
      <c r="AF646" s="4"/>
      <c r="AG646" s="4"/>
      <c r="AH646" s="4">
        <v>757643480000</v>
      </c>
    </row>
    <row r="647" spans="1:34" x14ac:dyDescent="0.25">
      <c r="A647" s="4">
        <v>646</v>
      </c>
      <c r="B647" s="5" t="s">
        <v>1409</v>
      </c>
      <c r="C647" s="5" t="s">
        <v>1410</v>
      </c>
      <c r="D647" s="5" t="s">
        <v>968</v>
      </c>
      <c r="E647" s="5" t="s">
        <v>62</v>
      </c>
      <c r="F647" s="5" t="s">
        <v>63</v>
      </c>
      <c r="G647" s="5" t="s">
        <v>656</v>
      </c>
      <c r="H647" s="4"/>
      <c r="I647" s="4"/>
      <c r="J647" s="6"/>
      <c r="K647" s="6"/>
      <c r="L647" s="6"/>
      <c r="M647" s="4"/>
      <c r="N647" s="4"/>
      <c r="O647" s="4"/>
      <c r="P647" s="6"/>
      <c r="Q647" s="6"/>
      <c r="R647" s="6"/>
      <c r="S647" s="6"/>
      <c r="T647" s="4"/>
      <c r="U647" s="6"/>
      <c r="V647" s="6"/>
      <c r="W647" s="6"/>
      <c r="X647" s="6"/>
      <c r="Y647" s="4"/>
      <c r="Z647" s="6"/>
      <c r="AA647" s="4"/>
      <c r="AB647" s="4"/>
      <c r="AC647" s="4"/>
      <c r="AD647" s="6"/>
      <c r="AE647" s="4"/>
      <c r="AF647" s="4"/>
      <c r="AG647" s="4"/>
      <c r="AH647" s="4">
        <v>72774000000</v>
      </c>
    </row>
    <row r="648" spans="1:34" x14ac:dyDescent="0.25">
      <c r="A648" s="4">
        <v>647</v>
      </c>
      <c r="B648" s="5" t="s">
        <v>1411</v>
      </c>
      <c r="C648" s="5" t="s">
        <v>1412</v>
      </c>
      <c r="D648" s="5" t="s">
        <v>968</v>
      </c>
      <c r="E648" s="5" t="s">
        <v>62</v>
      </c>
      <c r="F648" s="5" t="s">
        <v>226</v>
      </c>
      <c r="G648" s="5" t="s">
        <v>227</v>
      </c>
      <c r="H648" s="4">
        <v>12727844840</v>
      </c>
      <c r="I648" s="4">
        <v>25620791701</v>
      </c>
      <c r="J648" s="6">
        <v>2.9100000000000001E-2</v>
      </c>
      <c r="K648" s="6">
        <v>4.3900000000000002E-2</v>
      </c>
      <c r="L648" s="6">
        <v>1.8700000000000001E-2</v>
      </c>
      <c r="M648" s="4">
        <v>3690640308</v>
      </c>
      <c r="N648" s="4">
        <v>8969681035</v>
      </c>
      <c r="O648" s="4"/>
      <c r="P648" s="6">
        <v>0.34789999999999999</v>
      </c>
      <c r="Q648" s="6">
        <v>0.20300000000000001</v>
      </c>
      <c r="R648" s="6">
        <v>0.42799999999999999</v>
      </c>
      <c r="S648" s="6">
        <v>-0.30099999999999999</v>
      </c>
      <c r="T648" s="4"/>
      <c r="U648" s="6">
        <v>-0.50349999999999995</v>
      </c>
      <c r="V648" s="6">
        <v>-0.43209999999999998</v>
      </c>
      <c r="W648" s="6">
        <v>-0.43230000000000002</v>
      </c>
      <c r="X648" s="6">
        <v>5.6500000000000002E-2</v>
      </c>
      <c r="Y648" s="4"/>
      <c r="Z648" s="6">
        <v>-1.2800000000000001E-2</v>
      </c>
      <c r="AA648" s="4"/>
      <c r="AB648" s="4"/>
      <c r="AC648" s="4"/>
      <c r="AD648" s="6">
        <v>0</v>
      </c>
      <c r="AE648" s="4"/>
      <c r="AF648" s="4"/>
      <c r="AG648" s="4"/>
      <c r="AH648" s="4">
        <v>218844570000</v>
      </c>
    </row>
    <row r="649" spans="1:34" x14ac:dyDescent="0.25">
      <c r="A649" s="4">
        <v>648</v>
      </c>
      <c r="B649" s="5" t="s">
        <v>1413</v>
      </c>
      <c r="C649" s="5" t="s">
        <v>1414</v>
      </c>
      <c r="D649" s="5" t="s">
        <v>968</v>
      </c>
      <c r="E649" s="5" t="s">
        <v>29</v>
      </c>
      <c r="F649" s="5" t="s">
        <v>36</v>
      </c>
      <c r="G649" s="5" t="s">
        <v>1188</v>
      </c>
      <c r="H649" s="4"/>
      <c r="I649" s="4"/>
      <c r="J649" s="6"/>
      <c r="K649" s="6"/>
      <c r="L649" s="6"/>
      <c r="M649" s="4"/>
      <c r="N649" s="4"/>
      <c r="O649" s="4"/>
      <c r="P649" s="6"/>
      <c r="Q649" s="6"/>
      <c r="R649" s="6"/>
      <c r="S649" s="6"/>
      <c r="T649" s="4"/>
      <c r="U649" s="6"/>
      <c r="V649" s="6"/>
      <c r="W649" s="6"/>
      <c r="X649" s="6"/>
      <c r="Y649" s="4"/>
      <c r="Z649" s="6"/>
      <c r="AA649" s="4"/>
      <c r="AB649" s="4"/>
      <c r="AC649" s="4"/>
      <c r="AD649" s="6"/>
      <c r="AE649" s="4"/>
      <c r="AF649" s="4"/>
      <c r="AG649" s="4"/>
      <c r="AH649" s="4">
        <v>487529392500</v>
      </c>
    </row>
    <row r="650" spans="1:34" x14ac:dyDescent="0.25">
      <c r="A650" s="4">
        <v>649</v>
      </c>
      <c r="B650" s="5" t="s">
        <v>1415</v>
      </c>
      <c r="C650" s="5" t="s">
        <v>1416</v>
      </c>
      <c r="D650" s="5" t="s">
        <v>968</v>
      </c>
      <c r="E650" s="5" t="s">
        <v>24</v>
      </c>
      <c r="F650" s="5" t="s">
        <v>56</v>
      </c>
      <c r="G650" s="5" t="s">
        <v>1044</v>
      </c>
      <c r="H650" s="4"/>
      <c r="I650" s="4"/>
      <c r="J650" s="6"/>
      <c r="K650" s="6"/>
      <c r="L650" s="6"/>
      <c r="M650" s="4"/>
      <c r="N650" s="4"/>
      <c r="O650" s="4"/>
      <c r="P650" s="6"/>
      <c r="Q650" s="6"/>
      <c r="R650" s="6"/>
      <c r="S650" s="6"/>
      <c r="T650" s="4"/>
      <c r="U650" s="6"/>
      <c r="V650" s="6"/>
      <c r="W650" s="6"/>
      <c r="X650" s="6"/>
      <c r="Y650" s="4"/>
      <c r="Z650" s="6"/>
      <c r="AA650" s="4"/>
      <c r="AB650" s="4"/>
      <c r="AC650" s="4"/>
      <c r="AD650" s="6"/>
      <c r="AE650" s="4"/>
      <c r="AF650" s="4"/>
      <c r="AG650" s="4"/>
      <c r="AH650" s="4">
        <v>1231267896500</v>
      </c>
    </row>
    <row r="651" spans="1:34" x14ac:dyDescent="0.25">
      <c r="A651" s="4">
        <v>650</v>
      </c>
      <c r="B651" s="5" t="s">
        <v>1417</v>
      </c>
      <c r="C651" s="5" t="s">
        <v>1418</v>
      </c>
      <c r="D651" s="5" t="s">
        <v>968</v>
      </c>
      <c r="E651" s="5" t="s">
        <v>75</v>
      </c>
      <c r="F651" s="5" t="s">
        <v>79</v>
      </c>
      <c r="G651" s="5" t="s">
        <v>80</v>
      </c>
      <c r="H651" s="4">
        <v>450339589586</v>
      </c>
      <c r="I651" s="4">
        <v>1015037906522</v>
      </c>
      <c r="J651" s="6">
        <v>-0.35099999999999998</v>
      </c>
      <c r="K651" s="6">
        <v>-0.1915</v>
      </c>
      <c r="L651" s="6">
        <v>0.44590000000000002</v>
      </c>
      <c r="M651" s="4">
        <v>75774982473</v>
      </c>
      <c r="N651" s="4">
        <v>307599146389</v>
      </c>
      <c r="O651" s="4"/>
      <c r="P651" s="6">
        <v>-0.80200000000000005</v>
      </c>
      <c r="Q651" s="6">
        <v>-0.52349999999999997</v>
      </c>
      <c r="R651" s="6">
        <v>-0.4017</v>
      </c>
      <c r="S651" s="6">
        <v>-0.67310000000000003</v>
      </c>
      <c r="T651" s="4"/>
      <c r="U651" s="6">
        <v>-0.72850000000000004</v>
      </c>
      <c r="V651" s="6">
        <v>-0.78480000000000005</v>
      </c>
      <c r="W651" s="6">
        <v>-0.7762</v>
      </c>
      <c r="X651" s="6">
        <v>0</v>
      </c>
      <c r="Y651" s="4"/>
      <c r="Z651" s="6">
        <v>-0.20250000000000001</v>
      </c>
      <c r="AA651" s="4"/>
      <c r="AB651" s="4"/>
      <c r="AC651" s="4"/>
      <c r="AD651" s="6">
        <v>0</v>
      </c>
      <c r="AE651" s="4"/>
      <c r="AF651" s="4"/>
      <c r="AG651" s="4"/>
      <c r="AH651" s="4">
        <v>13851718188000</v>
      </c>
    </row>
    <row r="652" spans="1:34" x14ac:dyDescent="0.25">
      <c r="A652" s="4">
        <v>651</v>
      </c>
      <c r="B652" s="5" t="s">
        <v>1419</v>
      </c>
      <c r="C652" s="5" t="s">
        <v>1420</v>
      </c>
      <c r="D652" s="5" t="s">
        <v>968</v>
      </c>
      <c r="E652" s="5" t="s">
        <v>29</v>
      </c>
      <c r="F652" s="5" t="s">
        <v>30</v>
      </c>
      <c r="G652" s="5" t="s">
        <v>31</v>
      </c>
      <c r="H652" s="4"/>
      <c r="I652" s="4"/>
      <c r="J652" s="6"/>
      <c r="K652" s="6"/>
      <c r="L652" s="6"/>
      <c r="M652" s="4"/>
      <c r="N652" s="4"/>
      <c r="O652" s="4"/>
      <c r="P652" s="6"/>
      <c r="Q652" s="6"/>
      <c r="R652" s="6"/>
      <c r="S652" s="6"/>
      <c r="T652" s="4"/>
      <c r="U652" s="6"/>
      <c r="V652" s="6"/>
      <c r="W652" s="6"/>
      <c r="X652" s="6"/>
      <c r="Y652" s="4"/>
      <c r="Z652" s="6"/>
      <c r="AA652" s="4"/>
      <c r="AB652" s="4"/>
      <c r="AC652" s="4"/>
      <c r="AD652" s="6"/>
      <c r="AE652" s="4"/>
      <c r="AF652" s="4"/>
      <c r="AG652" s="4"/>
      <c r="AH652" s="4">
        <v>691200125400</v>
      </c>
    </row>
    <row r="653" spans="1:34" x14ac:dyDescent="0.25">
      <c r="A653" s="4">
        <v>652</v>
      </c>
      <c r="B653" s="5" t="s">
        <v>1421</v>
      </c>
      <c r="C653" s="5" t="s">
        <v>1422</v>
      </c>
      <c r="D653" s="5" t="s">
        <v>968</v>
      </c>
      <c r="E653" s="5" t="s">
        <v>40</v>
      </c>
      <c r="F653" s="5" t="s">
        <v>52</v>
      </c>
      <c r="G653" s="5" t="s">
        <v>110</v>
      </c>
      <c r="H653" s="4"/>
      <c r="I653" s="4"/>
      <c r="J653" s="6"/>
      <c r="K653" s="6"/>
      <c r="L653" s="6"/>
      <c r="M653" s="4"/>
      <c r="N653" s="4"/>
      <c r="O653" s="4"/>
      <c r="P653" s="6"/>
      <c r="Q653" s="6"/>
      <c r="R653" s="6"/>
      <c r="S653" s="6"/>
      <c r="T653" s="4"/>
      <c r="U653" s="6"/>
      <c r="V653" s="6"/>
      <c r="W653" s="6"/>
      <c r="X653" s="6"/>
      <c r="Y653" s="4"/>
      <c r="Z653" s="6"/>
      <c r="AA653" s="4"/>
      <c r="AB653" s="4"/>
      <c r="AC653" s="4"/>
      <c r="AD653" s="6"/>
      <c r="AE653" s="4"/>
      <c r="AF653" s="4"/>
      <c r="AG653" s="4"/>
      <c r="AH653" s="4">
        <v>432000000000</v>
      </c>
    </row>
    <row r="654" spans="1:34" x14ac:dyDescent="0.25">
      <c r="A654" s="4">
        <v>653</v>
      </c>
      <c r="B654" s="5" t="s">
        <v>1423</v>
      </c>
      <c r="C654" s="5" t="s">
        <v>1424</v>
      </c>
      <c r="D654" s="5" t="s">
        <v>968</v>
      </c>
      <c r="E654" s="5" t="s">
        <v>29</v>
      </c>
      <c r="F654" s="5" t="s">
        <v>30</v>
      </c>
      <c r="G654" s="5" t="s">
        <v>83</v>
      </c>
      <c r="H654" s="4"/>
      <c r="I654" s="4"/>
      <c r="J654" s="6"/>
      <c r="K654" s="6"/>
      <c r="L654" s="6"/>
      <c r="M654" s="4"/>
      <c r="N654" s="4"/>
      <c r="O654" s="4"/>
      <c r="P654" s="6"/>
      <c r="Q654" s="6"/>
      <c r="R654" s="6"/>
      <c r="S654" s="6"/>
      <c r="T654" s="4"/>
      <c r="U654" s="6"/>
      <c r="V654" s="6"/>
      <c r="W654" s="6"/>
      <c r="X654" s="6"/>
      <c r="Y654" s="4"/>
      <c r="Z654" s="6"/>
      <c r="AA654" s="4"/>
      <c r="AB654" s="4"/>
      <c r="AC654" s="4"/>
      <c r="AD654" s="6"/>
      <c r="AE654" s="4"/>
      <c r="AF654" s="4"/>
      <c r="AG654" s="4"/>
      <c r="AH654" s="4">
        <v>1361080355000</v>
      </c>
    </row>
    <row r="655" spans="1:34" x14ac:dyDescent="0.25">
      <c r="A655" s="4">
        <v>654</v>
      </c>
      <c r="B655" s="5" t="s">
        <v>1425</v>
      </c>
      <c r="C655" s="5" t="s">
        <v>1426</v>
      </c>
      <c r="D655" s="5" t="s">
        <v>968</v>
      </c>
      <c r="E655" s="5" t="s">
        <v>62</v>
      </c>
      <c r="F655" s="5" t="s">
        <v>63</v>
      </c>
      <c r="G655" s="5" t="s">
        <v>656</v>
      </c>
      <c r="H655" s="4">
        <v>259590906667</v>
      </c>
      <c r="I655" s="4">
        <v>269733347037</v>
      </c>
      <c r="J655" s="6">
        <v>0.55659999999999998</v>
      </c>
      <c r="K655" s="6">
        <v>0.45419999999999999</v>
      </c>
      <c r="L655" s="6">
        <v>0.33460000000000001</v>
      </c>
      <c r="M655" s="4">
        <v>4753424954</v>
      </c>
      <c r="N655" s="4">
        <v>2275171369</v>
      </c>
      <c r="O655" s="4"/>
      <c r="P655" s="6">
        <v>0.52669999999999995</v>
      </c>
      <c r="Q655" s="6">
        <v>-0.28160000000000002</v>
      </c>
      <c r="R655" s="6">
        <v>-1.7410000000000001</v>
      </c>
      <c r="S655" s="6">
        <v>2.9180999999999999</v>
      </c>
      <c r="T655" s="4"/>
      <c r="U655" s="6">
        <v>-0.33400000000000002</v>
      </c>
      <c r="V655" s="6">
        <v>0.93220000000000003</v>
      </c>
      <c r="W655" s="6">
        <v>0.89600000000000002</v>
      </c>
      <c r="X655" s="6">
        <v>0</v>
      </c>
      <c r="Y655" s="4"/>
      <c r="Z655" s="6">
        <v>24.5945</v>
      </c>
      <c r="AA655" s="4"/>
      <c r="AB655" s="4"/>
      <c r="AC655" s="4"/>
      <c r="AD655" s="6">
        <v>0</v>
      </c>
      <c r="AE655" s="4"/>
      <c r="AF655" s="4"/>
      <c r="AG655" s="4"/>
      <c r="AH655" s="4">
        <v>28632500000</v>
      </c>
    </row>
    <row r="656" spans="1:34" x14ac:dyDescent="0.25">
      <c r="A656" s="4">
        <v>655</v>
      </c>
      <c r="B656" s="5" t="s">
        <v>1427</v>
      </c>
      <c r="C656" s="5" t="s">
        <v>1428</v>
      </c>
      <c r="D656" s="5" t="s">
        <v>968</v>
      </c>
      <c r="E656" s="5" t="s">
        <v>185</v>
      </c>
      <c r="F656" s="5" t="s">
        <v>185</v>
      </c>
      <c r="G656" s="5" t="s">
        <v>310</v>
      </c>
      <c r="H656" s="4"/>
      <c r="I656" s="4"/>
      <c r="J656" s="6"/>
      <c r="K656" s="6"/>
      <c r="L656" s="6"/>
      <c r="M656" s="4"/>
      <c r="N656" s="4"/>
      <c r="O656" s="4"/>
      <c r="P656" s="6"/>
      <c r="Q656" s="6"/>
      <c r="R656" s="6"/>
      <c r="S656" s="6"/>
      <c r="T656" s="4"/>
      <c r="U656" s="6"/>
      <c r="V656" s="6"/>
      <c r="W656" s="6"/>
      <c r="X656" s="6"/>
      <c r="Y656" s="4"/>
      <c r="Z656" s="6"/>
      <c r="AA656" s="4"/>
      <c r="AB656" s="4"/>
      <c r="AC656" s="4"/>
      <c r="AD656" s="6"/>
      <c r="AE656" s="4"/>
      <c r="AF656" s="4"/>
      <c r="AG656" s="4"/>
      <c r="AH656" s="4">
        <v>80041015800</v>
      </c>
    </row>
    <row r="657" spans="1:34" x14ac:dyDescent="0.25">
      <c r="A657" s="4">
        <v>656</v>
      </c>
      <c r="B657" s="5" t="s">
        <v>1429</v>
      </c>
      <c r="C657" s="5" t="s">
        <v>1430</v>
      </c>
      <c r="D657" s="5" t="s">
        <v>968</v>
      </c>
      <c r="E657" s="5" t="s">
        <v>24</v>
      </c>
      <c r="F657" s="5" t="s">
        <v>25</v>
      </c>
      <c r="G657" s="5" t="s">
        <v>45</v>
      </c>
      <c r="H657" s="4"/>
      <c r="I657" s="4"/>
      <c r="J657" s="6"/>
      <c r="K657" s="6"/>
      <c r="L657" s="6"/>
      <c r="M657" s="4"/>
      <c r="N657" s="4"/>
      <c r="O657" s="4"/>
      <c r="P657" s="6"/>
      <c r="Q657" s="6"/>
      <c r="R657" s="6"/>
      <c r="S657" s="6"/>
      <c r="T657" s="4"/>
      <c r="U657" s="6"/>
      <c r="V657" s="6"/>
      <c r="W657" s="6"/>
      <c r="X657" s="6"/>
      <c r="Y657" s="4"/>
      <c r="Z657" s="6"/>
      <c r="AA657" s="4"/>
      <c r="AB657" s="4"/>
      <c r="AC657" s="4"/>
      <c r="AD657" s="6"/>
      <c r="AE657" s="4"/>
      <c r="AF657" s="4"/>
      <c r="AG657" s="4"/>
      <c r="AH657" s="4">
        <v>100035000000</v>
      </c>
    </row>
    <row r="658" spans="1:34" x14ac:dyDescent="0.25">
      <c r="A658" s="4">
        <v>657</v>
      </c>
      <c r="B658" s="5" t="s">
        <v>1431</v>
      </c>
      <c r="C658" s="5" t="s">
        <v>1432</v>
      </c>
      <c r="D658" s="5" t="s">
        <v>968</v>
      </c>
      <c r="E658" s="5" t="s">
        <v>234</v>
      </c>
      <c r="F658" s="5" t="s">
        <v>235</v>
      </c>
      <c r="G658" s="5" t="s">
        <v>498</v>
      </c>
      <c r="H658" s="4"/>
      <c r="I658" s="4"/>
      <c r="J658" s="6"/>
      <c r="K658" s="6"/>
      <c r="L658" s="6"/>
      <c r="M658" s="4"/>
      <c r="N658" s="4"/>
      <c r="O658" s="4"/>
      <c r="P658" s="6"/>
      <c r="Q658" s="6"/>
      <c r="R658" s="6"/>
      <c r="S658" s="6"/>
      <c r="T658" s="4"/>
      <c r="U658" s="6"/>
      <c r="V658" s="6"/>
      <c r="W658" s="6"/>
      <c r="X658" s="6"/>
      <c r="Y658" s="4"/>
      <c r="Z658" s="6"/>
      <c r="AA658" s="4"/>
      <c r="AB658" s="4"/>
      <c r="AC658" s="4"/>
      <c r="AD658" s="6"/>
      <c r="AE658" s="4"/>
      <c r="AF658" s="4"/>
      <c r="AG658" s="4"/>
      <c r="AH658" s="4">
        <v>77759953200</v>
      </c>
    </row>
    <row r="659" spans="1:34" x14ac:dyDescent="0.25">
      <c r="A659" s="4">
        <v>658</v>
      </c>
      <c r="B659" s="5" t="s">
        <v>1433</v>
      </c>
      <c r="C659" s="5" t="s">
        <v>1434</v>
      </c>
      <c r="D659" s="5" t="s">
        <v>968</v>
      </c>
      <c r="E659" s="5" t="s">
        <v>24</v>
      </c>
      <c r="F659" s="5" t="s">
        <v>56</v>
      </c>
      <c r="G659" s="5" t="s">
        <v>291</v>
      </c>
      <c r="H659" s="4"/>
      <c r="I659" s="4"/>
      <c r="J659" s="6"/>
      <c r="K659" s="6"/>
      <c r="L659" s="6"/>
      <c r="M659" s="4"/>
      <c r="N659" s="4"/>
      <c r="O659" s="4"/>
      <c r="P659" s="6"/>
      <c r="Q659" s="6"/>
      <c r="R659" s="6"/>
      <c r="S659" s="6"/>
      <c r="T659" s="4"/>
      <c r="U659" s="6"/>
      <c r="V659" s="6"/>
      <c r="W659" s="6"/>
      <c r="X659" s="6"/>
      <c r="Y659" s="4"/>
      <c r="Z659" s="6"/>
      <c r="AA659" s="4"/>
      <c r="AB659" s="4"/>
      <c r="AC659" s="4"/>
      <c r="AD659" s="6"/>
      <c r="AE659" s="4"/>
      <c r="AF659" s="4"/>
      <c r="AG659" s="4"/>
      <c r="AH659" s="4">
        <v>22758394200</v>
      </c>
    </row>
    <row r="660" spans="1:34" x14ac:dyDescent="0.25">
      <c r="A660" s="4">
        <v>659</v>
      </c>
      <c r="B660" s="5" t="s">
        <v>1435</v>
      </c>
      <c r="C660" s="5" t="s">
        <v>1436</v>
      </c>
      <c r="D660" s="5" t="s">
        <v>968</v>
      </c>
      <c r="E660" s="5" t="s">
        <v>62</v>
      </c>
      <c r="F660" s="5" t="s">
        <v>63</v>
      </c>
      <c r="G660" s="5" t="s">
        <v>656</v>
      </c>
      <c r="H660" s="4"/>
      <c r="I660" s="4"/>
      <c r="J660" s="6"/>
      <c r="K660" s="6"/>
      <c r="L660" s="6"/>
      <c r="M660" s="4"/>
      <c r="N660" s="4"/>
      <c r="O660" s="4"/>
      <c r="P660" s="6"/>
      <c r="Q660" s="6"/>
      <c r="R660" s="6"/>
      <c r="S660" s="6"/>
      <c r="T660" s="4"/>
      <c r="U660" s="6"/>
      <c r="V660" s="6"/>
      <c r="W660" s="6"/>
      <c r="X660" s="6"/>
      <c r="Y660" s="4"/>
      <c r="Z660" s="6"/>
      <c r="AA660" s="4"/>
      <c r="AB660" s="4"/>
      <c r="AC660" s="4"/>
      <c r="AD660" s="6"/>
      <c r="AE660" s="4"/>
      <c r="AF660" s="4"/>
      <c r="AG660" s="4"/>
      <c r="AH660" s="4">
        <v>77617761000</v>
      </c>
    </row>
    <row r="661" spans="1:34" x14ac:dyDescent="0.25">
      <c r="A661" s="4">
        <v>660</v>
      </c>
      <c r="B661" s="5" t="s">
        <v>1437</v>
      </c>
      <c r="C661" s="5" t="s">
        <v>1438</v>
      </c>
      <c r="D661" s="5" t="s">
        <v>968</v>
      </c>
      <c r="E661" s="5" t="s">
        <v>40</v>
      </c>
      <c r="F661" s="5" t="s">
        <v>41</v>
      </c>
      <c r="G661" s="5" t="s">
        <v>90</v>
      </c>
      <c r="H661" s="4"/>
      <c r="I661" s="4"/>
      <c r="J661" s="6"/>
      <c r="K661" s="6"/>
      <c r="L661" s="6"/>
      <c r="M661" s="4"/>
      <c r="N661" s="4"/>
      <c r="O661" s="4"/>
      <c r="P661" s="6"/>
      <c r="Q661" s="6"/>
      <c r="R661" s="6"/>
      <c r="S661" s="6"/>
      <c r="T661" s="4"/>
      <c r="U661" s="6"/>
      <c r="V661" s="6"/>
      <c r="W661" s="6"/>
      <c r="X661" s="6"/>
      <c r="Y661" s="4"/>
      <c r="Z661" s="6"/>
      <c r="AA661" s="4"/>
      <c r="AB661" s="4"/>
      <c r="AC661" s="4"/>
      <c r="AD661" s="6"/>
      <c r="AE661" s="4"/>
      <c r="AF661" s="4"/>
      <c r="AG661" s="4"/>
      <c r="AH661" s="4">
        <v>60967678800</v>
      </c>
    </row>
    <row r="662" spans="1:34" x14ac:dyDescent="0.25">
      <c r="A662" s="4">
        <v>661</v>
      </c>
      <c r="B662" s="5" t="s">
        <v>1439</v>
      </c>
      <c r="C662" s="5" t="s">
        <v>1440</v>
      </c>
      <c r="D662" s="5" t="s">
        <v>968</v>
      </c>
      <c r="E662" s="5" t="s">
        <v>40</v>
      </c>
      <c r="F662" s="5" t="s">
        <v>52</v>
      </c>
      <c r="G662" s="5" t="s">
        <v>110</v>
      </c>
      <c r="H662" s="4"/>
      <c r="I662" s="4"/>
      <c r="J662" s="6"/>
      <c r="K662" s="6"/>
      <c r="L662" s="6"/>
      <c r="M662" s="4"/>
      <c r="N662" s="4"/>
      <c r="O662" s="4"/>
      <c r="P662" s="6"/>
      <c r="Q662" s="6"/>
      <c r="R662" s="6"/>
      <c r="S662" s="6"/>
      <c r="T662" s="4"/>
      <c r="U662" s="6"/>
      <c r="V662" s="6"/>
      <c r="W662" s="6"/>
      <c r="X662" s="6"/>
      <c r="Y662" s="4"/>
      <c r="Z662" s="6"/>
      <c r="AA662" s="4"/>
      <c r="AB662" s="4"/>
      <c r="AC662" s="4"/>
      <c r="AD662" s="6"/>
      <c r="AE662" s="4"/>
      <c r="AF662" s="4"/>
      <c r="AG662" s="4"/>
      <c r="AH662" s="4">
        <v>54600000000</v>
      </c>
    </row>
    <row r="663" spans="1:34" x14ac:dyDescent="0.25">
      <c r="A663" s="4">
        <v>662</v>
      </c>
      <c r="B663" s="5" t="s">
        <v>1441</v>
      </c>
      <c r="C663" s="5" t="s">
        <v>1442</v>
      </c>
      <c r="D663" s="5" t="s">
        <v>968</v>
      </c>
      <c r="E663" s="5" t="s">
        <v>75</v>
      </c>
      <c r="F663" s="5" t="s">
        <v>76</v>
      </c>
      <c r="G663" s="5" t="s">
        <v>76</v>
      </c>
      <c r="H663" s="4">
        <v>132654411817</v>
      </c>
      <c r="I663" s="4">
        <v>262590774338</v>
      </c>
      <c r="J663" s="6">
        <v>0.245</v>
      </c>
      <c r="K663" s="6">
        <v>0.2671</v>
      </c>
      <c r="L663" s="6">
        <v>0.4657</v>
      </c>
      <c r="M663" s="4">
        <v>53689672413</v>
      </c>
      <c r="N663" s="4">
        <v>95186677710</v>
      </c>
      <c r="O663" s="4"/>
      <c r="P663" s="6">
        <v>0.33339999999999997</v>
      </c>
      <c r="Q663" s="6">
        <v>0.30120000000000002</v>
      </c>
      <c r="R663" s="6">
        <v>1.0264</v>
      </c>
      <c r="S663" s="6">
        <v>0.29380000000000001</v>
      </c>
      <c r="T663" s="4"/>
      <c r="U663" s="6">
        <v>-0.47910000000000003</v>
      </c>
      <c r="V663" s="6">
        <v>-0.36969999999999997</v>
      </c>
      <c r="W663" s="6">
        <v>-0.38090000000000002</v>
      </c>
      <c r="X663" s="6">
        <v>8.0600000000000005E-2</v>
      </c>
      <c r="Y663" s="4"/>
      <c r="Z663" s="6">
        <v>2.0899999999999998E-2</v>
      </c>
      <c r="AA663" s="4"/>
      <c r="AB663" s="4"/>
      <c r="AC663" s="4"/>
      <c r="AD663" s="6">
        <v>0</v>
      </c>
      <c r="AE663" s="4"/>
      <c r="AF663" s="4"/>
      <c r="AG663" s="4"/>
      <c r="AH663" s="4">
        <v>1302000000000</v>
      </c>
    </row>
    <row r="664" spans="1:34" x14ac:dyDescent="0.25">
      <c r="A664" s="4">
        <v>663</v>
      </c>
      <c r="B664" s="5" t="s">
        <v>1443</v>
      </c>
      <c r="C664" s="5" t="s">
        <v>1444</v>
      </c>
      <c r="D664" s="5" t="s">
        <v>968</v>
      </c>
      <c r="E664" s="5" t="s">
        <v>40</v>
      </c>
      <c r="F664" s="5" t="s">
        <v>52</v>
      </c>
      <c r="G664" s="5" t="s">
        <v>110</v>
      </c>
      <c r="H664" s="4"/>
      <c r="I664" s="4"/>
      <c r="J664" s="6"/>
      <c r="K664" s="6"/>
      <c r="L664" s="6"/>
      <c r="M664" s="4"/>
      <c r="N664" s="4"/>
      <c r="O664" s="4"/>
      <c r="P664" s="6"/>
      <c r="Q664" s="6"/>
      <c r="R664" s="6"/>
      <c r="S664" s="6"/>
      <c r="T664" s="4"/>
      <c r="U664" s="6"/>
      <c r="V664" s="6"/>
      <c r="W664" s="6"/>
      <c r="X664" s="6"/>
      <c r="Y664" s="4"/>
      <c r="Z664" s="6"/>
      <c r="AA664" s="4"/>
      <c r="AB664" s="4"/>
      <c r="AC664" s="4"/>
      <c r="AD664" s="6"/>
      <c r="AE664" s="4"/>
      <c r="AF664" s="4"/>
      <c r="AG664" s="4"/>
      <c r="AH664" s="4">
        <v>141647670000</v>
      </c>
    </row>
    <row r="665" spans="1:34" x14ac:dyDescent="0.25">
      <c r="A665" s="4">
        <v>664</v>
      </c>
      <c r="B665" s="5" t="s">
        <v>1445</v>
      </c>
      <c r="C665" s="5" t="s">
        <v>1446</v>
      </c>
      <c r="D665" s="5" t="s">
        <v>968</v>
      </c>
      <c r="E665" s="5" t="s">
        <v>24</v>
      </c>
      <c r="F665" s="5" t="s">
        <v>56</v>
      </c>
      <c r="G665" s="5" t="s">
        <v>1044</v>
      </c>
      <c r="H665" s="4"/>
      <c r="I665" s="4"/>
      <c r="J665" s="6"/>
      <c r="K665" s="6"/>
      <c r="L665" s="6"/>
      <c r="M665" s="4"/>
      <c r="N665" s="4"/>
      <c r="O665" s="4"/>
      <c r="P665" s="6"/>
      <c r="Q665" s="6"/>
      <c r="R665" s="6"/>
      <c r="S665" s="6"/>
      <c r="T665" s="4"/>
      <c r="U665" s="6"/>
      <c r="V665" s="6"/>
      <c r="W665" s="6"/>
      <c r="X665" s="6"/>
      <c r="Y665" s="4"/>
      <c r="Z665" s="6"/>
      <c r="AA665" s="4"/>
      <c r="AB665" s="4"/>
      <c r="AC665" s="4"/>
      <c r="AD665" s="6"/>
      <c r="AE665" s="4"/>
      <c r="AF665" s="4"/>
      <c r="AG665" s="4"/>
      <c r="AH665" s="4">
        <v>377804732200</v>
      </c>
    </row>
    <row r="666" spans="1:34" x14ac:dyDescent="0.25">
      <c r="A666" s="4">
        <v>665</v>
      </c>
      <c r="B666" s="5" t="s">
        <v>1447</v>
      </c>
      <c r="C666" s="5" t="s">
        <v>1448</v>
      </c>
      <c r="D666" s="5" t="s">
        <v>968</v>
      </c>
      <c r="E666" s="5" t="s">
        <v>29</v>
      </c>
      <c r="F666" s="5" t="s">
        <v>36</v>
      </c>
      <c r="G666" s="5" t="s">
        <v>37</v>
      </c>
      <c r="H666" s="4">
        <v>188424250285</v>
      </c>
      <c r="I666" s="4">
        <v>377331319065</v>
      </c>
      <c r="J666" s="6">
        <v>6.4000000000000003E-3</v>
      </c>
      <c r="K666" s="6">
        <v>0.3216</v>
      </c>
      <c r="L666" s="6">
        <v>0.19420000000000001</v>
      </c>
      <c r="M666" s="4">
        <v>3590342271</v>
      </c>
      <c r="N666" s="4">
        <v>7468668256</v>
      </c>
      <c r="O666" s="4"/>
      <c r="P666" s="6">
        <v>0.49790000000000001</v>
      </c>
      <c r="Q666" s="6">
        <v>1.6248</v>
      </c>
      <c r="R666" s="6">
        <v>0.1239</v>
      </c>
      <c r="S666" s="6">
        <v>-7.4300000000000005E-2</v>
      </c>
      <c r="T666" s="4"/>
      <c r="U666" s="6">
        <v>-0.51700000000000002</v>
      </c>
      <c r="V666" s="6">
        <v>-0.83420000000000005</v>
      </c>
      <c r="W666" s="6">
        <v>-0.81920000000000004</v>
      </c>
      <c r="X666" s="6">
        <v>0</v>
      </c>
      <c r="Y666" s="4"/>
      <c r="Z666" s="6">
        <v>-2.5999999999999999E-3</v>
      </c>
      <c r="AA666" s="4"/>
      <c r="AB666" s="4"/>
      <c r="AC666" s="4"/>
      <c r="AD666" s="6">
        <v>0</v>
      </c>
      <c r="AE666" s="4"/>
      <c r="AF666" s="4"/>
      <c r="AG666" s="4"/>
      <c r="AH666" s="4">
        <v>164886084600</v>
      </c>
    </row>
    <row r="667" spans="1:34" x14ac:dyDescent="0.25">
      <c r="A667" s="4">
        <v>666</v>
      </c>
      <c r="B667" s="5" t="s">
        <v>1449</v>
      </c>
      <c r="C667" s="5" t="s">
        <v>1450</v>
      </c>
      <c r="D667" s="5" t="s">
        <v>968</v>
      </c>
      <c r="E667" s="5" t="s">
        <v>29</v>
      </c>
      <c r="F667" s="5" t="s">
        <v>36</v>
      </c>
      <c r="G667" s="5" t="s">
        <v>37</v>
      </c>
      <c r="H667" s="4">
        <v>6086192610</v>
      </c>
      <c r="I667" s="4">
        <v>11842523610</v>
      </c>
      <c r="J667" s="6">
        <v>0.13930000000000001</v>
      </c>
      <c r="K667" s="6">
        <v>2.3699999999999999E-2</v>
      </c>
      <c r="L667" s="6">
        <v>4.1799999999999997E-2</v>
      </c>
      <c r="M667" s="4">
        <v>2306094414</v>
      </c>
      <c r="N667" s="4">
        <v>2776582509</v>
      </c>
      <c r="O667" s="4"/>
      <c r="P667" s="6">
        <v>-0.57150000000000001</v>
      </c>
      <c r="Q667" s="6">
        <v>-0.51280000000000003</v>
      </c>
      <c r="R667" s="6">
        <v>-6.7599999999999993E-2</v>
      </c>
      <c r="S667" s="6">
        <v>3.9015</v>
      </c>
      <c r="T667" s="4"/>
      <c r="U667" s="6">
        <v>0</v>
      </c>
      <c r="V667" s="6">
        <v>0</v>
      </c>
      <c r="W667" s="6">
        <v>0</v>
      </c>
      <c r="X667" s="6">
        <v>0</v>
      </c>
      <c r="Y667" s="4"/>
      <c r="Z667" s="6">
        <v>5.7299999999999997E-2</v>
      </c>
      <c r="AA667" s="4"/>
      <c r="AB667" s="4"/>
      <c r="AC667" s="4"/>
      <c r="AD667" s="6">
        <v>0</v>
      </c>
      <c r="AE667" s="4"/>
      <c r="AF667" s="4"/>
      <c r="AG667" s="4"/>
      <c r="AH667" s="4">
        <v>2892436710000</v>
      </c>
    </row>
    <row r="668" spans="1:34" x14ac:dyDescent="0.25">
      <c r="A668" s="4">
        <v>667</v>
      </c>
      <c r="B668" s="5" t="s">
        <v>1451</v>
      </c>
      <c r="C668" s="5" t="s">
        <v>1452</v>
      </c>
      <c r="D668" s="5" t="s">
        <v>968</v>
      </c>
      <c r="E668" s="5" t="s">
        <v>29</v>
      </c>
      <c r="F668" s="5" t="s">
        <v>30</v>
      </c>
      <c r="G668" s="5" t="s">
        <v>83</v>
      </c>
      <c r="H668" s="4"/>
      <c r="I668" s="4"/>
      <c r="J668" s="6"/>
      <c r="K668" s="6"/>
      <c r="L668" s="6"/>
      <c r="M668" s="4"/>
      <c r="N668" s="4"/>
      <c r="O668" s="4"/>
      <c r="P668" s="6"/>
      <c r="Q668" s="6"/>
      <c r="R668" s="6"/>
      <c r="S668" s="6"/>
      <c r="T668" s="4"/>
      <c r="U668" s="6"/>
      <c r="V668" s="6"/>
      <c r="W668" s="6"/>
      <c r="X668" s="6"/>
      <c r="Y668" s="4"/>
      <c r="Z668" s="6"/>
      <c r="AA668" s="4"/>
      <c r="AB668" s="4"/>
      <c r="AC668" s="4"/>
      <c r="AD668" s="6"/>
      <c r="AE668" s="4"/>
      <c r="AF668" s="4"/>
      <c r="AG668" s="4"/>
      <c r="AH668" s="4">
        <v>757349730000</v>
      </c>
    </row>
    <row r="669" spans="1:34" x14ac:dyDescent="0.25">
      <c r="A669" s="4">
        <v>668</v>
      </c>
      <c r="B669" s="5" t="s">
        <v>1453</v>
      </c>
      <c r="C669" s="5" t="s">
        <v>1454</v>
      </c>
      <c r="D669" s="5" t="s">
        <v>968</v>
      </c>
      <c r="E669" s="5" t="s">
        <v>29</v>
      </c>
      <c r="F669" s="5" t="s">
        <v>30</v>
      </c>
      <c r="G669" s="5" t="s">
        <v>117</v>
      </c>
      <c r="H669" s="4"/>
      <c r="I669" s="4"/>
      <c r="J669" s="6"/>
      <c r="K669" s="6"/>
      <c r="L669" s="6"/>
      <c r="M669" s="4"/>
      <c r="N669" s="4"/>
      <c r="O669" s="4"/>
      <c r="P669" s="6"/>
      <c r="Q669" s="6"/>
      <c r="R669" s="6"/>
      <c r="S669" s="6"/>
      <c r="T669" s="4"/>
      <c r="U669" s="6"/>
      <c r="V669" s="6"/>
      <c r="W669" s="6"/>
      <c r="X669" s="6"/>
      <c r="Y669" s="4"/>
      <c r="Z669" s="6"/>
      <c r="AA669" s="4"/>
      <c r="AB669" s="4"/>
      <c r="AC669" s="4"/>
      <c r="AD669" s="6"/>
      <c r="AE669" s="4"/>
      <c r="AF669" s="4"/>
      <c r="AG669" s="4"/>
      <c r="AH669" s="4">
        <v>105106044000</v>
      </c>
    </row>
    <row r="670" spans="1:34" x14ac:dyDescent="0.25">
      <c r="A670" s="4">
        <v>669</v>
      </c>
      <c r="B670" s="5" t="s">
        <v>1455</v>
      </c>
      <c r="C670" s="5" t="s">
        <v>1456</v>
      </c>
      <c r="D670" s="5" t="s">
        <v>968</v>
      </c>
      <c r="E670" s="5" t="s">
        <v>75</v>
      </c>
      <c r="F670" s="5" t="s">
        <v>76</v>
      </c>
      <c r="G670" s="5" t="s">
        <v>300</v>
      </c>
      <c r="H670" s="4"/>
      <c r="I670" s="4"/>
      <c r="J670" s="6"/>
      <c r="K670" s="6"/>
      <c r="L670" s="6"/>
      <c r="M670" s="4"/>
      <c r="N670" s="4"/>
      <c r="O670" s="4"/>
      <c r="P670" s="6"/>
      <c r="Q670" s="6"/>
      <c r="R670" s="6"/>
      <c r="S670" s="6"/>
      <c r="T670" s="4"/>
      <c r="U670" s="6"/>
      <c r="V670" s="6"/>
      <c r="W670" s="6"/>
      <c r="X670" s="6"/>
      <c r="Y670" s="4"/>
      <c r="Z670" s="6"/>
      <c r="AA670" s="4"/>
      <c r="AB670" s="4"/>
      <c r="AC670" s="4"/>
      <c r="AD670" s="6"/>
      <c r="AE670" s="4"/>
      <c r="AF670" s="4"/>
      <c r="AG670" s="4"/>
      <c r="AH670" s="4">
        <v>47932496514000</v>
      </c>
    </row>
    <row r="671" spans="1:34" x14ac:dyDescent="0.25">
      <c r="A671" s="4">
        <v>670</v>
      </c>
      <c r="B671" s="5" t="s">
        <v>1457</v>
      </c>
      <c r="C671" s="5" t="s">
        <v>1458</v>
      </c>
      <c r="D671" s="5" t="s">
        <v>968</v>
      </c>
      <c r="E671" s="5" t="s">
        <v>62</v>
      </c>
      <c r="F671" s="5" t="s">
        <v>71</v>
      </c>
      <c r="G671" s="5" t="s">
        <v>147</v>
      </c>
      <c r="H671" s="4">
        <v>181614434202</v>
      </c>
      <c r="I671" s="4">
        <v>299308863663</v>
      </c>
      <c r="J671" s="6">
        <v>0.50360000000000005</v>
      </c>
      <c r="K671" s="6"/>
      <c r="L671" s="6"/>
      <c r="M671" s="4">
        <v>262771212</v>
      </c>
      <c r="N671" s="4">
        <v>486302918</v>
      </c>
      <c r="O671" s="4"/>
      <c r="P671" s="6">
        <v>9.9099999999999994E-2</v>
      </c>
      <c r="Q671" s="6"/>
      <c r="R671" s="6"/>
      <c r="S671" s="6">
        <v>0.17549999999999999</v>
      </c>
      <c r="T671" s="4"/>
      <c r="U671" s="6"/>
      <c r="V671" s="6"/>
      <c r="W671" s="6"/>
      <c r="X671" s="6"/>
      <c r="Y671" s="4"/>
      <c r="Z671" s="6">
        <v>0.54310000000000003</v>
      </c>
      <c r="AA671" s="4"/>
      <c r="AB671" s="4"/>
      <c r="AC671" s="4"/>
      <c r="AD671" s="6"/>
      <c r="AE671" s="4"/>
      <c r="AF671" s="4"/>
      <c r="AG671" s="4"/>
      <c r="AH671" s="4">
        <v>24570000000</v>
      </c>
    </row>
    <row r="672" spans="1:34" x14ac:dyDescent="0.25">
      <c r="A672" s="4">
        <v>671</v>
      </c>
      <c r="B672" s="5" t="s">
        <v>1459</v>
      </c>
      <c r="C672" s="5" t="s">
        <v>1460</v>
      </c>
      <c r="D672" s="5" t="s">
        <v>968</v>
      </c>
      <c r="E672" s="5" t="s">
        <v>24</v>
      </c>
      <c r="F672" s="5" t="s">
        <v>56</v>
      </c>
      <c r="G672" s="5" t="s">
        <v>1044</v>
      </c>
      <c r="H672" s="4"/>
      <c r="I672" s="4"/>
      <c r="J672" s="6"/>
      <c r="K672" s="6"/>
      <c r="L672" s="6"/>
      <c r="M672" s="4"/>
      <c r="N672" s="4"/>
      <c r="O672" s="4"/>
      <c r="P672" s="6"/>
      <c r="Q672" s="6"/>
      <c r="R672" s="6"/>
      <c r="S672" s="6"/>
      <c r="T672" s="4"/>
      <c r="U672" s="6"/>
      <c r="V672" s="6"/>
      <c r="W672" s="6"/>
      <c r="X672" s="6"/>
      <c r="Y672" s="4"/>
      <c r="Z672" s="6"/>
      <c r="AA672" s="4"/>
      <c r="AB672" s="4"/>
      <c r="AC672" s="4"/>
      <c r="AD672" s="6"/>
      <c r="AE672" s="4"/>
      <c r="AF672" s="4"/>
      <c r="AG672" s="4"/>
      <c r="AH672" s="4">
        <v>181810984800</v>
      </c>
    </row>
    <row r="673" spans="1:34" x14ac:dyDescent="0.25">
      <c r="A673" s="4">
        <v>672</v>
      </c>
      <c r="B673" s="5" t="s">
        <v>1461</v>
      </c>
      <c r="C673" s="5" t="s">
        <v>1462</v>
      </c>
      <c r="D673" s="5" t="s">
        <v>968</v>
      </c>
      <c r="E673" s="5" t="s">
        <v>75</v>
      </c>
      <c r="F673" s="5" t="s">
        <v>76</v>
      </c>
      <c r="G673" s="5" t="s">
        <v>76</v>
      </c>
      <c r="H673" s="4"/>
      <c r="I673" s="4"/>
      <c r="J673" s="6"/>
      <c r="K673" s="6"/>
      <c r="L673" s="6"/>
      <c r="M673" s="4"/>
      <c r="N673" s="4"/>
      <c r="O673" s="4"/>
      <c r="P673" s="6"/>
      <c r="Q673" s="6"/>
      <c r="R673" s="6"/>
      <c r="S673" s="6"/>
      <c r="T673" s="4"/>
      <c r="U673" s="6"/>
      <c r="V673" s="6"/>
      <c r="W673" s="6"/>
      <c r="X673" s="6"/>
      <c r="Y673" s="4"/>
      <c r="Z673" s="6"/>
      <c r="AA673" s="4"/>
      <c r="AB673" s="4"/>
      <c r="AC673" s="4"/>
      <c r="AD673" s="6"/>
      <c r="AE673" s="4"/>
      <c r="AF673" s="4"/>
      <c r="AG673" s="4"/>
      <c r="AH673" s="4">
        <v>1180997850500</v>
      </c>
    </row>
    <row r="674" spans="1:34" x14ac:dyDescent="0.25">
      <c r="A674" s="4">
        <v>673</v>
      </c>
      <c r="B674" s="5" t="s">
        <v>1463</v>
      </c>
      <c r="C674" s="5" t="s">
        <v>1464</v>
      </c>
      <c r="D674" s="5" t="s">
        <v>968</v>
      </c>
      <c r="E674" s="5" t="s">
        <v>40</v>
      </c>
      <c r="F674" s="5" t="s">
        <v>41</v>
      </c>
      <c r="G674" s="5" t="s">
        <v>557</v>
      </c>
      <c r="H674" s="4"/>
      <c r="I674" s="4"/>
      <c r="J674" s="6"/>
      <c r="K674" s="6"/>
      <c r="L674" s="6"/>
      <c r="M674" s="4"/>
      <c r="N674" s="4"/>
      <c r="O674" s="4"/>
      <c r="P674" s="6"/>
      <c r="Q674" s="6"/>
      <c r="R674" s="6"/>
      <c r="S674" s="6"/>
      <c r="T674" s="4"/>
      <c r="U674" s="6"/>
      <c r="V674" s="6"/>
      <c r="W674" s="6"/>
      <c r="X674" s="6"/>
      <c r="Y674" s="4"/>
      <c r="Z674" s="6"/>
      <c r="AA674" s="4"/>
      <c r="AB674" s="4"/>
      <c r="AC674" s="4"/>
      <c r="AD674" s="6"/>
      <c r="AE674" s="4"/>
      <c r="AF674" s="4"/>
      <c r="AG674" s="4"/>
      <c r="AH674" s="4">
        <v>67940000000</v>
      </c>
    </row>
    <row r="675" spans="1:34" x14ac:dyDescent="0.25">
      <c r="A675" s="4">
        <v>674</v>
      </c>
      <c r="B675" s="5" t="s">
        <v>1465</v>
      </c>
      <c r="C675" s="5" t="s">
        <v>1466</v>
      </c>
      <c r="D675" s="5" t="s">
        <v>968</v>
      </c>
      <c r="E675" s="5" t="s">
        <v>24</v>
      </c>
      <c r="F675" s="5" t="s">
        <v>56</v>
      </c>
      <c r="G675" s="5" t="s">
        <v>1270</v>
      </c>
      <c r="H675" s="4">
        <v>145190832158</v>
      </c>
      <c r="I675" s="4">
        <v>285190740777</v>
      </c>
      <c r="J675" s="6">
        <v>-0.13489999999999999</v>
      </c>
      <c r="K675" s="6">
        <v>-0.26</v>
      </c>
      <c r="L675" s="6">
        <v>-0.2331</v>
      </c>
      <c r="M675" s="4">
        <v>5525642056</v>
      </c>
      <c r="N675" s="4">
        <v>13743319448</v>
      </c>
      <c r="O675" s="4"/>
      <c r="P675" s="6">
        <v>-0.42830000000000001</v>
      </c>
      <c r="Q675" s="6">
        <v>-0.4929</v>
      </c>
      <c r="R675" s="6">
        <v>-0.372</v>
      </c>
      <c r="S675" s="6">
        <v>-0.3276</v>
      </c>
      <c r="T675" s="4"/>
      <c r="U675" s="6">
        <v>-0.59260000000000002</v>
      </c>
      <c r="V675" s="6">
        <v>-0.56200000000000006</v>
      </c>
      <c r="W675" s="6">
        <v>-0.58350000000000002</v>
      </c>
      <c r="X675" s="6">
        <v>0</v>
      </c>
      <c r="Y675" s="4"/>
      <c r="Z675" s="6">
        <v>3.7100000000000001E-2</v>
      </c>
      <c r="AA675" s="4"/>
      <c r="AB675" s="4"/>
      <c r="AC675" s="4"/>
      <c r="AD675" s="6">
        <v>0</v>
      </c>
      <c r="AE675" s="4"/>
      <c r="AF675" s="4"/>
      <c r="AG675" s="4"/>
      <c r="AH675" s="4">
        <v>492254679000</v>
      </c>
    </row>
    <row r="676" spans="1:34" x14ac:dyDescent="0.25">
      <c r="A676" s="4">
        <v>675</v>
      </c>
      <c r="B676" s="5" t="s">
        <v>1467</v>
      </c>
      <c r="C676" s="5" t="s">
        <v>1468</v>
      </c>
      <c r="D676" s="5" t="s">
        <v>968</v>
      </c>
      <c r="E676" s="5" t="s">
        <v>24</v>
      </c>
      <c r="F676" s="5" t="s">
        <v>56</v>
      </c>
      <c r="G676" s="5" t="s">
        <v>1044</v>
      </c>
      <c r="H676" s="4"/>
      <c r="I676" s="4"/>
      <c r="J676" s="6"/>
      <c r="K676" s="6"/>
      <c r="L676" s="6"/>
      <c r="M676" s="4"/>
      <c r="N676" s="4"/>
      <c r="O676" s="4"/>
      <c r="P676" s="6"/>
      <c r="Q676" s="6"/>
      <c r="R676" s="6"/>
      <c r="S676" s="6"/>
      <c r="T676" s="4"/>
      <c r="U676" s="6"/>
      <c r="V676" s="6"/>
      <c r="W676" s="6"/>
      <c r="X676" s="6"/>
      <c r="Y676" s="4"/>
      <c r="Z676" s="6"/>
      <c r="AA676" s="4"/>
      <c r="AB676" s="4"/>
      <c r="AC676" s="4"/>
      <c r="AD676" s="6"/>
      <c r="AE676" s="4"/>
      <c r="AF676" s="4"/>
      <c r="AG676" s="4"/>
      <c r="AH676" s="4">
        <v>751500000000</v>
      </c>
    </row>
    <row r="677" spans="1:34" x14ac:dyDescent="0.25">
      <c r="A677" s="4">
        <v>676</v>
      </c>
      <c r="B677" s="5" t="s">
        <v>1469</v>
      </c>
      <c r="C677" s="5" t="s">
        <v>1470</v>
      </c>
      <c r="D677" s="5" t="s">
        <v>968</v>
      </c>
      <c r="E677" s="5" t="s">
        <v>98</v>
      </c>
      <c r="F677" s="5" t="s">
        <v>99</v>
      </c>
      <c r="G677" s="5" t="s">
        <v>100</v>
      </c>
      <c r="H677" s="4">
        <v>1144236338785</v>
      </c>
      <c r="I677" s="4">
        <v>1912968087991</v>
      </c>
      <c r="J677" s="6">
        <v>1.0408999999999999</v>
      </c>
      <c r="K677" s="6"/>
      <c r="L677" s="6"/>
      <c r="M677" s="4">
        <v>2354760613</v>
      </c>
      <c r="N677" s="4">
        <v>5399337108</v>
      </c>
      <c r="O677" s="4"/>
      <c r="P677" s="6">
        <v>0.12690000000000001</v>
      </c>
      <c r="Q677" s="6"/>
      <c r="R677" s="6"/>
      <c r="S677" s="6">
        <v>-0.2266</v>
      </c>
      <c r="T677" s="4"/>
      <c r="U677" s="6"/>
      <c r="V677" s="6"/>
      <c r="W677" s="6"/>
      <c r="X677" s="6"/>
      <c r="Y677" s="4"/>
      <c r="Z677" s="6">
        <v>0.48849999999999999</v>
      </c>
      <c r="AA677" s="4"/>
      <c r="AB677" s="4"/>
      <c r="AC677" s="4"/>
      <c r="AD677" s="6"/>
      <c r="AE677" s="4"/>
      <c r="AF677" s="4"/>
      <c r="AG677" s="4"/>
      <c r="AH677" s="4">
        <v>86800000000</v>
      </c>
    </row>
    <row r="678" spans="1:34" x14ac:dyDescent="0.25">
      <c r="A678" s="4">
        <v>677</v>
      </c>
      <c r="B678" s="5" t="s">
        <v>1471</v>
      </c>
      <c r="C678" s="5" t="s">
        <v>1472</v>
      </c>
      <c r="D678" s="5" t="s">
        <v>968</v>
      </c>
      <c r="E678" s="5" t="s">
        <v>40</v>
      </c>
      <c r="F678" s="5" t="s">
        <v>52</v>
      </c>
      <c r="G678" s="5" t="s">
        <v>53</v>
      </c>
      <c r="H678" s="4">
        <v>134898730094</v>
      </c>
      <c r="I678" s="4">
        <v>223336570084</v>
      </c>
      <c r="J678" s="6">
        <v>-0.1009</v>
      </c>
      <c r="K678" s="6"/>
      <c r="L678" s="6"/>
      <c r="M678" s="4">
        <v>647767856</v>
      </c>
      <c r="N678" s="4">
        <v>1075384779</v>
      </c>
      <c r="O678" s="4"/>
      <c r="P678" s="6">
        <v>-0.7016</v>
      </c>
      <c r="Q678" s="6"/>
      <c r="R678" s="6"/>
      <c r="S678" s="6">
        <v>0.39369999999999999</v>
      </c>
      <c r="T678" s="4"/>
      <c r="U678" s="6"/>
      <c r="V678" s="6"/>
      <c r="W678" s="6"/>
      <c r="X678" s="6"/>
      <c r="Y678" s="4"/>
      <c r="Z678" s="6">
        <v>0.52539999999999998</v>
      </c>
      <c r="AA678" s="4"/>
      <c r="AB678" s="4"/>
      <c r="AC678" s="4"/>
      <c r="AD678" s="6"/>
      <c r="AE678" s="4"/>
      <c r="AF678" s="4"/>
      <c r="AG678" s="4"/>
      <c r="AH678" s="4">
        <v>48600000000</v>
      </c>
    </row>
    <row r="679" spans="1:34" x14ac:dyDescent="0.25">
      <c r="A679" s="4">
        <v>678</v>
      </c>
      <c r="B679" s="5" t="s">
        <v>1473</v>
      </c>
      <c r="C679" s="5" t="s">
        <v>1474</v>
      </c>
      <c r="D679" s="5" t="s">
        <v>968</v>
      </c>
      <c r="E679" s="5" t="s">
        <v>29</v>
      </c>
      <c r="F679" s="5" t="s">
        <v>36</v>
      </c>
      <c r="G679" s="5" t="s">
        <v>37</v>
      </c>
      <c r="H679" s="4">
        <v>2913952171794</v>
      </c>
      <c r="I679" s="4">
        <v>4865910657331</v>
      </c>
      <c r="J679" s="6">
        <v>0.15279999999999999</v>
      </c>
      <c r="K679" s="6">
        <v>0.2049</v>
      </c>
      <c r="L679" s="6">
        <v>0.18659999999999999</v>
      </c>
      <c r="M679" s="4">
        <v>146852808730</v>
      </c>
      <c r="N679" s="4">
        <v>203708361352</v>
      </c>
      <c r="O679" s="4"/>
      <c r="P679" s="6">
        <v>0.22359999999999999</v>
      </c>
      <c r="Q679" s="6">
        <v>0.26819999999999999</v>
      </c>
      <c r="R679" s="6">
        <v>0.34849999999999998</v>
      </c>
      <c r="S679" s="6">
        <v>1.4360999999999999</v>
      </c>
      <c r="T679" s="4"/>
      <c r="U679" s="6">
        <v>-0.48780000000000001</v>
      </c>
      <c r="V679" s="6">
        <v>-0.54820000000000002</v>
      </c>
      <c r="W679" s="6">
        <v>-0.53969999999999996</v>
      </c>
      <c r="X679" s="6">
        <v>0</v>
      </c>
      <c r="Y679" s="4"/>
      <c r="Z679" s="6">
        <v>0.49280000000000002</v>
      </c>
      <c r="AA679" s="4"/>
      <c r="AB679" s="4"/>
      <c r="AC679" s="4"/>
      <c r="AD679" s="6">
        <v>0</v>
      </c>
      <c r="AE679" s="4"/>
      <c r="AF679" s="4"/>
      <c r="AG679" s="4"/>
      <c r="AH679" s="4">
        <v>2136939015600</v>
      </c>
    </row>
    <row r="680" spans="1:34" x14ac:dyDescent="0.25">
      <c r="A680" s="4">
        <v>679</v>
      </c>
      <c r="B680" s="5" t="s">
        <v>1475</v>
      </c>
      <c r="C680" s="5" t="s">
        <v>1476</v>
      </c>
      <c r="D680" s="5" t="s">
        <v>968</v>
      </c>
      <c r="E680" s="5" t="s">
        <v>40</v>
      </c>
      <c r="F680" s="5" t="s">
        <v>41</v>
      </c>
      <c r="G680" s="5" t="s">
        <v>557</v>
      </c>
      <c r="H680" s="4">
        <v>104471866168</v>
      </c>
      <c r="I680" s="4">
        <v>203077323166</v>
      </c>
      <c r="J680" s="6">
        <v>0.46129999999999999</v>
      </c>
      <c r="K680" s="6">
        <v>0.56630000000000003</v>
      </c>
      <c r="L680" s="6">
        <v>0.48070000000000002</v>
      </c>
      <c r="M680" s="4">
        <v>8783427215</v>
      </c>
      <c r="N680" s="4">
        <v>17434378747</v>
      </c>
      <c r="O680" s="4"/>
      <c r="P680" s="6">
        <v>4.5900000000000003E-2</v>
      </c>
      <c r="Q680" s="6">
        <v>0.55779999999999996</v>
      </c>
      <c r="R680" s="6">
        <v>0.499</v>
      </c>
      <c r="S680" s="6">
        <v>1.5299999999999999E-2</v>
      </c>
      <c r="T680" s="4"/>
      <c r="U680" s="6">
        <v>-0.4869</v>
      </c>
      <c r="V680" s="6">
        <v>-0.40989999999999999</v>
      </c>
      <c r="W680" s="6">
        <v>-0.4133</v>
      </c>
      <c r="X680" s="6">
        <v>0.1333</v>
      </c>
      <c r="Y680" s="4"/>
      <c r="Z680" s="6">
        <v>5.9499999999999997E-2</v>
      </c>
      <c r="AA680" s="4"/>
      <c r="AB680" s="4"/>
      <c r="AC680" s="4"/>
      <c r="AD680" s="6">
        <v>0</v>
      </c>
      <c r="AE680" s="4"/>
      <c r="AF680" s="4"/>
      <c r="AG680" s="4"/>
      <c r="AH680" s="4">
        <v>156071220000</v>
      </c>
    </row>
    <row r="681" spans="1:34" x14ac:dyDescent="0.25">
      <c r="A681" s="4">
        <v>680</v>
      </c>
      <c r="B681" s="5" t="s">
        <v>1477</v>
      </c>
      <c r="C681" s="5" t="s">
        <v>1478</v>
      </c>
      <c r="D681" s="5" t="s">
        <v>968</v>
      </c>
      <c r="E681" s="5" t="s">
        <v>40</v>
      </c>
      <c r="F681" s="5" t="s">
        <v>41</v>
      </c>
      <c r="G681" s="5" t="s">
        <v>90</v>
      </c>
      <c r="H681" s="4"/>
      <c r="I681" s="4"/>
      <c r="J681" s="6"/>
      <c r="K681" s="6"/>
      <c r="L681" s="6"/>
      <c r="M681" s="4"/>
      <c r="N681" s="4"/>
      <c r="O681" s="4"/>
      <c r="P681" s="6"/>
      <c r="Q681" s="6"/>
      <c r="R681" s="6"/>
      <c r="S681" s="6"/>
      <c r="T681" s="4"/>
      <c r="U681" s="6"/>
      <c r="V681" s="6"/>
      <c r="W681" s="6"/>
      <c r="X681" s="6"/>
      <c r="Y681" s="4"/>
      <c r="Z681" s="6"/>
      <c r="AA681" s="4"/>
      <c r="AB681" s="4"/>
      <c r="AC681" s="4"/>
      <c r="AD681" s="6"/>
      <c r="AE681" s="4"/>
      <c r="AF681" s="4"/>
      <c r="AG681" s="4"/>
      <c r="AH681" s="4">
        <v>609996935400</v>
      </c>
    </row>
    <row r="682" spans="1:34" x14ac:dyDescent="0.25">
      <c r="A682" s="4">
        <v>681</v>
      </c>
      <c r="B682" s="5" t="s">
        <v>1479</v>
      </c>
      <c r="C682" s="5" t="s">
        <v>1480</v>
      </c>
      <c r="D682" s="5" t="s">
        <v>968</v>
      </c>
      <c r="E682" s="5" t="s">
        <v>40</v>
      </c>
      <c r="F682" s="5" t="s">
        <v>41</v>
      </c>
      <c r="G682" s="5" t="s">
        <v>619</v>
      </c>
      <c r="H682" s="4"/>
      <c r="I682" s="4"/>
      <c r="J682" s="6"/>
      <c r="K682" s="6"/>
      <c r="L682" s="6"/>
      <c r="M682" s="4"/>
      <c r="N682" s="4"/>
      <c r="O682" s="4"/>
      <c r="P682" s="6"/>
      <c r="Q682" s="6"/>
      <c r="R682" s="6"/>
      <c r="S682" s="6"/>
      <c r="T682" s="4"/>
      <c r="U682" s="6"/>
      <c r="V682" s="6"/>
      <c r="W682" s="6"/>
      <c r="X682" s="6"/>
      <c r="Y682" s="4"/>
      <c r="Z682" s="6"/>
      <c r="AA682" s="4"/>
      <c r="AB682" s="4"/>
      <c r="AC682" s="4"/>
      <c r="AD682" s="6"/>
      <c r="AE682" s="4"/>
      <c r="AF682" s="4"/>
      <c r="AG682" s="4"/>
      <c r="AH682" s="4">
        <v>129513216000</v>
      </c>
    </row>
    <row r="683" spans="1:34" x14ac:dyDescent="0.25">
      <c r="A683" s="4">
        <v>682</v>
      </c>
      <c r="B683" s="5" t="s">
        <v>1481</v>
      </c>
      <c r="C683" s="5" t="s">
        <v>1482</v>
      </c>
      <c r="D683" s="5" t="s">
        <v>968</v>
      </c>
      <c r="E683" s="5" t="s">
        <v>40</v>
      </c>
      <c r="F683" s="5" t="s">
        <v>52</v>
      </c>
      <c r="G683" s="5" t="s">
        <v>53</v>
      </c>
      <c r="H683" s="4">
        <v>4776379785</v>
      </c>
      <c r="I683" s="4">
        <v>19364485905</v>
      </c>
      <c r="J683" s="6">
        <v>-0.87409999999999999</v>
      </c>
      <c r="K683" s="6"/>
      <c r="L683" s="6"/>
      <c r="M683" s="4">
        <v>11189857034</v>
      </c>
      <c r="N683" s="4">
        <v>15015276804</v>
      </c>
      <c r="O683" s="4"/>
      <c r="P683" s="6">
        <v>226.06219999999999</v>
      </c>
      <c r="Q683" s="6"/>
      <c r="R683" s="6"/>
      <c r="S683" s="6">
        <v>1.9251</v>
      </c>
      <c r="T683" s="4"/>
      <c r="U683" s="6"/>
      <c r="V683" s="6"/>
      <c r="W683" s="6"/>
      <c r="X683" s="6"/>
      <c r="Y683" s="4"/>
      <c r="Z683" s="6">
        <v>-0.67259999999999998</v>
      </c>
      <c r="AA683" s="4"/>
      <c r="AB683" s="4"/>
      <c r="AC683" s="4"/>
      <c r="AD683" s="6"/>
      <c r="AE683" s="4"/>
      <c r="AF683" s="4"/>
      <c r="AG683" s="4"/>
      <c r="AH683" s="4">
        <v>54058804800</v>
      </c>
    </row>
    <row r="684" spans="1:34" x14ac:dyDescent="0.25">
      <c r="A684" s="4">
        <v>683</v>
      </c>
      <c r="B684" s="5" t="s">
        <v>1483</v>
      </c>
      <c r="C684" s="5" t="s">
        <v>1484</v>
      </c>
      <c r="D684" s="5" t="s">
        <v>968</v>
      </c>
      <c r="E684" s="5" t="s">
        <v>24</v>
      </c>
      <c r="F684" s="5" t="s">
        <v>56</v>
      </c>
      <c r="G684" s="5" t="s">
        <v>291</v>
      </c>
      <c r="H684" s="4">
        <v>161078133388</v>
      </c>
      <c r="I684" s="4">
        <v>303559803332</v>
      </c>
      <c r="J684" s="6">
        <v>0.17269999999999999</v>
      </c>
      <c r="K684" s="6">
        <v>0.1173</v>
      </c>
      <c r="L684" s="6">
        <v>-7.1999999999999995E-2</v>
      </c>
      <c r="M684" s="4">
        <v>4016799032</v>
      </c>
      <c r="N684" s="4">
        <v>3276419805</v>
      </c>
      <c r="O684" s="4"/>
      <c r="P684" s="6">
        <v>1.4078999999999999</v>
      </c>
      <c r="Q684" s="6">
        <v>1.3563000000000001</v>
      </c>
      <c r="R684" s="6">
        <v>-0.1666</v>
      </c>
      <c r="S684" s="6">
        <v>6.4253</v>
      </c>
      <c r="T684" s="4"/>
      <c r="U684" s="6">
        <v>0</v>
      </c>
      <c r="V684" s="6">
        <v>0</v>
      </c>
      <c r="W684" s="6">
        <v>0</v>
      </c>
      <c r="X684" s="6">
        <v>0</v>
      </c>
      <c r="Y684" s="4"/>
      <c r="Z684" s="6">
        <v>0.1305</v>
      </c>
      <c r="AA684" s="4"/>
      <c r="AB684" s="4"/>
      <c r="AC684" s="4"/>
      <c r="AD684" s="6">
        <v>0</v>
      </c>
      <c r="AE684" s="4"/>
      <c r="AF684" s="4"/>
      <c r="AG684" s="4"/>
      <c r="AH684" s="4">
        <v>82224661200</v>
      </c>
    </row>
    <row r="685" spans="1:34" x14ac:dyDescent="0.25">
      <c r="A685" s="4">
        <v>684</v>
      </c>
      <c r="B685" s="5" t="s">
        <v>1485</v>
      </c>
      <c r="C685" s="5" t="s">
        <v>1486</v>
      </c>
      <c r="D685" s="5" t="s">
        <v>968</v>
      </c>
      <c r="E685" s="5" t="s">
        <v>40</v>
      </c>
      <c r="F685" s="5" t="s">
        <v>52</v>
      </c>
      <c r="G685" s="5" t="s">
        <v>110</v>
      </c>
      <c r="H685" s="4"/>
      <c r="I685" s="4"/>
      <c r="J685" s="6"/>
      <c r="K685" s="6"/>
      <c r="L685" s="6"/>
      <c r="M685" s="4"/>
      <c r="N685" s="4"/>
      <c r="O685" s="4"/>
      <c r="P685" s="6"/>
      <c r="Q685" s="6"/>
      <c r="R685" s="6"/>
      <c r="S685" s="6"/>
      <c r="T685" s="4"/>
      <c r="U685" s="6"/>
      <c r="V685" s="6"/>
      <c r="W685" s="6"/>
      <c r="X685" s="6"/>
      <c r="Y685" s="4"/>
      <c r="Z685" s="6"/>
      <c r="AA685" s="4"/>
      <c r="AB685" s="4"/>
      <c r="AC685" s="4"/>
      <c r="AD685" s="6"/>
      <c r="AE685" s="4"/>
      <c r="AF685" s="4"/>
      <c r="AG685" s="4"/>
      <c r="AH685" s="4">
        <v>292975900000</v>
      </c>
    </row>
    <row r="686" spans="1:34" x14ac:dyDescent="0.25">
      <c r="A686" s="4">
        <v>685</v>
      </c>
      <c r="B686" s="5" t="s">
        <v>1487</v>
      </c>
      <c r="C686" s="5" t="s">
        <v>1488</v>
      </c>
      <c r="D686" s="5" t="s">
        <v>968</v>
      </c>
      <c r="E686" s="5" t="s">
        <v>62</v>
      </c>
      <c r="F686" s="5" t="s">
        <v>226</v>
      </c>
      <c r="G686" s="5" t="s">
        <v>737</v>
      </c>
      <c r="H686" s="4"/>
      <c r="I686" s="4"/>
      <c r="J686" s="6"/>
      <c r="K686" s="6"/>
      <c r="L686" s="6"/>
      <c r="M686" s="4"/>
      <c r="N686" s="4"/>
      <c r="O686" s="4"/>
      <c r="P686" s="6"/>
      <c r="Q686" s="6"/>
      <c r="R686" s="6"/>
      <c r="S686" s="6"/>
      <c r="T686" s="4"/>
      <c r="U686" s="6"/>
      <c r="V686" s="6"/>
      <c r="W686" s="6"/>
      <c r="X686" s="6"/>
      <c r="Y686" s="4"/>
      <c r="Z686" s="6"/>
      <c r="AA686" s="4"/>
      <c r="AB686" s="4"/>
      <c r="AC686" s="4"/>
      <c r="AD686" s="6"/>
      <c r="AE686" s="4"/>
      <c r="AF686" s="4"/>
      <c r="AG686" s="4"/>
      <c r="AH686" s="4">
        <v>141676510000</v>
      </c>
    </row>
    <row r="687" spans="1:34" x14ac:dyDescent="0.25">
      <c r="A687" s="4">
        <v>686</v>
      </c>
      <c r="B687" s="5" t="s">
        <v>1489</v>
      </c>
      <c r="C687" s="5" t="s">
        <v>1490</v>
      </c>
      <c r="D687" s="5" t="s">
        <v>968</v>
      </c>
      <c r="E687" s="5" t="s">
        <v>40</v>
      </c>
      <c r="F687" s="5" t="s">
        <v>41</v>
      </c>
      <c r="G687" s="5" t="s">
        <v>42</v>
      </c>
      <c r="H687" s="4"/>
      <c r="I687" s="4"/>
      <c r="J687" s="6"/>
      <c r="K687" s="6"/>
      <c r="L687" s="6"/>
      <c r="M687" s="4"/>
      <c r="N687" s="4"/>
      <c r="O687" s="4"/>
      <c r="P687" s="6"/>
      <c r="Q687" s="6"/>
      <c r="R687" s="6"/>
      <c r="S687" s="6"/>
      <c r="T687" s="4"/>
      <c r="U687" s="6"/>
      <c r="V687" s="6"/>
      <c r="W687" s="6"/>
      <c r="X687" s="6"/>
      <c r="Y687" s="4"/>
      <c r="Z687" s="6"/>
      <c r="AA687" s="4"/>
      <c r="AB687" s="4"/>
      <c r="AC687" s="4"/>
      <c r="AD687" s="6"/>
      <c r="AE687" s="4"/>
      <c r="AF687" s="4"/>
      <c r="AG687" s="4"/>
      <c r="AH687" s="4">
        <v>143711063900</v>
      </c>
    </row>
    <row r="688" spans="1:34" x14ac:dyDescent="0.25">
      <c r="A688" s="4">
        <v>687</v>
      </c>
      <c r="B688" s="5" t="s">
        <v>1491</v>
      </c>
      <c r="C688" s="5" t="s">
        <v>1492</v>
      </c>
      <c r="D688" s="5" t="s">
        <v>968</v>
      </c>
      <c r="E688" s="5" t="s">
        <v>40</v>
      </c>
      <c r="F688" s="5" t="s">
        <v>41</v>
      </c>
      <c r="G688" s="5" t="s">
        <v>42</v>
      </c>
      <c r="H688" s="4">
        <v>43541475493</v>
      </c>
      <c r="I688" s="4">
        <v>104272832051</v>
      </c>
      <c r="J688" s="6">
        <v>-0.16650000000000001</v>
      </c>
      <c r="K688" s="6">
        <v>6.3E-2</v>
      </c>
      <c r="L688" s="6">
        <v>1.7500000000000002E-2</v>
      </c>
      <c r="M688" s="4">
        <v>3596073415</v>
      </c>
      <c r="N688" s="4">
        <v>7172313456</v>
      </c>
      <c r="O688" s="4"/>
      <c r="P688" s="6">
        <v>0.12280000000000001</v>
      </c>
      <c r="Q688" s="6">
        <v>0.2147</v>
      </c>
      <c r="R688" s="6">
        <v>0.28000000000000003</v>
      </c>
      <c r="S688" s="6">
        <v>5.4999999999999997E-3</v>
      </c>
      <c r="T688" s="4"/>
      <c r="U688" s="6">
        <v>1.5906</v>
      </c>
      <c r="V688" s="6">
        <v>-0.80449999999999999</v>
      </c>
      <c r="W688" s="6">
        <v>-0.83209999999999995</v>
      </c>
      <c r="X688" s="6">
        <v>7.8100000000000003E-2</v>
      </c>
      <c r="Y688" s="4"/>
      <c r="Z688" s="6">
        <v>-0.28299999999999997</v>
      </c>
      <c r="AA688" s="4"/>
      <c r="AB688" s="4"/>
      <c r="AC688" s="4"/>
      <c r="AD688" s="6">
        <v>0</v>
      </c>
      <c r="AE688" s="4"/>
      <c r="AF688" s="4"/>
      <c r="AG688" s="4"/>
      <c r="AH688" s="4">
        <v>253203110400</v>
      </c>
    </row>
    <row r="689" spans="1:34" x14ac:dyDescent="0.25">
      <c r="A689" s="4">
        <v>688</v>
      </c>
      <c r="B689" s="5" t="s">
        <v>1493</v>
      </c>
      <c r="C689" s="5" t="s">
        <v>1494</v>
      </c>
      <c r="D689" s="5" t="s">
        <v>968</v>
      </c>
      <c r="E689" s="5" t="s">
        <v>75</v>
      </c>
      <c r="F689" s="5" t="s">
        <v>79</v>
      </c>
      <c r="G689" s="5" t="s">
        <v>612</v>
      </c>
      <c r="H689" s="4"/>
      <c r="I689" s="4"/>
      <c r="J689" s="6"/>
      <c r="K689" s="6"/>
      <c r="L689" s="6"/>
      <c r="M689" s="4"/>
      <c r="N689" s="4"/>
      <c r="O689" s="4"/>
      <c r="P689" s="6"/>
      <c r="Q689" s="6"/>
      <c r="R689" s="6"/>
      <c r="S689" s="6"/>
      <c r="T689" s="4"/>
      <c r="U689" s="6"/>
      <c r="V689" s="6"/>
      <c r="W689" s="6"/>
      <c r="X689" s="6"/>
      <c r="Y689" s="4"/>
      <c r="Z689" s="6"/>
      <c r="AA689" s="4"/>
      <c r="AB689" s="4"/>
      <c r="AC689" s="4"/>
      <c r="AD689" s="6"/>
      <c r="AE689" s="4"/>
      <c r="AF689" s="4"/>
      <c r="AG689" s="4"/>
      <c r="AH689" s="4">
        <v>624475674000</v>
      </c>
    </row>
    <row r="690" spans="1:34" x14ac:dyDescent="0.25">
      <c r="A690" s="4">
        <v>689</v>
      </c>
      <c r="B690" s="5" t="s">
        <v>1495</v>
      </c>
      <c r="C690" s="5" t="s">
        <v>1496</v>
      </c>
      <c r="D690" s="5" t="s">
        <v>968</v>
      </c>
      <c r="E690" s="5" t="s">
        <v>24</v>
      </c>
      <c r="F690" s="5" t="s">
        <v>56</v>
      </c>
      <c r="G690" s="5" t="s">
        <v>1044</v>
      </c>
      <c r="H690" s="4">
        <v>1717525535197</v>
      </c>
      <c r="I690" s="4">
        <v>3243178458383</v>
      </c>
      <c r="J690" s="6">
        <v>2.58E-2</v>
      </c>
      <c r="K690" s="6"/>
      <c r="L690" s="6"/>
      <c r="M690" s="4">
        <v>15100469345</v>
      </c>
      <c r="N690" s="4">
        <v>35693655307</v>
      </c>
      <c r="O690" s="4"/>
      <c r="P690" s="6">
        <v>-0.1802</v>
      </c>
      <c r="Q690" s="6"/>
      <c r="R690" s="6"/>
      <c r="S690" s="6">
        <v>-0.26669999999999999</v>
      </c>
      <c r="T690" s="4"/>
      <c r="U690" s="6"/>
      <c r="V690" s="6"/>
      <c r="W690" s="6"/>
      <c r="X690" s="6"/>
      <c r="Y690" s="4"/>
      <c r="Z690" s="6">
        <v>0.1258</v>
      </c>
      <c r="AA690" s="4"/>
      <c r="AB690" s="4"/>
      <c r="AC690" s="4"/>
      <c r="AD690" s="6"/>
      <c r="AE690" s="4"/>
      <c r="AF690" s="4"/>
      <c r="AG690" s="4"/>
      <c r="AH690" s="4">
        <v>391176916800</v>
      </c>
    </row>
    <row r="691" spans="1:34" x14ac:dyDescent="0.25">
      <c r="A691" s="4">
        <v>690</v>
      </c>
      <c r="B691" s="5" t="s">
        <v>1497</v>
      </c>
      <c r="C691" s="5" t="s">
        <v>1498</v>
      </c>
      <c r="D691" s="5" t="s">
        <v>968</v>
      </c>
      <c r="E691" s="5" t="s">
        <v>40</v>
      </c>
      <c r="F691" s="5" t="s">
        <v>52</v>
      </c>
      <c r="G691" s="5" t="s">
        <v>53</v>
      </c>
      <c r="H691" s="4">
        <v>84446841589</v>
      </c>
      <c r="I691" s="4">
        <v>134771573913</v>
      </c>
      <c r="J691" s="6">
        <v>8.4199999999999997E-2</v>
      </c>
      <c r="K691" s="6"/>
      <c r="L691" s="6"/>
      <c r="M691" s="4">
        <v>701792711</v>
      </c>
      <c r="N691" s="4">
        <v>830328449</v>
      </c>
      <c r="O691" s="4"/>
      <c r="P691" s="6">
        <v>4.3085000000000004</v>
      </c>
      <c r="Q691" s="6"/>
      <c r="R691" s="6"/>
      <c r="S691" s="6">
        <v>4.4599000000000002</v>
      </c>
      <c r="T691" s="4"/>
      <c r="U691" s="6"/>
      <c r="V691" s="6"/>
      <c r="W691" s="6"/>
      <c r="X691" s="6"/>
      <c r="Y691" s="4"/>
      <c r="Z691" s="6">
        <v>0.67800000000000005</v>
      </c>
      <c r="AA691" s="4"/>
      <c r="AB691" s="4"/>
      <c r="AC691" s="4"/>
      <c r="AD691" s="6"/>
      <c r="AE691" s="4"/>
      <c r="AF691" s="4"/>
      <c r="AG691" s="4"/>
      <c r="AH691" s="4">
        <v>33600000000</v>
      </c>
    </row>
    <row r="692" spans="1:34" x14ac:dyDescent="0.25">
      <c r="A692" s="4">
        <v>691</v>
      </c>
      <c r="B692" s="5" t="s">
        <v>1499</v>
      </c>
      <c r="C692" s="5" t="s">
        <v>1500</v>
      </c>
      <c r="D692" s="5" t="s">
        <v>968</v>
      </c>
      <c r="E692" s="5" t="s">
        <v>185</v>
      </c>
      <c r="F692" s="5" t="s">
        <v>185</v>
      </c>
      <c r="G692" s="5" t="s">
        <v>186</v>
      </c>
      <c r="H692" s="4">
        <v>5670000000</v>
      </c>
      <c r="I692" s="4">
        <v>5670000000</v>
      </c>
      <c r="J692" s="6">
        <v>8.4499999999999993</v>
      </c>
      <c r="K692" s="6">
        <v>5.3</v>
      </c>
      <c r="L692" s="6">
        <v>5.1534000000000004</v>
      </c>
      <c r="M692" s="4">
        <v>845375696</v>
      </c>
      <c r="N692" s="4">
        <v>-58565444</v>
      </c>
      <c r="O692" s="4"/>
      <c r="P692" s="6">
        <v>32.265300000000003</v>
      </c>
      <c r="Q692" s="6">
        <v>-2.2970000000000002</v>
      </c>
      <c r="R692" s="6">
        <v>0.37469999999999998</v>
      </c>
      <c r="S692" s="6">
        <v>1.9352</v>
      </c>
      <c r="T692" s="4"/>
      <c r="U692" s="6">
        <v>-0.85819999999999996</v>
      </c>
      <c r="V692" s="6">
        <v>-0.97819999999999996</v>
      </c>
      <c r="W692" s="6">
        <v>-1.0117</v>
      </c>
      <c r="X692" s="6">
        <v>7.6899999999999996E-2</v>
      </c>
      <c r="Y692" s="4"/>
      <c r="Z692" s="6">
        <v>0</v>
      </c>
      <c r="AA692" s="4"/>
      <c r="AB692" s="4"/>
      <c r="AC692" s="4"/>
      <c r="AD692" s="6">
        <v>0</v>
      </c>
      <c r="AE692" s="4"/>
      <c r="AF692" s="4"/>
      <c r="AG692" s="4"/>
      <c r="AH692" s="4">
        <v>277014608000</v>
      </c>
    </row>
    <row r="693" spans="1:34" x14ac:dyDescent="0.25">
      <c r="A693" s="4">
        <v>692</v>
      </c>
      <c r="B693" s="5" t="s">
        <v>1501</v>
      </c>
      <c r="C693" s="5" t="s">
        <v>1502</v>
      </c>
      <c r="D693" s="5" t="s">
        <v>968</v>
      </c>
      <c r="E693" s="5" t="s">
        <v>40</v>
      </c>
      <c r="F693" s="5" t="s">
        <v>52</v>
      </c>
      <c r="G693" s="5" t="s">
        <v>110</v>
      </c>
      <c r="H693" s="4"/>
      <c r="I693" s="4"/>
      <c r="J693" s="6"/>
      <c r="K693" s="6"/>
      <c r="L693" s="6"/>
      <c r="M693" s="4"/>
      <c r="N693" s="4"/>
      <c r="O693" s="4"/>
      <c r="P693" s="6"/>
      <c r="Q693" s="6"/>
      <c r="R693" s="6"/>
      <c r="S693" s="6"/>
      <c r="T693" s="4"/>
      <c r="U693" s="6"/>
      <c r="V693" s="6"/>
      <c r="W693" s="6"/>
      <c r="X693" s="6"/>
      <c r="Y693" s="4"/>
      <c r="Z693" s="6"/>
      <c r="AA693" s="4"/>
      <c r="AB693" s="4"/>
      <c r="AC693" s="4"/>
      <c r="AD693" s="6"/>
      <c r="AE693" s="4"/>
      <c r="AF693" s="4"/>
      <c r="AG693" s="4"/>
      <c r="AH693" s="4">
        <v>130323200000</v>
      </c>
    </row>
    <row r="694" spans="1:34" x14ac:dyDescent="0.25">
      <c r="A694" s="4">
        <v>693</v>
      </c>
      <c r="B694" s="5" t="s">
        <v>1503</v>
      </c>
      <c r="C694" s="5" t="s">
        <v>1504</v>
      </c>
      <c r="D694" s="5" t="s">
        <v>968</v>
      </c>
      <c r="E694" s="5" t="s">
        <v>75</v>
      </c>
      <c r="F694" s="5" t="s">
        <v>76</v>
      </c>
      <c r="G694" s="5" t="s">
        <v>76</v>
      </c>
      <c r="H694" s="4">
        <v>17028525310</v>
      </c>
      <c r="I694" s="4">
        <v>39344715259</v>
      </c>
      <c r="J694" s="6">
        <v>-0.70430000000000004</v>
      </c>
      <c r="K694" s="6">
        <v>-0.59809999999999997</v>
      </c>
      <c r="L694" s="6">
        <v>-0.27129999999999999</v>
      </c>
      <c r="M694" s="4">
        <v>219295737</v>
      </c>
      <c r="N694" s="4">
        <v>383050116</v>
      </c>
      <c r="O694" s="4"/>
      <c r="P694" s="6">
        <v>6.5000000000000002E-2</v>
      </c>
      <c r="Q694" s="6">
        <v>0.1603</v>
      </c>
      <c r="R694" s="6">
        <v>5.6375999999999999</v>
      </c>
      <c r="S694" s="6">
        <v>0.3392</v>
      </c>
      <c r="T694" s="4"/>
      <c r="U694" s="6">
        <v>-0.76690000000000003</v>
      </c>
      <c r="V694" s="6">
        <v>-0.90880000000000005</v>
      </c>
      <c r="W694" s="6">
        <v>-0.88600000000000001</v>
      </c>
      <c r="X694" s="6">
        <v>0</v>
      </c>
      <c r="Y694" s="4"/>
      <c r="Z694" s="6">
        <v>-0.2369</v>
      </c>
      <c r="AA694" s="4"/>
      <c r="AB694" s="4"/>
      <c r="AC694" s="4"/>
      <c r="AD694" s="6">
        <v>0</v>
      </c>
      <c r="AE694" s="4"/>
      <c r="AF694" s="4"/>
      <c r="AG694" s="4"/>
      <c r="AH694" s="4">
        <v>67198818400</v>
      </c>
    </row>
    <row r="695" spans="1:34" x14ac:dyDescent="0.25">
      <c r="A695" s="4">
        <v>694</v>
      </c>
      <c r="B695" s="5" t="s">
        <v>1505</v>
      </c>
      <c r="C695" s="5" t="s">
        <v>1506</v>
      </c>
      <c r="D695" s="5" t="s">
        <v>968</v>
      </c>
      <c r="E695" s="5" t="s">
        <v>40</v>
      </c>
      <c r="F695" s="5" t="s">
        <v>41</v>
      </c>
      <c r="G695" s="5" t="s">
        <v>90</v>
      </c>
      <c r="H695" s="4"/>
      <c r="I695" s="4"/>
      <c r="J695" s="6"/>
      <c r="K695" s="6"/>
      <c r="L695" s="6"/>
      <c r="M695" s="4"/>
      <c r="N695" s="4"/>
      <c r="O695" s="4"/>
      <c r="P695" s="6"/>
      <c r="Q695" s="6"/>
      <c r="R695" s="6"/>
      <c r="S695" s="6"/>
      <c r="T695" s="4"/>
      <c r="U695" s="6"/>
      <c r="V695" s="6"/>
      <c r="W695" s="6"/>
      <c r="X695" s="6"/>
      <c r="Y695" s="4"/>
      <c r="Z695" s="6"/>
      <c r="AA695" s="4"/>
      <c r="AB695" s="4"/>
      <c r="AC695" s="4"/>
      <c r="AD695" s="6"/>
      <c r="AE695" s="4"/>
      <c r="AF695" s="4"/>
      <c r="AG695" s="4"/>
      <c r="AH695" s="4">
        <v>134249284000</v>
      </c>
    </row>
    <row r="696" spans="1:34" x14ac:dyDescent="0.25">
      <c r="A696" s="4">
        <v>695</v>
      </c>
      <c r="B696" s="5" t="s">
        <v>1507</v>
      </c>
      <c r="C696" s="5" t="s">
        <v>1508</v>
      </c>
      <c r="D696" s="5" t="s">
        <v>968</v>
      </c>
      <c r="E696" s="5" t="s">
        <v>40</v>
      </c>
      <c r="F696" s="5" t="s">
        <v>52</v>
      </c>
      <c r="G696" s="5" t="s">
        <v>110</v>
      </c>
      <c r="H696" s="4"/>
      <c r="I696" s="4"/>
      <c r="J696" s="6"/>
      <c r="K696" s="6"/>
      <c r="L696" s="6"/>
      <c r="M696" s="4"/>
      <c r="N696" s="4"/>
      <c r="O696" s="4"/>
      <c r="P696" s="6"/>
      <c r="Q696" s="6"/>
      <c r="R696" s="6"/>
      <c r="S696" s="6"/>
      <c r="T696" s="4"/>
      <c r="U696" s="6"/>
      <c r="V696" s="6"/>
      <c r="W696" s="6"/>
      <c r="X696" s="6"/>
      <c r="Y696" s="4"/>
      <c r="Z696" s="6"/>
      <c r="AA696" s="4"/>
      <c r="AB696" s="4"/>
      <c r="AC696" s="4"/>
      <c r="AD696" s="6"/>
      <c r="AE696" s="4"/>
      <c r="AF696" s="4"/>
      <c r="AG696" s="4"/>
      <c r="AH696" s="4">
        <v>154800000000</v>
      </c>
    </row>
    <row r="697" spans="1:34" x14ac:dyDescent="0.25">
      <c r="A697" s="4">
        <v>696</v>
      </c>
      <c r="B697" s="5" t="s">
        <v>1509</v>
      </c>
      <c r="C697" s="5" t="s">
        <v>1510</v>
      </c>
      <c r="D697" s="5" t="s">
        <v>968</v>
      </c>
      <c r="E697" s="5" t="s">
        <v>40</v>
      </c>
      <c r="F697" s="5" t="s">
        <v>52</v>
      </c>
      <c r="G697" s="5" t="s">
        <v>110</v>
      </c>
      <c r="H697" s="4"/>
      <c r="I697" s="4"/>
      <c r="J697" s="6"/>
      <c r="K697" s="6"/>
      <c r="L697" s="6"/>
      <c r="M697" s="4"/>
      <c r="N697" s="4"/>
      <c r="O697" s="4"/>
      <c r="P697" s="6"/>
      <c r="Q697" s="6"/>
      <c r="R697" s="6"/>
      <c r="S697" s="6"/>
      <c r="T697" s="4"/>
      <c r="U697" s="6"/>
      <c r="V697" s="6"/>
      <c r="W697" s="6"/>
      <c r="X697" s="6"/>
      <c r="Y697" s="4"/>
      <c r="Z697" s="6"/>
      <c r="AA697" s="4"/>
      <c r="AB697" s="4"/>
      <c r="AC697" s="4"/>
      <c r="AD697" s="6"/>
      <c r="AE697" s="4"/>
      <c r="AF697" s="4"/>
      <c r="AG697" s="4"/>
      <c r="AH697" s="4">
        <v>287452995000</v>
      </c>
    </row>
    <row r="698" spans="1:34" x14ac:dyDescent="0.25">
      <c r="A698" s="4">
        <v>697</v>
      </c>
      <c r="B698" s="5" t="s">
        <v>1511</v>
      </c>
      <c r="C698" s="5" t="s">
        <v>1512</v>
      </c>
      <c r="D698" s="5" t="s">
        <v>968</v>
      </c>
      <c r="E698" s="5" t="s">
        <v>75</v>
      </c>
      <c r="F698" s="5" t="s">
        <v>76</v>
      </c>
      <c r="G698" s="5" t="s">
        <v>300</v>
      </c>
      <c r="H698" s="4"/>
      <c r="I698" s="4"/>
      <c r="J698" s="6"/>
      <c r="K698" s="6"/>
      <c r="L698" s="6"/>
      <c r="M698" s="4"/>
      <c r="N698" s="4"/>
      <c r="O698" s="4"/>
      <c r="P698" s="6"/>
      <c r="Q698" s="6"/>
      <c r="R698" s="6"/>
      <c r="S698" s="6"/>
      <c r="T698" s="4"/>
      <c r="U698" s="6"/>
      <c r="V698" s="6"/>
      <c r="W698" s="6"/>
      <c r="X698" s="6"/>
      <c r="Y698" s="4"/>
      <c r="Z698" s="6"/>
      <c r="AA698" s="4"/>
      <c r="AB698" s="4"/>
      <c r="AC698" s="4"/>
      <c r="AD698" s="6"/>
      <c r="AE698" s="4"/>
      <c r="AF698" s="4"/>
      <c r="AG698" s="4"/>
      <c r="AH698" s="4">
        <v>3571087856400</v>
      </c>
    </row>
    <row r="699" spans="1:34" x14ac:dyDescent="0.25">
      <c r="A699" s="4">
        <v>698</v>
      </c>
      <c r="B699" s="5" t="s">
        <v>1513</v>
      </c>
      <c r="C699" s="5" t="s">
        <v>1514</v>
      </c>
      <c r="D699" s="5" t="s">
        <v>968</v>
      </c>
      <c r="E699" s="5" t="s">
        <v>40</v>
      </c>
      <c r="F699" s="5" t="s">
        <v>52</v>
      </c>
      <c r="G699" s="5" t="s">
        <v>110</v>
      </c>
      <c r="H699" s="4"/>
      <c r="I699" s="4"/>
      <c r="J699" s="6"/>
      <c r="K699" s="6"/>
      <c r="L699" s="6"/>
      <c r="M699" s="4"/>
      <c r="N699" s="4"/>
      <c r="O699" s="4"/>
      <c r="P699" s="6"/>
      <c r="Q699" s="6"/>
      <c r="R699" s="6"/>
      <c r="S699" s="6"/>
      <c r="T699" s="4"/>
      <c r="U699" s="6"/>
      <c r="V699" s="6"/>
      <c r="W699" s="6"/>
      <c r="X699" s="6"/>
      <c r="Y699" s="4"/>
      <c r="Z699" s="6"/>
      <c r="AA699" s="4"/>
      <c r="AB699" s="4"/>
      <c r="AC699" s="4"/>
      <c r="AD699" s="6"/>
      <c r="AE699" s="4"/>
      <c r="AF699" s="4"/>
      <c r="AG699" s="4"/>
      <c r="AH699" s="4">
        <v>265540688700</v>
      </c>
    </row>
    <row r="700" spans="1:34" x14ac:dyDescent="0.25">
      <c r="A700" s="4">
        <v>699</v>
      </c>
      <c r="B700" s="5" t="s">
        <v>1515</v>
      </c>
      <c r="C700" s="5" t="s">
        <v>1516</v>
      </c>
      <c r="D700" s="5" t="s">
        <v>968</v>
      </c>
      <c r="E700" s="5" t="s">
        <v>40</v>
      </c>
      <c r="F700" s="5" t="s">
        <v>52</v>
      </c>
      <c r="G700" s="5" t="s">
        <v>110</v>
      </c>
      <c r="H700" s="4"/>
      <c r="I700" s="4"/>
      <c r="J700" s="6"/>
      <c r="K700" s="6"/>
      <c r="L700" s="6"/>
      <c r="M700" s="4"/>
      <c r="N700" s="4"/>
      <c r="O700" s="4"/>
      <c r="P700" s="6"/>
      <c r="Q700" s="6"/>
      <c r="R700" s="6"/>
      <c r="S700" s="6"/>
      <c r="T700" s="4"/>
      <c r="U700" s="6"/>
      <c r="V700" s="6"/>
      <c r="W700" s="6"/>
      <c r="X700" s="6"/>
      <c r="Y700" s="4"/>
      <c r="Z700" s="6"/>
      <c r="AA700" s="4"/>
      <c r="AB700" s="4"/>
      <c r="AC700" s="4"/>
      <c r="AD700" s="6"/>
      <c r="AE700" s="4"/>
      <c r="AF700" s="4"/>
      <c r="AG700" s="4"/>
      <c r="AH700" s="4">
        <v>739897281200</v>
      </c>
    </row>
    <row r="701" spans="1:34" x14ac:dyDescent="0.25">
      <c r="A701" s="4">
        <v>700</v>
      </c>
      <c r="B701" s="5" t="s">
        <v>1517</v>
      </c>
      <c r="C701" s="5" t="s">
        <v>1518</v>
      </c>
      <c r="D701" s="5" t="s">
        <v>968</v>
      </c>
      <c r="E701" s="5" t="s">
        <v>40</v>
      </c>
      <c r="F701" s="5" t="s">
        <v>52</v>
      </c>
      <c r="G701" s="5" t="s">
        <v>110</v>
      </c>
      <c r="H701" s="4"/>
      <c r="I701" s="4"/>
      <c r="J701" s="6"/>
      <c r="K701" s="6"/>
      <c r="L701" s="6"/>
      <c r="M701" s="4"/>
      <c r="N701" s="4"/>
      <c r="O701" s="4"/>
      <c r="P701" s="6"/>
      <c r="Q701" s="6"/>
      <c r="R701" s="6"/>
      <c r="S701" s="6"/>
      <c r="T701" s="4"/>
      <c r="U701" s="6"/>
      <c r="V701" s="6"/>
      <c r="W701" s="6"/>
      <c r="X701" s="6"/>
      <c r="Y701" s="4"/>
      <c r="Z701" s="6"/>
      <c r="AA701" s="4"/>
      <c r="AB701" s="4"/>
      <c r="AC701" s="4"/>
      <c r="AD701" s="6"/>
      <c r="AE701" s="4"/>
      <c r="AF701" s="4"/>
      <c r="AG701" s="4"/>
      <c r="AH701" s="4">
        <v>75128400000</v>
      </c>
    </row>
    <row r="702" spans="1:34" x14ac:dyDescent="0.25">
      <c r="A702" s="4">
        <v>701</v>
      </c>
      <c r="B702" s="5" t="s">
        <v>1519</v>
      </c>
      <c r="C702" s="5" t="s">
        <v>1520</v>
      </c>
      <c r="D702" s="5" t="s">
        <v>968</v>
      </c>
      <c r="E702" s="5" t="s">
        <v>40</v>
      </c>
      <c r="F702" s="5" t="s">
        <v>52</v>
      </c>
      <c r="G702" s="5" t="s">
        <v>110</v>
      </c>
      <c r="H702" s="4"/>
      <c r="I702" s="4"/>
      <c r="J702" s="6"/>
      <c r="K702" s="6"/>
      <c r="L702" s="6"/>
      <c r="M702" s="4"/>
      <c r="N702" s="4"/>
      <c r="O702" s="4"/>
      <c r="P702" s="6"/>
      <c r="Q702" s="6"/>
      <c r="R702" s="6"/>
      <c r="S702" s="6"/>
      <c r="T702" s="4"/>
      <c r="U702" s="6"/>
      <c r="V702" s="6"/>
      <c r="W702" s="6"/>
      <c r="X702" s="6"/>
      <c r="Y702" s="4"/>
      <c r="Z702" s="6"/>
      <c r="AA702" s="4"/>
      <c r="AB702" s="4"/>
      <c r="AC702" s="4"/>
      <c r="AD702" s="6"/>
      <c r="AE702" s="4"/>
      <c r="AF702" s="4"/>
      <c r="AG702" s="4"/>
      <c r="AH702" s="4">
        <v>223200000000</v>
      </c>
    </row>
    <row r="703" spans="1:34" x14ac:dyDescent="0.25">
      <c r="A703" s="4">
        <v>702</v>
      </c>
      <c r="B703" s="5" t="s">
        <v>1521</v>
      </c>
      <c r="C703" s="5" t="s">
        <v>1522</v>
      </c>
      <c r="D703" s="5" t="s">
        <v>968</v>
      </c>
      <c r="E703" s="5" t="s">
        <v>40</v>
      </c>
      <c r="F703" s="5" t="s">
        <v>41</v>
      </c>
      <c r="G703" s="5" t="s">
        <v>519</v>
      </c>
      <c r="H703" s="4"/>
      <c r="I703" s="4"/>
      <c r="J703" s="6"/>
      <c r="K703" s="6"/>
      <c r="L703" s="6"/>
      <c r="M703" s="4"/>
      <c r="N703" s="4"/>
      <c r="O703" s="4"/>
      <c r="P703" s="6"/>
      <c r="Q703" s="6"/>
      <c r="R703" s="6"/>
      <c r="S703" s="6"/>
      <c r="T703" s="4"/>
      <c r="U703" s="6"/>
      <c r="V703" s="6"/>
      <c r="W703" s="6"/>
      <c r="X703" s="6"/>
      <c r="Y703" s="4"/>
      <c r="Z703" s="6"/>
      <c r="AA703" s="4"/>
      <c r="AB703" s="4"/>
      <c r="AC703" s="4"/>
      <c r="AD703" s="6"/>
      <c r="AE703" s="4"/>
      <c r="AF703" s="4"/>
      <c r="AG703" s="4"/>
      <c r="AH703" s="4">
        <v>96000000000</v>
      </c>
    </row>
    <row r="704" spans="1:34" x14ac:dyDescent="0.25">
      <c r="A704" s="4">
        <v>703</v>
      </c>
      <c r="B704" s="5" t="s">
        <v>1523</v>
      </c>
      <c r="C704" s="5" t="s">
        <v>1524</v>
      </c>
      <c r="D704" s="5" t="s">
        <v>968</v>
      </c>
      <c r="E704" s="5" t="s">
        <v>40</v>
      </c>
      <c r="F704" s="5" t="s">
        <v>52</v>
      </c>
      <c r="G704" s="5" t="s">
        <v>53</v>
      </c>
      <c r="H704" s="4"/>
      <c r="I704" s="4"/>
      <c r="J704" s="6"/>
      <c r="K704" s="6"/>
      <c r="L704" s="6"/>
      <c r="M704" s="4"/>
      <c r="N704" s="4"/>
      <c r="O704" s="4"/>
      <c r="P704" s="6"/>
      <c r="Q704" s="6"/>
      <c r="R704" s="6"/>
      <c r="S704" s="6"/>
      <c r="T704" s="4"/>
      <c r="U704" s="6"/>
      <c r="V704" s="6"/>
      <c r="W704" s="6"/>
      <c r="X704" s="6"/>
      <c r="Y704" s="4"/>
      <c r="Z704" s="6"/>
      <c r="AA704" s="4"/>
      <c r="AB704" s="4"/>
      <c r="AC704" s="4"/>
      <c r="AD704" s="6"/>
      <c r="AE704" s="4"/>
      <c r="AF704" s="4"/>
      <c r="AG704" s="4"/>
      <c r="AH704" s="4">
        <v>5232000000000</v>
      </c>
    </row>
    <row r="705" spans="1:34" x14ac:dyDescent="0.25">
      <c r="A705" s="4">
        <v>704</v>
      </c>
      <c r="B705" s="5" t="s">
        <v>1525</v>
      </c>
      <c r="C705" s="5" t="s">
        <v>1526</v>
      </c>
      <c r="D705" s="5" t="s">
        <v>968</v>
      </c>
      <c r="E705" s="5" t="s">
        <v>29</v>
      </c>
      <c r="F705" s="5" t="s">
        <v>30</v>
      </c>
      <c r="G705" s="5" t="s">
        <v>1527</v>
      </c>
      <c r="H705" s="4"/>
      <c r="I705" s="4"/>
      <c r="J705" s="6"/>
      <c r="K705" s="6"/>
      <c r="L705" s="6"/>
      <c r="M705" s="4"/>
      <c r="N705" s="4"/>
      <c r="O705" s="4"/>
      <c r="P705" s="6"/>
      <c r="Q705" s="6"/>
      <c r="R705" s="6"/>
      <c r="S705" s="6"/>
      <c r="T705" s="4"/>
      <c r="U705" s="6"/>
      <c r="V705" s="6"/>
      <c r="W705" s="6"/>
      <c r="X705" s="6"/>
      <c r="Y705" s="4"/>
      <c r="Z705" s="6"/>
      <c r="AA705" s="4"/>
      <c r="AB705" s="4"/>
      <c r="AC705" s="4"/>
      <c r="AD705" s="6"/>
      <c r="AE705" s="4"/>
      <c r="AF705" s="4"/>
      <c r="AG705" s="4"/>
      <c r="AH705" s="4">
        <v>114325770000</v>
      </c>
    </row>
    <row r="706" spans="1:34" x14ac:dyDescent="0.25">
      <c r="A706" s="4">
        <v>705</v>
      </c>
      <c r="B706" s="5" t="s">
        <v>1528</v>
      </c>
      <c r="C706" s="5" t="s">
        <v>1529</v>
      </c>
      <c r="D706" s="5" t="s">
        <v>968</v>
      </c>
      <c r="E706" s="5" t="s">
        <v>40</v>
      </c>
      <c r="F706" s="5" t="s">
        <v>52</v>
      </c>
      <c r="G706" s="5" t="s">
        <v>110</v>
      </c>
      <c r="H706" s="4">
        <v>0</v>
      </c>
      <c r="I706" s="4">
        <v>0</v>
      </c>
      <c r="J706" s="6">
        <v>-1</v>
      </c>
      <c r="K706" s="6"/>
      <c r="L706" s="6"/>
      <c r="M706" s="4">
        <v>-561133996</v>
      </c>
      <c r="N706" s="4">
        <v>-1665417556</v>
      </c>
      <c r="O706" s="4"/>
      <c r="P706" s="6">
        <v>-0.6704</v>
      </c>
      <c r="Q706" s="6"/>
      <c r="R706" s="6"/>
      <c r="S706" s="6">
        <v>0.4919</v>
      </c>
      <c r="T706" s="4"/>
      <c r="U706" s="6"/>
      <c r="V706" s="6"/>
      <c r="W706" s="6"/>
      <c r="X706" s="6"/>
      <c r="Y706" s="4"/>
      <c r="Z706" s="6">
        <v>0</v>
      </c>
      <c r="AA706" s="4"/>
      <c r="AB706" s="4"/>
      <c r="AC706" s="4"/>
      <c r="AD706" s="6"/>
      <c r="AE706" s="4"/>
      <c r="AF706" s="4"/>
      <c r="AG706" s="4"/>
      <c r="AH706" s="4">
        <v>17793840000</v>
      </c>
    </row>
    <row r="707" spans="1:34" x14ac:dyDescent="0.25">
      <c r="A707" s="4">
        <v>706</v>
      </c>
      <c r="B707" s="5" t="s">
        <v>1530</v>
      </c>
      <c r="C707" s="5" t="s">
        <v>1531</v>
      </c>
      <c r="D707" s="5" t="s">
        <v>968</v>
      </c>
      <c r="E707" s="5" t="s">
        <v>40</v>
      </c>
      <c r="F707" s="5" t="s">
        <v>52</v>
      </c>
      <c r="G707" s="5" t="s">
        <v>110</v>
      </c>
      <c r="H707" s="4"/>
      <c r="I707" s="4"/>
      <c r="J707" s="6"/>
      <c r="K707" s="6"/>
      <c r="L707" s="6"/>
      <c r="M707" s="4"/>
      <c r="N707" s="4"/>
      <c r="O707" s="4"/>
      <c r="P707" s="6"/>
      <c r="Q707" s="6"/>
      <c r="R707" s="6"/>
      <c r="S707" s="6"/>
      <c r="T707" s="4"/>
      <c r="U707" s="6"/>
      <c r="V707" s="6"/>
      <c r="W707" s="6"/>
      <c r="X707" s="6"/>
      <c r="Y707" s="4"/>
      <c r="Z707" s="6"/>
      <c r="AA707" s="4"/>
      <c r="AB707" s="4"/>
      <c r="AC707" s="4"/>
      <c r="AD707" s="6"/>
      <c r="AE707" s="4"/>
      <c r="AF707" s="4"/>
      <c r="AG707" s="4"/>
      <c r="AH707" s="4">
        <v>19720000000</v>
      </c>
    </row>
    <row r="708" spans="1:34" x14ac:dyDescent="0.25">
      <c r="A708" s="4">
        <v>707</v>
      </c>
      <c r="B708" s="5" t="s">
        <v>1532</v>
      </c>
      <c r="C708" s="5" t="s">
        <v>1533</v>
      </c>
      <c r="D708" s="5" t="s">
        <v>968</v>
      </c>
      <c r="E708" s="5" t="s">
        <v>40</v>
      </c>
      <c r="F708" s="5" t="s">
        <v>52</v>
      </c>
      <c r="G708" s="5" t="s">
        <v>110</v>
      </c>
      <c r="H708" s="4">
        <v>2753061872</v>
      </c>
      <c r="I708" s="4">
        <v>7759668254</v>
      </c>
      <c r="J708" s="6">
        <v>-0.80620000000000003</v>
      </c>
      <c r="K708" s="6"/>
      <c r="L708" s="6"/>
      <c r="M708" s="4">
        <v>104759003</v>
      </c>
      <c r="N708" s="4">
        <v>-623069119</v>
      </c>
      <c r="O708" s="4"/>
      <c r="P708" s="6">
        <v>2.8102999999999998</v>
      </c>
      <c r="Q708" s="6"/>
      <c r="R708" s="6"/>
      <c r="S708" s="6">
        <v>1.1438999999999999</v>
      </c>
      <c r="T708" s="4"/>
      <c r="U708" s="6"/>
      <c r="V708" s="6"/>
      <c r="W708" s="6"/>
      <c r="X708" s="6"/>
      <c r="Y708" s="4"/>
      <c r="Z708" s="6">
        <v>-0.4501</v>
      </c>
      <c r="AA708" s="4"/>
      <c r="AB708" s="4"/>
      <c r="AC708" s="4"/>
      <c r="AD708" s="6"/>
      <c r="AE708" s="4"/>
      <c r="AF708" s="4"/>
      <c r="AG708" s="4"/>
      <c r="AH708" s="4">
        <v>787280000000</v>
      </c>
    </row>
    <row r="709" spans="1:34" x14ac:dyDescent="0.25">
      <c r="A709" s="4">
        <v>708</v>
      </c>
      <c r="B709" s="5" t="s">
        <v>1534</v>
      </c>
      <c r="C709" s="5" t="s">
        <v>1535</v>
      </c>
      <c r="D709" s="5" t="s">
        <v>968</v>
      </c>
      <c r="E709" s="5" t="s">
        <v>75</v>
      </c>
      <c r="F709" s="5" t="s">
        <v>79</v>
      </c>
      <c r="G709" s="5" t="s">
        <v>80</v>
      </c>
      <c r="H709" s="4">
        <v>170636847154</v>
      </c>
      <c r="I709" s="4">
        <v>300799045224</v>
      </c>
      <c r="J709" s="6">
        <v>0.52190000000000003</v>
      </c>
      <c r="K709" s="6">
        <v>0.46479999999999999</v>
      </c>
      <c r="L709" s="6">
        <v>0.54300000000000004</v>
      </c>
      <c r="M709" s="4">
        <v>30481419984</v>
      </c>
      <c r="N709" s="4">
        <v>56012308392</v>
      </c>
      <c r="O709" s="4"/>
      <c r="P709" s="6">
        <v>-0.128</v>
      </c>
      <c r="Q709" s="6">
        <v>-0.15989999999999999</v>
      </c>
      <c r="R709" s="6">
        <v>-5.8099999999999999E-2</v>
      </c>
      <c r="S709" s="6">
        <v>0.19389999999999999</v>
      </c>
      <c r="T709" s="4"/>
      <c r="U709" s="6">
        <v>-0.50609999999999999</v>
      </c>
      <c r="V709" s="6">
        <v>-0.65880000000000005</v>
      </c>
      <c r="W709" s="6">
        <v>-0.65800000000000003</v>
      </c>
      <c r="X709" s="6">
        <v>0.1031</v>
      </c>
      <c r="Y709" s="4"/>
      <c r="Z709" s="6">
        <v>0.311</v>
      </c>
      <c r="AA709" s="4"/>
      <c r="AB709" s="4"/>
      <c r="AC709" s="4"/>
      <c r="AD709" s="6">
        <v>0</v>
      </c>
      <c r="AE709" s="4"/>
      <c r="AF709" s="4"/>
      <c r="AG709" s="4"/>
      <c r="AH709" s="4">
        <v>1493445319500</v>
      </c>
    </row>
    <row r="710" spans="1:34" x14ac:dyDescent="0.25">
      <c r="A710" s="4">
        <v>709</v>
      </c>
      <c r="B710" s="5" t="s">
        <v>1536</v>
      </c>
      <c r="C710" s="5" t="s">
        <v>1537</v>
      </c>
      <c r="D710" s="5" t="s">
        <v>968</v>
      </c>
      <c r="E710" s="5" t="s">
        <v>40</v>
      </c>
      <c r="F710" s="5" t="s">
        <v>41</v>
      </c>
      <c r="G710" s="5" t="s">
        <v>93</v>
      </c>
      <c r="H710" s="4"/>
      <c r="I710" s="4"/>
      <c r="J710" s="6"/>
      <c r="K710" s="6"/>
      <c r="L710" s="6"/>
      <c r="M710" s="4"/>
      <c r="N710" s="4"/>
      <c r="O710" s="4"/>
      <c r="P710" s="6"/>
      <c r="Q710" s="6"/>
      <c r="R710" s="6"/>
      <c r="S710" s="6"/>
      <c r="T710" s="4"/>
      <c r="U710" s="6"/>
      <c r="V710" s="6"/>
      <c r="W710" s="6"/>
      <c r="X710" s="6"/>
      <c r="Y710" s="4"/>
      <c r="Z710" s="6"/>
      <c r="AA710" s="4"/>
      <c r="AB710" s="4"/>
      <c r="AC710" s="4"/>
      <c r="AD710" s="6"/>
      <c r="AE710" s="4"/>
      <c r="AF710" s="4"/>
      <c r="AG710" s="4"/>
      <c r="AH710" s="4">
        <v>206604340800</v>
      </c>
    </row>
    <row r="711" spans="1:34" x14ac:dyDescent="0.25">
      <c r="A711" s="4">
        <v>710</v>
      </c>
      <c r="B711" s="5" t="s">
        <v>1538</v>
      </c>
      <c r="C711" s="5" t="s">
        <v>1539</v>
      </c>
      <c r="D711" s="5" t="s">
        <v>968</v>
      </c>
      <c r="E711" s="5" t="s">
        <v>24</v>
      </c>
      <c r="F711" s="5" t="s">
        <v>56</v>
      </c>
      <c r="G711" s="5" t="s">
        <v>291</v>
      </c>
      <c r="H711" s="4"/>
      <c r="I711" s="4"/>
      <c r="J711" s="6"/>
      <c r="K711" s="6"/>
      <c r="L711" s="6"/>
      <c r="M711" s="4"/>
      <c r="N711" s="4"/>
      <c r="O711" s="4"/>
      <c r="P711" s="6"/>
      <c r="Q711" s="6"/>
      <c r="R711" s="6"/>
      <c r="S711" s="6"/>
      <c r="T711" s="4"/>
      <c r="U711" s="6"/>
      <c r="V711" s="6"/>
      <c r="W711" s="6"/>
      <c r="X711" s="6"/>
      <c r="Y711" s="4"/>
      <c r="Z711" s="6"/>
      <c r="AA711" s="4"/>
      <c r="AB711" s="4"/>
      <c r="AC711" s="4"/>
      <c r="AD711" s="6"/>
      <c r="AE711" s="4"/>
      <c r="AF711" s="4"/>
      <c r="AG711" s="4"/>
      <c r="AH711" s="4">
        <v>1088977543500</v>
      </c>
    </row>
    <row r="712" spans="1:34" x14ac:dyDescent="0.25">
      <c r="A712" s="4">
        <v>711</v>
      </c>
      <c r="B712" s="5" t="s">
        <v>1540</v>
      </c>
      <c r="C712" s="5" t="s">
        <v>1541</v>
      </c>
      <c r="D712" s="5" t="s">
        <v>968</v>
      </c>
      <c r="E712" s="5" t="s">
        <v>234</v>
      </c>
      <c r="F712" s="5" t="s">
        <v>235</v>
      </c>
      <c r="G712" s="5" t="s">
        <v>236</v>
      </c>
      <c r="H712" s="4"/>
      <c r="I712" s="4"/>
      <c r="J712" s="6"/>
      <c r="K712" s="6"/>
      <c r="L712" s="6"/>
      <c r="M712" s="4"/>
      <c r="N712" s="4"/>
      <c r="O712" s="4"/>
      <c r="P712" s="6"/>
      <c r="Q712" s="6"/>
      <c r="R712" s="6"/>
      <c r="S712" s="6"/>
      <c r="T712" s="4"/>
      <c r="U712" s="6"/>
      <c r="V712" s="6"/>
      <c r="W712" s="6"/>
      <c r="X712" s="6"/>
      <c r="Y712" s="4"/>
      <c r="Z712" s="6"/>
      <c r="AA712" s="4"/>
      <c r="AB712" s="4"/>
      <c r="AC712" s="4"/>
      <c r="AD712" s="6"/>
      <c r="AE712" s="4"/>
      <c r="AF712" s="4"/>
      <c r="AG712" s="4"/>
      <c r="AH712" s="4">
        <v>99419988000</v>
      </c>
    </row>
    <row r="713" spans="1:34" x14ac:dyDescent="0.25">
      <c r="A713" s="4">
        <v>712</v>
      </c>
      <c r="B713" s="5" t="s">
        <v>1542</v>
      </c>
      <c r="C713" s="5" t="s">
        <v>1543</v>
      </c>
      <c r="D713" s="5" t="s">
        <v>968</v>
      </c>
      <c r="E713" s="5" t="s">
        <v>40</v>
      </c>
      <c r="F713" s="5" t="s">
        <v>52</v>
      </c>
      <c r="G713" s="5" t="s">
        <v>53</v>
      </c>
      <c r="H713" s="4"/>
      <c r="I713" s="4"/>
      <c r="J713" s="6"/>
      <c r="K713" s="6"/>
      <c r="L713" s="6"/>
      <c r="M713" s="4"/>
      <c r="N713" s="4"/>
      <c r="O713" s="4"/>
      <c r="P713" s="6"/>
      <c r="Q713" s="6"/>
      <c r="R713" s="6"/>
      <c r="S713" s="6"/>
      <c r="T713" s="4"/>
      <c r="U713" s="6"/>
      <c r="V713" s="6"/>
      <c r="W713" s="6"/>
      <c r="X713" s="6"/>
      <c r="Y713" s="4"/>
      <c r="Z713" s="6"/>
      <c r="AA713" s="4"/>
      <c r="AB713" s="4"/>
      <c r="AC713" s="4"/>
      <c r="AD713" s="6"/>
      <c r="AE713" s="4"/>
      <c r="AF713" s="4"/>
      <c r="AG713" s="4"/>
      <c r="AH713" s="4">
        <v>275000000000</v>
      </c>
    </row>
    <row r="714" spans="1:34" x14ac:dyDescent="0.25">
      <c r="A714" s="4">
        <v>713</v>
      </c>
      <c r="B714" s="5" t="s">
        <v>1544</v>
      </c>
      <c r="C714" s="5" t="s">
        <v>1545</v>
      </c>
      <c r="D714" s="5" t="s">
        <v>968</v>
      </c>
      <c r="E714" s="5" t="s">
        <v>24</v>
      </c>
      <c r="F714" s="5" t="s">
        <v>56</v>
      </c>
      <c r="G714" s="5" t="s">
        <v>57</v>
      </c>
      <c r="H714" s="4"/>
      <c r="I714" s="4"/>
      <c r="J714" s="6"/>
      <c r="K714" s="6"/>
      <c r="L714" s="6"/>
      <c r="M714" s="4"/>
      <c r="N714" s="4"/>
      <c r="O714" s="4"/>
      <c r="P714" s="6"/>
      <c r="Q714" s="6"/>
      <c r="R714" s="6"/>
      <c r="S714" s="6"/>
      <c r="T714" s="4"/>
      <c r="U714" s="6"/>
      <c r="V714" s="6"/>
      <c r="W714" s="6"/>
      <c r="X714" s="6"/>
      <c r="Y714" s="4"/>
      <c r="Z714" s="6"/>
      <c r="AA714" s="4"/>
      <c r="AB714" s="4"/>
      <c r="AC714" s="4"/>
      <c r="AD714" s="6"/>
      <c r="AE714" s="4"/>
      <c r="AF714" s="4"/>
      <c r="AG714" s="4"/>
      <c r="AH714" s="4">
        <v>5075000000000</v>
      </c>
    </row>
    <row r="715" spans="1:34" x14ac:dyDescent="0.25">
      <c r="A715" s="4">
        <v>714</v>
      </c>
      <c r="B715" s="5" t="s">
        <v>1546</v>
      </c>
      <c r="C715" s="5" t="s">
        <v>1547</v>
      </c>
      <c r="D715" s="5" t="s">
        <v>968</v>
      </c>
      <c r="E715" s="5" t="s">
        <v>75</v>
      </c>
      <c r="F715" s="5" t="s">
        <v>79</v>
      </c>
      <c r="G715" s="5" t="s">
        <v>80</v>
      </c>
      <c r="H715" s="4">
        <v>3426990741</v>
      </c>
      <c r="I715" s="4">
        <v>8793339359</v>
      </c>
      <c r="J715" s="6">
        <v>-0.20860000000000001</v>
      </c>
      <c r="K715" s="6">
        <v>5.9400000000000001E-2</v>
      </c>
      <c r="L715" s="6">
        <v>0.16070000000000001</v>
      </c>
      <c r="M715" s="4">
        <v>-2238074911</v>
      </c>
      <c r="N715" s="4">
        <v>-3672294596</v>
      </c>
      <c r="O715" s="4"/>
      <c r="P715" s="6">
        <v>0.86599999999999999</v>
      </c>
      <c r="Q715" s="6">
        <v>0.81279999999999997</v>
      </c>
      <c r="R715" s="6">
        <v>1.0115000000000001</v>
      </c>
      <c r="S715" s="6">
        <v>-0.54320000000000002</v>
      </c>
      <c r="T715" s="4"/>
      <c r="U715" s="6">
        <v>-0.88319999999999999</v>
      </c>
      <c r="V715" s="6">
        <v>-1.141</v>
      </c>
      <c r="W715" s="6">
        <v>-1.1435999999999999</v>
      </c>
      <c r="X715" s="6">
        <v>0</v>
      </c>
      <c r="Y715" s="4"/>
      <c r="Z715" s="6">
        <v>-0.3614</v>
      </c>
      <c r="AA715" s="4"/>
      <c r="AB715" s="4"/>
      <c r="AC715" s="4"/>
      <c r="AD715" s="6">
        <v>0</v>
      </c>
      <c r="AE715" s="4"/>
      <c r="AF715" s="4"/>
      <c r="AG715" s="4"/>
      <c r="AH715" s="4">
        <v>189559860000</v>
      </c>
    </row>
    <row r="716" spans="1:34" x14ac:dyDescent="0.25">
      <c r="A716" s="4">
        <v>715</v>
      </c>
      <c r="B716" s="5" t="s">
        <v>1548</v>
      </c>
      <c r="C716" s="5" t="s">
        <v>1549</v>
      </c>
      <c r="D716" s="5" t="s">
        <v>968</v>
      </c>
      <c r="E716" s="5" t="s">
        <v>40</v>
      </c>
      <c r="F716" s="5" t="s">
        <v>52</v>
      </c>
      <c r="G716" s="5" t="s">
        <v>53</v>
      </c>
      <c r="H716" s="4">
        <v>1097554754019</v>
      </c>
      <c r="I716" s="4">
        <v>1930595920933</v>
      </c>
      <c r="J716" s="6">
        <v>0.99980000000000002</v>
      </c>
      <c r="K716" s="6">
        <v>1.1246</v>
      </c>
      <c r="L716" s="6">
        <v>0.64249999999999996</v>
      </c>
      <c r="M716" s="4">
        <v>47625012269</v>
      </c>
      <c r="N716" s="4">
        <v>47889948126</v>
      </c>
      <c r="O716" s="4"/>
      <c r="P716" s="6">
        <v>0.96460000000000001</v>
      </c>
      <c r="Q716" s="6">
        <v>2.1396000000000002</v>
      </c>
      <c r="R716" s="6">
        <v>0.52900000000000003</v>
      </c>
      <c r="S716" s="6">
        <v>178.76050000000001</v>
      </c>
      <c r="T716" s="4"/>
      <c r="U716" s="6">
        <v>-0.57679999999999998</v>
      </c>
      <c r="V716" s="6">
        <v>-0.66200000000000003</v>
      </c>
      <c r="W716" s="6">
        <v>-0.66210000000000002</v>
      </c>
      <c r="X716" s="6">
        <v>6.8000000000000005E-2</v>
      </c>
      <c r="Y716" s="4"/>
      <c r="Z716" s="6">
        <v>0.27110000000000001</v>
      </c>
      <c r="AA716" s="4"/>
      <c r="AB716" s="4"/>
      <c r="AC716" s="4"/>
      <c r="AD716" s="6">
        <v>0</v>
      </c>
      <c r="AE716" s="4"/>
      <c r="AF716" s="4"/>
      <c r="AG716" s="4"/>
      <c r="AH716" s="4">
        <v>1995219950000</v>
      </c>
    </row>
    <row r="717" spans="1:34" x14ac:dyDescent="0.25">
      <c r="A717" s="4">
        <v>716</v>
      </c>
      <c r="B717" s="5" t="s">
        <v>1550</v>
      </c>
      <c r="C717" s="5" t="s">
        <v>1551</v>
      </c>
      <c r="D717" s="5" t="s">
        <v>968</v>
      </c>
      <c r="E717" s="5" t="s">
        <v>185</v>
      </c>
      <c r="F717" s="5" t="s">
        <v>185</v>
      </c>
      <c r="G717" s="5" t="s">
        <v>332</v>
      </c>
      <c r="H717" s="4">
        <v>479351853</v>
      </c>
      <c r="I717" s="4">
        <v>1014842230</v>
      </c>
      <c r="J717" s="6">
        <v>-0.89249999999999996</v>
      </c>
      <c r="K717" s="6">
        <v>-0.89910000000000001</v>
      </c>
      <c r="L717" s="6">
        <v>-0.90749999999999997</v>
      </c>
      <c r="M717" s="4">
        <v>260844503</v>
      </c>
      <c r="N717" s="4">
        <v>471638478</v>
      </c>
      <c r="O717" s="4"/>
      <c r="P717" s="6">
        <v>3.9514</v>
      </c>
      <c r="Q717" s="6">
        <v>1.0454000000000001</v>
      </c>
      <c r="R717" s="6">
        <v>-0.87729999999999997</v>
      </c>
      <c r="S717" s="6">
        <v>0.2374</v>
      </c>
      <c r="T717" s="4"/>
      <c r="U717" s="6">
        <v>-0.79700000000000004</v>
      </c>
      <c r="V717" s="6">
        <v>-3.3700000000000001E-2</v>
      </c>
      <c r="W717" s="6">
        <v>-5.67E-2</v>
      </c>
      <c r="X717" s="6">
        <v>4.5900000000000003E-2</v>
      </c>
      <c r="Y717" s="4"/>
      <c r="Z717" s="6">
        <v>-0.1048</v>
      </c>
      <c r="AA717" s="4"/>
      <c r="AB717" s="4"/>
      <c r="AC717" s="4"/>
      <c r="AD717" s="6">
        <v>0</v>
      </c>
      <c r="AE717" s="4"/>
      <c r="AF717" s="4"/>
      <c r="AG717" s="4"/>
      <c r="AH717" s="4">
        <v>43556356400</v>
      </c>
    </row>
    <row r="718" spans="1:34" x14ac:dyDescent="0.25">
      <c r="A718" s="4">
        <v>717</v>
      </c>
      <c r="B718" s="5" t="s">
        <v>1552</v>
      </c>
      <c r="C718" s="5" t="s">
        <v>1553</v>
      </c>
      <c r="D718" s="5" t="s">
        <v>968</v>
      </c>
      <c r="E718" s="5" t="s">
        <v>40</v>
      </c>
      <c r="F718" s="5" t="s">
        <v>52</v>
      </c>
      <c r="G718" s="5" t="s">
        <v>110</v>
      </c>
      <c r="H718" s="4"/>
      <c r="I718" s="4"/>
      <c r="J718" s="6"/>
      <c r="K718" s="6"/>
      <c r="L718" s="6"/>
      <c r="M718" s="4"/>
      <c r="N718" s="4"/>
      <c r="O718" s="4"/>
      <c r="P718" s="6"/>
      <c r="Q718" s="6"/>
      <c r="R718" s="6"/>
      <c r="S718" s="6"/>
      <c r="T718" s="4"/>
      <c r="U718" s="6"/>
      <c r="V718" s="6"/>
      <c r="W718" s="6"/>
      <c r="X718" s="6"/>
      <c r="Y718" s="4"/>
      <c r="Z718" s="6"/>
      <c r="AA718" s="4"/>
      <c r="AB718" s="4"/>
      <c r="AC718" s="4"/>
      <c r="AD718" s="6"/>
      <c r="AE718" s="4"/>
      <c r="AF718" s="4"/>
      <c r="AG718" s="4"/>
      <c r="AH718" s="4">
        <v>103489261200</v>
      </c>
    </row>
    <row r="719" spans="1:34" x14ac:dyDescent="0.25">
      <c r="A719" s="4">
        <v>718</v>
      </c>
      <c r="B719" s="5" t="s">
        <v>1554</v>
      </c>
      <c r="C719" s="5" t="s">
        <v>1555</v>
      </c>
      <c r="D719" s="5" t="s">
        <v>968</v>
      </c>
      <c r="E719" s="5" t="s">
        <v>40</v>
      </c>
      <c r="F719" s="5" t="s">
        <v>41</v>
      </c>
      <c r="G719" s="5" t="s">
        <v>93</v>
      </c>
      <c r="H719" s="4"/>
      <c r="I719" s="4"/>
      <c r="J719" s="6"/>
      <c r="K719" s="6"/>
      <c r="L719" s="6"/>
      <c r="M719" s="4"/>
      <c r="N719" s="4"/>
      <c r="O719" s="4"/>
      <c r="P719" s="6"/>
      <c r="Q719" s="6"/>
      <c r="R719" s="6"/>
      <c r="S719" s="6"/>
      <c r="T719" s="4"/>
      <c r="U719" s="6"/>
      <c r="V719" s="6"/>
      <c r="W719" s="6"/>
      <c r="X719" s="6"/>
      <c r="Y719" s="4"/>
      <c r="Z719" s="6"/>
      <c r="AA719" s="4"/>
      <c r="AB719" s="4"/>
      <c r="AC719" s="4"/>
      <c r="AD719" s="6"/>
      <c r="AE719" s="4"/>
      <c r="AF719" s="4"/>
      <c r="AG719" s="4"/>
      <c r="AH719" s="4">
        <v>422999906000</v>
      </c>
    </row>
    <row r="720" spans="1:34" x14ac:dyDescent="0.25">
      <c r="A720" s="4">
        <v>719</v>
      </c>
      <c r="B720" s="5" t="s">
        <v>1556</v>
      </c>
      <c r="C720" s="5" t="s">
        <v>1557</v>
      </c>
      <c r="D720" s="5" t="s">
        <v>968</v>
      </c>
      <c r="E720" s="5" t="s">
        <v>40</v>
      </c>
      <c r="F720" s="5" t="s">
        <v>41</v>
      </c>
      <c r="G720" s="5" t="s">
        <v>42</v>
      </c>
      <c r="H720" s="4"/>
      <c r="I720" s="4"/>
      <c r="J720" s="6"/>
      <c r="K720" s="6"/>
      <c r="L720" s="6"/>
      <c r="M720" s="4"/>
      <c r="N720" s="4"/>
      <c r="O720" s="4"/>
      <c r="P720" s="6"/>
      <c r="Q720" s="6"/>
      <c r="R720" s="6"/>
      <c r="S720" s="6"/>
      <c r="T720" s="4"/>
      <c r="U720" s="6"/>
      <c r="V720" s="6"/>
      <c r="W720" s="6"/>
      <c r="X720" s="6"/>
      <c r="Y720" s="4"/>
      <c r="Z720" s="6"/>
      <c r="AA720" s="4"/>
      <c r="AB720" s="4"/>
      <c r="AC720" s="4"/>
      <c r="AD720" s="6"/>
      <c r="AE720" s="4"/>
      <c r="AF720" s="4"/>
      <c r="AG720" s="4"/>
      <c r="AH720" s="4">
        <v>753868120800</v>
      </c>
    </row>
    <row r="721" spans="1:34" x14ac:dyDescent="0.25">
      <c r="A721" s="4">
        <v>720</v>
      </c>
      <c r="B721" s="5" t="s">
        <v>1558</v>
      </c>
      <c r="C721" s="5" t="s">
        <v>1559</v>
      </c>
      <c r="D721" s="5" t="s">
        <v>968</v>
      </c>
      <c r="E721" s="5" t="s">
        <v>40</v>
      </c>
      <c r="F721" s="5" t="s">
        <v>41</v>
      </c>
      <c r="G721" s="5" t="s">
        <v>557</v>
      </c>
      <c r="H721" s="4"/>
      <c r="I721" s="4"/>
      <c r="J721" s="6"/>
      <c r="K721" s="6"/>
      <c r="L721" s="6"/>
      <c r="M721" s="4"/>
      <c r="N721" s="4"/>
      <c r="O721" s="4"/>
      <c r="P721" s="6"/>
      <c r="Q721" s="6"/>
      <c r="R721" s="6"/>
      <c r="S721" s="6"/>
      <c r="T721" s="4"/>
      <c r="U721" s="6"/>
      <c r="V721" s="6"/>
      <c r="W721" s="6"/>
      <c r="X721" s="6"/>
      <c r="Y721" s="4"/>
      <c r="Z721" s="6"/>
      <c r="AA721" s="4"/>
      <c r="AB721" s="4"/>
      <c r="AC721" s="4"/>
      <c r="AD721" s="6"/>
      <c r="AE721" s="4"/>
      <c r="AF721" s="4"/>
      <c r="AG721" s="4"/>
      <c r="AH721" s="4">
        <v>408934902000</v>
      </c>
    </row>
    <row r="722" spans="1:34" x14ac:dyDescent="0.25">
      <c r="A722" s="4">
        <v>721</v>
      </c>
      <c r="B722" s="5" t="s">
        <v>1560</v>
      </c>
      <c r="C722" s="5" t="s">
        <v>1561</v>
      </c>
      <c r="D722" s="5" t="s">
        <v>968</v>
      </c>
      <c r="E722" s="5" t="s">
        <v>75</v>
      </c>
      <c r="F722" s="5" t="s">
        <v>120</v>
      </c>
      <c r="G722" s="5" t="s">
        <v>1338</v>
      </c>
      <c r="H722" s="4"/>
      <c r="I722" s="4"/>
      <c r="J722" s="6"/>
      <c r="K722" s="6"/>
      <c r="L722" s="6"/>
      <c r="M722" s="4"/>
      <c r="N722" s="4"/>
      <c r="O722" s="4"/>
      <c r="P722" s="6"/>
      <c r="Q722" s="6"/>
      <c r="R722" s="6"/>
      <c r="S722" s="6"/>
      <c r="T722" s="4"/>
      <c r="U722" s="6"/>
      <c r="V722" s="6"/>
      <c r="W722" s="6"/>
      <c r="X722" s="6"/>
      <c r="Y722" s="4"/>
      <c r="Z722" s="6"/>
      <c r="AA722" s="4"/>
      <c r="AB722" s="4"/>
      <c r="AC722" s="4"/>
      <c r="AD722" s="6"/>
      <c r="AE722" s="4"/>
      <c r="AF722" s="4"/>
      <c r="AG722" s="4"/>
      <c r="AH722" s="4">
        <v>3932352860800</v>
      </c>
    </row>
    <row r="723" spans="1:34" x14ac:dyDescent="0.25">
      <c r="A723" s="4">
        <v>722</v>
      </c>
      <c r="B723" s="5" t="s">
        <v>1562</v>
      </c>
      <c r="C723" s="5" t="s">
        <v>1563</v>
      </c>
      <c r="D723" s="5" t="s">
        <v>968</v>
      </c>
      <c r="E723" s="5" t="s">
        <v>40</v>
      </c>
      <c r="F723" s="5" t="s">
        <v>41</v>
      </c>
      <c r="G723" s="5" t="s">
        <v>557</v>
      </c>
      <c r="H723" s="4"/>
      <c r="I723" s="4"/>
      <c r="J723" s="6"/>
      <c r="K723" s="6"/>
      <c r="L723" s="6"/>
      <c r="M723" s="4"/>
      <c r="N723" s="4"/>
      <c r="O723" s="4"/>
      <c r="P723" s="6"/>
      <c r="Q723" s="6"/>
      <c r="R723" s="6"/>
      <c r="S723" s="6"/>
      <c r="T723" s="4"/>
      <c r="U723" s="6"/>
      <c r="V723" s="6"/>
      <c r="W723" s="6"/>
      <c r="X723" s="6"/>
      <c r="Y723" s="4"/>
      <c r="Z723" s="6"/>
      <c r="AA723" s="4"/>
      <c r="AB723" s="4"/>
      <c r="AC723" s="4"/>
      <c r="AD723" s="6"/>
      <c r="AE723" s="4"/>
      <c r="AF723" s="4"/>
      <c r="AG723" s="4"/>
      <c r="AH723" s="4">
        <v>367834543700</v>
      </c>
    </row>
    <row r="724" spans="1:34" x14ac:dyDescent="0.25">
      <c r="A724" s="4">
        <v>723</v>
      </c>
      <c r="B724" s="5" t="s">
        <v>1564</v>
      </c>
      <c r="C724" s="5" t="s">
        <v>1565</v>
      </c>
      <c r="D724" s="5" t="s">
        <v>968</v>
      </c>
      <c r="E724" s="5" t="s">
        <v>40</v>
      </c>
      <c r="F724" s="5" t="s">
        <v>41</v>
      </c>
      <c r="G724" s="5" t="s">
        <v>557</v>
      </c>
      <c r="H724" s="4"/>
      <c r="I724" s="4"/>
      <c r="J724" s="6"/>
      <c r="K724" s="6"/>
      <c r="L724" s="6"/>
      <c r="M724" s="4"/>
      <c r="N724" s="4"/>
      <c r="O724" s="4"/>
      <c r="P724" s="6"/>
      <c r="Q724" s="6"/>
      <c r="R724" s="6"/>
      <c r="S724" s="6"/>
      <c r="T724" s="4"/>
      <c r="U724" s="6"/>
      <c r="V724" s="6"/>
      <c r="W724" s="6"/>
      <c r="X724" s="6"/>
      <c r="Y724" s="4"/>
      <c r="Z724" s="6"/>
      <c r="AA724" s="4"/>
      <c r="AB724" s="4"/>
      <c r="AC724" s="4"/>
      <c r="AD724" s="6"/>
      <c r="AE724" s="4"/>
      <c r="AF724" s="4"/>
      <c r="AG724" s="4"/>
      <c r="AH724" s="4">
        <v>255146396600</v>
      </c>
    </row>
    <row r="725" spans="1:34" x14ac:dyDescent="0.25">
      <c r="A725" s="4">
        <v>724</v>
      </c>
      <c r="B725" s="5" t="s">
        <v>1566</v>
      </c>
      <c r="C725" s="5" t="s">
        <v>1567</v>
      </c>
      <c r="D725" s="5" t="s">
        <v>968</v>
      </c>
      <c r="E725" s="5" t="s">
        <v>40</v>
      </c>
      <c r="F725" s="5" t="s">
        <v>41</v>
      </c>
      <c r="G725" s="5" t="s">
        <v>93</v>
      </c>
      <c r="H725" s="4"/>
      <c r="I725" s="4"/>
      <c r="J725" s="6"/>
      <c r="K725" s="6"/>
      <c r="L725" s="6"/>
      <c r="M725" s="4"/>
      <c r="N725" s="4"/>
      <c r="O725" s="4"/>
      <c r="P725" s="6"/>
      <c r="Q725" s="6"/>
      <c r="R725" s="6"/>
      <c r="S725" s="6"/>
      <c r="T725" s="4"/>
      <c r="U725" s="6"/>
      <c r="V725" s="6"/>
      <c r="W725" s="6"/>
      <c r="X725" s="6"/>
      <c r="Y725" s="4"/>
      <c r="Z725" s="6"/>
      <c r="AA725" s="4"/>
      <c r="AB725" s="4"/>
      <c r="AC725" s="4"/>
      <c r="AD725" s="6"/>
      <c r="AE725" s="4"/>
      <c r="AF725" s="4"/>
      <c r="AG725" s="4"/>
      <c r="AH725" s="4">
        <v>72467640000</v>
      </c>
    </row>
    <row r="726" spans="1:34" x14ac:dyDescent="0.25">
      <c r="A726" s="4">
        <v>725</v>
      </c>
      <c r="B726" s="5" t="s">
        <v>1568</v>
      </c>
      <c r="C726" s="5" t="s">
        <v>1569</v>
      </c>
      <c r="D726" s="5" t="s">
        <v>968</v>
      </c>
      <c r="E726" s="5" t="s">
        <v>185</v>
      </c>
      <c r="F726" s="5" t="s">
        <v>185</v>
      </c>
      <c r="G726" s="5" t="s">
        <v>310</v>
      </c>
      <c r="H726" s="4"/>
      <c r="I726" s="4"/>
      <c r="J726" s="6"/>
      <c r="K726" s="6"/>
      <c r="L726" s="6"/>
      <c r="M726" s="4"/>
      <c r="N726" s="4"/>
      <c r="O726" s="4"/>
      <c r="P726" s="6"/>
      <c r="Q726" s="6"/>
      <c r="R726" s="6"/>
      <c r="S726" s="6"/>
      <c r="T726" s="4"/>
      <c r="U726" s="6"/>
      <c r="V726" s="6"/>
      <c r="W726" s="6"/>
      <c r="X726" s="6"/>
      <c r="Y726" s="4"/>
      <c r="Z726" s="6"/>
      <c r="AA726" s="4"/>
      <c r="AB726" s="4"/>
      <c r="AC726" s="4"/>
      <c r="AD726" s="6"/>
      <c r="AE726" s="4"/>
      <c r="AF726" s="4"/>
      <c r="AG726" s="4"/>
      <c r="AH726" s="4">
        <v>49820573000</v>
      </c>
    </row>
    <row r="727" spans="1:34" x14ac:dyDescent="0.25">
      <c r="A727" s="4">
        <v>726</v>
      </c>
      <c r="B727" s="5" t="s">
        <v>1570</v>
      </c>
      <c r="C727" s="5" t="s">
        <v>1571</v>
      </c>
      <c r="D727" s="5" t="s">
        <v>968</v>
      </c>
      <c r="E727" s="5" t="s">
        <v>40</v>
      </c>
      <c r="F727" s="5" t="s">
        <v>41</v>
      </c>
      <c r="G727" s="5" t="s">
        <v>619</v>
      </c>
      <c r="H727" s="4">
        <v>429407887440</v>
      </c>
      <c r="I727" s="4">
        <v>661865809554</v>
      </c>
      <c r="J727" s="6">
        <v>0.24379999999999999</v>
      </c>
      <c r="K727" s="6"/>
      <c r="L727" s="6"/>
      <c r="M727" s="4">
        <v>7343116783</v>
      </c>
      <c r="N727" s="4">
        <v>12918452507</v>
      </c>
      <c r="O727" s="4"/>
      <c r="P727" s="6">
        <v>1.1395999999999999</v>
      </c>
      <c r="Q727" s="6"/>
      <c r="R727" s="6"/>
      <c r="S727" s="6">
        <v>0.6492</v>
      </c>
      <c r="T727" s="4"/>
      <c r="U727" s="6"/>
      <c r="V727" s="6"/>
      <c r="W727" s="6"/>
      <c r="X727" s="6"/>
      <c r="Y727" s="4"/>
      <c r="Z727" s="6">
        <v>0.84719999999999995</v>
      </c>
      <c r="AA727" s="4"/>
      <c r="AB727" s="4"/>
      <c r="AC727" s="4"/>
      <c r="AD727" s="6"/>
      <c r="AE727" s="4"/>
      <c r="AF727" s="4"/>
      <c r="AG727" s="4"/>
      <c r="AH727" s="4">
        <v>94829904300</v>
      </c>
    </row>
    <row r="728" spans="1:34" x14ac:dyDescent="0.25">
      <c r="A728" s="4">
        <v>727</v>
      </c>
      <c r="B728" s="5" t="s">
        <v>1572</v>
      </c>
      <c r="C728" s="5" t="s">
        <v>1573</v>
      </c>
      <c r="D728" s="5" t="s">
        <v>968</v>
      </c>
      <c r="E728" s="5" t="s">
        <v>29</v>
      </c>
      <c r="F728" s="5" t="s">
        <v>36</v>
      </c>
      <c r="G728" s="5" t="s">
        <v>178</v>
      </c>
      <c r="H728" s="4"/>
      <c r="I728" s="4"/>
      <c r="J728" s="6"/>
      <c r="K728" s="6"/>
      <c r="L728" s="6"/>
      <c r="M728" s="4"/>
      <c r="N728" s="4"/>
      <c r="O728" s="4"/>
      <c r="P728" s="6"/>
      <c r="Q728" s="6"/>
      <c r="R728" s="6"/>
      <c r="S728" s="6"/>
      <c r="T728" s="4"/>
      <c r="U728" s="6"/>
      <c r="V728" s="6"/>
      <c r="W728" s="6"/>
      <c r="X728" s="6"/>
      <c r="Y728" s="4"/>
      <c r="Z728" s="6"/>
      <c r="AA728" s="4"/>
      <c r="AB728" s="4"/>
      <c r="AC728" s="4"/>
      <c r="AD728" s="6"/>
      <c r="AE728" s="4"/>
      <c r="AF728" s="4"/>
      <c r="AG728" s="4"/>
      <c r="AH728" s="4">
        <v>43320000000</v>
      </c>
    </row>
    <row r="729" spans="1:34" x14ac:dyDescent="0.25">
      <c r="A729" s="4">
        <v>728</v>
      </c>
      <c r="B729" s="5" t="s">
        <v>1574</v>
      </c>
      <c r="C729" s="5" t="s">
        <v>1575</v>
      </c>
      <c r="D729" s="5" t="s">
        <v>968</v>
      </c>
      <c r="E729" s="5" t="s">
        <v>40</v>
      </c>
      <c r="F729" s="5" t="s">
        <v>52</v>
      </c>
      <c r="G729" s="5" t="s">
        <v>53</v>
      </c>
      <c r="H729" s="4">
        <v>266424811347</v>
      </c>
      <c r="I729" s="4">
        <v>485733804975</v>
      </c>
      <c r="J729" s="6">
        <v>4.0000000000000002E-4</v>
      </c>
      <c r="K729" s="6">
        <v>-7.5899999999999995E-2</v>
      </c>
      <c r="L729" s="6">
        <v>0.18890000000000001</v>
      </c>
      <c r="M729" s="4">
        <v>643763327</v>
      </c>
      <c r="N729" s="4">
        <v>753949255</v>
      </c>
      <c r="O729" s="4"/>
      <c r="P729" s="6">
        <v>0.61519999999999997</v>
      </c>
      <c r="Q729" s="6">
        <v>0.53439999999999999</v>
      </c>
      <c r="R729" s="6">
        <v>-0.58560000000000001</v>
      </c>
      <c r="S729" s="6">
        <v>4.8425000000000002</v>
      </c>
      <c r="T729" s="4"/>
      <c r="U729" s="6">
        <v>-0.69489999999999996</v>
      </c>
      <c r="V729" s="6">
        <v>-0.748</v>
      </c>
      <c r="W729" s="6">
        <v>7.7667999999999999</v>
      </c>
      <c r="X729" s="6">
        <v>0</v>
      </c>
      <c r="Y729" s="4"/>
      <c r="Z729" s="6">
        <v>0.21479999999999999</v>
      </c>
      <c r="AA729" s="4"/>
      <c r="AB729" s="4"/>
      <c r="AC729" s="4"/>
      <c r="AD729" s="6">
        <v>0</v>
      </c>
      <c r="AE729" s="4"/>
      <c r="AF729" s="4"/>
      <c r="AG729" s="4"/>
      <c r="AH729" s="4">
        <v>421197637500</v>
      </c>
    </row>
    <row r="730" spans="1:34" x14ac:dyDescent="0.25">
      <c r="A730" s="4">
        <v>729</v>
      </c>
      <c r="B730" s="5" t="s">
        <v>1576</v>
      </c>
      <c r="C730" s="5" t="s">
        <v>1577</v>
      </c>
      <c r="D730" s="5" t="s">
        <v>968</v>
      </c>
      <c r="E730" s="5" t="s">
        <v>24</v>
      </c>
      <c r="F730" s="5" t="s">
        <v>25</v>
      </c>
      <c r="G730" s="5" t="s">
        <v>26</v>
      </c>
      <c r="H730" s="4"/>
      <c r="I730" s="4"/>
      <c r="J730" s="6"/>
      <c r="K730" s="6"/>
      <c r="L730" s="6"/>
      <c r="M730" s="4"/>
      <c r="N730" s="4"/>
      <c r="O730" s="4"/>
      <c r="P730" s="6"/>
      <c r="Q730" s="6"/>
      <c r="R730" s="6"/>
      <c r="S730" s="6"/>
      <c r="T730" s="4"/>
      <c r="U730" s="6"/>
      <c r="V730" s="6"/>
      <c r="W730" s="6"/>
      <c r="X730" s="6"/>
      <c r="Y730" s="4"/>
      <c r="Z730" s="6"/>
      <c r="AA730" s="4"/>
      <c r="AB730" s="4"/>
      <c r="AC730" s="4"/>
      <c r="AD730" s="6"/>
      <c r="AE730" s="4"/>
      <c r="AF730" s="4"/>
      <c r="AG730" s="4"/>
      <c r="AH730" s="4">
        <v>1530812643300</v>
      </c>
    </row>
    <row r="731" spans="1:34" x14ac:dyDescent="0.25">
      <c r="A731" s="4">
        <v>730</v>
      </c>
      <c r="B731" s="5" t="s">
        <v>1578</v>
      </c>
      <c r="C731" s="5" t="s">
        <v>1579</v>
      </c>
      <c r="D731" s="5" t="s">
        <v>968</v>
      </c>
      <c r="E731" s="5" t="s">
        <v>40</v>
      </c>
      <c r="F731" s="5" t="s">
        <v>41</v>
      </c>
      <c r="G731" s="5" t="s">
        <v>93</v>
      </c>
      <c r="H731" s="4">
        <v>42900055673</v>
      </c>
      <c r="I731" s="4">
        <v>86796639246</v>
      </c>
      <c r="J731" s="6">
        <v>-1.2999999999999999E-2</v>
      </c>
      <c r="K731" s="6"/>
      <c r="L731" s="6"/>
      <c r="M731" s="4">
        <v>21197055409</v>
      </c>
      <c r="N731" s="4">
        <v>42296804847</v>
      </c>
      <c r="O731" s="4"/>
      <c r="P731" s="6">
        <v>-4.9700000000000001E-2</v>
      </c>
      <c r="Q731" s="6"/>
      <c r="R731" s="6"/>
      <c r="S731" s="6">
        <v>4.5999999999999999E-3</v>
      </c>
      <c r="T731" s="4"/>
      <c r="U731" s="6"/>
      <c r="V731" s="6"/>
      <c r="W731" s="6"/>
      <c r="X731" s="6"/>
      <c r="Y731" s="4"/>
      <c r="Z731" s="6">
        <v>-2.2700000000000001E-2</v>
      </c>
      <c r="AA731" s="4"/>
      <c r="AB731" s="4"/>
      <c r="AC731" s="4"/>
      <c r="AD731" s="6"/>
      <c r="AE731" s="4"/>
      <c r="AF731" s="4"/>
      <c r="AG731" s="4"/>
      <c r="AH731" s="4">
        <v>899990100000</v>
      </c>
    </row>
    <row r="732" spans="1:34" x14ac:dyDescent="0.25">
      <c r="A732" s="4">
        <v>731</v>
      </c>
      <c r="B732" s="5" t="s">
        <v>1580</v>
      </c>
      <c r="C732" s="5" t="s">
        <v>1581</v>
      </c>
      <c r="D732" s="5" t="s">
        <v>968</v>
      </c>
      <c r="E732" s="5" t="s">
        <v>75</v>
      </c>
      <c r="F732" s="5" t="s">
        <v>79</v>
      </c>
      <c r="G732" s="5" t="s">
        <v>80</v>
      </c>
      <c r="H732" s="4">
        <v>9068937620</v>
      </c>
      <c r="I732" s="4">
        <v>24418560571</v>
      </c>
      <c r="J732" s="6">
        <v>-0.68889999999999996</v>
      </c>
      <c r="K732" s="6">
        <v>-0.3206</v>
      </c>
      <c r="L732" s="6">
        <v>0.2903</v>
      </c>
      <c r="M732" s="4">
        <v>2092381182</v>
      </c>
      <c r="N732" s="4">
        <v>14259586365</v>
      </c>
      <c r="O732" s="4"/>
      <c r="P732" s="6">
        <v>-0.91839999999999999</v>
      </c>
      <c r="Q732" s="6">
        <v>-0.50119999999999998</v>
      </c>
      <c r="R732" s="6">
        <v>-0.3201</v>
      </c>
      <c r="S732" s="6">
        <v>-0.82799999999999996</v>
      </c>
      <c r="T732" s="4"/>
      <c r="U732" s="6">
        <v>-0.46100000000000002</v>
      </c>
      <c r="V732" s="6">
        <v>2.0998999999999999</v>
      </c>
      <c r="W732" s="6">
        <v>2.8748999999999998</v>
      </c>
      <c r="X732" s="6">
        <v>0</v>
      </c>
      <c r="Y732" s="4"/>
      <c r="Z732" s="6">
        <v>-0.40920000000000001</v>
      </c>
      <c r="AA732" s="4"/>
      <c r="AB732" s="4"/>
      <c r="AC732" s="4"/>
      <c r="AD732" s="6">
        <v>0</v>
      </c>
      <c r="AE732" s="4"/>
      <c r="AF732" s="4"/>
      <c r="AG732" s="4"/>
      <c r="AH732" s="4">
        <v>301800000000</v>
      </c>
    </row>
    <row r="733" spans="1:34" x14ac:dyDescent="0.25">
      <c r="A733" s="4">
        <v>732</v>
      </c>
      <c r="B733" s="5" t="s">
        <v>1582</v>
      </c>
      <c r="C733" s="5" t="s">
        <v>1583</v>
      </c>
      <c r="D733" s="5" t="s">
        <v>968</v>
      </c>
      <c r="E733" s="5" t="s">
        <v>29</v>
      </c>
      <c r="F733" s="5" t="s">
        <v>36</v>
      </c>
      <c r="G733" s="5" t="s">
        <v>37</v>
      </c>
      <c r="H733" s="4"/>
      <c r="I733" s="4"/>
      <c r="J733" s="6"/>
      <c r="K733" s="6"/>
      <c r="L733" s="6"/>
      <c r="M733" s="4"/>
      <c r="N733" s="4"/>
      <c r="O733" s="4"/>
      <c r="P733" s="6"/>
      <c r="Q733" s="6"/>
      <c r="R733" s="6"/>
      <c r="S733" s="6"/>
      <c r="T733" s="4"/>
      <c r="U733" s="6"/>
      <c r="V733" s="6"/>
      <c r="W733" s="6"/>
      <c r="X733" s="6"/>
      <c r="Y733" s="4"/>
      <c r="Z733" s="6"/>
      <c r="AA733" s="4"/>
      <c r="AB733" s="4"/>
      <c r="AC733" s="4"/>
      <c r="AD733" s="6"/>
      <c r="AE733" s="4"/>
      <c r="AF733" s="4"/>
      <c r="AG733" s="4"/>
      <c r="AH733" s="4">
        <v>203550000000</v>
      </c>
    </row>
    <row r="734" spans="1:34" x14ac:dyDescent="0.25">
      <c r="A734" s="4">
        <v>733</v>
      </c>
      <c r="B734" s="5" t="s">
        <v>1584</v>
      </c>
      <c r="C734" s="5" t="s">
        <v>1585</v>
      </c>
      <c r="D734" s="5" t="s">
        <v>1586</v>
      </c>
      <c r="E734" s="5" t="s">
        <v>29</v>
      </c>
      <c r="F734" s="5" t="s">
        <v>36</v>
      </c>
      <c r="G734" s="5" t="s">
        <v>1587</v>
      </c>
      <c r="H734" s="4"/>
      <c r="I734" s="4"/>
      <c r="J734" s="6"/>
      <c r="K734" s="6"/>
      <c r="L734" s="6"/>
      <c r="M734" s="4"/>
      <c r="N734" s="4"/>
      <c r="O734" s="4"/>
      <c r="P734" s="6"/>
      <c r="Q734" s="6"/>
      <c r="R734" s="6"/>
      <c r="S734" s="6"/>
      <c r="T734" s="4"/>
      <c r="U734" s="6"/>
      <c r="V734" s="6"/>
      <c r="W734" s="6"/>
      <c r="X734" s="6"/>
      <c r="Y734" s="4"/>
      <c r="Z734" s="6"/>
      <c r="AA734" s="4"/>
      <c r="AB734" s="4"/>
      <c r="AC734" s="4"/>
      <c r="AD734" s="6"/>
      <c r="AE734" s="4"/>
      <c r="AF734" s="4"/>
      <c r="AG734" s="4"/>
      <c r="AH734" s="4">
        <v>210800000000</v>
      </c>
    </row>
    <row r="735" spans="1:34" x14ac:dyDescent="0.25">
      <c r="A735" s="4">
        <v>734</v>
      </c>
      <c r="B735" s="5" t="s">
        <v>1588</v>
      </c>
      <c r="C735" s="5" t="s">
        <v>1589</v>
      </c>
      <c r="D735" s="5" t="s">
        <v>1586</v>
      </c>
      <c r="E735" s="5" t="s">
        <v>24</v>
      </c>
      <c r="F735" s="5" t="s">
        <v>56</v>
      </c>
      <c r="G735" s="5" t="s">
        <v>1044</v>
      </c>
      <c r="H735" s="4">
        <v>7515079200</v>
      </c>
      <c r="I735" s="4"/>
      <c r="J735" s="6">
        <v>-0.97389999999999999</v>
      </c>
      <c r="K735" s="6">
        <v>-0.58330000000000004</v>
      </c>
      <c r="L735" s="6">
        <v>-0.66679999999999995</v>
      </c>
      <c r="M735" s="4">
        <v>-7523282301</v>
      </c>
      <c r="N735" s="4"/>
      <c r="O735" s="4"/>
      <c r="P735" s="6">
        <v>-2.8589000000000002</v>
      </c>
      <c r="Q735" s="6">
        <v>-1.448</v>
      </c>
      <c r="R735" s="6">
        <v>-1.9167000000000001</v>
      </c>
      <c r="S735" s="6">
        <v>-4.0343</v>
      </c>
      <c r="T735" s="4"/>
      <c r="U735" s="6">
        <v>-0.79820000000000002</v>
      </c>
      <c r="V735" s="6">
        <v>-1.3144</v>
      </c>
      <c r="W735" s="6">
        <v>-1.393</v>
      </c>
      <c r="X735" s="6">
        <v>0</v>
      </c>
      <c r="Y735" s="4"/>
      <c r="Z735" s="6">
        <v>-0.96189999999999998</v>
      </c>
      <c r="AA735" s="4"/>
      <c r="AB735" s="4"/>
      <c r="AC735" s="4"/>
      <c r="AD735" s="6">
        <v>0</v>
      </c>
      <c r="AE735" s="4"/>
      <c r="AF735" s="4"/>
      <c r="AG735" s="4"/>
      <c r="AH735" s="4">
        <v>256668300000</v>
      </c>
    </row>
    <row r="736" spans="1:34" x14ac:dyDescent="0.25">
      <c r="A736" s="4">
        <v>735</v>
      </c>
      <c r="B736" s="5" t="s">
        <v>1590</v>
      </c>
      <c r="C736" s="5" t="s">
        <v>1591</v>
      </c>
      <c r="D736" s="5" t="s">
        <v>1586</v>
      </c>
      <c r="E736" s="5" t="s">
        <v>75</v>
      </c>
      <c r="F736" s="5" t="s">
        <v>79</v>
      </c>
      <c r="G736" s="5" t="s">
        <v>80</v>
      </c>
      <c r="H736" s="4">
        <v>80271422752</v>
      </c>
      <c r="I736" s="4">
        <v>169109123428</v>
      </c>
      <c r="J736" s="6">
        <v>-0.39829999999999999</v>
      </c>
      <c r="K736" s="6">
        <v>-0.28960000000000002</v>
      </c>
      <c r="L736" s="6">
        <v>-0.2044</v>
      </c>
      <c r="M736" s="4">
        <v>6042386971</v>
      </c>
      <c r="N736" s="4">
        <v>16196594411</v>
      </c>
      <c r="O736" s="4"/>
      <c r="P736" s="6">
        <v>-0.6865</v>
      </c>
      <c r="Q736" s="6">
        <v>-0.66490000000000005</v>
      </c>
      <c r="R736" s="6">
        <v>-0.72009999999999996</v>
      </c>
      <c r="S736" s="6">
        <v>-0.40489999999999998</v>
      </c>
      <c r="T736" s="4"/>
      <c r="U736" s="6">
        <v>-0.71819999999999995</v>
      </c>
      <c r="V736" s="6">
        <v>-0.90580000000000005</v>
      </c>
      <c r="W736" s="6">
        <v>-0.90580000000000005</v>
      </c>
      <c r="X736" s="6">
        <v>0.1061</v>
      </c>
      <c r="Y736" s="4"/>
      <c r="Z736" s="6">
        <v>-9.64E-2</v>
      </c>
      <c r="AA736" s="4"/>
      <c r="AB736" s="4"/>
      <c r="AC736" s="4"/>
      <c r="AD736" s="6">
        <v>0</v>
      </c>
      <c r="AE736" s="4"/>
      <c r="AF736" s="4"/>
      <c r="AG736" s="4"/>
      <c r="AH736" s="4">
        <v>1734886386903</v>
      </c>
    </row>
    <row r="737" spans="1:34" x14ac:dyDescent="0.25">
      <c r="A737" s="4">
        <v>736</v>
      </c>
      <c r="B737" s="5" t="s">
        <v>1592</v>
      </c>
      <c r="C737" s="5" t="s">
        <v>1593</v>
      </c>
      <c r="D737" s="5" t="s">
        <v>1586</v>
      </c>
      <c r="E737" s="5" t="s">
        <v>75</v>
      </c>
      <c r="F737" s="5" t="s">
        <v>76</v>
      </c>
      <c r="G737" s="5" t="s">
        <v>76</v>
      </c>
      <c r="H737" s="4"/>
      <c r="I737" s="4"/>
      <c r="J737" s="6"/>
      <c r="K737" s="6"/>
      <c r="L737" s="6"/>
      <c r="M737" s="4"/>
      <c r="N737" s="4"/>
      <c r="O737" s="4"/>
      <c r="P737" s="6"/>
      <c r="Q737" s="6"/>
      <c r="R737" s="6"/>
      <c r="S737" s="6"/>
      <c r="T737" s="4"/>
      <c r="U737" s="6"/>
      <c r="V737" s="6"/>
      <c r="W737" s="6"/>
      <c r="X737" s="6"/>
      <c r="Y737" s="4"/>
      <c r="Z737" s="6"/>
      <c r="AA737" s="4"/>
      <c r="AB737" s="4"/>
      <c r="AC737" s="4"/>
      <c r="AD737" s="6"/>
      <c r="AE737" s="4"/>
      <c r="AF737" s="4"/>
      <c r="AG737" s="4"/>
      <c r="AH737" s="4">
        <v>438761523960</v>
      </c>
    </row>
    <row r="738" spans="1:34" x14ac:dyDescent="0.25">
      <c r="A738" s="4">
        <v>737</v>
      </c>
      <c r="B738" s="5" t="s">
        <v>1594</v>
      </c>
      <c r="C738" s="5" t="s">
        <v>1595</v>
      </c>
      <c r="D738" s="5" t="s">
        <v>1586</v>
      </c>
      <c r="E738" s="5" t="s">
        <v>49</v>
      </c>
      <c r="F738" s="5" t="s">
        <v>49</v>
      </c>
      <c r="G738" s="5" t="s">
        <v>49</v>
      </c>
      <c r="H738" s="4"/>
      <c r="I738" s="4"/>
      <c r="J738" s="6">
        <v>0.59809999999999997</v>
      </c>
      <c r="K738" s="6">
        <v>0.59609999999999996</v>
      </c>
      <c r="L738" s="6">
        <v>0.61029999999999995</v>
      </c>
      <c r="M738" s="4">
        <v>1212617000000</v>
      </c>
      <c r="N738" s="4">
        <v>2412185000000</v>
      </c>
      <c r="O738" s="4"/>
      <c r="P738" s="6">
        <v>0.48170000000000002</v>
      </c>
      <c r="Q738" s="6">
        <v>1.0959000000000001</v>
      </c>
      <c r="R738" s="6">
        <v>1.1691</v>
      </c>
      <c r="S738" s="6">
        <v>1.09E-2</v>
      </c>
      <c r="T738" s="4"/>
      <c r="U738" s="6">
        <v>0</v>
      </c>
      <c r="V738" s="6">
        <v>-0.32979999999999998</v>
      </c>
      <c r="W738" s="6">
        <v>-0.33</v>
      </c>
      <c r="X738" s="6">
        <v>0</v>
      </c>
      <c r="Y738" s="4"/>
      <c r="Z738" s="6">
        <v>0.2034</v>
      </c>
      <c r="AA738" s="4">
        <v>953224000000</v>
      </c>
      <c r="AB738" s="4">
        <v>1931315000000</v>
      </c>
      <c r="AC738" s="4"/>
      <c r="AD738" s="6">
        <v>0.3417</v>
      </c>
      <c r="AE738" s="4">
        <v>1504021000000</v>
      </c>
      <c r="AF738" s="4">
        <v>2336088000000</v>
      </c>
      <c r="AG738" s="4">
        <v>3379894000000</v>
      </c>
      <c r="AH738" s="4">
        <v>27095197715124</v>
      </c>
    </row>
    <row r="739" spans="1:34" x14ac:dyDescent="0.25">
      <c r="A739" s="4">
        <v>738</v>
      </c>
      <c r="B739" s="5" t="s">
        <v>1596</v>
      </c>
      <c r="C739" s="5" t="s">
        <v>1597</v>
      </c>
      <c r="D739" s="5" t="s">
        <v>1586</v>
      </c>
      <c r="E739" s="5" t="s">
        <v>1306</v>
      </c>
      <c r="F739" s="5" t="s">
        <v>1306</v>
      </c>
      <c r="G739" s="5" t="s">
        <v>1598</v>
      </c>
      <c r="H739" s="4"/>
      <c r="I739" s="4"/>
      <c r="J739" s="6"/>
      <c r="K739" s="6"/>
      <c r="L739" s="6"/>
      <c r="M739" s="4"/>
      <c r="N739" s="4"/>
      <c r="O739" s="4"/>
      <c r="P739" s="6"/>
      <c r="Q739" s="6"/>
      <c r="R739" s="6"/>
      <c r="S739" s="6"/>
      <c r="T739" s="4"/>
      <c r="U739" s="6"/>
      <c r="V739" s="6"/>
      <c r="W739" s="6"/>
      <c r="X739" s="6"/>
      <c r="Y739" s="4"/>
      <c r="Z739" s="6"/>
      <c r="AA739" s="4"/>
      <c r="AB739" s="4"/>
      <c r="AC739" s="4"/>
      <c r="AD739" s="6"/>
      <c r="AE739" s="4"/>
      <c r="AF739" s="4"/>
      <c r="AG739" s="4"/>
      <c r="AH739" s="4">
        <v>207335741000</v>
      </c>
    </row>
    <row r="740" spans="1:34" x14ac:dyDescent="0.25">
      <c r="A740" s="4">
        <v>739</v>
      </c>
      <c r="B740" s="5" t="s">
        <v>1599</v>
      </c>
      <c r="C740" s="5" t="s">
        <v>1600</v>
      </c>
      <c r="D740" s="5" t="s">
        <v>1586</v>
      </c>
      <c r="E740" s="5" t="s">
        <v>75</v>
      </c>
      <c r="F740" s="5" t="s">
        <v>120</v>
      </c>
      <c r="G740" s="5" t="s">
        <v>121</v>
      </c>
      <c r="H740" s="4"/>
      <c r="I740" s="4"/>
      <c r="J740" s="6"/>
      <c r="K740" s="6"/>
      <c r="L740" s="6"/>
      <c r="M740" s="4"/>
      <c r="N740" s="4"/>
      <c r="O740" s="4"/>
      <c r="P740" s="6"/>
      <c r="Q740" s="6"/>
      <c r="R740" s="6"/>
      <c r="S740" s="6"/>
      <c r="T740" s="4"/>
      <c r="U740" s="6"/>
      <c r="V740" s="6"/>
      <c r="W740" s="6"/>
      <c r="X740" s="6"/>
      <c r="Y740" s="4"/>
      <c r="Z740" s="6"/>
      <c r="AA740" s="4"/>
      <c r="AB740" s="4"/>
      <c r="AC740" s="4"/>
      <c r="AD740" s="6"/>
      <c r="AE740" s="4"/>
      <c r="AF740" s="4"/>
      <c r="AG740" s="4"/>
      <c r="AH740" s="4">
        <v>1876350058848</v>
      </c>
    </row>
    <row r="741" spans="1:34" x14ac:dyDescent="0.25">
      <c r="A741" s="4">
        <v>740</v>
      </c>
      <c r="B741" s="5" t="s">
        <v>1601</v>
      </c>
      <c r="C741" s="5" t="s">
        <v>1602</v>
      </c>
      <c r="D741" s="5" t="s">
        <v>1586</v>
      </c>
      <c r="E741" s="5" t="s">
        <v>75</v>
      </c>
      <c r="F741" s="5" t="s">
        <v>79</v>
      </c>
      <c r="G741" s="5" t="s">
        <v>80</v>
      </c>
      <c r="H741" s="4">
        <v>296012701811</v>
      </c>
      <c r="I741" s="4">
        <v>443242612222</v>
      </c>
      <c r="J741" s="6">
        <v>1.7072000000000001</v>
      </c>
      <c r="K741" s="6">
        <v>1.2141</v>
      </c>
      <c r="L741" s="6">
        <v>1.0676000000000001</v>
      </c>
      <c r="M741" s="4">
        <v>158746463648</v>
      </c>
      <c r="N741" s="4">
        <v>180161284992</v>
      </c>
      <c r="O741" s="4"/>
      <c r="P741" s="6">
        <v>3.8073999999999999</v>
      </c>
      <c r="Q741" s="6">
        <v>2.0565000000000002</v>
      </c>
      <c r="R741" s="6">
        <v>2.1492</v>
      </c>
      <c r="S741" s="6">
        <v>6.4128999999999996</v>
      </c>
      <c r="T741" s="4"/>
      <c r="U741" s="6">
        <v>-0.62260000000000004</v>
      </c>
      <c r="V741" s="6">
        <v>-0.624</v>
      </c>
      <c r="W741" s="6">
        <v>-0.62470000000000003</v>
      </c>
      <c r="X741" s="6">
        <v>0</v>
      </c>
      <c r="Y741" s="4"/>
      <c r="Z741" s="6">
        <v>1.0105</v>
      </c>
      <c r="AA741" s="4"/>
      <c r="AB741" s="4"/>
      <c r="AC741" s="4"/>
      <c r="AD741" s="6">
        <v>0</v>
      </c>
      <c r="AE741" s="4"/>
      <c r="AF741" s="4"/>
      <c r="AG741" s="4"/>
      <c r="AH741" s="4">
        <v>4015232950000</v>
      </c>
    </row>
    <row r="742" spans="1:34" x14ac:dyDescent="0.25">
      <c r="A742" s="4">
        <v>741</v>
      </c>
      <c r="B742" s="5" t="s">
        <v>1603</v>
      </c>
      <c r="C742" s="5" t="s">
        <v>1604</v>
      </c>
      <c r="D742" s="5" t="s">
        <v>1586</v>
      </c>
      <c r="E742" s="5" t="s">
        <v>40</v>
      </c>
      <c r="F742" s="5" t="s">
        <v>52</v>
      </c>
      <c r="G742" s="5" t="s">
        <v>53</v>
      </c>
      <c r="H742" s="4"/>
      <c r="I742" s="4"/>
      <c r="J742" s="6"/>
      <c r="K742" s="6"/>
      <c r="L742" s="6"/>
      <c r="M742" s="4"/>
      <c r="N742" s="4"/>
      <c r="O742" s="4"/>
      <c r="P742" s="6"/>
      <c r="Q742" s="6"/>
      <c r="R742" s="6"/>
      <c r="S742" s="6"/>
      <c r="T742" s="4"/>
      <c r="U742" s="6"/>
      <c r="V742" s="6"/>
      <c r="W742" s="6"/>
      <c r="X742" s="6"/>
      <c r="Y742" s="4"/>
      <c r="Z742" s="6"/>
      <c r="AA742" s="4"/>
      <c r="AB742" s="4"/>
      <c r="AC742" s="4"/>
      <c r="AD742" s="6"/>
      <c r="AE742" s="4"/>
      <c r="AF742" s="4"/>
      <c r="AG742" s="4"/>
      <c r="AH742" s="4">
        <v>101209659675</v>
      </c>
    </row>
    <row r="743" spans="1:34" x14ac:dyDescent="0.25">
      <c r="A743" s="4">
        <v>742</v>
      </c>
      <c r="B743" s="5" t="s">
        <v>1605</v>
      </c>
      <c r="C743" s="5" t="s">
        <v>1606</v>
      </c>
      <c r="D743" s="5" t="s">
        <v>1586</v>
      </c>
      <c r="E743" s="5" t="s">
        <v>24</v>
      </c>
      <c r="F743" s="5" t="s">
        <v>56</v>
      </c>
      <c r="G743" s="5" t="s">
        <v>129</v>
      </c>
      <c r="H743" s="4"/>
      <c r="I743" s="4"/>
      <c r="J743" s="6"/>
      <c r="K743" s="6"/>
      <c r="L743" s="6"/>
      <c r="M743" s="4"/>
      <c r="N743" s="4"/>
      <c r="O743" s="4"/>
      <c r="P743" s="6"/>
      <c r="Q743" s="6"/>
      <c r="R743" s="6"/>
      <c r="S743" s="6"/>
      <c r="T743" s="4"/>
      <c r="U743" s="6"/>
      <c r="V743" s="6"/>
      <c r="W743" s="6"/>
      <c r="X743" s="6"/>
      <c r="Y743" s="4"/>
      <c r="Z743" s="6"/>
      <c r="AA743" s="4"/>
      <c r="AB743" s="4"/>
      <c r="AC743" s="4"/>
      <c r="AD743" s="6"/>
      <c r="AE743" s="4"/>
      <c r="AF743" s="4"/>
      <c r="AG743" s="4"/>
      <c r="AH743" s="4">
        <v>25500000000</v>
      </c>
    </row>
    <row r="744" spans="1:34" x14ac:dyDescent="0.25">
      <c r="A744" s="4">
        <v>743</v>
      </c>
      <c r="B744" s="5" t="s">
        <v>1607</v>
      </c>
      <c r="C744" s="5" t="s">
        <v>1608</v>
      </c>
      <c r="D744" s="5" t="s">
        <v>1586</v>
      </c>
      <c r="E744" s="5" t="s">
        <v>40</v>
      </c>
      <c r="F744" s="5" t="s">
        <v>52</v>
      </c>
      <c r="G744" s="5" t="s">
        <v>110</v>
      </c>
      <c r="H744" s="4"/>
      <c r="I744" s="4"/>
      <c r="J744" s="6"/>
      <c r="K744" s="6"/>
      <c r="L744" s="6"/>
      <c r="M744" s="4"/>
      <c r="N744" s="4"/>
      <c r="O744" s="4"/>
      <c r="P744" s="6"/>
      <c r="Q744" s="6"/>
      <c r="R744" s="6"/>
      <c r="S744" s="6"/>
      <c r="T744" s="4"/>
      <c r="U744" s="6"/>
      <c r="V744" s="6"/>
      <c r="W744" s="6"/>
      <c r="X744" s="6"/>
      <c r="Y744" s="4"/>
      <c r="Z744" s="6"/>
      <c r="AA744" s="4"/>
      <c r="AB744" s="4"/>
      <c r="AC744" s="4"/>
      <c r="AD744" s="6"/>
      <c r="AE744" s="4"/>
      <c r="AF744" s="4"/>
      <c r="AG744" s="4"/>
      <c r="AH744" s="4">
        <v>36720000000</v>
      </c>
    </row>
    <row r="745" spans="1:34" x14ac:dyDescent="0.25">
      <c r="A745" s="4">
        <v>744</v>
      </c>
      <c r="B745" s="5" t="s">
        <v>1609</v>
      </c>
      <c r="C745" s="5" t="s">
        <v>1610</v>
      </c>
      <c r="D745" s="5" t="s">
        <v>1586</v>
      </c>
      <c r="E745" s="5" t="s">
        <v>40</v>
      </c>
      <c r="F745" s="5" t="s">
        <v>41</v>
      </c>
      <c r="G745" s="5" t="s">
        <v>93</v>
      </c>
      <c r="H745" s="4"/>
      <c r="I745" s="4"/>
      <c r="J745" s="6"/>
      <c r="K745" s="6"/>
      <c r="L745" s="6"/>
      <c r="M745" s="4"/>
      <c r="N745" s="4"/>
      <c r="O745" s="4"/>
      <c r="P745" s="6"/>
      <c r="Q745" s="6"/>
      <c r="R745" s="6"/>
      <c r="S745" s="6"/>
      <c r="T745" s="4"/>
      <c r="U745" s="6"/>
      <c r="V745" s="6"/>
      <c r="W745" s="6"/>
      <c r="X745" s="6"/>
      <c r="Y745" s="4"/>
      <c r="Z745" s="6"/>
      <c r="AA745" s="4"/>
      <c r="AB745" s="4"/>
      <c r="AC745" s="4"/>
      <c r="AD745" s="6"/>
      <c r="AE745" s="4"/>
      <c r="AF745" s="4"/>
      <c r="AG745" s="4"/>
      <c r="AH745" s="4">
        <v>140215744584243</v>
      </c>
    </row>
    <row r="746" spans="1:34" x14ac:dyDescent="0.25">
      <c r="A746" s="4">
        <v>745</v>
      </c>
      <c r="B746" s="5" t="s">
        <v>1611</v>
      </c>
      <c r="C746" s="5" t="s">
        <v>1612</v>
      </c>
      <c r="D746" s="5" t="s">
        <v>1586</v>
      </c>
      <c r="E746" s="5" t="s">
        <v>29</v>
      </c>
      <c r="F746" s="5" t="s">
        <v>36</v>
      </c>
      <c r="G746" s="5" t="s">
        <v>37</v>
      </c>
      <c r="H746" s="4"/>
      <c r="I746" s="4"/>
      <c r="J746" s="6"/>
      <c r="K746" s="6"/>
      <c r="L746" s="6"/>
      <c r="M746" s="4"/>
      <c r="N746" s="4"/>
      <c r="O746" s="4"/>
      <c r="P746" s="6"/>
      <c r="Q746" s="6"/>
      <c r="R746" s="6"/>
      <c r="S746" s="6"/>
      <c r="T746" s="4"/>
      <c r="U746" s="6"/>
      <c r="V746" s="6"/>
      <c r="W746" s="6"/>
      <c r="X746" s="6"/>
      <c r="Y746" s="4"/>
      <c r="Z746" s="6"/>
      <c r="AA746" s="4"/>
      <c r="AB746" s="4"/>
      <c r="AC746" s="4"/>
      <c r="AD746" s="6"/>
      <c r="AE746" s="4"/>
      <c r="AF746" s="4"/>
      <c r="AG746" s="4"/>
      <c r="AH746" s="4">
        <v>52937956610</v>
      </c>
    </row>
    <row r="747" spans="1:34" x14ac:dyDescent="0.25">
      <c r="A747" s="4">
        <v>746</v>
      </c>
      <c r="B747" s="5" t="s">
        <v>1613</v>
      </c>
      <c r="C747" s="5" t="s">
        <v>1614</v>
      </c>
      <c r="D747" s="5" t="s">
        <v>1586</v>
      </c>
      <c r="E747" s="5" t="s">
        <v>29</v>
      </c>
      <c r="F747" s="5" t="s">
        <v>30</v>
      </c>
      <c r="G747" s="5" t="s">
        <v>31</v>
      </c>
      <c r="H747" s="4">
        <v>114561107874</v>
      </c>
      <c r="I747" s="4">
        <v>210292082758</v>
      </c>
      <c r="J747" s="6">
        <v>-3.2099999999999997E-2</v>
      </c>
      <c r="K747" s="6"/>
      <c r="L747" s="6"/>
      <c r="M747" s="4">
        <v>-7342630485</v>
      </c>
      <c r="N747" s="4">
        <v>-18901470238</v>
      </c>
      <c r="O747" s="4"/>
      <c r="P747" s="6">
        <v>-8.1876999999999995</v>
      </c>
      <c r="Q747" s="6"/>
      <c r="R747" s="6"/>
      <c r="S747" s="6">
        <v>0.36480000000000001</v>
      </c>
      <c r="T747" s="4"/>
      <c r="U747" s="6"/>
      <c r="V747" s="6"/>
      <c r="W747" s="6"/>
      <c r="X747" s="6"/>
      <c r="Y747" s="4"/>
      <c r="Z747" s="6">
        <v>0.19670000000000001</v>
      </c>
      <c r="AA747" s="4"/>
      <c r="AB747" s="4"/>
      <c r="AC747" s="4"/>
      <c r="AD747" s="6"/>
      <c r="AE747" s="4"/>
      <c r="AF747" s="4"/>
      <c r="AG747" s="4"/>
      <c r="AH747" s="4">
        <v>56219486000</v>
      </c>
    </row>
    <row r="748" spans="1:34" x14ac:dyDescent="0.25">
      <c r="A748" s="4">
        <v>747</v>
      </c>
      <c r="B748" s="5" t="s">
        <v>1615</v>
      </c>
      <c r="C748" s="5" t="s">
        <v>1616</v>
      </c>
      <c r="D748" s="5" t="s">
        <v>1586</v>
      </c>
      <c r="E748" s="5" t="s">
        <v>29</v>
      </c>
      <c r="F748" s="5" t="s">
        <v>30</v>
      </c>
      <c r="G748" s="5" t="s">
        <v>83</v>
      </c>
      <c r="H748" s="4"/>
      <c r="I748" s="4"/>
      <c r="J748" s="6"/>
      <c r="K748" s="6"/>
      <c r="L748" s="6"/>
      <c r="M748" s="4"/>
      <c r="N748" s="4"/>
      <c r="O748" s="4"/>
      <c r="P748" s="6"/>
      <c r="Q748" s="6"/>
      <c r="R748" s="6"/>
      <c r="S748" s="6"/>
      <c r="T748" s="4"/>
      <c r="U748" s="6"/>
      <c r="V748" s="6"/>
      <c r="W748" s="6"/>
      <c r="X748" s="6"/>
      <c r="Y748" s="4"/>
      <c r="Z748" s="6"/>
      <c r="AA748" s="4"/>
      <c r="AB748" s="4"/>
      <c r="AC748" s="4"/>
      <c r="AD748" s="6"/>
      <c r="AE748" s="4"/>
      <c r="AF748" s="4"/>
      <c r="AG748" s="4"/>
      <c r="AH748" s="4">
        <v>40040000000</v>
      </c>
    </row>
    <row r="749" spans="1:34" x14ac:dyDescent="0.25">
      <c r="A749" s="4">
        <v>748</v>
      </c>
      <c r="B749" s="5" t="s">
        <v>1617</v>
      </c>
      <c r="C749" s="5" t="s">
        <v>1618</v>
      </c>
      <c r="D749" s="5" t="s">
        <v>1586</v>
      </c>
      <c r="E749" s="5" t="s">
        <v>234</v>
      </c>
      <c r="F749" s="5" t="s">
        <v>235</v>
      </c>
      <c r="G749" s="5" t="s">
        <v>236</v>
      </c>
      <c r="H749" s="4">
        <v>243687966561</v>
      </c>
      <c r="I749" s="4">
        <v>451613709501</v>
      </c>
      <c r="J749" s="6">
        <v>0.1794</v>
      </c>
      <c r="K749" s="6">
        <v>0.1071</v>
      </c>
      <c r="L749" s="6">
        <v>8.4500000000000006E-2</v>
      </c>
      <c r="M749" s="4">
        <v>13074804966</v>
      </c>
      <c r="N749" s="4">
        <v>26575564626</v>
      </c>
      <c r="O749" s="4"/>
      <c r="P749" s="6">
        <v>0.15110000000000001</v>
      </c>
      <c r="Q749" s="6">
        <v>8.6900000000000005E-2</v>
      </c>
      <c r="R749" s="6">
        <v>6.3200000000000006E-2</v>
      </c>
      <c r="S749" s="6">
        <v>-3.1600000000000003E-2</v>
      </c>
      <c r="T749" s="4"/>
      <c r="U749" s="6">
        <v>-0.51439999999999997</v>
      </c>
      <c r="V749" s="6">
        <v>-0.54959999999999998</v>
      </c>
      <c r="W749" s="6">
        <v>-0.53859999999999997</v>
      </c>
      <c r="X749" s="6">
        <v>0</v>
      </c>
      <c r="Y749" s="4"/>
      <c r="Z749" s="6">
        <v>0.17199999999999999</v>
      </c>
      <c r="AA749" s="4"/>
      <c r="AB749" s="4"/>
      <c r="AC749" s="4"/>
      <c r="AD749" s="6">
        <v>0</v>
      </c>
      <c r="AE749" s="4"/>
      <c r="AF749" s="4"/>
      <c r="AG749" s="4"/>
      <c r="AH749" s="4">
        <v>1163946113763</v>
      </c>
    </row>
    <row r="750" spans="1:34" x14ac:dyDescent="0.25">
      <c r="A750" s="4">
        <v>749</v>
      </c>
      <c r="B750" s="5" t="s">
        <v>1619</v>
      </c>
      <c r="C750" s="5" t="s">
        <v>1620</v>
      </c>
      <c r="D750" s="5" t="s">
        <v>1586</v>
      </c>
      <c r="E750" s="5" t="s">
        <v>62</v>
      </c>
      <c r="F750" s="5" t="s">
        <v>71</v>
      </c>
      <c r="G750" s="5" t="s">
        <v>72</v>
      </c>
      <c r="H750" s="4"/>
      <c r="I750" s="4"/>
      <c r="J750" s="6"/>
      <c r="K750" s="6"/>
      <c r="L750" s="6"/>
      <c r="M750" s="4"/>
      <c r="N750" s="4"/>
      <c r="O750" s="4"/>
      <c r="P750" s="6"/>
      <c r="Q750" s="6"/>
      <c r="R750" s="6"/>
      <c r="S750" s="6"/>
      <c r="T750" s="4"/>
      <c r="U750" s="6"/>
      <c r="V750" s="6"/>
      <c r="W750" s="6"/>
      <c r="X750" s="6"/>
      <c r="Y750" s="4"/>
      <c r="Z750" s="6"/>
      <c r="AA750" s="4"/>
      <c r="AB750" s="4"/>
      <c r="AC750" s="4"/>
      <c r="AD750" s="6"/>
      <c r="AE750" s="4"/>
      <c r="AF750" s="4"/>
      <c r="AG750" s="4"/>
      <c r="AH750" s="4">
        <v>1496566800000</v>
      </c>
    </row>
    <row r="751" spans="1:34" x14ac:dyDescent="0.25">
      <c r="A751" s="4">
        <v>750</v>
      </c>
      <c r="B751" s="5" t="s">
        <v>1621</v>
      </c>
      <c r="C751" s="5" t="s">
        <v>1622</v>
      </c>
      <c r="D751" s="5" t="s">
        <v>1586</v>
      </c>
      <c r="E751" s="5" t="s">
        <v>75</v>
      </c>
      <c r="F751" s="5" t="s">
        <v>120</v>
      </c>
      <c r="G751" s="5" t="s">
        <v>121</v>
      </c>
      <c r="H751" s="4">
        <v>945930940975</v>
      </c>
      <c r="I751" s="4"/>
      <c r="J751" s="6">
        <v>0.50919999999999999</v>
      </c>
      <c r="K751" s="6">
        <v>0.4778</v>
      </c>
      <c r="L751" s="6">
        <v>0.48309999999999997</v>
      </c>
      <c r="M751" s="4">
        <v>864096522</v>
      </c>
      <c r="N751" s="4"/>
      <c r="O751" s="4"/>
      <c r="P751" s="6">
        <v>-0.94750000000000001</v>
      </c>
      <c r="Q751" s="6">
        <v>-0.62270000000000003</v>
      </c>
      <c r="R751" s="6">
        <v>-0.48270000000000002</v>
      </c>
      <c r="S751" s="6">
        <v>-0.90039999999999998</v>
      </c>
      <c r="T751" s="4"/>
      <c r="U751" s="6">
        <v>-0.7077</v>
      </c>
      <c r="V751" s="6">
        <v>-0.61850000000000005</v>
      </c>
      <c r="W751" s="6">
        <v>-0.78320000000000001</v>
      </c>
      <c r="X751" s="6">
        <v>0</v>
      </c>
      <c r="Y751" s="4"/>
      <c r="Z751" s="6">
        <v>6.54E-2</v>
      </c>
      <c r="AA751" s="4"/>
      <c r="AB751" s="4"/>
      <c r="AC751" s="4"/>
      <c r="AD751" s="6">
        <v>0</v>
      </c>
      <c r="AE751" s="4"/>
      <c r="AF751" s="4"/>
      <c r="AG751" s="4"/>
      <c r="AH751" s="4">
        <v>860000000000</v>
      </c>
    </row>
    <row r="752" spans="1:34" x14ac:dyDescent="0.25">
      <c r="A752" s="4">
        <v>751</v>
      </c>
      <c r="B752" s="5" t="s">
        <v>1623</v>
      </c>
      <c r="C752" s="5" t="s">
        <v>1624</v>
      </c>
      <c r="D752" s="5" t="s">
        <v>1586</v>
      </c>
      <c r="E752" s="5" t="s">
        <v>29</v>
      </c>
      <c r="F752" s="5" t="s">
        <v>30</v>
      </c>
      <c r="G752" s="5" t="s">
        <v>83</v>
      </c>
      <c r="H752" s="4"/>
      <c r="I752" s="4"/>
      <c r="J752" s="6"/>
      <c r="K752" s="6"/>
      <c r="L752" s="6"/>
      <c r="M752" s="4"/>
      <c r="N752" s="4"/>
      <c r="O752" s="4"/>
      <c r="P752" s="6"/>
      <c r="Q752" s="6"/>
      <c r="R752" s="6"/>
      <c r="S752" s="6"/>
      <c r="T752" s="4"/>
      <c r="U752" s="6"/>
      <c r="V752" s="6"/>
      <c r="W752" s="6"/>
      <c r="X752" s="6"/>
      <c r="Y752" s="4"/>
      <c r="Z752" s="6"/>
      <c r="AA752" s="4"/>
      <c r="AB752" s="4"/>
      <c r="AC752" s="4"/>
      <c r="AD752" s="6"/>
      <c r="AE752" s="4"/>
      <c r="AF752" s="4"/>
      <c r="AG752" s="4"/>
      <c r="AH752" s="4">
        <v>8373282307138</v>
      </c>
    </row>
    <row r="753" spans="1:34" x14ac:dyDescent="0.25">
      <c r="A753" s="4">
        <v>752</v>
      </c>
      <c r="B753" s="5" t="s">
        <v>1625</v>
      </c>
      <c r="C753" s="5" t="s">
        <v>1626</v>
      </c>
      <c r="D753" s="5" t="s">
        <v>1586</v>
      </c>
      <c r="E753" s="5" t="s">
        <v>40</v>
      </c>
      <c r="F753" s="5" t="s">
        <v>41</v>
      </c>
      <c r="G753" s="5" t="s">
        <v>406</v>
      </c>
      <c r="H753" s="4">
        <v>337452662818</v>
      </c>
      <c r="I753" s="4">
        <v>653722299664</v>
      </c>
      <c r="J753" s="6">
        <v>4.8300000000000003E-2</v>
      </c>
      <c r="K753" s="6">
        <v>6.3799999999999996E-2</v>
      </c>
      <c r="L753" s="6">
        <v>8.3999999999999995E-3</v>
      </c>
      <c r="M753" s="4">
        <v>55018048622</v>
      </c>
      <c r="N753" s="4">
        <v>114023117568</v>
      </c>
      <c r="O753" s="4"/>
      <c r="P753" s="6">
        <v>-0.2467</v>
      </c>
      <c r="Q753" s="6">
        <v>-5.2999999999999999E-2</v>
      </c>
      <c r="R753" s="6">
        <v>-7.7200000000000005E-2</v>
      </c>
      <c r="S753" s="6">
        <v>-6.7599999999999993E-2</v>
      </c>
      <c r="T753" s="4"/>
      <c r="U753" s="6">
        <v>-0.53310000000000002</v>
      </c>
      <c r="V753" s="6">
        <v>-0.2072</v>
      </c>
      <c r="W753" s="6">
        <v>-0.2082</v>
      </c>
      <c r="X753" s="6">
        <v>0</v>
      </c>
      <c r="Y753" s="4"/>
      <c r="Z753" s="6">
        <v>6.7000000000000004E-2</v>
      </c>
      <c r="AA753" s="4"/>
      <c r="AB753" s="4"/>
      <c r="AC753" s="4"/>
      <c r="AD753" s="6">
        <v>0</v>
      </c>
      <c r="AE753" s="4"/>
      <c r="AF753" s="4"/>
      <c r="AG753" s="4"/>
      <c r="AH753" s="4">
        <v>1052842953708</v>
      </c>
    </row>
    <row r="754" spans="1:34" x14ac:dyDescent="0.25">
      <c r="A754" s="4">
        <v>753</v>
      </c>
      <c r="B754" s="5" t="s">
        <v>1627</v>
      </c>
      <c r="C754" s="5" t="s">
        <v>1628</v>
      </c>
      <c r="D754" s="5" t="s">
        <v>1586</v>
      </c>
      <c r="E754" s="5" t="s">
        <v>40</v>
      </c>
      <c r="F754" s="5" t="s">
        <v>52</v>
      </c>
      <c r="G754" s="5" t="s">
        <v>110</v>
      </c>
      <c r="H754" s="4"/>
      <c r="I754" s="4"/>
      <c r="J754" s="6"/>
      <c r="K754" s="6"/>
      <c r="L754" s="6"/>
      <c r="M754" s="4"/>
      <c r="N754" s="4"/>
      <c r="O754" s="4"/>
      <c r="P754" s="6"/>
      <c r="Q754" s="6"/>
      <c r="R754" s="6"/>
      <c r="S754" s="6"/>
      <c r="T754" s="4"/>
      <c r="U754" s="6"/>
      <c r="V754" s="6"/>
      <c r="W754" s="6"/>
      <c r="X754" s="6"/>
      <c r="Y754" s="4"/>
      <c r="Z754" s="6"/>
      <c r="AA754" s="4"/>
      <c r="AB754" s="4"/>
      <c r="AC754" s="4"/>
      <c r="AD754" s="6"/>
      <c r="AE754" s="4"/>
      <c r="AF754" s="4"/>
      <c r="AG754" s="4"/>
      <c r="AH754" s="4">
        <v>63875515478</v>
      </c>
    </row>
    <row r="755" spans="1:34" x14ac:dyDescent="0.25">
      <c r="A755" s="4">
        <v>754</v>
      </c>
      <c r="B755" s="5" t="s">
        <v>1629</v>
      </c>
      <c r="C755" s="5" t="s">
        <v>1630</v>
      </c>
      <c r="D755" s="5" t="s">
        <v>1586</v>
      </c>
      <c r="E755" s="5" t="s">
        <v>234</v>
      </c>
      <c r="F755" s="5" t="s">
        <v>235</v>
      </c>
      <c r="G755" s="5" t="s">
        <v>236</v>
      </c>
      <c r="H755" s="4"/>
      <c r="I755" s="4"/>
      <c r="J755" s="6"/>
      <c r="K755" s="6"/>
      <c r="L755" s="6"/>
      <c r="M755" s="4"/>
      <c r="N755" s="4"/>
      <c r="O755" s="4"/>
      <c r="P755" s="6"/>
      <c r="Q755" s="6"/>
      <c r="R755" s="6"/>
      <c r="S755" s="6"/>
      <c r="T755" s="4"/>
      <c r="U755" s="6"/>
      <c r="V755" s="6"/>
      <c r="W755" s="6"/>
      <c r="X755" s="6"/>
      <c r="Y755" s="4"/>
      <c r="Z755" s="6"/>
      <c r="AA755" s="4"/>
      <c r="AB755" s="4"/>
      <c r="AC755" s="4"/>
      <c r="AD755" s="6"/>
      <c r="AE755" s="4"/>
      <c r="AF755" s="4"/>
      <c r="AG755" s="4"/>
      <c r="AH755" s="4">
        <v>189800000000</v>
      </c>
    </row>
    <row r="756" spans="1:34" x14ac:dyDescent="0.25">
      <c r="A756" s="4">
        <v>755</v>
      </c>
      <c r="B756" s="5" t="s">
        <v>1631</v>
      </c>
      <c r="C756" s="5" t="s">
        <v>1632</v>
      </c>
      <c r="D756" s="5" t="s">
        <v>1586</v>
      </c>
      <c r="E756" s="5" t="s">
        <v>40</v>
      </c>
      <c r="F756" s="5" t="s">
        <v>41</v>
      </c>
      <c r="G756" s="5" t="s">
        <v>983</v>
      </c>
      <c r="H756" s="4"/>
      <c r="I756" s="4"/>
      <c r="J756" s="6"/>
      <c r="K756" s="6"/>
      <c r="L756" s="6"/>
      <c r="M756" s="4"/>
      <c r="N756" s="4"/>
      <c r="O756" s="4"/>
      <c r="P756" s="6"/>
      <c r="Q756" s="6"/>
      <c r="R756" s="6"/>
      <c r="S756" s="6"/>
      <c r="T756" s="4"/>
      <c r="U756" s="6"/>
      <c r="V756" s="6"/>
      <c r="W756" s="6"/>
      <c r="X756" s="6"/>
      <c r="Y756" s="4"/>
      <c r="Z756" s="6"/>
      <c r="AA756" s="4"/>
      <c r="AB756" s="4"/>
      <c r="AC756" s="4"/>
      <c r="AD756" s="6"/>
      <c r="AE756" s="4"/>
      <c r="AF756" s="4"/>
      <c r="AG756" s="4"/>
      <c r="AH756" s="4">
        <v>394200000000</v>
      </c>
    </row>
    <row r="757" spans="1:34" x14ac:dyDescent="0.25">
      <c r="A757" s="4">
        <v>756</v>
      </c>
      <c r="B757" s="5" t="s">
        <v>1633</v>
      </c>
      <c r="C757" s="5" t="s">
        <v>1634</v>
      </c>
      <c r="D757" s="5" t="s">
        <v>1586</v>
      </c>
      <c r="E757" s="5" t="s">
        <v>98</v>
      </c>
      <c r="F757" s="5" t="s">
        <v>99</v>
      </c>
      <c r="G757" s="5" t="s">
        <v>144</v>
      </c>
      <c r="H757" s="4"/>
      <c r="I757" s="4"/>
      <c r="J757" s="6"/>
      <c r="K757" s="6"/>
      <c r="L757" s="6"/>
      <c r="M757" s="4"/>
      <c r="N757" s="4"/>
      <c r="O757" s="4"/>
      <c r="P757" s="6"/>
      <c r="Q757" s="6"/>
      <c r="R757" s="6"/>
      <c r="S757" s="6"/>
      <c r="T757" s="4"/>
      <c r="U757" s="6"/>
      <c r="V757" s="6"/>
      <c r="W757" s="6"/>
      <c r="X757" s="6"/>
      <c r="Y757" s="4"/>
      <c r="Z757" s="6"/>
      <c r="AA757" s="4"/>
      <c r="AB757" s="4"/>
      <c r="AC757" s="4"/>
      <c r="AD757" s="6"/>
      <c r="AE757" s="4"/>
      <c r="AF757" s="4"/>
      <c r="AG757" s="4"/>
      <c r="AH757" s="4">
        <v>1348758636800</v>
      </c>
    </row>
    <row r="758" spans="1:34" x14ac:dyDescent="0.25">
      <c r="A758" s="4">
        <v>757</v>
      </c>
      <c r="B758" s="5" t="s">
        <v>1635</v>
      </c>
      <c r="C758" s="5" t="s">
        <v>1636</v>
      </c>
      <c r="D758" s="5" t="s">
        <v>1586</v>
      </c>
      <c r="E758" s="5" t="s">
        <v>234</v>
      </c>
      <c r="F758" s="5" t="s">
        <v>235</v>
      </c>
      <c r="G758" s="5" t="s">
        <v>1637</v>
      </c>
      <c r="H758" s="4">
        <v>32206371917</v>
      </c>
      <c r="I758" s="4">
        <v>60153652817</v>
      </c>
      <c r="J758" s="6">
        <v>0.11550000000000001</v>
      </c>
      <c r="K758" s="6">
        <v>9.8900000000000002E-2</v>
      </c>
      <c r="L758" s="6">
        <v>2.8500000000000001E-2</v>
      </c>
      <c r="M758" s="4">
        <v>-2395117733</v>
      </c>
      <c r="N758" s="4">
        <v>-8685278974</v>
      </c>
      <c r="O758" s="4"/>
      <c r="P758" s="6">
        <v>0.63780000000000003</v>
      </c>
      <c r="Q758" s="6">
        <v>0.40260000000000001</v>
      </c>
      <c r="R758" s="6">
        <v>0.1636</v>
      </c>
      <c r="S758" s="6">
        <v>0.61919999999999997</v>
      </c>
      <c r="T758" s="4"/>
      <c r="U758" s="6">
        <v>-0.6119</v>
      </c>
      <c r="V758" s="6">
        <v>-7.4335000000000004</v>
      </c>
      <c r="W758" s="6">
        <v>-9.0419</v>
      </c>
      <c r="X758" s="6">
        <v>0</v>
      </c>
      <c r="Y758" s="4"/>
      <c r="Z758" s="6">
        <v>0.15240000000000001</v>
      </c>
      <c r="AA758" s="4"/>
      <c r="AB758" s="4"/>
      <c r="AC758" s="4"/>
      <c r="AD758" s="6">
        <v>0</v>
      </c>
      <c r="AE758" s="4"/>
      <c r="AF758" s="4"/>
      <c r="AG758" s="4"/>
      <c r="AH758" s="4">
        <v>117439647500</v>
      </c>
    </row>
    <row r="759" spans="1:34" x14ac:dyDescent="0.25">
      <c r="A759" s="4">
        <v>758</v>
      </c>
      <c r="B759" s="5" t="s">
        <v>1638</v>
      </c>
      <c r="C759" s="5" t="s">
        <v>1639</v>
      </c>
      <c r="D759" s="5" t="s">
        <v>1586</v>
      </c>
      <c r="E759" s="5" t="s">
        <v>29</v>
      </c>
      <c r="F759" s="5" t="s">
        <v>30</v>
      </c>
      <c r="G759" s="5" t="s">
        <v>83</v>
      </c>
      <c r="H759" s="4"/>
      <c r="I759" s="4"/>
      <c r="J759" s="6"/>
      <c r="K759" s="6"/>
      <c r="L759" s="6"/>
      <c r="M759" s="4"/>
      <c r="N759" s="4"/>
      <c r="O759" s="4"/>
      <c r="P759" s="6"/>
      <c r="Q759" s="6"/>
      <c r="R759" s="6"/>
      <c r="S759" s="6"/>
      <c r="T759" s="4"/>
      <c r="U759" s="6"/>
      <c r="V759" s="6"/>
      <c r="W759" s="6"/>
      <c r="X759" s="6"/>
      <c r="Y759" s="4"/>
      <c r="Z759" s="6"/>
      <c r="AA759" s="4"/>
      <c r="AB759" s="4"/>
      <c r="AC759" s="4"/>
      <c r="AD759" s="6"/>
      <c r="AE759" s="4"/>
      <c r="AF759" s="4"/>
      <c r="AG759" s="4"/>
      <c r="AH759" s="4">
        <v>1699938709152</v>
      </c>
    </row>
    <row r="760" spans="1:34" x14ac:dyDescent="0.25">
      <c r="A760" s="4">
        <v>759</v>
      </c>
      <c r="B760" s="5" t="s">
        <v>1640</v>
      </c>
      <c r="C760" s="5" t="s">
        <v>1641</v>
      </c>
      <c r="D760" s="5" t="s">
        <v>1586</v>
      </c>
      <c r="E760" s="5" t="s">
        <v>40</v>
      </c>
      <c r="F760" s="5" t="s">
        <v>41</v>
      </c>
      <c r="G760" s="5" t="s">
        <v>519</v>
      </c>
      <c r="H760" s="4"/>
      <c r="I760" s="4"/>
      <c r="J760" s="6"/>
      <c r="K760" s="6"/>
      <c r="L760" s="6"/>
      <c r="M760" s="4"/>
      <c r="N760" s="4"/>
      <c r="O760" s="4"/>
      <c r="P760" s="6"/>
      <c r="Q760" s="6"/>
      <c r="R760" s="6"/>
      <c r="S760" s="6"/>
      <c r="T760" s="4"/>
      <c r="U760" s="6"/>
      <c r="V760" s="6"/>
      <c r="W760" s="6"/>
      <c r="X760" s="6"/>
      <c r="Y760" s="4"/>
      <c r="Z760" s="6"/>
      <c r="AA760" s="4"/>
      <c r="AB760" s="4"/>
      <c r="AC760" s="4"/>
      <c r="AD760" s="6"/>
      <c r="AE760" s="4"/>
      <c r="AF760" s="4"/>
      <c r="AG760" s="4"/>
      <c r="AH760" s="4">
        <v>13800000000</v>
      </c>
    </row>
    <row r="761" spans="1:34" x14ac:dyDescent="0.25">
      <c r="A761" s="4">
        <v>760</v>
      </c>
      <c r="B761" s="5" t="s">
        <v>1642</v>
      </c>
      <c r="C761" s="5" t="s">
        <v>1643</v>
      </c>
      <c r="D761" s="5" t="s">
        <v>1586</v>
      </c>
      <c r="E761" s="5" t="s">
        <v>24</v>
      </c>
      <c r="F761" s="5" t="s">
        <v>25</v>
      </c>
      <c r="G761" s="5" t="s">
        <v>45</v>
      </c>
      <c r="H761" s="4"/>
      <c r="I761" s="4"/>
      <c r="J761" s="6"/>
      <c r="K761" s="6"/>
      <c r="L761" s="6"/>
      <c r="M761" s="4"/>
      <c r="N761" s="4"/>
      <c r="O761" s="4"/>
      <c r="P761" s="6"/>
      <c r="Q761" s="6"/>
      <c r="R761" s="6"/>
      <c r="S761" s="6"/>
      <c r="T761" s="4"/>
      <c r="U761" s="6"/>
      <c r="V761" s="6"/>
      <c r="W761" s="6"/>
      <c r="X761" s="6"/>
      <c r="Y761" s="4"/>
      <c r="Z761" s="6"/>
      <c r="AA761" s="4"/>
      <c r="AB761" s="4"/>
      <c r="AC761" s="4"/>
      <c r="AD761" s="6"/>
      <c r="AE761" s="4"/>
      <c r="AF761" s="4"/>
      <c r="AG761" s="4"/>
      <c r="AH761" s="4">
        <v>17055921520</v>
      </c>
    </row>
    <row r="762" spans="1:34" x14ac:dyDescent="0.25">
      <c r="A762" s="4">
        <v>761</v>
      </c>
      <c r="B762" s="5" t="s">
        <v>1644</v>
      </c>
      <c r="C762" s="5" t="s">
        <v>1645</v>
      </c>
      <c r="D762" s="5" t="s">
        <v>1586</v>
      </c>
      <c r="E762" s="5" t="s">
        <v>29</v>
      </c>
      <c r="F762" s="5" t="s">
        <v>30</v>
      </c>
      <c r="G762" s="5" t="s">
        <v>31</v>
      </c>
      <c r="H762" s="4"/>
      <c r="I762" s="4"/>
      <c r="J762" s="6"/>
      <c r="K762" s="6"/>
      <c r="L762" s="6"/>
      <c r="M762" s="4"/>
      <c r="N762" s="4"/>
      <c r="O762" s="4"/>
      <c r="P762" s="6"/>
      <c r="Q762" s="6"/>
      <c r="R762" s="6"/>
      <c r="S762" s="6"/>
      <c r="T762" s="4"/>
      <c r="U762" s="6"/>
      <c r="V762" s="6"/>
      <c r="W762" s="6"/>
      <c r="X762" s="6"/>
      <c r="Y762" s="4"/>
      <c r="Z762" s="6"/>
      <c r="AA762" s="4"/>
      <c r="AB762" s="4"/>
      <c r="AC762" s="4"/>
      <c r="AD762" s="6"/>
      <c r="AE762" s="4"/>
      <c r="AF762" s="4"/>
      <c r="AG762" s="4"/>
      <c r="AH762" s="4">
        <v>14960000000</v>
      </c>
    </row>
    <row r="763" spans="1:34" x14ac:dyDescent="0.25">
      <c r="A763" s="4">
        <v>762</v>
      </c>
      <c r="B763" s="5" t="s">
        <v>1646</v>
      </c>
      <c r="C763" s="5" t="s">
        <v>1647</v>
      </c>
      <c r="D763" s="5" t="s">
        <v>1586</v>
      </c>
      <c r="E763" s="5" t="s">
        <v>75</v>
      </c>
      <c r="F763" s="5" t="s">
        <v>79</v>
      </c>
      <c r="G763" s="5" t="s">
        <v>80</v>
      </c>
      <c r="H763" s="4">
        <v>589079004</v>
      </c>
      <c r="I763" s="4">
        <v>889577179</v>
      </c>
      <c r="J763" s="6">
        <v>9.6881000000000004</v>
      </c>
      <c r="K763" s="6">
        <v>7.7956000000000003</v>
      </c>
      <c r="L763" s="6">
        <v>15.171099999999999</v>
      </c>
      <c r="M763" s="4">
        <v>-2240338198</v>
      </c>
      <c r="N763" s="4">
        <v>-20081145219</v>
      </c>
      <c r="O763" s="4"/>
      <c r="P763" s="6">
        <v>0.94230000000000003</v>
      </c>
      <c r="Q763" s="6">
        <v>0.53380000000000005</v>
      </c>
      <c r="R763" s="6">
        <v>0.51870000000000005</v>
      </c>
      <c r="S763" s="6">
        <v>0.87439999999999996</v>
      </c>
      <c r="T763" s="4"/>
      <c r="U763" s="6">
        <v>0</v>
      </c>
      <c r="V763" s="6">
        <v>0</v>
      </c>
      <c r="W763" s="6">
        <v>0</v>
      </c>
      <c r="X763" s="6">
        <v>0</v>
      </c>
      <c r="Y763" s="4"/>
      <c r="Z763" s="6">
        <v>0.96030000000000004</v>
      </c>
      <c r="AA763" s="4"/>
      <c r="AB763" s="4"/>
      <c r="AC763" s="4"/>
      <c r="AD763" s="6">
        <v>0</v>
      </c>
      <c r="AE763" s="4"/>
      <c r="AF763" s="4"/>
      <c r="AG763" s="4"/>
      <c r="AH763" s="4">
        <v>125999261700</v>
      </c>
    </row>
    <row r="764" spans="1:34" x14ac:dyDescent="0.25">
      <c r="A764" s="4">
        <v>763</v>
      </c>
      <c r="B764" s="5" t="s">
        <v>1648</v>
      </c>
      <c r="C764" s="5" t="s">
        <v>1649</v>
      </c>
      <c r="D764" s="5" t="s">
        <v>1586</v>
      </c>
      <c r="E764" s="5" t="s">
        <v>29</v>
      </c>
      <c r="F764" s="5" t="s">
        <v>30</v>
      </c>
      <c r="G764" s="5" t="s">
        <v>31</v>
      </c>
      <c r="H764" s="4"/>
      <c r="I764" s="4"/>
      <c r="J764" s="6"/>
      <c r="K764" s="6"/>
      <c r="L764" s="6"/>
      <c r="M764" s="4"/>
      <c r="N764" s="4"/>
      <c r="O764" s="4"/>
      <c r="P764" s="6"/>
      <c r="Q764" s="6"/>
      <c r="R764" s="6"/>
      <c r="S764" s="6"/>
      <c r="T764" s="4"/>
      <c r="U764" s="6"/>
      <c r="V764" s="6"/>
      <c r="W764" s="6"/>
      <c r="X764" s="6"/>
      <c r="Y764" s="4"/>
      <c r="Z764" s="6"/>
      <c r="AA764" s="4"/>
      <c r="AB764" s="4"/>
      <c r="AC764" s="4"/>
      <c r="AD764" s="6"/>
      <c r="AE764" s="4"/>
      <c r="AF764" s="4"/>
      <c r="AG764" s="4"/>
      <c r="AH764" s="4">
        <v>4799999200</v>
      </c>
    </row>
    <row r="765" spans="1:34" x14ac:dyDescent="0.25">
      <c r="A765" s="4">
        <v>764</v>
      </c>
      <c r="B765" s="5" t="s">
        <v>1650</v>
      </c>
      <c r="C765" s="5" t="s">
        <v>1651</v>
      </c>
      <c r="D765" s="5" t="s">
        <v>1586</v>
      </c>
      <c r="E765" s="5" t="s">
        <v>24</v>
      </c>
      <c r="F765" s="5" t="s">
        <v>56</v>
      </c>
      <c r="G765" s="5" t="s">
        <v>129</v>
      </c>
      <c r="H765" s="4"/>
      <c r="I765" s="4"/>
      <c r="J765" s="6"/>
      <c r="K765" s="6"/>
      <c r="L765" s="6"/>
      <c r="M765" s="4"/>
      <c r="N765" s="4"/>
      <c r="O765" s="4"/>
      <c r="P765" s="6"/>
      <c r="Q765" s="6"/>
      <c r="R765" s="6"/>
      <c r="S765" s="6"/>
      <c r="T765" s="4"/>
      <c r="U765" s="6"/>
      <c r="V765" s="6"/>
      <c r="W765" s="6"/>
      <c r="X765" s="6"/>
      <c r="Y765" s="4"/>
      <c r="Z765" s="6"/>
      <c r="AA765" s="4"/>
      <c r="AB765" s="4"/>
      <c r="AC765" s="4"/>
      <c r="AD765" s="6"/>
      <c r="AE765" s="4"/>
      <c r="AF765" s="4"/>
      <c r="AG765" s="4"/>
      <c r="AH765" s="4">
        <v>130892000000</v>
      </c>
    </row>
    <row r="766" spans="1:34" x14ac:dyDescent="0.25">
      <c r="A766" s="4">
        <v>765</v>
      </c>
      <c r="B766" s="5" t="s">
        <v>1652</v>
      </c>
      <c r="C766" s="5" t="s">
        <v>1653</v>
      </c>
      <c r="D766" s="5" t="s">
        <v>1586</v>
      </c>
      <c r="E766" s="5" t="s">
        <v>98</v>
      </c>
      <c r="F766" s="5" t="s">
        <v>99</v>
      </c>
      <c r="G766" s="5" t="s">
        <v>144</v>
      </c>
      <c r="H766" s="4">
        <v>134557932545</v>
      </c>
      <c r="I766" s="4">
        <v>263430965442</v>
      </c>
      <c r="J766" s="6">
        <v>-7.85E-2</v>
      </c>
      <c r="K766" s="6"/>
      <c r="L766" s="6"/>
      <c r="M766" s="4">
        <v>47176316245</v>
      </c>
      <c r="N766" s="4">
        <v>96952079522</v>
      </c>
      <c r="O766" s="4"/>
      <c r="P766" s="6">
        <v>4.1300000000000003E-2</v>
      </c>
      <c r="Q766" s="6"/>
      <c r="R766" s="6"/>
      <c r="S766" s="6">
        <v>-5.2200000000000003E-2</v>
      </c>
      <c r="T766" s="4"/>
      <c r="U766" s="6"/>
      <c r="V766" s="6"/>
      <c r="W766" s="6"/>
      <c r="X766" s="6"/>
      <c r="Y766" s="4"/>
      <c r="Z766" s="6">
        <v>4.41E-2</v>
      </c>
      <c r="AA766" s="4"/>
      <c r="AB766" s="4"/>
      <c r="AC766" s="4"/>
      <c r="AD766" s="6"/>
      <c r="AE766" s="4"/>
      <c r="AF766" s="4"/>
      <c r="AG766" s="4"/>
      <c r="AH766" s="4">
        <v>3039608106000</v>
      </c>
    </row>
    <row r="767" spans="1:34" x14ac:dyDescent="0.25">
      <c r="A767" s="4">
        <v>766</v>
      </c>
      <c r="B767" s="5" t="s">
        <v>1654</v>
      </c>
      <c r="C767" s="5" t="s">
        <v>1655</v>
      </c>
      <c r="D767" s="5" t="s">
        <v>1586</v>
      </c>
      <c r="E767" s="5" t="s">
        <v>24</v>
      </c>
      <c r="F767" s="5" t="s">
        <v>25</v>
      </c>
      <c r="G767" s="5" t="s">
        <v>45</v>
      </c>
      <c r="H767" s="4"/>
      <c r="I767" s="4"/>
      <c r="J767" s="6"/>
      <c r="K767" s="6"/>
      <c r="L767" s="6"/>
      <c r="M767" s="4"/>
      <c r="N767" s="4"/>
      <c r="O767" s="4"/>
      <c r="P767" s="6"/>
      <c r="Q767" s="6"/>
      <c r="R767" s="6"/>
      <c r="S767" s="6"/>
      <c r="T767" s="4"/>
      <c r="U767" s="6"/>
      <c r="V767" s="6"/>
      <c r="W767" s="6"/>
      <c r="X767" s="6"/>
      <c r="Y767" s="4"/>
      <c r="Z767" s="6"/>
      <c r="AA767" s="4"/>
      <c r="AB767" s="4"/>
      <c r="AC767" s="4"/>
      <c r="AD767" s="6"/>
      <c r="AE767" s="4"/>
      <c r="AF767" s="4"/>
      <c r="AG767" s="4"/>
      <c r="AH767" s="4">
        <v>141333776108</v>
      </c>
    </row>
    <row r="768" spans="1:34" x14ac:dyDescent="0.25">
      <c r="A768" s="4">
        <v>767</v>
      </c>
      <c r="B768" s="5" t="s">
        <v>1656</v>
      </c>
      <c r="C768" s="5" t="s">
        <v>1657</v>
      </c>
      <c r="D768" s="5" t="s">
        <v>1586</v>
      </c>
      <c r="E768" s="5" t="s">
        <v>40</v>
      </c>
      <c r="F768" s="5" t="s">
        <v>41</v>
      </c>
      <c r="G768" s="5" t="s">
        <v>90</v>
      </c>
      <c r="H768" s="4"/>
      <c r="I768" s="4"/>
      <c r="J768" s="6"/>
      <c r="K768" s="6"/>
      <c r="L768" s="6"/>
      <c r="M768" s="4"/>
      <c r="N768" s="4"/>
      <c r="O768" s="4"/>
      <c r="P768" s="6"/>
      <c r="Q768" s="6"/>
      <c r="R768" s="6"/>
      <c r="S768" s="6"/>
      <c r="T768" s="4"/>
      <c r="U768" s="6"/>
      <c r="V768" s="6"/>
      <c r="W768" s="6"/>
      <c r="X768" s="6"/>
      <c r="Y768" s="4"/>
      <c r="Z768" s="6"/>
      <c r="AA768" s="4"/>
      <c r="AB768" s="4"/>
      <c r="AC768" s="4"/>
      <c r="AD768" s="6"/>
      <c r="AE768" s="4"/>
      <c r="AF768" s="4"/>
      <c r="AG768" s="4"/>
      <c r="AH768" s="4">
        <v>14200000000</v>
      </c>
    </row>
    <row r="769" spans="1:34" x14ac:dyDescent="0.25">
      <c r="A769" s="4">
        <v>768</v>
      </c>
      <c r="B769" s="5" t="s">
        <v>1658</v>
      </c>
      <c r="C769" s="5" t="s">
        <v>1659</v>
      </c>
      <c r="D769" s="5" t="s">
        <v>1586</v>
      </c>
      <c r="E769" s="5" t="s">
        <v>40</v>
      </c>
      <c r="F769" s="5" t="s">
        <v>41</v>
      </c>
      <c r="G769" s="5" t="s">
        <v>90</v>
      </c>
      <c r="H769" s="4"/>
      <c r="I769" s="4"/>
      <c r="J769" s="6"/>
      <c r="K769" s="6"/>
      <c r="L769" s="6"/>
      <c r="M769" s="4"/>
      <c r="N769" s="4"/>
      <c r="O769" s="4"/>
      <c r="P769" s="6"/>
      <c r="Q769" s="6"/>
      <c r="R769" s="6"/>
      <c r="S769" s="6"/>
      <c r="T769" s="4"/>
      <c r="U769" s="6"/>
      <c r="V769" s="6"/>
      <c r="W769" s="6"/>
      <c r="X769" s="6"/>
      <c r="Y769" s="4"/>
      <c r="Z769" s="6"/>
      <c r="AA769" s="4"/>
      <c r="AB769" s="4"/>
      <c r="AC769" s="4"/>
      <c r="AD769" s="6"/>
      <c r="AE769" s="4"/>
      <c r="AF769" s="4"/>
      <c r="AG769" s="4"/>
      <c r="AH769" s="4">
        <v>20479320000</v>
      </c>
    </row>
    <row r="770" spans="1:34" x14ac:dyDescent="0.25">
      <c r="A770" s="4">
        <v>769</v>
      </c>
      <c r="B770" s="5" t="s">
        <v>1660</v>
      </c>
      <c r="C770" s="5" t="s">
        <v>1661</v>
      </c>
      <c r="D770" s="5" t="s">
        <v>1586</v>
      </c>
      <c r="E770" s="5" t="s">
        <v>29</v>
      </c>
      <c r="F770" s="5" t="s">
        <v>30</v>
      </c>
      <c r="G770" s="5" t="s">
        <v>117</v>
      </c>
      <c r="H770" s="4"/>
      <c r="I770" s="4"/>
      <c r="J770" s="6"/>
      <c r="K770" s="6"/>
      <c r="L770" s="6"/>
      <c r="M770" s="4"/>
      <c r="N770" s="4"/>
      <c r="O770" s="4"/>
      <c r="P770" s="6"/>
      <c r="Q770" s="6"/>
      <c r="R770" s="6"/>
      <c r="S770" s="6"/>
      <c r="T770" s="4"/>
      <c r="U770" s="6"/>
      <c r="V770" s="6"/>
      <c r="W770" s="6"/>
      <c r="X770" s="6"/>
      <c r="Y770" s="4"/>
      <c r="Z770" s="6"/>
      <c r="AA770" s="4"/>
      <c r="AB770" s="4"/>
      <c r="AC770" s="4"/>
      <c r="AD770" s="6"/>
      <c r="AE770" s="4"/>
      <c r="AF770" s="4"/>
      <c r="AG770" s="4"/>
      <c r="AH770" s="4">
        <v>17200000000</v>
      </c>
    </row>
    <row r="771" spans="1:34" x14ac:dyDescent="0.25">
      <c r="A771" s="4">
        <v>770</v>
      </c>
      <c r="B771" s="5" t="s">
        <v>1662</v>
      </c>
      <c r="C771" s="5" t="s">
        <v>1663</v>
      </c>
      <c r="D771" s="5" t="s">
        <v>1586</v>
      </c>
      <c r="E771" s="5" t="s">
        <v>29</v>
      </c>
      <c r="F771" s="5" t="s">
        <v>36</v>
      </c>
      <c r="G771" s="5" t="s">
        <v>536</v>
      </c>
      <c r="H771" s="4"/>
      <c r="I771" s="4"/>
      <c r="J771" s="6"/>
      <c r="K771" s="6"/>
      <c r="L771" s="6"/>
      <c r="M771" s="4"/>
      <c r="N771" s="4"/>
      <c r="O771" s="4"/>
      <c r="P771" s="6"/>
      <c r="Q771" s="6"/>
      <c r="R771" s="6"/>
      <c r="S771" s="6"/>
      <c r="T771" s="4"/>
      <c r="U771" s="6"/>
      <c r="V771" s="6"/>
      <c r="W771" s="6"/>
      <c r="X771" s="6"/>
      <c r="Y771" s="4"/>
      <c r="Z771" s="6"/>
      <c r="AA771" s="4"/>
      <c r="AB771" s="4"/>
      <c r="AC771" s="4"/>
      <c r="AD771" s="6"/>
      <c r="AE771" s="4"/>
      <c r="AF771" s="4"/>
      <c r="AG771" s="4"/>
      <c r="AH771" s="4">
        <v>229888400000</v>
      </c>
    </row>
    <row r="772" spans="1:34" x14ac:dyDescent="0.25">
      <c r="A772" s="4">
        <v>771</v>
      </c>
      <c r="B772" s="5" t="s">
        <v>1664</v>
      </c>
      <c r="C772" s="5" t="s">
        <v>1665</v>
      </c>
      <c r="D772" s="5" t="s">
        <v>1586</v>
      </c>
      <c r="E772" s="5" t="s">
        <v>24</v>
      </c>
      <c r="F772" s="5" t="s">
        <v>56</v>
      </c>
      <c r="G772" s="5" t="s">
        <v>291</v>
      </c>
      <c r="H772" s="4"/>
      <c r="I772" s="4"/>
      <c r="J772" s="6"/>
      <c r="K772" s="6"/>
      <c r="L772" s="6"/>
      <c r="M772" s="4"/>
      <c r="N772" s="4"/>
      <c r="O772" s="4"/>
      <c r="P772" s="6"/>
      <c r="Q772" s="6"/>
      <c r="R772" s="6"/>
      <c r="S772" s="6"/>
      <c r="T772" s="4"/>
      <c r="U772" s="6"/>
      <c r="V772" s="6"/>
      <c r="W772" s="6"/>
      <c r="X772" s="6"/>
      <c r="Y772" s="4"/>
      <c r="Z772" s="6"/>
      <c r="AA772" s="4"/>
      <c r="AB772" s="4"/>
      <c r="AC772" s="4"/>
      <c r="AD772" s="6"/>
      <c r="AE772" s="4"/>
      <c r="AF772" s="4"/>
      <c r="AG772" s="4"/>
      <c r="AH772" s="4">
        <v>1040000000000</v>
      </c>
    </row>
    <row r="773" spans="1:34" x14ac:dyDescent="0.25">
      <c r="A773" s="4">
        <v>772</v>
      </c>
      <c r="B773" s="5" t="s">
        <v>1666</v>
      </c>
      <c r="C773" s="5" t="s">
        <v>1667</v>
      </c>
      <c r="D773" s="5" t="s">
        <v>1586</v>
      </c>
      <c r="E773" s="5" t="s">
        <v>24</v>
      </c>
      <c r="F773" s="5" t="s">
        <v>56</v>
      </c>
      <c r="G773" s="5" t="s">
        <v>1044</v>
      </c>
      <c r="H773" s="4"/>
      <c r="I773" s="4"/>
      <c r="J773" s="6"/>
      <c r="K773" s="6"/>
      <c r="L773" s="6"/>
      <c r="M773" s="4"/>
      <c r="N773" s="4"/>
      <c r="O773" s="4"/>
      <c r="P773" s="6"/>
      <c r="Q773" s="6"/>
      <c r="R773" s="6"/>
      <c r="S773" s="6"/>
      <c r="T773" s="4"/>
      <c r="U773" s="6"/>
      <c r="V773" s="6"/>
      <c r="W773" s="6"/>
      <c r="X773" s="6"/>
      <c r="Y773" s="4"/>
      <c r="Z773" s="6"/>
      <c r="AA773" s="4"/>
      <c r="AB773" s="4"/>
      <c r="AC773" s="4"/>
      <c r="AD773" s="6"/>
      <c r="AE773" s="4"/>
      <c r="AF773" s="4"/>
      <c r="AG773" s="4"/>
      <c r="AH773" s="4">
        <v>12540000000</v>
      </c>
    </row>
    <row r="774" spans="1:34" x14ac:dyDescent="0.25">
      <c r="A774" s="4">
        <v>773</v>
      </c>
      <c r="B774" s="5" t="s">
        <v>1668</v>
      </c>
      <c r="C774" s="5" t="s">
        <v>1669</v>
      </c>
      <c r="D774" s="5" t="s">
        <v>1586</v>
      </c>
      <c r="E774" s="5" t="s">
        <v>75</v>
      </c>
      <c r="F774" s="5" t="s">
        <v>79</v>
      </c>
      <c r="G774" s="5" t="s">
        <v>612</v>
      </c>
      <c r="H774" s="4"/>
      <c r="I774" s="4"/>
      <c r="J774" s="6"/>
      <c r="K774" s="6"/>
      <c r="L774" s="6"/>
      <c r="M774" s="4"/>
      <c r="N774" s="4"/>
      <c r="O774" s="4"/>
      <c r="P774" s="6"/>
      <c r="Q774" s="6"/>
      <c r="R774" s="6"/>
      <c r="S774" s="6"/>
      <c r="T774" s="4"/>
      <c r="U774" s="6"/>
      <c r="V774" s="6"/>
      <c r="W774" s="6"/>
      <c r="X774" s="6"/>
      <c r="Y774" s="4"/>
      <c r="Z774" s="6"/>
      <c r="AA774" s="4"/>
      <c r="AB774" s="4"/>
      <c r="AC774" s="4"/>
      <c r="AD774" s="6"/>
      <c r="AE774" s="4"/>
      <c r="AF774" s="4"/>
      <c r="AG774" s="4"/>
      <c r="AH774" s="4"/>
    </row>
    <row r="775" spans="1:34" x14ac:dyDescent="0.25">
      <c r="A775" s="4">
        <v>774</v>
      </c>
      <c r="B775" s="5" t="s">
        <v>1670</v>
      </c>
      <c r="C775" s="5" t="s">
        <v>1671</v>
      </c>
      <c r="D775" s="5" t="s">
        <v>1586</v>
      </c>
      <c r="E775" s="5" t="s">
        <v>234</v>
      </c>
      <c r="F775" s="5" t="s">
        <v>235</v>
      </c>
      <c r="G775" s="5" t="s">
        <v>236</v>
      </c>
      <c r="H775" s="4"/>
      <c r="I775" s="4"/>
      <c r="J775" s="6"/>
      <c r="K775" s="6"/>
      <c r="L775" s="6"/>
      <c r="M775" s="4"/>
      <c r="N775" s="4"/>
      <c r="O775" s="4"/>
      <c r="P775" s="6"/>
      <c r="Q775" s="6"/>
      <c r="R775" s="6"/>
      <c r="S775" s="6"/>
      <c r="T775" s="4"/>
      <c r="U775" s="6"/>
      <c r="V775" s="6"/>
      <c r="W775" s="6"/>
      <c r="X775" s="6"/>
      <c r="Y775" s="4"/>
      <c r="Z775" s="6"/>
      <c r="AA775" s="4"/>
      <c r="AB775" s="4"/>
      <c r="AC775" s="4"/>
      <c r="AD775" s="6"/>
      <c r="AE775" s="4"/>
      <c r="AF775" s="4"/>
      <c r="AG775" s="4"/>
      <c r="AH775" s="4">
        <v>61200000000</v>
      </c>
    </row>
    <row r="776" spans="1:34" x14ac:dyDescent="0.25">
      <c r="A776" s="4">
        <v>775</v>
      </c>
      <c r="B776" s="5" t="s">
        <v>1672</v>
      </c>
      <c r="C776" s="5" t="s">
        <v>1673</v>
      </c>
      <c r="D776" s="5" t="s">
        <v>1586</v>
      </c>
      <c r="E776" s="5" t="s">
        <v>40</v>
      </c>
      <c r="F776" s="5" t="s">
        <v>52</v>
      </c>
      <c r="G776" s="5" t="s">
        <v>110</v>
      </c>
      <c r="H776" s="4"/>
      <c r="I776" s="4"/>
      <c r="J776" s="6"/>
      <c r="K776" s="6"/>
      <c r="L776" s="6"/>
      <c r="M776" s="4"/>
      <c r="N776" s="4"/>
      <c r="O776" s="4"/>
      <c r="P776" s="6"/>
      <c r="Q776" s="6"/>
      <c r="R776" s="6"/>
      <c r="S776" s="6"/>
      <c r="T776" s="4"/>
      <c r="U776" s="6"/>
      <c r="V776" s="6"/>
      <c r="W776" s="6"/>
      <c r="X776" s="6"/>
      <c r="Y776" s="4"/>
      <c r="Z776" s="6"/>
      <c r="AA776" s="4"/>
      <c r="AB776" s="4"/>
      <c r="AC776" s="4"/>
      <c r="AD776" s="6"/>
      <c r="AE776" s="4"/>
      <c r="AF776" s="4"/>
      <c r="AG776" s="4"/>
      <c r="AH776" s="4">
        <v>473799913000</v>
      </c>
    </row>
    <row r="777" spans="1:34" x14ac:dyDescent="0.25">
      <c r="A777" s="4">
        <v>776</v>
      </c>
      <c r="B777" s="5" t="s">
        <v>1674</v>
      </c>
      <c r="C777" s="5" t="s">
        <v>1675</v>
      </c>
      <c r="D777" s="5" t="s">
        <v>1586</v>
      </c>
      <c r="E777" s="5" t="s">
        <v>62</v>
      </c>
      <c r="F777" s="5" t="s">
        <v>226</v>
      </c>
      <c r="G777" s="5" t="s">
        <v>227</v>
      </c>
      <c r="H777" s="4"/>
      <c r="I777" s="4"/>
      <c r="J777" s="6"/>
      <c r="K777" s="6"/>
      <c r="L777" s="6"/>
      <c r="M777" s="4"/>
      <c r="N777" s="4"/>
      <c r="O777" s="4"/>
      <c r="P777" s="6"/>
      <c r="Q777" s="6"/>
      <c r="R777" s="6"/>
      <c r="S777" s="6"/>
      <c r="T777" s="4"/>
      <c r="U777" s="6"/>
      <c r="V777" s="6"/>
      <c r="W777" s="6"/>
      <c r="X777" s="6"/>
      <c r="Y777" s="4"/>
      <c r="Z777" s="6"/>
      <c r="AA777" s="4"/>
      <c r="AB777" s="4"/>
      <c r="AC777" s="4"/>
      <c r="AD777" s="6"/>
      <c r="AE777" s="4"/>
      <c r="AF777" s="4"/>
      <c r="AG777" s="4"/>
      <c r="AH777" s="4">
        <v>38700000000</v>
      </c>
    </row>
    <row r="778" spans="1:34" x14ac:dyDescent="0.25">
      <c r="A778" s="4">
        <v>777</v>
      </c>
      <c r="B778" s="5" t="s">
        <v>1676</v>
      </c>
      <c r="C778" s="5" t="s">
        <v>1677</v>
      </c>
      <c r="D778" s="5" t="s">
        <v>1586</v>
      </c>
      <c r="E778" s="5" t="s">
        <v>29</v>
      </c>
      <c r="F778" s="5" t="s">
        <v>36</v>
      </c>
      <c r="G778" s="5" t="s">
        <v>37</v>
      </c>
      <c r="H778" s="4"/>
      <c r="I778" s="4"/>
      <c r="J778" s="6"/>
      <c r="K778" s="6"/>
      <c r="L778" s="6"/>
      <c r="M778" s="4"/>
      <c r="N778" s="4"/>
      <c r="O778" s="4"/>
      <c r="P778" s="6"/>
      <c r="Q778" s="6"/>
      <c r="R778" s="6"/>
      <c r="S778" s="6"/>
      <c r="T778" s="4"/>
      <c r="U778" s="6"/>
      <c r="V778" s="6"/>
      <c r="W778" s="6"/>
      <c r="X778" s="6"/>
      <c r="Y778" s="4"/>
      <c r="Z778" s="6"/>
      <c r="AA778" s="4"/>
      <c r="AB778" s="4"/>
      <c r="AC778" s="4"/>
      <c r="AD778" s="6"/>
      <c r="AE778" s="4"/>
      <c r="AF778" s="4"/>
      <c r="AG778" s="4"/>
      <c r="AH778" s="4">
        <v>696530553120</v>
      </c>
    </row>
    <row r="779" spans="1:34" x14ac:dyDescent="0.25">
      <c r="A779" s="4">
        <v>778</v>
      </c>
      <c r="B779" s="5" t="s">
        <v>1678</v>
      </c>
      <c r="C779" s="5" t="s">
        <v>1679</v>
      </c>
      <c r="D779" s="5" t="s">
        <v>1586</v>
      </c>
      <c r="E779" s="5" t="s">
        <v>40</v>
      </c>
      <c r="F779" s="5" t="s">
        <v>52</v>
      </c>
      <c r="G779" s="5" t="s">
        <v>53</v>
      </c>
      <c r="H779" s="4"/>
      <c r="I779" s="4"/>
      <c r="J779" s="6"/>
      <c r="K779" s="6"/>
      <c r="L779" s="6"/>
      <c r="M779" s="4"/>
      <c r="N779" s="4"/>
      <c r="O779" s="4"/>
      <c r="P779" s="6"/>
      <c r="Q779" s="6"/>
      <c r="R779" s="6"/>
      <c r="S779" s="6"/>
      <c r="T779" s="4"/>
      <c r="U779" s="6"/>
      <c r="V779" s="6"/>
      <c r="W779" s="6"/>
      <c r="X779" s="6"/>
      <c r="Y779" s="4"/>
      <c r="Z779" s="6"/>
      <c r="AA779" s="4"/>
      <c r="AB779" s="4"/>
      <c r="AC779" s="4"/>
      <c r="AD779" s="6"/>
      <c r="AE779" s="4"/>
      <c r="AF779" s="4"/>
      <c r="AG779" s="4"/>
      <c r="AH779" s="4">
        <v>346393715000</v>
      </c>
    </row>
    <row r="780" spans="1:34" x14ac:dyDescent="0.25">
      <c r="A780" s="4">
        <v>779</v>
      </c>
      <c r="B780" s="5" t="s">
        <v>1680</v>
      </c>
      <c r="C780" s="5" t="s">
        <v>1681</v>
      </c>
      <c r="D780" s="5" t="s">
        <v>1586</v>
      </c>
      <c r="E780" s="5" t="s">
        <v>98</v>
      </c>
      <c r="F780" s="5" t="s">
        <v>99</v>
      </c>
      <c r="G780" s="5" t="s">
        <v>155</v>
      </c>
      <c r="H780" s="4">
        <v>90511361417</v>
      </c>
      <c r="I780" s="4">
        <v>172656936579</v>
      </c>
      <c r="J780" s="6">
        <v>0.104</v>
      </c>
      <c r="K780" s="6"/>
      <c r="L780" s="6"/>
      <c r="M780" s="4">
        <v>10953145225</v>
      </c>
      <c r="N780" s="4">
        <v>21085964003</v>
      </c>
      <c r="O780" s="4"/>
      <c r="P780" s="6">
        <v>4.4999999999999998E-2</v>
      </c>
      <c r="Q780" s="6"/>
      <c r="R780" s="6"/>
      <c r="S780" s="6">
        <v>8.1000000000000003E-2</v>
      </c>
      <c r="T780" s="4"/>
      <c r="U780" s="6"/>
      <c r="V780" s="6"/>
      <c r="W780" s="6"/>
      <c r="X780" s="6"/>
      <c r="Y780" s="4"/>
      <c r="Z780" s="6">
        <v>0.1018</v>
      </c>
      <c r="AA780" s="4"/>
      <c r="AB780" s="4"/>
      <c r="AC780" s="4"/>
      <c r="AD780" s="6"/>
      <c r="AE780" s="4"/>
      <c r="AF780" s="4"/>
      <c r="AG780" s="4"/>
      <c r="AH780" s="4">
        <v>331368360000</v>
      </c>
    </row>
    <row r="781" spans="1:34" x14ac:dyDescent="0.25">
      <c r="A781" s="4">
        <v>780</v>
      </c>
      <c r="B781" s="5" t="s">
        <v>1682</v>
      </c>
      <c r="C781" s="5" t="s">
        <v>1683</v>
      </c>
      <c r="D781" s="5" t="s">
        <v>1586</v>
      </c>
      <c r="E781" s="5" t="s">
        <v>29</v>
      </c>
      <c r="F781" s="5" t="s">
        <v>36</v>
      </c>
      <c r="G781" s="5" t="s">
        <v>1117</v>
      </c>
      <c r="H781" s="4"/>
      <c r="I781" s="4"/>
      <c r="J781" s="6"/>
      <c r="K781" s="6"/>
      <c r="L781" s="6"/>
      <c r="M781" s="4"/>
      <c r="N781" s="4"/>
      <c r="O781" s="4"/>
      <c r="P781" s="6"/>
      <c r="Q781" s="6"/>
      <c r="R781" s="6"/>
      <c r="S781" s="6"/>
      <c r="T781" s="4"/>
      <c r="U781" s="6"/>
      <c r="V781" s="6"/>
      <c r="W781" s="6"/>
      <c r="X781" s="6"/>
      <c r="Y781" s="4"/>
      <c r="Z781" s="6"/>
      <c r="AA781" s="4"/>
      <c r="AB781" s="4"/>
      <c r="AC781" s="4"/>
      <c r="AD781" s="6"/>
      <c r="AE781" s="4"/>
      <c r="AF781" s="4"/>
      <c r="AG781" s="4"/>
      <c r="AH781" s="4">
        <v>142800000000</v>
      </c>
    </row>
    <row r="782" spans="1:34" x14ac:dyDescent="0.25">
      <c r="A782" s="4">
        <v>781</v>
      </c>
      <c r="B782" s="5" t="s">
        <v>1684</v>
      </c>
      <c r="C782" s="5" t="s">
        <v>1685</v>
      </c>
      <c r="D782" s="5" t="s">
        <v>1586</v>
      </c>
      <c r="E782" s="5" t="s">
        <v>98</v>
      </c>
      <c r="F782" s="5" t="s">
        <v>99</v>
      </c>
      <c r="G782" s="5" t="s">
        <v>144</v>
      </c>
      <c r="H782" s="4"/>
      <c r="I782" s="4"/>
      <c r="J782" s="6"/>
      <c r="K782" s="6"/>
      <c r="L782" s="6"/>
      <c r="M782" s="4"/>
      <c r="N782" s="4"/>
      <c r="O782" s="4"/>
      <c r="P782" s="6"/>
      <c r="Q782" s="6"/>
      <c r="R782" s="6"/>
      <c r="S782" s="6"/>
      <c r="T782" s="4"/>
      <c r="U782" s="6"/>
      <c r="V782" s="6"/>
      <c r="W782" s="6"/>
      <c r="X782" s="6"/>
      <c r="Y782" s="4"/>
      <c r="Z782" s="6"/>
      <c r="AA782" s="4"/>
      <c r="AB782" s="4"/>
      <c r="AC782" s="4"/>
      <c r="AD782" s="6"/>
      <c r="AE782" s="4"/>
      <c r="AF782" s="4"/>
      <c r="AG782" s="4"/>
      <c r="AH782" s="4">
        <v>2190000000000</v>
      </c>
    </row>
    <row r="783" spans="1:34" x14ac:dyDescent="0.25">
      <c r="A783" s="4">
        <v>782</v>
      </c>
      <c r="B783" s="5" t="s">
        <v>1686</v>
      </c>
      <c r="C783" s="5" t="s">
        <v>1687</v>
      </c>
      <c r="D783" s="5" t="s">
        <v>1586</v>
      </c>
      <c r="E783" s="5" t="s">
        <v>98</v>
      </c>
      <c r="F783" s="5" t="s">
        <v>99</v>
      </c>
      <c r="G783" s="5" t="s">
        <v>155</v>
      </c>
      <c r="H783" s="4">
        <v>53647770617</v>
      </c>
      <c r="I783" s="4">
        <v>100137508512</v>
      </c>
      <c r="J783" s="6">
        <v>6.9400000000000003E-2</v>
      </c>
      <c r="K783" s="6"/>
      <c r="L783" s="6"/>
      <c r="M783" s="4">
        <v>5813236620</v>
      </c>
      <c r="N783" s="4">
        <v>9670250052</v>
      </c>
      <c r="O783" s="4"/>
      <c r="P783" s="6">
        <v>0.16750000000000001</v>
      </c>
      <c r="Q783" s="6"/>
      <c r="R783" s="6"/>
      <c r="S783" s="6">
        <v>0.50719999999999998</v>
      </c>
      <c r="T783" s="4"/>
      <c r="U783" s="6"/>
      <c r="V783" s="6"/>
      <c r="W783" s="6"/>
      <c r="X783" s="6"/>
      <c r="Y783" s="4"/>
      <c r="Z783" s="6">
        <v>0.154</v>
      </c>
      <c r="AA783" s="4"/>
      <c r="AB783" s="4"/>
      <c r="AC783" s="4"/>
      <c r="AD783" s="6"/>
      <c r="AE783" s="4"/>
      <c r="AF783" s="4"/>
      <c r="AG783" s="4"/>
      <c r="AH783" s="4">
        <v>290391136000</v>
      </c>
    </row>
    <row r="784" spans="1:34" x14ac:dyDescent="0.25">
      <c r="A784" s="4">
        <v>783</v>
      </c>
      <c r="B784" s="5" t="s">
        <v>1688</v>
      </c>
      <c r="C784" s="5" t="s">
        <v>1689</v>
      </c>
      <c r="D784" s="5" t="s">
        <v>1586</v>
      </c>
      <c r="E784" s="5" t="s">
        <v>98</v>
      </c>
      <c r="F784" s="5" t="s">
        <v>99</v>
      </c>
      <c r="G784" s="5" t="s">
        <v>144</v>
      </c>
      <c r="H784" s="4">
        <v>39920920606</v>
      </c>
      <c r="I784" s="4">
        <v>77426817555</v>
      </c>
      <c r="J784" s="6">
        <v>-0.1812</v>
      </c>
      <c r="K784" s="6"/>
      <c r="L784" s="6"/>
      <c r="M784" s="4">
        <v>-435931923</v>
      </c>
      <c r="N784" s="4">
        <v>-5194056101</v>
      </c>
      <c r="O784" s="4"/>
      <c r="P784" s="6">
        <v>-1.0432999999999999</v>
      </c>
      <c r="Q784" s="6"/>
      <c r="R784" s="6"/>
      <c r="S784" s="6">
        <v>0.90839999999999999</v>
      </c>
      <c r="T784" s="4"/>
      <c r="U784" s="6"/>
      <c r="V784" s="6"/>
      <c r="W784" s="6"/>
      <c r="X784" s="6"/>
      <c r="Y784" s="4"/>
      <c r="Z784" s="6">
        <v>6.4399999999999999E-2</v>
      </c>
      <c r="AA784" s="4"/>
      <c r="AB784" s="4"/>
      <c r="AC784" s="4"/>
      <c r="AD784" s="6"/>
      <c r="AE784" s="4"/>
      <c r="AF784" s="4"/>
      <c r="AG784" s="4"/>
      <c r="AH784" s="4">
        <v>1419594000000</v>
      </c>
    </row>
    <row r="785" spans="1:34" x14ac:dyDescent="0.25">
      <c r="A785" s="4">
        <v>784</v>
      </c>
      <c r="B785" s="5" t="s">
        <v>1690</v>
      </c>
      <c r="C785" s="5" t="s">
        <v>1691</v>
      </c>
      <c r="D785" s="5" t="s">
        <v>1586</v>
      </c>
      <c r="E785" s="5" t="s">
        <v>40</v>
      </c>
      <c r="F785" s="5" t="s">
        <v>52</v>
      </c>
      <c r="G785" s="5" t="s">
        <v>53</v>
      </c>
      <c r="H785" s="4"/>
      <c r="I785" s="4"/>
      <c r="J785" s="6"/>
      <c r="K785" s="6"/>
      <c r="L785" s="6"/>
      <c r="M785" s="4"/>
      <c r="N785" s="4"/>
      <c r="O785" s="4"/>
      <c r="P785" s="6"/>
      <c r="Q785" s="6"/>
      <c r="R785" s="6"/>
      <c r="S785" s="6"/>
      <c r="T785" s="4"/>
      <c r="U785" s="6"/>
      <c r="V785" s="6"/>
      <c r="W785" s="6"/>
      <c r="X785" s="6"/>
      <c r="Y785" s="4"/>
      <c r="Z785" s="6"/>
      <c r="AA785" s="4"/>
      <c r="AB785" s="4"/>
      <c r="AC785" s="4"/>
      <c r="AD785" s="6"/>
      <c r="AE785" s="4"/>
      <c r="AF785" s="4"/>
      <c r="AG785" s="4"/>
      <c r="AH785" s="4">
        <v>4050000000</v>
      </c>
    </row>
    <row r="786" spans="1:34" x14ac:dyDescent="0.25">
      <c r="A786" s="4">
        <v>785</v>
      </c>
      <c r="B786" s="5" t="s">
        <v>1692</v>
      </c>
      <c r="C786" s="5" t="s">
        <v>1693</v>
      </c>
      <c r="D786" s="5" t="s">
        <v>1586</v>
      </c>
      <c r="E786" s="5" t="s">
        <v>29</v>
      </c>
      <c r="F786" s="5" t="s">
        <v>30</v>
      </c>
      <c r="G786" s="5" t="s">
        <v>574</v>
      </c>
      <c r="H786" s="4"/>
      <c r="I786" s="4"/>
      <c r="J786" s="6"/>
      <c r="K786" s="6"/>
      <c r="L786" s="6"/>
      <c r="M786" s="4"/>
      <c r="N786" s="4"/>
      <c r="O786" s="4"/>
      <c r="P786" s="6"/>
      <c r="Q786" s="6"/>
      <c r="R786" s="6"/>
      <c r="S786" s="6"/>
      <c r="T786" s="4"/>
      <c r="U786" s="6"/>
      <c r="V786" s="6"/>
      <c r="W786" s="6"/>
      <c r="X786" s="6"/>
      <c r="Y786" s="4"/>
      <c r="Z786" s="6"/>
      <c r="AA786" s="4"/>
      <c r="AB786" s="4"/>
      <c r="AC786" s="4"/>
      <c r="AD786" s="6"/>
      <c r="AE786" s="4"/>
      <c r="AF786" s="4"/>
      <c r="AG786" s="4"/>
      <c r="AH786" s="4">
        <v>98292073000</v>
      </c>
    </row>
    <row r="787" spans="1:34" x14ac:dyDescent="0.25">
      <c r="A787" s="4">
        <v>786</v>
      </c>
      <c r="B787" s="5" t="s">
        <v>1694</v>
      </c>
      <c r="C787" s="5" t="s">
        <v>1695</v>
      </c>
      <c r="D787" s="5" t="s">
        <v>1586</v>
      </c>
      <c r="E787" s="5" t="s">
        <v>29</v>
      </c>
      <c r="F787" s="5" t="s">
        <v>30</v>
      </c>
      <c r="G787" s="5" t="s">
        <v>117</v>
      </c>
      <c r="H787" s="4"/>
      <c r="I787" s="4"/>
      <c r="J787" s="6"/>
      <c r="K787" s="6"/>
      <c r="L787" s="6"/>
      <c r="M787" s="4"/>
      <c r="N787" s="4"/>
      <c r="O787" s="4"/>
      <c r="P787" s="6"/>
      <c r="Q787" s="6"/>
      <c r="R787" s="6"/>
      <c r="S787" s="6"/>
      <c r="T787" s="4"/>
      <c r="U787" s="6"/>
      <c r="V787" s="6"/>
      <c r="W787" s="6"/>
      <c r="X787" s="6">
        <v>0</v>
      </c>
      <c r="Y787" s="4"/>
      <c r="Z787" s="6"/>
      <c r="AA787" s="4"/>
      <c r="AB787" s="4"/>
      <c r="AC787" s="4"/>
      <c r="AD787" s="6"/>
      <c r="AE787" s="4"/>
      <c r="AF787" s="4"/>
      <c r="AG787" s="4"/>
      <c r="AH787" s="4">
        <v>125400000000</v>
      </c>
    </row>
    <row r="788" spans="1:34" x14ac:dyDescent="0.25">
      <c r="A788" s="4">
        <v>787</v>
      </c>
      <c r="B788" s="5" t="s">
        <v>1696</v>
      </c>
      <c r="C788" s="5" t="s">
        <v>1697</v>
      </c>
      <c r="D788" s="5" t="s">
        <v>1586</v>
      </c>
      <c r="E788" s="5" t="s">
        <v>75</v>
      </c>
      <c r="F788" s="5" t="s">
        <v>120</v>
      </c>
      <c r="G788" s="5" t="s">
        <v>121</v>
      </c>
      <c r="H788" s="4"/>
      <c r="I788" s="4"/>
      <c r="J788" s="6"/>
      <c r="K788" s="6"/>
      <c r="L788" s="6"/>
      <c r="M788" s="4"/>
      <c r="N788" s="4"/>
      <c r="O788" s="4"/>
      <c r="P788" s="6"/>
      <c r="Q788" s="6"/>
      <c r="R788" s="6"/>
      <c r="S788" s="6"/>
      <c r="T788" s="4"/>
      <c r="U788" s="6"/>
      <c r="V788" s="6"/>
      <c r="W788" s="6"/>
      <c r="X788" s="6"/>
      <c r="Y788" s="4"/>
      <c r="Z788" s="6"/>
      <c r="AA788" s="4"/>
      <c r="AB788" s="4"/>
      <c r="AC788" s="4"/>
      <c r="AD788" s="6"/>
      <c r="AE788" s="4"/>
      <c r="AF788" s="4"/>
      <c r="AG788" s="4"/>
      <c r="AH788" s="4">
        <v>850000000000</v>
      </c>
    </row>
    <row r="789" spans="1:34" x14ac:dyDescent="0.25">
      <c r="A789" s="4">
        <v>788</v>
      </c>
      <c r="B789" s="5" t="s">
        <v>1698</v>
      </c>
      <c r="C789" s="5" t="s">
        <v>1699</v>
      </c>
      <c r="D789" s="5" t="s">
        <v>1586</v>
      </c>
      <c r="E789" s="5" t="s">
        <v>29</v>
      </c>
      <c r="F789" s="5" t="s">
        <v>30</v>
      </c>
      <c r="G789" s="5" t="s">
        <v>117</v>
      </c>
      <c r="H789" s="4"/>
      <c r="I789" s="4"/>
      <c r="J789" s="6"/>
      <c r="K789" s="6"/>
      <c r="L789" s="6"/>
      <c r="M789" s="4"/>
      <c r="N789" s="4"/>
      <c r="O789" s="4"/>
      <c r="P789" s="6"/>
      <c r="Q789" s="6"/>
      <c r="R789" s="6"/>
      <c r="S789" s="6"/>
      <c r="T789" s="4"/>
      <c r="U789" s="6"/>
      <c r="V789" s="6"/>
      <c r="W789" s="6"/>
      <c r="X789" s="6"/>
      <c r="Y789" s="4"/>
      <c r="Z789" s="6"/>
      <c r="AA789" s="4"/>
      <c r="AB789" s="4"/>
      <c r="AC789" s="4"/>
      <c r="AD789" s="6"/>
      <c r="AE789" s="4"/>
      <c r="AF789" s="4"/>
      <c r="AG789" s="4"/>
      <c r="AH789" s="4">
        <v>52216600000</v>
      </c>
    </row>
    <row r="790" spans="1:34" x14ac:dyDescent="0.25">
      <c r="A790" s="4">
        <v>789</v>
      </c>
      <c r="B790" s="5" t="s">
        <v>1700</v>
      </c>
      <c r="C790" s="5" t="s">
        <v>1701</v>
      </c>
      <c r="D790" s="5" t="s">
        <v>1586</v>
      </c>
      <c r="E790" s="5" t="s">
        <v>29</v>
      </c>
      <c r="F790" s="5" t="s">
        <v>30</v>
      </c>
      <c r="G790" s="5" t="s">
        <v>117</v>
      </c>
      <c r="H790" s="4"/>
      <c r="I790" s="4"/>
      <c r="J790" s="6"/>
      <c r="K790" s="6"/>
      <c r="L790" s="6"/>
      <c r="M790" s="4"/>
      <c r="N790" s="4"/>
      <c r="O790" s="4"/>
      <c r="P790" s="6"/>
      <c r="Q790" s="6"/>
      <c r="R790" s="6"/>
      <c r="S790" s="6"/>
      <c r="T790" s="4"/>
      <c r="U790" s="6"/>
      <c r="V790" s="6"/>
      <c r="W790" s="6"/>
      <c r="X790" s="6"/>
      <c r="Y790" s="4"/>
      <c r="Z790" s="6"/>
      <c r="AA790" s="4"/>
      <c r="AB790" s="4"/>
      <c r="AC790" s="4"/>
      <c r="AD790" s="6"/>
      <c r="AE790" s="4"/>
      <c r="AF790" s="4"/>
      <c r="AG790" s="4"/>
      <c r="AH790" s="4">
        <v>63337101000</v>
      </c>
    </row>
    <row r="791" spans="1:34" x14ac:dyDescent="0.25">
      <c r="A791" s="4">
        <v>790</v>
      </c>
      <c r="B791" s="5" t="s">
        <v>1702</v>
      </c>
      <c r="C791" s="5" t="s">
        <v>1703</v>
      </c>
      <c r="D791" s="5" t="s">
        <v>1586</v>
      </c>
      <c r="E791" s="5" t="s">
        <v>29</v>
      </c>
      <c r="F791" s="5" t="s">
        <v>30</v>
      </c>
      <c r="G791" s="5" t="s">
        <v>31</v>
      </c>
      <c r="H791" s="4"/>
      <c r="I791" s="4"/>
      <c r="J791" s="6"/>
      <c r="K791" s="6"/>
      <c r="L791" s="6"/>
      <c r="M791" s="4"/>
      <c r="N791" s="4"/>
      <c r="O791" s="4"/>
      <c r="P791" s="6"/>
      <c r="Q791" s="6"/>
      <c r="R791" s="6"/>
      <c r="S791" s="6"/>
      <c r="T791" s="4"/>
      <c r="U791" s="6"/>
      <c r="V791" s="6"/>
      <c r="W791" s="6"/>
      <c r="X791" s="6"/>
      <c r="Y791" s="4"/>
      <c r="Z791" s="6"/>
      <c r="AA791" s="4"/>
      <c r="AB791" s="4"/>
      <c r="AC791" s="4"/>
      <c r="AD791" s="6"/>
      <c r="AE791" s="4"/>
      <c r="AF791" s="4"/>
      <c r="AG791" s="4"/>
      <c r="AH791" s="4">
        <v>160345191332</v>
      </c>
    </row>
    <row r="792" spans="1:34" x14ac:dyDescent="0.25">
      <c r="A792" s="4">
        <v>791</v>
      </c>
      <c r="B792" s="5" t="s">
        <v>1704</v>
      </c>
      <c r="C792" s="5" t="s">
        <v>1705</v>
      </c>
      <c r="D792" s="5" t="s">
        <v>1586</v>
      </c>
      <c r="E792" s="5" t="s">
        <v>234</v>
      </c>
      <c r="F792" s="5" t="s">
        <v>235</v>
      </c>
      <c r="G792" s="5" t="s">
        <v>236</v>
      </c>
      <c r="H792" s="4"/>
      <c r="I792" s="4"/>
      <c r="J792" s="6"/>
      <c r="K792" s="6"/>
      <c r="L792" s="6"/>
      <c r="M792" s="4"/>
      <c r="N792" s="4"/>
      <c r="O792" s="4"/>
      <c r="P792" s="6"/>
      <c r="Q792" s="6"/>
      <c r="R792" s="6"/>
      <c r="S792" s="6"/>
      <c r="T792" s="4"/>
      <c r="U792" s="6"/>
      <c r="V792" s="6"/>
      <c r="W792" s="6"/>
      <c r="X792" s="6"/>
      <c r="Y792" s="4"/>
      <c r="Z792" s="6"/>
      <c r="AA792" s="4"/>
      <c r="AB792" s="4"/>
      <c r="AC792" s="4"/>
      <c r="AD792" s="6"/>
      <c r="AE792" s="4"/>
      <c r="AF792" s="4"/>
      <c r="AG792" s="4"/>
      <c r="AH792" s="4">
        <v>109459200000</v>
      </c>
    </row>
    <row r="793" spans="1:34" x14ac:dyDescent="0.25">
      <c r="A793" s="4">
        <v>792</v>
      </c>
      <c r="B793" s="5" t="s">
        <v>1706</v>
      </c>
      <c r="C793" s="5" t="s">
        <v>1707</v>
      </c>
      <c r="D793" s="5" t="s">
        <v>1586</v>
      </c>
      <c r="E793" s="5" t="s">
        <v>29</v>
      </c>
      <c r="F793" s="5" t="s">
        <v>30</v>
      </c>
      <c r="G793" s="5" t="s">
        <v>31</v>
      </c>
      <c r="H793" s="4"/>
      <c r="I793" s="4"/>
      <c r="J793" s="6"/>
      <c r="K793" s="6"/>
      <c r="L793" s="6"/>
      <c r="M793" s="4"/>
      <c r="N793" s="4"/>
      <c r="O793" s="4"/>
      <c r="P793" s="6"/>
      <c r="Q793" s="6"/>
      <c r="R793" s="6"/>
      <c r="S793" s="6"/>
      <c r="T793" s="4"/>
      <c r="U793" s="6"/>
      <c r="V793" s="6"/>
      <c r="W793" s="6"/>
      <c r="X793" s="6"/>
      <c r="Y793" s="4"/>
      <c r="Z793" s="6"/>
      <c r="AA793" s="4"/>
      <c r="AB793" s="4"/>
      <c r="AC793" s="4"/>
      <c r="AD793" s="6"/>
      <c r="AE793" s="4"/>
      <c r="AF793" s="4"/>
      <c r="AG793" s="4"/>
      <c r="AH793" s="4">
        <v>31624997250</v>
      </c>
    </row>
    <row r="794" spans="1:34" x14ac:dyDescent="0.25">
      <c r="A794" s="4">
        <v>793</v>
      </c>
      <c r="B794" s="5" t="s">
        <v>1708</v>
      </c>
      <c r="C794" s="5" t="s">
        <v>1709</v>
      </c>
      <c r="D794" s="5" t="s">
        <v>1586</v>
      </c>
      <c r="E794" s="5" t="s">
        <v>75</v>
      </c>
      <c r="F794" s="5" t="s">
        <v>120</v>
      </c>
      <c r="G794" s="5" t="s">
        <v>121</v>
      </c>
      <c r="H794" s="4">
        <v>340362239793</v>
      </c>
      <c r="I794" s="4">
        <v>654411778070</v>
      </c>
      <c r="J794" s="6">
        <v>7.4999999999999997E-2</v>
      </c>
      <c r="K794" s="6"/>
      <c r="L794" s="6"/>
      <c r="M794" s="4">
        <v>22074743251</v>
      </c>
      <c r="N794" s="4">
        <v>27883445525</v>
      </c>
      <c r="O794" s="4"/>
      <c r="P794" s="6">
        <v>19.352599999999999</v>
      </c>
      <c r="Q794" s="6"/>
      <c r="R794" s="6"/>
      <c r="S794" s="6">
        <v>2.8003</v>
      </c>
      <c r="T794" s="4"/>
      <c r="U794" s="6"/>
      <c r="V794" s="6"/>
      <c r="W794" s="6"/>
      <c r="X794" s="6"/>
      <c r="Y794" s="4"/>
      <c r="Z794" s="6">
        <v>8.3799999999999999E-2</v>
      </c>
      <c r="AA794" s="4"/>
      <c r="AB794" s="4"/>
      <c r="AC794" s="4"/>
      <c r="AD794" s="6"/>
      <c r="AE794" s="4"/>
      <c r="AF794" s="4"/>
      <c r="AG794" s="4"/>
      <c r="AH794" s="4">
        <v>472075861432</v>
      </c>
    </row>
    <row r="795" spans="1:34" x14ac:dyDescent="0.25">
      <c r="A795" s="4">
        <v>794</v>
      </c>
      <c r="B795" s="5" t="s">
        <v>1710</v>
      </c>
      <c r="C795" s="5" t="s">
        <v>1711</v>
      </c>
      <c r="D795" s="5" t="s">
        <v>1586</v>
      </c>
      <c r="E795" s="5" t="s">
        <v>62</v>
      </c>
      <c r="F795" s="5" t="s">
        <v>226</v>
      </c>
      <c r="G795" s="5" t="s">
        <v>737</v>
      </c>
      <c r="H795" s="4"/>
      <c r="I795" s="4"/>
      <c r="J795" s="6"/>
      <c r="K795" s="6"/>
      <c r="L795" s="6"/>
      <c r="M795" s="4"/>
      <c r="N795" s="4"/>
      <c r="O795" s="4"/>
      <c r="P795" s="6"/>
      <c r="Q795" s="6"/>
      <c r="R795" s="6"/>
      <c r="S795" s="6"/>
      <c r="T795" s="4"/>
      <c r="U795" s="6"/>
      <c r="V795" s="6"/>
      <c r="W795" s="6"/>
      <c r="X795" s="6"/>
      <c r="Y795" s="4"/>
      <c r="Z795" s="6"/>
      <c r="AA795" s="4"/>
      <c r="AB795" s="4"/>
      <c r="AC795" s="4"/>
      <c r="AD795" s="6"/>
      <c r="AE795" s="4"/>
      <c r="AF795" s="4"/>
      <c r="AG795" s="4"/>
      <c r="AH795" s="4">
        <v>39500000000</v>
      </c>
    </row>
    <row r="796" spans="1:34" x14ac:dyDescent="0.25">
      <c r="A796" s="4">
        <v>795</v>
      </c>
      <c r="B796" s="5" t="s">
        <v>1712</v>
      </c>
      <c r="C796" s="5" t="s">
        <v>1713</v>
      </c>
      <c r="D796" s="5" t="s">
        <v>1586</v>
      </c>
      <c r="E796" s="5" t="s">
        <v>29</v>
      </c>
      <c r="F796" s="5" t="s">
        <v>30</v>
      </c>
      <c r="G796" s="5" t="s">
        <v>83</v>
      </c>
      <c r="H796" s="4"/>
      <c r="I796" s="4"/>
      <c r="J796" s="6"/>
      <c r="K796" s="6"/>
      <c r="L796" s="6"/>
      <c r="M796" s="4"/>
      <c r="N796" s="4"/>
      <c r="O796" s="4"/>
      <c r="P796" s="6"/>
      <c r="Q796" s="6"/>
      <c r="R796" s="6"/>
      <c r="S796" s="6"/>
      <c r="T796" s="4"/>
      <c r="U796" s="6"/>
      <c r="V796" s="6"/>
      <c r="W796" s="6"/>
      <c r="X796" s="6"/>
      <c r="Y796" s="4"/>
      <c r="Z796" s="6"/>
      <c r="AA796" s="4"/>
      <c r="AB796" s="4"/>
      <c r="AC796" s="4"/>
      <c r="AD796" s="6"/>
      <c r="AE796" s="4"/>
      <c r="AF796" s="4"/>
      <c r="AG796" s="4"/>
      <c r="AH796" s="4">
        <v>84000000000</v>
      </c>
    </row>
    <row r="797" spans="1:34" x14ac:dyDescent="0.25">
      <c r="A797" s="4">
        <v>796</v>
      </c>
      <c r="B797" s="5" t="s">
        <v>1714</v>
      </c>
      <c r="C797" s="5" t="s">
        <v>1715</v>
      </c>
      <c r="D797" s="5" t="s">
        <v>1586</v>
      </c>
      <c r="E797" s="5" t="s">
        <v>40</v>
      </c>
      <c r="F797" s="5" t="s">
        <v>41</v>
      </c>
      <c r="G797" s="5" t="s">
        <v>1716</v>
      </c>
      <c r="H797" s="4"/>
      <c r="I797" s="4"/>
      <c r="J797" s="6"/>
      <c r="K797" s="6"/>
      <c r="L797" s="6"/>
      <c r="M797" s="4"/>
      <c r="N797" s="4"/>
      <c r="O797" s="4"/>
      <c r="P797" s="6"/>
      <c r="Q797" s="6"/>
      <c r="R797" s="6"/>
      <c r="S797" s="6"/>
      <c r="T797" s="4"/>
      <c r="U797" s="6"/>
      <c r="V797" s="6"/>
      <c r="W797" s="6"/>
      <c r="X797" s="6"/>
      <c r="Y797" s="4"/>
      <c r="Z797" s="6"/>
      <c r="AA797" s="4"/>
      <c r="AB797" s="4"/>
      <c r="AC797" s="4"/>
      <c r="AD797" s="6"/>
      <c r="AE797" s="4"/>
      <c r="AF797" s="4"/>
      <c r="AG797" s="4"/>
      <c r="AH797" s="4">
        <v>29460096000</v>
      </c>
    </row>
    <row r="798" spans="1:34" x14ac:dyDescent="0.25">
      <c r="A798" s="4">
        <v>797</v>
      </c>
      <c r="B798" s="5" t="s">
        <v>1717</v>
      </c>
      <c r="C798" s="5" t="s">
        <v>1718</v>
      </c>
      <c r="D798" s="5" t="s">
        <v>1586</v>
      </c>
      <c r="E798" s="5" t="s">
        <v>98</v>
      </c>
      <c r="F798" s="5" t="s">
        <v>99</v>
      </c>
      <c r="G798" s="5" t="s">
        <v>100</v>
      </c>
      <c r="H798" s="4"/>
      <c r="I798" s="4"/>
      <c r="J798" s="6"/>
      <c r="K798" s="6"/>
      <c r="L798" s="6"/>
      <c r="M798" s="4"/>
      <c r="N798" s="4"/>
      <c r="O798" s="4"/>
      <c r="P798" s="6"/>
      <c r="Q798" s="6"/>
      <c r="R798" s="6"/>
      <c r="S798" s="6"/>
      <c r="T798" s="4"/>
      <c r="U798" s="6"/>
      <c r="V798" s="6"/>
      <c r="W798" s="6"/>
      <c r="X798" s="6"/>
      <c r="Y798" s="4"/>
      <c r="Z798" s="6"/>
      <c r="AA798" s="4"/>
      <c r="AB798" s="4"/>
      <c r="AC798" s="4"/>
      <c r="AD798" s="6"/>
      <c r="AE798" s="4"/>
      <c r="AF798" s="4"/>
      <c r="AG798" s="4"/>
      <c r="AH798" s="4">
        <v>120445278800</v>
      </c>
    </row>
    <row r="799" spans="1:34" x14ac:dyDescent="0.25">
      <c r="A799" s="4">
        <v>798</v>
      </c>
      <c r="B799" s="5" t="s">
        <v>1719</v>
      </c>
      <c r="C799" s="5" t="s">
        <v>1720</v>
      </c>
      <c r="D799" s="5" t="s">
        <v>1586</v>
      </c>
      <c r="E799" s="5" t="s">
        <v>29</v>
      </c>
      <c r="F799" s="5" t="s">
        <v>36</v>
      </c>
      <c r="G799" s="5" t="s">
        <v>37</v>
      </c>
      <c r="H799" s="4"/>
      <c r="I799" s="4"/>
      <c r="J799" s="6"/>
      <c r="K799" s="6"/>
      <c r="L799" s="6"/>
      <c r="M799" s="4"/>
      <c r="N799" s="4"/>
      <c r="O799" s="4"/>
      <c r="P799" s="6"/>
      <c r="Q799" s="6"/>
      <c r="R799" s="6"/>
      <c r="S799" s="6"/>
      <c r="T799" s="4"/>
      <c r="U799" s="6"/>
      <c r="V799" s="6"/>
      <c r="W799" s="6"/>
      <c r="X799" s="6"/>
      <c r="Y799" s="4"/>
      <c r="Z799" s="6"/>
      <c r="AA799" s="4"/>
      <c r="AB799" s="4"/>
      <c r="AC799" s="4"/>
      <c r="AD799" s="6"/>
      <c r="AE799" s="4"/>
      <c r="AF799" s="4"/>
      <c r="AG799" s="4"/>
      <c r="AH799" s="4">
        <v>58741200000</v>
      </c>
    </row>
    <row r="800" spans="1:34" x14ac:dyDescent="0.25">
      <c r="A800" s="4">
        <v>799</v>
      </c>
      <c r="B800" s="5" t="s">
        <v>1721</v>
      </c>
      <c r="C800" s="5" t="s">
        <v>1722</v>
      </c>
      <c r="D800" s="5" t="s">
        <v>1586</v>
      </c>
      <c r="E800" s="5" t="s">
        <v>24</v>
      </c>
      <c r="F800" s="5" t="s">
        <v>56</v>
      </c>
      <c r="G800" s="5" t="s">
        <v>129</v>
      </c>
      <c r="H800" s="4"/>
      <c r="I800" s="4"/>
      <c r="J800" s="6"/>
      <c r="K800" s="6"/>
      <c r="L800" s="6"/>
      <c r="M800" s="4"/>
      <c r="N800" s="4"/>
      <c r="O800" s="4"/>
      <c r="P800" s="6"/>
      <c r="Q800" s="6"/>
      <c r="R800" s="6"/>
      <c r="S800" s="6"/>
      <c r="T800" s="4"/>
      <c r="U800" s="6"/>
      <c r="V800" s="6"/>
      <c r="W800" s="6"/>
      <c r="X800" s="6"/>
      <c r="Y800" s="4"/>
      <c r="Z800" s="6"/>
      <c r="AA800" s="4"/>
      <c r="AB800" s="4"/>
      <c r="AC800" s="4"/>
      <c r="AD800" s="6"/>
      <c r="AE800" s="4"/>
      <c r="AF800" s="4"/>
      <c r="AG800" s="4"/>
      <c r="AH800" s="4">
        <v>1051469779692</v>
      </c>
    </row>
    <row r="801" spans="1:34" x14ac:dyDescent="0.25">
      <c r="A801" s="4">
        <v>800</v>
      </c>
      <c r="B801" s="5" t="s">
        <v>1723</v>
      </c>
      <c r="C801" s="5" t="s">
        <v>1724</v>
      </c>
      <c r="D801" s="5" t="s">
        <v>1586</v>
      </c>
      <c r="E801" s="5" t="s">
        <v>40</v>
      </c>
      <c r="F801" s="5" t="s">
        <v>52</v>
      </c>
      <c r="G801" s="5" t="s">
        <v>53</v>
      </c>
      <c r="H801" s="4"/>
      <c r="I801" s="4"/>
      <c r="J801" s="6"/>
      <c r="K801" s="6"/>
      <c r="L801" s="6"/>
      <c r="M801" s="4"/>
      <c r="N801" s="4"/>
      <c r="O801" s="4"/>
      <c r="P801" s="6"/>
      <c r="Q801" s="6"/>
      <c r="R801" s="6"/>
      <c r="S801" s="6"/>
      <c r="T801" s="4"/>
      <c r="U801" s="6"/>
      <c r="V801" s="6"/>
      <c r="W801" s="6"/>
      <c r="X801" s="6"/>
      <c r="Y801" s="4"/>
      <c r="Z801" s="6"/>
      <c r="AA801" s="4"/>
      <c r="AB801" s="4"/>
      <c r="AC801" s="4"/>
      <c r="AD801" s="6"/>
      <c r="AE801" s="4"/>
      <c r="AF801" s="4"/>
      <c r="AG801" s="4"/>
      <c r="AH801" s="4">
        <v>107520688800</v>
      </c>
    </row>
    <row r="802" spans="1:34" x14ac:dyDescent="0.25">
      <c r="A802" s="4">
        <v>801</v>
      </c>
      <c r="B802" s="5" t="s">
        <v>1725</v>
      </c>
      <c r="C802" s="5" t="s">
        <v>1726</v>
      </c>
      <c r="D802" s="5" t="s">
        <v>1586</v>
      </c>
      <c r="E802" s="5" t="s">
        <v>75</v>
      </c>
      <c r="F802" s="5" t="s">
        <v>79</v>
      </c>
      <c r="G802" s="5" t="s">
        <v>80</v>
      </c>
      <c r="H802" s="4">
        <v>167063128069</v>
      </c>
      <c r="I802" s="4">
        <v>236803808890</v>
      </c>
      <c r="J802" s="6">
        <v>0.1719</v>
      </c>
      <c r="K802" s="6">
        <v>3.4099999999999998E-2</v>
      </c>
      <c r="L802" s="6">
        <v>0.3115</v>
      </c>
      <c r="M802" s="4">
        <v>74711887150</v>
      </c>
      <c r="N802" s="4">
        <v>110585510935</v>
      </c>
      <c r="O802" s="4"/>
      <c r="P802" s="6">
        <v>0.20019999999999999</v>
      </c>
      <c r="Q802" s="6">
        <v>1.1685000000000001</v>
      </c>
      <c r="R802" s="6">
        <v>0.94850000000000001</v>
      </c>
      <c r="S802" s="6">
        <v>1.0826</v>
      </c>
      <c r="T802" s="4"/>
      <c r="U802" s="6">
        <v>-0.70289999999999997</v>
      </c>
      <c r="V802" s="6">
        <v>-0.4662</v>
      </c>
      <c r="W802" s="6">
        <v>-0.46829999999999999</v>
      </c>
      <c r="X802" s="6">
        <v>0</v>
      </c>
      <c r="Y802" s="4"/>
      <c r="Z802" s="6">
        <v>1.3955</v>
      </c>
      <c r="AA802" s="4"/>
      <c r="AB802" s="4"/>
      <c r="AC802" s="4"/>
      <c r="AD802" s="6">
        <v>0</v>
      </c>
      <c r="AE802" s="4"/>
      <c r="AF802" s="4"/>
      <c r="AG802" s="4"/>
      <c r="AH802" s="4">
        <v>2876314093284</v>
      </c>
    </row>
    <row r="803" spans="1:34" x14ac:dyDescent="0.25">
      <c r="A803" s="4">
        <v>802</v>
      </c>
      <c r="B803" s="5" t="s">
        <v>1727</v>
      </c>
      <c r="C803" s="5" t="s">
        <v>1728</v>
      </c>
      <c r="D803" s="5" t="s">
        <v>1586</v>
      </c>
      <c r="E803" s="5" t="s">
        <v>29</v>
      </c>
      <c r="F803" s="5" t="s">
        <v>30</v>
      </c>
      <c r="G803" s="5" t="s">
        <v>83</v>
      </c>
      <c r="H803" s="4">
        <v>150623147912</v>
      </c>
      <c r="I803" s="4"/>
      <c r="J803" s="6">
        <v>-1.5800000000000002E-2</v>
      </c>
      <c r="K803" s="6">
        <v>3.3599999999999998E-2</v>
      </c>
      <c r="L803" s="6">
        <v>-3.8999999999999998E-3</v>
      </c>
      <c r="M803" s="4">
        <v>3734208848</v>
      </c>
      <c r="N803" s="4"/>
      <c r="O803" s="4"/>
      <c r="P803" s="6">
        <v>2.5729000000000002</v>
      </c>
      <c r="Q803" s="6">
        <v>1.4202999999999999</v>
      </c>
      <c r="R803" s="6">
        <v>0.72409999999999997</v>
      </c>
      <c r="S803" s="6">
        <v>1.994</v>
      </c>
      <c r="T803" s="4"/>
      <c r="U803" s="6">
        <v>-0.59989999999999999</v>
      </c>
      <c r="V803" s="6">
        <v>0.27850000000000003</v>
      </c>
      <c r="W803" s="6">
        <v>0.27079999999999999</v>
      </c>
      <c r="X803" s="6">
        <v>0</v>
      </c>
      <c r="Y803" s="4"/>
      <c r="Z803" s="6">
        <v>-5.8700000000000002E-2</v>
      </c>
      <c r="AA803" s="4"/>
      <c r="AB803" s="4"/>
      <c r="AC803" s="4"/>
      <c r="AD803" s="6">
        <v>0</v>
      </c>
      <c r="AE803" s="4"/>
      <c r="AF803" s="4"/>
      <c r="AG803" s="4"/>
      <c r="AH803" s="4">
        <v>65340000000</v>
      </c>
    </row>
    <row r="804" spans="1:34" x14ac:dyDescent="0.25">
      <c r="A804" s="4">
        <v>803</v>
      </c>
      <c r="B804" s="5" t="s">
        <v>1729</v>
      </c>
      <c r="C804" s="5" t="s">
        <v>1730</v>
      </c>
      <c r="D804" s="5" t="s">
        <v>1586</v>
      </c>
      <c r="E804" s="5" t="s">
        <v>98</v>
      </c>
      <c r="F804" s="5" t="s">
        <v>99</v>
      </c>
      <c r="G804" s="5" t="s">
        <v>155</v>
      </c>
      <c r="H804" s="4">
        <v>90231755951</v>
      </c>
      <c r="I804" s="4">
        <v>164755006624</v>
      </c>
      <c r="J804" s="6">
        <v>0.20660000000000001</v>
      </c>
      <c r="K804" s="6">
        <v>0.19800000000000001</v>
      </c>
      <c r="L804" s="6">
        <v>0.13389999999999999</v>
      </c>
      <c r="M804" s="4">
        <v>20691025467</v>
      </c>
      <c r="N804" s="4">
        <v>30591570714</v>
      </c>
      <c r="O804" s="4"/>
      <c r="P804" s="6">
        <v>0.82369999999999999</v>
      </c>
      <c r="Q804" s="6">
        <v>0.53449999999999998</v>
      </c>
      <c r="R804" s="6">
        <v>0.1406</v>
      </c>
      <c r="S804" s="6">
        <v>1.0899000000000001</v>
      </c>
      <c r="T804" s="4"/>
      <c r="U804" s="6">
        <v>-0.5</v>
      </c>
      <c r="V804" s="6">
        <v>-0.1171</v>
      </c>
      <c r="W804" s="6">
        <v>-0.1123</v>
      </c>
      <c r="X804" s="6">
        <v>3.4299999999999997E-2</v>
      </c>
      <c r="Y804" s="4"/>
      <c r="Z804" s="6">
        <v>0.21079999999999999</v>
      </c>
      <c r="AA804" s="4"/>
      <c r="AB804" s="4"/>
      <c r="AC804" s="4"/>
      <c r="AD804" s="6">
        <v>0</v>
      </c>
      <c r="AE804" s="4"/>
      <c r="AF804" s="4"/>
      <c r="AG804" s="4"/>
      <c r="AH804" s="4">
        <v>766007576400</v>
      </c>
    </row>
    <row r="805" spans="1:34" x14ac:dyDescent="0.25">
      <c r="A805" s="4">
        <v>804</v>
      </c>
      <c r="B805" s="5" t="s">
        <v>1731</v>
      </c>
      <c r="C805" s="5" t="s">
        <v>1732</v>
      </c>
      <c r="D805" s="5" t="s">
        <v>1586</v>
      </c>
      <c r="E805" s="5" t="s">
        <v>40</v>
      </c>
      <c r="F805" s="5" t="s">
        <v>52</v>
      </c>
      <c r="G805" s="5" t="s">
        <v>110</v>
      </c>
      <c r="H805" s="4">
        <v>18216460942</v>
      </c>
      <c r="I805" s="4">
        <v>39071530873</v>
      </c>
      <c r="J805" s="6"/>
      <c r="K805" s="6">
        <v>2.4199999999999999E-2</v>
      </c>
      <c r="L805" s="6">
        <v>-2.1600000000000001E-2</v>
      </c>
      <c r="M805" s="4">
        <v>-14450896609</v>
      </c>
      <c r="N805" s="4">
        <v>-26744943241</v>
      </c>
      <c r="O805" s="4"/>
      <c r="P805" s="6"/>
      <c r="Q805" s="6">
        <v>6.9000000000000006E-2</v>
      </c>
      <c r="R805" s="6">
        <v>-0.86929999999999996</v>
      </c>
      <c r="S805" s="6"/>
      <c r="T805" s="4"/>
      <c r="U805" s="6">
        <v>-0.44180000000000003</v>
      </c>
      <c r="V805" s="6">
        <v>-11.698</v>
      </c>
      <c r="W805" s="6">
        <v>-14.3725</v>
      </c>
      <c r="X805" s="6">
        <v>0</v>
      </c>
      <c r="Y805" s="4"/>
      <c r="Z805" s="6"/>
      <c r="AA805" s="4"/>
      <c r="AB805" s="4"/>
      <c r="AC805" s="4"/>
      <c r="AD805" s="6">
        <v>0</v>
      </c>
      <c r="AE805" s="4"/>
      <c r="AF805" s="4"/>
      <c r="AG805" s="4"/>
      <c r="AH805" s="4">
        <v>94794880000</v>
      </c>
    </row>
    <row r="806" spans="1:34" x14ac:dyDescent="0.25">
      <c r="A806" s="4">
        <v>805</v>
      </c>
      <c r="B806" s="5" t="s">
        <v>1733</v>
      </c>
      <c r="C806" s="5" t="s">
        <v>1734</v>
      </c>
      <c r="D806" s="5" t="s">
        <v>1586</v>
      </c>
      <c r="E806" s="5" t="s">
        <v>29</v>
      </c>
      <c r="F806" s="5" t="s">
        <v>30</v>
      </c>
      <c r="G806" s="5" t="s">
        <v>117</v>
      </c>
      <c r="H806" s="4"/>
      <c r="I806" s="4"/>
      <c r="J806" s="6"/>
      <c r="K806" s="6"/>
      <c r="L806" s="6"/>
      <c r="M806" s="4"/>
      <c r="N806" s="4"/>
      <c r="O806" s="4"/>
      <c r="P806" s="6"/>
      <c r="Q806" s="6"/>
      <c r="R806" s="6"/>
      <c r="S806" s="6"/>
      <c r="T806" s="4"/>
      <c r="U806" s="6"/>
      <c r="V806" s="6"/>
      <c r="W806" s="6"/>
      <c r="X806" s="6"/>
      <c r="Y806" s="4"/>
      <c r="Z806" s="6"/>
      <c r="AA806" s="4"/>
      <c r="AB806" s="4"/>
      <c r="AC806" s="4"/>
      <c r="AD806" s="6"/>
      <c r="AE806" s="4"/>
      <c r="AF806" s="4"/>
      <c r="AG806" s="4"/>
      <c r="AH806" s="4">
        <v>21750000000</v>
      </c>
    </row>
    <row r="807" spans="1:34" x14ac:dyDescent="0.25">
      <c r="A807" s="4">
        <v>806</v>
      </c>
      <c r="B807" s="5" t="s">
        <v>1735</v>
      </c>
      <c r="C807" s="5" t="s">
        <v>1736</v>
      </c>
      <c r="D807" s="5" t="s">
        <v>1586</v>
      </c>
      <c r="E807" s="5" t="s">
        <v>24</v>
      </c>
      <c r="F807" s="5" t="s">
        <v>25</v>
      </c>
      <c r="G807" s="5" t="s">
        <v>26</v>
      </c>
      <c r="H807" s="4"/>
      <c r="I807" s="4"/>
      <c r="J807" s="6"/>
      <c r="K807" s="6"/>
      <c r="L807" s="6"/>
      <c r="M807" s="4"/>
      <c r="N807" s="4"/>
      <c r="O807" s="4"/>
      <c r="P807" s="6"/>
      <c r="Q807" s="6"/>
      <c r="R807" s="6"/>
      <c r="S807" s="6"/>
      <c r="T807" s="4"/>
      <c r="U807" s="6"/>
      <c r="V807" s="6"/>
      <c r="W807" s="6"/>
      <c r="X807" s="6"/>
      <c r="Y807" s="4"/>
      <c r="Z807" s="6"/>
      <c r="AA807" s="4"/>
      <c r="AB807" s="4"/>
      <c r="AC807" s="4"/>
      <c r="AD807" s="6"/>
      <c r="AE807" s="4"/>
      <c r="AF807" s="4"/>
      <c r="AG807" s="4"/>
      <c r="AH807" s="4">
        <v>277500000000</v>
      </c>
    </row>
    <row r="808" spans="1:34" x14ac:dyDescent="0.25">
      <c r="A808" s="4">
        <v>807</v>
      </c>
      <c r="B808" s="5" t="s">
        <v>1737</v>
      </c>
      <c r="C808" s="5" t="s">
        <v>1738</v>
      </c>
      <c r="D808" s="5" t="s">
        <v>1586</v>
      </c>
      <c r="E808" s="5" t="s">
        <v>24</v>
      </c>
      <c r="F808" s="5" t="s">
        <v>25</v>
      </c>
      <c r="G808" s="5" t="s">
        <v>26</v>
      </c>
      <c r="H808" s="4"/>
      <c r="I808" s="4"/>
      <c r="J808" s="6"/>
      <c r="K808" s="6"/>
      <c r="L808" s="6"/>
      <c r="M808" s="4"/>
      <c r="N808" s="4"/>
      <c r="O808" s="4"/>
      <c r="P808" s="6"/>
      <c r="Q808" s="6"/>
      <c r="R808" s="6"/>
      <c r="S808" s="6"/>
      <c r="T808" s="4"/>
      <c r="U808" s="6"/>
      <c r="V808" s="6"/>
      <c r="W808" s="6"/>
      <c r="X808" s="6"/>
      <c r="Y808" s="4"/>
      <c r="Z808" s="6"/>
      <c r="AA808" s="4"/>
      <c r="AB808" s="4"/>
      <c r="AC808" s="4"/>
      <c r="AD808" s="6"/>
      <c r="AE808" s="4"/>
      <c r="AF808" s="4"/>
      <c r="AG808" s="4"/>
      <c r="AH808" s="4">
        <v>1980000000000</v>
      </c>
    </row>
    <row r="809" spans="1:34" x14ac:dyDescent="0.25">
      <c r="A809" s="4">
        <v>808</v>
      </c>
      <c r="B809" s="5" t="s">
        <v>1739</v>
      </c>
      <c r="C809" s="5" t="s">
        <v>1740</v>
      </c>
      <c r="D809" s="5" t="s">
        <v>1586</v>
      </c>
      <c r="E809" s="5" t="s">
        <v>40</v>
      </c>
      <c r="F809" s="5" t="s">
        <v>41</v>
      </c>
      <c r="G809" s="5" t="s">
        <v>1716</v>
      </c>
      <c r="H809" s="4"/>
      <c r="I809" s="4"/>
      <c r="J809" s="6"/>
      <c r="K809" s="6"/>
      <c r="L809" s="6"/>
      <c r="M809" s="4"/>
      <c r="N809" s="4"/>
      <c r="O809" s="4"/>
      <c r="P809" s="6"/>
      <c r="Q809" s="6"/>
      <c r="R809" s="6"/>
      <c r="S809" s="6"/>
      <c r="T809" s="4"/>
      <c r="U809" s="6"/>
      <c r="V809" s="6"/>
      <c r="W809" s="6"/>
      <c r="X809" s="6"/>
      <c r="Y809" s="4"/>
      <c r="Z809" s="6"/>
      <c r="AA809" s="4"/>
      <c r="AB809" s="4"/>
      <c r="AC809" s="4"/>
      <c r="AD809" s="6"/>
      <c r="AE809" s="4"/>
      <c r="AF809" s="4"/>
      <c r="AG809" s="4"/>
      <c r="AH809" s="4">
        <v>104464850000</v>
      </c>
    </row>
    <row r="810" spans="1:34" x14ac:dyDescent="0.25">
      <c r="A810" s="4">
        <v>809</v>
      </c>
      <c r="B810" s="5" t="s">
        <v>1741</v>
      </c>
      <c r="C810" s="5" t="s">
        <v>1742</v>
      </c>
      <c r="D810" s="5" t="s">
        <v>1586</v>
      </c>
      <c r="E810" s="5" t="s">
        <v>98</v>
      </c>
      <c r="F810" s="5" t="s">
        <v>99</v>
      </c>
      <c r="G810" s="5" t="s">
        <v>144</v>
      </c>
      <c r="H810" s="4">
        <v>36083009882</v>
      </c>
      <c r="I810" s="4">
        <v>83824941837</v>
      </c>
      <c r="J810" s="6">
        <v>-0.43640000000000001</v>
      </c>
      <c r="K810" s="6"/>
      <c r="L810" s="6"/>
      <c r="M810" s="4">
        <v>4950942947</v>
      </c>
      <c r="N810" s="4">
        <v>20700120841</v>
      </c>
      <c r="O810" s="4"/>
      <c r="P810" s="6">
        <v>-0.88400000000000001</v>
      </c>
      <c r="Q810" s="6"/>
      <c r="R810" s="6"/>
      <c r="S810" s="6">
        <v>-0.68559999999999999</v>
      </c>
      <c r="T810" s="4"/>
      <c r="U810" s="6"/>
      <c r="V810" s="6"/>
      <c r="W810" s="6"/>
      <c r="X810" s="6"/>
      <c r="Y810" s="4"/>
      <c r="Z810" s="6">
        <v>-0.2442</v>
      </c>
      <c r="AA810" s="4"/>
      <c r="AB810" s="4"/>
      <c r="AC810" s="4"/>
      <c r="AD810" s="6"/>
      <c r="AE810" s="4"/>
      <c r="AF810" s="4"/>
      <c r="AG810" s="4"/>
      <c r="AH810" s="4">
        <v>1352930032050</v>
      </c>
    </row>
    <row r="811" spans="1:34" x14ac:dyDescent="0.25">
      <c r="A811" s="4">
        <v>810</v>
      </c>
      <c r="B811" s="5" t="s">
        <v>1743</v>
      </c>
      <c r="C811" s="5" t="s">
        <v>1744</v>
      </c>
      <c r="D811" s="5" t="s">
        <v>1586</v>
      </c>
      <c r="E811" s="5" t="s">
        <v>29</v>
      </c>
      <c r="F811" s="5" t="s">
        <v>30</v>
      </c>
      <c r="G811" s="5" t="s">
        <v>117</v>
      </c>
      <c r="H811" s="4"/>
      <c r="I811" s="4"/>
      <c r="J811" s="6"/>
      <c r="K811" s="6"/>
      <c r="L811" s="6"/>
      <c r="M811" s="4"/>
      <c r="N811" s="4"/>
      <c r="O811" s="4"/>
      <c r="P811" s="6"/>
      <c r="Q811" s="6"/>
      <c r="R811" s="6"/>
      <c r="S811" s="6"/>
      <c r="T811" s="4"/>
      <c r="U811" s="6"/>
      <c r="V811" s="6"/>
      <c r="W811" s="6"/>
      <c r="X811" s="6"/>
      <c r="Y811" s="4"/>
      <c r="Z811" s="6"/>
      <c r="AA811" s="4"/>
      <c r="AB811" s="4"/>
      <c r="AC811" s="4"/>
      <c r="AD811" s="6"/>
      <c r="AE811" s="4"/>
      <c r="AF811" s="4"/>
      <c r="AG811" s="4"/>
      <c r="AH811" s="4">
        <v>45300000000</v>
      </c>
    </row>
    <row r="812" spans="1:34" x14ac:dyDescent="0.25">
      <c r="A812" s="4">
        <v>811</v>
      </c>
      <c r="B812" s="5" t="s">
        <v>1745</v>
      </c>
      <c r="C812" s="5" t="s">
        <v>1746</v>
      </c>
      <c r="D812" s="5" t="s">
        <v>1586</v>
      </c>
      <c r="E812" s="5" t="s">
        <v>62</v>
      </c>
      <c r="F812" s="5" t="s">
        <v>226</v>
      </c>
      <c r="G812" s="5" t="s">
        <v>737</v>
      </c>
      <c r="H812" s="4">
        <v>81225404528</v>
      </c>
      <c r="I812" s="4">
        <v>170616528499</v>
      </c>
      <c r="J812" s="6"/>
      <c r="K812" s="6"/>
      <c r="L812" s="6"/>
      <c r="M812" s="4">
        <v>-19981929006</v>
      </c>
      <c r="N812" s="4">
        <v>-31422546082</v>
      </c>
      <c r="O812" s="4"/>
      <c r="P812" s="6"/>
      <c r="Q812" s="6"/>
      <c r="R812" s="6"/>
      <c r="S812" s="6"/>
      <c r="T812" s="4"/>
      <c r="U812" s="6"/>
      <c r="V812" s="6"/>
      <c r="W812" s="6"/>
      <c r="X812" s="6"/>
      <c r="Y812" s="4"/>
      <c r="Z812" s="6"/>
      <c r="AA812" s="4"/>
      <c r="AB812" s="4"/>
      <c r="AC812" s="4"/>
      <c r="AD812" s="6"/>
      <c r="AE812" s="4"/>
      <c r="AF812" s="4"/>
      <c r="AG812" s="4"/>
      <c r="AH812" s="4">
        <v>564000000000</v>
      </c>
    </row>
    <row r="813" spans="1:34" x14ac:dyDescent="0.25">
      <c r="A813" s="4">
        <v>812</v>
      </c>
      <c r="B813" s="5" t="s">
        <v>1747</v>
      </c>
      <c r="C813" s="5" t="s">
        <v>1748</v>
      </c>
      <c r="D813" s="5" t="s">
        <v>1586</v>
      </c>
      <c r="E813" s="5" t="s">
        <v>29</v>
      </c>
      <c r="F813" s="5" t="s">
        <v>30</v>
      </c>
      <c r="G813" s="5" t="s">
        <v>117</v>
      </c>
      <c r="H813" s="4">
        <v>157925602053</v>
      </c>
      <c r="I813" s="4">
        <v>288922156395</v>
      </c>
      <c r="J813" s="6">
        <v>0.15010000000000001</v>
      </c>
      <c r="K813" s="6">
        <v>0.1749</v>
      </c>
      <c r="L813" s="6">
        <v>0.1353</v>
      </c>
      <c r="M813" s="4">
        <v>13255759862</v>
      </c>
      <c r="N813" s="4">
        <v>20707816900</v>
      </c>
      <c r="O813" s="4"/>
      <c r="P813" s="6">
        <v>0.96199999999999997</v>
      </c>
      <c r="Q813" s="6">
        <v>2.8388</v>
      </c>
      <c r="R813" s="6">
        <v>1.4079999999999999</v>
      </c>
      <c r="S813" s="6">
        <v>0.77880000000000005</v>
      </c>
      <c r="T813" s="4"/>
      <c r="U813" s="6">
        <v>-0.53990000000000005</v>
      </c>
      <c r="V813" s="6">
        <v>-0.56459999999999999</v>
      </c>
      <c r="W813" s="6">
        <v>-0.56859999999999999</v>
      </c>
      <c r="X813" s="6">
        <v>9.1999999999999998E-2</v>
      </c>
      <c r="Y813" s="4"/>
      <c r="Z813" s="6">
        <v>0.2056</v>
      </c>
      <c r="AA813" s="4"/>
      <c r="AB813" s="4"/>
      <c r="AC813" s="4"/>
      <c r="AD813" s="6">
        <v>0</v>
      </c>
      <c r="AE813" s="4"/>
      <c r="AF813" s="4"/>
      <c r="AG813" s="4"/>
      <c r="AH813" s="4">
        <v>293400000000</v>
      </c>
    </row>
    <row r="814" spans="1:34" x14ac:dyDescent="0.25">
      <c r="A814" s="4">
        <v>813</v>
      </c>
      <c r="B814" s="5" t="s">
        <v>1749</v>
      </c>
      <c r="C814" s="5" t="s">
        <v>1750</v>
      </c>
      <c r="D814" s="5" t="s">
        <v>1586</v>
      </c>
      <c r="E814" s="5" t="s">
        <v>29</v>
      </c>
      <c r="F814" s="5" t="s">
        <v>30</v>
      </c>
      <c r="G814" s="5" t="s">
        <v>117</v>
      </c>
      <c r="H814" s="4">
        <v>259135483526</v>
      </c>
      <c r="I814" s="4">
        <v>469223427335</v>
      </c>
      <c r="J814" s="6">
        <v>9.9099999999999994E-2</v>
      </c>
      <c r="K814" s="6">
        <v>0.1515</v>
      </c>
      <c r="L814" s="6">
        <v>9.1600000000000001E-2</v>
      </c>
      <c r="M814" s="4">
        <v>30797467747</v>
      </c>
      <c r="N814" s="4">
        <v>52790872005</v>
      </c>
      <c r="O814" s="4"/>
      <c r="P814" s="6">
        <v>2.2521</v>
      </c>
      <c r="Q814" s="6">
        <v>8.0602999999999998</v>
      </c>
      <c r="R814" s="6">
        <v>2.7450000000000001</v>
      </c>
      <c r="S814" s="6">
        <v>0.40029999999999999</v>
      </c>
      <c r="T814" s="4"/>
      <c r="U814" s="6">
        <v>-0.52600000000000002</v>
      </c>
      <c r="V814" s="6">
        <v>-0.47110000000000002</v>
      </c>
      <c r="W814" s="6">
        <v>-0.49220000000000003</v>
      </c>
      <c r="X814" s="6">
        <v>0</v>
      </c>
      <c r="Y814" s="4"/>
      <c r="Z814" s="6">
        <v>0.23350000000000001</v>
      </c>
      <c r="AA814" s="4"/>
      <c r="AB814" s="4"/>
      <c r="AC814" s="4"/>
      <c r="AD814" s="6">
        <v>0</v>
      </c>
      <c r="AE814" s="4"/>
      <c r="AF814" s="4"/>
      <c r="AG814" s="4"/>
      <c r="AH814" s="4">
        <v>621000000000</v>
      </c>
    </row>
    <row r="815" spans="1:34" x14ac:dyDescent="0.25">
      <c r="A815" s="4">
        <v>814</v>
      </c>
      <c r="B815" s="5" t="s">
        <v>1751</v>
      </c>
      <c r="C815" s="5" t="s">
        <v>1752</v>
      </c>
      <c r="D815" s="5" t="s">
        <v>1586</v>
      </c>
      <c r="E815" s="5" t="s">
        <v>29</v>
      </c>
      <c r="F815" s="5" t="s">
        <v>30</v>
      </c>
      <c r="G815" s="5" t="s">
        <v>117</v>
      </c>
      <c r="H815" s="4">
        <v>121863157328</v>
      </c>
      <c r="I815" s="4">
        <v>186689023044</v>
      </c>
      <c r="J815" s="6">
        <v>0.1484</v>
      </c>
      <c r="K815" s="6">
        <v>0.15390000000000001</v>
      </c>
      <c r="L815" s="6">
        <v>-2.6599999999999999E-2</v>
      </c>
      <c r="M815" s="4">
        <v>12102262248</v>
      </c>
      <c r="N815" s="4">
        <v>10433286638</v>
      </c>
      <c r="O815" s="4"/>
      <c r="P815" s="6">
        <v>1.3041</v>
      </c>
      <c r="Q815" s="6">
        <v>22.875</v>
      </c>
      <c r="R815" s="6">
        <v>2.4581</v>
      </c>
      <c r="S815" s="6">
        <v>8.2513000000000005</v>
      </c>
      <c r="T815" s="4"/>
      <c r="U815" s="6">
        <v>-0.56059999999999999</v>
      </c>
      <c r="V815" s="6">
        <v>-0.12959999999999999</v>
      </c>
      <c r="W815" s="6">
        <v>-0.12590000000000001</v>
      </c>
      <c r="X815" s="6">
        <v>8.3299999999999999E-2</v>
      </c>
      <c r="Y815" s="4"/>
      <c r="Z815" s="6">
        <v>0.87990000000000002</v>
      </c>
      <c r="AA815" s="4"/>
      <c r="AB815" s="4"/>
      <c r="AC815" s="4"/>
      <c r="AD815" s="6">
        <v>0</v>
      </c>
      <c r="AE815" s="4"/>
      <c r="AF815" s="4"/>
      <c r="AG815" s="4"/>
      <c r="AH815" s="4">
        <v>150000000000</v>
      </c>
    </row>
    <row r="816" spans="1:34" x14ac:dyDescent="0.25">
      <c r="A816" s="4">
        <v>815</v>
      </c>
      <c r="B816" s="5" t="s">
        <v>1753</v>
      </c>
      <c r="C816" s="5" t="s">
        <v>1754</v>
      </c>
      <c r="D816" s="5" t="s">
        <v>1586</v>
      </c>
      <c r="E816" s="5" t="s">
        <v>29</v>
      </c>
      <c r="F816" s="5" t="s">
        <v>30</v>
      </c>
      <c r="G816" s="5" t="s">
        <v>117</v>
      </c>
      <c r="H816" s="4">
        <v>444661886222</v>
      </c>
      <c r="I816" s="4">
        <v>858621347535</v>
      </c>
      <c r="J816" s="6">
        <v>0.1004</v>
      </c>
      <c r="K816" s="6">
        <v>4.07E-2</v>
      </c>
      <c r="L816" s="6">
        <v>-5.79E-2</v>
      </c>
      <c r="M816" s="4">
        <v>30804703488</v>
      </c>
      <c r="N816" s="4">
        <v>62787529338</v>
      </c>
      <c r="O816" s="4"/>
      <c r="P816" s="6">
        <v>1.4590000000000001</v>
      </c>
      <c r="Q816" s="6">
        <v>1.9258999999999999</v>
      </c>
      <c r="R816" s="6">
        <v>0.78190000000000004</v>
      </c>
      <c r="S816" s="6">
        <v>-3.6799999999999999E-2</v>
      </c>
      <c r="T816" s="4"/>
      <c r="U816" s="6">
        <v>-0.54869999999999997</v>
      </c>
      <c r="V816" s="6">
        <v>-0.45829999999999999</v>
      </c>
      <c r="W816" s="6">
        <v>-0.45900000000000002</v>
      </c>
      <c r="X816" s="6">
        <v>8.1100000000000005E-2</v>
      </c>
      <c r="Y816" s="4"/>
      <c r="Z816" s="6">
        <v>7.4200000000000002E-2</v>
      </c>
      <c r="AA816" s="4"/>
      <c r="AB816" s="4"/>
      <c r="AC816" s="4"/>
      <c r="AD816" s="6">
        <v>0</v>
      </c>
      <c r="AE816" s="4"/>
      <c r="AF816" s="4"/>
      <c r="AG816" s="4"/>
      <c r="AH816" s="4">
        <v>832500000000</v>
      </c>
    </row>
    <row r="817" spans="1:34" x14ac:dyDescent="0.25">
      <c r="A817" s="4">
        <v>816</v>
      </c>
      <c r="B817" s="5" t="s">
        <v>1755</v>
      </c>
      <c r="C817" s="5" t="s">
        <v>1756</v>
      </c>
      <c r="D817" s="5" t="s">
        <v>1586</v>
      </c>
      <c r="E817" s="5" t="s">
        <v>24</v>
      </c>
      <c r="F817" s="5" t="s">
        <v>25</v>
      </c>
      <c r="G817" s="5" t="s">
        <v>45</v>
      </c>
      <c r="H817" s="4"/>
      <c r="I817" s="4"/>
      <c r="J817" s="6"/>
      <c r="K817" s="6"/>
      <c r="L817" s="6"/>
      <c r="M817" s="4"/>
      <c r="N817" s="4"/>
      <c r="O817" s="4"/>
      <c r="P817" s="6"/>
      <c r="Q817" s="6"/>
      <c r="R817" s="6"/>
      <c r="S817" s="6"/>
      <c r="T817" s="4"/>
      <c r="U817" s="6"/>
      <c r="V817" s="6"/>
      <c r="W817" s="6"/>
      <c r="X817" s="6"/>
      <c r="Y817" s="4"/>
      <c r="Z817" s="6"/>
      <c r="AA817" s="4"/>
      <c r="AB817" s="4"/>
      <c r="AC817" s="4"/>
      <c r="AD817" s="6"/>
      <c r="AE817" s="4"/>
      <c r="AF817" s="4"/>
      <c r="AG817" s="4"/>
      <c r="AH817" s="4">
        <v>115001219000</v>
      </c>
    </row>
    <row r="818" spans="1:34" x14ac:dyDescent="0.25">
      <c r="A818" s="4">
        <v>817</v>
      </c>
      <c r="B818" s="5" t="s">
        <v>1757</v>
      </c>
      <c r="C818" s="5" t="s">
        <v>1758</v>
      </c>
      <c r="D818" s="5" t="s">
        <v>1586</v>
      </c>
      <c r="E818" s="5" t="s">
        <v>40</v>
      </c>
      <c r="F818" s="5" t="s">
        <v>52</v>
      </c>
      <c r="G818" s="5" t="s">
        <v>53</v>
      </c>
      <c r="H818" s="4">
        <v>24932796427</v>
      </c>
      <c r="I818" s="4"/>
      <c r="J818" s="6">
        <v>-0.19600000000000001</v>
      </c>
      <c r="K818" s="6">
        <v>-0.39100000000000001</v>
      </c>
      <c r="L818" s="6">
        <v>-0.2366</v>
      </c>
      <c r="M818" s="4">
        <v>-15290069768</v>
      </c>
      <c r="N818" s="4"/>
      <c r="O818" s="4"/>
      <c r="P818" s="6">
        <v>-6.8906000000000001</v>
      </c>
      <c r="Q818" s="6">
        <v>-13.4473</v>
      </c>
      <c r="R818" s="6">
        <v>-7.5811999999999999</v>
      </c>
      <c r="S818" s="6">
        <v>0.10440000000000001</v>
      </c>
      <c r="T818" s="4"/>
      <c r="U818" s="6">
        <v>-0.69579999999999997</v>
      </c>
      <c r="V818" s="6">
        <v>0</v>
      </c>
      <c r="W818" s="6">
        <v>0</v>
      </c>
      <c r="X818" s="6">
        <v>0</v>
      </c>
      <c r="Y818" s="4"/>
      <c r="Z818" s="6">
        <v>1.1541999999999999</v>
      </c>
      <c r="AA818" s="4"/>
      <c r="AB818" s="4"/>
      <c r="AC818" s="4"/>
      <c r="AD818" s="6">
        <v>0</v>
      </c>
      <c r="AE818" s="4"/>
      <c r="AF818" s="4"/>
      <c r="AG818" s="4"/>
      <c r="AH818" s="4">
        <v>111878734000</v>
      </c>
    </row>
    <row r="819" spans="1:34" x14ac:dyDescent="0.25">
      <c r="A819" s="4">
        <v>818</v>
      </c>
      <c r="B819" s="5" t="s">
        <v>1759</v>
      </c>
      <c r="C819" s="5" t="s">
        <v>1760</v>
      </c>
      <c r="D819" s="5" t="s">
        <v>1586</v>
      </c>
      <c r="E819" s="5" t="s">
        <v>29</v>
      </c>
      <c r="F819" s="5" t="s">
        <v>30</v>
      </c>
      <c r="G819" s="5" t="s">
        <v>117</v>
      </c>
      <c r="H819" s="4"/>
      <c r="I819" s="4"/>
      <c r="J819" s="6"/>
      <c r="K819" s="6"/>
      <c r="L819" s="6"/>
      <c r="M819" s="4"/>
      <c r="N819" s="4"/>
      <c r="O819" s="4"/>
      <c r="P819" s="6"/>
      <c r="Q819" s="6"/>
      <c r="R819" s="6"/>
      <c r="S819" s="6"/>
      <c r="T819" s="4"/>
      <c r="U819" s="6"/>
      <c r="V819" s="6"/>
      <c r="W819" s="6"/>
      <c r="X819" s="6"/>
      <c r="Y819" s="4"/>
      <c r="Z819" s="6"/>
      <c r="AA819" s="4"/>
      <c r="AB819" s="4"/>
      <c r="AC819" s="4"/>
      <c r="AD819" s="6"/>
      <c r="AE819" s="4"/>
      <c r="AF819" s="4"/>
      <c r="AG819" s="4"/>
      <c r="AH819" s="4">
        <v>30764904000</v>
      </c>
    </row>
    <row r="820" spans="1:34" x14ac:dyDescent="0.25">
      <c r="A820" s="4">
        <v>819</v>
      </c>
      <c r="B820" s="5" t="s">
        <v>1761</v>
      </c>
      <c r="C820" s="5" t="s">
        <v>1762</v>
      </c>
      <c r="D820" s="5" t="s">
        <v>1586</v>
      </c>
      <c r="E820" s="5" t="s">
        <v>40</v>
      </c>
      <c r="F820" s="5" t="s">
        <v>52</v>
      </c>
      <c r="G820" s="5" t="s">
        <v>53</v>
      </c>
      <c r="H820" s="4"/>
      <c r="I820" s="4"/>
      <c r="J820" s="6"/>
      <c r="K820" s="6"/>
      <c r="L820" s="6"/>
      <c r="M820" s="4"/>
      <c r="N820" s="4"/>
      <c r="O820" s="4"/>
      <c r="P820" s="6"/>
      <c r="Q820" s="6"/>
      <c r="R820" s="6"/>
      <c r="S820" s="6"/>
      <c r="T820" s="4"/>
      <c r="U820" s="6"/>
      <c r="V820" s="6"/>
      <c r="W820" s="6"/>
      <c r="X820" s="6"/>
      <c r="Y820" s="4"/>
      <c r="Z820" s="6"/>
      <c r="AA820" s="4"/>
      <c r="AB820" s="4"/>
      <c r="AC820" s="4"/>
      <c r="AD820" s="6"/>
      <c r="AE820" s="4"/>
      <c r="AF820" s="4"/>
      <c r="AG820" s="4"/>
      <c r="AH820" s="4">
        <v>115421238000</v>
      </c>
    </row>
    <row r="821" spans="1:34" x14ac:dyDescent="0.25">
      <c r="A821" s="4">
        <v>820</v>
      </c>
      <c r="B821" s="5" t="s">
        <v>1763</v>
      </c>
      <c r="C821" s="5" t="s">
        <v>1764</v>
      </c>
      <c r="D821" s="5" t="s">
        <v>1586</v>
      </c>
      <c r="E821" s="5" t="s">
        <v>40</v>
      </c>
      <c r="F821" s="5" t="s">
        <v>41</v>
      </c>
      <c r="G821" s="5" t="s">
        <v>90</v>
      </c>
      <c r="H821" s="4"/>
      <c r="I821" s="4"/>
      <c r="J821" s="6"/>
      <c r="K821" s="6"/>
      <c r="L821" s="6"/>
      <c r="M821" s="4"/>
      <c r="N821" s="4"/>
      <c r="O821" s="4"/>
      <c r="P821" s="6"/>
      <c r="Q821" s="6"/>
      <c r="R821" s="6"/>
      <c r="S821" s="6"/>
      <c r="T821" s="4"/>
      <c r="U821" s="6"/>
      <c r="V821" s="6"/>
      <c r="W821" s="6"/>
      <c r="X821" s="6"/>
      <c r="Y821" s="4"/>
      <c r="Z821" s="6"/>
      <c r="AA821" s="4"/>
      <c r="AB821" s="4"/>
      <c r="AC821" s="4"/>
      <c r="AD821" s="6"/>
      <c r="AE821" s="4"/>
      <c r="AF821" s="4"/>
      <c r="AG821" s="4"/>
      <c r="AH821" s="4">
        <v>9639000000</v>
      </c>
    </row>
    <row r="822" spans="1:34" x14ac:dyDescent="0.25">
      <c r="A822" s="4">
        <v>821</v>
      </c>
      <c r="B822" s="5" t="s">
        <v>1765</v>
      </c>
      <c r="C822" s="5" t="s">
        <v>1766</v>
      </c>
      <c r="D822" s="5" t="s">
        <v>1586</v>
      </c>
      <c r="E822" s="5" t="s">
        <v>40</v>
      </c>
      <c r="F822" s="5" t="s">
        <v>41</v>
      </c>
      <c r="G822" s="5" t="s">
        <v>389</v>
      </c>
      <c r="H822" s="4">
        <v>45888088300</v>
      </c>
      <c r="I822" s="4">
        <v>85566427827</v>
      </c>
      <c r="J822" s="6">
        <v>7.3513000000000002</v>
      </c>
      <c r="K822" s="6">
        <v>3.8813</v>
      </c>
      <c r="L822" s="6">
        <v>-0.16569999999999999</v>
      </c>
      <c r="M822" s="4">
        <v>50688036478</v>
      </c>
      <c r="N822" s="4">
        <v>79982867979</v>
      </c>
      <c r="O822" s="4"/>
      <c r="P822" s="6">
        <v>3.9357000000000002</v>
      </c>
      <c r="Q822" s="6">
        <v>2.8188</v>
      </c>
      <c r="R822" s="6">
        <v>-0.01</v>
      </c>
      <c r="S822" s="6">
        <v>0.73029999999999995</v>
      </c>
      <c r="T822" s="4"/>
      <c r="U822" s="6">
        <v>-0.43790000000000001</v>
      </c>
      <c r="V822" s="6">
        <v>-7.2599999999999998E-2</v>
      </c>
      <c r="W822" s="6">
        <v>-7.2599999999999998E-2</v>
      </c>
      <c r="X822" s="6">
        <v>0</v>
      </c>
      <c r="Y822" s="4"/>
      <c r="Z822" s="6">
        <v>0.1565</v>
      </c>
      <c r="AA822" s="4"/>
      <c r="AB822" s="4"/>
      <c r="AC822" s="4"/>
      <c r="AD822" s="6">
        <v>0</v>
      </c>
      <c r="AE822" s="4"/>
      <c r="AF822" s="4"/>
      <c r="AG822" s="4"/>
      <c r="AH822" s="4">
        <v>574200000000</v>
      </c>
    </row>
    <row r="823" spans="1:34" x14ac:dyDescent="0.25">
      <c r="A823" s="4">
        <v>822</v>
      </c>
      <c r="B823" s="5" t="s">
        <v>1767</v>
      </c>
      <c r="C823" s="5" t="s">
        <v>1768</v>
      </c>
      <c r="D823" s="5" t="s">
        <v>1586</v>
      </c>
      <c r="E823" s="5" t="s">
        <v>40</v>
      </c>
      <c r="F823" s="5" t="s">
        <v>52</v>
      </c>
      <c r="G823" s="5" t="s">
        <v>53</v>
      </c>
      <c r="H823" s="4"/>
      <c r="I823" s="4"/>
      <c r="J823" s="6"/>
      <c r="K823" s="6"/>
      <c r="L823" s="6"/>
      <c r="M823" s="4"/>
      <c r="N823" s="4"/>
      <c r="O823" s="4"/>
      <c r="P823" s="6"/>
      <c r="Q823" s="6"/>
      <c r="R823" s="6"/>
      <c r="S823" s="6"/>
      <c r="T823" s="4"/>
      <c r="U823" s="6"/>
      <c r="V823" s="6"/>
      <c r="W823" s="6"/>
      <c r="X823" s="6"/>
      <c r="Y823" s="4"/>
      <c r="Z823" s="6"/>
      <c r="AA823" s="4"/>
      <c r="AB823" s="4"/>
      <c r="AC823" s="4"/>
      <c r="AD823" s="6"/>
      <c r="AE823" s="4"/>
      <c r="AF823" s="4"/>
      <c r="AG823" s="4"/>
      <c r="AH823" s="4">
        <v>12750609800</v>
      </c>
    </row>
    <row r="824" spans="1:34" x14ac:dyDescent="0.25">
      <c r="A824" s="4">
        <v>823</v>
      </c>
      <c r="B824" s="5" t="s">
        <v>1769</v>
      </c>
      <c r="C824" s="5" t="s">
        <v>1770</v>
      </c>
      <c r="D824" s="5" t="s">
        <v>1586</v>
      </c>
      <c r="E824" s="5" t="s">
        <v>40</v>
      </c>
      <c r="F824" s="5" t="s">
        <v>41</v>
      </c>
      <c r="G824" s="5" t="s">
        <v>1716</v>
      </c>
      <c r="H824" s="4"/>
      <c r="I824" s="4"/>
      <c r="J824" s="6"/>
      <c r="K824" s="6"/>
      <c r="L824" s="6"/>
      <c r="M824" s="4"/>
      <c r="N824" s="4"/>
      <c r="O824" s="4"/>
      <c r="P824" s="6"/>
      <c r="Q824" s="6"/>
      <c r="R824" s="6"/>
      <c r="S824" s="6"/>
      <c r="T824" s="4"/>
      <c r="U824" s="6"/>
      <c r="V824" s="6"/>
      <c r="W824" s="6"/>
      <c r="X824" s="6"/>
      <c r="Y824" s="4"/>
      <c r="Z824" s="6"/>
      <c r="AA824" s="4"/>
      <c r="AB824" s="4"/>
      <c r="AC824" s="4"/>
      <c r="AD824" s="6"/>
      <c r="AE824" s="4"/>
      <c r="AF824" s="4"/>
      <c r="AG824" s="4"/>
      <c r="AH824" s="4">
        <v>55080000000</v>
      </c>
    </row>
    <row r="825" spans="1:34" x14ac:dyDescent="0.25">
      <c r="A825" s="4">
        <v>824</v>
      </c>
      <c r="B825" s="5" t="s">
        <v>1771</v>
      </c>
      <c r="C825" s="5" t="s">
        <v>1772</v>
      </c>
      <c r="D825" s="5" t="s">
        <v>1586</v>
      </c>
      <c r="E825" s="5" t="s">
        <v>62</v>
      </c>
      <c r="F825" s="5" t="s">
        <v>226</v>
      </c>
      <c r="G825" s="5" t="s">
        <v>737</v>
      </c>
      <c r="H825" s="4"/>
      <c r="I825" s="4"/>
      <c r="J825" s="6"/>
      <c r="K825" s="6"/>
      <c r="L825" s="6"/>
      <c r="M825" s="4"/>
      <c r="N825" s="4"/>
      <c r="O825" s="4"/>
      <c r="P825" s="6"/>
      <c r="Q825" s="6"/>
      <c r="R825" s="6"/>
      <c r="S825" s="6"/>
      <c r="T825" s="4"/>
      <c r="U825" s="6"/>
      <c r="V825" s="6"/>
      <c r="W825" s="6"/>
      <c r="X825" s="6"/>
      <c r="Y825" s="4"/>
      <c r="Z825" s="6"/>
      <c r="AA825" s="4"/>
      <c r="AB825" s="4"/>
      <c r="AC825" s="4"/>
      <c r="AD825" s="6"/>
      <c r="AE825" s="4"/>
      <c r="AF825" s="4"/>
      <c r="AG825" s="4"/>
      <c r="AH825" s="4">
        <v>461697100000</v>
      </c>
    </row>
    <row r="826" spans="1:34" x14ac:dyDescent="0.25">
      <c r="A826" s="4">
        <v>825</v>
      </c>
      <c r="B826" s="5" t="s">
        <v>1773</v>
      </c>
      <c r="C826" s="5" t="s">
        <v>1774</v>
      </c>
      <c r="D826" s="5" t="s">
        <v>1586</v>
      </c>
      <c r="E826" s="5" t="s">
        <v>24</v>
      </c>
      <c r="F826" s="5" t="s">
        <v>56</v>
      </c>
      <c r="G826" s="5" t="s">
        <v>291</v>
      </c>
      <c r="H826" s="4"/>
      <c r="I826" s="4"/>
      <c r="J826" s="6"/>
      <c r="K826" s="6"/>
      <c r="L826" s="6"/>
      <c r="M826" s="4"/>
      <c r="N826" s="4"/>
      <c r="O826" s="4"/>
      <c r="P826" s="6"/>
      <c r="Q826" s="6"/>
      <c r="R826" s="6"/>
      <c r="S826" s="6"/>
      <c r="T826" s="4"/>
      <c r="U826" s="6"/>
      <c r="V826" s="6"/>
      <c r="W826" s="6"/>
      <c r="X826" s="6"/>
      <c r="Y826" s="4"/>
      <c r="Z826" s="6"/>
      <c r="AA826" s="4"/>
      <c r="AB826" s="4"/>
      <c r="AC826" s="4"/>
      <c r="AD826" s="6"/>
      <c r="AE826" s="4"/>
      <c r="AF826" s="4"/>
      <c r="AG826" s="4"/>
      <c r="AH826" s="4">
        <v>27302654400</v>
      </c>
    </row>
    <row r="827" spans="1:34" x14ac:dyDescent="0.25">
      <c r="A827" s="4">
        <v>826</v>
      </c>
      <c r="B827" s="5" t="s">
        <v>1775</v>
      </c>
      <c r="C827" s="5" t="s">
        <v>1776</v>
      </c>
      <c r="D827" s="5" t="s">
        <v>1586</v>
      </c>
      <c r="E827" s="5" t="s">
        <v>75</v>
      </c>
      <c r="F827" s="5" t="s">
        <v>76</v>
      </c>
      <c r="G827" s="5" t="s">
        <v>300</v>
      </c>
      <c r="H827" s="4"/>
      <c r="I827" s="4"/>
      <c r="J827" s="6"/>
      <c r="K827" s="6"/>
      <c r="L827" s="6"/>
      <c r="M827" s="4"/>
      <c r="N827" s="4"/>
      <c r="O827" s="4"/>
      <c r="P827" s="6"/>
      <c r="Q827" s="6"/>
      <c r="R827" s="6"/>
      <c r="S827" s="6"/>
      <c r="T827" s="4"/>
      <c r="U827" s="6"/>
      <c r="V827" s="6"/>
      <c r="W827" s="6"/>
      <c r="X827" s="6"/>
      <c r="Y827" s="4"/>
      <c r="Z827" s="6"/>
      <c r="AA827" s="4"/>
      <c r="AB827" s="4"/>
      <c r="AC827" s="4"/>
      <c r="AD827" s="6"/>
      <c r="AE827" s="4"/>
      <c r="AF827" s="4"/>
      <c r="AG827" s="4"/>
      <c r="AH827" s="4">
        <v>1469920854100</v>
      </c>
    </row>
    <row r="828" spans="1:34" x14ac:dyDescent="0.25">
      <c r="A828" s="4">
        <v>827</v>
      </c>
      <c r="B828" s="5" t="s">
        <v>1777</v>
      </c>
      <c r="C828" s="5" t="s">
        <v>1778</v>
      </c>
      <c r="D828" s="5" t="s">
        <v>1586</v>
      </c>
      <c r="E828" s="5" t="s">
        <v>29</v>
      </c>
      <c r="F828" s="5" t="s">
        <v>36</v>
      </c>
      <c r="G828" s="5" t="s">
        <v>536</v>
      </c>
      <c r="H828" s="4"/>
      <c r="I828" s="4"/>
      <c r="J828" s="6"/>
      <c r="K828" s="6"/>
      <c r="L828" s="6"/>
      <c r="M828" s="4"/>
      <c r="N828" s="4"/>
      <c r="O828" s="4"/>
      <c r="P828" s="6"/>
      <c r="Q828" s="6"/>
      <c r="R828" s="6"/>
      <c r="S828" s="6"/>
      <c r="T828" s="4"/>
      <c r="U828" s="6"/>
      <c r="V828" s="6"/>
      <c r="W828" s="6"/>
      <c r="X828" s="6"/>
      <c r="Y828" s="4"/>
      <c r="Z828" s="6"/>
      <c r="AA828" s="4"/>
      <c r="AB828" s="4"/>
      <c r="AC828" s="4"/>
      <c r="AD828" s="6"/>
      <c r="AE828" s="4"/>
      <c r="AF828" s="4"/>
      <c r="AG828" s="4"/>
      <c r="AH828" s="4">
        <v>84500000000</v>
      </c>
    </row>
    <row r="829" spans="1:34" x14ac:dyDescent="0.25">
      <c r="A829" s="4">
        <v>828</v>
      </c>
      <c r="B829" s="5" t="s">
        <v>1779</v>
      </c>
      <c r="C829" s="5" t="s">
        <v>1780</v>
      </c>
      <c r="D829" s="5" t="s">
        <v>1586</v>
      </c>
      <c r="E829" s="5" t="s">
        <v>98</v>
      </c>
      <c r="F829" s="5" t="s">
        <v>99</v>
      </c>
      <c r="G829" s="5" t="s">
        <v>155</v>
      </c>
      <c r="H829" s="4"/>
      <c r="I829" s="4"/>
      <c r="J829" s="6"/>
      <c r="K829" s="6"/>
      <c r="L829" s="6"/>
      <c r="M829" s="4"/>
      <c r="N829" s="4"/>
      <c r="O829" s="4"/>
      <c r="P829" s="6"/>
      <c r="Q829" s="6"/>
      <c r="R829" s="6"/>
      <c r="S829" s="6"/>
      <c r="T829" s="4"/>
      <c r="U829" s="6"/>
      <c r="V829" s="6"/>
      <c r="W829" s="6"/>
      <c r="X829" s="6"/>
      <c r="Y829" s="4"/>
      <c r="Z829" s="6"/>
      <c r="AA829" s="4"/>
      <c r="AB829" s="4"/>
      <c r="AC829" s="4"/>
      <c r="AD829" s="6"/>
      <c r="AE829" s="4"/>
      <c r="AF829" s="4"/>
      <c r="AG829" s="4"/>
      <c r="AH829" s="4">
        <v>29700000000</v>
      </c>
    </row>
    <row r="830" spans="1:34" x14ac:dyDescent="0.25">
      <c r="A830" s="4">
        <v>829</v>
      </c>
      <c r="B830" s="5" t="s">
        <v>1781</v>
      </c>
      <c r="C830" s="5" t="s">
        <v>1782</v>
      </c>
      <c r="D830" s="5" t="s">
        <v>1586</v>
      </c>
      <c r="E830" s="5" t="s">
        <v>98</v>
      </c>
      <c r="F830" s="5" t="s">
        <v>99</v>
      </c>
      <c r="G830" s="5" t="s">
        <v>155</v>
      </c>
      <c r="H830" s="4"/>
      <c r="I830" s="4"/>
      <c r="J830" s="6"/>
      <c r="K830" s="6"/>
      <c r="L830" s="6"/>
      <c r="M830" s="4"/>
      <c r="N830" s="4"/>
      <c r="O830" s="4"/>
      <c r="P830" s="6"/>
      <c r="Q830" s="6"/>
      <c r="R830" s="6"/>
      <c r="S830" s="6"/>
      <c r="T830" s="4"/>
      <c r="U830" s="6"/>
      <c r="V830" s="6"/>
      <c r="W830" s="6"/>
      <c r="X830" s="6"/>
      <c r="Y830" s="4"/>
      <c r="Z830" s="6"/>
      <c r="AA830" s="4"/>
      <c r="AB830" s="4"/>
      <c r="AC830" s="4"/>
      <c r="AD830" s="6"/>
      <c r="AE830" s="4"/>
      <c r="AF830" s="4"/>
      <c r="AG830" s="4"/>
      <c r="AH830" s="4">
        <v>3301549875397</v>
      </c>
    </row>
    <row r="831" spans="1:34" x14ac:dyDescent="0.25">
      <c r="A831" s="4">
        <v>830</v>
      </c>
      <c r="B831" s="5" t="s">
        <v>1783</v>
      </c>
      <c r="C831" s="5" t="s">
        <v>1784</v>
      </c>
      <c r="D831" s="5" t="s">
        <v>1586</v>
      </c>
      <c r="E831" s="5" t="s">
        <v>75</v>
      </c>
      <c r="F831" s="5" t="s">
        <v>76</v>
      </c>
      <c r="G831" s="5" t="s">
        <v>76</v>
      </c>
      <c r="H831" s="4"/>
      <c r="I831" s="4"/>
      <c r="J831" s="6"/>
      <c r="K831" s="6"/>
      <c r="L831" s="6"/>
      <c r="M831" s="4"/>
      <c r="N831" s="4"/>
      <c r="O831" s="4"/>
      <c r="P831" s="6"/>
      <c r="Q831" s="6"/>
      <c r="R831" s="6"/>
      <c r="S831" s="6"/>
      <c r="T831" s="4"/>
      <c r="U831" s="6"/>
      <c r="V831" s="6"/>
      <c r="W831" s="6"/>
      <c r="X831" s="6"/>
      <c r="Y831" s="4"/>
      <c r="Z831" s="6"/>
      <c r="AA831" s="4"/>
      <c r="AB831" s="4"/>
      <c r="AC831" s="4"/>
      <c r="AD831" s="6"/>
      <c r="AE831" s="4"/>
      <c r="AF831" s="4"/>
      <c r="AG831" s="4"/>
      <c r="AH831" s="4">
        <v>351889751800</v>
      </c>
    </row>
    <row r="832" spans="1:34" x14ac:dyDescent="0.25">
      <c r="A832" s="4">
        <v>831</v>
      </c>
      <c r="B832" s="5" t="s">
        <v>1785</v>
      </c>
      <c r="C832" s="5" t="s">
        <v>1786</v>
      </c>
      <c r="D832" s="5" t="s">
        <v>1586</v>
      </c>
      <c r="E832" s="5" t="s">
        <v>29</v>
      </c>
      <c r="F832" s="5" t="s">
        <v>30</v>
      </c>
      <c r="G832" s="5" t="s">
        <v>83</v>
      </c>
      <c r="H832" s="4"/>
      <c r="I832" s="4"/>
      <c r="J832" s="6"/>
      <c r="K832" s="6"/>
      <c r="L832" s="6"/>
      <c r="M832" s="4"/>
      <c r="N832" s="4"/>
      <c r="O832" s="4"/>
      <c r="P832" s="6"/>
      <c r="Q832" s="6"/>
      <c r="R832" s="6"/>
      <c r="S832" s="6"/>
      <c r="T832" s="4"/>
      <c r="U832" s="6"/>
      <c r="V832" s="6"/>
      <c r="W832" s="6"/>
      <c r="X832" s="6"/>
      <c r="Y832" s="4"/>
      <c r="Z832" s="6"/>
      <c r="AA832" s="4"/>
      <c r="AB832" s="4"/>
      <c r="AC832" s="4"/>
      <c r="AD832" s="6"/>
      <c r="AE832" s="4"/>
      <c r="AF832" s="4"/>
      <c r="AG832" s="4"/>
      <c r="AH832" s="4">
        <v>60350000000</v>
      </c>
    </row>
    <row r="833" spans="1:34" x14ac:dyDescent="0.25">
      <c r="A833" s="4">
        <v>832</v>
      </c>
      <c r="B833" s="5" t="s">
        <v>1787</v>
      </c>
      <c r="C833" s="5" t="s">
        <v>1788</v>
      </c>
      <c r="D833" s="5" t="s">
        <v>1586</v>
      </c>
      <c r="E833" s="5" t="s">
        <v>40</v>
      </c>
      <c r="F833" s="5" t="s">
        <v>52</v>
      </c>
      <c r="G833" s="5" t="s">
        <v>110</v>
      </c>
      <c r="H833" s="4"/>
      <c r="I833" s="4"/>
      <c r="J833" s="6"/>
      <c r="K833" s="6"/>
      <c r="L833" s="6"/>
      <c r="M833" s="4"/>
      <c r="N833" s="4"/>
      <c r="O833" s="4"/>
      <c r="P833" s="6"/>
      <c r="Q833" s="6"/>
      <c r="R833" s="6"/>
      <c r="S833" s="6"/>
      <c r="T833" s="4"/>
      <c r="U833" s="6"/>
      <c r="V833" s="6"/>
      <c r="W833" s="6"/>
      <c r="X833" s="6"/>
      <c r="Y833" s="4"/>
      <c r="Z833" s="6"/>
      <c r="AA833" s="4"/>
      <c r="AB833" s="4"/>
      <c r="AC833" s="4"/>
      <c r="AD833" s="6"/>
      <c r="AE833" s="4"/>
      <c r="AF833" s="4"/>
      <c r="AG833" s="4"/>
      <c r="AH833" s="4">
        <v>2108789050108</v>
      </c>
    </row>
    <row r="834" spans="1:34" x14ac:dyDescent="0.25">
      <c r="A834" s="4">
        <v>833</v>
      </c>
      <c r="B834" s="5" t="s">
        <v>1789</v>
      </c>
      <c r="C834" s="5" t="s">
        <v>1790</v>
      </c>
      <c r="D834" s="5" t="s">
        <v>1586</v>
      </c>
      <c r="E834" s="5" t="s">
        <v>40</v>
      </c>
      <c r="F834" s="5" t="s">
        <v>52</v>
      </c>
      <c r="G834" s="5" t="s">
        <v>110</v>
      </c>
      <c r="H834" s="4"/>
      <c r="I834" s="4"/>
      <c r="J834" s="6"/>
      <c r="K834" s="6"/>
      <c r="L834" s="6"/>
      <c r="M834" s="4"/>
      <c r="N834" s="4"/>
      <c r="O834" s="4"/>
      <c r="P834" s="6"/>
      <c r="Q834" s="6"/>
      <c r="R834" s="6"/>
      <c r="S834" s="6"/>
      <c r="T834" s="4"/>
      <c r="U834" s="6"/>
      <c r="V834" s="6"/>
      <c r="W834" s="6"/>
      <c r="X834" s="6"/>
      <c r="Y834" s="4"/>
      <c r="Z834" s="6"/>
      <c r="AA834" s="4"/>
      <c r="AB834" s="4"/>
      <c r="AC834" s="4"/>
      <c r="AD834" s="6"/>
      <c r="AE834" s="4"/>
      <c r="AF834" s="4"/>
      <c r="AG834" s="4"/>
      <c r="AH834" s="4">
        <v>18797110960</v>
      </c>
    </row>
    <row r="835" spans="1:34" x14ac:dyDescent="0.25">
      <c r="A835" s="4">
        <v>834</v>
      </c>
      <c r="B835" s="5" t="s">
        <v>1791</v>
      </c>
      <c r="C835" s="5" t="s">
        <v>1792</v>
      </c>
      <c r="D835" s="5" t="s">
        <v>1586</v>
      </c>
      <c r="E835" s="5" t="s">
        <v>29</v>
      </c>
      <c r="F835" s="5" t="s">
        <v>30</v>
      </c>
      <c r="G835" s="5" t="s">
        <v>31</v>
      </c>
      <c r="H835" s="4"/>
      <c r="I835" s="4"/>
      <c r="J835" s="6"/>
      <c r="K835" s="6"/>
      <c r="L835" s="6"/>
      <c r="M835" s="4"/>
      <c r="N835" s="4"/>
      <c r="O835" s="4"/>
      <c r="P835" s="6"/>
      <c r="Q835" s="6"/>
      <c r="R835" s="6"/>
      <c r="S835" s="6"/>
      <c r="T835" s="4"/>
      <c r="U835" s="6"/>
      <c r="V835" s="6"/>
      <c r="W835" s="6"/>
      <c r="X835" s="6"/>
      <c r="Y835" s="4"/>
      <c r="Z835" s="6"/>
      <c r="AA835" s="4"/>
      <c r="AB835" s="4"/>
      <c r="AC835" s="4"/>
      <c r="AD835" s="6"/>
      <c r="AE835" s="4"/>
      <c r="AF835" s="4"/>
      <c r="AG835" s="4"/>
      <c r="AH835" s="4">
        <v>3519970800</v>
      </c>
    </row>
    <row r="836" spans="1:34" x14ac:dyDescent="0.25">
      <c r="A836" s="4">
        <v>835</v>
      </c>
      <c r="B836" s="5" t="s">
        <v>1793</v>
      </c>
      <c r="C836" s="5" t="s">
        <v>1794</v>
      </c>
      <c r="D836" s="5" t="s">
        <v>1586</v>
      </c>
      <c r="E836" s="5" t="s">
        <v>29</v>
      </c>
      <c r="F836" s="5" t="s">
        <v>30</v>
      </c>
      <c r="G836" s="5" t="s">
        <v>31</v>
      </c>
      <c r="H836" s="4"/>
      <c r="I836" s="4"/>
      <c r="J836" s="6"/>
      <c r="K836" s="6"/>
      <c r="L836" s="6"/>
      <c r="M836" s="4"/>
      <c r="N836" s="4"/>
      <c r="O836" s="4"/>
      <c r="P836" s="6"/>
      <c r="Q836" s="6"/>
      <c r="R836" s="6"/>
      <c r="S836" s="6"/>
      <c r="T836" s="4"/>
      <c r="U836" s="6"/>
      <c r="V836" s="6"/>
      <c r="W836" s="6"/>
      <c r="X836" s="6"/>
      <c r="Y836" s="4"/>
      <c r="Z836" s="6"/>
      <c r="AA836" s="4"/>
      <c r="AB836" s="4"/>
      <c r="AC836" s="4"/>
      <c r="AD836" s="6"/>
      <c r="AE836" s="4"/>
      <c r="AF836" s="4"/>
      <c r="AG836" s="4"/>
      <c r="AH836" s="4"/>
    </row>
    <row r="837" spans="1:34" x14ac:dyDescent="0.25">
      <c r="A837" s="4">
        <v>836</v>
      </c>
      <c r="B837" s="5" t="s">
        <v>1795</v>
      </c>
      <c r="C837" s="5" t="s">
        <v>1796</v>
      </c>
      <c r="D837" s="5" t="s">
        <v>1586</v>
      </c>
      <c r="E837" s="5" t="s">
        <v>29</v>
      </c>
      <c r="F837" s="5" t="s">
        <v>30</v>
      </c>
      <c r="G837" s="5" t="s">
        <v>31</v>
      </c>
      <c r="H837" s="4"/>
      <c r="I837" s="4"/>
      <c r="J837" s="6"/>
      <c r="K837" s="6"/>
      <c r="L837" s="6"/>
      <c r="M837" s="4"/>
      <c r="N837" s="4"/>
      <c r="O837" s="4"/>
      <c r="P837" s="6"/>
      <c r="Q837" s="6"/>
      <c r="R837" s="6"/>
      <c r="S837" s="6"/>
      <c r="T837" s="4"/>
      <c r="U837" s="6"/>
      <c r="V837" s="6"/>
      <c r="W837" s="6"/>
      <c r="X837" s="6"/>
      <c r="Y837" s="4"/>
      <c r="Z837" s="6"/>
      <c r="AA837" s="4"/>
      <c r="AB837" s="4"/>
      <c r="AC837" s="4"/>
      <c r="AD837" s="6"/>
      <c r="AE837" s="4"/>
      <c r="AF837" s="4"/>
      <c r="AG837" s="4"/>
      <c r="AH837" s="4">
        <v>202140683200</v>
      </c>
    </row>
    <row r="838" spans="1:34" x14ac:dyDescent="0.25">
      <c r="A838" s="4">
        <v>837</v>
      </c>
      <c r="B838" s="5" t="s">
        <v>1797</v>
      </c>
      <c r="C838" s="5" t="s">
        <v>1798</v>
      </c>
      <c r="D838" s="5" t="s">
        <v>1586</v>
      </c>
      <c r="E838" s="5" t="s">
        <v>24</v>
      </c>
      <c r="F838" s="5" t="s">
        <v>56</v>
      </c>
      <c r="G838" s="5" t="s">
        <v>291</v>
      </c>
      <c r="H838" s="4"/>
      <c r="I838" s="4"/>
      <c r="J838" s="6"/>
      <c r="K838" s="6"/>
      <c r="L838" s="6"/>
      <c r="M838" s="4"/>
      <c r="N838" s="4"/>
      <c r="O838" s="4"/>
      <c r="P838" s="6"/>
      <c r="Q838" s="6"/>
      <c r="R838" s="6"/>
      <c r="S838" s="6"/>
      <c r="T838" s="4"/>
      <c r="U838" s="6"/>
      <c r="V838" s="6"/>
      <c r="W838" s="6"/>
      <c r="X838" s="6"/>
      <c r="Y838" s="4"/>
      <c r="Z838" s="6"/>
      <c r="AA838" s="4"/>
      <c r="AB838" s="4"/>
      <c r="AC838" s="4"/>
      <c r="AD838" s="6"/>
      <c r="AE838" s="4"/>
      <c r="AF838" s="4"/>
      <c r="AG838" s="4"/>
      <c r="AH838" s="4">
        <v>580585941000</v>
      </c>
    </row>
    <row r="839" spans="1:34" x14ac:dyDescent="0.25">
      <c r="A839" s="4">
        <v>838</v>
      </c>
      <c r="B839" s="5" t="s">
        <v>1799</v>
      </c>
      <c r="C839" s="5" t="s">
        <v>1800</v>
      </c>
      <c r="D839" s="5" t="s">
        <v>1586</v>
      </c>
      <c r="E839" s="5" t="s">
        <v>29</v>
      </c>
      <c r="F839" s="5" t="s">
        <v>30</v>
      </c>
      <c r="G839" s="5" t="s">
        <v>83</v>
      </c>
      <c r="H839" s="4"/>
      <c r="I839" s="4"/>
      <c r="J839" s="6"/>
      <c r="K839" s="6"/>
      <c r="L839" s="6"/>
      <c r="M839" s="4"/>
      <c r="N839" s="4"/>
      <c r="O839" s="4"/>
      <c r="P839" s="6"/>
      <c r="Q839" s="6"/>
      <c r="R839" s="6"/>
      <c r="S839" s="6"/>
      <c r="T839" s="4"/>
      <c r="U839" s="6"/>
      <c r="V839" s="6"/>
      <c r="W839" s="6"/>
      <c r="X839" s="6">
        <v>0</v>
      </c>
      <c r="Y839" s="4"/>
      <c r="Z839" s="6"/>
      <c r="AA839" s="4"/>
      <c r="AB839" s="4"/>
      <c r="AC839" s="4"/>
      <c r="AD839" s="6"/>
      <c r="AE839" s="4"/>
      <c r="AF839" s="4"/>
      <c r="AG839" s="4"/>
      <c r="AH839" s="4">
        <v>119596216800</v>
      </c>
    </row>
    <row r="840" spans="1:34" x14ac:dyDescent="0.25">
      <c r="A840" s="4">
        <v>839</v>
      </c>
      <c r="B840" s="5" t="s">
        <v>1801</v>
      </c>
      <c r="C840" s="5" t="s">
        <v>1802</v>
      </c>
      <c r="D840" s="5" t="s">
        <v>1586</v>
      </c>
      <c r="E840" s="5" t="s">
        <v>234</v>
      </c>
      <c r="F840" s="5" t="s">
        <v>235</v>
      </c>
      <c r="G840" s="5" t="s">
        <v>837</v>
      </c>
      <c r="H840" s="4"/>
      <c r="I840" s="4"/>
      <c r="J840" s="6"/>
      <c r="K840" s="6"/>
      <c r="L840" s="6"/>
      <c r="M840" s="4"/>
      <c r="N840" s="4"/>
      <c r="O840" s="4"/>
      <c r="P840" s="6"/>
      <c r="Q840" s="6"/>
      <c r="R840" s="6"/>
      <c r="S840" s="6"/>
      <c r="T840" s="4"/>
      <c r="U840" s="6"/>
      <c r="V840" s="6"/>
      <c r="W840" s="6"/>
      <c r="X840" s="6"/>
      <c r="Y840" s="4"/>
      <c r="Z840" s="6"/>
      <c r="AA840" s="4"/>
      <c r="AB840" s="4"/>
      <c r="AC840" s="4"/>
      <c r="AD840" s="6"/>
      <c r="AE840" s="4"/>
      <c r="AF840" s="4"/>
      <c r="AG840" s="4"/>
      <c r="AH840" s="4"/>
    </row>
    <row r="841" spans="1:34" x14ac:dyDescent="0.25">
      <c r="A841" s="4">
        <v>840</v>
      </c>
      <c r="B841" s="5" t="s">
        <v>1803</v>
      </c>
      <c r="C841" s="5" t="s">
        <v>1804</v>
      </c>
      <c r="D841" s="5" t="s">
        <v>1586</v>
      </c>
      <c r="E841" s="5" t="s">
        <v>40</v>
      </c>
      <c r="F841" s="5" t="s">
        <v>52</v>
      </c>
      <c r="G841" s="5" t="s">
        <v>110</v>
      </c>
      <c r="H841" s="4"/>
      <c r="I841" s="4"/>
      <c r="J841" s="6"/>
      <c r="K841" s="6"/>
      <c r="L841" s="6"/>
      <c r="M841" s="4"/>
      <c r="N841" s="4"/>
      <c r="O841" s="4"/>
      <c r="P841" s="6"/>
      <c r="Q841" s="6"/>
      <c r="R841" s="6"/>
      <c r="S841" s="6"/>
      <c r="T841" s="4"/>
      <c r="U841" s="6"/>
      <c r="V841" s="6"/>
      <c r="W841" s="6"/>
      <c r="X841" s="6"/>
      <c r="Y841" s="4"/>
      <c r="Z841" s="6"/>
      <c r="AA841" s="4"/>
      <c r="AB841" s="4"/>
      <c r="AC841" s="4"/>
      <c r="AD841" s="6"/>
      <c r="AE841" s="4"/>
      <c r="AF841" s="4"/>
      <c r="AG841" s="4"/>
      <c r="AH841" s="4">
        <v>14981570484300</v>
      </c>
    </row>
    <row r="842" spans="1:34" x14ac:dyDescent="0.25">
      <c r="A842" s="4">
        <v>841</v>
      </c>
      <c r="B842" s="5" t="s">
        <v>1805</v>
      </c>
      <c r="C842" s="5" t="s">
        <v>1806</v>
      </c>
      <c r="D842" s="5" t="s">
        <v>1586</v>
      </c>
      <c r="E842" s="5" t="s">
        <v>29</v>
      </c>
      <c r="F842" s="5" t="s">
        <v>30</v>
      </c>
      <c r="G842" s="5" t="s">
        <v>31</v>
      </c>
      <c r="H842" s="4">
        <v>450756299596</v>
      </c>
      <c r="I842" s="4">
        <v>746256708026</v>
      </c>
      <c r="J842" s="6">
        <v>-5.9499999999999997E-2</v>
      </c>
      <c r="K842" s="6"/>
      <c r="L842" s="6"/>
      <c r="M842" s="4">
        <v>24006762780</v>
      </c>
      <c r="N842" s="4">
        <v>34368426226</v>
      </c>
      <c r="O842" s="4"/>
      <c r="P842" s="6">
        <v>0.34920000000000001</v>
      </c>
      <c r="Q842" s="6"/>
      <c r="R842" s="6"/>
      <c r="S842" s="6">
        <v>1.3169</v>
      </c>
      <c r="T842" s="4"/>
      <c r="U842" s="6"/>
      <c r="V842" s="6"/>
      <c r="W842" s="6"/>
      <c r="X842" s="6"/>
      <c r="Y842" s="4"/>
      <c r="Z842" s="6">
        <v>0.52539999999999998</v>
      </c>
      <c r="AA842" s="4"/>
      <c r="AB842" s="4"/>
      <c r="AC842" s="4"/>
      <c r="AD842" s="6"/>
      <c r="AE842" s="4"/>
      <c r="AF842" s="4"/>
      <c r="AG842" s="4"/>
      <c r="AH842" s="4">
        <v>300995880000</v>
      </c>
    </row>
    <row r="843" spans="1:34" x14ac:dyDescent="0.25">
      <c r="A843" s="4">
        <v>842</v>
      </c>
      <c r="B843" s="5" t="s">
        <v>1807</v>
      </c>
      <c r="C843" s="5" t="s">
        <v>1808</v>
      </c>
      <c r="D843" s="5" t="s">
        <v>1586</v>
      </c>
      <c r="E843" s="5" t="s">
        <v>40</v>
      </c>
      <c r="F843" s="5" t="s">
        <v>52</v>
      </c>
      <c r="G843" s="5" t="s">
        <v>110</v>
      </c>
      <c r="H843" s="4"/>
      <c r="I843" s="4"/>
      <c r="J843" s="6"/>
      <c r="K843" s="6"/>
      <c r="L843" s="6"/>
      <c r="M843" s="4"/>
      <c r="N843" s="4"/>
      <c r="O843" s="4"/>
      <c r="P843" s="6"/>
      <c r="Q843" s="6"/>
      <c r="R843" s="6"/>
      <c r="S843" s="6"/>
      <c r="T843" s="4"/>
      <c r="U843" s="6"/>
      <c r="V843" s="6"/>
      <c r="W843" s="6"/>
      <c r="X843" s="6"/>
      <c r="Y843" s="4"/>
      <c r="Z843" s="6"/>
      <c r="AA843" s="4"/>
      <c r="AB843" s="4"/>
      <c r="AC843" s="4"/>
      <c r="AD843" s="6"/>
      <c r="AE843" s="4"/>
      <c r="AF843" s="4"/>
      <c r="AG843" s="4"/>
      <c r="AH843" s="4"/>
    </row>
    <row r="844" spans="1:34" x14ac:dyDescent="0.25">
      <c r="A844" s="4">
        <v>843</v>
      </c>
      <c r="B844" s="5" t="s">
        <v>1809</v>
      </c>
      <c r="C844" s="5" t="s">
        <v>1810</v>
      </c>
      <c r="D844" s="5" t="s">
        <v>1586</v>
      </c>
      <c r="E844" s="5" t="s">
        <v>40</v>
      </c>
      <c r="F844" s="5" t="s">
        <v>52</v>
      </c>
      <c r="G844" s="5" t="s">
        <v>53</v>
      </c>
      <c r="H844" s="4"/>
      <c r="I844" s="4"/>
      <c r="J844" s="6"/>
      <c r="K844" s="6"/>
      <c r="L844" s="6"/>
      <c r="M844" s="4"/>
      <c r="N844" s="4"/>
      <c r="O844" s="4"/>
      <c r="P844" s="6"/>
      <c r="Q844" s="6"/>
      <c r="R844" s="6"/>
      <c r="S844" s="6"/>
      <c r="T844" s="4"/>
      <c r="U844" s="6"/>
      <c r="V844" s="6"/>
      <c r="W844" s="6"/>
      <c r="X844" s="6"/>
      <c r="Y844" s="4"/>
      <c r="Z844" s="6"/>
      <c r="AA844" s="4"/>
      <c r="AB844" s="4"/>
      <c r="AC844" s="4"/>
      <c r="AD844" s="6"/>
      <c r="AE844" s="4"/>
      <c r="AF844" s="4"/>
      <c r="AG844" s="4"/>
      <c r="AH844" s="4">
        <v>184136911200</v>
      </c>
    </row>
    <row r="845" spans="1:34" x14ac:dyDescent="0.25">
      <c r="A845" s="4">
        <v>844</v>
      </c>
      <c r="B845" s="5" t="s">
        <v>1811</v>
      </c>
      <c r="C845" s="5" t="s">
        <v>1812</v>
      </c>
      <c r="D845" s="5" t="s">
        <v>1586</v>
      </c>
      <c r="E845" s="5" t="s">
        <v>40</v>
      </c>
      <c r="F845" s="5" t="s">
        <v>41</v>
      </c>
      <c r="G845" s="5" t="s">
        <v>93</v>
      </c>
      <c r="H845" s="4"/>
      <c r="I845" s="4"/>
      <c r="J845" s="6"/>
      <c r="K845" s="6"/>
      <c r="L845" s="6"/>
      <c r="M845" s="4"/>
      <c r="N845" s="4"/>
      <c r="O845" s="4"/>
      <c r="P845" s="6"/>
      <c r="Q845" s="6"/>
      <c r="R845" s="6"/>
      <c r="S845" s="6"/>
      <c r="T845" s="4"/>
      <c r="U845" s="6"/>
      <c r="V845" s="6"/>
      <c r="W845" s="6"/>
      <c r="X845" s="6"/>
      <c r="Y845" s="4"/>
      <c r="Z845" s="6"/>
      <c r="AA845" s="4"/>
      <c r="AB845" s="4"/>
      <c r="AC845" s="4"/>
      <c r="AD845" s="6"/>
      <c r="AE845" s="4"/>
      <c r="AF845" s="4"/>
      <c r="AG845" s="4"/>
      <c r="AH845" s="4">
        <v>49200000000</v>
      </c>
    </row>
    <row r="846" spans="1:34" x14ac:dyDescent="0.25">
      <c r="A846" s="4">
        <v>845</v>
      </c>
      <c r="B846" s="5" t="s">
        <v>1813</v>
      </c>
      <c r="C846" s="5" t="s">
        <v>1814</v>
      </c>
      <c r="D846" s="5" t="s">
        <v>1586</v>
      </c>
      <c r="E846" s="5" t="s">
        <v>75</v>
      </c>
      <c r="F846" s="5" t="s">
        <v>76</v>
      </c>
      <c r="G846" s="5" t="s">
        <v>76</v>
      </c>
      <c r="H846" s="4"/>
      <c r="I846" s="4"/>
      <c r="J846" s="6"/>
      <c r="K846" s="6"/>
      <c r="L846" s="6"/>
      <c r="M846" s="4"/>
      <c r="N846" s="4"/>
      <c r="O846" s="4"/>
      <c r="P846" s="6"/>
      <c r="Q846" s="6"/>
      <c r="R846" s="6"/>
      <c r="S846" s="6"/>
      <c r="T846" s="4"/>
      <c r="U846" s="6"/>
      <c r="V846" s="6"/>
      <c r="W846" s="6"/>
      <c r="X846" s="6"/>
      <c r="Y846" s="4"/>
      <c r="Z846" s="6"/>
      <c r="AA846" s="4"/>
      <c r="AB846" s="4"/>
      <c r="AC846" s="4"/>
      <c r="AD846" s="6"/>
      <c r="AE846" s="4"/>
      <c r="AF846" s="4"/>
      <c r="AG846" s="4"/>
      <c r="AH846" s="4">
        <v>46787018554</v>
      </c>
    </row>
    <row r="847" spans="1:34" x14ac:dyDescent="0.25">
      <c r="A847" s="4">
        <v>846</v>
      </c>
      <c r="B847" s="5" t="s">
        <v>1815</v>
      </c>
      <c r="C847" s="5" t="s">
        <v>1816</v>
      </c>
      <c r="D847" s="5" t="s">
        <v>1586</v>
      </c>
      <c r="E847" s="5" t="s">
        <v>40</v>
      </c>
      <c r="F847" s="5" t="s">
        <v>41</v>
      </c>
      <c r="G847" s="5" t="s">
        <v>93</v>
      </c>
      <c r="H847" s="4">
        <v>46589697458</v>
      </c>
      <c r="I847" s="4">
        <v>83998910705</v>
      </c>
      <c r="J847" s="6">
        <v>-0.1137</v>
      </c>
      <c r="K847" s="6"/>
      <c r="L847" s="6"/>
      <c r="M847" s="4">
        <v>3931156924</v>
      </c>
      <c r="N847" s="4">
        <v>6407140732</v>
      </c>
      <c r="O847" s="4"/>
      <c r="P847" s="6">
        <v>4.1871999999999998</v>
      </c>
      <c r="Q847" s="6"/>
      <c r="R847" s="6"/>
      <c r="S847" s="6">
        <v>0.5877</v>
      </c>
      <c r="T847" s="4"/>
      <c r="U847" s="6"/>
      <c r="V847" s="6"/>
      <c r="W847" s="6"/>
      <c r="X847" s="6"/>
      <c r="Y847" s="4"/>
      <c r="Z847" s="6">
        <v>0.24540000000000001</v>
      </c>
      <c r="AA847" s="4"/>
      <c r="AB847" s="4"/>
      <c r="AC847" s="4"/>
      <c r="AD847" s="6"/>
      <c r="AE847" s="4"/>
      <c r="AF847" s="4"/>
      <c r="AG847" s="4"/>
      <c r="AH847" s="4">
        <v>253472000000</v>
      </c>
    </row>
    <row r="848" spans="1:34" x14ac:dyDescent="0.25">
      <c r="A848" s="4">
        <v>847</v>
      </c>
      <c r="B848" s="5" t="s">
        <v>1817</v>
      </c>
      <c r="C848" s="5" t="s">
        <v>1818</v>
      </c>
      <c r="D848" s="5" t="s">
        <v>1586</v>
      </c>
      <c r="E848" s="5" t="s">
        <v>40</v>
      </c>
      <c r="F848" s="5" t="s">
        <v>52</v>
      </c>
      <c r="G848" s="5" t="s">
        <v>110</v>
      </c>
      <c r="H848" s="4"/>
      <c r="I848" s="4"/>
      <c r="J848" s="6"/>
      <c r="K848" s="6"/>
      <c r="L848" s="6"/>
      <c r="M848" s="4"/>
      <c r="N848" s="4"/>
      <c r="O848" s="4"/>
      <c r="P848" s="6"/>
      <c r="Q848" s="6"/>
      <c r="R848" s="6"/>
      <c r="S848" s="6"/>
      <c r="T848" s="4"/>
      <c r="U848" s="6"/>
      <c r="V848" s="6"/>
      <c r="W848" s="6"/>
      <c r="X848" s="6"/>
      <c r="Y848" s="4"/>
      <c r="Z848" s="6"/>
      <c r="AA848" s="4"/>
      <c r="AB848" s="4"/>
      <c r="AC848" s="4"/>
      <c r="AD848" s="6"/>
      <c r="AE848" s="4"/>
      <c r="AF848" s="4"/>
      <c r="AG848" s="4"/>
      <c r="AH848" s="4">
        <v>134100000000</v>
      </c>
    </row>
    <row r="849" spans="1:34" x14ac:dyDescent="0.25">
      <c r="A849" s="4">
        <v>848</v>
      </c>
      <c r="B849" s="5" t="s">
        <v>1819</v>
      </c>
      <c r="C849" s="5" t="s">
        <v>1820</v>
      </c>
      <c r="D849" s="5" t="s">
        <v>1586</v>
      </c>
      <c r="E849" s="5" t="s">
        <v>40</v>
      </c>
      <c r="F849" s="5" t="s">
        <v>52</v>
      </c>
      <c r="G849" s="5" t="s">
        <v>53</v>
      </c>
      <c r="H849" s="4"/>
      <c r="I849" s="4"/>
      <c r="J849" s="6"/>
      <c r="K849" s="6"/>
      <c r="L849" s="6"/>
      <c r="M849" s="4"/>
      <c r="N849" s="4"/>
      <c r="O849" s="4"/>
      <c r="P849" s="6"/>
      <c r="Q849" s="6"/>
      <c r="R849" s="6"/>
      <c r="S849" s="6"/>
      <c r="T849" s="4"/>
      <c r="U849" s="6"/>
      <c r="V849" s="6"/>
      <c r="W849" s="6"/>
      <c r="X849" s="6"/>
      <c r="Y849" s="4"/>
      <c r="Z849" s="6"/>
      <c r="AA849" s="4"/>
      <c r="AB849" s="4"/>
      <c r="AC849" s="4"/>
      <c r="AD849" s="6"/>
      <c r="AE849" s="4"/>
      <c r="AF849" s="4"/>
      <c r="AG849" s="4"/>
      <c r="AH849" s="4">
        <v>8315786400</v>
      </c>
    </row>
    <row r="850" spans="1:34" x14ac:dyDescent="0.25">
      <c r="A850" s="4">
        <v>849</v>
      </c>
      <c r="B850" s="5" t="s">
        <v>1821</v>
      </c>
      <c r="C850" s="5" t="s">
        <v>1822</v>
      </c>
      <c r="D850" s="5" t="s">
        <v>1586</v>
      </c>
      <c r="E850" s="5" t="s">
        <v>40</v>
      </c>
      <c r="F850" s="5" t="s">
        <v>52</v>
      </c>
      <c r="G850" s="5" t="s">
        <v>110</v>
      </c>
      <c r="H850" s="4"/>
      <c r="I850" s="4"/>
      <c r="J850" s="6"/>
      <c r="K850" s="6"/>
      <c r="L850" s="6"/>
      <c r="M850" s="4"/>
      <c r="N850" s="4"/>
      <c r="O850" s="4"/>
      <c r="P850" s="6"/>
      <c r="Q850" s="6"/>
      <c r="R850" s="6"/>
      <c r="S850" s="6"/>
      <c r="T850" s="4"/>
      <c r="U850" s="6"/>
      <c r="V850" s="6"/>
      <c r="W850" s="6"/>
      <c r="X850" s="6"/>
      <c r="Y850" s="4"/>
      <c r="Z850" s="6"/>
      <c r="AA850" s="4"/>
      <c r="AB850" s="4"/>
      <c r="AC850" s="4"/>
      <c r="AD850" s="6"/>
      <c r="AE850" s="4"/>
      <c r="AF850" s="4"/>
      <c r="AG850" s="4"/>
      <c r="AH850" s="4">
        <v>40956467500</v>
      </c>
    </row>
    <row r="851" spans="1:34" x14ac:dyDescent="0.25">
      <c r="A851" s="4">
        <v>850</v>
      </c>
      <c r="B851" s="5" t="s">
        <v>1823</v>
      </c>
      <c r="C851" s="5" t="s">
        <v>1824</v>
      </c>
      <c r="D851" s="5" t="s">
        <v>1586</v>
      </c>
      <c r="E851" s="5" t="s">
        <v>234</v>
      </c>
      <c r="F851" s="5" t="s">
        <v>235</v>
      </c>
      <c r="G851" s="5" t="s">
        <v>236</v>
      </c>
      <c r="H851" s="4"/>
      <c r="I851" s="4"/>
      <c r="J851" s="6"/>
      <c r="K851" s="6"/>
      <c r="L851" s="6"/>
      <c r="M851" s="4"/>
      <c r="N851" s="4"/>
      <c r="O851" s="4"/>
      <c r="P851" s="6"/>
      <c r="Q851" s="6"/>
      <c r="R851" s="6"/>
      <c r="S851" s="6"/>
      <c r="T851" s="4"/>
      <c r="U851" s="6"/>
      <c r="V851" s="6"/>
      <c r="W851" s="6"/>
      <c r="X851" s="6"/>
      <c r="Y851" s="4"/>
      <c r="Z851" s="6"/>
      <c r="AA851" s="4"/>
      <c r="AB851" s="4"/>
      <c r="AC851" s="4"/>
      <c r="AD851" s="6"/>
      <c r="AE851" s="4"/>
      <c r="AF851" s="4"/>
      <c r="AG851" s="4"/>
      <c r="AH851" s="4">
        <v>207580320000</v>
      </c>
    </row>
    <row r="852" spans="1:34" x14ac:dyDescent="0.25">
      <c r="A852" s="4">
        <v>851</v>
      </c>
      <c r="B852" s="5" t="s">
        <v>1825</v>
      </c>
      <c r="C852" s="5" t="s">
        <v>1826</v>
      </c>
      <c r="D852" s="5" t="s">
        <v>1586</v>
      </c>
      <c r="E852" s="5" t="s">
        <v>40</v>
      </c>
      <c r="F852" s="5" t="s">
        <v>52</v>
      </c>
      <c r="G852" s="5" t="s">
        <v>110</v>
      </c>
      <c r="H852" s="4"/>
      <c r="I852" s="4"/>
      <c r="J852" s="6"/>
      <c r="K852" s="6"/>
      <c r="L852" s="6"/>
      <c r="M852" s="4"/>
      <c r="N852" s="4"/>
      <c r="O852" s="4"/>
      <c r="P852" s="6"/>
      <c r="Q852" s="6"/>
      <c r="R852" s="6"/>
      <c r="S852" s="6"/>
      <c r="T852" s="4"/>
      <c r="U852" s="6"/>
      <c r="V852" s="6"/>
      <c r="W852" s="6"/>
      <c r="X852" s="6"/>
      <c r="Y852" s="4"/>
      <c r="Z852" s="6"/>
      <c r="AA852" s="4"/>
      <c r="AB852" s="4"/>
      <c r="AC852" s="4"/>
      <c r="AD852" s="6"/>
      <c r="AE852" s="4"/>
      <c r="AF852" s="4"/>
      <c r="AG852" s="4"/>
      <c r="AH852" s="4">
        <v>9226397075</v>
      </c>
    </row>
    <row r="853" spans="1:34" x14ac:dyDescent="0.25">
      <c r="A853" s="4">
        <v>852</v>
      </c>
      <c r="B853" s="5" t="s">
        <v>1827</v>
      </c>
      <c r="C853" s="5" t="s">
        <v>1828</v>
      </c>
      <c r="D853" s="5" t="s">
        <v>1586</v>
      </c>
      <c r="E853" s="5" t="s">
        <v>62</v>
      </c>
      <c r="F853" s="5" t="s">
        <v>71</v>
      </c>
      <c r="G853" s="5" t="s">
        <v>147</v>
      </c>
      <c r="H853" s="4"/>
      <c r="I853" s="4"/>
      <c r="J853" s="6"/>
      <c r="K853" s="6"/>
      <c r="L853" s="6"/>
      <c r="M853" s="4"/>
      <c r="N853" s="4"/>
      <c r="O853" s="4"/>
      <c r="P853" s="6"/>
      <c r="Q853" s="6"/>
      <c r="R853" s="6"/>
      <c r="S853" s="6"/>
      <c r="T853" s="4"/>
      <c r="U853" s="6"/>
      <c r="V853" s="6"/>
      <c r="W853" s="6"/>
      <c r="X853" s="6"/>
      <c r="Y853" s="4"/>
      <c r="Z853" s="6"/>
      <c r="AA853" s="4"/>
      <c r="AB853" s="4"/>
      <c r="AC853" s="4"/>
      <c r="AD853" s="6"/>
      <c r="AE853" s="4"/>
      <c r="AF853" s="4"/>
      <c r="AG853" s="4"/>
      <c r="AH853" s="4">
        <v>34739904000</v>
      </c>
    </row>
    <row r="854" spans="1:34" x14ac:dyDescent="0.25">
      <c r="A854" s="4">
        <v>853</v>
      </c>
      <c r="B854" s="5" t="s">
        <v>1829</v>
      </c>
      <c r="C854" s="5" t="s">
        <v>1830</v>
      </c>
      <c r="D854" s="5" t="s">
        <v>1586</v>
      </c>
      <c r="E854" s="5" t="s">
        <v>40</v>
      </c>
      <c r="F854" s="5" t="s">
        <v>41</v>
      </c>
      <c r="G854" s="5" t="s">
        <v>1025</v>
      </c>
      <c r="H854" s="4"/>
      <c r="I854" s="4"/>
      <c r="J854" s="6"/>
      <c r="K854" s="6"/>
      <c r="L854" s="6"/>
      <c r="M854" s="4"/>
      <c r="N854" s="4"/>
      <c r="O854" s="4"/>
      <c r="P854" s="6"/>
      <c r="Q854" s="6"/>
      <c r="R854" s="6"/>
      <c r="S854" s="6"/>
      <c r="T854" s="4"/>
      <c r="U854" s="6"/>
      <c r="V854" s="6"/>
      <c r="W854" s="6"/>
      <c r="X854" s="6"/>
      <c r="Y854" s="4"/>
      <c r="Z854" s="6"/>
      <c r="AA854" s="4"/>
      <c r="AB854" s="4"/>
      <c r="AC854" s="4"/>
      <c r="AD854" s="6"/>
      <c r="AE854" s="4"/>
      <c r="AF854" s="4"/>
      <c r="AG854" s="4"/>
      <c r="AH854" s="4">
        <v>29400000000</v>
      </c>
    </row>
    <row r="855" spans="1:34" x14ac:dyDescent="0.25">
      <c r="A855" s="4">
        <v>854</v>
      </c>
      <c r="B855" s="5" t="s">
        <v>1831</v>
      </c>
      <c r="C855" s="5" t="s">
        <v>1832</v>
      </c>
      <c r="D855" s="5" t="s">
        <v>1586</v>
      </c>
      <c r="E855" s="5" t="s">
        <v>29</v>
      </c>
      <c r="F855" s="5" t="s">
        <v>30</v>
      </c>
      <c r="G855" s="5" t="s">
        <v>574</v>
      </c>
      <c r="H855" s="4">
        <v>139892501559</v>
      </c>
      <c r="I855" s="4"/>
      <c r="J855" s="6"/>
      <c r="K855" s="6">
        <v>-8.8200000000000001E-2</v>
      </c>
      <c r="L855" s="6">
        <v>9.8100000000000007E-2</v>
      </c>
      <c r="M855" s="4">
        <v>1213355516</v>
      </c>
      <c r="N855" s="4"/>
      <c r="O855" s="4"/>
      <c r="P855" s="6"/>
      <c r="Q855" s="6">
        <v>1.2243999999999999</v>
      </c>
      <c r="R855" s="6">
        <v>7.4499999999999997E-2</v>
      </c>
      <c r="S855" s="6"/>
      <c r="T855" s="4"/>
      <c r="U855" s="6">
        <v>-0.53159999999999996</v>
      </c>
      <c r="V855" s="6">
        <v>-0.78820000000000001</v>
      </c>
      <c r="W855" s="6">
        <v>-0.78620000000000001</v>
      </c>
      <c r="X855" s="6">
        <v>0</v>
      </c>
      <c r="Y855" s="4"/>
      <c r="Z855" s="6"/>
      <c r="AA855" s="4"/>
      <c r="AB855" s="4"/>
      <c r="AC855" s="4"/>
      <c r="AD855" s="6">
        <v>0</v>
      </c>
      <c r="AE855" s="4"/>
      <c r="AF855" s="4"/>
      <c r="AG855" s="4"/>
      <c r="AH855" s="4">
        <v>215050000000</v>
      </c>
    </row>
    <row r="856" spans="1:34" x14ac:dyDescent="0.25">
      <c r="A856" s="4">
        <v>855</v>
      </c>
      <c r="B856" s="5" t="s">
        <v>1833</v>
      </c>
      <c r="C856" s="5" t="s">
        <v>1834</v>
      </c>
      <c r="D856" s="5" t="s">
        <v>1586</v>
      </c>
      <c r="E856" s="5" t="s">
        <v>40</v>
      </c>
      <c r="F856" s="5" t="s">
        <v>52</v>
      </c>
      <c r="G856" s="5" t="s">
        <v>53</v>
      </c>
      <c r="H856" s="4"/>
      <c r="I856" s="4"/>
      <c r="J856" s="6"/>
      <c r="K856" s="6"/>
      <c r="L856" s="6"/>
      <c r="M856" s="4"/>
      <c r="N856" s="4"/>
      <c r="O856" s="4"/>
      <c r="P856" s="6"/>
      <c r="Q856" s="6"/>
      <c r="R856" s="6"/>
      <c r="S856" s="6"/>
      <c r="T856" s="4"/>
      <c r="U856" s="6"/>
      <c r="V856" s="6"/>
      <c r="W856" s="6"/>
      <c r="X856" s="6"/>
      <c r="Y856" s="4"/>
      <c r="Z856" s="6"/>
      <c r="AA856" s="4"/>
      <c r="AB856" s="4"/>
      <c r="AC856" s="4"/>
      <c r="AD856" s="6"/>
      <c r="AE856" s="4"/>
      <c r="AF856" s="4"/>
      <c r="AG856" s="4"/>
      <c r="AH856" s="4">
        <v>29307364260</v>
      </c>
    </row>
    <row r="857" spans="1:34" x14ac:dyDescent="0.25">
      <c r="A857" s="4">
        <v>856</v>
      </c>
      <c r="B857" s="5" t="s">
        <v>1835</v>
      </c>
      <c r="C857" s="5" t="s">
        <v>1836</v>
      </c>
      <c r="D857" s="5" t="s">
        <v>1586</v>
      </c>
      <c r="E857" s="5" t="s">
        <v>40</v>
      </c>
      <c r="F857" s="5" t="s">
        <v>52</v>
      </c>
      <c r="G857" s="5" t="s">
        <v>110</v>
      </c>
      <c r="H857" s="4"/>
      <c r="I857" s="4"/>
      <c r="J857" s="6"/>
      <c r="K857" s="6"/>
      <c r="L857" s="6"/>
      <c r="M857" s="4"/>
      <c r="N857" s="4"/>
      <c r="O857" s="4"/>
      <c r="P857" s="6"/>
      <c r="Q857" s="6"/>
      <c r="R857" s="6"/>
      <c r="S857" s="6"/>
      <c r="T857" s="4"/>
      <c r="U857" s="6"/>
      <c r="V857" s="6"/>
      <c r="W857" s="6"/>
      <c r="X857" s="6"/>
      <c r="Y857" s="4"/>
      <c r="Z857" s="6"/>
      <c r="AA857" s="4"/>
      <c r="AB857" s="4"/>
      <c r="AC857" s="4"/>
      <c r="AD857" s="6"/>
      <c r="AE857" s="4"/>
      <c r="AF857" s="4"/>
      <c r="AG857" s="4"/>
      <c r="AH857" s="4">
        <v>57479730000</v>
      </c>
    </row>
    <row r="858" spans="1:34" x14ac:dyDescent="0.25">
      <c r="A858" s="4">
        <v>857</v>
      </c>
      <c r="B858" s="5" t="s">
        <v>1837</v>
      </c>
      <c r="C858" s="5" t="s">
        <v>1838</v>
      </c>
      <c r="D858" s="5" t="s">
        <v>1586</v>
      </c>
      <c r="E858" s="5" t="s">
        <v>40</v>
      </c>
      <c r="F858" s="5" t="s">
        <v>52</v>
      </c>
      <c r="G858" s="5" t="s">
        <v>53</v>
      </c>
      <c r="H858" s="4"/>
      <c r="I858" s="4"/>
      <c r="J858" s="6"/>
      <c r="K858" s="6"/>
      <c r="L858" s="6"/>
      <c r="M858" s="4"/>
      <c r="N858" s="4"/>
      <c r="O858" s="4"/>
      <c r="P858" s="6"/>
      <c r="Q858" s="6"/>
      <c r="R858" s="6"/>
      <c r="S858" s="6"/>
      <c r="T858" s="4"/>
      <c r="U858" s="6"/>
      <c r="V858" s="6"/>
      <c r="W858" s="6"/>
      <c r="X858" s="6"/>
      <c r="Y858" s="4"/>
      <c r="Z858" s="6"/>
      <c r="AA858" s="4"/>
      <c r="AB858" s="4"/>
      <c r="AC858" s="4"/>
      <c r="AD858" s="6"/>
      <c r="AE858" s="4"/>
      <c r="AF858" s="4"/>
      <c r="AG858" s="4"/>
      <c r="AH858" s="4">
        <v>43082214400</v>
      </c>
    </row>
    <row r="859" spans="1:34" x14ac:dyDescent="0.25">
      <c r="A859" s="4">
        <v>858</v>
      </c>
      <c r="B859" s="5" t="s">
        <v>1839</v>
      </c>
      <c r="C859" s="5" t="s">
        <v>1840</v>
      </c>
      <c r="D859" s="5" t="s">
        <v>1586</v>
      </c>
      <c r="E859" s="5" t="s">
        <v>98</v>
      </c>
      <c r="F859" s="5" t="s">
        <v>99</v>
      </c>
      <c r="G859" s="5" t="s">
        <v>1841</v>
      </c>
      <c r="H859" s="4"/>
      <c r="I859" s="4"/>
      <c r="J859" s="6"/>
      <c r="K859" s="6"/>
      <c r="L859" s="6"/>
      <c r="M859" s="4"/>
      <c r="N859" s="4"/>
      <c r="O859" s="4"/>
      <c r="P859" s="6"/>
      <c r="Q859" s="6"/>
      <c r="R859" s="6"/>
      <c r="S859" s="6"/>
      <c r="T859" s="4"/>
      <c r="U859" s="6"/>
      <c r="V859" s="6"/>
      <c r="W859" s="6"/>
      <c r="X859" s="6"/>
      <c r="Y859" s="4"/>
      <c r="Z859" s="6"/>
      <c r="AA859" s="4"/>
      <c r="AB859" s="4"/>
      <c r="AC859" s="4"/>
      <c r="AD859" s="6"/>
      <c r="AE859" s="4"/>
      <c r="AF859" s="4"/>
      <c r="AG859" s="4"/>
      <c r="AH859" s="4">
        <v>278320000000</v>
      </c>
    </row>
    <row r="860" spans="1:34" x14ac:dyDescent="0.25">
      <c r="A860" s="4">
        <v>859</v>
      </c>
      <c r="B860" s="5" t="s">
        <v>1842</v>
      </c>
      <c r="C860" s="5" t="s">
        <v>1843</v>
      </c>
      <c r="D860" s="5" t="s">
        <v>1586</v>
      </c>
      <c r="E860" s="5" t="s">
        <v>40</v>
      </c>
      <c r="F860" s="5" t="s">
        <v>52</v>
      </c>
      <c r="G860" s="5" t="s">
        <v>110</v>
      </c>
      <c r="H860" s="4"/>
      <c r="I860" s="4"/>
      <c r="J860" s="6"/>
      <c r="K860" s="6"/>
      <c r="L860" s="6"/>
      <c r="M860" s="4"/>
      <c r="N860" s="4"/>
      <c r="O860" s="4"/>
      <c r="P860" s="6"/>
      <c r="Q860" s="6"/>
      <c r="R860" s="6"/>
      <c r="S860" s="6"/>
      <c r="T860" s="4"/>
      <c r="U860" s="6"/>
      <c r="V860" s="6"/>
      <c r="W860" s="6"/>
      <c r="X860" s="6"/>
      <c r="Y860" s="4"/>
      <c r="Z860" s="6"/>
      <c r="AA860" s="4"/>
      <c r="AB860" s="4"/>
      <c r="AC860" s="4"/>
      <c r="AD860" s="6"/>
      <c r="AE860" s="4"/>
      <c r="AF860" s="4"/>
      <c r="AG860" s="4"/>
      <c r="AH860" s="4">
        <v>9449727000</v>
      </c>
    </row>
    <row r="861" spans="1:34" x14ac:dyDescent="0.25">
      <c r="A861" s="4">
        <v>860</v>
      </c>
      <c r="B861" s="5" t="s">
        <v>1844</v>
      </c>
      <c r="C861" s="5" t="s">
        <v>1845</v>
      </c>
      <c r="D861" s="5" t="s">
        <v>1586</v>
      </c>
      <c r="E861" s="5" t="s">
        <v>40</v>
      </c>
      <c r="F861" s="5" t="s">
        <v>52</v>
      </c>
      <c r="G861" s="5" t="s">
        <v>110</v>
      </c>
      <c r="H861" s="4"/>
      <c r="I861" s="4"/>
      <c r="J861" s="6"/>
      <c r="K861" s="6"/>
      <c r="L861" s="6"/>
      <c r="M861" s="4"/>
      <c r="N861" s="4"/>
      <c r="O861" s="4"/>
      <c r="P861" s="6"/>
      <c r="Q861" s="6"/>
      <c r="R861" s="6"/>
      <c r="S861" s="6"/>
      <c r="T861" s="4"/>
      <c r="U861" s="6"/>
      <c r="V861" s="6"/>
      <c r="W861" s="6"/>
      <c r="X861" s="6"/>
      <c r="Y861" s="4"/>
      <c r="Z861" s="6"/>
      <c r="AA861" s="4"/>
      <c r="AB861" s="4"/>
      <c r="AC861" s="4"/>
      <c r="AD861" s="6"/>
      <c r="AE861" s="4"/>
      <c r="AF861" s="4"/>
      <c r="AG861" s="4"/>
      <c r="AH861" s="4">
        <v>7056600000</v>
      </c>
    </row>
    <row r="862" spans="1:34" x14ac:dyDescent="0.25">
      <c r="A862" s="4">
        <v>861</v>
      </c>
      <c r="B862" s="5" t="s">
        <v>1846</v>
      </c>
      <c r="C862" s="5" t="s">
        <v>1847</v>
      </c>
      <c r="D862" s="5" t="s">
        <v>1586</v>
      </c>
      <c r="E862" s="5" t="s">
        <v>40</v>
      </c>
      <c r="F862" s="5" t="s">
        <v>52</v>
      </c>
      <c r="G862" s="5" t="s">
        <v>110</v>
      </c>
      <c r="H862" s="4"/>
      <c r="I862" s="4"/>
      <c r="J862" s="6"/>
      <c r="K862" s="6"/>
      <c r="L862" s="6"/>
      <c r="M862" s="4"/>
      <c r="N862" s="4"/>
      <c r="O862" s="4"/>
      <c r="P862" s="6"/>
      <c r="Q862" s="6"/>
      <c r="R862" s="6"/>
      <c r="S862" s="6"/>
      <c r="T862" s="4"/>
      <c r="U862" s="6"/>
      <c r="V862" s="6"/>
      <c r="W862" s="6"/>
      <c r="X862" s="6"/>
      <c r="Y862" s="4"/>
      <c r="Z862" s="6"/>
      <c r="AA862" s="4"/>
      <c r="AB862" s="4"/>
      <c r="AC862" s="4"/>
      <c r="AD862" s="6"/>
      <c r="AE862" s="4"/>
      <c r="AF862" s="4"/>
      <c r="AG862" s="4"/>
      <c r="AH862" s="4">
        <v>7726500000</v>
      </c>
    </row>
    <row r="863" spans="1:34" x14ac:dyDescent="0.25">
      <c r="A863" s="4">
        <v>862</v>
      </c>
      <c r="B863" s="5" t="s">
        <v>1848</v>
      </c>
      <c r="C863" s="5" t="s">
        <v>1849</v>
      </c>
      <c r="D863" s="5" t="s">
        <v>1586</v>
      </c>
      <c r="E863" s="5" t="s">
        <v>75</v>
      </c>
      <c r="F863" s="5" t="s">
        <v>76</v>
      </c>
      <c r="G863" s="5" t="s">
        <v>76</v>
      </c>
      <c r="H863" s="4"/>
      <c r="I863" s="4"/>
      <c r="J863" s="6"/>
      <c r="K863" s="6"/>
      <c r="L863" s="6"/>
      <c r="M863" s="4"/>
      <c r="N863" s="4"/>
      <c r="O863" s="4"/>
      <c r="P863" s="6"/>
      <c r="Q863" s="6"/>
      <c r="R863" s="6"/>
      <c r="S863" s="6"/>
      <c r="T863" s="4"/>
      <c r="U863" s="6"/>
      <c r="V863" s="6"/>
      <c r="W863" s="6"/>
      <c r="X863" s="6"/>
      <c r="Y863" s="4"/>
      <c r="Z863" s="6"/>
      <c r="AA863" s="4"/>
      <c r="AB863" s="4"/>
      <c r="AC863" s="4"/>
      <c r="AD863" s="6"/>
      <c r="AE863" s="4"/>
      <c r="AF863" s="4"/>
      <c r="AG863" s="4"/>
      <c r="AH863" s="4">
        <v>16800000000</v>
      </c>
    </row>
    <row r="864" spans="1:34" x14ac:dyDescent="0.25">
      <c r="A864" s="4">
        <v>863</v>
      </c>
      <c r="B864" s="5" t="s">
        <v>1850</v>
      </c>
      <c r="C864" s="5" t="s">
        <v>1851</v>
      </c>
      <c r="D864" s="5" t="s">
        <v>1586</v>
      </c>
      <c r="E864" s="5" t="s">
        <v>40</v>
      </c>
      <c r="F864" s="5" t="s">
        <v>41</v>
      </c>
      <c r="G864" s="5" t="s">
        <v>519</v>
      </c>
      <c r="H864" s="4"/>
      <c r="I864" s="4"/>
      <c r="J864" s="6"/>
      <c r="K864" s="6"/>
      <c r="L864" s="6"/>
      <c r="M864" s="4"/>
      <c r="N864" s="4"/>
      <c r="O864" s="4"/>
      <c r="P864" s="6"/>
      <c r="Q864" s="6"/>
      <c r="R864" s="6"/>
      <c r="S864" s="6"/>
      <c r="T864" s="4"/>
      <c r="U864" s="6"/>
      <c r="V864" s="6"/>
      <c r="W864" s="6"/>
      <c r="X864" s="6"/>
      <c r="Y864" s="4"/>
      <c r="Z864" s="6"/>
      <c r="AA864" s="4"/>
      <c r="AB864" s="4"/>
      <c r="AC864" s="4"/>
      <c r="AD864" s="6"/>
      <c r="AE864" s="4"/>
      <c r="AF864" s="4"/>
      <c r="AG864" s="4"/>
      <c r="AH864" s="4">
        <v>215226597960</v>
      </c>
    </row>
    <row r="865" spans="1:34" x14ac:dyDescent="0.25">
      <c r="A865" s="4">
        <v>864</v>
      </c>
      <c r="B865" s="5" t="s">
        <v>1852</v>
      </c>
      <c r="C865" s="5" t="s">
        <v>1853</v>
      </c>
      <c r="D865" s="5" t="s">
        <v>1586</v>
      </c>
      <c r="E865" s="5" t="s">
        <v>40</v>
      </c>
      <c r="F865" s="5" t="s">
        <v>41</v>
      </c>
      <c r="G865" s="5" t="s">
        <v>519</v>
      </c>
      <c r="H865" s="4"/>
      <c r="I865" s="4"/>
      <c r="J865" s="6"/>
      <c r="K865" s="6"/>
      <c r="L865" s="6"/>
      <c r="M865" s="4"/>
      <c r="N865" s="4"/>
      <c r="O865" s="4"/>
      <c r="P865" s="6"/>
      <c r="Q865" s="6"/>
      <c r="R865" s="6"/>
      <c r="S865" s="6"/>
      <c r="T865" s="4"/>
      <c r="U865" s="6"/>
      <c r="V865" s="6"/>
      <c r="W865" s="6"/>
      <c r="X865" s="6"/>
      <c r="Y865" s="4"/>
      <c r="Z865" s="6"/>
      <c r="AA865" s="4"/>
      <c r="AB865" s="4"/>
      <c r="AC865" s="4"/>
      <c r="AD865" s="6"/>
      <c r="AE865" s="4"/>
      <c r="AF865" s="4"/>
      <c r="AG865" s="4"/>
      <c r="AH865" s="4">
        <v>666500000000</v>
      </c>
    </row>
    <row r="866" spans="1:34" x14ac:dyDescent="0.25">
      <c r="A866" s="4">
        <v>865</v>
      </c>
      <c r="B866" s="5" t="s">
        <v>1854</v>
      </c>
      <c r="C866" s="5" t="s">
        <v>1855</v>
      </c>
      <c r="D866" s="5" t="s">
        <v>1586</v>
      </c>
      <c r="E866" s="5" t="s">
        <v>24</v>
      </c>
      <c r="F866" s="5" t="s">
        <v>56</v>
      </c>
      <c r="G866" s="5" t="s">
        <v>1856</v>
      </c>
      <c r="H866" s="4"/>
      <c r="I866" s="4"/>
      <c r="J866" s="6"/>
      <c r="K866" s="6"/>
      <c r="L866" s="6"/>
      <c r="M866" s="4"/>
      <c r="N866" s="4"/>
      <c r="O866" s="4"/>
      <c r="P866" s="6"/>
      <c r="Q866" s="6"/>
      <c r="R866" s="6"/>
      <c r="S866" s="6"/>
      <c r="T866" s="4"/>
      <c r="U866" s="6"/>
      <c r="V866" s="6"/>
      <c r="W866" s="6"/>
      <c r="X866" s="6">
        <v>0</v>
      </c>
      <c r="Y866" s="4"/>
      <c r="Z866" s="6"/>
      <c r="AA866" s="4"/>
      <c r="AB866" s="4"/>
      <c r="AC866" s="4"/>
      <c r="AD866" s="6"/>
      <c r="AE866" s="4"/>
      <c r="AF866" s="4"/>
      <c r="AG866" s="4"/>
      <c r="AH866" s="4">
        <v>2490787200000</v>
      </c>
    </row>
    <row r="867" spans="1:34" x14ac:dyDescent="0.25">
      <c r="A867" s="4">
        <v>866</v>
      </c>
      <c r="B867" s="5" t="s">
        <v>1857</v>
      </c>
      <c r="C867" s="5" t="s">
        <v>1858</v>
      </c>
      <c r="D867" s="5" t="s">
        <v>1586</v>
      </c>
      <c r="E867" s="5" t="s">
        <v>29</v>
      </c>
      <c r="F867" s="5" t="s">
        <v>30</v>
      </c>
      <c r="G867" s="5" t="s">
        <v>83</v>
      </c>
      <c r="H867" s="4"/>
      <c r="I867" s="4"/>
      <c r="J867" s="6"/>
      <c r="K867" s="6"/>
      <c r="L867" s="6"/>
      <c r="M867" s="4"/>
      <c r="N867" s="4"/>
      <c r="O867" s="4"/>
      <c r="P867" s="6"/>
      <c r="Q867" s="6"/>
      <c r="R867" s="6"/>
      <c r="S867" s="6"/>
      <c r="T867" s="4"/>
      <c r="U867" s="6"/>
      <c r="V867" s="6"/>
      <c r="W867" s="6"/>
      <c r="X867" s="6"/>
      <c r="Y867" s="4"/>
      <c r="Z867" s="6"/>
      <c r="AA867" s="4"/>
      <c r="AB867" s="4"/>
      <c r="AC867" s="4"/>
      <c r="AD867" s="6"/>
      <c r="AE867" s="4"/>
      <c r="AF867" s="4"/>
      <c r="AG867" s="4"/>
      <c r="AH867" s="4">
        <v>1133161000000</v>
      </c>
    </row>
    <row r="868" spans="1:34" x14ac:dyDescent="0.25">
      <c r="A868" s="4">
        <v>867</v>
      </c>
      <c r="B868" s="5" t="s">
        <v>1859</v>
      </c>
      <c r="C868" s="5" t="s">
        <v>1860</v>
      </c>
      <c r="D868" s="5" t="s">
        <v>1586</v>
      </c>
      <c r="E868" s="5" t="s">
        <v>40</v>
      </c>
      <c r="F868" s="5" t="s">
        <v>52</v>
      </c>
      <c r="G868" s="5" t="s">
        <v>53</v>
      </c>
      <c r="H868" s="4">
        <v>277178424493</v>
      </c>
      <c r="I868" s="4">
        <v>504630079310</v>
      </c>
      <c r="J868" s="6">
        <v>0.28199999999999997</v>
      </c>
      <c r="K868" s="6">
        <v>0.35799999999999998</v>
      </c>
      <c r="L868" s="6">
        <v>0.311</v>
      </c>
      <c r="M868" s="4">
        <v>6595261537</v>
      </c>
      <c r="N868" s="4">
        <v>15448121538</v>
      </c>
      <c r="O868" s="4"/>
      <c r="P868" s="6">
        <v>0.1782</v>
      </c>
      <c r="Q868" s="6">
        <v>9.8000000000000004E-2</v>
      </c>
      <c r="R868" s="6">
        <v>0.15620000000000001</v>
      </c>
      <c r="S868" s="6">
        <v>-0.255</v>
      </c>
      <c r="T868" s="4"/>
      <c r="U868" s="6">
        <v>-0.55930000000000002</v>
      </c>
      <c r="V868" s="6">
        <v>-0.54369999999999996</v>
      </c>
      <c r="W868" s="6">
        <v>-0.5454</v>
      </c>
      <c r="X868" s="6">
        <v>0.13900000000000001</v>
      </c>
      <c r="Y868" s="4"/>
      <c r="Z868" s="6">
        <v>0.21859999999999999</v>
      </c>
      <c r="AA868" s="4"/>
      <c r="AB868" s="4"/>
      <c r="AC868" s="4"/>
      <c r="AD868" s="6">
        <v>0</v>
      </c>
      <c r="AE868" s="4"/>
      <c r="AF868" s="4"/>
      <c r="AG868" s="4"/>
      <c r="AH868" s="4">
        <v>209814000000</v>
      </c>
    </row>
    <row r="869" spans="1:34" x14ac:dyDescent="0.25">
      <c r="A869" s="4">
        <v>868</v>
      </c>
      <c r="B869" s="5" t="s">
        <v>1861</v>
      </c>
      <c r="C869" s="5" t="s">
        <v>1862</v>
      </c>
      <c r="D869" s="5" t="s">
        <v>1586</v>
      </c>
      <c r="E869" s="5" t="s">
        <v>29</v>
      </c>
      <c r="F869" s="5" t="s">
        <v>30</v>
      </c>
      <c r="G869" s="5" t="s">
        <v>83</v>
      </c>
      <c r="H869" s="4">
        <v>1129224274688</v>
      </c>
      <c r="I869" s="4">
        <v>2161245860280</v>
      </c>
      <c r="J869" s="6">
        <v>0.15840000000000001</v>
      </c>
      <c r="K869" s="6">
        <v>0.1603</v>
      </c>
      <c r="L869" s="6">
        <v>0.1356</v>
      </c>
      <c r="M869" s="4">
        <v>87140894319</v>
      </c>
      <c r="N869" s="4">
        <v>160275688033</v>
      </c>
      <c r="O869" s="4"/>
      <c r="P869" s="6">
        <v>0.20669999999999999</v>
      </c>
      <c r="Q869" s="6">
        <v>0.17630000000000001</v>
      </c>
      <c r="R869" s="6">
        <v>0.18440000000000001</v>
      </c>
      <c r="S869" s="6">
        <v>0.1915</v>
      </c>
      <c r="T869" s="4"/>
      <c r="U869" s="6">
        <v>-0.51970000000000005</v>
      </c>
      <c r="V869" s="6">
        <v>-0.48630000000000001</v>
      </c>
      <c r="W869" s="6">
        <v>-0.48630000000000001</v>
      </c>
      <c r="X869" s="6">
        <v>0</v>
      </c>
      <c r="Y869" s="4"/>
      <c r="Z869" s="6">
        <v>9.4200000000000006E-2</v>
      </c>
      <c r="AA869" s="4"/>
      <c r="AB869" s="4"/>
      <c r="AC869" s="4"/>
      <c r="AD869" s="6">
        <v>0</v>
      </c>
      <c r="AE869" s="4"/>
      <c r="AF869" s="4"/>
      <c r="AG869" s="4"/>
      <c r="AH869" s="4">
        <v>3078000000000</v>
      </c>
    </row>
    <row r="870" spans="1:34" x14ac:dyDescent="0.25">
      <c r="A870" s="4">
        <v>869</v>
      </c>
      <c r="B870" s="5" t="s">
        <v>1863</v>
      </c>
      <c r="C870" s="5" t="s">
        <v>1864</v>
      </c>
      <c r="D870" s="5" t="s">
        <v>1586</v>
      </c>
      <c r="E870" s="5" t="s">
        <v>40</v>
      </c>
      <c r="F870" s="5" t="s">
        <v>52</v>
      </c>
      <c r="G870" s="5" t="s">
        <v>53</v>
      </c>
      <c r="H870" s="4"/>
      <c r="I870" s="4"/>
      <c r="J870" s="6"/>
      <c r="K870" s="6"/>
      <c r="L870" s="6"/>
      <c r="M870" s="4"/>
      <c r="N870" s="4"/>
      <c r="O870" s="4"/>
      <c r="P870" s="6"/>
      <c r="Q870" s="6"/>
      <c r="R870" s="6"/>
      <c r="S870" s="6"/>
      <c r="T870" s="4"/>
      <c r="U870" s="6"/>
      <c r="V870" s="6"/>
      <c r="W870" s="6"/>
      <c r="X870" s="6"/>
      <c r="Y870" s="4"/>
      <c r="Z870" s="6"/>
      <c r="AA870" s="4"/>
      <c r="AB870" s="4"/>
      <c r="AC870" s="4"/>
      <c r="AD870" s="6"/>
      <c r="AE870" s="4"/>
      <c r="AF870" s="4"/>
      <c r="AG870" s="4"/>
      <c r="AH870" s="4">
        <v>17600000000</v>
      </c>
    </row>
    <row r="871" spans="1:34" x14ac:dyDescent="0.25">
      <c r="A871" s="4">
        <v>870</v>
      </c>
      <c r="B871" s="5" t="s">
        <v>1865</v>
      </c>
      <c r="C871" s="5" t="s">
        <v>1866</v>
      </c>
      <c r="D871" s="5" t="s">
        <v>1586</v>
      </c>
      <c r="E871" s="5" t="s">
        <v>40</v>
      </c>
      <c r="F871" s="5" t="s">
        <v>41</v>
      </c>
      <c r="G871" s="5" t="s">
        <v>519</v>
      </c>
      <c r="H871" s="4"/>
      <c r="I871" s="4"/>
      <c r="J871" s="6"/>
      <c r="K871" s="6"/>
      <c r="L871" s="6"/>
      <c r="M871" s="4"/>
      <c r="N871" s="4"/>
      <c r="O871" s="4"/>
      <c r="P871" s="6"/>
      <c r="Q871" s="6"/>
      <c r="R871" s="6"/>
      <c r="S871" s="6"/>
      <c r="T871" s="4"/>
      <c r="U871" s="6"/>
      <c r="V871" s="6"/>
      <c r="W871" s="6"/>
      <c r="X871" s="6"/>
      <c r="Y871" s="4"/>
      <c r="Z871" s="6"/>
      <c r="AA871" s="4"/>
      <c r="AB871" s="4"/>
      <c r="AC871" s="4"/>
      <c r="AD871" s="6"/>
      <c r="AE871" s="4"/>
      <c r="AF871" s="4"/>
      <c r="AG871" s="4"/>
      <c r="AH871" s="4">
        <v>11174108400</v>
      </c>
    </row>
    <row r="872" spans="1:34" x14ac:dyDescent="0.25">
      <c r="A872" s="4">
        <v>871</v>
      </c>
      <c r="B872" s="5" t="s">
        <v>1867</v>
      </c>
      <c r="C872" s="5" t="s">
        <v>1868</v>
      </c>
      <c r="D872" s="5" t="s">
        <v>1586</v>
      </c>
      <c r="E872" s="5" t="s">
        <v>29</v>
      </c>
      <c r="F872" s="5" t="s">
        <v>30</v>
      </c>
      <c r="G872" s="5" t="s">
        <v>83</v>
      </c>
      <c r="H872" s="4"/>
      <c r="I872" s="4"/>
      <c r="J872" s="6"/>
      <c r="K872" s="6"/>
      <c r="L872" s="6"/>
      <c r="M872" s="4"/>
      <c r="N872" s="4"/>
      <c r="O872" s="4"/>
      <c r="P872" s="6"/>
      <c r="Q872" s="6"/>
      <c r="R872" s="6"/>
      <c r="S872" s="6"/>
      <c r="T872" s="4"/>
      <c r="U872" s="6"/>
      <c r="V872" s="6"/>
      <c r="W872" s="6"/>
      <c r="X872" s="6"/>
      <c r="Y872" s="4"/>
      <c r="Z872" s="6"/>
      <c r="AA872" s="4"/>
      <c r="AB872" s="4"/>
      <c r="AC872" s="4"/>
      <c r="AD872" s="6"/>
      <c r="AE872" s="4"/>
      <c r="AF872" s="4"/>
      <c r="AG872" s="4"/>
      <c r="AH872" s="4">
        <v>1791569963400</v>
      </c>
    </row>
    <row r="873" spans="1:34" x14ac:dyDescent="0.25">
      <c r="A873" s="4">
        <v>872</v>
      </c>
      <c r="B873" s="5" t="s">
        <v>1869</v>
      </c>
      <c r="C873" s="5" t="s">
        <v>1870</v>
      </c>
      <c r="D873" s="5" t="s">
        <v>1586</v>
      </c>
      <c r="E873" s="5" t="s">
        <v>29</v>
      </c>
      <c r="F873" s="5" t="s">
        <v>30</v>
      </c>
      <c r="G873" s="5" t="s">
        <v>83</v>
      </c>
      <c r="H873" s="4"/>
      <c r="I873" s="4"/>
      <c r="J873" s="6"/>
      <c r="K873" s="6"/>
      <c r="L873" s="6"/>
      <c r="M873" s="4"/>
      <c r="N873" s="4"/>
      <c r="O873" s="4"/>
      <c r="P873" s="6"/>
      <c r="Q873" s="6"/>
      <c r="R873" s="6"/>
      <c r="S873" s="6"/>
      <c r="T873" s="4"/>
      <c r="U873" s="6"/>
      <c r="V873" s="6"/>
      <c r="W873" s="6"/>
      <c r="X873" s="6"/>
      <c r="Y873" s="4"/>
      <c r="Z873" s="6"/>
      <c r="AA873" s="4"/>
      <c r="AB873" s="4"/>
      <c r="AC873" s="4"/>
      <c r="AD873" s="6"/>
      <c r="AE873" s="4"/>
      <c r="AF873" s="4"/>
      <c r="AG873" s="4"/>
      <c r="AH873" s="4">
        <v>319924800000</v>
      </c>
    </row>
    <row r="874" spans="1:34" x14ac:dyDescent="0.25">
      <c r="A874" s="4">
        <v>873</v>
      </c>
      <c r="B874" s="5" t="s">
        <v>1871</v>
      </c>
      <c r="C874" s="5" t="s">
        <v>1872</v>
      </c>
      <c r="D874" s="5" t="s">
        <v>1586</v>
      </c>
      <c r="E874" s="5" t="s">
        <v>40</v>
      </c>
      <c r="F874" s="5" t="s">
        <v>41</v>
      </c>
      <c r="G874" s="5" t="s">
        <v>93</v>
      </c>
      <c r="H874" s="4"/>
      <c r="I874" s="4"/>
      <c r="J874" s="6"/>
      <c r="K874" s="6"/>
      <c r="L874" s="6"/>
      <c r="M874" s="4"/>
      <c r="N874" s="4"/>
      <c r="O874" s="4"/>
      <c r="P874" s="6"/>
      <c r="Q874" s="6"/>
      <c r="R874" s="6"/>
      <c r="S874" s="6"/>
      <c r="T874" s="4"/>
      <c r="U874" s="6"/>
      <c r="V874" s="6"/>
      <c r="W874" s="6"/>
      <c r="X874" s="6"/>
      <c r="Y874" s="4"/>
      <c r="Z874" s="6"/>
      <c r="AA874" s="4"/>
      <c r="AB874" s="4"/>
      <c r="AC874" s="4"/>
      <c r="AD874" s="6"/>
      <c r="AE874" s="4"/>
      <c r="AF874" s="4"/>
      <c r="AG874" s="4"/>
      <c r="AH874" s="4">
        <v>259243320000</v>
      </c>
    </row>
    <row r="875" spans="1:34" x14ac:dyDescent="0.25">
      <c r="A875" s="4">
        <v>874</v>
      </c>
      <c r="B875" s="5" t="s">
        <v>1873</v>
      </c>
      <c r="C875" s="5" t="s">
        <v>1874</v>
      </c>
      <c r="D875" s="5" t="s">
        <v>1586</v>
      </c>
      <c r="E875" s="5" t="s">
        <v>185</v>
      </c>
      <c r="F875" s="5" t="s">
        <v>185</v>
      </c>
      <c r="G875" s="5" t="s">
        <v>332</v>
      </c>
      <c r="H875" s="4"/>
      <c r="I875" s="4"/>
      <c r="J875" s="6"/>
      <c r="K875" s="6"/>
      <c r="L875" s="6"/>
      <c r="M875" s="4"/>
      <c r="N875" s="4"/>
      <c r="O875" s="4"/>
      <c r="P875" s="6"/>
      <c r="Q875" s="6"/>
      <c r="R875" s="6"/>
      <c r="S875" s="6"/>
      <c r="T875" s="4"/>
      <c r="U875" s="6"/>
      <c r="V875" s="6"/>
      <c r="W875" s="6"/>
      <c r="X875" s="6"/>
      <c r="Y875" s="4"/>
      <c r="Z875" s="6"/>
      <c r="AA875" s="4"/>
      <c r="AB875" s="4"/>
      <c r="AC875" s="4"/>
      <c r="AD875" s="6"/>
      <c r="AE875" s="4"/>
      <c r="AF875" s="4"/>
      <c r="AG875" s="4"/>
      <c r="AH875" s="4">
        <v>80783358000</v>
      </c>
    </row>
    <row r="876" spans="1:34" x14ac:dyDescent="0.25">
      <c r="A876" s="4">
        <v>875</v>
      </c>
      <c r="B876" s="5" t="s">
        <v>1875</v>
      </c>
      <c r="C876" s="5" t="s">
        <v>1876</v>
      </c>
      <c r="D876" s="5" t="s">
        <v>1586</v>
      </c>
      <c r="E876" s="5" t="s">
        <v>98</v>
      </c>
      <c r="F876" s="5" t="s">
        <v>99</v>
      </c>
      <c r="G876" s="5" t="s">
        <v>155</v>
      </c>
      <c r="H876" s="4">
        <v>42492423291</v>
      </c>
      <c r="I876" s="4">
        <v>83154684503</v>
      </c>
      <c r="J876" s="6">
        <v>6.0100000000000001E-2</v>
      </c>
      <c r="K876" s="6">
        <v>6.9500000000000006E-2</v>
      </c>
      <c r="L876" s="6">
        <v>0.10059999999999999</v>
      </c>
      <c r="M876" s="4">
        <v>4674181949</v>
      </c>
      <c r="N876" s="4">
        <v>10702016517</v>
      </c>
      <c r="O876" s="4"/>
      <c r="P876" s="6">
        <v>-0.2157</v>
      </c>
      <c r="Q876" s="6">
        <v>-6.7100000000000007E-2</v>
      </c>
      <c r="R876" s="6">
        <v>0.1739</v>
      </c>
      <c r="S876" s="6">
        <v>-0.22459999999999999</v>
      </c>
      <c r="T876" s="4"/>
      <c r="U876" s="6">
        <v>-0.47599999999999998</v>
      </c>
      <c r="V876" s="6">
        <v>-0.48130000000000001</v>
      </c>
      <c r="W876" s="6">
        <v>-0.48399999999999999</v>
      </c>
      <c r="X876" s="6">
        <v>7.4499999999999997E-2</v>
      </c>
      <c r="Y876" s="4"/>
      <c r="Z876" s="6">
        <v>4.4999999999999998E-2</v>
      </c>
      <c r="AA876" s="4"/>
      <c r="AB876" s="4"/>
      <c r="AC876" s="4"/>
      <c r="AD876" s="6">
        <v>0</v>
      </c>
      <c r="AE876" s="4"/>
      <c r="AF876" s="4"/>
      <c r="AG876" s="4"/>
      <c r="AH876" s="4">
        <v>201953700000</v>
      </c>
    </row>
    <row r="877" spans="1:34" x14ac:dyDescent="0.25">
      <c r="A877" s="4">
        <v>876</v>
      </c>
      <c r="B877" s="5" t="s">
        <v>1877</v>
      </c>
      <c r="C877" s="5" t="s">
        <v>1878</v>
      </c>
      <c r="D877" s="5" t="s">
        <v>1586</v>
      </c>
      <c r="E877" s="5" t="s">
        <v>29</v>
      </c>
      <c r="F877" s="5" t="s">
        <v>30</v>
      </c>
      <c r="G877" s="5" t="s">
        <v>31</v>
      </c>
      <c r="H877" s="4"/>
      <c r="I877" s="4"/>
      <c r="J877" s="6"/>
      <c r="K877" s="6"/>
      <c r="L877" s="6"/>
      <c r="M877" s="4"/>
      <c r="N877" s="4"/>
      <c r="O877" s="4"/>
      <c r="P877" s="6"/>
      <c r="Q877" s="6"/>
      <c r="R877" s="6"/>
      <c r="S877" s="6"/>
      <c r="T877" s="4"/>
      <c r="U877" s="6"/>
      <c r="V877" s="6"/>
      <c r="W877" s="6"/>
      <c r="X877" s="6"/>
      <c r="Y877" s="4"/>
      <c r="Z877" s="6"/>
      <c r="AA877" s="4"/>
      <c r="AB877" s="4"/>
      <c r="AC877" s="4"/>
      <c r="AD877" s="6"/>
      <c r="AE877" s="4"/>
      <c r="AF877" s="4"/>
      <c r="AG877" s="4"/>
      <c r="AH877" s="4">
        <v>149942864500</v>
      </c>
    </row>
    <row r="878" spans="1:34" x14ac:dyDescent="0.25">
      <c r="A878" s="4">
        <v>877</v>
      </c>
      <c r="B878" s="5" t="s">
        <v>1879</v>
      </c>
      <c r="C878" s="5" t="s">
        <v>1880</v>
      </c>
      <c r="D878" s="5" t="s">
        <v>1586</v>
      </c>
      <c r="E878" s="5" t="s">
        <v>234</v>
      </c>
      <c r="F878" s="5" t="s">
        <v>235</v>
      </c>
      <c r="G878" s="5" t="s">
        <v>236</v>
      </c>
      <c r="H878" s="4"/>
      <c r="I878" s="4"/>
      <c r="J878" s="6"/>
      <c r="K878" s="6"/>
      <c r="L878" s="6"/>
      <c r="M878" s="4"/>
      <c r="N878" s="4"/>
      <c r="O878" s="4"/>
      <c r="P878" s="6"/>
      <c r="Q878" s="6"/>
      <c r="R878" s="6"/>
      <c r="S878" s="6"/>
      <c r="T878" s="4"/>
      <c r="U878" s="6"/>
      <c r="V878" s="6"/>
      <c r="W878" s="6"/>
      <c r="X878" s="6"/>
      <c r="Y878" s="4"/>
      <c r="Z878" s="6"/>
      <c r="AA878" s="4"/>
      <c r="AB878" s="4"/>
      <c r="AC878" s="4"/>
      <c r="AD878" s="6"/>
      <c r="AE878" s="4"/>
      <c r="AF878" s="4"/>
      <c r="AG878" s="4"/>
      <c r="AH878" s="4">
        <v>336804500025</v>
      </c>
    </row>
    <row r="879" spans="1:34" x14ac:dyDescent="0.25">
      <c r="A879" s="4">
        <v>878</v>
      </c>
      <c r="B879" s="5" t="s">
        <v>1881</v>
      </c>
      <c r="C879" s="5" t="s">
        <v>1882</v>
      </c>
      <c r="D879" s="5" t="s">
        <v>1586</v>
      </c>
      <c r="E879" s="5" t="s">
        <v>40</v>
      </c>
      <c r="F879" s="5" t="s">
        <v>52</v>
      </c>
      <c r="G879" s="5" t="s">
        <v>110</v>
      </c>
      <c r="H879" s="4"/>
      <c r="I879" s="4"/>
      <c r="J879" s="6"/>
      <c r="K879" s="6"/>
      <c r="L879" s="6"/>
      <c r="M879" s="4"/>
      <c r="N879" s="4"/>
      <c r="O879" s="4"/>
      <c r="P879" s="6"/>
      <c r="Q879" s="6"/>
      <c r="R879" s="6"/>
      <c r="S879" s="6"/>
      <c r="T879" s="4"/>
      <c r="U879" s="6"/>
      <c r="V879" s="6"/>
      <c r="W879" s="6"/>
      <c r="X879" s="6"/>
      <c r="Y879" s="4"/>
      <c r="Z879" s="6"/>
      <c r="AA879" s="4"/>
      <c r="AB879" s="4"/>
      <c r="AC879" s="4"/>
      <c r="AD879" s="6"/>
      <c r="AE879" s="4"/>
      <c r="AF879" s="4"/>
      <c r="AG879" s="4"/>
      <c r="AH879" s="4">
        <v>440000000000</v>
      </c>
    </row>
    <row r="880" spans="1:34" x14ac:dyDescent="0.25">
      <c r="A880" s="4">
        <v>879</v>
      </c>
      <c r="B880" s="5" t="s">
        <v>1883</v>
      </c>
      <c r="C880" s="5" t="s">
        <v>1884</v>
      </c>
      <c r="D880" s="5" t="s">
        <v>1586</v>
      </c>
      <c r="E880" s="5" t="s">
        <v>75</v>
      </c>
      <c r="F880" s="5" t="s">
        <v>76</v>
      </c>
      <c r="G880" s="5" t="s">
        <v>76</v>
      </c>
      <c r="H880" s="4"/>
      <c r="I880" s="4"/>
      <c r="J880" s="6"/>
      <c r="K880" s="6"/>
      <c r="L880" s="6"/>
      <c r="M880" s="4"/>
      <c r="N880" s="4"/>
      <c r="O880" s="4"/>
      <c r="P880" s="6"/>
      <c r="Q880" s="6"/>
      <c r="R880" s="6"/>
      <c r="S880" s="6"/>
      <c r="T880" s="4"/>
      <c r="U880" s="6"/>
      <c r="V880" s="6"/>
      <c r="W880" s="6"/>
      <c r="X880" s="6"/>
      <c r="Y880" s="4"/>
      <c r="Z880" s="6"/>
      <c r="AA880" s="4"/>
      <c r="AB880" s="4"/>
      <c r="AC880" s="4"/>
      <c r="AD880" s="6"/>
      <c r="AE880" s="4"/>
      <c r="AF880" s="4"/>
      <c r="AG880" s="4"/>
      <c r="AH880" s="4">
        <v>366129584800</v>
      </c>
    </row>
    <row r="881" spans="1:34" x14ac:dyDescent="0.25">
      <c r="A881" s="4">
        <v>880</v>
      </c>
      <c r="B881" s="5" t="s">
        <v>1885</v>
      </c>
      <c r="C881" s="5" t="s">
        <v>1886</v>
      </c>
      <c r="D881" s="5" t="s">
        <v>1586</v>
      </c>
      <c r="E881" s="5" t="s">
        <v>29</v>
      </c>
      <c r="F881" s="5" t="s">
        <v>30</v>
      </c>
      <c r="G881" s="5" t="s">
        <v>574</v>
      </c>
      <c r="H881" s="4"/>
      <c r="I881" s="4"/>
      <c r="J881" s="6"/>
      <c r="K881" s="6"/>
      <c r="L881" s="6"/>
      <c r="M881" s="4"/>
      <c r="N881" s="4"/>
      <c r="O881" s="4"/>
      <c r="P881" s="6"/>
      <c r="Q881" s="6"/>
      <c r="R881" s="6"/>
      <c r="S881" s="6"/>
      <c r="T881" s="4"/>
      <c r="U881" s="6"/>
      <c r="V881" s="6"/>
      <c r="W881" s="6"/>
      <c r="X881" s="6"/>
      <c r="Y881" s="4"/>
      <c r="Z881" s="6"/>
      <c r="AA881" s="4"/>
      <c r="AB881" s="4"/>
      <c r="AC881" s="4"/>
      <c r="AD881" s="6"/>
      <c r="AE881" s="4"/>
      <c r="AF881" s="4"/>
      <c r="AG881" s="4"/>
      <c r="AH881" s="4">
        <v>207926312000</v>
      </c>
    </row>
    <row r="882" spans="1:34" x14ac:dyDescent="0.25">
      <c r="A882" s="4">
        <v>881</v>
      </c>
      <c r="B882" s="5" t="s">
        <v>1887</v>
      </c>
      <c r="C882" s="5" t="s">
        <v>1888</v>
      </c>
      <c r="D882" s="5" t="s">
        <v>1586</v>
      </c>
      <c r="E882" s="5" t="s">
        <v>62</v>
      </c>
      <c r="F882" s="5" t="s">
        <v>71</v>
      </c>
      <c r="G882" s="5" t="s">
        <v>771</v>
      </c>
      <c r="H882" s="4"/>
      <c r="I882" s="4"/>
      <c r="J882" s="6"/>
      <c r="K882" s="6"/>
      <c r="L882" s="6"/>
      <c r="M882" s="4"/>
      <c r="N882" s="4"/>
      <c r="O882" s="4"/>
      <c r="P882" s="6"/>
      <c r="Q882" s="6"/>
      <c r="R882" s="6"/>
      <c r="S882" s="6"/>
      <c r="T882" s="4"/>
      <c r="U882" s="6"/>
      <c r="V882" s="6"/>
      <c r="W882" s="6"/>
      <c r="X882" s="6"/>
      <c r="Y882" s="4"/>
      <c r="Z882" s="6"/>
      <c r="AA882" s="4"/>
      <c r="AB882" s="4"/>
      <c r="AC882" s="4"/>
      <c r="AD882" s="6"/>
      <c r="AE882" s="4"/>
      <c r="AF882" s="4"/>
      <c r="AG882" s="4"/>
      <c r="AH882" s="4">
        <v>1320000000</v>
      </c>
    </row>
    <row r="883" spans="1:34" x14ac:dyDescent="0.25">
      <c r="A883" s="4">
        <v>882</v>
      </c>
      <c r="B883" s="5" t="s">
        <v>1889</v>
      </c>
      <c r="C883" s="5" t="s">
        <v>1890</v>
      </c>
      <c r="D883" s="5" t="s">
        <v>1586</v>
      </c>
      <c r="E883" s="5" t="s">
        <v>40</v>
      </c>
      <c r="F883" s="5" t="s">
        <v>41</v>
      </c>
      <c r="G883" s="5" t="s">
        <v>93</v>
      </c>
      <c r="H883" s="4"/>
      <c r="I883" s="4"/>
      <c r="J883" s="6"/>
      <c r="K883" s="6"/>
      <c r="L883" s="6"/>
      <c r="M883" s="4"/>
      <c r="N883" s="4"/>
      <c r="O883" s="4"/>
      <c r="P883" s="6"/>
      <c r="Q883" s="6"/>
      <c r="R883" s="6"/>
      <c r="S883" s="6"/>
      <c r="T883" s="4"/>
      <c r="U883" s="6"/>
      <c r="V883" s="6"/>
      <c r="W883" s="6"/>
      <c r="X883" s="6"/>
      <c r="Y883" s="4"/>
      <c r="Z883" s="6"/>
      <c r="AA883" s="4"/>
      <c r="AB883" s="4"/>
      <c r="AC883" s="4"/>
      <c r="AD883" s="6"/>
      <c r="AE883" s="4"/>
      <c r="AF883" s="4"/>
      <c r="AG883" s="4"/>
      <c r="AH883" s="4">
        <v>215379500000</v>
      </c>
    </row>
    <row r="884" spans="1:34" x14ac:dyDescent="0.25">
      <c r="A884" s="4">
        <v>883</v>
      </c>
      <c r="B884" s="5" t="s">
        <v>1891</v>
      </c>
      <c r="C884" s="5" t="s">
        <v>1892</v>
      </c>
      <c r="D884" s="5" t="s">
        <v>1586</v>
      </c>
      <c r="E884" s="5" t="s">
        <v>40</v>
      </c>
      <c r="F884" s="5" t="s">
        <v>41</v>
      </c>
      <c r="G884" s="5" t="s">
        <v>93</v>
      </c>
      <c r="H884" s="4"/>
      <c r="I884" s="4"/>
      <c r="J884" s="6"/>
      <c r="K884" s="6"/>
      <c r="L884" s="6"/>
      <c r="M884" s="4"/>
      <c r="N884" s="4"/>
      <c r="O884" s="4"/>
      <c r="P884" s="6"/>
      <c r="Q884" s="6"/>
      <c r="R884" s="6"/>
      <c r="S884" s="6"/>
      <c r="T884" s="4"/>
      <c r="U884" s="6"/>
      <c r="V884" s="6"/>
      <c r="W884" s="6"/>
      <c r="X884" s="6"/>
      <c r="Y884" s="4"/>
      <c r="Z884" s="6"/>
      <c r="AA884" s="4"/>
      <c r="AB884" s="4"/>
      <c r="AC884" s="4"/>
      <c r="AD884" s="6"/>
      <c r="AE884" s="4"/>
      <c r="AF884" s="4"/>
      <c r="AG884" s="4"/>
      <c r="AH884" s="4">
        <v>2241591488448</v>
      </c>
    </row>
    <row r="885" spans="1:34" x14ac:dyDescent="0.25">
      <c r="A885" s="4">
        <v>884</v>
      </c>
      <c r="B885" s="5" t="s">
        <v>1893</v>
      </c>
      <c r="C885" s="5" t="s">
        <v>1894</v>
      </c>
      <c r="D885" s="5" t="s">
        <v>1586</v>
      </c>
      <c r="E885" s="5" t="s">
        <v>40</v>
      </c>
      <c r="F885" s="5" t="s">
        <v>52</v>
      </c>
      <c r="G885" s="5" t="s">
        <v>53</v>
      </c>
      <c r="H885" s="4"/>
      <c r="I885" s="4"/>
      <c r="J885" s="6"/>
      <c r="K885" s="6"/>
      <c r="L885" s="6"/>
      <c r="M885" s="4"/>
      <c r="N885" s="4"/>
      <c r="O885" s="4"/>
      <c r="P885" s="6"/>
      <c r="Q885" s="6"/>
      <c r="R885" s="6"/>
      <c r="S885" s="6"/>
      <c r="T885" s="4"/>
      <c r="U885" s="6"/>
      <c r="V885" s="6"/>
      <c r="W885" s="6"/>
      <c r="X885" s="6"/>
      <c r="Y885" s="4"/>
      <c r="Z885" s="6"/>
      <c r="AA885" s="4"/>
      <c r="AB885" s="4"/>
      <c r="AC885" s="4"/>
      <c r="AD885" s="6"/>
      <c r="AE885" s="4"/>
      <c r="AF885" s="4"/>
      <c r="AG885" s="4"/>
      <c r="AH885" s="4">
        <v>162500000000</v>
      </c>
    </row>
    <row r="886" spans="1:34" x14ac:dyDescent="0.25">
      <c r="A886" s="4">
        <v>885</v>
      </c>
      <c r="B886" s="5" t="s">
        <v>1895</v>
      </c>
      <c r="C886" s="5" t="s">
        <v>1896</v>
      </c>
      <c r="D886" s="5" t="s">
        <v>1586</v>
      </c>
      <c r="E886" s="5" t="s">
        <v>75</v>
      </c>
      <c r="F886" s="5" t="s">
        <v>79</v>
      </c>
      <c r="G886" s="5" t="s">
        <v>80</v>
      </c>
      <c r="H886" s="4">
        <v>17410545719</v>
      </c>
      <c r="I886" s="4">
        <v>32944620185</v>
      </c>
      <c r="J886" s="6">
        <v>-0.42359999999999998</v>
      </c>
      <c r="K886" s="6">
        <v>-9.3600000000000003E-2</v>
      </c>
      <c r="L886" s="6">
        <v>0.2213</v>
      </c>
      <c r="M886" s="4">
        <v>-2987688602</v>
      </c>
      <c r="N886" s="4">
        <v>-11758162568</v>
      </c>
      <c r="O886" s="4"/>
      <c r="P886" s="6">
        <v>-1.3239000000000001</v>
      </c>
      <c r="Q886" s="6">
        <v>-4.0789</v>
      </c>
      <c r="R886" s="6">
        <v>-42.351300000000002</v>
      </c>
      <c r="S886" s="6">
        <v>0.6593</v>
      </c>
      <c r="T886" s="4"/>
      <c r="U886" s="6">
        <v>-0.72550000000000003</v>
      </c>
      <c r="V886" s="6">
        <v>-1.8164</v>
      </c>
      <c r="W886" s="6">
        <v>-1.9045000000000001</v>
      </c>
      <c r="X886" s="6">
        <v>0</v>
      </c>
      <c r="Y886" s="4"/>
      <c r="Z886" s="6">
        <v>0.1208</v>
      </c>
      <c r="AA886" s="4"/>
      <c r="AB886" s="4"/>
      <c r="AC886" s="4"/>
      <c r="AD886" s="6">
        <v>0</v>
      </c>
      <c r="AE886" s="4"/>
      <c r="AF886" s="4"/>
      <c r="AG886" s="4"/>
      <c r="AH886" s="4">
        <v>263760000000</v>
      </c>
    </row>
    <row r="887" spans="1:34" x14ac:dyDescent="0.25">
      <c r="A887" s="4">
        <v>886</v>
      </c>
      <c r="B887" s="5" t="s">
        <v>1897</v>
      </c>
      <c r="C887" s="5" t="s">
        <v>1898</v>
      </c>
      <c r="D887" s="5" t="s">
        <v>1586</v>
      </c>
      <c r="E887" s="5" t="s">
        <v>40</v>
      </c>
      <c r="F887" s="5" t="s">
        <v>52</v>
      </c>
      <c r="G887" s="5" t="s">
        <v>110</v>
      </c>
      <c r="H887" s="4"/>
      <c r="I887" s="4"/>
      <c r="J887" s="6"/>
      <c r="K887" s="6"/>
      <c r="L887" s="6"/>
      <c r="M887" s="4"/>
      <c r="N887" s="4"/>
      <c r="O887" s="4"/>
      <c r="P887" s="6"/>
      <c r="Q887" s="6"/>
      <c r="R887" s="6"/>
      <c r="S887" s="6"/>
      <c r="T887" s="4"/>
      <c r="U887" s="6"/>
      <c r="V887" s="6"/>
      <c r="W887" s="6"/>
      <c r="X887" s="6"/>
      <c r="Y887" s="4"/>
      <c r="Z887" s="6"/>
      <c r="AA887" s="4"/>
      <c r="AB887" s="4"/>
      <c r="AC887" s="4"/>
      <c r="AD887" s="6"/>
      <c r="AE887" s="4"/>
      <c r="AF887" s="4"/>
      <c r="AG887" s="4"/>
      <c r="AH887" s="4">
        <v>71278023600</v>
      </c>
    </row>
    <row r="888" spans="1:34" x14ac:dyDescent="0.25">
      <c r="A888" s="4">
        <v>887</v>
      </c>
      <c r="B888" s="5" t="s">
        <v>1899</v>
      </c>
      <c r="C888" s="5" t="s">
        <v>1900</v>
      </c>
      <c r="D888" s="5" t="s">
        <v>1586</v>
      </c>
      <c r="E888" s="5" t="s">
        <v>40</v>
      </c>
      <c r="F888" s="5" t="s">
        <v>52</v>
      </c>
      <c r="G888" s="5" t="s">
        <v>110</v>
      </c>
      <c r="H888" s="4"/>
      <c r="I888" s="4"/>
      <c r="J888" s="6"/>
      <c r="K888" s="6"/>
      <c r="L888" s="6"/>
      <c r="M888" s="4"/>
      <c r="N888" s="4"/>
      <c r="O888" s="4"/>
      <c r="P888" s="6"/>
      <c r="Q888" s="6"/>
      <c r="R888" s="6"/>
      <c r="S888" s="6"/>
      <c r="T888" s="4"/>
      <c r="U888" s="6"/>
      <c r="V888" s="6"/>
      <c r="W888" s="6"/>
      <c r="X888" s="6"/>
      <c r="Y888" s="4"/>
      <c r="Z888" s="6"/>
      <c r="AA888" s="4"/>
      <c r="AB888" s="4"/>
      <c r="AC888" s="4"/>
      <c r="AD888" s="6"/>
      <c r="AE888" s="4"/>
      <c r="AF888" s="4"/>
      <c r="AG888" s="4"/>
      <c r="AH888" s="4">
        <v>59225862300</v>
      </c>
    </row>
    <row r="889" spans="1:34" x14ac:dyDescent="0.25">
      <c r="A889" s="4">
        <v>888</v>
      </c>
      <c r="B889" s="5" t="s">
        <v>1901</v>
      </c>
      <c r="C889" s="5" t="s">
        <v>1902</v>
      </c>
      <c r="D889" s="5" t="s">
        <v>1586</v>
      </c>
      <c r="E889" s="5" t="s">
        <v>62</v>
      </c>
      <c r="F889" s="5" t="s">
        <v>226</v>
      </c>
      <c r="G889" s="5" t="s">
        <v>737</v>
      </c>
      <c r="H889" s="4"/>
      <c r="I889" s="4"/>
      <c r="J889" s="6"/>
      <c r="K889" s="6"/>
      <c r="L889" s="6"/>
      <c r="M889" s="4"/>
      <c r="N889" s="4"/>
      <c r="O889" s="4"/>
      <c r="P889" s="6"/>
      <c r="Q889" s="6"/>
      <c r="R889" s="6"/>
      <c r="S889" s="6"/>
      <c r="T889" s="4"/>
      <c r="U889" s="6"/>
      <c r="V889" s="6"/>
      <c r="W889" s="6"/>
      <c r="X889" s="6"/>
      <c r="Y889" s="4"/>
      <c r="Z889" s="6"/>
      <c r="AA889" s="4"/>
      <c r="AB889" s="4"/>
      <c r="AC889" s="4"/>
      <c r="AD889" s="6"/>
      <c r="AE889" s="4"/>
      <c r="AF889" s="4"/>
      <c r="AG889" s="4"/>
      <c r="AH889" s="4"/>
    </row>
    <row r="890" spans="1:34" x14ac:dyDescent="0.25">
      <c r="A890" s="4">
        <v>889</v>
      </c>
      <c r="B890" s="5" t="s">
        <v>1903</v>
      </c>
      <c r="C890" s="5" t="s">
        <v>1904</v>
      </c>
      <c r="D890" s="5" t="s">
        <v>1586</v>
      </c>
      <c r="E890" s="5" t="s">
        <v>98</v>
      </c>
      <c r="F890" s="5" t="s">
        <v>99</v>
      </c>
      <c r="G890" s="5" t="s">
        <v>155</v>
      </c>
      <c r="H890" s="4"/>
      <c r="I890" s="4"/>
      <c r="J890" s="6"/>
      <c r="K890" s="6"/>
      <c r="L890" s="6"/>
      <c r="M890" s="4"/>
      <c r="N890" s="4"/>
      <c r="O890" s="4"/>
      <c r="P890" s="6"/>
      <c r="Q890" s="6"/>
      <c r="R890" s="6"/>
      <c r="S890" s="6"/>
      <c r="T890" s="4"/>
      <c r="U890" s="6"/>
      <c r="V890" s="6"/>
      <c r="W890" s="6"/>
      <c r="X890" s="6"/>
      <c r="Y890" s="4"/>
      <c r="Z890" s="6"/>
      <c r="AA890" s="4"/>
      <c r="AB890" s="4"/>
      <c r="AC890" s="4"/>
      <c r="AD890" s="6"/>
      <c r="AE890" s="4"/>
      <c r="AF890" s="4"/>
      <c r="AG890" s="4"/>
      <c r="AH890" s="4">
        <v>700000000000</v>
      </c>
    </row>
    <row r="891" spans="1:34" x14ac:dyDescent="0.25">
      <c r="A891" s="4">
        <v>890</v>
      </c>
      <c r="B891" s="5" t="s">
        <v>1905</v>
      </c>
      <c r="C891" s="5" t="s">
        <v>1906</v>
      </c>
      <c r="D891" s="5" t="s">
        <v>1586</v>
      </c>
      <c r="E891" s="5" t="s">
        <v>40</v>
      </c>
      <c r="F891" s="5" t="s">
        <v>52</v>
      </c>
      <c r="G891" s="5" t="s">
        <v>110</v>
      </c>
      <c r="H891" s="4"/>
      <c r="I891" s="4"/>
      <c r="J891" s="6"/>
      <c r="K891" s="6"/>
      <c r="L891" s="6"/>
      <c r="M891" s="4"/>
      <c r="N891" s="4"/>
      <c r="O891" s="4"/>
      <c r="P891" s="6"/>
      <c r="Q891" s="6"/>
      <c r="R891" s="6"/>
      <c r="S891" s="6"/>
      <c r="T891" s="4"/>
      <c r="U891" s="6"/>
      <c r="V891" s="6"/>
      <c r="W891" s="6"/>
      <c r="X891" s="6"/>
      <c r="Y891" s="4"/>
      <c r="Z891" s="6"/>
      <c r="AA891" s="4"/>
      <c r="AB891" s="4"/>
      <c r="AC891" s="4"/>
      <c r="AD891" s="6"/>
      <c r="AE891" s="4"/>
      <c r="AF891" s="4"/>
      <c r="AG891" s="4"/>
      <c r="AH891" s="4">
        <v>480345844160</v>
      </c>
    </row>
    <row r="892" spans="1:34" x14ac:dyDescent="0.25">
      <c r="A892" s="4">
        <v>891</v>
      </c>
      <c r="B892" s="5" t="s">
        <v>1907</v>
      </c>
      <c r="C892" s="5" t="s">
        <v>1908</v>
      </c>
      <c r="D892" s="5" t="s">
        <v>1586</v>
      </c>
      <c r="E892" s="5" t="s">
        <v>234</v>
      </c>
      <c r="F892" s="5" t="s">
        <v>235</v>
      </c>
      <c r="G892" s="5" t="s">
        <v>498</v>
      </c>
      <c r="H892" s="4"/>
      <c r="I892" s="4"/>
      <c r="J892" s="6"/>
      <c r="K892" s="6"/>
      <c r="L892" s="6"/>
      <c r="M892" s="4"/>
      <c r="N892" s="4"/>
      <c r="O892" s="4"/>
      <c r="P892" s="6"/>
      <c r="Q892" s="6"/>
      <c r="R892" s="6"/>
      <c r="S892" s="6"/>
      <c r="T892" s="4"/>
      <c r="U892" s="6"/>
      <c r="V892" s="6"/>
      <c r="W892" s="6"/>
      <c r="X892" s="6"/>
      <c r="Y892" s="4"/>
      <c r="Z892" s="6"/>
      <c r="AA892" s="4"/>
      <c r="AB892" s="4"/>
      <c r="AC892" s="4"/>
      <c r="AD892" s="6"/>
      <c r="AE892" s="4"/>
      <c r="AF892" s="4"/>
      <c r="AG892" s="4"/>
      <c r="AH892" s="4">
        <v>37748688561</v>
      </c>
    </row>
    <row r="893" spans="1:34" x14ac:dyDescent="0.25">
      <c r="A893" s="4">
        <v>892</v>
      </c>
      <c r="B893" s="5" t="s">
        <v>1909</v>
      </c>
      <c r="C893" s="5" t="s">
        <v>1910</v>
      </c>
      <c r="D893" s="5" t="s">
        <v>1586</v>
      </c>
      <c r="E893" s="5" t="s">
        <v>40</v>
      </c>
      <c r="F893" s="5" t="s">
        <v>52</v>
      </c>
      <c r="G893" s="5" t="s">
        <v>53</v>
      </c>
      <c r="H893" s="4"/>
      <c r="I893" s="4"/>
      <c r="J893" s="6"/>
      <c r="K893" s="6"/>
      <c r="L893" s="6"/>
      <c r="M893" s="4"/>
      <c r="N893" s="4"/>
      <c r="O893" s="4"/>
      <c r="P893" s="6"/>
      <c r="Q893" s="6"/>
      <c r="R893" s="6"/>
      <c r="S893" s="6"/>
      <c r="T893" s="4"/>
      <c r="U893" s="6"/>
      <c r="V893" s="6"/>
      <c r="W893" s="6"/>
      <c r="X893" s="6"/>
      <c r="Y893" s="4"/>
      <c r="Z893" s="6"/>
      <c r="AA893" s="4"/>
      <c r="AB893" s="4"/>
      <c r="AC893" s="4"/>
      <c r="AD893" s="6"/>
      <c r="AE893" s="4"/>
      <c r="AF893" s="4"/>
      <c r="AG893" s="4"/>
      <c r="AH893" s="4">
        <v>10855710000</v>
      </c>
    </row>
    <row r="894" spans="1:34" x14ac:dyDescent="0.25">
      <c r="A894" s="4">
        <v>893</v>
      </c>
      <c r="B894" s="5" t="s">
        <v>1911</v>
      </c>
      <c r="C894" s="5" t="s">
        <v>1912</v>
      </c>
      <c r="D894" s="5" t="s">
        <v>1586</v>
      </c>
      <c r="E894" s="5" t="s">
        <v>40</v>
      </c>
      <c r="F894" s="5" t="s">
        <v>52</v>
      </c>
      <c r="G894" s="5" t="s">
        <v>53</v>
      </c>
      <c r="H894" s="4"/>
      <c r="I894" s="4"/>
      <c r="J894" s="6"/>
      <c r="K894" s="6"/>
      <c r="L894" s="6"/>
      <c r="M894" s="4"/>
      <c r="N894" s="4"/>
      <c r="O894" s="4"/>
      <c r="P894" s="6"/>
      <c r="Q894" s="6"/>
      <c r="R894" s="6"/>
      <c r="S894" s="6"/>
      <c r="T894" s="4"/>
      <c r="U894" s="6"/>
      <c r="V894" s="6"/>
      <c r="W894" s="6"/>
      <c r="X894" s="6"/>
      <c r="Y894" s="4"/>
      <c r="Z894" s="6"/>
      <c r="AA894" s="4"/>
      <c r="AB894" s="4"/>
      <c r="AC894" s="4"/>
      <c r="AD894" s="6"/>
      <c r="AE894" s="4"/>
      <c r="AF894" s="4"/>
      <c r="AG894" s="4"/>
      <c r="AH894" s="4">
        <v>6331336200</v>
      </c>
    </row>
    <row r="895" spans="1:34" x14ac:dyDescent="0.25">
      <c r="A895" s="4">
        <v>894</v>
      </c>
      <c r="B895" s="5" t="s">
        <v>1913</v>
      </c>
      <c r="C895" s="5" t="s">
        <v>1914</v>
      </c>
      <c r="D895" s="5" t="s">
        <v>1586</v>
      </c>
      <c r="E895" s="5" t="s">
        <v>24</v>
      </c>
      <c r="F895" s="5" t="s">
        <v>25</v>
      </c>
      <c r="G895" s="5" t="s">
        <v>26</v>
      </c>
      <c r="H895" s="4"/>
      <c r="I895" s="4"/>
      <c r="J895" s="6"/>
      <c r="K895" s="6"/>
      <c r="L895" s="6"/>
      <c r="M895" s="4"/>
      <c r="N895" s="4"/>
      <c r="O895" s="4"/>
      <c r="P895" s="6"/>
      <c r="Q895" s="6"/>
      <c r="R895" s="6"/>
      <c r="S895" s="6"/>
      <c r="T895" s="4"/>
      <c r="U895" s="6"/>
      <c r="V895" s="6"/>
      <c r="W895" s="6"/>
      <c r="X895" s="6"/>
      <c r="Y895" s="4"/>
      <c r="Z895" s="6"/>
      <c r="AA895" s="4"/>
      <c r="AB895" s="4"/>
      <c r="AC895" s="4"/>
      <c r="AD895" s="6"/>
      <c r="AE895" s="4"/>
      <c r="AF895" s="4"/>
      <c r="AG895" s="4"/>
      <c r="AH895" s="4">
        <v>84436979200</v>
      </c>
    </row>
    <row r="896" spans="1:34" x14ac:dyDescent="0.25">
      <c r="A896" s="4">
        <v>895</v>
      </c>
      <c r="B896" s="5" t="s">
        <v>1915</v>
      </c>
      <c r="C896" s="5" t="s">
        <v>1916</v>
      </c>
      <c r="D896" s="5" t="s">
        <v>1586</v>
      </c>
      <c r="E896" s="5" t="s">
        <v>234</v>
      </c>
      <c r="F896" s="5" t="s">
        <v>235</v>
      </c>
      <c r="G896" s="5" t="s">
        <v>236</v>
      </c>
      <c r="H896" s="4"/>
      <c r="I896" s="4"/>
      <c r="J896" s="6"/>
      <c r="K896" s="6"/>
      <c r="L896" s="6"/>
      <c r="M896" s="4"/>
      <c r="N896" s="4"/>
      <c r="O896" s="4"/>
      <c r="P896" s="6"/>
      <c r="Q896" s="6"/>
      <c r="R896" s="6"/>
      <c r="S896" s="6"/>
      <c r="T896" s="4"/>
      <c r="U896" s="6"/>
      <c r="V896" s="6"/>
      <c r="W896" s="6"/>
      <c r="X896" s="6"/>
      <c r="Y896" s="4"/>
      <c r="Z896" s="6"/>
      <c r="AA896" s="4"/>
      <c r="AB896" s="4"/>
      <c r="AC896" s="4"/>
      <c r="AD896" s="6"/>
      <c r="AE896" s="4"/>
      <c r="AF896" s="4"/>
      <c r="AG896" s="4"/>
      <c r="AH896" s="4">
        <v>686766400000</v>
      </c>
    </row>
    <row r="897" spans="1:34" x14ac:dyDescent="0.25">
      <c r="A897" s="4">
        <v>896</v>
      </c>
      <c r="B897" s="5" t="s">
        <v>1917</v>
      </c>
      <c r="C897" s="5" t="s">
        <v>1918</v>
      </c>
      <c r="D897" s="5" t="s">
        <v>1586</v>
      </c>
      <c r="E897" s="5" t="s">
        <v>29</v>
      </c>
      <c r="F897" s="5" t="s">
        <v>203</v>
      </c>
      <c r="G897" s="5" t="s">
        <v>211</v>
      </c>
      <c r="H897" s="4"/>
      <c r="I897" s="4"/>
      <c r="J897" s="6"/>
      <c r="K897" s="6"/>
      <c r="L897" s="6"/>
      <c r="M897" s="4"/>
      <c r="N897" s="4"/>
      <c r="O897" s="4"/>
      <c r="P897" s="6"/>
      <c r="Q897" s="6"/>
      <c r="R897" s="6"/>
      <c r="S897" s="6"/>
      <c r="T897" s="4"/>
      <c r="U897" s="6"/>
      <c r="V897" s="6"/>
      <c r="W897" s="6"/>
      <c r="X897" s="6"/>
      <c r="Y897" s="4"/>
      <c r="Z897" s="6"/>
      <c r="AA897" s="4"/>
      <c r="AB897" s="4"/>
      <c r="AC897" s="4"/>
      <c r="AD897" s="6"/>
      <c r="AE897" s="4"/>
      <c r="AF897" s="4"/>
      <c r="AG897" s="4"/>
      <c r="AH897" s="4">
        <v>46200000000</v>
      </c>
    </row>
    <row r="898" spans="1:34" x14ac:dyDescent="0.25">
      <c r="A898" s="4">
        <v>897</v>
      </c>
      <c r="B898" s="5" t="s">
        <v>1919</v>
      </c>
      <c r="C898" s="5" t="s">
        <v>1920</v>
      </c>
      <c r="D898" s="5" t="s">
        <v>1586</v>
      </c>
      <c r="E898" s="5" t="s">
        <v>234</v>
      </c>
      <c r="F898" s="5" t="s">
        <v>235</v>
      </c>
      <c r="G898" s="5" t="s">
        <v>236</v>
      </c>
      <c r="H898" s="4"/>
      <c r="I898" s="4"/>
      <c r="J898" s="6"/>
      <c r="K898" s="6"/>
      <c r="L898" s="6"/>
      <c r="M898" s="4"/>
      <c r="N898" s="4"/>
      <c r="O898" s="4"/>
      <c r="P898" s="6"/>
      <c r="Q898" s="6"/>
      <c r="R898" s="6"/>
      <c r="S898" s="6"/>
      <c r="T898" s="4"/>
      <c r="U898" s="6"/>
      <c r="V898" s="6"/>
      <c r="W898" s="6"/>
      <c r="X898" s="6"/>
      <c r="Y898" s="4"/>
      <c r="Z898" s="6"/>
      <c r="AA898" s="4"/>
      <c r="AB898" s="4"/>
      <c r="AC898" s="4"/>
      <c r="AD898" s="6"/>
      <c r="AE898" s="4"/>
      <c r="AF898" s="4"/>
      <c r="AG898" s="4"/>
      <c r="AH898" s="4">
        <v>56500094400</v>
      </c>
    </row>
    <row r="899" spans="1:34" x14ac:dyDescent="0.25">
      <c r="A899" s="4">
        <v>898</v>
      </c>
      <c r="B899" s="5" t="s">
        <v>1921</v>
      </c>
      <c r="C899" s="5" t="s">
        <v>1922</v>
      </c>
      <c r="D899" s="5" t="s">
        <v>1586</v>
      </c>
      <c r="E899" s="5" t="s">
        <v>40</v>
      </c>
      <c r="F899" s="5" t="s">
        <v>52</v>
      </c>
      <c r="G899" s="5" t="s">
        <v>110</v>
      </c>
      <c r="H899" s="4"/>
      <c r="I899" s="4"/>
      <c r="J899" s="6"/>
      <c r="K899" s="6"/>
      <c r="L899" s="6"/>
      <c r="M899" s="4"/>
      <c r="N899" s="4"/>
      <c r="O899" s="4"/>
      <c r="P899" s="6"/>
      <c r="Q899" s="6"/>
      <c r="R899" s="6"/>
      <c r="S899" s="6"/>
      <c r="T899" s="4"/>
      <c r="U899" s="6"/>
      <c r="V899" s="6"/>
      <c r="W899" s="6"/>
      <c r="X899" s="6"/>
      <c r="Y899" s="4"/>
      <c r="Z899" s="6"/>
      <c r="AA899" s="4"/>
      <c r="AB899" s="4"/>
      <c r="AC899" s="4"/>
      <c r="AD899" s="6"/>
      <c r="AE899" s="4"/>
      <c r="AF899" s="4"/>
      <c r="AG899" s="4"/>
      <c r="AH899" s="4">
        <v>32629454748</v>
      </c>
    </row>
    <row r="900" spans="1:34" x14ac:dyDescent="0.25">
      <c r="A900" s="4">
        <v>899</v>
      </c>
      <c r="B900" s="5" t="s">
        <v>1923</v>
      </c>
      <c r="C900" s="5" t="s">
        <v>1924</v>
      </c>
      <c r="D900" s="5" t="s">
        <v>1586</v>
      </c>
      <c r="E900" s="5" t="s">
        <v>40</v>
      </c>
      <c r="F900" s="5" t="s">
        <v>52</v>
      </c>
      <c r="G900" s="5" t="s">
        <v>110</v>
      </c>
      <c r="H900" s="4"/>
      <c r="I900" s="4"/>
      <c r="J900" s="6"/>
      <c r="K900" s="6"/>
      <c r="L900" s="6"/>
      <c r="M900" s="4"/>
      <c r="N900" s="4"/>
      <c r="O900" s="4"/>
      <c r="P900" s="6"/>
      <c r="Q900" s="6"/>
      <c r="R900" s="6"/>
      <c r="S900" s="6"/>
      <c r="T900" s="4"/>
      <c r="U900" s="6"/>
      <c r="V900" s="6"/>
      <c r="W900" s="6"/>
      <c r="X900" s="6"/>
      <c r="Y900" s="4"/>
      <c r="Z900" s="6"/>
      <c r="AA900" s="4"/>
      <c r="AB900" s="4"/>
      <c r="AC900" s="4"/>
      <c r="AD900" s="6"/>
      <c r="AE900" s="4"/>
      <c r="AF900" s="4"/>
      <c r="AG900" s="4"/>
      <c r="AH900" s="4">
        <v>1780760400000</v>
      </c>
    </row>
    <row r="901" spans="1:34" x14ac:dyDescent="0.25">
      <c r="A901" s="4">
        <v>900</v>
      </c>
      <c r="B901" s="5" t="s">
        <v>1925</v>
      </c>
      <c r="C901" s="5" t="s">
        <v>1926</v>
      </c>
      <c r="D901" s="5" t="s">
        <v>1586</v>
      </c>
      <c r="E901" s="5" t="s">
        <v>29</v>
      </c>
      <c r="F901" s="5" t="s">
        <v>36</v>
      </c>
      <c r="G901" s="5" t="s">
        <v>37</v>
      </c>
      <c r="H901" s="4"/>
      <c r="I901" s="4"/>
      <c r="J901" s="6"/>
      <c r="K901" s="6"/>
      <c r="L901" s="6"/>
      <c r="M901" s="4"/>
      <c r="N901" s="4"/>
      <c r="O901" s="4"/>
      <c r="P901" s="6"/>
      <c r="Q901" s="6"/>
      <c r="R901" s="6"/>
      <c r="S901" s="6"/>
      <c r="T901" s="4"/>
      <c r="U901" s="6"/>
      <c r="V901" s="6"/>
      <c r="W901" s="6"/>
      <c r="X901" s="6"/>
      <c r="Y901" s="4"/>
      <c r="Z901" s="6"/>
      <c r="AA901" s="4"/>
      <c r="AB901" s="4"/>
      <c r="AC901" s="4"/>
      <c r="AD901" s="6"/>
      <c r="AE901" s="4"/>
      <c r="AF901" s="4"/>
      <c r="AG901" s="4"/>
      <c r="AH901" s="4">
        <v>137182419600</v>
      </c>
    </row>
    <row r="902" spans="1:34" x14ac:dyDescent="0.25">
      <c r="A902" s="4">
        <v>901</v>
      </c>
      <c r="B902" s="5" t="s">
        <v>1927</v>
      </c>
      <c r="C902" s="5" t="s">
        <v>1928</v>
      </c>
      <c r="D902" s="5" t="s">
        <v>1586</v>
      </c>
      <c r="E902" s="5" t="s">
        <v>75</v>
      </c>
      <c r="F902" s="5" t="s">
        <v>76</v>
      </c>
      <c r="G902" s="5" t="s">
        <v>300</v>
      </c>
      <c r="H902" s="4"/>
      <c r="I902" s="4"/>
      <c r="J902" s="6"/>
      <c r="K902" s="6"/>
      <c r="L902" s="6"/>
      <c r="M902" s="4"/>
      <c r="N902" s="4"/>
      <c r="O902" s="4"/>
      <c r="P902" s="6"/>
      <c r="Q902" s="6"/>
      <c r="R902" s="6"/>
      <c r="S902" s="6"/>
      <c r="T902" s="4"/>
      <c r="U902" s="6"/>
      <c r="V902" s="6"/>
      <c r="W902" s="6"/>
      <c r="X902" s="6"/>
      <c r="Y902" s="4"/>
      <c r="Z902" s="6"/>
      <c r="AA902" s="4"/>
      <c r="AB902" s="4"/>
      <c r="AC902" s="4"/>
      <c r="AD902" s="6"/>
      <c r="AE902" s="4"/>
      <c r="AF902" s="4"/>
      <c r="AG902" s="4"/>
      <c r="AH902" s="4">
        <v>28800000000</v>
      </c>
    </row>
    <row r="903" spans="1:34" x14ac:dyDescent="0.25">
      <c r="A903" s="4">
        <v>902</v>
      </c>
      <c r="B903" s="5" t="s">
        <v>1929</v>
      </c>
      <c r="C903" s="5" t="s">
        <v>1930</v>
      </c>
      <c r="D903" s="5" t="s">
        <v>1586</v>
      </c>
      <c r="E903" s="5" t="s">
        <v>40</v>
      </c>
      <c r="F903" s="5" t="s">
        <v>52</v>
      </c>
      <c r="G903" s="5" t="s">
        <v>53</v>
      </c>
      <c r="H903" s="4"/>
      <c r="I903" s="4"/>
      <c r="J903" s="6"/>
      <c r="K903" s="6"/>
      <c r="L903" s="6"/>
      <c r="M903" s="4"/>
      <c r="N903" s="4"/>
      <c r="O903" s="4"/>
      <c r="P903" s="6"/>
      <c r="Q903" s="6"/>
      <c r="R903" s="6"/>
      <c r="S903" s="6"/>
      <c r="T903" s="4"/>
      <c r="U903" s="6"/>
      <c r="V903" s="6"/>
      <c r="W903" s="6"/>
      <c r="X903" s="6"/>
      <c r="Y903" s="4"/>
      <c r="Z903" s="6"/>
      <c r="AA903" s="4"/>
      <c r="AB903" s="4"/>
      <c r="AC903" s="4"/>
      <c r="AD903" s="6"/>
      <c r="AE903" s="4"/>
      <c r="AF903" s="4"/>
      <c r="AG903" s="4"/>
      <c r="AH903" s="4">
        <v>37700000000</v>
      </c>
    </row>
    <row r="904" spans="1:34" x14ac:dyDescent="0.25">
      <c r="A904" s="4">
        <v>903</v>
      </c>
      <c r="B904" s="5" t="s">
        <v>1931</v>
      </c>
      <c r="C904" s="5" t="s">
        <v>1932</v>
      </c>
      <c r="D904" s="5" t="s">
        <v>1586</v>
      </c>
      <c r="E904" s="5" t="s">
        <v>29</v>
      </c>
      <c r="F904" s="5" t="s">
        <v>36</v>
      </c>
      <c r="G904" s="5" t="s">
        <v>126</v>
      </c>
      <c r="H904" s="4"/>
      <c r="I904" s="4"/>
      <c r="J904" s="6"/>
      <c r="K904" s="6"/>
      <c r="L904" s="6"/>
      <c r="M904" s="4"/>
      <c r="N904" s="4"/>
      <c r="O904" s="4"/>
      <c r="P904" s="6"/>
      <c r="Q904" s="6"/>
      <c r="R904" s="6"/>
      <c r="S904" s="6"/>
      <c r="T904" s="4"/>
      <c r="U904" s="6"/>
      <c r="V904" s="6"/>
      <c r="W904" s="6"/>
      <c r="X904" s="6"/>
      <c r="Y904" s="4"/>
      <c r="Z904" s="6"/>
      <c r="AA904" s="4"/>
      <c r="AB904" s="4"/>
      <c r="AC904" s="4"/>
      <c r="AD904" s="6"/>
      <c r="AE904" s="4"/>
      <c r="AF904" s="4"/>
      <c r="AG904" s="4"/>
      <c r="AH904" s="4">
        <v>42216673100</v>
      </c>
    </row>
    <row r="905" spans="1:34" x14ac:dyDescent="0.25">
      <c r="A905" s="4">
        <v>904</v>
      </c>
      <c r="B905" s="5" t="s">
        <v>1933</v>
      </c>
      <c r="C905" s="5" t="s">
        <v>1934</v>
      </c>
      <c r="D905" s="5" t="s">
        <v>1586</v>
      </c>
      <c r="E905" s="5" t="s">
        <v>40</v>
      </c>
      <c r="F905" s="5" t="s">
        <v>52</v>
      </c>
      <c r="G905" s="5" t="s">
        <v>53</v>
      </c>
      <c r="H905" s="4">
        <v>167610901701</v>
      </c>
      <c r="I905" s="4">
        <v>298293844958</v>
      </c>
      <c r="J905" s="6">
        <v>0.99629999999999996</v>
      </c>
      <c r="K905" s="6"/>
      <c r="L905" s="6"/>
      <c r="M905" s="4">
        <v>-12690734232</v>
      </c>
      <c r="N905" s="4">
        <v>-30738646391</v>
      </c>
      <c r="O905" s="4"/>
      <c r="P905" s="6">
        <v>0.123</v>
      </c>
      <c r="Q905" s="6"/>
      <c r="R905" s="6"/>
      <c r="S905" s="6">
        <v>0.29680000000000001</v>
      </c>
      <c r="T905" s="4"/>
      <c r="U905" s="6"/>
      <c r="V905" s="6"/>
      <c r="W905" s="6"/>
      <c r="X905" s="6"/>
      <c r="Y905" s="4"/>
      <c r="Z905" s="6">
        <v>0.28260000000000002</v>
      </c>
      <c r="AA905" s="4"/>
      <c r="AB905" s="4"/>
      <c r="AC905" s="4"/>
      <c r="AD905" s="6"/>
      <c r="AE905" s="4"/>
      <c r="AF905" s="4"/>
      <c r="AG905" s="4"/>
      <c r="AH905" s="4">
        <v>13611823500</v>
      </c>
    </row>
    <row r="906" spans="1:34" x14ac:dyDescent="0.25">
      <c r="A906" s="4">
        <v>905</v>
      </c>
      <c r="B906" s="5" t="s">
        <v>1935</v>
      </c>
      <c r="C906" s="5" t="s">
        <v>1936</v>
      </c>
      <c r="D906" s="5" t="s">
        <v>1586</v>
      </c>
      <c r="E906" s="5" t="s">
        <v>75</v>
      </c>
      <c r="F906" s="5" t="s">
        <v>79</v>
      </c>
      <c r="G906" s="5" t="s">
        <v>1937</v>
      </c>
      <c r="H906" s="4"/>
      <c r="I906" s="4"/>
      <c r="J906" s="6"/>
      <c r="K906" s="6"/>
      <c r="L906" s="6"/>
      <c r="M906" s="4"/>
      <c r="N906" s="4"/>
      <c r="O906" s="4"/>
      <c r="P906" s="6"/>
      <c r="Q906" s="6"/>
      <c r="R906" s="6"/>
      <c r="S906" s="6"/>
      <c r="T906" s="4"/>
      <c r="U906" s="6"/>
      <c r="V906" s="6"/>
      <c r="W906" s="6"/>
      <c r="X906" s="6"/>
      <c r="Y906" s="4"/>
      <c r="Z906" s="6"/>
      <c r="AA906" s="4"/>
      <c r="AB906" s="4"/>
      <c r="AC906" s="4"/>
      <c r="AD906" s="6"/>
      <c r="AE906" s="4"/>
      <c r="AF906" s="4"/>
      <c r="AG906" s="4"/>
      <c r="AH906" s="4">
        <v>4056148590000</v>
      </c>
    </row>
    <row r="907" spans="1:34" x14ac:dyDescent="0.25">
      <c r="A907" s="4">
        <v>906</v>
      </c>
      <c r="B907" s="5" t="s">
        <v>1938</v>
      </c>
      <c r="C907" s="5" t="s">
        <v>1939</v>
      </c>
      <c r="D907" s="5" t="s">
        <v>1586</v>
      </c>
      <c r="E907" s="5" t="s">
        <v>40</v>
      </c>
      <c r="F907" s="5" t="s">
        <v>52</v>
      </c>
      <c r="G907" s="5" t="s">
        <v>53</v>
      </c>
      <c r="H907" s="4"/>
      <c r="I907" s="4"/>
      <c r="J907" s="6"/>
      <c r="K907" s="6"/>
      <c r="L907" s="6"/>
      <c r="M907" s="4"/>
      <c r="N907" s="4"/>
      <c r="O907" s="4"/>
      <c r="P907" s="6"/>
      <c r="Q907" s="6"/>
      <c r="R907" s="6"/>
      <c r="S907" s="6"/>
      <c r="T907" s="4"/>
      <c r="U907" s="6"/>
      <c r="V907" s="6"/>
      <c r="W907" s="6"/>
      <c r="X907" s="6"/>
      <c r="Y907" s="4"/>
      <c r="Z907" s="6"/>
      <c r="AA907" s="4"/>
      <c r="AB907" s="4"/>
      <c r="AC907" s="4"/>
      <c r="AD907" s="6"/>
      <c r="AE907" s="4"/>
      <c r="AF907" s="4"/>
      <c r="AG907" s="4"/>
      <c r="AH907" s="4">
        <v>122448000000</v>
      </c>
    </row>
    <row r="908" spans="1:34" x14ac:dyDescent="0.25">
      <c r="A908" s="4">
        <v>907</v>
      </c>
      <c r="B908" s="5" t="s">
        <v>1940</v>
      </c>
      <c r="C908" s="5" t="s">
        <v>1941</v>
      </c>
      <c r="D908" s="5" t="s">
        <v>1586</v>
      </c>
      <c r="E908" s="5" t="s">
        <v>98</v>
      </c>
      <c r="F908" s="5" t="s">
        <v>99</v>
      </c>
      <c r="G908" s="5" t="s">
        <v>100</v>
      </c>
      <c r="H908" s="4"/>
      <c r="I908" s="4"/>
      <c r="J908" s="6"/>
      <c r="K908" s="6"/>
      <c r="L908" s="6"/>
      <c r="M908" s="4"/>
      <c r="N908" s="4"/>
      <c r="O908" s="4"/>
      <c r="P908" s="6"/>
      <c r="Q908" s="6"/>
      <c r="R908" s="6"/>
      <c r="S908" s="6"/>
      <c r="T908" s="4"/>
      <c r="U908" s="6"/>
      <c r="V908" s="6"/>
      <c r="W908" s="6"/>
      <c r="X908" s="6"/>
      <c r="Y908" s="4"/>
      <c r="Z908" s="6"/>
      <c r="AA908" s="4"/>
      <c r="AB908" s="4"/>
      <c r="AC908" s="4"/>
      <c r="AD908" s="6"/>
      <c r="AE908" s="4"/>
      <c r="AF908" s="4"/>
      <c r="AG908" s="4"/>
      <c r="AH908" s="4">
        <v>72015577172</v>
      </c>
    </row>
    <row r="909" spans="1:34" x14ac:dyDescent="0.25">
      <c r="A909" s="4">
        <v>908</v>
      </c>
      <c r="B909" s="5" t="s">
        <v>1942</v>
      </c>
      <c r="C909" s="5" t="s">
        <v>1943</v>
      </c>
      <c r="D909" s="5" t="s">
        <v>1586</v>
      </c>
      <c r="E909" s="5" t="s">
        <v>40</v>
      </c>
      <c r="F909" s="5" t="s">
        <v>41</v>
      </c>
      <c r="G909" s="5" t="s">
        <v>93</v>
      </c>
      <c r="H909" s="4"/>
      <c r="I909" s="4"/>
      <c r="J909" s="6"/>
      <c r="K909" s="6"/>
      <c r="L909" s="6"/>
      <c r="M909" s="4"/>
      <c r="N909" s="4"/>
      <c r="O909" s="4"/>
      <c r="P909" s="6"/>
      <c r="Q909" s="6"/>
      <c r="R909" s="6"/>
      <c r="S909" s="6"/>
      <c r="T909" s="4"/>
      <c r="U909" s="6"/>
      <c r="V909" s="6"/>
      <c r="W909" s="6"/>
      <c r="X909" s="6"/>
      <c r="Y909" s="4"/>
      <c r="Z909" s="6"/>
      <c r="AA909" s="4"/>
      <c r="AB909" s="4"/>
      <c r="AC909" s="4"/>
      <c r="AD909" s="6"/>
      <c r="AE909" s="4"/>
      <c r="AF909" s="4"/>
      <c r="AG909" s="4"/>
      <c r="AH909" s="4">
        <v>17640000000</v>
      </c>
    </row>
    <row r="910" spans="1:34" x14ac:dyDescent="0.25">
      <c r="A910" s="4">
        <v>909</v>
      </c>
      <c r="B910" s="5" t="s">
        <v>1944</v>
      </c>
      <c r="C910" s="5" t="s">
        <v>1945</v>
      </c>
      <c r="D910" s="5" t="s">
        <v>1586</v>
      </c>
      <c r="E910" s="5" t="s">
        <v>40</v>
      </c>
      <c r="F910" s="5" t="s">
        <v>41</v>
      </c>
      <c r="G910" s="5" t="s">
        <v>406</v>
      </c>
      <c r="H910" s="4"/>
      <c r="I910" s="4"/>
      <c r="J910" s="6"/>
      <c r="K910" s="6"/>
      <c r="L910" s="6"/>
      <c r="M910" s="4"/>
      <c r="N910" s="4"/>
      <c r="O910" s="4"/>
      <c r="P910" s="6"/>
      <c r="Q910" s="6"/>
      <c r="R910" s="6"/>
      <c r="S910" s="6"/>
      <c r="T910" s="4"/>
      <c r="U910" s="6"/>
      <c r="V910" s="6"/>
      <c r="W910" s="6"/>
      <c r="X910" s="6"/>
      <c r="Y910" s="4"/>
      <c r="Z910" s="6"/>
      <c r="AA910" s="4"/>
      <c r="AB910" s="4"/>
      <c r="AC910" s="4"/>
      <c r="AD910" s="6"/>
      <c r="AE910" s="4"/>
      <c r="AF910" s="4"/>
      <c r="AG910" s="4"/>
      <c r="AH910" s="4">
        <v>20815636400</v>
      </c>
    </row>
    <row r="911" spans="1:34" x14ac:dyDescent="0.25">
      <c r="A911" s="4">
        <v>910</v>
      </c>
      <c r="B911" s="5" t="s">
        <v>1946</v>
      </c>
      <c r="C911" s="5" t="s">
        <v>1947</v>
      </c>
      <c r="D911" s="5" t="s">
        <v>1586</v>
      </c>
      <c r="E911" s="5" t="s">
        <v>234</v>
      </c>
      <c r="F911" s="5" t="s">
        <v>235</v>
      </c>
      <c r="G911" s="5" t="s">
        <v>236</v>
      </c>
      <c r="H911" s="4">
        <v>313957390772</v>
      </c>
      <c r="I911" s="4">
        <v>612711298347</v>
      </c>
      <c r="J911" s="6">
        <v>0.55920000000000003</v>
      </c>
      <c r="K911" s="6"/>
      <c r="L911" s="6"/>
      <c r="M911" s="4">
        <v>2163851268</v>
      </c>
      <c r="N911" s="4">
        <v>4579842910</v>
      </c>
      <c r="O911" s="4"/>
      <c r="P911" s="6">
        <v>8.4390000000000001</v>
      </c>
      <c r="Q911" s="6"/>
      <c r="R911" s="6"/>
      <c r="S911" s="6">
        <v>-0.10440000000000001</v>
      </c>
      <c r="T911" s="4"/>
      <c r="U911" s="6"/>
      <c r="V911" s="6"/>
      <c r="W911" s="6"/>
      <c r="X911" s="6"/>
      <c r="Y911" s="4"/>
      <c r="Z911" s="6">
        <v>5.0900000000000001E-2</v>
      </c>
      <c r="AA911" s="4"/>
      <c r="AB911" s="4"/>
      <c r="AC911" s="4"/>
      <c r="AD911" s="6"/>
      <c r="AE911" s="4"/>
      <c r="AF911" s="4"/>
      <c r="AG911" s="4"/>
      <c r="AH911" s="4">
        <v>173073837037</v>
      </c>
    </row>
    <row r="912" spans="1:34" x14ac:dyDescent="0.25">
      <c r="A912" s="4">
        <v>911</v>
      </c>
      <c r="B912" s="5" t="s">
        <v>1948</v>
      </c>
      <c r="C912" s="5" t="s">
        <v>1949</v>
      </c>
      <c r="D912" s="5" t="s">
        <v>1586</v>
      </c>
      <c r="E912" s="5" t="s">
        <v>24</v>
      </c>
      <c r="F912" s="5" t="s">
        <v>25</v>
      </c>
      <c r="G912" s="5" t="s">
        <v>45</v>
      </c>
      <c r="H912" s="4"/>
      <c r="I912" s="4"/>
      <c r="J912" s="6"/>
      <c r="K912" s="6"/>
      <c r="L912" s="6"/>
      <c r="M912" s="4"/>
      <c r="N912" s="4"/>
      <c r="O912" s="4"/>
      <c r="P912" s="6"/>
      <c r="Q912" s="6"/>
      <c r="R912" s="6"/>
      <c r="S912" s="6"/>
      <c r="T912" s="4"/>
      <c r="U912" s="6"/>
      <c r="V912" s="6"/>
      <c r="W912" s="6"/>
      <c r="X912" s="6"/>
      <c r="Y912" s="4"/>
      <c r="Z912" s="6"/>
      <c r="AA912" s="4"/>
      <c r="AB912" s="4"/>
      <c r="AC912" s="4"/>
      <c r="AD912" s="6"/>
      <c r="AE912" s="4"/>
      <c r="AF912" s="4"/>
      <c r="AG912" s="4"/>
      <c r="AH912" s="4">
        <v>2815391663100</v>
      </c>
    </row>
    <row r="913" spans="1:34" x14ac:dyDescent="0.25">
      <c r="A913" s="4">
        <v>912</v>
      </c>
      <c r="B913" s="5" t="s">
        <v>1950</v>
      </c>
      <c r="C913" s="5" t="s">
        <v>1951</v>
      </c>
      <c r="D913" s="5" t="s">
        <v>1586</v>
      </c>
      <c r="E913" s="5" t="s">
        <v>24</v>
      </c>
      <c r="F913" s="5" t="s">
        <v>56</v>
      </c>
      <c r="G913" s="5" t="s">
        <v>291</v>
      </c>
      <c r="H913" s="4"/>
      <c r="I913" s="4"/>
      <c r="J913" s="6"/>
      <c r="K913" s="6"/>
      <c r="L913" s="6"/>
      <c r="M913" s="4"/>
      <c r="N913" s="4"/>
      <c r="O913" s="4"/>
      <c r="P913" s="6"/>
      <c r="Q913" s="6"/>
      <c r="R913" s="6"/>
      <c r="S913" s="6"/>
      <c r="T913" s="4"/>
      <c r="U913" s="6"/>
      <c r="V913" s="6"/>
      <c r="W913" s="6"/>
      <c r="X913" s="6"/>
      <c r="Y913" s="4"/>
      <c r="Z913" s="6"/>
      <c r="AA913" s="4"/>
      <c r="AB913" s="4"/>
      <c r="AC913" s="4"/>
      <c r="AD913" s="6"/>
      <c r="AE913" s="4"/>
      <c r="AF913" s="4"/>
      <c r="AG913" s="4"/>
      <c r="AH913" s="4">
        <v>326302200000</v>
      </c>
    </row>
    <row r="914" spans="1:34" x14ac:dyDescent="0.25">
      <c r="A914" s="4">
        <v>913</v>
      </c>
      <c r="B914" s="5" t="s">
        <v>1952</v>
      </c>
      <c r="C914" s="5" t="s">
        <v>1953</v>
      </c>
      <c r="D914" s="5" t="s">
        <v>1586</v>
      </c>
      <c r="E914" s="5" t="s">
        <v>40</v>
      </c>
      <c r="F914" s="5" t="s">
        <v>52</v>
      </c>
      <c r="G914" s="5" t="s">
        <v>110</v>
      </c>
      <c r="H914" s="4"/>
      <c r="I914" s="4"/>
      <c r="J914" s="6"/>
      <c r="K914" s="6"/>
      <c r="L914" s="6"/>
      <c r="M914" s="4"/>
      <c r="N914" s="4"/>
      <c r="O914" s="4"/>
      <c r="P914" s="6"/>
      <c r="Q914" s="6"/>
      <c r="R914" s="6"/>
      <c r="S914" s="6"/>
      <c r="T914" s="4"/>
      <c r="U914" s="6"/>
      <c r="V914" s="6"/>
      <c r="W914" s="6"/>
      <c r="X914" s="6"/>
      <c r="Y914" s="4"/>
      <c r="Z914" s="6"/>
      <c r="AA914" s="4"/>
      <c r="AB914" s="4"/>
      <c r="AC914" s="4"/>
      <c r="AD914" s="6"/>
      <c r="AE914" s="4"/>
      <c r="AF914" s="4"/>
      <c r="AG914" s="4"/>
      <c r="AH914" s="4">
        <v>40000000000</v>
      </c>
    </row>
    <row r="915" spans="1:34" x14ac:dyDescent="0.25">
      <c r="A915" s="4">
        <v>914</v>
      </c>
      <c r="B915" s="5" t="s">
        <v>1954</v>
      </c>
      <c r="C915" s="5" t="s">
        <v>1955</v>
      </c>
      <c r="D915" s="5" t="s">
        <v>1586</v>
      </c>
      <c r="E915" s="5" t="s">
        <v>40</v>
      </c>
      <c r="F915" s="5" t="s">
        <v>52</v>
      </c>
      <c r="G915" s="5" t="s">
        <v>53</v>
      </c>
      <c r="H915" s="4"/>
      <c r="I915" s="4"/>
      <c r="J915" s="6"/>
      <c r="K915" s="6"/>
      <c r="L915" s="6"/>
      <c r="M915" s="4"/>
      <c r="N915" s="4"/>
      <c r="O915" s="4"/>
      <c r="P915" s="6"/>
      <c r="Q915" s="6"/>
      <c r="R915" s="6"/>
      <c r="S915" s="6"/>
      <c r="T915" s="4"/>
      <c r="U915" s="6"/>
      <c r="V915" s="6"/>
      <c r="W915" s="6"/>
      <c r="X915" s="6"/>
      <c r="Y915" s="4"/>
      <c r="Z915" s="6"/>
      <c r="AA915" s="4"/>
      <c r="AB915" s="4"/>
      <c r="AC915" s="4"/>
      <c r="AD915" s="6"/>
      <c r="AE915" s="4"/>
      <c r="AF915" s="4"/>
      <c r="AG915" s="4"/>
      <c r="AH915" s="4">
        <v>294433000000</v>
      </c>
    </row>
    <row r="916" spans="1:34" x14ac:dyDescent="0.25">
      <c r="A916" s="4">
        <v>915</v>
      </c>
      <c r="B916" s="5" t="s">
        <v>1956</v>
      </c>
      <c r="C916" s="5" t="s">
        <v>1957</v>
      </c>
      <c r="D916" s="5" t="s">
        <v>1586</v>
      </c>
      <c r="E916" s="5" t="s">
        <v>24</v>
      </c>
      <c r="F916" s="5" t="s">
        <v>25</v>
      </c>
      <c r="G916" s="5" t="s">
        <v>45</v>
      </c>
      <c r="H916" s="4"/>
      <c r="I916" s="4"/>
      <c r="J916" s="6"/>
      <c r="K916" s="6"/>
      <c r="L916" s="6"/>
      <c r="M916" s="4"/>
      <c r="N916" s="4"/>
      <c r="O916" s="4"/>
      <c r="P916" s="6"/>
      <c r="Q916" s="6"/>
      <c r="R916" s="6"/>
      <c r="S916" s="6"/>
      <c r="T916" s="4"/>
      <c r="U916" s="6"/>
      <c r="V916" s="6"/>
      <c r="W916" s="6"/>
      <c r="X916" s="6"/>
      <c r="Y916" s="4"/>
      <c r="Z916" s="6"/>
      <c r="AA916" s="4"/>
      <c r="AB916" s="4"/>
      <c r="AC916" s="4"/>
      <c r="AD916" s="6"/>
      <c r="AE916" s="4"/>
      <c r="AF916" s="4"/>
      <c r="AG916" s="4"/>
      <c r="AH916" s="4">
        <v>3458845400000</v>
      </c>
    </row>
    <row r="917" spans="1:34" x14ac:dyDescent="0.25">
      <c r="A917" s="4">
        <v>916</v>
      </c>
      <c r="B917" s="5" t="s">
        <v>1958</v>
      </c>
      <c r="C917" s="5" t="s">
        <v>1959</v>
      </c>
      <c r="D917" s="5" t="s">
        <v>1586</v>
      </c>
      <c r="E917" s="5" t="s">
        <v>234</v>
      </c>
      <c r="F917" s="5" t="s">
        <v>235</v>
      </c>
      <c r="G917" s="5" t="s">
        <v>236</v>
      </c>
      <c r="H917" s="4"/>
      <c r="I917" s="4"/>
      <c r="J917" s="6"/>
      <c r="K917" s="6"/>
      <c r="L917" s="6"/>
      <c r="M917" s="4"/>
      <c r="N917" s="4"/>
      <c r="O917" s="4"/>
      <c r="P917" s="6"/>
      <c r="Q917" s="6"/>
      <c r="R917" s="6"/>
      <c r="S917" s="6"/>
      <c r="T917" s="4"/>
      <c r="U917" s="6"/>
      <c r="V917" s="6"/>
      <c r="W917" s="6"/>
      <c r="X917" s="6"/>
      <c r="Y917" s="4"/>
      <c r="Z917" s="6"/>
      <c r="AA917" s="4"/>
      <c r="AB917" s="4"/>
      <c r="AC917" s="4"/>
      <c r="AD917" s="6"/>
      <c r="AE917" s="4"/>
      <c r="AF917" s="4"/>
      <c r="AG917" s="4"/>
      <c r="AH917" s="4">
        <v>1334059427712</v>
      </c>
    </row>
    <row r="918" spans="1:34" x14ac:dyDescent="0.25">
      <c r="A918" s="4">
        <v>917</v>
      </c>
      <c r="B918" s="5" t="s">
        <v>1960</v>
      </c>
      <c r="C918" s="5" t="s">
        <v>1961</v>
      </c>
      <c r="D918" s="5" t="s">
        <v>1586</v>
      </c>
      <c r="E918" s="5" t="s">
        <v>234</v>
      </c>
      <c r="F918" s="5" t="s">
        <v>235</v>
      </c>
      <c r="G918" s="5" t="s">
        <v>236</v>
      </c>
      <c r="H918" s="4"/>
      <c r="I918" s="4"/>
      <c r="J918" s="6"/>
      <c r="K918" s="6"/>
      <c r="L918" s="6"/>
      <c r="M918" s="4"/>
      <c r="N918" s="4"/>
      <c r="O918" s="4"/>
      <c r="P918" s="6"/>
      <c r="Q918" s="6"/>
      <c r="R918" s="6"/>
      <c r="S918" s="6"/>
      <c r="T918" s="4"/>
      <c r="U918" s="6"/>
      <c r="V918" s="6"/>
      <c r="W918" s="6"/>
      <c r="X918" s="6"/>
      <c r="Y918" s="4"/>
      <c r="Z918" s="6"/>
      <c r="AA918" s="4"/>
      <c r="AB918" s="4"/>
      <c r="AC918" s="4"/>
      <c r="AD918" s="6"/>
      <c r="AE918" s="4"/>
      <c r="AF918" s="4"/>
      <c r="AG918" s="4"/>
      <c r="AH918" s="4">
        <v>120156190000</v>
      </c>
    </row>
    <row r="919" spans="1:34" x14ac:dyDescent="0.25">
      <c r="A919" s="4">
        <v>918</v>
      </c>
      <c r="B919" s="5" t="s">
        <v>1962</v>
      </c>
      <c r="C919" s="5" t="s">
        <v>1963</v>
      </c>
      <c r="D919" s="5" t="s">
        <v>1586</v>
      </c>
      <c r="E919" s="5" t="s">
        <v>62</v>
      </c>
      <c r="F919" s="5" t="s">
        <v>226</v>
      </c>
      <c r="G919" s="5" t="s">
        <v>227</v>
      </c>
      <c r="H919" s="4"/>
      <c r="I919" s="4"/>
      <c r="J919" s="6"/>
      <c r="K919" s="6"/>
      <c r="L919" s="6"/>
      <c r="M919" s="4"/>
      <c r="N919" s="4"/>
      <c r="O919" s="4"/>
      <c r="P919" s="6"/>
      <c r="Q919" s="6"/>
      <c r="R919" s="6"/>
      <c r="S919" s="6"/>
      <c r="T919" s="4"/>
      <c r="U919" s="6"/>
      <c r="V919" s="6"/>
      <c r="W919" s="6"/>
      <c r="X919" s="6"/>
      <c r="Y919" s="4"/>
      <c r="Z919" s="6"/>
      <c r="AA919" s="4"/>
      <c r="AB919" s="4"/>
      <c r="AC919" s="4"/>
      <c r="AD919" s="6"/>
      <c r="AE919" s="4"/>
      <c r="AF919" s="4"/>
      <c r="AG919" s="4"/>
      <c r="AH919" s="4"/>
    </row>
    <row r="920" spans="1:34" x14ac:dyDescent="0.25">
      <c r="A920" s="4">
        <v>919</v>
      </c>
      <c r="B920" s="5" t="s">
        <v>1964</v>
      </c>
      <c r="C920" s="5" t="s">
        <v>1965</v>
      </c>
      <c r="D920" s="5" t="s">
        <v>1586</v>
      </c>
      <c r="E920" s="5" t="s">
        <v>40</v>
      </c>
      <c r="F920" s="5" t="s">
        <v>52</v>
      </c>
      <c r="G920" s="5" t="s">
        <v>53</v>
      </c>
      <c r="H920" s="4"/>
      <c r="I920" s="4"/>
      <c r="J920" s="6"/>
      <c r="K920" s="6"/>
      <c r="L920" s="6"/>
      <c r="M920" s="4"/>
      <c r="N920" s="4"/>
      <c r="O920" s="4"/>
      <c r="P920" s="6"/>
      <c r="Q920" s="6"/>
      <c r="R920" s="6"/>
      <c r="S920" s="6"/>
      <c r="T920" s="4"/>
      <c r="U920" s="6"/>
      <c r="V920" s="6"/>
      <c r="W920" s="6"/>
      <c r="X920" s="6"/>
      <c r="Y920" s="4"/>
      <c r="Z920" s="6"/>
      <c r="AA920" s="4"/>
      <c r="AB920" s="4"/>
      <c r="AC920" s="4"/>
      <c r="AD920" s="6"/>
      <c r="AE920" s="4"/>
      <c r="AF920" s="4"/>
      <c r="AG920" s="4"/>
      <c r="AH920" s="4">
        <v>23476104000</v>
      </c>
    </row>
    <row r="921" spans="1:34" x14ac:dyDescent="0.25">
      <c r="A921" s="4">
        <v>920</v>
      </c>
      <c r="B921" s="5" t="s">
        <v>1966</v>
      </c>
      <c r="C921" s="5" t="s">
        <v>1967</v>
      </c>
      <c r="D921" s="5" t="s">
        <v>1586</v>
      </c>
      <c r="E921" s="5" t="s">
        <v>40</v>
      </c>
      <c r="F921" s="5" t="s">
        <v>52</v>
      </c>
      <c r="G921" s="5" t="s">
        <v>53</v>
      </c>
      <c r="H921" s="4"/>
      <c r="I921" s="4"/>
      <c r="J921" s="6"/>
      <c r="K921" s="6"/>
      <c r="L921" s="6"/>
      <c r="M921" s="4"/>
      <c r="N921" s="4"/>
      <c r="O921" s="4"/>
      <c r="P921" s="6"/>
      <c r="Q921" s="6"/>
      <c r="R921" s="6"/>
      <c r="S921" s="6"/>
      <c r="T921" s="4"/>
      <c r="U921" s="6"/>
      <c r="V921" s="6"/>
      <c r="W921" s="6"/>
      <c r="X921" s="6"/>
      <c r="Y921" s="4"/>
      <c r="Z921" s="6"/>
      <c r="AA921" s="4"/>
      <c r="AB921" s="4"/>
      <c r="AC921" s="4"/>
      <c r="AD921" s="6"/>
      <c r="AE921" s="4"/>
      <c r="AF921" s="4"/>
      <c r="AG921" s="4"/>
      <c r="AH921" s="4">
        <v>52648000240</v>
      </c>
    </row>
    <row r="922" spans="1:34" x14ac:dyDescent="0.25">
      <c r="A922" s="4">
        <v>921</v>
      </c>
      <c r="B922" s="5" t="s">
        <v>1968</v>
      </c>
      <c r="C922" s="5" t="s">
        <v>1969</v>
      </c>
      <c r="D922" s="5" t="s">
        <v>1586</v>
      </c>
      <c r="E922" s="5" t="s">
        <v>62</v>
      </c>
      <c r="F922" s="5" t="s">
        <v>71</v>
      </c>
      <c r="G922" s="5" t="s">
        <v>147</v>
      </c>
      <c r="H922" s="4"/>
      <c r="I922" s="4"/>
      <c r="J922" s="6"/>
      <c r="K922" s="6"/>
      <c r="L922" s="6"/>
      <c r="M922" s="4"/>
      <c r="N922" s="4"/>
      <c r="O922" s="4"/>
      <c r="P922" s="6"/>
      <c r="Q922" s="6"/>
      <c r="R922" s="6"/>
      <c r="S922" s="6"/>
      <c r="T922" s="4"/>
      <c r="U922" s="6"/>
      <c r="V922" s="6"/>
      <c r="W922" s="6"/>
      <c r="X922" s="6"/>
      <c r="Y922" s="4"/>
      <c r="Z922" s="6"/>
      <c r="AA922" s="4"/>
      <c r="AB922" s="4"/>
      <c r="AC922" s="4"/>
      <c r="AD922" s="6"/>
      <c r="AE922" s="4"/>
      <c r="AF922" s="4"/>
      <c r="AG922" s="4"/>
      <c r="AH922" s="4">
        <v>228854000</v>
      </c>
    </row>
    <row r="923" spans="1:34" x14ac:dyDescent="0.25">
      <c r="A923" s="4">
        <v>922</v>
      </c>
      <c r="B923" s="5" t="s">
        <v>1970</v>
      </c>
      <c r="C923" s="5" t="s">
        <v>1971</v>
      </c>
      <c r="D923" s="5" t="s">
        <v>1586</v>
      </c>
      <c r="E923" s="5" t="s">
        <v>40</v>
      </c>
      <c r="F923" s="5" t="s">
        <v>52</v>
      </c>
      <c r="G923" s="5" t="s">
        <v>53</v>
      </c>
      <c r="H923" s="4"/>
      <c r="I923" s="4"/>
      <c r="J923" s="6"/>
      <c r="K923" s="6"/>
      <c r="L923" s="6"/>
      <c r="M923" s="4"/>
      <c r="N923" s="4"/>
      <c r="O923" s="4"/>
      <c r="P923" s="6"/>
      <c r="Q923" s="6"/>
      <c r="R923" s="6"/>
      <c r="S923" s="6"/>
      <c r="T923" s="4"/>
      <c r="U923" s="6"/>
      <c r="V923" s="6"/>
      <c r="W923" s="6"/>
      <c r="X923" s="6"/>
      <c r="Y923" s="4"/>
      <c r="Z923" s="6"/>
      <c r="AA923" s="4"/>
      <c r="AB923" s="4"/>
      <c r="AC923" s="4"/>
      <c r="AD923" s="6"/>
      <c r="AE923" s="4"/>
      <c r="AF923" s="4"/>
      <c r="AG923" s="4"/>
      <c r="AH923" s="4">
        <v>83375000000</v>
      </c>
    </row>
    <row r="924" spans="1:34" x14ac:dyDescent="0.25">
      <c r="A924" s="4">
        <v>923</v>
      </c>
      <c r="B924" s="5" t="s">
        <v>1972</v>
      </c>
      <c r="C924" s="5" t="s">
        <v>1973</v>
      </c>
      <c r="D924" s="5" t="s">
        <v>1586</v>
      </c>
      <c r="E924" s="5" t="s">
        <v>62</v>
      </c>
      <c r="F924" s="5" t="s">
        <v>226</v>
      </c>
      <c r="G924" s="5" t="s">
        <v>227</v>
      </c>
      <c r="H924" s="4"/>
      <c r="I924" s="4"/>
      <c r="J924" s="6"/>
      <c r="K924" s="6"/>
      <c r="L924" s="6"/>
      <c r="M924" s="4"/>
      <c r="N924" s="4"/>
      <c r="O924" s="4"/>
      <c r="P924" s="6"/>
      <c r="Q924" s="6"/>
      <c r="R924" s="6"/>
      <c r="S924" s="6"/>
      <c r="T924" s="4"/>
      <c r="U924" s="6"/>
      <c r="V924" s="6"/>
      <c r="W924" s="6"/>
      <c r="X924" s="6"/>
      <c r="Y924" s="4"/>
      <c r="Z924" s="6"/>
      <c r="AA924" s="4"/>
      <c r="AB924" s="4"/>
      <c r="AC924" s="4"/>
      <c r="AD924" s="6"/>
      <c r="AE924" s="4"/>
      <c r="AF924" s="4"/>
      <c r="AG924" s="4"/>
      <c r="AH924" s="4">
        <v>45606333500</v>
      </c>
    </row>
    <row r="925" spans="1:34" x14ac:dyDescent="0.25">
      <c r="A925" s="4">
        <v>924</v>
      </c>
      <c r="B925" s="5" t="s">
        <v>1974</v>
      </c>
      <c r="C925" s="5" t="s">
        <v>1975</v>
      </c>
      <c r="D925" s="5" t="s">
        <v>1586</v>
      </c>
      <c r="E925" s="5" t="s">
        <v>40</v>
      </c>
      <c r="F925" s="5" t="s">
        <v>52</v>
      </c>
      <c r="G925" s="5" t="s">
        <v>110</v>
      </c>
      <c r="H925" s="4">
        <v>3168205369</v>
      </c>
      <c r="I925" s="4">
        <v>6113803897</v>
      </c>
      <c r="J925" s="6">
        <v>0.44869999999999999</v>
      </c>
      <c r="K925" s="6">
        <v>0.35360000000000003</v>
      </c>
      <c r="L925" s="6">
        <v>0.2903</v>
      </c>
      <c r="M925" s="4">
        <v>1437315639</v>
      </c>
      <c r="N925" s="4">
        <v>2812626748</v>
      </c>
      <c r="O925" s="4"/>
      <c r="P925" s="6">
        <v>2.9318</v>
      </c>
      <c r="Q925" s="6">
        <v>3.5318999999999998</v>
      </c>
      <c r="R925" s="6">
        <v>1.2818000000000001</v>
      </c>
      <c r="S925" s="6">
        <v>4.5100000000000001E-2</v>
      </c>
      <c r="T925" s="4"/>
      <c r="U925" s="6">
        <v>-0.63770000000000004</v>
      </c>
      <c r="V925" s="6">
        <v>-0.58989999999999998</v>
      </c>
      <c r="W925" s="6">
        <v>-0.4874</v>
      </c>
      <c r="X925" s="6">
        <v>0</v>
      </c>
      <c r="Y925" s="4"/>
      <c r="Z925" s="6">
        <v>7.5600000000000001E-2</v>
      </c>
      <c r="AA925" s="4"/>
      <c r="AB925" s="4"/>
      <c r="AC925" s="4"/>
      <c r="AD925" s="6">
        <v>0</v>
      </c>
      <c r="AE925" s="4"/>
      <c r="AF925" s="4"/>
      <c r="AG925" s="4"/>
      <c r="AH925" s="4">
        <v>54000000000</v>
      </c>
    </row>
    <row r="926" spans="1:34" x14ac:dyDescent="0.25">
      <c r="A926" s="4">
        <v>925</v>
      </c>
      <c r="B926" s="5" t="s">
        <v>1976</v>
      </c>
      <c r="C926" s="5" t="s">
        <v>1977</v>
      </c>
      <c r="D926" s="5" t="s">
        <v>1586</v>
      </c>
      <c r="E926" s="5" t="s">
        <v>62</v>
      </c>
      <c r="F926" s="5" t="s">
        <v>226</v>
      </c>
      <c r="G926" s="5" t="s">
        <v>737</v>
      </c>
      <c r="H926" s="4"/>
      <c r="I926" s="4"/>
      <c r="J926" s="6"/>
      <c r="K926" s="6"/>
      <c r="L926" s="6"/>
      <c r="M926" s="4"/>
      <c r="N926" s="4"/>
      <c r="O926" s="4"/>
      <c r="P926" s="6"/>
      <c r="Q926" s="6"/>
      <c r="R926" s="6"/>
      <c r="S926" s="6"/>
      <c r="T926" s="4"/>
      <c r="U926" s="6"/>
      <c r="V926" s="6"/>
      <c r="W926" s="6"/>
      <c r="X926" s="6"/>
      <c r="Y926" s="4"/>
      <c r="Z926" s="6"/>
      <c r="AA926" s="4"/>
      <c r="AB926" s="4"/>
      <c r="AC926" s="4"/>
      <c r="AD926" s="6"/>
      <c r="AE926" s="4"/>
      <c r="AF926" s="4"/>
      <c r="AG926" s="4"/>
      <c r="AH926" s="4">
        <v>21500481600</v>
      </c>
    </row>
    <row r="927" spans="1:34" x14ac:dyDescent="0.25">
      <c r="A927" s="4">
        <v>926</v>
      </c>
      <c r="B927" s="5" t="s">
        <v>1978</v>
      </c>
      <c r="C927" s="5" t="s">
        <v>1979</v>
      </c>
      <c r="D927" s="5" t="s">
        <v>1586</v>
      </c>
      <c r="E927" s="5" t="s">
        <v>29</v>
      </c>
      <c r="F927" s="5" t="s">
        <v>36</v>
      </c>
      <c r="G927" s="5" t="s">
        <v>37</v>
      </c>
      <c r="H927" s="4"/>
      <c r="I927" s="4"/>
      <c r="J927" s="6"/>
      <c r="K927" s="6"/>
      <c r="L927" s="6"/>
      <c r="M927" s="4"/>
      <c r="N927" s="4"/>
      <c r="O927" s="4"/>
      <c r="P927" s="6"/>
      <c r="Q927" s="6"/>
      <c r="R927" s="6"/>
      <c r="S927" s="6"/>
      <c r="T927" s="4"/>
      <c r="U927" s="6"/>
      <c r="V927" s="6"/>
      <c r="W927" s="6"/>
      <c r="X927" s="6"/>
      <c r="Y927" s="4"/>
      <c r="Z927" s="6"/>
      <c r="AA927" s="4"/>
      <c r="AB927" s="4"/>
      <c r="AC927" s="4"/>
      <c r="AD927" s="6"/>
      <c r="AE927" s="4"/>
      <c r="AF927" s="4"/>
      <c r="AG927" s="4"/>
      <c r="AH927" s="4">
        <v>308222000000</v>
      </c>
    </row>
    <row r="928" spans="1:34" x14ac:dyDescent="0.25">
      <c r="A928" s="4">
        <v>927</v>
      </c>
      <c r="B928" s="5" t="s">
        <v>1980</v>
      </c>
      <c r="C928" s="5" t="s">
        <v>1981</v>
      </c>
      <c r="D928" s="5" t="s">
        <v>1586</v>
      </c>
      <c r="E928" s="5" t="s">
        <v>234</v>
      </c>
      <c r="F928" s="5" t="s">
        <v>235</v>
      </c>
      <c r="G928" s="5" t="s">
        <v>236</v>
      </c>
      <c r="H928" s="4"/>
      <c r="I928" s="4"/>
      <c r="J928" s="6"/>
      <c r="K928" s="6"/>
      <c r="L928" s="6"/>
      <c r="M928" s="4"/>
      <c r="N928" s="4"/>
      <c r="O928" s="4"/>
      <c r="P928" s="6"/>
      <c r="Q928" s="6"/>
      <c r="R928" s="6"/>
      <c r="S928" s="6"/>
      <c r="T928" s="4"/>
      <c r="U928" s="6"/>
      <c r="V928" s="6"/>
      <c r="W928" s="6"/>
      <c r="X928" s="6"/>
      <c r="Y928" s="4"/>
      <c r="Z928" s="6"/>
      <c r="AA928" s="4"/>
      <c r="AB928" s="4"/>
      <c r="AC928" s="4"/>
      <c r="AD928" s="6"/>
      <c r="AE928" s="4"/>
      <c r="AF928" s="4"/>
      <c r="AG928" s="4"/>
      <c r="AH928" s="4"/>
    </row>
    <row r="929" spans="1:34" x14ac:dyDescent="0.25">
      <c r="A929" s="4">
        <v>928</v>
      </c>
      <c r="B929" s="5" t="s">
        <v>1982</v>
      </c>
      <c r="C929" s="5" t="s">
        <v>1983</v>
      </c>
      <c r="D929" s="5" t="s">
        <v>1586</v>
      </c>
      <c r="E929" s="5" t="s">
        <v>29</v>
      </c>
      <c r="F929" s="5" t="s">
        <v>30</v>
      </c>
      <c r="G929" s="5" t="s">
        <v>31</v>
      </c>
      <c r="H929" s="4"/>
      <c r="I929" s="4"/>
      <c r="J929" s="6"/>
      <c r="K929" s="6"/>
      <c r="L929" s="6"/>
      <c r="M929" s="4"/>
      <c r="N929" s="4"/>
      <c r="O929" s="4"/>
      <c r="P929" s="6"/>
      <c r="Q929" s="6"/>
      <c r="R929" s="6"/>
      <c r="S929" s="6"/>
      <c r="T929" s="4"/>
      <c r="U929" s="6"/>
      <c r="V929" s="6"/>
      <c r="W929" s="6"/>
      <c r="X929" s="6"/>
      <c r="Y929" s="4"/>
      <c r="Z929" s="6"/>
      <c r="AA929" s="4"/>
      <c r="AB929" s="4"/>
      <c r="AC929" s="4"/>
      <c r="AD929" s="6"/>
      <c r="AE929" s="4"/>
      <c r="AF929" s="4"/>
      <c r="AG929" s="4"/>
      <c r="AH929" s="4">
        <v>166249905000</v>
      </c>
    </row>
    <row r="930" spans="1:34" x14ac:dyDescent="0.25">
      <c r="A930" s="4">
        <v>929</v>
      </c>
      <c r="B930" s="5" t="s">
        <v>1984</v>
      </c>
      <c r="C930" s="5" t="s">
        <v>1985</v>
      </c>
      <c r="D930" s="5" t="s">
        <v>1586</v>
      </c>
      <c r="E930" s="5" t="s">
        <v>98</v>
      </c>
      <c r="F930" s="5" t="s">
        <v>99</v>
      </c>
      <c r="G930" s="5" t="s">
        <v>155</v>
      </c>
      <c r="H930" s="4"/>
      <c r="I930" s="4"/>
      <c r="J930" s="6"/>
      <c r="K930" s="6"/>
      <c r="L930" s="6"/>
      <c r="M930" s="4"/>
      <c r="N930" s="4"/>
      <c r="O930" s="4"/>
      <c r="P930" s="6"/>
      <c r="Q930" s="6"/>
      <c r="R930" s="6"/>
      <c r="S930" s="6"/>
      <c r="T930" s="4"/>
      <c r="U930" s="6"/>
      <c r="V930" s="6"/>
      <c r="W930" s="6"/>
      <c r="X930" s="6"/>
      <c r="Y930" s="4"/>
      <c r="Z930" s="6"/>
      <c r="AA930" s="4"/>
      <c r="AB930" s="4"/>
      <c r="AC930" s="4"/>
      <c r="AD930" s="6"/>
      <c r="AE930" s="4"/>
      <c r="AF930" s="4"/>
      <c r="AG930" s="4"/>
      <c r="AH930" s="4">
        <v>1149123166800</v>
      </c>
    </row>
    <row r="931" spans="1:34" x14ac:dyDescent="0.25">
      <c r="A931" s="4">
        <v>930</v>
      </c>
      <c r="B931" s="5" t="s">
        <v>1986</v>
      </c>
      <c r="C931" s="5" t="s">
        <v>1987</v>
      </c>
      <c r="D931" s="5" t="s">
        <v>1586</v>
      </c>
      <c r="E931" s="5" t="s">
        <v>40</v>
      </c>
      <c r="F931" s="5" t="s">
        <v>52</v>
      </c>
      <c r="G931" s="5" t="s">
        <v>53</v>
      </c>
      <c r="H931" s="4"/>
      <c r="I931" s="4"/>
      <c r="J931" s="6"/>
      <c r="K931" s="6"/>
      <c r="L931" s="6"/>
      <c r="M931" s="4"/>
      <c r="N931" s="4"/>
      <c r="O931" s="4"/>
      <c r="P931" s="6"/>
      <c r="Q931" s="6"/>
      <c r="R931" s="6"/>
      <c r="S931" s="6"/>
      <c r="T931" s="4"/>
      <c r="U931" s="6"/>
      <c r="V931" s="6"/>
      <c r="W931" s="6"/>
      <c r="X931" s="6"/>
      <c r="Y931" s="4"/>
      <c r="Z931" s="6"/>
      <c r="AA931" s="4"/>
      <c r="AB931" s="4"/>
      <c r="AC931" s="4"/>
      <c r="AD931" s="6"/>
      <c r="AE931" s="4"/>
      <c r="AF931" s="4"/>
      <c r="AG931" s="4"/>
      <c r="AH931" s="4">
        <v>110372400000</v>
      </c>
    </row>
    <row r="932" spans="1:34" x14ac:dyDescent="0.25">
      <c r="A932" s="4">
        <v>931</v>
      </c>
      <c r="B932" s="5" t="s">
        <v>1988</v>
      </c>
      <c r="C932" s="5" t="s">
        <v>1989</v>
      </c>
      <c r="D932" s="5" t="s">
        <v>1586</v>
      </c>
      <c r="E932" s="5" t="s">
        <v>40</v>
      </c>
      <c r="F932" s="5" t="s">
        <v>41</v>
      </c>
      <c r="G932" s="5" t="s">
        <v>1716</v>
      </c>
      <c r="H932" s="4"/>
      <c r="I932" s="4"/>
      <c r="J932" s="6"/>
      <c r="K932" s="6"/>
      <c r="L932" s="6"/>
      <c r="M932" s="4"/>
      <c r="N932" s="4"/>
      <c r="O932" s="4"/>
      <c r="P932" s="6"/>
      <c r="Q932" s="6"/>
      <c r="R932" s="6"/>
      <c r="S932" s="6"/>
      <c r="T932" s="4"/>
      <c r="U932" s="6"/>
      <c r="V932" s="6"/>
      <c r="W932" s="6"/>
      <c r="X932" s="6"/>
      <c r="Y932" s="4"/>
      <c r="Z932" s="6"/>
      <c r="AA932" s="4"/>
      <c r="AB932" s="4"/>
      <c r="AC932" s="4"/>
      <c r="AD932" s="6"/>
      <c r="AE932" s="4"/>
      <c r="AF932" s="4"/>
      <c r="AG932" s="4"/>
      <c r="AH932" s="4">
        <v>44647248800</v>
      </c>
    </row>
    <row r="933" spans="1:34" x14ac:dyDescent="0.25">
      <c r="A933" s="4">
        <v>932</v>
      </c>
      <c r="B933" s="5" t="s">
        <v>1990</v>
      </c>
      <c r="C933" s="5" t="s">
        <v>1991</v>
      </c>
      <c r="D933" s="5" t="s">
        <v>1586</v>
      </c>
      <c r="E933" s="5" t="s">
        <v>98</v>
      </c>
      <c r="F933" s="5" t="s">
        <v>99</v>
      </c>
      <c r="G933" s="5" t="s">
        <v>144</v>
      </c>
      <c r="H933" s="4"/>
      <c r="I933" s="4"/>
      <c r="J933" s="6"/>
      <c r="K933" s="6"/>
      <c r="L933" s="6"/>
      <c r="M933" s="4"/>
      <c r="N933" s="4"/>
      <c r="O933" s="4"/>
      <c r="P933" s="6"/>
      <c r="Q933" s="6"/>
      <c r="R933" s="6"/>
      <c r="S933" s="6"/>
      <c r="T933" s="4"/>
      <c r="U933" s="6"/>
      <c r="V933" s="6"/>
      <c r="W933" s="6"/>
      <c r="X933" s="6"/>
      <c r="Y933" s="4"/>
      <c r="Z933" s="6"/>
      <c r="AA933" s="4"/>
      <c r="AB933" s="4"/>
      <c r="AC933" s="4"/>
      <c r="AD933" s="6"/>
      <c r="AE933" s="4"/>
      <c r="AF933" s="4"/>
      <c r="AG933" s="4"/>
      <c r="AH933" s="4">
        <v>12460800000000</v>
      </c>
    </row>
    <row r="934" spans="1:34" x14ac:dyDescent="0.25">
      <c r="A934" s="4">
        <v>933</v>
      </c>
      <c r="B934" s="5" t="s">
        <v>1992</v>
      </c>
      <c r="C934" s="5" t="s">
        <v>1993</v>
      </c>
      <c r="D934" s="5" t="s">
        <v>1586</v>
      </c>
      <c r="E934" s="5" t="s">
        <v>40</v>
      </c>
      <c r="F934" s="5" t="s">
        <v>41</v>
      </c>
      <c r="G934" s="5" t="s">
        <v>93</v>
      </c>
      <c r="H934" s="4"/>
      <c r="I934" s="4"/>
      <c r="J934" s="6"/>
      <c r="K934" s="6"/>
      <c r="L934" s="6"/>
      <c r="M934" s="4"/>
      <c r="N934" s="4"/>
      <c r="O934" s="4"/>
      <c r="P934" s="6"/>
      <c r="Q934" s="6"/>
      <c r="R934" s="6"/>
      <c r="S934" s="6"/>
      <c r="T934" s="4"/>
      <c r="U934" s="6"/>
      <c r="V934" s="6"/>
      <c r="W934" s="6"/>
      <c r="X934" s="6"/>
      <c r="Y934" s="4"/>
      <c r="Z934" s="6"/>
      <c r="AA934" s="4"/>
      <c r="AB934" s="4"/>
      <c r="AC934" s="4"/>
      <c r="AD934" s="6"/>
      <c r="AE934" s="4"/>
      <c r="AF934" s="4"/>
      <c r="AG934" s="4"/>
      <c r="AH934" s="4">
        <v>58616000000</v>
      </c>
    </row>
    <row r="935" spans="1:34" x14ac:dyDescent="0.25">
      <c r="A935" s="4">
        <v>934</v>
      </c>
      <c r="B935" s="5" t="s">
        <v>1994</v>
      </c>
      <c r="C935" s="5" t="s">
        <v>1995</v>
      </c>
      <c r="D935" s="5" t="s">
        <v>1586</v>
      </c>
      <c r="E935" s="5" t="s">
        <v>234</v>
      </c>
      <c r="F935" s="5" t="s">
        <v>235</v>
      </c>
      <c r="G935" s="5" t="s">
        <v>1996</v>
      </c>
      <c r="H935" s="4"/>
      <c r="I935" s="4"/>
      <c r="J935" s="6"/>
      <c r="K935" s="6"/>
      <c r="L935" s="6"/>
      <c r="M935" s="4"/>
      <c r="N935" s="4"/>
      <c r="O935" s="4"/>
      <c r="P935" s="6"/>
      <c r="Q935" s="6"/>
      <c r="R935" s="6"/>
      <c r="S935" s="6"/>
      <c r="T935" s="4"/>
      <c r="U935" s="6"/>
      <c r="V935" s="6"/>
      <c r="W935" s="6"/>
      <c r="X935" s="6"/>
      <c r="Y935" s="4"/>
      <c r="Z935" s="6"/>
      <c r="AA935" s="4"/>
      <c r="AB935" s="4"/>
      <c r="AC935" s="4"/>
      <c r="AD935" s="6"/>
      <c r="AE935" s="4"/>
      <c r="AF935" s="4"/>
      <c r="AG935" s="4"/>
      <c r="AH935" s="4">
        <v>26790657000</v>
      </c>
    </row>
    <row r="936" spans="1:34" x14ac:dyDescent="0.25">
      <c r="A936" s="4">
        <v>935</v>
      </c>
      <c r="B936" s="5" t="s">
        <v>1997</v>
      </c>
      <c r="C936" s="5" t="s">
        <v>1998</v>
      </c>
      <c r="D936" s="5" t="s">
        <v>1586</v>
      </c>
      <c r="E936" s="5" t="s">
        <v>98</v>
      </c>
      <c r="F936" s="5" t="s">
        <v>99</v>
      </c>
      <c r="G936" s="5" t="s">
        <v>155</v>
      </c>
      <c r="H936" s="4"/>
      <c r="I936" s="4"/>
      <c r="J936" s="6"/>
      <c r="K936" s="6"/>
      <c r="L936" s="6"/>
      <c r="M936" s="4"/>
      <c r="N936" s="4"/>
      <c r="O936" s="4"/>
      <c r="P936" s="6"/>
      <c r="Q936" s="6"/>
      <c r="R936" s="6"/>
      <c r="S936" s="6"/>
      <c r="T936" s="4"/>
      <c r="U936" s="6"/>
      <c r="V936" s="6"/>
      <c r="W936" s="6"/>
      <c r="X936" s="6"/>
      <c r="Y936" s="4"/>
      <c r="Z936" s="6"/>
      <c r="AA936" s="4"/>
      <c r="AB936" s="4"/>
      <c r="AC936" s="4"/>
      <c r="AD936" s="6"/>
      <c r="AE936" s="4"/>
      <c r="AF936" s="4"/>
      <c r="AG936" s="4"/>
      <c r="AH936" s="4">
        <v>649197483200</v>
      </c>
    </row>
    <row r="937" spans="1:34" x14ac:dyDescent="0.25">
      <c r="A937" s="4">
        <v>936</v>
      </c>
      <c r="B937" s="5" t="s">
        <v>1999</v>
      </c>
      <c r="C937" s="5" t="s">
        <v>2000</v>
      </c>
      <c r="D937" s="5" t="s">
        <v>1586</v>
      </c>
      <c r="E937" s="5" t="s">
        <v>62</v>
      </c>
      <c r="F937" s="5" t="s">
        <v>226</v>
      </c>
      <c r="G937" s="5" t="s">
        <v>286</v>
      </c>
      <c r="H937" s="4"/>
      <c r="I937" s="4"/>
      <c r="J937" s="6"/>
      <c r="K937" s="6"/>
      <c r="L937" s="6"/>
      <c r="M937" s="4"/>
      <c r="N937" s="4"/>
      <c r="O937" s="4"/>
      <c r="P937" s="6"/>
      <c r="Q937" s="6"/>
      <c r="R937" s="6"/>
      <c r="S937" s="6"/>
      <c r="T937" s="4"/>
      <c r="U937" s="6"/>
      <c r="V937" s="6"/>
      <c r="W937" s="6"/>
      <c r="X937" s="6"/>
      <c r="Y937" s="4"/>
      <c r="Z937" s="6"/>
      <c r="AA937" s="4"/>
      <c r="AB937" s="4"/>
      <c r="AC937" s="4"/>
      <c r="AD937" s="6"/>
      <c r="AE937" s="4"/>
      <c r="AF937" s="4"/>
      <c r="AG937" s="4"/>
      <c r="AH937" s="4">
        <v>444136425000</v>
      </c>
    </row>
    <row r="938" spans="1:34" x14ac:dyDescent="0.25">
      <c r="A938" s="4">
        <v>937</v>
      </c>
      <c r="B938" s="5" t="s">
        <v>2001</v>
      </c>
      <c r="C938" s="5" t="s">
        <v>2002</v>
      </c>
      <c r="D938" s="5" t="s">
        <v>1586</v>
      </c>
      <c r="E938" s="5" t="s">
        <v>98</v>
      </c>
      <c r="F938" s="5" t="s">
        <v>99</v>
      </c>
      <c r="G938" s="5" t="s">
        <v>155</v>
      </c>
      <c r="H938" s="4"/>
      <c r="I938" s="4"/>
      <c r="J938" s="6"/>
      <c r="K938" s="6"/>
      <c r="L938" s="6"/>
      <c r="M938" s="4"/>
      <c r="N938" s="4"/>
      <c r="O938" s="4"/>
      <c r="P938" s="6"/>
      <c r="Q938" s="6"/>
      <c r="R938" s="6"/>
      <c r="S938" s="6"/>
      <c r="T938" s="4"/>
      <c r="U938" s="6"/>
      <c r="V938" s="6"/>
      <c r="W938" s="6"/>
      <c r="X938" s="6"/>
      <c r="Y938" s="4"/>
      <c r="Z938" s="6"/>
      <c r="AA938" s="4"/>
      <c r="AB938" s="4"/>
      <c r="AC938" s="4"/>
      <c r="AD938" s="6"/>
      <c r="AE938" s="4"/>
      <c r="AF938" s="4"/>
      <c r="AG938" s="4"/>
      <c r="AH938" s="4">
        <v>3960000000000</v>
      </c>
    </row>
    <row r="939" spans="1:34" x14ac:dyDescent="0.25">
      <c r="A939" s="4">
        <v>938</v>
      </c>
      <c r="B939" s="5" t="s">
        <v>2003</v>
      </c>
      <c r="C939" s="5" t="s">
        <v>2004</v>
      </c>
      <c r="D939" s="5" t="s">
        <v>1586</v>
      </c>
      <c r="E939" s="5" t="s">
        <v>75</v>
      </c>
      <c r="F939" s="5" t="s">
        <v>76</v>
      </c>
      <c r="G939" s="5" t="s">
        <v>76</v>
      </c>
      <c r="H939" s="4"/>
      <c r="I939" s="4"/>
      <c r="J939" s="6"/>
      <c r="K939" s="6"/>
      <c r="L939" s="6"/>
      <c r="M939" s="4"/>
      <c r="N939" s="4"/>
      <c r="O939" s="4"/>
      <c r="P939" s="6"/>
      <c r="Q939" s="6"/>
      <c r="R939" s="6"/>
      <c r="S939" s="6"/>
      <c r="T939" s="4"/>
      <c r="U939" s="6"/>
      <c r="V939" s="6"/>
      <c r="W939" s="6"/>
      <c r="X939" s="6"/>
      <c r="Y939" s="4"/>
      <c r="Z939" s="6"/>
      <c r="AA939" s="4"/>
      <c r="AB939" s="4"/>
      <c r="AC939" s="4"/>
      <c r="AD939" s="6"/>
      <c r="AE939" s="4"/>
      <c r="AF939" s="4"/>
      <c r="AG939" s="4"/>
      <c r="AH939" s="4"/>
    </row>
    <row r="940" spans="1:34" x14ac:dyDescent="0.25">
      <c r="A940" s="4">
        <v>939</v>
      </c>
      <c r="B940" s="5" t="s">
        <v>2005</v>
      </c>
      <c r="C940" s="5" t="s">
        <v>2006</v>
      </c>
      <c r="D940" s="5" t="s">
        <v>1586</v>
      </c>
      <c r="E940" s="5" t="s">
        <v>24</v>
      </c>
      <c r="F940" s="5" t="s">
        <v>25</v>
      </c>
      <c r="G940" s="5" t="s">
        <v>45</v>
      </c>
      <c r="H940" s="4"/>
      <c r="I940" s="4"/>
      <c r="J940" s="6"/>
      <c r="K940" s="6"/>
      <c r="L940" s="6"/>
      <c r="M940" s="4"/>
      <c r="N940" s="4"/>
      <c r="O940" s="4"/>
      <c r="P940" s="6"/>
      <c r="Q940" s="6"/>
      <c r="R940" s="6"/>
      <c r="S940" s="6"/>
      <c r="T940" s="4"/>
      <c r="U940" s="6"/>
      <c r="V940" s="6"/>
      <c r="W940" s="6"/>
      <c r="X940" s="6"/>
      <c r="Y940" s="4"/>
      <c r="Z940" s="6"/>
      <c r="AA940" s="4"/>
      <c r="AB940" s="4"/>
      <c r="AC940" s="4"/>
      <c r="AD940" s="6"/>
      <c r="AE940" s="4"/>
      <c r="AF940" s="4"/>
      <c r="AG940" s="4"/>
      <c r="AH940" s="4">
        <v>73000000000</v>
      </c>
    </row>
    <row r="941" spans="1:34" x14ac:dyDescent="0.25">
      <c r="A941" s="4">
        <v>940</v>
      </c>
      <c r="B941" s="5" t="s">
        <v>2007</v>
      </c>
      <c r="C941" s="5" t="s">
        <v>2008</v>
      </c>
      <c r="D941" s="5" t="s">
        <v>1586</v>
      </c>
      <c r="E941" s="5" t="s">
        <v>40</v>
      </c>
      <c r="F941" s="5" t="s">
        <v>41</v>
      </c>
      <c r="G941" s="5" t="s">
        <v>557</v>
      </c>
      <c r="H941" s="4"/>
      <c r="I941" s="4"/>
      <c r="J941" s="6"/>
      <c r="K941" s="6"/>
      <c r="L941" s="6"/>
      <c r="M941" s="4"/>
      <c r="N941" s="4"/>
      <c r="O941" s="4"/>
      <c r="P941" s="6"/>
      <c r="Q941" s="6"/>
      <c r="R941" s="6"/>
      <c r="S941" s="6"/>
      <c r="T941" s="4"/>
      <c r="U941" s="6"/>
      <c r="V941" s="6"/>
      <c r="W941" s="6"/>
      <c r="X941" s="6"/>
      <c r="Y941" s="4"/>
      <c r="Z941" s="6"/>
      <c r="AA941" s="4"/>
      <c r="AB941" s="4"/>
      <c r="AC941" s="4"/>
      <c r="AD941" s="6"/>
      <c r="AE941" s="4"/>
      <c r="AF941" s="4"/>
      <c r="AG941" s="4"/>
      <c r="AH941" s="4">
        <v>75519200000</v>
      </c>
    </row>
    <row r="942" spans="1:34" x14ac:dyDescent="0.25">
      <c r="A942" s="4">
        <v>941</v>
      </c>
      <c r="B942" s="5" t="s">
        <v>2009</v>
      </c>
      <c r="C942" s="5" t="s">
        <v>2010</v>
      </c>
      <c r="D942" s="5" t="s">
        <v>1586</v>
      </c>
      <c r="E942" s="5" t="s">
        <v>234</v>
      </c>
      <c r="F942" s="5" t="s">
        <v>235</v>
      </c>
      <c r="G942" s="5" t="s">
        <v>236</v>
      </c>
      <c r="H942" s="4"/>
      <c r="I942" s="4"/>
      <c r="J942" s="6"/>
      <c r="K942" s="6"/>
      <c r="L942" s="6"/>
      <c r="M942" s="4"/>
      <c r="N942" s="4"/>
      <c r="O942" s="4"/>
      <c r="P942" s="6"/>
      <c r="Q942" s="6"/>
      <c r="R942" s="6"/>
      <c r="S942" s="6"/>
      <c r="T942" s="4"/>
      <c r="U942" s="6"/>
      <c r="V942" s="6"/>
      <c r="W942" s="6"/>
      <c r="X942" s="6"/>
      <c r="Y942" s="4"/>
      <c r="Z942" s="6"/>
      <c r="AA942" s="4"/>
      <c r="AB942" s="4"/>
      <c r="AC942" s="4"/>
      <c r="AD942" s="6"/>
      <c r="AE942" s="4"/>
      <c r="AF942" s="4"/>
      <c r="AG942" s="4"/>
      <c r="AH942" s="4">
        <v>625174200000</v>
      </c>
    </row>
    <row r="943" spans="1:34" x14ac:dyDescent="0.25">
      <c r="A943" s="4">
        <v>942</v>
      </c>
      <c r="B943" s="5" t="s">
        <v>2011</v>
      </c>
      <c r="C943" s="5" t="s">
        <v>2012</v>
      </c>
      <c r="D943" s="5" t="s">
        <v>1586</v>
      </c>
      <c r="E943" s="5" t="s">
        <v>234</v>
      </c>
      <c r="F943" s="5" t="s">
        <v>235</v>
      </c>
      <c r="G943" s="5" t="s">
        <v>236</v>
      </c>
      <c r="H943" s="4"/>
      <c r="I943" s="4"/>
      <c r="J943" s="6"/>
      <c r="K943" s="6"/>
      <c r="L943" s="6"/>
      <c r="M943" s="4"/>
      <c r="N943" s="4"/>
      <c r="O943" s="4"/>
      <c r="P943" s="6"/>
      <c r="Q943" s="6"/>
      <c r="R943" s="6"/>
      <c r="S943" s="6"/>
      <c r="T943" s="4"/>
      <c r="U943" s="6"/>
      <c r="V943" s="6"/>
      <c r="W943" s="6"/>
      <c r="X943" s="6"/>
      <c r="Y943" s="4"/>
      <c r="Z943" s="6"/>
      <c r="AA943" s="4"/>
      <c r="AB943" s="4"/>
      <c r="AC943" s="4"/>
      <c r="AD943" s="6"/>
      <c r="AE943" s="4"/>
      <c r="AF943" s="4"/>
      <c r="AG943" s="4"/>
      <c r="AH943" s="4">
        <v>98000000000</v>
      </c>
    </row>
    <row r="944" spans="1:34" x14ac:dyDescent="0.25">
      <c r="A944" s="4">
        <v>943</v>
      </c>
      <c r="B944" s="5" t="s">
        <v>2013</v>
      </c>
      <c r="C944" s="5" t="s">
        <v>2014</v>
      </c>
      <c r="D944" s="5" t="s">
        <v>1586</v>
      </c>
      <c r="E944" s="5" t="s">
        <v>40</v>
      </c>
      <c r="F944" s="5" t="s">
        <v>41</v>
      </c>
      <c r="G944" s="5" t="s">
        <v>90</v>
      </c>
      <c r="H944" s="4"/>
      <c r="I944" s="4"/>
      <c r="J944" s="6"/>
      <c r="K944" s="6"/>
      <c r="L944" s="6"/>
      <c r="M944" s="4"/>
      <c r="N944" s="4"/>
      <c r="O944" s="4"/>
      <c r="P944" s="6"/>
      <c r="Q944" s="6"/>
      <c r="R944" s="6"/>
      <c r="S944" s="6"/>
      <c r="T944" s="4"/>
      <c r="U944" s="6"/>
      <c r="V944" s="6"/>
      <c r="W944" s="6"/>
      <c r="X944" s="6"/>
      <c r="Y944" s="4"/>
      <c r="Z944" s="6"/>
      <c r="AA944" s="4"/>
      <c r="AB944" s="4"/>
      <c r="AC944" s="4"/>
      <c r="AD944" s="6"/>
      <c r="AE944" s="4"/>
      <c r="AF944" s="4"/>
      <c r="AG944" s="4"/>
      <c r="AH944" s="4">
        <v>17450784000</v>
      </c>
    </row>
    <row r="945" spans="1:34" x14ac:dyDescent="0.25">
      <c r="A945" s="4">
        <v>944</v>
      </c>
      <c r="B945" s="5" t="s">
        <v>2015</v>
      </c>
      <c r="C945" s="5" t="s">
        <v>2016</v>
      </c>
      <c r="D945" s="5" t="s">
        <v>1586</v>
      </c>
      <c r="E945" s="5" t="s">
        <v>234</v>
      </c>
      <c r="F945" s="5" t="s">
        <v>235</v>
      </c>
      <c r="G945" s="5" t="s">
        <v>236</v>
      </c>
      <c r="H945" s="4"/>
      <c r="I945" s="4"/>
      <c r="J945" s="6"/>
      <c r="K945" s="6"/>
      <c r="L945" s="6"/>
      <c r="M945" s="4"/>
      <c r="N945" s="4"/>
      <c r="O945" s="4"/>
      <c r="P945" s="6"/>
      <c r="Q945" s="6"/>
      <c r="R945" s="6"/>
      <c r="S945" s="6"/>
      <c r="T945" s="4"/>
      <c r="U945" s="6"/>
      <c r="V945" s="6"/>
      <c r="W945" s="6"/>
      <c r="X945" s="6"/>
      <c r="Y945" s="4"/>
      <c r="Z945" s="6"/>
      <c r="AA945" s="4"/>
      <c r="AB945" s="4"/>
      <c r="AC945" s="4"/>
      <c r="AD945" s="6"/>
      <c r="AE945" s="4"/>
      <c r="AF945" s="4"/>
      <c r="AG945" s="4"/>
      <c r="AH945" s="4">
        <v>122400000000</v>
      </c>
    </row>
    <row r="946" spans="1:34" x14ac:dyDescent="0.25">
      <c r="A946" s="4">
        <v>945</v>
      </c>
      <c r="B946" s="5" t="s">
        <v>2017</v>
      </c>
      <c r="C946" s="5" t="s">
        <v>2018</v>
      </c>
      <c r="D946" s="5" t="s">
        <v>1586</v>
      </c>
      <c r="E946" s="5" t="s">
        <v>234</v>
      </c>
      <c r="F946" s="5" t="s">
        <v>235</v>
      </c>
      <c r="G946" s="5" t="s">
        <v>236</v>
      </c>
      <c r="H946" s="4"/>
      <c r="I946" s="4"/>
      <c r="J946" s="6"/>
      <c r="K946" s="6"/>
      <c r="L946" s="6"/>
      <c r="M946" s="4"/>
      <c r="N946" s="4"/>
      <c r="O946" s="4"/>
      <c r="P946" s="6"/>
      <c r="Q946" s="6"/>
      <c r="R946" s="6"/>
      <c r="S946" s="6"/>
      <c r="T946" s="4"/>
      <c r="U946" s="6"/>
      <c r="V946" s="6"/>
      <c r="W946" s="6"/>
      <c r="X946" s="6"/>
      <c r="Y946" s="4"/>
      <c r="Z946" s="6"/>
      <c r="AA946" s="4"/>
      <c r="AB946" s="4"/>
      <c r="AC946" s="4"/>
      <c r="AD946" s="6"/>
      <c r="AE946" s="4"/>
      <c r="AF946" s="4"/>
      <c r="AG946" s="4"/>
      <c r="AH946" s="4">
        <v>79500265000</v>
      </c>
    </row>
    <row r="947" spans="1:34" x14ac:dyDescent="0.25">
      <c r="A947" s="4">
        <v>946</v>
      </c>
      <c r="B947" s="5" t="s">
        <v>2019</v>
      </c>
      <c r="C947" s="5" t="s">
        <v>2020</v>
      </c>
      <c r="D947" s="5" t="s">
        <v>1586</v>
      </c>
      <c r="E947" s="5" t="s">
        <v>24</v>
      </c>
      <c r="F947" s="5" t="s">
        <v>25</v>
      </c>
      <c r="G947" s="5" t="s">
        <v>26</v>
      </c>
      <c r="H947" s="4"/>
      <c r="I947" s="4"/>
      <c r="J947" s="6"/>
      <c r="K947" s="6"/>
      <c r="L947" s="6"/>
      <c r="M947" s="4"/>
      <c r="N947" s="4"/>
      <c r="O947" s="4"/>
      <c r="P947" s="6"/>
      <c r="Q947" s="6"/>
      <c r="R947" s="6"/>
      <c r="S947" s="6"/>
      <c r="T947" s="4"/>
      <c r="U947" s="6"/>
      <c r="V947" s="6"/>
      <c r="W947" s="6"/>
      <c r="X947" s="6"/>
      <c r="Y947" s="4"/>
      <c r="Z947" s="6"/>
      <c r="AA947" s="4"/>
      <c r="AB947" s="4"/>
      <c r="AC947" s="4"/>
      <c r="AD947" s="6"/>
      <c r="AE947" s="4"/>
      <c r="AF947" s="4"/>
      <c r="AG947" s="4"/>
      <c r="AH947" s="4">
        <v>1277560000000</v>
      </c>
    </row>
    <row r="948" spans="1:34" x14ac:dyDescent="0.25">
      <c r="A948" s="4">
        <v>947</v>
      </c>
      <c r="B948" s="5" t="s">
        <v>2021</v>
      </c>
      <c r="C948" s="5" t="s">
        <v>2022</v>
      </c>
      <c r="D948" s="5" t="s">
        <v>1586</v>
      </c>
      <c r="E948" s="5" t="s">
        <v>24</v>
      </c>
      <c r="F948" s="5" t="s">
        <v>25</v>
      </c>
      <c r="G948" s="5" t="s">
        <v>26</v>
      </c>
      <c r="H948" s="4"/>
      <c r="I948" s="4"/>
      <c r="J948" s="6"/>
      <c r="K948" s="6"/>
      <c r="L948" s="6"/>
      <c r="M948" s="4"/>
      <c r="N948" s="4"/>
      <c r="O948" s="4"/>
      <c r="P948" s="6"/>
      <c r="Q948" s="6"/>
      <c r="R948" s="6"/>
      <c r="S948" s="6"/>
      <c r="T948" s="4"/>
      <c r="U948" s="6"/>
      <c r="V948" s="6"/>
      <c r="W948" s="6"/>
      <c r="X948" s="6"/>
      <c r="Y948" s="4"/>
      <c r="Z948" s="6"/>
      <c r="AA948" s="4"/>
      <c r="AB948" s="4"/>
      <c r="AC948" s="4"/>
      <c r="AD948" s="6"/>
      <c r="AE948" s="4"/>
      <c r="AF948" s="4"/>
      <c r="AG948" s="4"/>
      <c r="AH948" s="4">
        <v>912804000000</v>
      </c>
    </row>
    <row r="949" spans="1:34" x14ac:dyDescent="0.25">
      <c r="A949" s="4">
        <v>948</v>
      </c>
      <c r="B949" s="5" t="s">
        <v>2023</v>
      </c>
      <c r="C949" s="5" t="s">
        <v>2024</v>
      </c>
      <c r="D949" s="5" t="s">
        <v>1586</v>
      </c>
      <c r="E949" s="5" t="s">
        <v>62</v>
      </c>
      <c r="F949" s="5" t="s">
        <v>226</v>
      </c>
      <c r="G949" s="5" t="s">
        <v>286</v>
      </c>
      <c r="H949" s="4"/>
      <c r="I949" s="4"/>
      <c r="J949" s="6"/>
      <c r="K949" s="6"/>
      <c r="L949" s="6"/>
      <c r="M949" s="4"/>
      <c r="N949" s="4"/>
      <c r="O949" s="4"/>
      <c r="P949" s="6"/>
      <c r="Q949" s="6"/>
      <c r="R949" s="6"/>
      <c r="S949" s="6"/>
      <c r="T949" s="4"/>
      <c r="U949" s="6"/>
      <c r="V949" s="6"/>
      <c r="W949" s="6"/>
      <c r="X949" s="6"/>
      <c r="Y949" s="4"/>
      <c r="Z949" s="6"/>
      <c r="AA949" s="4"/>
      <c r="AB949" s="4"/>
      <c r="AC949" s="4"/>
      <c r="AD949" s="6"/>
      <c r="AE949" s="4"/>
      <c r="AF949" s="4"/>
      <c r="AG949" s="4"/>
      <c r="AH949" s="4">
        <v>1045355632400</v>
      </c>
    </row>
    <row r="950" spans="1:34" x14ac:dyDescent="0.25">
      <c r="A950" s="4">
        <v>949</v>
      </c>
      <c r="B950" s="5" t="s">
        <v>2025</v>
      </c>
      <c r="C950" s="5" t="s">
        <v>2026</v>
      </c>
      <c r="D950" s="5" t="s">
        <v>1586</v>
      </c>
      <c r="E950" s="5" t="s">
        <v>40</v>
      </c>
      <c r="F950" s="5" t="s">
        <v>52</v>
      </c>
      <c r="G950" s="5" t="s">
        <v>53</v>
      </c>
      <c r="H950" s="4"/>
      <c r="I950" s="4"/>
      <c r="J950" s="6"/>
      <c r="K950" s="6"/>
      <c r="L950" s="6"/>
      <c r="M950" s="4"/>
      <c r="N950" s="4"/>
      <c r="O950" s="4"/>
      <c r="P950" s="6"/>
      <c r="Q950" s="6"/>
      <c r="R950" s="6"/>
      <c r="S950" s="6"/>
      <c r="T950" s="4"/>
      <c r="U950" s="6"/>
      <c r="V950" s="6"/>
      <c r="W950" s="6"/>
      <c r="X950" s="6"/>
      <c r="Y950" s="4"/>
      <c r="Z950" s="6"/>
      <c r="AA950" s="4"/>
      <c r="AB950" s="4"/>
      <c r="AC950" s="4"/>
      <c r="AD950" s="6"/>
      <c r="AE950" s="4"/>
      <c r="AF950" s="4"/>
      <c r="AG950" s="4"/>
      <c r="AH950" s="4">
        <v>207000000000</v>
      </c>
    </row>
    <row r="951" spans="1:34" x14ac:dyDescent="0.25">
      <c r="A951" s="4">
        <v>950</v>
      </c>
      <c r="B951" s="5" t="s">
        <v>2027</v>
      </c>
      <c r="C951" s="5" t="s">
        <v>2028</v>
      </c>
      <c r="D951" s="5" t="s">
        <v>1586</v>
      </c>
      <c r="E951" s="5" t="s">
        <v>40</v>
      </c>
      <c r="F951" s="5" t="s">
        <v>52</v>
      </c>
      <c r="G951" s="5" t="s">
        <v>110</v>
      </c>
      <c r="H951" s="4"/>
      <c r="I951" s="4"/>
      <c r="J951" s="6"/>
      <c r="K951" s="6"/>
      <c r="L951" s="6"/>
      <c r="M951" s="4"/>
      <c r="N951" s="4"/>
      <c r="O951" s="4"/>
      <c r="P951" s="6"/>
      <c r="Q951" s="6"/>
      <c r="R951" s="6"/>
      <c r="S951" s="6"/>
      <c r="T951" s="4"/>
      <c r="U951" s="6"/>
      <c r="V951" s="6"/>
      <c r="W951" s="6"/>
      <c r="X951" s="6"/>
      <c r="Y951" s="4"/>
      <c r="Z951" s="6"/>
      <c r="AA951" s="4"/>
      <c r="AB951" s="4"/>
      <c r="AC951" s="4"/>
      <c r="AD951" s="6"/>
      <c r="AE951" s="4"/>
      <c r="AF951" s="4"/>
      <c r="AG951" s="4"/>
      <c r="AH951" s="4">
        <v>484085000000</v>
      </c>
    </row>
    <row r="952" spans="1:34" x14ac:dyDescent="0.25">
      <c r="A952" s="4">
        <v>951</v>
      </c>
      <c r="B952" s="5" t="s">
        <v>2029</v>
      </c>
      <c r="C952" s="5" t="s">
        <v>2030</v>
      </c>
      <c r="D952" s="5" t="s">
        <v>1586</v>
      </c>
      <c r="E952" s="5" t="s">
        <v>62</v>
      </c>
      <c r="F952" s="5" t="s">
        <v>226</v>
      </c>
      <c r="G952" s="5" t="s">
        <v>737</v>
      </c>
      <c r="H952" s="4"/>
      <c r="I952" s="4"/>
      <c r="J952" s="6"/>
      <c r="K952" s="6"/>
      <c r="L952" s="6"/>
      <c r="M952" s="4"/>
      <c r="N952" s="4"/>
      <c r="O952" s="4"/>
      <c r="P952" s="6"/>
      <c r="Q952" s="6"/>
      <c r="R952" s="6"/>
      <c r="S952" s="6"/>
      <c r="T952" s="4"/>
      <c r="U952" s="6"/>
      <c r="V952" s="6"/>
      <c r="W952" s="6"/>
      <c r="X952" s="6"/>
      <c r="Y952" s="4"/>
      <c r="Z952" s="6"/>
      <c r="AA952" s="4"/>
      <c r="AB952" s="4"/>
      <c r="AC952" s="4"/>
      <c r="AD952" s="6"/>
      <c r="AE952" s="4"/>
      <c r="AF952" s="4"/>
      <c r="AG952" s="4"/>
      <c r="AH952" s="4">
        <v>1388602800000</v>
      </c>
    </row>
    <row r="953" spans="1:34" x14ac:dyDescent="0.25">
      <c r="A953" s="4">
        <v>952</v>
      </c>
      <c r="B953" s="5" t="s">
        <v>2031</v>
      </c>
      <c r="C953" s="5" t="s">
        <v>2032</v>
      </c>
      <c r="D953" s="5" t="s">
        <v>1586</v>
      </c>
      <c r="E953" s="5" t="s">
        <v>40</v>
      </c>
      <c r="F953" s="5" t="s">
        <v>52</v>
      </c>
      <c r="G953" s="5" t="s">
        <v>53</v>
      </c>
      <c r="H953" s="4">
        <v>31943302820</v>
      </c>
      <c r="I953" s="4">
        <v>77754836530</v>
      </c>
      <c r="J953" s="6">
        <v>-0.10879999999999999</v>
      </c>
      <c r="K953" s="6">
        <v>0.26829999999999998</v>
      </c>
      <c r="L953" s="6">
        <v>0.32790000000000002</v>
      </c>
      <c r="M953" s="4">
        <v>-6156423779</v>
      </c>
      <c r="N953" s="4">
        <v>-12346312921</v>
      </c>
      <c r="O953" s="4"/>
      <c r="P953" s="6">
        <v>5.8099999999999999E-2</v>
      </c>
      <c r="Q953" s="6">
        <v>1.32E-2</v>
      </c>
      <c r="R953" s="6">
        <v>0.18160000000000001</v>
      </c>
      <c r="S953" s="6">
        <v>5.4000000000000003E-3</v>
      </c>
      <c r="T953" s="4"/>
      <c r="U953" s="6">
        <v>-0.6028</v>
      </c>
      <c r="V953" s="6">
        <v>-9.5916999999999994</v>
      </c>
      <c r="W953" s="6">
        <v>-11.739699999999999</v>
      </c>
      <c r="X953" s="6">
        <v>0</v>
      </c>
      <c r="Y953" s="4"/>
      <c r="Z953" s="6">
        <v>-0.30270000000000002</v>
      </c>
      <c r="AA953" s="4"/>
      <c r="AB953" s="4"/>
      <c r="AC953" s="4"/>
      <c r="AD953" s="6">
        <v>0</v>
      </c>
      <c r="AE953" s="4"/>
      <c r="AF953" s="4"/>
      <c r="AG953" s="4"/>
      <c r="AH953" s="4">
        <v>46000000000</v>
      </c>
    </row>
    <row r="954" spans="1:34" x14ac:dyDescent="0.25">
      <c r="A954" s="4">
        <v>953</v>
      </c>
      <c r="B954" s="5" t="s">
        <v>2033</v>
      </c>
      <c r="C954" s="5" t="s">
        <v>2034</v>
      </c>
      <c r="D954" s="5" t="s">
        <v>1586</v>
      </c>
      <c r="E954" s="5" t="s">
        <v>234</v>
      </c>
      <c r="F954" s="5" t="s">
        <v>235</v>
      </c>
      <c r="G954" s="5" t="s">
        <v>498</v>
      </c>
      <c r="H954" s="4"/>
      <c r="I954" s="4"/>
      <c r="J954" s="6"/>
      <c r="K954" s="6"/>
      <c r="L954" s="6"/>
      <c r="M954" s="4"/>
      <c r="N954" s="4"/>
      <c r="O954" s="4"/>
      <c r="P954" s="6"/>
      <c r="Q954" s="6"/>
      <c r="R954" s="6"/>
      <c r="S954" s="6"/>
      <c r="T954" s="4"/>
      <c r="U954" s="6"/>
      <c r="V954" s="6"/>
      <c r="W954" s="6"/>
      <c r="X954" s="6"/>
      <c r="Y954" s="4"/>
      <c r="Z954" s="6"/>
      <c r="AA954" s="4"/>
      <c r="AB954" s="4"/>
      <c r="AC954" s="4"/>
      <c r="AD954" s="6"/>
      <c r="AE954" s="4"/>
      <c r="AF954" s="4"/>
      <c r="AG954" s="4"/>
      <c r="AH954" s="4">
        <v>107527982400</v>
      </c>
    </row>
    <row r="955" spans="1:34" x14ac:dyDescent="0.25">
      <c r="A955" s="4">
        <v>954</v>
      </c>
      <c r="B955" s="5" t="s">
        <v>2035</v>
      </c>
      <c r="C955" s="5" t="s">
        <v>2036</v>
      </c>
      <c r="D955" s="5" t="s">
        <v>1586</v>
      </c>
      <c r="E955" s="5" t="s">
        <v>62</v>
      </c>
      <c r="F955" s="5" t="s">
        <v>226</v>
      </c>
      <c r="G955" s="5" t="s">
        <v>227</v>
      </c>
      <c r="H955" s="4"/>
      <c r="I955" s="4"/>
      <c r="J955" s="6"/>
      <c r="K955" s="6"/>
      <c r="L955" s="6"/>
      <c r="M955" s="4"/>
      <c r="N955" s="4"/>
      <c r="O955" s="4"/>
      <c r="P955" s="6"/>
      <c r="Q955" s="6"/>
      <c r="R955" s="6"/>
      <c r="S955" s="6"/>
      <c r="T955" s="4"/>
      <c r="U955" s="6"/>
      <c r="V955" s="6"/>
      <c r="W955" s="6"/>
      <c r="X955" s="6"/>
      <c r="Y955" s="4"/>
      <c r="Z955" s="6"/>
      <c r="AA955" s="4"/>
      <c r="AB955" s="4"/>
      <c r="AC955" s="4"/>
      <c r="AD955" s="6"/>
      <c r="AE955" s="4"/>
      <c r="AF955" s="4"/>
      <c r="AG955" s="4"/>
      <c r="AH955" s="4">
        <v>25628720000</v>
      </c>
    </row>
    <row r="956" spans="1:34" x14ac:dyDescent="0.25">
      <c r="A956" s="4">
        <v>955</v>
      </c>
      <c r="B956" s="5" t="s">
        <v>2037</v>
      </c>
      <c r="C956" s="5" t="s">
        <v>2038</v>
      </c>
      <c r="D956" s="5" t="s">
        <v>1586</v>
      </c>
      <c r="E956" s="5" t="s">
        <v>234</v>
      </c>
      <c r="F956" s="5" t="s">
        <v>235</v>
      </c>
      <c r="G956" s="5" t="s">
        <v>236</v>
      </c>
      <c r="H956" s="4"/>
      <c r="I956" s="4"/>
      <c r="J956" s="6"/>
      <c r="K956" s="6"/>
      <c r="L956" s="6"/>
      <c r="M956" s="4"/>
      <c r="N956" s="4"/>
      <c r="O956" s="4"/>
      <c r="P956" s="6"/>
      <c r="Q956" s="6"/>
      <c r="R956" s="6"/>
      <c r="S956" s="6"/>
      <c r="T956" s="4"/>
      <c r="U956" s="6"/>
      <c r="V956" s="6"/>
      <c r="W956" s="6"/>
      <c r="X956" s="6"/>
      <c r="Y956" s="4"/>
      <c r="Z956" s="6"/>
      <c r="AA956" s="4"/>
      <c r="AB956" s="4"/>
      <c r="AC956" s="4"/>
      <c r="AD956" s="6"/>
      <c r="AE956" s="4"/>
      <c r="AF956" s="4"/>
      <c r="AG956" s="4"/>
      <c r="AH956" s="4">
        <v>2815411014128</v>
      </c>
    </row>
    <row r="957" spans="1:34" x14ac:dyDescent="0.25">
      <c r="A957" s="4">
        <v>956</v>
      </c>
      <c r="B957" s="5" t="s">
        <v>2039</v>
      </c>
      <c r="C957" s="5" t="s">
        <v>2040</v>
      </c>
      <c r="D957" s="5" t="s">
        <v>1586</v>
      </c>
      <c r="E957" s="5" t="s">
        <v>75</v>
      </c>
      <c r="F957" s="5" t="s">
        <v>76</v>
      </c>
      <c r="G957" s="5" t="s">
        <v>76</v>
      </c>
      <c r="H957" s="4"/>
      <c r="I957" s="4"/>
      <c r="J957" s="6"/>
      <c r="K957" s="6"/>
      <c r="L957" s="6"/>
      <c r="M957" s="4"/>
      <c r="N957" s="4"/>
      <c r="O957" s="4"/>
      <c r="P957" s="6"/>
      <c r="Q957" s="6"/>
      <c r="R957" s="6"/>
      <c r="S957" s="6"/>
      <c r="T957" s="4"/>
      <c r="U957" s="6"/>
      <c r="V957" s="6"/>
      <c r="W957" s="6"/>
      <c r="X957" s="6"/>
      <c r="Y957" s="4"/>
      <c r="Z957" s="6"/>
      <c r="AA957" s="4"/>
      <c r="AB957" s="4"/>
      <c r="AC957" s="4"/>
      <c r="AD957" s="6"/>
      <c r="AE957" s="4"/>
      <c r="AF957" s="4"/>
      <c r="AG957" s="4"/>
      <c r="AH957" s="4"/>
    </row>
    <row r="958" spans="1:34" x14ac:dyDescent="0.25">
      <c r="A958" s="4">
        <v>957</v>
      </c>
      <c r="B958" s="5" t="s">
        <v>2041</v>
      </c>
      <c r="C958" s="5" t="s">
        <v>2042</v>
      </c>
      <c r="D958" s="5" t="s">
        <v>1586</v>
      </c>
      <c r="E958" s="5" t="s">
        <v>40</v>
      </c>
      <c r="F958" s="5" t="s">
        <v>41</v>
      </c>
      <c r="G958" s="5" t="s">
        <v>1716</v>
      </c>
      <c r="H958" s="4"/>
      <c r="I958" s="4"/>
      <c r="J958" s="6"/>
      <c r="K958" s="6"/>
      <c r="L958" s="6"/>
      <c r="M958" s="4"/>
      <c r="N958" s="4"/>
      <c r="O958" s="4"/>
      <c r="P958" s="6"/>
      <c r="Q958" s="6"/>
      <c r="R958" s="6"/>
      <c r="S958" s="6"/>
      <c r="T958" s="4"/>
      <c r="U958" s="6"/>
      <c r="V958" s="6"/>
      <c r="W958" s="6"/>
      <c r="X958" s="6"/>
      <c r="Y958" s="4"/>
      <c r="Z958" s="6"/>
      <c r="AA958" s="4"/>
      <c r="AB958" s="4"/>
      <c r="AC958" s="4"/>
      <c r="AD958" s="6"/>
      <c r="AE958" s="4"/>
      <c r="AF958" s="4"/>
      <c r="AG958" s="4"/>
      <c r="AH958" s="4">
        <v>34727440000</v>
      </c>
    </row>
    <row r="959" spans="1:34" x14ac:dyDescent="0.25">
      <c r="A959" s="4">
        <v>958</v>
      </c>
      <c r="B959" s="5" t="s">
        <v>2043</v>
      </c>
      <c r="C959" s="5" t="s">
        <v>2044</v>
      </c>
      <c r="D959" s="5" t="s">
        <v>1586</v>
      </c>
      <c r="E959" s="5" t="s">
        <v>98</v>
      </c>
      <c r="F959" s="5" t="s">
        <v>99</v>
      </c>
      <c r="G959" s="5" t="s">
        <v>100</v>
      </c>
      <c r="H959" s="4"/>
      <c r="I959" s="4"/>
      <c r="J959" s="6"/>
      <c r="K959" s="6"/>
      <c r="L959" s="6"/>
      <c r="M959" s="4"/>
      <c r="N959" s="4"/>
      <c r="O959" s="4"/>
      <c r="P959" s="6"/>
      <c r="Q959" s="6"/>
      <c r="R959" s="6"/>
      <c r="S959" s="6"/>
      <c r="T959" s="4"/>
      <c r="U959" s="6"/>
      <c r="V959" s="6"/>
      <c r="W959" s="6"/>
      <c r="X959" s="6"/>
      <c r="Y959" s="4"/>
      <c r="Z959" s="6"/>
      <c r="AA959" s="4"/>
      <c r="AB959" s="4"/>
      <c r="AC959" s="4"/>
      <c r="AD959" s="6"/>
      <c r="AE959" s="4"/>
      <c r="AF959" s="4"/>
      <c r="AG959" s="4"/>
      <c r="AH959" s="4">
        <v>107936700000</v>
      </c>
    </row>
    <row r="960" spans="1:34" x14ac:dyDescent="0.25">
      <c r="A960" s="4">
        <v>959</v>
      </c>
      <c r="B960" s="5" t="s">
        <v>2045</v>
      </c>
      <c r="C960" s="5" t="s">
        <v>2046</v>
      </c>
      <c r="D960" s="5" t="s">
        <v>1586</v>
      </c>
      <c r="E960" s="5" t="s">
        <v>40</v>
      </c>
      <c r="F960" s="5" t="s">
        <v>52</v>
      </c>
      <c r="G960" s="5" t="s">
        <v>53</v>
      </c>
      <c r="H960" s="4"/>
      <c r="I960" s="4"/>
      <c r="J960" s="6"/>
      <c r="K960" s="6"/>
      <c r="L960" s="6"/>
      <c r="M960" s="4"/>
      <c r="N960" s="4"/>
      <c r="O960" s="4"/>
      <c r="P960" s="6"/>
      <c r="Q960" s="6"/>
      <c r="R960" s="6"/>
      <c r="S960" s="6"/>
      <c r="T960" s="4"/>
      <c r="U960" s="6"/>
      <c r="V960" s="6"/>
      <c r="W960" s="6"/>
      <c r="X960" s="6"/>
      <c r="Y960" s="4"/>
      <c r="Z960" s="6"/>
      <c r="AA960" s="4"/>
      <c r="AB960" s="4"/>
      <c r="AC960" s="4"/>
      <c r="AD960" s="6"/>
      <c r="AE960" s="4"/>
      <c r="AF960" s="4"/>
      <c r="AG960" s="4"/>
      <c r="AH960" s="4">
        <v>28000000000</v>
      </c>
    </row>
    <row r="961" spans="1:34" x14ac:dyDescent="0.25">
      <c r="A961" s="4">
        <v>960</v>
      </c>
      <c r="B961" s="5" t="s">
        <v>2047</v>
      </c>
      <c r="C961" s="5" t="s">
        <v>2048</v>
      </c>
      <c r="D961" s="5" t="s">
        <v>1586</v>
      </c>
      <c r="E961" s="5" t="s">
        <v>234</v>
      </c>
      <c r="F961" s="5" t="s">
        <v>235</v>
      </c>
      <c r="G961" s="5" t="s">
        <v>236</v>
      </c>
      <c r="H961" s="4"/>
      <c r="I961" s="4"/>
      <c r="J961" s="6"/>
      <c r="K961" s="6"/>
      <c r="L961" s="6"/>
      <c r="M961" s="4"/>
      <c r="N961" s="4"/>
      <c r="O961" s="4"/>
      <c r="P961" s="6"/>
      <c r="Q961" s="6"/>
      <c r="R961" s="6"/>
      <c r="S961" s="6"/>
      <c r="T961" s="4"/>
      <c r="U961" s="6"/>
      <c r="V961" s="6"/>
      <c r="W961" s="6"/>
      <c r="X961" s="6"/>
      <c r="Y961" s="4"/>
      <c r="Z961" s="6"/>
      <c r="AA961" s="4"/>
      <c r="AB961" s="4"/>
      <c r="AC961" s="4"/>
      <c r="AD961" s="6"/>
      <c r="AE961" s="4"/>
      <c r="AF961" s="4"/>
      <c r="AG961" s="4"/>
      <c r="AH961" s="4">
        <v>4458681000000</v>
      </c>
    </row>
    <row r="962" spans="1:34" x14ac:dyDescent="0.25">
      <c r="A962" s="4">
        <v>961</v>
      </c>
      <c r="B962" s="5" t="s">
        <v>2049</v>
      </c>
      <c r="C962" s="5" t="s">
        <v>2050</v>
      </c>
      <c r="D962" s="5" t="s">
        <v>1586</v>
      </c>
      <c r="E962" s="5" t="s">
        <v>40</v>
      </c>
      <c r="F962" s="5" t="s">
        <v>41</v>
      </c>
      <c r="G962" s="5" t="s">
        <v>1025</v>
      </c>
      <c r="H962" s="4"/>
      <c r="I962" s="4"/>
      <c r="J962" s="6"/>
      <c r="K962" s="6"/>
      <c r="L962" s="6"/>
      <c r="M962" s="4"/>
      <c r="N962" s="4"/>
      <c r="O962" s="4"/>
      <c r="P962" s="6"/>
      <c r="Q962" s="6"/>
      <c r="R962" s="6"/>
      <c r="S962" s="6"/>
      <c r="T962" s="4"/>
      <c r="U962" s="6"/>
      <c r="V962" s="6"/>
      <c r="W962" s="6"/>
      <c r="X962" s="6"/>
      <c r="Y962" s="4"/>
      <c r="Z962" s="6"/>
      <c r="AA962" s="4"/>
      <c r="AB962" s="4"/>
      <c r="AC962" s="4"/>
      <c r="AD962" s="6"/>
      <c r="AE962" s="4"/>
      <c r="AF962" s="4"/>
      <c r="AG962" s="4"/>
      <c r="AH962" s="4">
        <v>3100230000</v>
      </c>
    </row>
    <row r="963" spans="1:34" x14ac:dyDescent="0.25">
      <c r="A963" s="4">
        <v>962</v>
      </c>
      <c r="B963" s="5" t="s">
        <v>2051</v>
      </c>
      <c r="C963" s="5" t="s">
        <v>2052</v>
      </c>
      <c r="D963" s="5" t="s">
        <v>1586</v>
      </c>
      <c r="E963" s="5" t="s">
        <v>40</v>
      </c>
      <c r="F963" s="5" t="s">
        <v>52</v>
      </c>
      <c r="G963" s="5" t="s">
        <v>110</v>
      </c>
      <c r="H963" s="4"/>
      <c r="I963" s="4"/>
      <c r="J963" s="6"/>
      <c r="K963" s="6"/>
      <c r="L963" s="6"/>
      <c r="M963" s="4"/>
      <c r="N963" s="4"/>
      <c r="O963" s="4"/>
      <c r="P963" s="6"/>
      <c r="Q963" s="6"/>
      <c r="R963" s="6"/>
      <c r="S963" s="6"/>
      <c r="T963" s="4"/>
      <c r="U963" s="6"/>
      <c r="V963" s="6"/>
      <c r="W963" s="6"/>
      <c r="X963" s="6"/>
      <c r="Y963" s="4"/>
      <c r="Z963" s="6"/>
      <c r="AA963" s="4"/>
      <c r="AB963" s="4"/>
      <c r="AC963" s="4"/>
      <c r="AD963" s="6"/>
      <c r="AE963" s="4"/>
      <c r="AF963" s="4"/>
      <c r="AG963" s="4"/>
      <c r="AH963" s="4">
        <v>121236500000</v>
      </c>
    </row>
    <row r="964" spans="1:34" x14ac:dyDescent="0.25">
      <c r="A964" s="4">
        <v>963</v>
      </c>
      <c r="B964" s="5" t="s">
        <v>2053</v>
      </c>
      <c r="C964" s="5" t="s">
        <v>2054</v>
      </c>
      <c r="D964" s="5" t="s">
        <v>1586</v>
      </c>
      <c r="E964" s="5" t="s">
        <v>98</v>
      </c>
      <c r="F964" s="5" t="s">
        <v>99</v>
      </c>
      <c r="G964" s="5" t="s">
        <v>155</v>
      </c>
      <c r="H964" s="4"/>
      <c r="I964" s="4"/>
      <c r="J964" s="6"/>
      <c r="K964" s="6"/>
      <c r="L964" s="6"/>
      <c r="M964" s="4"/>
      <c r="N964" s="4"/>
      <c r="O964" s="4"/>
      <c r="P964" s="6"/>
      <c r="Q964" s="6"/>
      <c r="R964" s="6"/>
      <c r="S964" s="6"/>
      <c r="T964" s="4"/>
      <c r="U964" s="6"/>
      <c r="V964" s="6"/>
      <c r="W964" s="6"/>
      <c r="X964" s="6"/>
      <c r="Y964" s="4"/>
      <c r="Z964" s="6"/>
      <c r="AA964" s="4"/>
      <c r="AB964" s="4"/>
      <c r="AC964" s="4"/>
      <c r="AD964" s="6"/>
      <c r="AE964" s="4"/>
      <c r="AF964" s="4"/>
      <c r="AG964" s="4"/>
      <c r="AH964" s="4">
        <v>595728000000</v>
      </c>
    </row>
    <row r="965" spans="1:34" x14ac:dyDescent="0.25">
      <c r="A965" s="4">
        <v>964</v>
      </c>
      <c r="B965" s="5" t="s">
        <v>2055</v>
      </c>
      <c r="C965" s="5" t="s">
        <v>2056</v>
      </c>
      <c r="D965" s="5" t="s">
        <v>1586</v>
      </c>
      <c r="E965" s="5" t="s">
        <v>98</v>
      </c>
      <c r="F965" s="5" t="s">
        <v>99</v>
      </c>
      <c r="G965" s="5" t="s">
        <v>155</v>
      </c>
      <c r="H965" s="4"/>
      <c r="I965" s="4"/>
      <c r="J965" s="6"/>
      <c r="K965" s="6"/>
      <c r="L965" s="6"/>
      <c r="M965" s="4"/>
      <c r="N965" s="4"/>
      <c r="O965" s="4"/>
      <c r="P965" s="6"/>
      <c r="Q965" s="6"/>
      <c r="R965" s="6"/>
      <c r="S965" s="6"/>
      <c r="T965" s="4"/>
      <c r="U965" s="6"/>
      <c r="V965" s="6"/>
      <c r="W965" s="6"/>
      <c r="X965" s="6"/>
      <c r="Y965" s="4"/>
      <c r="Z965" s="6"/>
      <c r="AA965" s="4"/>
      <c r="AB965" s="4"/>
      <c r="AC965" s="4"/>
      <c r="AD965" s="6"/>
      <c r="AE965" s="4"/>
      <c r="AF965" s="4"/>
      <c r="AG965" s="4"/>
      <c r="AH965" s="4">
        <v>368037446000</v>
      </c>
    </row>
    <row r="966" spans="1:34" x14ac:dyDescent="0.25">
      <c r="A966" s="4">
        <v>965</v>
      </c>
      <c r="B966" s="5" t="s">
        <v>2057</v>
      </c>
      <c r="C966" s="5" t="s">
        <v>2058</v>
      </c>
      <c r="D966" s="5" t="s">
        <v>1586</v>
      </c>
      <c r="E966" s="5" t="s">
        <v>62</v>
      </c>
      <c r="F966" s="5" t="s">
        <v>226</v>
      </c>
      <c r="G966" s="5" t="s">
        <v>227</v>
      </c>
      <c r="H966" s="4"/>
      <c r="I966" s="4"/>
      <c r="J966" s="6"/>
      <c r="K966" s="6"/>
      <c r="L966" s="6"/>
      <c r="M966" s="4"/>
      <c r="N966" s="4"/>
      <c r="O966" s="4"/>
      <c r="P966" s="6"/>
      <c r="Q966" s="6"/>
      <c r="R966" s="6"/>
      <c r="S966" s="6"/>
      <c r="T966" s="4"/>
      <c r="U966" s="6"/>
      <c r="V966" s="6"/>
      <c r="W966" s="6"/>
      <c r="X966" s="6"/>
      <c r="Y966" s="4"/>
      <c r="Z966" s="6"/>
      <c r="AA966" s="4"/>
      <c r="AB966" s="4"/>
      <c r="AC966" s="4"/>
      <c r="AD966" s="6"/>
      <c r="AE966" s="4"/>
      <c r="AF966" s="4"/>
      <c r="AG966" s="4"/>
      <c r="AH966" s="4">
        <v>37204260000</v>
      </c>
    </row>
    <row r="967" spans="1:34" x14ac:dyDescent="0.25">
      <c r="A967" s="4">
        <v>966</v>
      </c>
      <c r="B967" s="5" t="s">
        <v>2059</v>
      </c>
      <c r="C967" s="5" t="s">
        <v>2060</v>
      </c>
      <c r="D967" s="5" t="s">
        <v>1586</v>
      </c>
      <c r="E967" s="5" t="s">
        <v>40</v>
      </c>
      <c r="F967" s="5" t="s">
        <v>52</v>
      </c>
      <c r="G967" s="5" t="s">
        <v>110</v>
      </c>
      <c r="H967" s="4"/>
      <c r="I967" s="4"/>
      <c r="J967" s="6"/>
      <c r="K967" s="6"/>
      <c r="L967" s="6"/>
      <c r="M967" s="4"/>
      <c r="N967" s="4"/>
      <c r="O967" s="4"/>
      <c r="P967" s="6"/>
      <c r="Q967" s="6"/>
      <c r="R967" s="6"/>
      <c r="S967" s="6"/>
      <c r="T967" s="4"/>
      <c r="U967" s="6"/>
      <c r="V967" s="6"/>
      <c r="W967" s="6"/>
      <c r="X967" s="6"/>
      <c r="Y967" s="4"/>
      <c r="Z967" s="6"/>
      <c r="AA967" s="4"/>
      <c r="AB967" s="4"/>
      <c r="AC967" s="4"/>
      <c r="AD967" s="6"/>
      <c r="AE967" s="4"/>
      <c r="AF967" s="4"/>
      <c r="AG967" s="4"/>
      <c r="AH967" s="4">
        <v>4200000000</v>
      </c>
    </row>
    <row r="968" spans="1:34" x14ac:dyDescent="0.25">
      <c r="A968" s="4">
        <v>967</v>
      </c>
      <c r="B968" s="5" t="s">
        <v>2061</v>
      </c>
      <c r="C968" s="5" t="s">
        <v>2062</v>
      </c>
      <c r="D968" s="5" t="s">
        <v>1586</v>
      </c>
      <c r="E968" s="5" t="s">
        <v>40</v>
      </c>
      <c r="F968" s="5" t="s">
        <v>52</v>
      </c>
      <c r="G968" s="5" t="s">
        <v>110</v>
      </c>
      <c r="H968" s="4"/>
      <c r="I968" s="4"/>
      <c r="J968" s="6"/>
      <c r="K968" s="6"/>
      <c r="L968" s="6"/>
      <c r="M968" s="4"/>
      <c r="N968" s="4"/>
      <c r="O968" s="4"/>
      <c r="P968" s="6"/>
      <c r="Q968" s="6"/>
      <c r="R968" s="6"/>
      <c r="S968" s="6"/>
      <c r="T968" s="4"/>
      <c r="U968" s="6"/>
      <c r="V968" s="6"/>
      <c r="W968" s="6"/>
      <c r="X968" s="6"/>
      <c r="Y968" s="4"/>
      <c r="Z968" s="6"/>
      <c r="AA968" s="4"/>
      <c r="AB968" s="4"/>
      <c r="AC968" s="4"/>
      <c r="AD968" s="6"/>
      <c r="AE968" s="4"/>
      <c r="AF968" s="4"/>
      <c r="AG968" s="4"/>
      <c r="AH968" s="4">
        <v>45000000000</v>
      </c>
    </row>
    <row r="969" spans="1:34" x14ac:dyDescent="0.25">
      <c r="A969" s="4">
        <v>968</v>
      </c>
      <c r="B969" s="5" t="s">
        <v>2063</v>
      </c>
      <c r="C969" s="5" t="s">
        <v>2064</v>
      </c>
      <c r="D969" s="5" t="s">
        <v>1586</v>
      </c>
      <c r="E969" s="5" t="s">
        <v>24</v>
      </c>
      <c r="F969" s="5" t="s">
        <v>25</v>
      </c>
      <c r="G969" s="5" t="s">
        <v>26</v>
      </c>
      <c r="H969" s="4"/>
      <c r="I969" s="4"/>
      <c r="J969" s="6"/>
      <c r="K969" s="6"/>
      <c r="L969" s="6"/>
      <c r="M969" s="4"/>
      <c r="N969" s="4"/>
      <c r="O969" s="4"/>
      <c r="P969" s="6"/>
      <c r="Q969" s="6"/>
      <c r="R969" s="6"/>
      <c r="S969" s="6"/>
      <c r="T969" s="4"/>
      <c r="U969" s="6"/>
      <c r="V969" s="6"/>
      <c r="W969" s="6"/>
      <c r="X969" s="6"/>
      <c r="Y969" s="4"/>
      <c r="Z969" s="6"/>
      <c r="AA969" s="4"/>
      <c r="AB969" s="4"/>
      <c r="AC969" s="4"/>
      <c r="AD969" s="6"/>
      <c r="AE969" s="4"/>
      <c r="AF969" s="4"/>
      <c r="AG969" s="4"/>
      <c r="AH969" s="4">
        <v>644999677500</v>
      </c>
    </row>
    <row r="970" spans="1:34" x14ac:dyDescent="0.25">
      <c r="A970" s="4">
        <v>969</v>
      </c>
      <c r="B970" s="5" t="s">
        <v>2065</v>
      </c>
      <c r="C970" s="5" t="s">
        <v>2066</v>
      </c>
      <c r="D970" s="5" t="s">
        <v>1586</v>
      </c>
      <c r="E970" s="5" t="s">
        <v>75</v>
      </c>
      <c r="F970" s="5" t="s">
        <v>76</v>
      </c>
      <c r="G970" s="5" t="s">
        <v>76</v>
      </c>
      <c r="H970" s="4"/>
      <c r="I970" s="4"/>
      <c r="J970" s="6"/>
      <c r="K970" s="6"/>
      <c r="L970" s="6"/>
      <c r="M970" s="4"/>
      <c r="N970" s="4"/>
      <c r="O970" s="4"/>
      <c r="P970" s="6"/>
      <c r="Q970" s="6"/>
      <c r="R970" s="6"/>
      <c r="S970" s="6"/>
      <c r="T970" s="4"/>
      <c r="U970" s="6"/>
      <c r="V970" s="6"/>
      <c r="W970" s="6"/>
      <c r="X970" s="6"/>
      <c r="Y970" s="4"/>
      <c r="Z970" s="6"/>
      <c r="AA970" s="4"/>
      <c r="AB970" s="4"/>
      <c r="AC970" s="4"/>
      <c r="AD970" s="6"/>
      <c r="AE970" s="4"/>
      <c r="AF970" s="4"/>
      <c r="AG970" s="4"/>
      <c r="AH970" s="4">
        <v>40256000000</v>
      </c>
    </row>
    <row r="971" spans="1:34" x14ac:dyDescent="0.25">
      <c r="A971" s="4">
        <v>970</v>
      </c>
      <c r="B971" s="5" t="s">
        <v>2067</v>
      </c>
      <c r="C971" s="5" t="s">
        <v>2068</v>
      </c>
      <c r="D971" s="5" t="s">
        <v>1586</v>
      </c>
      <c r="E971" s="5" t="s">
        <v>40</v>
      </c>
      <c r="F971" s="5" t="s">
        <v>41</v>
      </c>
      <c r="G971" s="5" t="s">
        <v>1716</v>
      </c>
      <c r="H971" s="4"/>
      <c r="I971" s="4"/>
      <c r="J971" s="6"/>
      <c r="K971" s="6"/>
      <c r="L971" s="6"/>
      <c r="M971" s="4"/>
      <c r="N971" s="4"/>
      <c r="O971" s="4"/>
      <c r="P971" s="6"/>
      <c r="Q971" s="6"/>
      <c r="R971" s="6"/>
      <c r="S971" s="6"/>
      <c r="T971" s="4"/>
      <c r="U971" s="6"/>
      <c r="V971" s="6"/>
      <c r="W971" s="6"/>
      <c r="X971" s="6"/>
      <c r="Y971" s="4"/>
      <c r="Z971" s="6"/>
      <c r="AA971" s="4"/>
      <c r="AB971" s="4"/>
      <c r="AC971" s="4"/>
      <c r="AD971" s="6"/>
      <c r="AE971" s="4"/>
      <c r="AF971" s="4"/>
      <c r="AG971" s="4"/>
      <c r="AH971" s="4">
        <v>99560000000</v>
      </c>
    </row>
    <row r="972" spans="1:34" x14ac:dyDescent="0.25">
      <c r="A972" s="4">
        <v>971</v>
      </c>
      <c r="B972" s="5" t="s">
        <v>2069</v>
      </c>
      <c r="C972" s="5" t="s">
        <v>2070</v>
      </c>
      <c r="D972" s="5" t="s">
        <v>1586</v>
      </c>
      <c r="E972" s="5" t="s">
        <v>40</v>
      </c>
      <c r="F972" s="5" t="s">
        <v>52</v>
      </c>
      <c r="G972" s="5" t="s">
        <v>110</v>
      </c>
      <c r="H972" s="4"/>
      <c r="I972" s="4"/>
      <c r="J972" s="6"/>
      <c r="K972" s="6"/>
      <c r="L972" s="6"/>
      <c r="M972" s="4"/>
      <c r="N972" s="4"/>
      <c r="O972" s="4"/>
      <c r="P972" s="6"/>
      <c r="Q972" s="6"/>
      <c r="R972" s="6"/>
      <c r="S972" s="6"/>
      <c r="T972" s="4"/>
      <c r="U972" s="6"/>
      <c r="V972" s="6"/>
      <c r="W972" s="6"/>
      <c r="X972" s="6"/>
      <c r="Y972" s="4"/>
      <c r="Z972" s="6"/>
      <c r="AA972" s="4"/>
      <c r="AB972" s="4"/>
      <c r="AC972" s="4"/>
      <c r="AD972" s="6"/>
      <c r="AE972" s="4"/>
      <c r="AF972" s="4"/>
      <c r="AG972" s="4"/>
      <c r="AH972" s="4">
        <v>668037519030</v>
      </c>
    </row>
    <row r="973" spans="1:34" x14ac:dyDescent="0.25">
      <c r="A973" s="4">
        <v>972</v>
      </c>
      <c r="B973" s="5" t="s">
        <v>2071</v>
      </c>
      <c r="C973" s="5" t="s">
        <v>2072</v>
      </c>
      <c r="D973" s="5" t="s">
        <v>1586</v>
      </c>
      <c r="E973" s="5" t="s">
        <v>62</v>
      </c>
      <c r="F973" s="5" t="s">
        <v>226</v>
      </c>
      <c r="G973" s="5" t="s">
        <v>227</v>
      </c>
      <c r="H973" s="4"/>
      <c r="I973" s="4"/>
      <c r="J973" s="6"/>
      <c r="K973" s="6"/>
      <c r="L973" s="6"/>
      <c r="M973" s="4"/>
      <c r="N973" s="4"/>
      <c r="O973" s="4"/>
      <c r="P973" s="6"/>
      <c r="Q973" s="6"/>
      <c r="R973" s="6"/>
      <c r="S973" s="6"/>
      <c r="T973" s="4"/>
      <c r="U973" s="6"/>
      <c r="V973" s="6"/>
      <c r="W973" s="6"/>
      <c r="X973" s="6"/>
      <c r="Y973" s="4"/>
      <c r="Z973" s="6"/>
      <c r="AA973" s="4"/>
      <c r="AB973" s="4"/>
      <c r="AC973" s="4"/>
      <c r="AD973" s="6"/>
      <c r="AE973" s="4"/>
      <c r="AF973" s="4"/>
      <c r="AG973" s="4"/>
      <c r="AH973" s="4">
        <v>81006375224</v>
      </c>
    </row>
    <row r="974" spans="1:34" x14ac:dyDescent="0.25">
      <c r="A974" s="4">
        <v>973</v>
      </c>
      <c r="B974" s="5" t="s">
        <v>2073</v>
      </c>
      <c r="C974" s="5" t="s">
        <v>2074</v>
      </c>
      <c r="D974" s="5" t="s">
        <v>1586</v>
      </c>
      <c r="E974" s="5" t="s">
        <v>40</v>
      </c>
      <c r="F974" s="5" t="s">
        <v>41</v>
      </c>
      <c r="G974" s="5" t="s">
        <v>389</v>
      </c>
      <c r="H974" s="4"/>
      <c r="I974" s="4"/>
      <c r="J974" s="6"/>
      <c r="K974" s="6"/>
      <c r="L974" s="6"/>
      <c r="M974" s="4"/>
      <c r="N974" s="4"/>
      <c r="O974" s="4"/>
      <c r="P974" s="6"/>
      <c r="Q974" s="6"/>
      <c r="R974" s="6"/>
      <c r="S974" s="6"/>
      <c r="T974" s="4"/>
      <c r="U974" s="6"/>
      <c r="V974" s="6"/>
      <c r="W974" s="6"/>
      <c r="X974" s="6"/>
      <c r="Y974" s="4"/>
      <c r="Z974" s="6"/>
      <c r="AA974" s="4"/>
      <c r="AB974" s="4"/>
      <c r="AC974" s="4"/>
      <c r="AD974" s="6"/>
      <c r="AE974" s="4"/>
      <c r="AF974" s="4"/>
      <c r="AG974" s="4"/>
      <c r="AH974" s="4">
        <v>94885479800</v>
      </c>
    </row>
    <row r="975" spans="1:34" x14ac:dyDescent="0.25">
      <c r="A975" s="4">
        <v>974</v>
      </c>
      <c r="B975" s="5" t="s">
        <v>2075</v>
      </c>
      <c r="C975" s="5" t="s">
        <v>2076</v>
      </c>
      <c r="D975" s="5" t="s">
        <v>1586</v>
      </c>
      <c r="E975" s="5" t="s">
        <v>40</v>
      </c>
      <c r="F975" s="5" t="s">
        <v>41</v>
      </c>
      <c r="G975" s="5" t="s">
        <v>389</v>
      </c>
      <c r="H975" s="4"/>
      <c r="I975" s="4"/>
      <c r="J975" s="6"/>
      <c r="K975" s="6"/>
      <c r="L975" s="6"/>
      <c r="M975" s="4"/>
      <c r="N975" s="4"/>
      <c r="O975" s="4"/>
      <c r="P975" s="6"/>
      <c r="Q975" s="6"/>
      <c r="R975" s="6"/>
      <c r="S975" s="6"/>
      <c r="T975" s="4"/>
      <c r="U975" s="6"/>
      <c r="V975" s="6"/>
      <c r="W975" s="6"/>
      <c r="X975" s="6"/>
      <c r="Y975" s="4"/>
      <c r="Z975" s="6"/>
      <c r="AA975" s="4"/>
      <c r="AB975" s="4"/>
      <c r="AC975" s="4"/>
      <c r="AD975" s="6"/>
      <c r="AE975" s="4"/>
      <c r="AF975" s="4"/>
      <c r="AG975" s="4"/>
      <c r="AH975" s="4">
        <v>33900000000</v>
      </c>
    </row>
    <row r="976" spans="1:34" x14ac:dyDescent="0.25">
      <c r="A976" s="4">
        <v>975</v>
      </c>
      <c r="B976" s="5" t="s">
        <v>2077</v>
      </c>
      <c r="C976" s="5" t="s">
        <v>2078</v>
      </c>
      <c r="D976" s="5" t="s">
        <v>1586</v>
      </c>
      <c r="E976" s="5" t="s">
        <v>40</v>
      </c>
      <c r="F976" s="5" t="s">
        <v>41</v>
      </c>
      <c r="G976" s="5" t="s">
        <v>958</v>
      </c>
      <c r="H976" s="4"/>
      <c r="I976" s="4"/>
      <c r="J976" s="6"/>
      <c r="K976" s="6"/>
      <c r="L976" s="6"/>
      <c r="M976" s="4"/>
      <c r="N976" s="4"/>
      <c r="O976" s="4"/>
      <c r="P976" s="6"/>
      <c r="Q976" s="6"/>
      <c r="R976" s="6"/>
      <c r="S976" s="6"/>
      <c r="T976" s="4"/>
      <c r="U976" s="6"/>
      <c r="V976" s="6"/>
      <c r="W976" s="6"/>
      <c r="X976" s="6"/>
      <c r="Y976" s="4"/>
      <c r="Z976" s="6"/>
      <c r="AA976" s="4"/>
      <c r="AB976" s="4"/>
      <c r="AC976" s="4"/>
      <c r="AD976" s="6"/>
      <c r="AE976" s="4"/>
      <c r="AF976" s="4"/>
      <c r="AG976" s="4"/>
      <c r="AH976" s="4">
        <v>388489640000</v>
      </c>
    </row>
    <row r="977" spans="1:34" x14ac:dyDescent="0.25">
      <c r="A977" s="4">
        <v>976</v>
      </c>
      <c r="B977" s="5" t="s">
        <v>2079</v>
      </c>
      <c r="C977" s="5" t="s">
        <v>2080</v>
      </c>
      <c r="D977" s="5" t="s">
        <v>1586</v>
      </c>
      <c r="E977" s="5" t="s">
        <v>40</v>
      </c>
      <c r="F977" s="5" t="s">
        <v>41</v>
      </c>
      <c r="G977" s="5" t="s">
        <v>93</v>
      </c>
      <c r="H977" s="4"/>
      <c r="I977" s="4"/>
      <c r="J977" s="6"/>
      <c r="K977" s="6"/>
      <c r="L977" s="6"/>
      <c r="M977" s="4"/>
      <c r="N977" s="4"/>
      <c r="O977" s="4"/>
      <c r="P977" s="6"/>
      <c r="Q977" s="6"/>
      <c r="R977" s="6"/>
      <c r="S977" s="6"/>
      <c r="T977" s="4"/>
      <c r="U977" s="6"/>
      <c r="V977" s="6"/>
      <c r="W977" s="6"/>
      <c r="X977" s="6"/>
      <c r="Y977" s="4"/>
      <c r="Z977" s="6"/>
      <c r="AA977" s="4"/>
      <c r="AB977" s="4"/>
      <c r="AC977" s="4"/>
      <c r="AD977" s="6"/>
      <c r="AE977" s="4"/>
      <c r="AF977" s="4"/>
      <c r="AG977" s="4"/>
      <c r="AH977" s="4"/>
    </row>
    <row r="978" spans="1:34" x14ac:dyDescent="0.25">
      <c r="A978" s="4">
        <v>977</v>
      </c>
      <c r="B978" s="5" t="s">
        <v>2081</v>
      </c>
      <c r="C978" s="5" t="s">
        <v>2082</v>
      </c>
      <c r="D978" s="5" t="s">
        <v>1586</v>
      </c>
      <c r="E978" s="5" t="s">
        <v>75</v>
      </c>
      <c r="F978" s="5" t="s">
        <v>79</v>
      </c>
      <c r="G978" s="5" t="s">
        <v>315</v>
      </c>
      <c r="H978" s="4">
        <v>1155821440364</v>
      </c>
      <c r="I978" s="4"/>
      <c r="J978" s="6">
        <v>0</v>
      </c>
      <c r="K978" s="6">
        <v>0</v>
      </c>
      <c r="L978" s="6">
        <v>0</v>
      </c>
      <c r="M978" s="4">
        <v>303348417920</v>
      </c>
      <c r="N978" s="4"/>
      <c r="O978" s="4"/>
      <c r="P978" s="6">
        <v>0</v>
      </c>
      <c r="Q978" s="6">
        <v>0</v>
      </c>
      <c r="R978" s="6">
        <v>0</v>
      </c>
      <c r="S978" s="6">
        <v>0.25629999999999997</v>
      </c>
      <c r="T978" s="4"/>
      <c r="U978" s="6">
        <v>-0.60029999999999994</v>
      </c>
      <c r="V978" s="6">
        <v>-0.3947</v>
      </c>
      <c r="W978" s="6">
        <v>-0.39929999999999999</v>
      </c>
      <c r="X978" s="6">
        <v>0</v>
      </c>
      <c r="Y978" s="4"/>
      <c r="Z978" s="6">
        <v>0.125</v>
      </c>
      <c r="AA978" s="4"/>
      <c r="AB978" s="4"/>
      <c r="AC978" s="4"/>
      <c r="AD978" s="6">
        <v>0</v>
      </c>
      <c r="AE978" s="4"/>
      <c r="AF978" s="4"/>
      <c r="AG978" s="4"/>
      <c r="AH978" s="4">
        <v>16571973358382</v>
      </c>
    </row>
    <row r="979" spans="1:34" x14ac:dyDescent="0.25">
      <c r="A979" s="4">
        <v>978</v>
      </c>
      <c r="B979" s="5" t="s">
        <v>2083</v>
      </c>
      <c r="C979" s="5" t="s">
        <v>2084</v>
      </c>
      <c r="D979" s="5" t="s">
        <v>1586</v>
      </c>
      <c r="E979" s="5" t="s">
        <v>40</v>
      </c>
      <c r="F979" s="5" t="s">
        <v>41</v>
      </c>
      <c r="G979" s="5" t="s">
        <v>519</v>
      </c>
      <c r="H979" s="4"/>
      <c r="I979" s="4"/>
      <c r="J979" s="6"/>
      <c r="K979" s="6"/>
      <c r="L979" s="6"/>
      <c r="M979" s="4"/>
      <c r="N979" s="4"/>
      <c r="O979" s="4"/>
      <c r="P979" s="6"/>
      <c r="Q979" s="6"/>
      <c r="R979" s="6"/>
      <c r="S979" s="6"/>
      <c r="T979" s="4"/>
      <c r="U979" s="6"/>
      <c r="V979" s="6"/>
      <c r="W979" s="6"/>
      <c r="X979" s="6"/>
      <c r="Y979" s="4"/>
      <c r="Z979" s="6"/>
      <c r="AA979" s="4"/>
      <c r="AB979" s="4"/>
      <c r="AC979" s="4"/>
      <c r="AD979" s="6"/>
      <c r="AE979" s="4"/>
      <c r="AF979" s="4"/>
      <c r="AG979" s="4"/>
      <c r="AH979" s="4">
        <v>13690000000</v>
      </c>
    </row>
    <row r="980" spans="1:34" x14ac:dyDescent="0.25">
      <c r="A980" s="4">
        <v>979</v>
      </c>
      <c r="B980" s="5" t="s">
        <v>2085</v>
      </c>
      <c r="C980" s="5" t="s">
        <v>2086</v>
      </c>
      <c r="D980" s="5" t="s">
        <v>1586</v>
      </c>
      <c r="E980" s="5" t="s">
        <v>75</v>
      </c>
      <c r="F980" s="5" t="s">
        <v>76</v>
      </c>
      <c r="G980" s="5" t="s">
        <v>76</v>
      </c>
      <c r="H980" s="4"/>
      <c r="I980" s="4"/>
      <c r="J980" s="6"/>
      <c r="K980" s="6"/>
      <c r="L980" s="6"/>
      <c r="M980" s="4"/>
      <c r="N980" s="4"/>
      <c r="O980" s="4"/>
      <c r="P980" s="6"/>
      <c r="Q980" s="6"/>
      <c r="R980" s="6"/>
      <c r="S980" s="6"/>
      <c r="T980" s="4"/>
      <c r="U980" s="6"/>
      <c r="V980" s="6"/>
      <c r="W980" s="6"/>
      <c r="X980" s="6"/>
      <c r="Y980" s="4"/>
      <c r="Z980" s="6"/>
      <c r="AA980" s="4"/>
      <c r="AB980" s="4"/>
      <c r="AC980" s="4"/>
      <c r="AD980" s="6"/>
      <c r="AE980" s="4"/>
      <c r="AF980" s="4"/>
      <c r="AG980" s="4"/>
      <c r="AH980" s="4">
        <v>479763200000</v>
      </c>
    </row>
    <row r="981" spans="1:34" x14ac:dyDescent="0.25">
      <c r="A981" s="4">
        <v>980</v>
      </c>
      <c r="B981" s="5" t="s">
        <v>2087</v>
      </c>
      <c r="C981" s="5" t="s">
        <v>2088</v>
      </c>
      <c r="D981" s="5" t="s">
        <v>1586</v>
      </c>
      <c r="E981" s="5" t="s">
        <v>29</v>
      </c>
      <c r="F981" s="5" t="s">
        <v>30</v>
      </c>
      <c r="G981" s="5" t="s">
        <v>83</v>
      </c>
      <c r="H981" s="4"/>
      <c r="I981" s="4"/>
      <c r="J981" s="6"/>
      <c r="K981" s="6"/>
      <c r="L981" s="6"/>
      <c r="M981" s="4"/>
      <c r="N981" s="4"/>
      <c r="O981" s="4"/>
      <c r="P981" s="6"/>
      <c r="Q981" s="6"/>
      <c r="R981" s="6"/>
      <c r="S981" s="6"/>
      <c r="T981" s="4"/>
      <c r="U981" s="6"/>
      <c r="V981" s="6"/>
      <c r="W981" s="6"/>
      <c r="X981" s="6"/>
      <c r="Y981" s="4"/>
      <c r="Z981" s="6"/>
      <c r="AA981" s="4"/>
      <c r="AB981" s="4"/>
      <c r="AC981" s="4"/>
      <c r="AD981" s="6"/>
      <c r="AE981" s="4"/>
      <c r="AF981" s="4"/>
      <c r="AG981" s="4"/>
      <c r="AH981" s="4">
        <v>203205000000</v>
      </c>
    </row>
    <row r="982" spans="1:34" x14ac:dyDescent="0.25">
      <c r="A982" s="4">
        <v>981</v>
      </c>
      <c r="B982" s="5" t="s">
        <v>2089</v>
      </c>
      <c r="C982" s="5" t="s">
        <v>2090</v>
      </c>
      <c r="D982" s="5" t="s">
        <v>1586</v>
      </c>
      <c r="E982" s="5" t="s">
        <v>29</v>
      </c>
      <c r="F982" s="5" t="s">
        <v>30</v>
      </c>
      <c r="G982" s="5" t="s">
        <v>574</v>
      </c>
      <c r="H982" s="4">
        <v>2242388063</v>
      </c>
      <c r="I982" s="4">
        <v>2956513775</v>
      </c>
      <c r="J982" s="6">
        <v>17.983699999999999</v>
      </c>
      <c r="K982" s="6">
        <v>-0.4652</v>
      </c>
      <c r="L982" s="6">
        <v>-0.13159999999999999</v>
      </c>
      <c r="M982" s="4">
        <v>-4354257648</v>
      </c>
      <c r="N982" s="4">
        <v>-7548959350</v>
      </c>
      <c r="O982" s="4"/>
      <c r="P982" s="6">
        <v>0.46389999999999998</v>
      </c>
      <c r="Q982" s="6">
        <v>0.1699</v>
      </c>
      <c r="R982" s="6">
        <v>-0.3382</v>
      </c>
      <c r="S982" s="6">
        <v>-0.6845</v>
      </c>
      <c r="T982" s="4"/>
      <c r="U982" s="6">
        <v>-0.95740000000000003</v>
      </c>
      <c r="V982" s="6">
        <v>-6.0026000000000002</v>
      </c>
      <c r="W982" s="6">
        <v>-6.0026000000000002</v>
      </c>
      <c r="X982" s="6">
        <v>0</v>
      </c>
      <c r="Y982" s="4"/>
      <c r="Z982" s="6">
        <v>2.14</v>
      </c>
      <c r="AA982" s="4"/>
      <c r="AB982" s="4"/>
      <c r="AC982" s="4"/>
      <c r="AD982" s="6">
        <v>0</v>
      </c>
      <c r="AE982" s="4"/>
      <c r="AF982" s="4"/>
      <c r="AG982" s="4"/>
      <c r="AH982" s="4">
        <v>64575720000</v>
      </c>
    </row>
    <row r="983" spans="1:34" x14ac:dyDescent="0.25">
      <c r="A983" s="4">
        <v>982</v>
      </c>
      <c r="B983" s="5" t="s">
        <v>2091</v>
      </c>
      <c r="C983" s="5" t="s">
        <v>2092</v>
      </c>
      <c r="D983" s="5" t="s">
        <v>1586</v>
      </c>
      <c r="E983" s="5" t="s">
        <v>75</v>
      </c>
      <c r="F983" s="5" t="s">
        <v>76</v>
      </c>
      <c r="G983" s="5" t="s">
        <v>76</v>
      </c>
      <c r="H983" s="4"/>
      <c r="I983" s="4"/>
      <c r="J983" s="6"/>
      <c r="K983" s="6"/>
      <c r="L983" s="6"/>
      <c r="M983" s="4"/>
      <c r="N983" s="4"/>
      <c r="O983" s="4"/>
      <c r="P983" s="6"/>
      <c r="Q983" s="6"/>
      <c r="R983" s="6"/>
      <c r="S983" s="6"/>
      <c r="T983" s="4"/>
      <c r="U983" s="6"/>
      <c r="V983" s="6"/>
      <c r="W983" s="6"/>
      <c r="X983" s="6"/>
      <c r="Y983" s="4"/>
      <c r="Z983" s="6"/>
      <c r="AA983" s="4"/>
      <c r="AB983" s="4"/>
      <c r="AC983" s="4"/>
      <c r="AD983" s="6"/>
      <c r="AE983" s="4"/>
      <c r="AF983" s="4"/>
      <c r="AG983" s="4"/>
      <c r="AH983" s="4"/>
    </row>
    <row r="984" spans="1:34" x14ac:dyDescent="0.25">
      <c r="A984" s="4">
        <v>983</v>
      </c>
      <c r="B984" s="5" t="s">
        <v>2093</v>
      </c>
      <c r="C984" s="5" t="s">
        <v>2094</v>
      </c>
      <c r="D984" s="5" t="s">
        <v>1586</v>
      </c>
      <c r="E984" s="5" t="s">
        <v>62</v>
      </c>
      <c r="F984" s="5" t="s">
        <v>71</v>
      </c>
      <c r="G984" s="5" t="s">
        <v>72</v>
      </c>
      <c r="H984" s="4"/>
      <c r="I984" s="4"/>
      <c r="J984" s="6"/>
      <c r="K984" s="6"/>
      <c r="L984" s="6"/>
      <c r="M984" s="4"/>
      <c r="N984" s="4"/>
      <c r="O984" s="4"/>
      <c r="P984" s="6"/>
      <c r="Q984" s="6"/>
      <c r="R984" s="6"/>
      <c r="S984" s="6"/>
      <c r="T984" s="4"/>
      <c r="U984" s="6"/>
      <c r="V984" s="6"/>
      <c r="W984" s="6"/>
      <c r="X984" s="6"/>
      <c r="Y984" s="4"/>
      <c r="Z984" s="6"/>
      <c r="AA984" s="4"/>
      <c r="AB984" s="4"/>
      <c r="AC984" s="4"/>
      <c r="AD984" s="6"/>
      <c r="AE984" s="4"/>
      <c r="AF984" s="4"/>
      <c r="AG984" s="4"/>
      <c r="AH984" s="4">
        <v>26700000000</v>
      </c>
    </row>
    <row r="985" spans="1:34" x14ac:dyDescent="0.25">
      <c r="A985" s="4">
        <v>984</v>
      </c>
      <c r="B985" s="5" t="s">
        <v>2095</v>
      </c>
      <c r="C985" s="5" t="s">
        <v>2096</v>
      </c>
      <c r="D985" s="5" t="s">
        <v>1586</v>
      </c>
      <c r="E985" s="5" t="s">
        <v>62</v>
      </c>
      <c r="F985" s="5" t="s">
        <v>63</v>
      </c>
      <c r="G985" s="5" t="s">
        <v>656</v>
      </c>
      <c r="H985" s="4"/>
      <c r="I985" s="4"/>
      <c r="J985" s="6"/>
      <c r="K985" s="6"/>
      <c r="L985" s="6"/>
      <c r="M985" s="4"/>
      <c r="N985" s="4"/>
      <c r="O985" s="4"/>
      <c r="P985" s="6"/>
      <c r="Q985" s="6"/>
      <c r="R985" s="6"/>
      <c r="S985" s="6"/>
      <c r="T985" s="4"/>
      <c r="U985" s="6"/>
      <c r="V985" s="6"/>
      <c r="W985" s="6"/>
      <c r="X985" s="6"/>
      <c r="Y985" s="4"/>
      <c r="Z985" s="6"/>
      <c r="AA985" s="4"/>
      <c r="AB985" s="4"/>
      <c r="AC985" s="4"/>
      <c r="AD985" s="6"/>
      <c r="AE985" s="4"/>
      <c r="AF985" s="4"/>
      <c r="AG985" s="4"/>
      <c r="AH985" s="4">
        <v>508783311000</v>
      </c>
    </row>
    <row r="986" spans="1:34" x14ac:dyDescent="0.25">
      <c r="A986" s="4">
        <v>985</v>
      </c>
      <c r="B986" s="5" t="s">
        <v>2097</v>
      </c>
      <c r="C986" s="5" t="s">
        <v>2098</v>
      </c>
      <c r="D986" s="5" t="s">
        <v>1586</v>
      </c>
      <c r="E986" s="5" t="s">
        <v>40</v>
      </c>
      <c r="F986" s="5" t="s">
        <v>52</v>
      </c>
      <c r="G986" s="5" t="s">
        <v>53</v>
      </c>
      <c r="H986" s="4"/>
      <c r="I986" s="4"/>
      <c r="J986" s="6"/>
      <c r="K986" s="6"/>
      <c r="L986" s="6"/>
      <c r="M986" s="4"/>
      <c r="N986" s="4"/>
      <c r="O986" s="4"/>
      <c r="P986" s="6"/>
      <c r="Q986" s="6"/>
      <c r="R986" s="6"/>
      <c r="S986" s="6"/>
      <c r="T986" s="4"/>
      <c r="U986" s="6"/>
      <c r="V986" s="6"/>
      <c r="W986" s="6"/>
      <c r="X986" s="6"/>
      <c r="Y986" s="4"/>
      <c r="Z986" s="6"/>
      <c r="AA986" s="4"/>
      <c r="AB986" s="4"/>
      <c r="AC986" s="4"/>
      <c r="AD986" s="6"/>
      <c r="AE986" s="4"/>
      <c r="AF986" s="4"/>
      <c r="AG986" s="4"/>
      <c r="AH986" s="4">
        <v>1846961000000</v>
      </c>
    </row>
    <row r="987" spans="1:34" x14ac:dyDescent="0.25">
      <c r="A987" s="4">
        <v>986</v>
      </c>
      <c r="B987" s="5" t="s">
        <v>2099</v>
      </c>
      <c r="C987" s="5" t="s">
        <v>2100</v>
      </c>
      <c r="D987" s="5" t="s">
        <v>1586</v>
      </c>
      <c r="E987" s="5" t="s">
        <v>62</v>
      </c>
      <c r="F987" s="5" t="s">
        <v>63</v>
      </c>
      <c r="G987" s="5" t="s">
        <v>64</v>
      </c>
      <c r="H987" s="4"/>
      <c r="I987" s="4"/>
      <c r="J987" s="6"/>
      <c r="K987" s="6"/>
      <c r="L987" s="6"/>
      <c r="M987" s="4"/>
      <c r="N987" s="4"/>
      <c r="O987" s="4"/>
      <c r="P987" s="6"/>
      <c r="Q987" s="6"/>
      <c r="R987" s="6"/>
      <c r="S987" s="6"/>
      <c r="T987" s="4"/>
      <c r="U987" s="6"/>
      <c r="V987" s="6"/>
      <c r="W987" s="6"/>
      <c r="X987" s="6"/>
      <c r="Y987" s="4"/>
      <c r="Z987" s="6"/>
      <c r="AA987" s="4"/>
      <c r="AB987" s="4"/>
      <c r="AC987" s="4"/>
      <c r="AD987" s="6"/>
      <c r="AE987" s="4"/>
      <c r="AF987" s="4"/>
      <c r="AG987" s="4"/>
      <c r="AH987" s="4">
        <v>1335441590000</v>
      </c>
    </row>
    <row r="988" spans="1:34" x14ac:dyDescent="0.25">
      <c r="A988" s="4">
        <v>987</v>
      </c>
      <c r="B988" s="5" t="s">
        <v>2101</v>
      </c>
      <c r="C988" s="5" t="s">
        <v>2102</v>
      </c>
      <c r="D988" s="5" t="s">
        <v>1586</v>
      </c>
      <c r="E988" s="5" t="s">
        <v>1306</v>
      </c>
      <c r="F988" s="5" t="s">
        <v>1306</v>
      </c>
      <c r="G988" s="5" t="s">
        <v>1307</v>
      </c>
      <c r="H988" s="4"/>
      <c r="I988" s="4"/>
      <c r="J988" s="6"/>
      <c r="K988" s="6"/>
      <c r="L988" s="6"/>
      <c r="M988" s="4"/>
      <c r="N988" s="4"/>
      <c r="O988" s="4"/>
      <c r="P988" s="6"/>
      <c r="Q988" s="6"/>
      <c r="R988" s="6"/>
      <c r="S988" s="6"/>
      <c r="T988" s="4"/>
      <c r="U988" s="6"/>
      <c r="V988" s="6"/>
      <c r="W988" s="6"/>
      <c r="X988" s="6"/>
      <c r="Y988" s="4"/>
      <c r="Z988" s="6"/>
      <c r="AA988" s="4"/>
      <c r="AB988" s="4"/>
      <c r="AC988" s="4"/>
      <c r="AD988" s="6"/>
      <c r="AE988" s="4"/>
      <c r="AF988" s="4"/>
      <c r="AG988" s="4"/>
      <c r="AH988" s="4">
        <v>47043718560377</v>
      </c>
    </row>
    <row r="989" spans="1:34" x14ac:dyDescent="0.25">
      <c r="A989" s="4">
        <v>988</v>
      </c>
      <c r="B989" s="5" t="s">
        <v>2103</v>
      </c>
      <c r="C989" s="5" t="s">
        <v>2104</v>
      </c>
      <c r="D989" s="5" t="s">
        <v>1586</v>
      </c>
      <c r="E989" s="5" t="s">
        <v>24</v>
      </c>
      <c r="F989" s="5" t="s">
        <v>56</v>
      </c>
      <c r="G989" s="5" t="s">
        <v>57</v>
      </c>
      <c r="H989" s="4"/>
      <c r="I989" s="4"/>
      <c r="J989" s="6"/>
      <c r="K989" s="6"/>
      <c r="L989" s="6"/>
      <c r="M989" s="4"/>
      <c r="N989" s="4"/>
      <c r="O989" s="4"/>
      <c r="P989" s="6"/>
      <c r="Q989" s="6"/>
      <c r="R989" s="6"/>
      <c r="S989" s="6"/>
      <c r="T989" s="4"/>
      <c r="U989" s="6"/>
      <c r="V989" s="6"/>
      <c r="W989" s="6"/>
      <c r="X989" s="6"/>
      <c r="Y989" s="4"/>
      <c r="Z989" s="6"/>
      <c r="AA989" s="4"/>
      <c r="AB989" s="4"/>
      <c r="AC989" s="4"/>
      <c r="AD989" s="6"/>
      <c r="AE989" s="4"/>
      <c r="AF989" s="4"/>
      <c r="AG989" s="4"/>
      <c r="AH989" s="4">
        <v>75000000000</v>
      </c>
    </row>
    <row r="990" spans="1:34" x14ac:dyDescent="0.25">
      <c r="A990" s="4">
        <v>989</v>
      </c>
      <c r="B990" s="5" t="s">
        <v>2105</v>
      </c>
      <c r="C990" s="5" t="s">
        <v>2106</v>
      </c>
      <c r="D990" s="5" t="s">
        <v>1586</v>
      </c>
      <c r="E990" s="5" t="s">
        <v>24</v>
      </c>
      <c r="F990" s="5" t="s">
        <v>56</v>
      </c>
      <c r="G990" s="5" t="s">
        <v>57</v>
      </c>
      <c r="H990" s="4"/>
      <c r="I990" s="4"/>
      <c r="J990" s="6"/>
      <c r="K990" s="6"/>
      <c r="L990" s="6"/>
      <c r="M990" s="4"/>
      <c r="N990" s="4"/>
      <c r="O990" s="4"/>
      <c r="P990" s="6"/>
      <c r="Q990" s="6"/>
      <c r="R990" s="6"/>
      <c r="S990" s="6"/>
      <c r="T990" s="4"/>
      <c r="U990" s="6"/>
      <c r="V990" s="6"/>
      <c r="W990" s="6"/>
      <c r="X990" s="6"/>
      <c r="Y990" s="4"/>
      <c r="Z990" s="6"/>
      <c r="AA990" s="4"/>
      <c r="AB990" s="4"/>
      <c r="AC990" s="4"/>
      <c r="AD990" s="6"/>
      <c r="AE990" s="4"/>
      <c r="AF990" s="4"/>
      <c r="AG990" s="4"/>
      <c r="AH990" s="4">
        <v>114660000000</v>
      </c>
    </row>
    <row r="991" spans="1:34" x14ac:dyDescent="0.25">
      <c r="A991" s="4">
        <v>990</v>
      </c>
      <c r="B991" s="5" t="s">
        <v>2107</v>
      </c>
      <c r="C991" s="5" t="s">
        <v>2108</v>
      </c>
      <c r="D991" s="5" t="s">
        <v>1586</v>
      </c>
      <c r="E991" s="5" t="s">
        <v>40</v>
      </c>
      <c r="F991" s="5" t="s">
        <v>41</v>
      </c>
      <c r="G991" s="5" t="s">
        <v>1217</v>
      </c>
      <c r="H991" s="4"/>
      <c r="I991" s="4"/>
      <c r="J991" s="6"/>
      <c r="K991" s="6"/>
      <c r="L991" s="6"/>
      <c r="M991" s="4"/>
      <c r="N991" s="4"/>
      <c r="O991" s="4"/>
      <c r="P991" s="6"/>
      <c r="Q991" s="6"/>
      <c r="R991" s="6"/>
      <c r="S991" s="6"/>
      <c r="T991" s="4"/>
      <c r="U991" s="6"/>
      <c r="V991" s="6"/>
      <c r="W991" s="6"/>
      <c r="X991" s="6"/>
      <c r="Y991" s="4"/>
      <c r="Z991" s="6"/>
      <c r="AA991" s="4"/>
      <c r="AB991" s="4"/>
      <c r="AC991" s="4"/>
      <c r="AD991" s="6"/>
      <c r="AE991" s="4"/>
      <c r="AF991" s="4"/>
      <c r="AG991" s="4"/>
      <c r="AH991" s="4">
        <v>36562279000</v>
      </c>
    </row>
    <row r="992" spans="1:34" x14ac:dyDescent="0.25">
      <c r="A992" s="4">
        <v>991</v>
      </c>
      <c r="B992" s="5" t="s">
        <v>2109</v>
      </c>
      <c r="C992" s="5" t="s">
        <v>2110</v>
      </c>
      <c r="D992" s="5" t="s">
        <v>1586</v>
      </c>
      <c r="E992" s="5" t="s">
        <v>40</v>
      </c>
      <c r="F992" s="5" t="s">
        <v>41</v>
      </c>
      <c r="G992" s="5" t="s">
        <v>519</v>
      </c>
      <c r="H992" s="4"/>
      <c r="I992" s="4"/>
      <c r="J992" s="6"/>
      <c r="K992" s="6"/>
      <c r="L992" s="6"/>
      <c r="M992" s="4"/>
      <c r="N992" s="4"/>
      <c r="O992" s="4"/>
      <c r="P992" s="6"/>
      <c r="Q992" s="6"/>
      <c r="R992" s="6"/>
      <c r="S992" s="6"/>
      <c r="T992" s="4"/>
      <c r="U992" s="6"/>
      <c r="V992" s="6"/>
      <c r="W992" s="6"/>
      <c r="X992" s="6"/>
      <c r="Y992" s="4"/>
      <c r="Z992" s="6"/>
      <c r="AA992" s="4"/>
      <c r="AB992" s="4"/>
      <c r="AC992" s="4"/>
      <c r="AD992" s="6"/>
      <c r="AE992" s="4"/>
      <c r="AF992" s="4"/>
      <c r="AG992" s="4"/>
      <c r="AH992" s="4">
        <v>290981958300</v>
      </c>
    </row>
    <row r="993" spans="1:34" x14ac:dyDescent="0.25">
      <c r="A993" s="4">
        <v>992</v>
      </c>
      <c r="B993" s="5" t="s">
        <v>2111</v>
      </c>
      <c r="C993" s="5" t="s">
        <v>2112</v>
      </c>
      <c r="D993" s="5" t="s">
        <v>1586</v>
      </c>
      <c r="E993" s="5" t="s">
        <v>29</v>
      </c>
      <c r="F993" s="5" t="s">
        <v>203</v>
      </c>
      <c r="G993" s="5" t="s">
        <v>2113</v>
      </c>
      <c r="H993" s="4"/>
      <c r="I993" s="4"/>
      <c r="J993" s="6"/>
      <c r="K993" s="6"/>
      <c r="L993" s="6"/>
      <c r="M993" s="4"/>
      <c r="N993" s="4"/>
      <c r="O993" s="4"/>
      <c r="P993" s="6"/>
      <c r="Q993" s="6"/>
      <c r="R993" s="6"/>
      <c r="S993" s="6"/>
      <c r="T993" s="4"/>
      <c r="U993" s="6"/>
      <c r="V993" s="6"/>
      <c r="W993" s="6"/>
      <c r="X993" s="6"/>
      <c r="Y993" s="4"/>
      <c r="Z993" s="6"/>
      <c r="AA993" s="4"/>
      <c r="AB993" s="4"/>
      <c r="AC993" s="4"/>
      <c r="AD993" s="6"/>
      <c r="AE993" s="4"/>
      <c r="AF993" s="4"/>
      <c r="AG993" s="4"/>
      <c r="AH993" s="4">
        <v>9844475000</v>
      </c>
    </row>
    <row r="994" spans="1:34" x14ac:dyDescent="0.25">
      <c r="A994" s="4">
        <v>993</v>
      </c>
      <c r="B994" s="5" t="s">
        <v>2114</v>
      </c>
      <c r="C994" s="5" t="s">
        <v>2115</v>
      </c>
      <c r="D994" s="5" t="s">
        <v>1586</v>
      </c>
      <c r="E994" s="5" t="s">
        <v>29</v>
      </c>
      <c r="F994" s="5" t="s">
        <v>36</v>
      </c>
      <c r="G994" s="5" t="s">
        <v>37</v>
      </c>
      <c r="H994" s="4"/>
      <c r="I994" s="4"/>
      <c r="J994" s="6"/>
      <c r="K994" s="6"/>
      <c r="L994" s="6"/>
      <c r="M994" s="4"/>
      <c r="N994" s="4"/>
      <c r="O994" s="4"/>
      <c r="P994" s="6"/>
      <c r="Q994" s="6"/>
      <c r="R994" s="6"/>
      <c r="S994" s="6"/>
      <c r="T994" s="4"/>
      <c r="U994" s="6"/>
      <c r="V994" s="6"/>
      <c r="W994" s="6"/>
      <c r="X994" s="6"/>
      <c r="Y994" s="4"/>
      <c r="Z994" s="6"/>
      <c r="AA994" s="4"/>
      <c r="AB994" s="4"/>
      <c r="AC994" s="4"/>
      <c r="AD994" s="6"/>
      <c r="AE994" s="4"/>
      <c r="AF994" s="4"/>
      <c r="AG994" s="4"/>
      <c r="AH994" s="4">
        <v>20000000000</v>
      </c>
    </row>
    <row r="995" spans="1:34" x14ac:dyDescent="0.25">
      <c r="A995" s="4">
        <v>994</v>
      </c>
      <c r="B995" s="5" t="s">
        <v>2116</v>
      </c>
      <c r="C995" s="5" t="s">
        <v>2117</v>
      </c>
      <c r="D995" s="5" t="s">
        <v>1586</v>
      </c>
      <c r="E995" s="5" t="s">
        <v>40</v>
      </c>
      <c r="F995" s="5" t="s">
        <v>52</v>
      </c>
      <c r="G995" s="5" t="s">
        <v>110</v>
      </c>
      <c r="H995" s="4"/>
      <c r="I995" s="4"/>
      <c r="J995" s="6"/>
      <c r="K995" s="6"/>
      <c r="L995" s="6"/>
      <c r="M995" s="4"/>
      <c r="N995" s="4"/>
      <c r="O995" s="4"/>
      <c r="P995" s="6"/>
      <c r="Q995" s="6"/>
      <c r="R995" s="6"/>
      <c r="S995" s="6"/>
      <c r="T995" s="4"/>
      <c r="U995" s="6"/>
      <c r="V995" s="6"/>
      <c r="W995" s="6"/>
      <c r="X995" s="6"/>
      <c r="Y995" s="4"/>
      <c r="Z995" s="6"/>
      <c r="AA995" s="4"/>
      <c r="AB995" s="4"/>
      <c r="AC995" s="4"/>
      <c r="AD995" s="6"/>
      <c r="AE995" s="4"/>
      <c r="AF995" s="4"/>
      <c r="AG995" s="4"/>
      <c r="AH995" s="4"/>
    </row>
    <row r="996" spans="1:34" x14ac:dyDescent="0.25">
      <c r="A996" s="4">
        <v>995</v>
      </c>
      <c r="B996" s="5" t="s">
        <v>2118</v>
      </c>
      <c r="C996" s="5" t="s">
        <v>2119</v>
      </c>
      <c r="D996" s="5" t="s">
        <v>1586</v>
      </c>
      <c r="E996" s="5" t="s">
        <v>29</v>
      </c>
      <c r="F996" s="5" t="s">
        <v>36</v>
      </c>
      <c r="G996" s="5" t="s">
        <v>37</v>
      </c>
      <c r="H996" s="4"/>
      <c r="I996" s="4"/>
      <c r="J996" s="6"/>
      <c r="K996" s="6"/>
      <c r="L996" s="6"/>
      <c r="M996" s="4"/>
      <c r="N996" s="4"/>
      <c r="O996" s="4"/>
      <c r="P996" s="6"/>
      <c r="Q996" s="6"/>
      <c r="R996" s="6"/>
      <c r="S996" s="6"/>
      <c r="T996" s="4"/>
      <c r="U996" s="6"/>
      <c r="V996" s="6"/>
      <c r="W996" s="6"/>
      <c r="X996" s="6"/>
      <c r="Y996" s="4"/>
      <c r="Z996" s="6"/>
      <c r="AA996" s="4"/>
      <c r="AB996" s="4"/>
      <c r="AC996" s="4"/>
      <c r="AD996" s="6"/>
      <c r="AE996" s="4"/>
      <c r="AF996" s="4"/>
      <c r="AG996" s="4"/>
      <c r="AH996" s="4">
        <v>8640000000</v>
      </c>
    </row>
    <row r="997" spans="1:34" x14ac:dyDescent="0.25">
      <c r="A997" s="4">
        <v>996</v>
      </c>
      <c r="B997" s="5" t="s">
        <v>2120</v>
      </c>
      <c r="C997" s="5" t="s">
        <v>2121</v>
      </c>
      <c r="D997" s="5" t="s">
        <v>1586</v>
      </c>
      <c r="E997" s="5" t="s">
        <v>40</v>
      </c>
      <c r="F997" s="5" t="s">
        <v>52</v>
      </c>
      <c r="G997" s="5" t="s">
        <v>53</v>
      </c>
      <c r="H997" s="4"/>
      <c r="I997" s="4"/>
      <c r="J997" s="6"/>
      <c r="K997" s="6"/>
      <c r="L997" s="6"/>
      <c r="M997" s="4"/>
      <c r="N997" s="4"/>
      <c r="O997" s="4"/>
      <c r="P997" s="6"/>
      <c r="Q997" s="6"/>
      <c r="R997" s="6"/>
      <c r="S997" s="6"/>
      <c r="T997" s="4"/>
      <c r="U997" s="6"/>
      <c r="V997" s="6"/>
      <c r="W997" s="6"/>
      <c r="X997" s="6"/>
      <c r="Y997" s="4"/>
      <c r="Z997" s="6"/>
      <c r="AA997" s="4"/>
      <c r="AB997" s="4"/>
      <c r="AC997" s="4"/>
      <c r="AD997" s="6"/>
      <c r="AE997" s="4"/>
      <c r="AF997" s="4"/>
      <c r="AG997" s="4"/>
      <c r="AH997" s="4"/>
    </row>
    <row r="998" spans="1:34" x14ac:dyDescent="0.25">
      <c r="A998" s="4">
        <v>997</v>
      </c>
      <c r="B998" s="5" t="s">
        <v>2122</v>
      </c>
      <c r="C998" s="5" t="s">
        <v>2123</v>
      </c>
      <c r="D998" s="5" t="s">
        <v>1586</v>
      </c>
      <c r="E998" s="5" t="s">
        <v>40</v>
      </c>
      <c r="F998" s="5" t="s">
        <v>52</v>
      </c>
      <c r="G998" s="5" t="s">
        <v>110</v>
      </c>
      <c r="H998" s="4"/>
      <c r="I998" s="4"/>
      <c r="J998" s="6"/>
      <c r="K998" s="6"/>
      <c r="L998" s="6"/>
      <c r="M998" s="4"/>
      <c r="N998" s="4"/>
      <c r="O998" s="4"/>
      <c r="P998" s="6"/>
      <c r="Q998" s="6"/>
      <c r="R998" s="6"/>
      <c r="S998" s="6"/>
      <c r="T998" s="4"/>
      <c r="U998" s="6"/>
      <c r="V998" s="6"/>
      <c r="W998" s="6"/>
      <c r="X998" s="6"/>
      <c r="Y998" s="4"/>
      <c r="Z998" s="6"/>
      <c r="AA998" s="4"/>
      <c r="AB998" s="4"/>
      <c r="AC998" s="4"/>
      <c r="AD998" s="6"/>
      <c r="AE998" s="4"/>
      <c r="AF998" s="4"/>
      <c r="AG998" s="4"/>
      <c r="AH998" s="4">
        <v>937751660613</v>
      </c>
    </row>
    <row r="999" spans="1:34" x14ac:dyDescent="0.25">
      <c r="A999" s="4">
        <v>998</v>
      </c>
      <c r="B999" s="5" t="s">
        <v>2124</v>
      </c>
      <c r="C999" s="5" t="s">
        <v>2125</v>
      </c>
      <c r="D999" s="5" t="s">
        <v>1586</v>
      </c>
      <c r="E999" s="5" t="s">
        <v>98</v>
      </c>
      <c r="F999" s="5" t="s">
        <v>99</v>
      </c>
      <c r="G999" s="5" t="s">
        <v>100</v>
      </c>
      <c r="H999" s="4"/>
      <c r="I999" s="4"/>
      <c r="J999" s="6"/>
      <c r="K999" s="6"/>
      <c r="L999" s="6"/>
      <c r="M999" s="4"/>
      <c r="N999" s="4"/>
      <c r="O999" s="4"/>
      <c r="P999" s="6"/>
      <c r="Q999" s="6"/>
      <c r="R999" s="6"/>
      <c r="S999" s="6"/>
      <c r="T999" s="4"/>
      <c r="U999" s="6"/>
      <c r="V999" s="6"/>
      <c r="W999" s="6"/>
      <c r="X999" s="6"/>
      <c r="Y999" s="4"/>
      <c r="Z999" s="6"/>
      <c r="AA999" s="4"/>
      <c r="AB999" s="4"/>
      <c r="AC999" s="4"/>
      <c r="AD999" s="6"/>
      <c r="AE999" s="4"/>
      <c r="AF999" s="4"/>
      <c r="AG999" s="4"/>
      <c r="AH999" s="4">
        <v>31909261300</v>
      </c>
    </row>
    <row r="1000" spans="1:34" x14ac:dyDescent="0.25">
      <c r="A1000" s="4">
        <v>999</v>
      </c>
      <c r="B1000" s="5" t="s">
        <v>2126</v>
      </c>
      <c r="C1000" s="5" t="s">
        <v>2127</v>
      </c>
      <c r="D1000" s="5" t="s">
        <v>1586</v>
      </c>
      <c r="E1000" s="5" t="s">
        <v>29</v>
      </c>
      <c r="F1000" s="5" t="s">
        <v>30</v>
      </c>
      <c r="G1000" s="5" t="s">
        <v>83</v>
      </c>
      <c r="H1000" s="4"/>
      <c r="I1000" s="4"/>
      <c r="J1000" s="6"/>
      <c r="K1000" s="6"/>
      <c r="L1000" s="6"/>
      <c r="M1000" s="4"/>
      <c r="N1000" s="4"/>
      <c r="O1000" s="4"/>
      <c r="P1000" s="6"/>
      <c r="Q1000" s="6"/>
      <c r="R1000" s="6"/>
      <c r="S1000" s="6"/>
      <c r="T1000" s="4"/>
      <c r="U1000" s="6"/>
      <c r="V1000" s="6"/>
      <c r="W1000" s="6"/>
      <c r="X1000" s="6"/>
      <c r="Y1000" s="4"/>
      <c r="Z1000" s="6"/>
      <c r="AA1000" s="4"/>
      <c r="AB1000" s="4"/>
      <c r="AC1000" s="4"/>
      <c r="AD1000" s="6"/>
      <c r="AE1000" s="4"/>
      <c r="AF1000" s="4"/>
      <c r="AG1000" s="4"/>
      <c r="AH1000" s="4">
        <v>819347639566</v>
      </c>
    </row>
    <row r="1001" spans="1:34" x14ac:dyDescent="0.25">
      <c r="A1001" s="4">
        <v>1000</v>
      </c>
      <c r="B1001" s="5" t="s">
        <v>2128</v>
      </c>
      <c r="C1001" s="5" t="s">
        <v>2129</v>
      </c>
      <c r="D1001" s="5" t="s">
        <v>1586</v>
      </c>
      <c r="E1001" s="5" t="s">
        <v>24</v>
      </c>
      <c r="F1001" s="5" t="s">
        <v>56</v>
      </c>
      <c r="G1001" s="5" t="s">
        <v>291</v>
      </c>
      <c r="H1001" s="4"/>
      <c r="I1001" s="4"/>
      <c r="J1001" s="6"/>
      <c r="K1001" s="6"/>
      <c r="L1001" s="6"/>
      <c r="M1001" s="4"/>
      <c r="N1001" s="4"/>
      <c r="O1001" s="4"/>
      <c r="P1001" s="6"/>
      <c r="Q1001" s="6"/>
      <c r="R1001" s="6"/>
      <c r="S1001" s="6"/>
      <c r="T1001" s="4"/>
      <c r="U1001" s="6"/>
      <c r="V1001" s="6"/>
      <c r="W1001" s="6"/>
      <c r="X1001" s="6"/>
      <c r="Y1001" s="4"/>
      <c r="Z1001" s="6"/>
      <c r="AA1001" s="4"/>
      <c r="AB1001" s="4"/>
      <c r="AC1001" s="4"/>
      <c r="AD1001" s="6"/>
      <c r="AE1001" s="4"/>
      <c r="AF1001" s="4"/>
      <c r="AG1001" s="4"/>
      <c r="AH1001" s="4">
        <v>1827355517856</v>
      </c>
    </row>
    <row r="1002" spans="1:34" x14ac:dyDescent="0.25">
      <c r="A1002" s="4">
        <v>1001</v>
      </c>
      <c r="B1002" s="5" t="s">
        <v>2130</v>
      </c>
      <c r="C1002" s="5" t="s">
        <v>2131</v>
      </c>
      <c r="D1002" s="5" t="s">
        <v>1586</v>
      </c>
      <c r="E1002" s="5" t="s">
        <v>40</v>
      </c>
      <c r="F1002" s="5" t="s">
        <v>52</v>
      </c>
      <c r="G1002" s="5" t="s">
        <v>110</v>
      </c>
      <c r="H1002" s="4"/>
      <c r="I1002" s="4"/>
      <c r="J1002" s="6"/>
      <c r="K1002" s="6"/>
      <c r="L1002" s="6"/>
      <c r="M1002" s="4"/>
      <c r="N1002" s="4"/>
      <c r="O1002" s="4"/>
      <c r="P1002" s="6"/>
      <c r="Q1002" s="6"/>
      <c r="R1002" s="6"/>
      <c r="S1002" s="6"/>
      <c r="T1002" s="4"/>
      <c r="U1002" s="6"/>
      <c r="V1002" s="6"/>
      <c r="W1002" s="6"/>
      <c r="X1002" s="6"/>
      <c r="Y1002" s="4"/>
      <c r="Z1002" s="6"/>
      <c r="AA1002" s="4"/>
      <c r="AB1002" s="4"/>
      <c r="AC1002" s="4"/>
      <c r="AD1002" s="6"/>
      <c r="AE1002" s="4"/>
      <c r="AF1002" s="4"/>
      <c r="AG1002" s="4"/>
      <c r="AH1002" s="4">
        <v>140917400000</v>
      </c>
    </row>
    <row r="1003" spans="1:34" x14ac:dyDescent="0.25">
      <c r="A1003" s="4">
        <v>1002</v>
      </c>
      <c r="B1003" s="5" t="s">
        <v>2132</v>
      </c>
      <c r="C1003" s="5" t="s">
        <v>2133</v>
      </c>
      <c r="D1003" s="5" t="s">
        <v>1586</v>
      </c>
      <c r="E1003" s="5" t="s">
        <v>98</v>
      </c>
      <c r="F1003" s="5" t="s">
        <v>99</v>
      </c>
      <c r="G1003" s="5" t="s">
        <v>144</v>
      </c>
      <c r="H1003" s="4"/>
      <c r="I1003" s="4"/>
      <c r="J1003" s="6"/>
      <c r="K1003" s="6"/>
      <c r="L1003" s="6"/>
      <c r="M1003" s="4"/>
      <c r="N1003" s="4"/>
      <c r="O1003" s="4"/>
      <c r="P1003" s="6"/>
      <c r="Q1003" s="6"/>
      <c r="R1003" s="6"/>
      <c r="S1003" s="6"/>
      <c r="T1003" s="4"/>
      <c r="U1003" s="6"/>
      <c r="V1003" s="6"/>
      <c r="W1003" s="6"/>
      <c r="X1003" s="6"/>
      <c r="Y1003" s="4"/>
      <c r="Z1003" s="6"/>
      <c r="AA1003" s="4"/>
      <c r="AB1003" s="4"/>
      <c r="AC1003" s="4"/>
      <c r="AD1003" s="6"/>
      <c r="AE1003" s="4"/>
      <c r="AF1003" s="4"/>
      <c r="AG1003" s="4"/>
      <c r="AH1003" s="4"/>
    </row>
    <row r="1004" spans="1:34" x14ac:dyDescent="0.25">
      <c r="A1004" s="4">
        <v>1003</v>
      </c>
      <c r="B1004" s="5" t="s">
        <v>2134</v>
      </c>
      <c r="C1004" s="5" t="s">
        <v>2135</v>
      </c>
      <c r="D1004" s="5" t="s">
        <v>1586</v>
      </c>
      <c r="E1004" s="5" t="s">
        <v>24</v>
      </c>
      <c r="F1004" s="5" t="s">
        <v>25</v>
      </c>
      <c r="G1004" s="5" t="s">
        <v>26</v>
      </c>
      <c r="H1004" s="4"/>
      <c r="I1004" s="4"/>
      <c r="J1004" s="6"/>
      <c r="K1004" s="6"/>
      <c r="L1004" s="6"/>
      <c r="M1004" s="4"/>
      <c r="N1004" s="4"/>
      <c r="O1004" s="4"/>
      <c r="P1004" s="6"/>
      <c r="Q1004" s="6"/>
      <c r="R1004" s="6"/>
      <c r="S1004" s="6"/>
      <c r="T1004" s="4"/>
      <c r="U1004" s="6"/>
      <c r="V1004" s="6"/>
      <c r="W1004" s="6"/>
      <c r="X1004" s="6"/>
      <c r="Y1004" s="4"/>
      <c r="Z1004" s="6"/>
      <c r="AA1004" s="4"/>
      <c r="AB1004" s="4"/>
      <c r="AC1004" s="4"/>
      <c r="AD1004" s="6"/>
      <c r="AE1004" s="4"/>
      <c r="AF1004" s="4"/>
      <c r="AG1004" s="4"/>
      <c r="AH1004" s="4">
        <v>18700000000</v>
      </c>
    </row>
    <row r="1005" spans="1:34" x14ac:dyDescent="0.25">
      <c r="A1005" s="4">
        <v>1004</v>
      </c>
      <c r="B1005" s="5" t="s">
        <v>2136</v>
      </c>
      <c r="C1005" s="5" t="s">
        <v>2137</v>
      </c>
      <c r="D1005" s="5" t="s">
        <v>1586</v>
      </c>
      <c r="E1005" s="5" t="s">
        <v>29</v>
      </c>
      <c r="F1005" s="5" t="s">
        <v>203</v>
      </c>
      <c r="G1005" s="5" t="s">
        <v>211</v>
      </c>
      <c r="H1005" s="4">
        <v>143148148</v>
      </c>
      <c r="I1005" s="4">
        <v>386018517</v>
      </c>
      <c r="J1005" s="6">
        <v>-0.99080000000000001</v>
      </c>
      <c r="K1005" s="6">
        <v>-0.98939999999999995</v>
      </c>
      <c r="L1005" s="6">
        <v>-0.49540000000000001</v>
      </c>
      <c r="M1005" s="4">
        <v>-5297453473</v>
      </c>
      <c r="N1005" s="4">
        <v>-9007194820</v>
      </c>
      <c r="O1005" s="4"/>
      <c r="P1005" s="6">
        <v>2.9499999999999998E-2</v>
      </c>
      <c r="Q1005" s="6">
        <v>2.2000000000000001E-3</v>
      </c>
      <c r="R1005" s="6">
        <v>0.1</v>
      </c>
      <c r="S1005" s="6">
        <v>-0.42799999999999999</v>
      </c>
      <c r="T1005" s="4"/>
      <c r="U1005" s="6">
        <v>-0.99839999999999995</v>
      </c>
      <c r="V1005" s="6">
        <v>-1.6672</v>
      </c>
      <c r="W1005" s="6">
        <v>-1.8340000000000001</v>
      </c>
      <c r="X1005" s="6">
        <v>0</v>
      </c>
      <c r="Y1005" s="4"/>
      <c r="Z1005" s="6">
        <v>-0.41060000000000002</v>
      </c>
      <c r="AA1005" s="4"/>
      <c r="AB1005" s="4"/>
      <c r="AC1005" s="4"/>
      <c r="AD1005" s="6">
        <v>0</v>
      </c>
      <c r="AE1005" s="4"/>
      <c r="AF1005" s="4"/>
      <c r="AG1005" s="4"/>
      <c r="AH1005" s="4">
        <v>61716036900</v>
      </c>
    </row>
    <row r="1006" spans="1:34" x14ac:dyDescent="0.25">
      <c r="A1006" s="4">
        <v>1005</v>
      </c>
      <c r="B1006" s="5" t="s">
        <v>2138</v>
      </c>
      <c r="C1006" s="5" t="s">
        <v>2139</v>
      </c>
      <c r="D1006" s="5" t="s">
        <v>1586</v>
      </c>
      <c r="E1006" s="5" t="s">
        <v>40</v>
      </c>
      <c r="F1006" s="5" t="s">
        <v>52</v>
      </c>
      <c r="G1006" s="5" t="s">
        <v>110</v>
      </c>
      <c r="H1006" s="4"/>
      <c r="I1006" s="4"/>
      <c r="J1006" s="6"/>
      <c r="K1006" s="6"/>
      <c r="L1006" s="6"/>
      <c r="M1006" s="4"/>
      <c r="N1006" s="4"/>
      <c r="O1006" s="4"/>
      <c r="P1006" s="6"/>
      <c r="Q1006" s="6"/>
      <c r="R1006" s="6"/>
      <c r="S1006" s="6"/>
      <c r="T1006" s="4"/>
      <c r="U1006" s="6"/>
      <c r="V1006" s="6"/>
      <c r="W1006" s="6"/>
      <c r="X1006" s="6"/>
      <c r="Y1006" s="4"/>
      <c r="Z1006" s="6"/>
      <c r="AA1006" s="4"/>
      <c r="AB1006" s="4"/>
      <c r="AC1006" s="4"/>
      <c r="AD1006" s="6"/>
      <c r="AE1006" s="4"/>
      <c r="AF1006" s="4"/>
      <c r="AG1006" s="4"/>
      <c r="AH1006" s="4">
        <v>41396112000</v>
      </c>
    </row>
    <row r="1007" spans="1:34" x14ac:dyDescent="0.25">
      <c r="A1007" s="4">
        <v>1006</v>
      </c>
      <c r="B1007" s="5" t="s">
        <v>2140</v>
      </c>
      <c r="C1007" s="5" t="s">
        <v>2141</v>
      </c>
      <c r="D1007" s="5" t="s">
        <v>1586</v>
      </c>
      <c r="E1007" s="5" t="s">
        <v>24</v>
      </c>
      <c r="F1007" s="5" t="s">
        <v>56</v>
      </c>
      <c r="G1007" s="5" t="s">
        <v>2142</v>
      </c>
      <c r="H1007" s="4"/>
      <c r="I1007" s="4"/>
      <c r="J1007" s="6"/>
      <c r="K1007" s="6"/>
      <c r="L1007" s="6"/>
      <c r="M1007" s="4"/>
      <c r="N1007" s="4"/>
      <c r="O1007" s="4"/>
      <c r="P1007" s="6"/>
      <c r="Q1007" s="6"/>
      <c r="R1007" s="6"/>
      <c r="S1007" s="6"/>
      <c r="T1007" s="4"/>
      <c r="U1007" s="6"/>
      <c r="V1007" s="6"/>
      <c r="W1007" s="6"/>
      <c r="X1007" s="6"/>
      <c r="Y1007" s="4"/>
      <c r="Z1007" s="6"/>
      <c r="AA1007" s="4"/>
      <c r="AB1007" s="4"/>
      <c r="AC1007" s="4"/>
      <c r="AD1007" s="6"/>
      <c r="AE1007" s="4"/>
      <c r="AF1007" s="4"/>
      <c r="AG1007" s="4"/>
      <c r="AH1007" s="4">
        <v>63000000000</v>
      </c>
    </row>
    <row r="1008" spans="1:34" x14ac:dyDescent="0.25">
      <c r="A1008" s="4">
        <v>1007</v>
      </c>
      <c r="B1008" s="5" t="s">
        <v>2143</v>
      </c>
      <c r="C1008" s="5" t="s">
        <v>2144</v>
      </c>
      <c r="D1008" s="5" t="s">
        <v>1586</v>
      </c>
      <c r="E1008" s="5" t="s">
        <v>98</v>
      </c>
      <c r="F1008" s="5" t="s">
        <v>99</v>
      </c>
      <c r="G1008" s="5" t="s">
        <v>155</v>
      </c>
      <c r="H1008" s="4"/>
      <c r="I1008" s="4"/>
      <c r="J1008" s="6"/>
      <c r="K1008" s="6"/>
      <c r="L1008" s="6"/>
      <c r="M1008" s="4"/>
      <c r="N1008" s="4"/>
      <c r="O1008" s="4"/>
      <c r="P1008" s="6"/>
      <c r="Q1008" s="6"/>
      <c r="R1008" s="6"/>
      <c r="S1008" s="6"/>
      <c r="T1008" s="4"/>
      <c r="U1008" s="6"/>
      <c r="V1008" s="6"/>
      <c r="W1008" s="6"/>
      <c r="X1008" s="6"/>
      <c r="Y1008" s="4"/>
      <c r="Z1008" s="6"/>
      <c r="AA1008" s="4"/>
      <c r="AB1008" s="4"/>
      <c r="AC1008" s="4"/>
      <c r="AD1008" s="6"/>
      <c r="AE1008" s="4"/>
      <c r="AF1008" s="4"/>
      <c r="AG1008" s="4"/>
      <c r="AH1008" s="4">
        <v>239400000000</v>
      </c>
    </row>
    <row r="1009" spans="1:34" x14ac:dyDescent="0.25">
      <c r="A1009" s="4">
        <v>1008</v>
      </c>
      <c r="B1009" s="5" t="s">
        <v>2145</v>
      </c>
      <c r="C1009" s="5" t="s">
        <v>2146</v>
      </c>
      <c r="D1009" s="5" t="s">
        <v>1586</v>
      </c>
      <c r="E1009" s="5" t="s">
        <v>29</v>
      </c>
      <c r="F1009" s="5" t="s">
        <v>36</v>
      </c>
      <c r="G1009" s="5" t="s">
        <v>37</v>
      </c>
      <c r="H1009" s="4"/>
      <c r="I1009" s="4"/>
      <c r="J1009" s="6"/>
      <c r="K1009" s="6"/>
      <c r="L1009" s="6"/>
      <c r="M1009" s="4"/>
      <c r="N1009" s="4"/>
      <c r="O1009" s="4"/>
      <c r="P1009" s="6"/>
      <c r="Q1009" s="6"/>
      <c r="R1009" s="6"/>
      <c r="S1009" s="6"/>
      <c r="T1009" s="4"/>
      <c r="U1009" s="6"/>
      <c r="V1009" s="6"/>
      <c r="W1009" s="6"/>
      <c r="X1009" s="6"/>
      <c r="Y1009" s="4"/>
      <c r="Z1009" s="6"/>
      <c r="AA1009" s="4"/>
      <c r="AB1009" s="4"/>
      <c r="AC1009" s="4"/>
      <c r="AD1009" s="6"/>
      <c r="AE1009" s="4"/>
      <c r="AF1009" s="4"/>
      <c r="AG1009" s="4"/>
      <c r="AH1009" s="4">
        <v>131771045001</v>
      </c>
    </row>
    <row r="1010" spans="1:34" x14ac:dyDescent="0.25">
      <c r="A1010" s="4">
        <v>1009</v>
      </c>
      <c r="B1010" s="5" t="s">
        <v>2147</v>
      </c>
      <c r="C1010" s="5" t="s">
        <v>2148</v>
      </c>
      <c r="D1010" s="5" t="s">
        <v>1586</v>
      </c>
      <c r="E1010" s="5" t="s">
        <v>40</v>
      </c>
      <c r="F1010" s="5" t="s">
        <v>52</v>
      </c>
      <c r="G1010" s="5" t="s">
        <v>53</v>
      </c>
      <c r="H1010" s="4"/>
      <c r="I1010" s="4"/>
      <c r="J1010" s="6"/>
      <c r="K1010" s="6"/>
      <c r="L1010" s="6"/>
      <c r="M1010" s="4"/>
      <c r="N1010" s="4"/>
      <c r="O1010" s="4"/>
      <c r="P1010" s="6"/>
      <c r="Q1010" s="6"/>
      <c r="R1010" s="6"/>
      <c r="S1010" s="6"/>
      <c r="T1010" s="4"/>
      <c r="U1010" s="6"/>
      <c r="V1010" s="6"/>
      <c r="W1010" s="6"/>
      <c r="X1010" s="6"/>
      <c r="Y1010" s="4"/>
      <c r="Z1010" s="6"/>
      <c r="AA1010" s="4"/>
      <c r="AB1010" s="4"/>
      <c r="AC1010" s="4"/>
      <c r="AD1010" s="6"/>
      <c r="AE1010" s="4"/>
      <c r="AF1010" s="4"/>
      <c r="AG1010" s="4"/>
      <c r="AH1010" s="4">
        <v>207000000000</v>
      </c>
    </row>
    <row r="1011" spans="1:34" x14ac:dyDescent="0.25">
      <c r="A1011" s="4">
        <v>1010</v>
      </c>
      <c r="B1011" s="5" t="s">
        <v>2149</v>
      </c>
      <c r="C1011" s="5" t="s">
        <v>2150</v>
      </c>
      <c r="D1011" s="5" t="s">
        <v>1586</v>
      </c>
      <c r="E1011" s="5" t="s">
        <v>234</v>
      </c>
      <c r="F1011" s="5" t="s">
        <v>235</v>
      </c>
      <c r="G1011" s="5" t="s">
        <v>236</v>
      </c>
      <c r="H1011" s="4"/>
      <c r="I1011" s="4"/>
      <c r="J1011" s="6"/>
      <c r="K1011" s="6"/>
      <c r="L1011" s="6"/>
      <c r="M1011" s="4"/>
      <c r="N1011" s="4"/>
      <c r="O1011" s="4"/>
      <c r="P1011" s="6"/>
      <c r="Q1011" s="6"/>
      <c r="R1011" s="6"/>
      <c r="S1011" s="6"/>
      <c r="T1011" s="4"/>
      <c r="U1011" s="6"/>
      <c r="V1011" s="6"/>
      <c r="W1011" s="6"/>
      <c r="X1011" s="6"/>
      <c r="Y1011" s="4"/>
      <c r="Z1011" s="6"/>
      <c r="AA1011" s="4"/>
      <c r="AB1011" s="4"/>
      <c r="AC1011" s="4"/>
      <c r="AD1011" s="6"/>
      <c r="AE1011" s="4"/>
      <c r="AF1011" s="4"/>
      <c r="AG1011" s="4"/>
      <c r="AH1011" s="4">
        <v>97329857400</v>
      </c>
    </row>
    <row r="1012" spans="1:34" x14ac:dyDescent="0.25">
      <c r="A1012" s="4">
        <v>1011</v>
      </c>
      <c r="B1012" s="5" t="s">
        <v>2151</v>
      </c>
      <c r="C1012" s="5" t="s">
        <v>2152</v>
      </c>
      <c r="D1012" s="5" t="s">
        <v>1586</v>
      </c>
      <c r="E1012" s="5" t="s">
        <v>98</v>
      </c>
      <c r="F1012" s="5" t="s">
        <v>99</v>
      </c>
      <c r="G1012" s="5" t="s">
        <v>144</v>
      </c>
      <c r="H1012" s="4">
        <v>45158807024</v>
      </c>
      <c r="I1012" s="4">
        <v>96224634049</v>
      </c>
      <c r="J1012" s="6">
        <v>-0.17050000000000001</v>
      </c>
      <c r="K1012" s="6">
        <v>-6.7900000000000002E-2</v>
      </c>
      <c r="L1012" s="6">
        <v>-5.8099999999999999E-2</v>
      </c>
      <c r="M1012" s="4">
        <v>18123682984</v>
      </c>
      <c r="N1012" s="4">
        <v>39116964890</v>
      </c>
      <c r="O1012" s="4"/>
      <c r="P1012" s="6">
        <v>-0.36349999999999999</v>
      </c>
      <c r="Q1012" s="6">
        <v>-0.22900000000000001</v>
      </c>
      <c r="R1012" s="6">
        <v>-0.18890000000000001</v>
      </c>
      <c r="S1012" s="6">
        <v>-0.13669999999999999</v>
      </c>
      <c r="T1012" s="4"/>
      <c r="U1012" s="6">
        <v>0</v>
      </c>
      <c r="V1012" s="6">
        <v>0</v>
      </c>
      <c r="W1012" s="6">
        <v>0</v>
      </c>
      <c r="X1012" s="6">
        <v>0</v>
      </c>
      <c r="Y1012" s="4"/>
      <c r="Z1012" s="6">
        <v>-0.1157</v>
      </c>
      <c r="AA1012" s="4"/>
      <c r="AB1012" s="4"/>
      <c r="AC1012" s="4"/>
      <c r="AD1012" s="6">
        <v>0</v>
      </c>
      <c r="AE1012" s="4"/>
      <c r="AF1012" s="4"/>
      <c r="AG1012" s="4"/>
      <c r="AH1012" s="4">
        <v>722047360000</v>
      </c>
    </row>
    <row r="1013" spans="1:34" x14ac:dyDescent="0.25">
      <c r="A1013" s="4">
        <v>1012</v>
      </c>
      <c r="B1013" s="5" t="s">
        <v>2153</v>
      </c>
      <c r="C1013" s="5" t="s">
        <v>2154</v>
      </c>
      <c r="D1013" s="5" t="s">
        <v>1586</v>
      </c>
      <c r="E1013" s="5" t="s">
        <v>29</v>
      </c>
      <c r="F1013" s="5" t="s">
        <v>36</v>
      </c>
      <c r="G1013" s="5" t="s">
        <v>1587</v>
      </c>
      <c r="H1013" s="4"/>
      <c r="I1013" s="4"/>
      <c r="J1013" s="6"/>
      <c r="K1013" s="6"/>
      <c r="L1013" s="6"/>
      <c r="M1013" s="4"/>
      <c r="N1013" s="4"/>
      <c r="O1013" s="4"/>
      <c r="P1013" s="6"/>
      <c r="Q1013" s="6"/>
      <c r="R1013" s="6"/>
      <c r="S1013" s="6"/>
      <c r="T1013" s="4"/>
      <c r="U1013" s="6"/>
      <c r="V1013" s="6"/>
      <c r="W1013" s="6"/>
      <c r="X1013" s="6"/>
      <c r="Y1013" s="4"/>
      <c r="Z1013" s="6"/>
      <c r="AA1013" s="4"/>
      <c r="AB1013" s="4"/>
      <c r="AC1013" s="4"/>
      <c r="AD1013" s="6"/>
      <c r="AE1013" s="4"/>
      <c r="AF1013" s="4"/>
      <c r="AG1013" s="4"/>
      <c r="AH1013" s="4">
        <v>1190400000000</v>
      </c>
    </row>
    <row r="1014" spans="1:34" x14ac:dyDescent="0.25">
      <c r="A1014" s="4">
        <v>1013</v>
      </c>
      <c r="B1014" s="5" t="s">
        <v>2155</v>
      </c>
      <c r="C1014" s="5" t="s">
        <v>2156</v>
      </c>
      <c r="D1014" s="5" t="s">
        <v>1586</v>
      </c>
      <c r="E1014" s="5" t="s">
        <v>40</v>
      </c>
      <c r="F1014" s="5" t="s">
        <v>52</v>
      </c>
      <c r="G1014" s="5" t="s">
        <v>110</v>
      </c>
      <c r="H1014" s="4"/>
      <c r="I1014" s="4"/>
      <c r="J1014" s="6"/>
      <c r="K1014" s="6"/>
      <c r="L1014" s="6"/>
      <c r="M1014" s="4"/>
      <c r="N1014" s="4"/>
      <c r="O1014" s="4"/>
      <c r="P1014" s="6"/>
      <c r="Q1014" s="6"/>
      <c r="R1014" s="6"/>
      <c r="S1014" s="6"/>
      <c r="T1014" s="4"/>
      <c r="U1014" s="6"/>
      <c r="V1014" s="6"/>
      <c r="W1014" s="6"/>
      <c r="X1014" s="6"/>
      <c r="Y1014" s="4"/>
      <c r="Z1014" s="6"/>
      <c r="AA1014" s="4"/>
      <c r="AB1014" s="4"/>
      <c r="AC1014" s="4"/>
      <c r="AD1014" s="6"/>
      <c r="AE1014" s="4"/>
      <c r="AF1014" s="4"/>
      <c r="AG1014" s="4"/>
      <c r="AH1014" s="4">
        <v>310647427600</v>
      </c>
    </row>
    <row r="1015" spans="1:34" x14ac:dyDescent="0.25">
      <c r="A1015" s="4">
        <v>1014</v>
      </c>
      <c r="B1015" s="5" t="s">
        <v>2157</v>
      </c>
      <c r="C1015" s="5" t="s">
        <v>2158</v>
      </c>
      <c r="D1015" s="5" t="s">
        <v>1586</v>
      </c>
      <c r="E1015" s="5" t="s">
        <v>62</v>
      </c>
      <c r="F1015" s="5" t="s">
        <v>226</v>
      </c>
      <c r="G1015" s="5" t="s">
        <v>286</v>
      </c>
      <c r="H1015" s="4"/>
      <c r="I1015" s="4"/>
      <c r="J1015" s="6"/>
      <c r="K1015" s="6"/>
      <c r="L1015" s="6"/>
      <c r="M1015" s="4"/>
      <c r="N1015" s="4"/>
      <c r="O1015" s="4"/>
      <c r="P1015" s="6"/>
      <c r="Q1015" s="6"/>
      <c r="R1015" s="6"/>
      <c r="S1015" s="6"/>
      <c r="T1015" s="4"/>
      <c r="U1015" s="6"/>
      <c r="V1015" s="6"/>
      <c r="W1015" s="6"/>
      <c r="X1015" s="6"/>
      <c r="Y1015" s="4"/>
      <c r="Z1015" s="6"/>
      <c r="AA1015" s="4"/>
      <c r="AB1015" s="4"/>
      <c r="AC1015" s="4"/>
      <c r="AD1015" s="6"/>
      <c r="AE1015" s="4"/>
      <c r="AF1015" s="4"/>
      <c r="AG1015" s="4"/>
      <c r="AH1015" s="4">
        <v>13050900000</v>
      </c>
    </row>
    <row r="1016" spans="1:34" x14ac:dyDescent="0.25">
      <c r="A1016" s="4">
        <v>1015</v>
      </c>
      <c r="B1016" s="5" t="s">
        <v>2159</v>
      </c>
      <c r="C1016" s="5" t="s">
        <v>2160</v>
      </c>
      <c r="D1016" s="5" t="s">
        <v>1586</v>
      </c>
      <c r="E1016" s="5" t="s">
        <v>40</v>
      </c>
      <c r="F1016" s="5" t="s">
        <v>41</v>
      </c>
      <c r="G1016" s="5" t="s">
        <v>406</v>
      </c>
      <c r="H1016" s="4"/>
      <c r="I1016" s="4"/>
      <c r="J1016" s="6"/>
      <c r="K1016" s="6"/>
      <c r="L1016" s="6"/>
      <c r="M1016" s="4"/>
      <c r="N1016" s="4"/>
      <c r="O1016" s="4"/>
      <c r="P1016" s="6"/>
      <c r="Q1016" s="6"/>
      <c r="R1016" s="6"/>
      <c r="S1016" s="6"/>
      <c r="T1016" s="4"/>
      <c r="U1016" s="6"/>
      <c r="V1016" s="6"/>
      <c r="W1016" s="6"/>
      <c r="X1016" s="6"/>
      <c r="Y1016" s="4"/>
      <c r="Z1016" s="6"/>
      <c r="AA1016" s="4"/>
      <c r="AB1016" s="4"/>
      <c r="AC1016" s="4"/>
      <c r="AD1016" s="6"/>
      <c r="AE1016" s="4"/>
      <c r="AF1016" s="4"/>
      <c r="AG1016" s="4"/>
      <c r="AH1016" s="4"/>
    </row>
    <row r="1017" spans="1:34" x14ac:dyDescent="0.25">
      <c r="A1017" s="4">
        <v>1016</v>
      </c>
      <c r="B1017" s="5" t="s">
        <v>2161</v>
      </c>
      <c r="C1017" s="5" t="s">
        <v>2162</v>
      </c>
      <c r="D1017" s="5" t="s">
        <v>1586</v>
      </c>
      <c r="E1017" s="5" t="s">
        <v>24</v>
      </c>
      <c r="F1017" s="5" t="s">
        <v>56</v>
      </c>
      <c r="G1017" s="5" t="s">
        <v>253</v>
      </c>
      <c r="H1017" s="4"/>
      <c r="I1017" s="4"/>
      <c r="J1017" s="6"/>
      <c r="K1017" s="6"/>
      <c r="L1017" s="6"/>
      <c r="M1017" s="4"/>
      <c r="N1017" s="4"/>
      <c r="O1017" s="4"/>
      <c r="P1017" s="6"/>
      <c r="Q1017" s="6"/>
      <c r="R1017" s="6"/>
      <c r="S1017" s="6"/>
      <c r="T1017" s="4"/>
      <c r="U1017" s="6"/>
      <c r="V1017" s="6"/>
      <c r="W1017" s="6"/>
      <c r="X1017" s="6"/>
      <c r="Y1017" s="4"/>
      <c r="Z1017" s="6"/>
      <c r="AA1017" s="4"/>
      <c r="AB1017" s="4"/>
      <c r="AC1017" s="4"/>
      <c r="AD1017" s="6"/>
      <c r="AE1017" s="4"/>
      <c r="AF1017" s="4"/>
      <c r="AG1017" s="4"/>
      <c r="AH1017" s="4">
        <v>823962100000</v>
      </c>
    </row>
    <row r="1018" spans="1:34" x14ac:dyDescent="0.25">
      <c r="A1018" s="4">
        <v>1017</v>
      </c>
      <c r="B1018" s="5" t="s">
        <v>2163</v>
      </c>
      <c r="C1018" s="5" t="s">
        <v>2164</v>
      </c>
      <c r="D1018" s="5" t="s">
        <v>1586</v>
      </c>
      <c r="E1018" s="5" t="s">
        <v>40</v>
      </c>
      <c r="F1018" s="5" t="s">
        <v>52</v>
      </c>
      <c r="G1018" s="5" t="s">
        <v>110</v>
      </c>
      <c r="H1018" s="4"/>
      <c r="I1018" s="4"/>
      <c r="J1018" s="6"/>
      <c r="K1018" s="6"/>
      <c r="L1018" s="6"/>
      <c r="M1018" s="4"/>
      <c r="N1018" s="4"/>
      <c r="O1018" s="4"/>
      <c r="P1018" s="6"/>
      <c r="Q1018" s="6"/>
      <c r="R1018" s="6"/>
      <c r="S1018" s="6"/>
      <c r="T1018" s="4"/>
      <c r="U1018" s="6"/>
      <c r="V1018" s="6"/>
      <c r="W1018" s="6"/>
      <c r="X1018" s="6"/>
      <c r="Y1018" s="4"/>
      <c r="Z1018" s="6"/>
      <c r="AA1018" s="4"/>
      <c r="AB1018" s="4"/>
      <c r="AC1018" s="4"/>
      <c r="AD1018" s="6"/>
      <c r="AE1018" s="4"/>
      <c r="AF1018" s="4"/>
      <c r="AG1018" s="4"/>
      <c r="AH1018" s="4">
        <v>16430000000</v>
      </c>
    </row>
    <row r="1019" spans="1:34" x14ac:dyDescent="0.25">
      <c r="A1019" s="4">
        <v>1018</v>
      </c>
      <c r="B1019" s="5" t="s">
        <v>2165</v>
      </c>
      <c r="C1019" s="5" t="s">
        <v>2166</v>
      </c>
      <c r="D1019" s="5" t="s">
        <v>1586</v>
      </c>
      <c r="E1019" s="5" t="s">
        <v>75</v>
      </c>
      <c r="F1019" s="5" t="s">
        <v>79</v>
      </c>
      <c r="G1019" s="5" t="s">
        <v>80</v>
      </c>
      <c r="H1019" s="4">
        <v>44840243824</v>
      </c>
      <c r="I1019" s="4">
        <v>75502928074</v>
      </c>
      <c r="J1019" s="6">
        <v>-0.14319999999999999</v>
      </c>
      <c r="K1019" s="6">
        <v>0.28539999999999999</v>
      </c>
      <c r="L1019" s="6">
        <v>0.43109999999999998</v>
      </c>
      <c r="M1019" s="4">
        <v>10023765716</v>
      </c>
      <c r="N1019" s="4">
        <v>24587261114</v>
      </c>
      <c r="O1019" s="4"/>
      <c r="P1019" s="6">
        <v>-0.77310000000000001</v>
      </c>
      <c r="Q1019" s="6">
        <v>-0.42859999999999998</v>
      </c>
      <c r="R1019" s="6">
        <v>-0.29609999999999997</v>
      </c>
      <c r="S1019" s="6">
        <v>-0.31169999999999998</v>
      </c>
      <c r="T1019" s="4"/>
      <c r="U1019" s="6">
        <v>-0.45669999999999999</v>
      </c>
      <c r="V1019" s="6">
        <v>-0.622</v>
      </c>
      <c r="W1019" s="6">
        <v>-0.61250000000000004</v>
      </c>
      <c r="X1019" s="6">
        <v>0</v>
      </c>
      <c r="Y1019" s="4"/>
      <c r="Z1019" s="6">
        <v>0.46239999999999998</v>
      </c>
      <c r="AA1019" s="4"/>
      <c r="AB1019" s="4"/>
      <c r="AC1019" s="4"/>
      <c r="AD1019" s="6">
        <v>0</v>
      </c>
      <c r="AE1019" s="4"/>
      <c r="AF1019" s="4"/>
      <c r="AG1019" s="4"/>
      <c r="AH1019" s="4">
        <v>1175505149000</v>
      </c>
    </row>
    <row r="1020" spans="1:34" x14ac:dyDescent="0.25">
      <c r="A1020" s="4">
        <v>1019</v>
      </c>
      <c r="B1020" s="5" t="s">
        <v>2167</v>
      </c>
      <c r="C1020" s="5" t="s">
        <v>2168</v>
      </c>
      <c r="D1020" s="5" t="s">
        <v>1586</v>
      </c>
      <c r="E1020" s="5" t="s">
        <v>29</v>
      </c>
      <c r="F1020" s="5" t="s">
        <v>30</v>
      </c>
      <c r="G1020" s="5" t="s">
        <v>83</v>
      </c>
      <c r="H1020" s="4"/>
      <c r="I1020" s="4"/>
      <c r="J1020" s="6"/>
      <c r="K1020" s="6"/>
      <c r="L1020" s="6"/>
      <c r="M1020" s="4"/>
      <c r="N1020" s="4"/>
      <c r="O1020" s="4"/>
      <c r="P1020" s="6"/>
      <c r="Q1020" s="6"/>
      <c r="R1020" s="6"/>
      <c r="S1020" s="6"/>
      <c r="T1020" s="4"/>
      <c r="U1020" s="6"/>
      <c r="V1020" s="6"/>
      <c r="W1020" s="6"/>
      <c r="X1020" s="6"/>
      <c r="Y1020" s="4"/>
      <c r="Z1020" s="6"/>
      <c r="AA1020" s="4"/>
      <c r="AB1020" s="4"/>
      <c r="AC1020" s="4"/>
      <c r="AD1020" s="6"/>
      <c r="AE1020" s="4"/>
      <c r="AF1020" s="4"/>
      <c r="AG1020" s="4"/>
      <c r="AH1020" s="4">
        <v>179800000000</v>
      </c>
    </row>
    <row r="1021" spans="1:34" x14ac:dyDescent="0.25">
      <c r="A1021" s="4">
        <v>1020</v>
      </c>
      <c r="B1021" s="5" t="s">
        <v>2169</v>
      </c>
      <c r="C1021" s="5" t="s">
        <v>2170</v>
      </c>
      <c r="D1021" s="5" t="s">
        <v>1586</v>
      </c>
      <c r="E1021" s="5" t="s">
        <v>40</v>
      </c>
      <c r="F1021" s="5" t="s">
        <v>52</v>
      </c>
      <c r="G1021" s="5" t="s">
        <v>53</v>
      </c>
      <c r="H1021" s="4"/>
      <c r="I1021" s="4"/>
      <c r="J1021" s="6"/>
      <c r="K1021" s="6"/>
      <c r="L1021" s="6"/>
      <c r="M1021" s="4"/>
      <c r="N1021" s="4"/>
      <c r="O1021" s="4"/>
      <c r="P1021" s="6"/>
      <c r="Q1021" s="6"/>
      <c r="R1021" s="6"/>
      <c r="S1021" s="6"/>
      <c r="T1021" s="4"/>
      <c r="U1021" s="6"/>
      <c r="V1021" s="6"/>
      <c r="W1021" s="6"/>
      <c r="X1021" s="6"/>
      <c r="Y1021" s="4"/>
      <c r="Z1021" s="6"/>
      <c r="AA1021" s="4"/>
      <c r="AB1021" s="4"/>
      <c r="AC1021" s="4"/>
      <c r="AD1021" s="6"/>
      <c r="AE1021" s="4"/>
      <c r="AF1021" s="4"/>
      <c r="AG1021" s="4"/>
      <c r="AH1021" s="4">
        <v>672167160000</v>
      </c>
    </row>
    <row r="1022" spans="1:34" x14ac:dyDescent="0.25">
      <c r="A1022" s="4">
        <v>1021</v>
      </c>
      <c r="B1022" s="5" t="s">
        <v>2171</v>
      </c>
      <c r="C1022" s="5" t="s">
        <v>2172</v>
      </c>
      <c r="D1022" s="5" t="s">
        <v>1586</v>
      </c>
      <c r="E1022" s="5" t="s">
        <v>40</v>
      </c>
      <c r="F1022" s="5" t="s">
        <v>52</v>
      </c>
      <c r="G1022" s="5" t="s">
        <v>110</v>
      </c>
      <c r="H1022" s="4"/>
      <c r="I1022" s="4"/>
      <c r="J1022" s="6"/>
      <c r="K1022" s="6"/>
      <c r="L1022" s="6"/>
      <c r="M1022" s="4"/>
      <c r="N1022" s="4"/>
      <c r="O1022" s="4"/>
      <c r="P1022" s="6"/>
      <c r="Q1022" s="6"/>
      <c r="R1022" s="6"/>
      <c r="S1022" s="6"/>
      <c r="T1022" s="4"/>
      <c r="U1022" s="6"/>
      <c r="V1022" s="6"/>
      <c r="W1022" s="6"/>
      <c r="X1022" s="6"/>
      <c r="Y1022" s="4"/>
      <c r="Z1022" s="6"/>
      <c r="AA1022" s="4"/>
      <c r="AB1022" s="4"/>
      <c r="AC1022" s="4"/>
      <c r="AD1022" s="6"/>
      <c r="AE1022" s="4"/>
      <c r="AF1022" s="4"/>
      <c r="AG1022" s="4"/>
      <c r="AH1022" s="4">
        <v>1128384000000</v>
      </c>
    </row>
    <row r="1023" spans="1:34" x14ac:dyDescent="0.25">
      <c r="A1023" s="4">
        <v>1022</v>
      </c>
      <c r="B1023" s="5" t="s">
        <v>2173</v>
      </c>
      <c r="C1023" s="5" t="s">
        <v>2174</v>
      </c>
      <c r="D1023" s="5" t="s">
        <v>1586</v>
      </c>
      <c r="E1023" s="5" t="s">
        <v>29</v>
      </c>
      <c r="F1023" s="5" t="s">
        <v>30</v>
      </c>
      <c r="G1023" s="5" t="s">
        <v>1527</v>
      </c>
      <c r="H1023" s="4"/>
      <c r="I1023" s="4"/>
      <c r="J1023" s="6"/>
      <c r="K1023" s="6"/>
      <c r="L1023" s="6"/>
      <c r="M1023" s="4"/>
      <c r="N1023" s="4"/>
      <c r="O1023" s="4"/>
      <c r="P1023" s="6"/>
      <c r="Q1023" s="6"/>
      <c r="R1023" s="6"/>
      <c r="S1023" s="6"/>
      <c r="T1023" s="4"/>
      <c r="U1023" s="6"/>
      <c r="V1023" s="6"/>
      <c r="W1023" s="6"/>
      <c r="X1023" s="6">
        <v>0</v>
      </c>
      <c r="Y1023" s="4"/>
      <c r="Z1023" s="6"/>
      <c r="AA1023" s="4"/>
      <c r="AB1023" s="4"/>
      <c r="AC1023" s="4"/>
      <c r="AD1023" s="6"/>
      <c r="AE1023" s="4"/>
      <c r="AF1023" s="4"/>
      <c r="AG1023" s="4"/>
      <c r="AH1023" s="4">
        <v>8904222000</v>
      </c>
    </row>
    <row r="1024" spans="1:34" x14ac:dyDescent="0.25">
      <c r="A1024" s="4">
        <v>1023</v>
      </c>
      <c r="B1024" s="5" t="s">
        <v>2175</v>
      </c>
      <c r="C1024" s="5" t="s">
        <v>2176</v>
      </c>
      <c r="D1024" s="5" t="s">
        <v>1586</v>
      </c>
      <c r="E1024" s="5" t="s">
        <v>40</v>
      </c>
      <c r="F1024" s="5" t="s">
        <v>52</v>
      </c>
      <c r="G1024" s="5" t="s">
        <v>110</v>
      </c>
      <c r="H1024" s="4"/>
      <c r="I1024" s="4"/>
      <c r="J1024" s="6"/>
      <c r="K1024" s="6"/>
      <c r="L1024" s="6"/>
      <c r="M1024" s="4"/>
      <c r="N1024" s="4"/>
      <c r="O1024" s="4"/>
      <c r="P1024" s="6"/>
      <c r="Q1024" s="6"/>
      <c r="R1024" s="6"/>
      <c r="S1024" s="6"/>
      <c r="T1024" s="4"/>
      <c r="U1024" s="6"/>
      <c r="V1024" s="6"/>
      <c r="W1024" s="6"/>
      <c r="X1024" s="6"/>
      <c r="Y1024" s="4"/>
      <c r="Z1024" s="6"/>
      <c r="AA1024" s="4"/>
      <c r="AB1024" s="4"/>
      <c r="AC1024" s="4"/>
      <c r="AD1024" s="6"/>
      <c r="AE1024" s="4"/>
      <c r="AF1024" s="4"/>
      <c r="AG1024" s="4"/>
      <c r="AH1024" s="4">
        <v>1490933781380</v>
      </c>
    </row>
    <row r="1025" spans="1:34" x14ac:dyDescent="0.25">
      <c r="A1025" s="4">
        <v>1024</v>
      </c>
      <c r="B1025" s="5" t="s">
        <v>2177</v>
      </c>
      <c r="C1025" s="5" t="s">
        <v>2178</v>
      </c>
      <c r="D1025" s="5" t="s">
        <v>1586</v>
      </c>
      <c r="E1025" s="5" t="s">
        <v>40</v>
      </c>
      <c r="F1025" s="5" t="s">
        <v>41</v>
      </c>
      <c r="G1025" s="5" t="s">
        <v>90</v>
      </c>
      <c r="H1025" s="4"/>
      <c r="I1025" s="4"/>
      <c r="J1025" s="6"/>
      <c r="K1025" s="6"/>
      <c r="L1025" s="6"/>
      <c r="M1025" s="4"/>
      <c r="N1025" s="4"/>
      <c r="O1025" s="4"/>
      <c r="P1025" s="6"/>
      <c r="Q1025" s="6"/>
      <c r="R1025" s="6"/>
      <c r="S1025" s="6"/>
      <c r="T1025" s="4"/>
      <c r="U1025" s="6"/>
      <c r="V1025" s="6"/>
      <c r="W1025" s="6"/>
      <c r="X1025" s="6"/>
      <c r="Y1025" s="4"/>
      <c r="Z1025" s="6"/>
      <c r="AA1025" s="4"/>
      <c r="AB1025" s="4"/>
      <c r="AC1025" s="4"/>
      <c r="AD1025" s="6"/>
      <c r="AE1025" s="4"/>
      <c r="AF1025" s="4"/>
      <c r="AG1025" s="4"/>
      <c r="AH1025" s="4">
        <v>50276160000</v>
      </c>
    </row>
    <row r="1026" spans="1:34" x14ac:dyDescent="0.25">
      <c r="A1026" s="4">
        <v>1025</v>
      </c>
      <c r="B1026" s="5" t="s">
        <v>2179</v>
      </c>
      <c r="C1026" s="5" t="s">
        <v>2180</v>
      </c>
      <c r="D1026" s="5" t="s">
        <v>1586</v>
      </c>
      <c r="E1026" s="5" t="s">
        <v>29</v>
      </c>
      <c r="F1026" s="5" t="s">
        <v>30</v>
      </c>
      <c r="G1026" s="5" t="s">
        <v>117</v>
      </c>
      <c r="H1026" s="4">
        <v>93961890595</v>
      </c>
      <c r="I1026" s="4">
        <v>152888551476</v>
      </c>
      <c r="J1026" s="6">
        <v>1.3338000000000001</v>
      </c>
      <c r="K1026" s="6">
        <v>0.60089999999999999</v>
      </c>
      <c r="L1026" s="6">
        <v>0.22869999999999999</v>
      </c>
      <c r="M1026" s="4">
        <v>3815303058</v>
      </c>
      <c r="N1026" s="4">
        <v>3205330550</v>
      </c>
      <c r="O1026" s="4"/>
      <c r="P1026" s="6">
        <v>1.8028999999999999</v>
      </c>
      <c r="Q1026" s="6">
        <v>1.8325</v>
      </c>
      <c r="R1026" s="6">
        <v>0.17</v>
      </c>
      <c r="S1026" s="6">
        <v>7.2549000000000001</v>
      </c>
      <c r="T1026" s="4"/>
      <c r="U1026" s="6">
        <v>-0.37080000000000002</v>
      </c>
      <c r="V1026" s="6">
        <v>1.9246000000000001</v>
      </c>
      <c r="W1026" s="6">
        <v>2.1425000000000001</v>
      </c>
      <c r="X1026" s="6">
        <v>9.7999999999999997E-3</v>
      </c>
      <c r="Y1026" s="4"/>
      <c r="Z1026" s="6">
        <v>0.59460000000000002</v>
      </c>
      <c r="AA1026" s="4"/>
      <c r="AB1026" s="4"/>
      <c r="AC1026" s="4"/>
      <c r="AD1026" s="6">
        <v>0</v>
      </c>
      <c r="AE1026" s="4"/>
      <c r="AF1026" s="4"/>
      <c r="AG1026" s="4"/>
      <c r="AH1026" s="4">
        <v>81600000000</v>
      </c>
    </row>
    <row r="1027" spans="1:34" x14ac:dyDescent="0.25">
      <c r="A1027" s="4">
        <v>1026</v>
      </c>
      <c r="B1027" s="5" t="s">
        <v>2181</v>
      </c>
      <c r="C1027" s="5" t="s">
        <v>2182</v>
      </c>
      <c r="D1027" s="5" t="s">
        <v>1586</v>
      </c>
      <c r="E1027" s="5" t="s">
        <v>40</v>
      </c>
      <c r="F1027" s="5" t="s">
        <v>52</v>
      </c>
      <c r="G1027" s="5" t="s">
        <v>110</v>
      </c>
      <c r="H1027" s="4"/>
      <c r="I1027" s="4"/>
      <c r="J1027" s="6"/>
      <c r="K1027" s="6"/>
      <c r="L1027" s="6"/>
      <c r="M1027" s="4"/>
      <c r="N1027" s="4"/>
      <c r="O1027" s="4"/>
      <c r="P1027" s="6"/>
      <c r="Q1027" s="6"/>
      <c r="R1027" s="6"/>
      <c r="S1027" s="6"/>
      <c r="T1027" s="4"/>
      <c r="U1027" s="6"/>
      <c r="V1027" s="6"/>
      <c r="W1027" s="6"/>
      <c r="X1027" s="6"/>
      <c r="Y1027" s="4"/>
      <c r="Z1027" s="6"/>
      <c r="AA1027" s="4"/>
      <c r="AB1027" s="4"/>
      <c r="AC1027" s="4"/>
      <c r="AD1027" s="6"/>
      <c r="AE1027" s="4"/>
      <c r="AF1027" s="4"/>
      <c r="AG1027" s="4"/>
      <c r="AH1027" s="4">
        <v>102928000000</v>
      </c>
    </row>
    <row r="1028" spans="1:34" x14ac:dyDescent="0.25">
      <c r="A1028" s="4">
        <v>1027</v>
      </c>
      <c r="B1028" s="5" t="s">
        <v>2183</v>
      </c>
      <c r="C1028" s="5" t="s">
        <v>2184</v>
      </c>
      <c r="D1028" s="5" t="s">
        <v>1586</v>
      </c>
      <c r="E1028" s="5" t="s">
        <v>40</v>
      </c>
      <c r="F1028" s="5" t="s">
        <v>52</v>
      </c>
      <c r="G1028" s="5" t="s">
        <v>110</v>
      </c>
      <c r="H1028" s="4">
        <v>20907359077</v>
      </c>
      <c r="I1028" s="4">
        <v>35433712837</v>
      </c>
      <c r="J1028" s="6">
        <v>0.39610000000000001</v>
      </c>
      <c r="K1028" s="6">
        <v>0.20080000000000001</v>
      </c>
      <c r="L1028" s="6">
        <v>0</v>
      </c>
      <c r="M1028" s="4">
        <v>6389262420</v>
      </c>
      <c r="N1028" s="4">
        <v>17324678782</v>
      </c>
      <c r="O1028" s="4"/>
      <c r="P1028" s="6">
        <v>2.8E-3</v>
      </c>
      <c r="Q1028" s="6">
        <v>0.30170000000000002</v>
      </c>
      <c r="R1028" s="6">
        <v>0</v>
      </c>
      <c r="S1028" s="6">
        <v>-0.41570000000000001</v>
      </c>
      <c r="T1028" s="4"/>
      <c r="U1028" s="6">
        <v>-0.66569999999999996</v>
      </c>
      <c r="V1028" s="6">
        <v>-0.53959999999999997</v>
      </c>
      <c r="W1028" s="6">
        <v>-0.53280000000000005</v>
      </c>
      <c r="X1028" s="6">
        <v>5.7700000000000001E-2</v>
      </c>
      <c r="Y1028" s="4"/>
      <c r="Z1028" s="6">
        <v>0.43930000000000002</v>
      </c>
      <c r="AA1028" s="4"/>
      <c r="AB1028" s="4"/>
      <c r="AC1028" s="4"/>
      <c r="AD1028" s="6">
        <v>0</v>
      </c>
      <c r="AE1028" s="4"/>
      <c r="AF1028" s="4"/>
      <c r="AG1028" s="4"/>
      <c r="AH1028" s="4">
        <v>537828642000</v>
      </c>
    </row>
    <row r="1029" spans="1:34" x14ac:dyDescent="0.25">
      <c r="A1029" s="4">
        <v>1028</v>
      </c>
      <c r="B1029" s="5" t="s">
        <v>2185</v>
      </c>
      <c r="C1029" s="5" t="s">
        <v>2186</v>
      </c>
      <c r="D1029" s="5" t="s">
        <v>1586</v>
      </c>
      <c r="E1029" s="5" t="s">
        <v>40</v>
      </c>
      <c r="F1029" s="5" t="s">
        <v>52</v>
      </c>
      <c r="G1029" s="5" t="s">
        <v>110</v>
      </c>
      <c r="H1029" s="4"/>
      <c r="I1029" s="4"/>
      <c r="J1029" s="6"/>
      <c r="K1029" s="6"/>
      <c r="L1029" s="6"/>
      <c r="M1029" s="4"/>
      <c r="N1029" s="4"/>
      <c r="O1029" s="4"/>
      <c r="P1029" s="6"/>
      <c r="Q1029" s="6"/>
      <c r="R1029" s="6"/>
      <c r="S1029" s="6"/>
      <c r="T1029" s="4"/>
      <c r="U1029" s="6"/>
      <c r="V1029" s="6"/>
      <c r="W1029" s="6"/>
      <c r="X1029" s="6"/>
      <c r="Y1029" s="4"/>
      <c r="Z1029" s="6"/>
      <c r="AA1029" s="4"/>
      <c r="AB1029" s="4"/>
      <c r="AC1029" s="4"/>
      <c r="AD1029" s="6"/>
      <c r="AE1029" s="4"/>
      <c r="AF1029" s="4"/>
      <c r="AG1029" s="4"/>
      <c r="AH1029" s="4">
        <v>38193600000</v>
      </c>
    </row>
    <row r="1030" spans="1:34" x14ac:dyDescent="0.25">
      <c r="A1030" s="4">
        <v>1029</v>
      </c>
      <c r="B1030" s="5" t="s">
        <v>2187</v>
      </c>
      <c r="C1030" s="5" t="s">
        <v>2188</v>
      </c>
      <c r="D1030" s="5" t="s">
        <v>1586</v>
      </c>
      <c r="E1030" s="5" t="s">
        <v>29</v>
      </c>
      <c r="F1030" s="5" t="s">
        <v>30</v>
      </c>
      <c r="G1030" s="5" t="s">
        <v>83</v>
      </c>
      <c r="H1030" s="4"/>
      <c r="I1030" s="4"/>
      <c r="J1030" s="6"/>
      <c r="K1030" s="6"/>
      <c r="L1030" s="6"/>
      <c r="M1030" s="4"/>
      <c r="N1030" s="4"/>
      <c r="O1030" s="4"/>
      <c r="P1030" s="6"/>
      <c r="Q1030" s="6"/>
      <c r="R1030" s="6"/>
      <c r="S1030" s="6"/>
      <c r="T1030" s="4"/>
      <c r="U1030" s="6"/>
      <c r="V1030" s="6"/>
      <c r="W1030" s="6"/>
      <c r="X1030" s="6"/>
      <c r="Y1030" s="4"/>
      <c r="Z1030" s="6"/>
      <c r="AA1030" s="4"/>
      <c r="AB1030" s="4"/>
      <c r="AC1030" s="4"/>
      <c r="AD1030" s="6"/>
      <c r="AE1030" s="4"/>
      <c r="AF1030" s="4"/>
      <c r="AG1030" s="4"/>
      <c r="AH1030" s="4"/>
    </row>
    <row r="1031" spans="1:34" x14ac:dyDescent="0.25">
      <c r="A1031" s="4">
        <v>1030</v>
      </c>
      <c r="B1031" s="5" t="s">
        <v>2189</v>
      </c>
      <c r="C1031" s="5" t="s">
        <v>2190</v>
      </c>
      <c r="D1031" s="5" t="s">
        <v>1586</v>
      </c>
      <c r="E1031" s="5" t="s">
        <v>75</v>
      </c>
      <c r="F1031" s="5" t="s">
        <v>76</v>
      </c>
      <c r="G1031" s="5" t="s">
        <v>76</v>
      </c>
      <c r="H1031" s="4"/>
      <c r="I1031" s="4"/>
      <c r="J1031" s="6"/>
      <c r="K1031" s="6"/>
      <c r="L1031" s="6"/>
      <c r="M1031" s="4"/>
      <c r="N1031" s="4"/>
      <c r="O1031" s="4"/>
      <c r="P1031" s="6"/>
      <c r="Q1031" s="6"/>
      <c r="R1031" s="6"/>
      <c r="S1031" s="6"/>
      <c r="T1031" s="4"/>
      <c r="U1031" s="6"/>
      <c r="V1031" s="6"/>
      <c r="W1031" s="6"/>
      <c r="X1031" s="6"/>
      <c r="Y1031" s="4"/>
      <c r="Z1031" s="6"/>
      <c r="AA1031" s="4"/>
      <c r="AB1031" s="4"/>
      <c r="AC1031" s="4"/>
      <c r="AD1031" s="6"/>
      <c r="AE1031" s="4"/>
      <c r="AF1031" s="4"/>
      <c r="AG1031" s="4"/>
      <c r="AH1031" s="4">
        <v>73491294600</v>
      </c>
    </row>
    <row r="1032" spans="1:34" x14ac:dyDescent="0.25">
      <c r="A1032" s="4">
        <v>1031</v>
      </c>
      <c r="B1032" s="5" t="s">
        <v>2191</v>
      </c>
      <c r="C1032" s="5" t="s">
        <v>2192</v>
      </c>
      <c r="D1032" s="5" t="s">
        <v>1586</v>
      </c>
      <c r="E1032" s="5" t="s">
        <v>75</v>
      </c>
      <c r="F1032" s="5" t="s">
        <v>76</v>
      </c>
      <c r="G1032" s="5" t="s">
        <v>76</v>
      </c>
      <c r="H1032" s="4"/>
      <c r="I1032" s="4"/>
      <c r="J1032" s="6"/>
      <c r="K1032" s="6"/>
      <c r="L1032" s="6"/>
      <c r="M1032" s="4"/>
      <c r="N1032" s="4"/>
      <c r="O1032" s="4"/>
      <c r="P1032" s="6"/>
      <c r="Q1032" s="6"/>
      <c r="R1032" s="6"/>
      <c r="S1032" s="6"/>
      <c r="T1032" s="4"/>
      <c r="U1032" s="6"/>
      <c r="V1032" s="6"/>
      <c r="W1032" s="6"/>
      <c r="X1032" s="6"/>
      <c r="Y1032" s="4"/>
      <c r="Z1032" s="6"/>
      <c r="AA1032" s="4"/>
      <c r="AB1032" s="4"/>
      <c r="AC1032" s="4"/>
      <c r="AD1032" s="6"/>
      <c r="AE1032" s="4"/>
      <c r="AF1032" s="4"/>
      <c r="AG1032" s="4"/>
      <c r="AH1032" s="4">
        <v>120960000000</v>
      </c>
    </row>
    <row r="1033" spans="1:34" x14ac:dyDescent="0.25">
      <c r="A1033" s="4">
        <v>1032</v>
      </c>
      <c r="B1033" s="5" t="s">
        <v>2193</v>
      </c>
      <c r="C1033" s="5" t="s">
        <v>2194</v>
      </c>
      <c r="D1033" s="5" t="s">
        <v>1586</v>
      </c>
      <c r="E1033" s="5" t="s">
        <v>75</v>
      </c>
      <c r="F1033" s="5" t="s">
        <v>76</v>
      </c>
      <c r="G1033" s="5" t="s">
        <v>76</v>
      </c>
      <c r="H1033" s="4"/>
      <c r="I1033" s="4"/>
      <c r="J1033" s="6"/>
      <c r="K1033" s="6"/>
      <c r="L1033" s="6"/>
      <c r="M1033" s="4"/>
      <c r="N1033" s="4"/>
      <c r="O1033" s="4"/>
      <c r="P1033" s="6"/>
      <c r="Q1033" s="6"/>
      <c r="R1033" s="6"/>
      <c r="S1033" s="6"/>
      <c r="T1033" s="4"/>
      <c r="U1033" s="6"/>
      <c r="V1033" s="6"/>
      <c r="W1033" s="6"/>
      <c r="X1033" s="6"/>
      <c r="Y1033" s="4"/>
      <c r="Z1033" s="6"/>
      <c r="AA1033" s="4"/>
      <c r="AB1033" s="4"/>
      <c r="AC1033" s="4"/>
      <c r="AD1033" s="6"/>
      <c r="AE1033" s="4"/>
      <c r="AF1033" s="4"/>
      <c r="AG1033" s="4"/>
      <c r="AH1033" s="4">
        <v>75000000000</v>
      </c>
    </row>
    <row r="1034" spans="1:34" x14ac:dyDescent="0.25">
      <c r="A1034" s="4">
        <v>1033</v>
      </c>
      <c r="B1034" s="5" t="s">
        <v>2195</v>
      </c>
      <c r="C1034" s="5" t="s">
        <v>2196</v>
      </c>
      <c r="D1034" s="5" t="s">
        <v>1586</v>
      </c>
      <c r="E1034" s="5" t="s">
        <v>29</v>
      </c>
      <c r="F1034" s="5" t="s">
        <v>36</v>
      </c>
      <c r="G1034" s="5" t="s">
        <v>37</v>
      </c>
      <c r="H1034" s="4">
        <v>571150308368</v>
      </c>
      <c r="I1034" s="4">
        <v>1044223289172</v>
      </c>
      <c r="J1034" s="6">
        <v>-4.9399999999999999E-2</v>
      </c>
      <c r="K1034" s="6">
        <v>-5.3400000000000003E-2</v>
      </c>
      <c r="L1034" s="6">
        <v>-8.8000000000000005E-3</v>
      </c>
      <c r="M1034" s="4">
        <v>40092874259</v>
      </c>
      <c r="N1034" s="4">
        <v>76940344037</v>
      </c>
      <c r="O1034" s="4"/>
      <c r="P1034" s="6">
        <v>-0.25169999999999998</v>
      </c>
      <c r="Q1034" s="6">
        <v>-9.1999999999999998E-2</v>
      </c>
      <c r="R1034" s="6">
        <v>-6.8199999999999997E-2</v>
      </c>
      <c r="S1034" s="6">
        <v>8.8099999999999998E-2</v>
      </c>
      <c r="T1034" s="4"/>
      <c r="U1034" s="6">
        <v>-0.55940000000000001</v>
      </c>
      <c r="V1034" s="6">
        <v>-0.45689999999999997</v>
      </c>
      <c r="W1034" s="6">
        <v>-0.45200000000000001</v>
      </c>
      <c r="X1034" s="6">
        <v>0</v>
      </c>
      <c r="Y1034" s="4"/>
      <c r="Z1034" s="6">
        <v>0.20730000000000001</v>
      </c>
      <c r="AA1034" s="4"/>
      <c r="AB1034" s="4"/>
      <c r="AC1034" s="4"/>
      <c r="AD1034" s="6">
        <v>0</v>
      </c>
      <c r="AE1034" s="4"/>
      <c r="AF1034" s="4"/>
      <c r="AG1034" s="4"/>
      <c r="AH1034" s="4">
        <v>643642983252</v>
      </c>
    </row>
    <row r="1035" spans="1:34" x14ac:dyDescent="0.25">
      <c r="A1035" s="4">
        <v>1034</v>
      </c>
      <c r="B1035" s="5" t="s">
        <v>2197</v>
      </c>
      <c r="C1035" s="5" t="s">
        <v>2198</v>
      </c>
      <c r="D1035" s="5" t="s">
        <v>1586</v>
      </c>
      <c r="E1035" s="5" t="s">
        <v>234</v>
      </c>
      <c r="F1035" s="5" t="s">
        <v>235</v>
      </c>
      <c r="G1035" s="5" t="s">
        <v>236</v>
      </c>
      <c r="H1035" s="4"/>
      <c r="I1035" s="4"/>
      <c r="J1035" s="6"/>
      <c r="K1035" s="6"/>
      <c r="L1035" s="6"/>
      <c r="M1035" s="4"/>
      <c r="N1035" s="4"/>
      <c r="O1035" s="4"/>
      <c r="P1035" s="6"/>
      <c r="Q1035" s="6"/>
      <c r="R1035" s="6"/>
      <c r="S1035" s="6"/>
      <c r="T1035" s="4"/>
      <c r="U1035" s="6"/>
      <c r="V1035" s="6"/>
      <c r="W1035" s="6"/>
      <c r="X1035" s="6"/>
      <c r="Y1035" s="4"/>
      <c r="Z1035" s="6"/>
      <c r="AA1035" s="4"/>
      <c r="AB1035" s="4"/>
      <c r="AC1035" s="4"/>
      <c r="AD1035" s="6"/>
      <c r="AE1035" s="4"/>
      <c r="AF1035" s="4"/>
      <c r="AG1035" s="4"/>
      <c r="AH1035" s="4">
        <v>255314542600</v>
      </c>
    </row>
    <row r="1036" spans="1:34" x14ac:dyDescent="0.25">
      <c r="A1036" s="4">
        <v>1035</v>
      </c>
      <c r="B1036" s="5" t="s">
        <v>2199</v>
      </c>
      <c r="C1036" s="5" t="s">
        <v>2200</v>
      </c>
      <c r="D1036" s="5" t="s">
        <v>1586</v>
      </c>
      <c r="E1036" s="5" t="s">
        <v>98</v>
      </c>
      <c r="F1036" s="5" t="s">
        <v>99</v>
      </c>
      <c r="G1036" s="5" t="s">
        <v>155</v>
      </c>
      <c r="H1036" s="4">
        <v>159617672698</v>
      </c>
      <c r="I1036" s="4">
        <v>310161237381</v>
      </c>
      <c r="J1036" s="6">
        <v>7.6499999999999999E-2</v>
      </c>
      <c r="K1036" s="6"/>
      <c r="L1036" s="6"/>
      <c r="M1036" s="4">
        <v>14199541716</v>
      </c>
      <c r="N1036" s="4">
        <v>32931063712</v>
      </c>
      <c r="O1036" s="4"/>
      <c r="P1036" s="6">
        <v>1.5390999999999999</v>
      </c>
      <c r="Q1036" s="6"/>
      <c r="R1036" s="6"/>
      <c r="S1036" s="6">
        <v>-0.2419</v>
      </c>
      <c r="T1036" s="4"/>
      <c r="U1036" s="6"/>
      <c r="V1036" s="6"/>
      <c r="W1036" s="6"/>
      <c r="X1036" s="6"/>
      <c r="Y1036" s="4"/>
      <c r="Z1036" s="6">
        <v>6.0299999999999999E-2</v>
      </c>
      <c r="AA1036" s="4"/>
      <c r="AB1036" s="4"/>
      <c r="AC1036" s="4"/>
      <c r="AD1036" s="6"/>
      <c r="AE1036" s="4"/>
      <c r="AF1036" s="4"/>
      <c r="AG1036" s="4"/>
      <c r="AH1036" s="4">
        <v>532437249000</v>
      </c>
    </row>
    <row r="1037" spans="1:34" x14ac:dyDescent="0.25">
      <c r="A1037" s="4">
        <v>1036</v>
      </c>
      <c r="B1037" s="5" t="s">
        <v>2201</v>
      </c>
      <c r="C1037" s="5" t="s">
        <v>2202</v>
      </c>
      <c r="D1037" s="5" t="s">
        <v>1586</v>
      </c>
      <c r="E1037" s="5" t="s">
        <v>40</v>
      </c>
      <c r="F1037" s="5" t="s">
        <v>41</v>
      </c>
      <c r="G1037" s="5" t="s">
        <v>42</v>
      </c>
      <c r="H1037" s="4"/>
      <c r="I1037" s="4"/>
      <c r="J1037" s="6"/>
      <c r="K1037" s="6"/>
      <c r="L1037" s="6"/>
      <c r="M1037" s="4"/>
      <c r="N1037" s="4"/>
      <c r="O1037" s="4"/>
      <c r="P1037" s="6"/>
      <c r="Q1037" s="6"/>
      <c r="R1037" s="6"/>
      <c r="S1037" s="6"/>
      <c r="T1037" s="4"/>
      <c r="U1037" s="6"/>
      <c r="V1037" s="6"/>
      <c r="W1037" s="6"/>
      <c r="X1037" s="6"/>
      <c r="Y1037" s="4"/>
      <c r="Z1037" s="6"/>
      <c r="AA1037" s="4"/>
      <c r="AB1037" s="4"/>
      <c r="AC1037" s="4"/>
      <c r="AD1037" s="6"/>
      <c r="AE1037" s="4"/>
      <c r="AF1037" s="4"/>
      <c r="AG1037" s="4"/>
      <c r="AH1037" s="4">
        <v>354768000000</v>
      </c>
    </row>
    <row r="1038" spans="1:34" x14ac:dyDescent="0.25">
      <c r="A1038" s="4">
        <v>1037</v>
      </c>
      <c r="B1038" s="5" t="s">
        <v>2203</v>
      </c>
      <c r="C1038" s="5" t="s">
        <v>2204</v>
      </c>
      <c r="D1038" s="5" t="s">
        <v>1586</v>
      </c>
      <c r="E1038" s="5" t="s">
        <v>40</v>
      </c>
      <c r="F1038" s="5" t="s">
        <v>52</v>
      </c>
      <c r="G1038" s="5" t="s">
        <v>110</v>
      </c>
      <c r="H1038" s="4"/>
      <c r="I1038" s="4"/>
      <c r="J1038" s="6"/>
      <c r="K1038" s="6"/>
      <c r="L1038" s="6"/>
      <c r="M1038" s="4"/>
      <c r="N1038" s="4"/>
      <c r="O1038" s="4"/>
      <c r="P1038" s="6"/>
      <c r="Q1038" s="6"/>
      <c r="R1038" s="6"/>
      <c r="S1038" s="6"/>
      <c r="T1038" s="4"/>
      <c r="U1038" s="6"/>
      <c r="V1038" s="6"/>
      <c r="W1038" s="6"/>
      <c r="X1038" s="6"/>
      <c r="Y1038" s="4"/>
      <c r="Z1038" s="6"/>
      <c r="AA1038" s="4"/>
      <c r="AB1038" s="4"/>
      <c r="AC1038" s="4"/>
      <c r="AD1038" s="6"/>
      <c r="AE1038" s="4"/>
      <c r="AF1038" s="4"/>
      <c r="AG1038" s="4"/>
      <c r="AH1038" s="4">
        <v>72160000000</v>
      </c>
    </row>
    <row r="1039" spans="1:34" x14ac:dyDescent="0.25">
      <c r="A1039" s="4">
        <v>1038</v>
      </c>
      <c r="B1039" s="5" t="s">
        <v>2205</v>
      </c>
      <c r="C1039" s="5" t="s">
        <v>2206</v>
      </c>
      <c r="D1039" s="5" t="s">
        <v>1586</v>
      </c>
      <c r="E1039" s="5" t="s">
        <v>40</v>
      </c>
      <c r="F1039" s="5" t="s">
        <v>41</v>
      </c>
      <c r="G1039" s="5" t="s">
        <v>1716</v>
      </c>
      <c r="H1039" s="4"/>
      <c r="I1039" s="4"/>
      <c r="J1039" s="6"/>
      <c r="K1039" s="6"/>
      <c r="L1039" s="6"/>
      <c r="M1039" s="4"/>
      <c r="N1039" s="4"/>
      <c r="O1039" s="4"/>
      <c r="P1039" s="6"/>
      <c r="Q1039" s="6"/>
      <c r="R1039" s="6"/>
      <c r="S1039" s="6"/>
      <c r="T1039" s="4"/>
      <c r="U1039" s="6"/>
      <c r="V1039" s="6"/>
      <c r="W1039" s="6"/>
      <c r="X1039" s="6"/>
      <c r="Y1039" s="4"/>
      <c r="Z1039" s="6"/>
      <c r="AA1039" s="4"/>
      <c r="AB1039" s="4"/>
      <c r="AC1039" s="4"/>
      <c r="AD1039" s="6"/>
      <c r="AE1039" s="4"/>
      <c r="AF1039" s="4"/>
      <c r="AG1039" s="4"/>
      <c r="AH1039" s="4">
        <v>69096000000</v>
      </c>
    </row>
    <row r="1040" spans="1:34" x14ac:dyDescent="0.25">
      <c r="A1040" s="4">
        <v>1039</v>
      </c>
      <c r="B1040" s="5" t="s">
        <v>2207</v>
      </c>
      <c r="C1040" s="5" t="s">
        <v>2208</v>
      </c>
      <c r="D1040" s="5" t="s">
        <v>1586</v>
      </c>
      <c r="E1040" s="5" t="s">
        <v>62</v>
      </c>
      <c r="F1040" s="5" t="s">
        <v>226</v>
      </c>
      <c r="G1040" s="5" t="s">
        <v>286</v>
      </c>
      <c r="H1040" s="4"/>
      <c r="I1040" s="4"/>
      <c r="J1040" s="6"/>
      <c r="K1040" s="6"/>
      <c r="L1040" s="6"/>
      <c r="M1040" s="4"/>
      <c r="N1040" s="4"/>
      <c r="O1040" s="4"/>
      <c r="P1040" s="6"/>
      <c r="Q1040" s="6"/>
      <c r="R1040" s="6"/>
      <c r="S1040" s="6"/>
      <c r="T1040" s="4"/>
      <c r="U1040" s="6"/>
      <c r="V1040" s="6"/>
      <c r="W1040" s="6"/>
      <c r="X1040" s="6"/>
      <c r="Y1040" s="4"/>
      <c r="Z1040" s="6"/>
      <c r="AA1040" s="4"/>
      <c r="AB1040" s="4"/>
      <c r="AC1040" s="4"/>
      <c r="AD1040" s="6"/>
      <c r="AE1040" s="4"/>
      <c r="AF1040" s="4"/>
      <c r="AG1040" s="4"/>
      <c r="AH1040" s="4">
        <v>139419750000</v>
      </c>
    </row>
    <row r="1041" spans="1:34" x14ac:dyDescent="0.25">
      <c r="A1041" s="4">
        <v>1040</v>
      </c>
      <c r="B1041" s="5" t="s">
        <v>2209</v>
      </c>
      <c r="C1041" s="5" t="s">
        <v>2210</v>
      </c>
      <c r="D1041" s="5" t="s">
        <v>1586</v>
      </c>
      <c r="E1041" s="5" t="s">
        <v>40</v>
      </c>
      <c r="F1041" s="5" t="s">
        <v>52</v>
      </c>
      <c r="G1041" s="5" t="s">
        <v>110</v>
      </c>
      <c r="H1041" s="4"/>
      <c r="I1041" s="4"/>
      <c r="J1041" s="6"/>
      <c r="K1041" s="6"/>
      <c r="L1041" s="6"/>
      <c r="M1041" s="4"/>
      <c r="N1041" s="4"/>
      <c r="O1041" s="4"/>
      <c r="P1041" s="6"/>
      <c r="Q1041" s="6"/>
      <c r="R1041" s="6"/>
      <c r="S1041" s="6"/>
      <c r="T1041" s="4"/>
      <c r="U1041" s="6"/>
      <c r="V1041" s="6"/>
      <c r="W1041" s="6"/>
      <c r="X1041" s="6"/>
      <c r="Y1041" s="4"/>
      <c r="Z1041" s="6"/>
      <c r="AA1041" s="4"/>
      <c r="AB1041" s="4"/>
      <c r="AC1041" s="4"/>
      <c r="AD1041" s="6"/>
      <c r="AE1041" s="4"/>
      <c r="AF1041" s="4"/>
      <c r="AG1041" s="4"/>
      <c r="AH1041" s="4">
        <v>90090000000</v>
      </c>
    </row>
    <row r="1042" spans="1:34" x14ac:dyDescent="0.25">
      <c r="A1042" s="4">
        <v>1041</v>
      </c>
      <c r="B1042" s="5" t="s">
        <v>2211</v>
      </c>
      <c r="C1042" s="5" t="s">
        <v>2212</v>
      </c>
      <c r="D1042" s="5" t="s">
        <v>1586</v>
      </c>
      <c r="E1042" s="5" t="s">
        <v>98</v>
      </c>
      <c r="F1042" s="5" t="s">
        <v>99</v>
      </c>
      <c r="G1042" s="5" t="s">
        <v>100</v>
      </c>
      <c r="H1042" s="4"/>
      <c r="I1042" s="4"/>
      <c r="J1042" s="6"/>
      <c r="K1042" s="6"/>
      <c r="L1042" s="6"/>
      <c r="M1042" s="4"/>
      <c r="N1042" s="4"/>
      <c r="O1042" s="4"/>
      <c r="P1042" s="6"/>
      <c r="Q1042" s="6"/>
      <c r="R1042" s="6"/>
      <c r="S1042" s="6"/>
      <c r="T1042" s="4"/>
      <c r="U1042" s="6"/>
      <c r="V1042" s="6"/>
      <c r="W1042" s="6"/>
      <c r="X1042" s="6"/>
      <c r="Y1042" s="4"/>
      <c r="Z1042" s="6"/>
      <c r="AA1042" s="4"/>
      <c r="AB1042" s="4"/>
      <c r="AC1042" s="4"/>
      <c r="AD1042" s="6"/>
      <c r="AE1042" s="4"/>
      <c r="AF1042" s="4"/>
      <c r="AG1042" s="4"/>
      <c r="AH1042" s="4">
        <v>86683892500</v>
      </c>
    </row>
    <row r="1043" spans="1:34" x14ac:dyDescent="0.25">
      <c r="A1043" s="4">
        <v>1042</v>
      </c>
      <c r="B1043" s="5" t="s">
        <v>2213</v>
      </c>
      <c r="C1043" s="5" t="s">
        <v>2214</v>
      </c>
      <c r="D1043" s="5" t="s">
        <v>1586</v>
      </c>
      <c r="E1043" s="5" t="s">
        <v>62</v>
      </c>
      <c r="F1043" s="5" t="s">
        <v>71</v>
      </c>
      <c r="G1043" s="5" t="s">
        <v>147</v>
      </c>
      <c r="H1043" s="4"/>
      <c r="I1043" s="4"/>
      <c r="J1043" s="6"/>
      <c r="K1043" s="6"/>
      <c r="L1043" s="6"/>
      <c r="M1043" s="4"/>
      <c r="N1043" s="4"/>
      <c r="O1043" s="4"/>
      <c r="P1043" s="6"/>
      <c r="Q1043" s="6"/>
      <c r="R1043" s="6"/>
      <c r="S1043" s="6"/>
      <c r="T1043" s="4"/>
      <c r="U1043" s="6"/>
      <c r="V1043" s="6"/>
      <c r="W1043" s="6"/>
      <c r="X1043" s="6"/>
      <c r="Y1043" s="4"/>
      <c r="Z1043" s="6"/>
      <c r="AA1043" s="4"/>
      <c r="AB1043" s="4"/>
      <c r="AC1043" s="4"/>
      <c r="AD1043" s="6"/>
      <c r="AE1043" s="4"/>
      <c r="AF1043" s="4"/>
      <c r="AG1043" s="4"/>
      <c r="AH1043" s="4">
        <v>6477000000</v>
      </c>
    </row>
    <row r="1044" spans="1:34" x14ac:dyDescent="0.25">
      <c r="A1044" s="4">
        <v>1043</v>
      </c>
      <c r="B1044" s="5" t="s">
        <v>2215</v>
      </c>
      <c r="C1044" s="5" t="s">
        <v>2216</v>
      </c>
      <c r="D1044" s="5" t="s">
        <v>1586</v>
      </c>
      <c r="E1044" s="5" t="s">
        <v>62</v>
      </c>
      <c r="F1044" s="5" t="s">
        <v>226</v>
      </c>
      <c r="G1044" s="5" t="s">
        <v>737</v>
      </c>
      <c r="H1044" s="4">
        <v>16467806192</v>
      </c>
      <c r="I1044" s="4">
        <v>30489878920</v>
      </c>
      <c r="J1044" s="6">
        <v>0.61760000000000004</v>
      </c>
      <c r="K1044" s="6">
        <v>0.30030000000000001</v>
      </c>
      <c r="L1044" s="6">
        <v>3.4000000000000002E-2</v>
      </c>
      <c r="M1044" s="4">
        <v>-981692287</v>
      </c>
      <c r="N1044" s="4">
        <v>4038729997</v>
      </c>
      <c r="O1044" s="4"/>
      <c r="P1044" s="6">
        <v>-2.7671999999999999</v>
      </c>
      <c r="Q1044" s="6">
        <v>1.5769</v>
      </c>
      <c r="R1044" s="6">
        <v>-1.1253</v>
      </c>
      <c r="S1044" s="6">
        <v>-1.1955</v>
      </c>
      <c r="T1044" s="4"/>
      <c r="U1044" s="6">
        <v>-0.56430000000000002</v>
      </c>
      <c r="V1044" s="6">
        <v>2.6168</v>
      </c>
      <c r="W1044" s="6">
        <v>2.6168</v>
      </c>
      <c r="X1044" s="6">
        <v>0</v>
      </c>
      <c r="Y1044" s="4"/>
      <c r="Z1044" s="6">
        <v>0.1744</v>
      </c>
      <c r="AA1044" s="4"/>
      <c r="AB1044" s="4"/>
      <c r="AC1044" s="4"/>
      <c r="AD1044" s="6">
        <v>0</v>
      </c>
      <c r="AE1044" s="4"/>
      <c r="AF1044" s="4"/>
      <c r="AG1044" s="4"/>
      <c r="AH1044" s="4">
        <v>242000000000</v>
      </c>
    </row>
    <row r="1045" spans="1:34" x14ac:dyDescent="0.25">
      <c r="A1045" s="4">
        <v>1044</v>
      </c>
      <c r="B1045" s="5" t="s">
        <v>2217</v>
      </c>
      <c r="C1045" s="5" t="s">
        <v>2218</v>
      </c>
      <c r="D1045" s="5" t="s">
        <v>1586</v>
      </c>
      <c r="E1045" s="5" t="s">
        <v>29</v>
      </c>
      <c r="F1045" s="5" t="s">
        <v>30</v>
      </c>
      <c r="G1045" s="5" t="s">
        <v>117</v>
      </c>
      <c r="H1045" s="4"/>
      <c r="I1045" s="4"/>
      <c r="J1045" s="6"/>
      <c r="K1045" s="6"/>
      <c r="L1045" s="6"/>
      <c r="M1045" s="4"/>
      <c r="N1045" s="4"/>
      <c r="O1045" s="4"/>
      <c r="P1045" s="6"/>
      <c r="Q1045" s="6"/>
      <c r="R1045" s="6"/>
      <c r="S1045" s="6"/>
      <c r="T1045" s="4"/>
      <c r="U1045" s="6"/>
      <c r="V1045" s="6"/>
      <c r="W1045" s="6"/>
      <c r="X1045" s="6">
        <v>0</v>
      </c>
      <c r="Y1045" s="4"/>
      <c r="Z1045" s="6"/>
      <c r="AA1045" s="4"/>
      <c r="AB1045" s="4"/>
      <c r="AC1045" s="4"/>
      <c r="AD1045" s="6"/>
      <c r="AE1045" s="4"/>
      <c r="AF1045" s="4"/>
      <c r="AG1045" s="4"/>
      <c r="AH1045" s="4">
        <v>289000000000</v>
      </c>
    </row>
    <row r="1046" spans="1:34" x14ac:dyDescent="0.25">
      <c r="A1046" s="4">
        <v>1045</v>
      </c>
      <c r="B1046" s="5" t="s">
        <v>2219</v>
      </c>
      <c r="C1046" s="5" t="s">
        <v>2220</v>
      </c>
      <c r="D1046" s="5" t="s">
        <v>1586</v>
      </c>
      <c r="E1046" s="5" t="s">
        <v>62</v>
      </c>
      <c r="F1046" s="5" t="s">
        <v>226</v>
      </c>
      <c r="G1046" s="5" t="s">
        <v>737</v>
      </c>
      <c r="H1046" s="4"/>
      <c r="I1046" s="4"/>
      <c r="J1046" s="6"/>
      <c r="K1046" s="6"/>
      <c r="L1046" s="6"/>
      <c r="M1046" s="4"/>
      <c r="N1046" s="4"/>
      <c r="O1046" s="4"/>
      <c r="P1046" s="6"/>
      <c r="Q1046" s="6"/>
      <c r="R1046" s="6"/>
      <c r="S1046" s="6"/>
      <c r="T1046" s="4"/>
      <c r="U1046" s="6"/>
      <c r="V1046" s="6"/>
      <c r="W1046" s="6"/>
      <c r="X1046" s="6"/>
      <c r="Y1046" s="4"/>
      <c r="Z1046" s="6"/>
      <c r="AA1046" s="4"/>
      <c r="AB1046" s="4"/>
      <c r="AC1046" s="4"/>
      <c r="AD1046" s="6"/>
      <c r="AE1046" s="4"/>
      <c r="AF1046" s="4"/>
      <c r="AG1046" s="4"/>
      <c r="AH1046" s="4">
        <v>24427447800</v>
      </c>
    </row>
    <row r="1047" spans="1:34" x14ac:dyDescent="0.25">
      <c r="A1047" s="4">
        <v>1046</v>
      </c>
      <c r="B1047" s="5" t="s">
        <v>2221</v>
      </c>
      <c r="C1047" s="5" t="s">
        <v>2222</v>
      </c>
      <c r="D1047" s="5" t="s">
        <v>1586</v>
      </c>
      <c r="E1047" s="5" t="s">
        <v>62</v>
      </c>
      <c r="F1047" s="5" t="s">
        <v>63</v>
      </c>
      <c r="G1047" s="5" t="s">
        <v>656</v>
      </c>
      <c r="H1047" s="4"/>
      <c r="I1047" s="4"/>
      <c r="J1047" s="6"/>
      <c r="K1047" s="6"/>
      <c r="L1047" s="6"/>
      <c r="M1047" s="4"/>
      <c r="N1047" s="4"/>
      <c r="O1047" s="4"/>
      <c r="P1047" s="6"/>
      <c r="Q1047" s="6"/>
      <c r="R1047" s="6"/>
      <c r="S1047" s="6"/>
      <c r="T1047" s="4"/>
      <c r="U1047" s="6"/>
      <c r="V1047" s="6"/>
      <c r="W1047" s="6"/>
      <c r="X1047" s="6"/>
      <c r="Y1047" s="4"/>
      <c r="Z1047" s="6"/>
      <c r="AA1047" s="4"/>
      <c r="AB1047" s="4"/>
      <c r="AC1047" s="4"/>
      <c r="AD1047" s="6"/>
      <c r="AE1047" s="4"/>
      <c r="AF1047" s="4"/>
      <c r="AG1047" s="4"/>
      <c r="AH1047" s="4"/>
    </row>
    <row r="1048" spans="1:34" x14ac:dyDescent="0.25">
      <c r="A1048" s="4">
        <v>1047</v>
      </c>
      <c r="B1048" s="5" t="s">
        <v>2223</v>
      </c>
      <c r="C1048" s="5" t="s">
        <v>2224</v>
      </c>
      <c r="D1048" s="5" t="s">
        <v>1586</v>
      </c>
      <c r="E1048" s="5" t="s">
        <v>40</v>
      </c>
      <c r="F1048" s="5" t="s">
        <v>41</v>
      </c>
      <c r="G1048" s="5" t="s">
        <v>93</v>
      </c>
      <c r="H1048" s="4"/>
      <c r="I1048" s="4"/>
      <c r="J1048" s="6"/>
      <c r="K1048" s="6"/>
      <c r="L1048" s="6"/>
      <c r="M1048" s="4"/>
      <c r="N1048" s="4"/>
      <c r="O1048" s="4"/>
      <c r="P1048" s="6"/>
      <c r="Q1048" s="6"/>
      <c r="R1048" s="6"/>
      <c r="S1048" s="6"/>
      <c r="T1048" s="4"/>
      <c r="U1048" s="6"/>
      <c r="V1048" s="6"/>
      <c r="W1048" s="6"/>
      <c r="X1048" s="6"/>
      <c r="Y1048" s="4"/>
      <c r="Z1048" s="6"/>
      <c r="AA1048" s="4"/>
      <c r="AB1048" s="4"/>
      <c r="AC1048" s="4"/>
      <c r="AD1048" s="6"/>
      <c r="AE1048" s="4"/>
      <c r="AF1048" s="4"/>
      <c r="AG1048" s="4"/>
      <c r="AH1048" s="4">
        <v>288000000</v>
      </c>
    </row>
    <row r="1049" spans="1:34" x14ac:dyDescent="0.25">
      <c r="A1049" s="4">
        <v>1048</v>
      </c>
      <c r="B1049" s="5" t="s">
        <v>2225</v>
      </c>
      <c r="C1049" s="5" t="s">
        <v>2226</v>
      </c>
      <c r="D1049" s="5" t="s">
        <v>1586</v>
      </c>
      <c r="E1049" s="5" t="s">
        <v>98</v>
      </c>
      <c r="F1049" s="5" t="s">
        <v>99</v>
      </c>
      <c r="G1049" s="5" t="s">
        <v>144</v>
      </c>
      <c r="H1049" s="4"/>
      <c r="I1049" s="4"/>
      <c r="J1049" s="6"/>
      <c r="K1049" s="6"/>
      <c r="L1049" s="6"/>
      <c r="M1049" s="4"/>
      <c r="N1049" s="4"/>
      <c r="O1049" s="4"/>
      <c r="P1049" s="6"/>
      <c r="Q1049" s="6"/>
      <c r="R1049" s="6"/>
      <c r="S1049" s="6"/>
      <c r="T1049" s="4"/>
      <c r="U1049" s="6"/>
      <c r="V1049" s="6"/>
      <c r="W1049" s="6"/>
      <c r="X1049" s="6"/>
      <c r="Y1049" s="4"/>
      <c r="Z1049" s="6"/>
      <c r="AA1049" s="4"/>
      <c r="AB1049" s="4"/>
      <c r="AC1049" s="4"/>
      <c r="AD1049" s="6"/>
      <c r="AE1049" s="4"/>
      <c r="AF1049" s="4"/>
      <c r="AG1049" s="4"/>
      <c r="AH1049" s="4">
        <v>290220000000</v>
      </c>
    </row>
    <row r="1050" spans="1:34" x14ac:dyDescent="0.25">
      <c r="A1050" s="4">
        <v>1049</v>
      </c>
      <c r="B1050" s="5" t="s">
        <v>2227</v>
      </c>
      <c r="C1050" s="5" t="s">
        <v>2228</v>
      </c>
      <c r="D1050" s="5" t="s">
        <v>1586</v>
      </c>
      <c r="E1050" s="5" t="s">
        <v>29</v>
      </c>
      <c r="F1050" s="5" t="s">
        <v>36</v>
      </c>
      <c r="G1050" s="5" t="s">
        <v>178</v>
      </c>
      <c r="H1050" s="4">
        <v>228261199961</v>
      </c>
      <c r="I1050" s="4">
        <v>476593001477</v>
      </c>
      <c r="J1050" s="6">
        <v>-0.56310000000000004</v>
      </c>
      <c r="K1050" s="6"/>
      <c r="L1050" s="6"/>
      <c r="M1050" s="4">
        <v>3194931000</v>
      </c>
      <c r="N1050" s="4">
        <v>6565446421</v>
      </c>
      <c r="O1050" s="4"/>
      <c r="P1050" s="6">
        <v>-0.66420000000000001</v>
      </c>
      <c r="Q1050" s="6"/>
      <c r="R1050" s="6"/>
      <c r="S1050" s="6">
        <v>-5.21E-2</v>
      </c>
      <c r="T1050" s="4"/>
      <c r="U1050" s="6"/>
      <c r="V1050" s="6"/>
      <c r="W1050" s="6"/>
      <c r="X1050" s="6"/>
      <c r="Y1050" s="4"/>
      <c r="Z1050" s="6">
        <v>-8.0799999999999997E-2</v>
      </c>
      <c r="AA1050" s="4"/>
      <c r="AB1050" s="4"/>
      <c r="AC1050" s="4"/>
      <c r="AD1050" s="6"/>
      <c r="AE1050" s="4"/>
      <c r="AF1050" s="4"/>
      <c r="AG1050" s="4"/>
      <c r="AH1050" s="4">
        <v>86115448400</v>
      </c>
    </row>
    <row r="1051" spans="1:34" x14ac:dyDescent="0.25">
      <c r="A1051" s="4">
        <v>1050</v>
      </c>
      <c r="B1051" s="5" t="s">
        <v>2229</v>
      </c>
      <c r="C1051" s="5" t="s">
        <v>2230</v>
      </c>
      <c r="D1051" s="5" t="s">
        <v>1586</v>
      </c>
      <c r="E1051" s="5" t="s">
        <v>29</v>
      </c>
      <c r="F1051" s="5" t="s">
        <v>30</v>
      </c>
      <c r="G1051" s="5" t="s">
        <v>83</v>
      </c>
      <c r="H1051" s="4">
        <v>1576250789</v>
      </c>
      <c r="I1051" s="4">
        <v>3153744515</v>
      </c>
      <c r="J1051" s="6">
        <v>-1.5699999999999999E-2</v>
      </c>
      <c r="K1051" s="6">
        <v>-2.1299999999999999E-2</v>
      </c>
      <c r="L1051" s="6">
        <v>1.55E-2</v>
      </c>
      <c r="M1051" s="4">
        <v>-14660437738</v>
      </c>
      <c r="N1051" s="4">
        <v>-29181650885</v>
      </c>
      <c r="O1051" s="4"/>
      <c r="P1051" s="6">
        <v>-1.06E-2</v>
      </c>
      <c r="Q1051" s="6">
        <v>-3.8E-3</v>
      </c>
      <c r="R1051" s="6">
        <v>0</v>
      </c>
      <c r="S1051" s="6">
        <v>-9.5999999999999992E-3</v>
      </c>
      <c r="T1051" s="4"/>
      <c r="U1051" s="6">
        <v>-0.99950000000000006</v>
      </c>
      <c r="V1051" s="6">
        <v>0.99729999999999996</v>
      </c>
      <c r="W1051" s="6">
        <v>0.99739999999999995</v>
      </c>
      <c r="X1051" s="6">
        <v>0</v>
      </c>
      <c r="Y1051" s="4"/>
      <c r="Z1051" s="6">
        <v>-8.0000000000000004E-4</v>
      </c>
      <c r="AA1051" s="4"/>
      <c r="AB1051" s="4"/>
      <c r="AC1051" s="4"/>
      <c r="AD1051" s="6">
        <v>0</v>
      </c>
      <c r="AE1051" s="4"/>
      <c r="AF1051" s="4"/>
      <c r="AG1051" s="4"/>
      <c r="AH1051" s="4">
        <v>20639999600</v>
      </c>
    </row>
    <row r="1052" spans="1:34" x14ac:dyDescent="0.25">
      <c r="A1052" s="4">
        <v>1051</v>
      </c>
      <c r="B1052" s="5" t="s">
        <v>2231</v>
      </c>
      <c r="C1052" s="5" t="s">
        <v>2232</v>
      </c>
      <c r="D1052" s="5" t="s">
        <v>1586</v>
      </c>
      <c r="E1052" s="5" t="s">
        <v>24</v>
      </c>
      <c r="F1052" s="5" t="s">
        <v>56</v>
      </c>
      <c r="G1052" s="5" t="s">
        <v>291</v>
      </c>
      <c r="H1052" s="4"/>
      <c r="I1052" s="4"/>
      <c r="J1052" s="6"/>
      <c r="K1052" s="6"/>
      <c r="L1052" s="6"/>
      <c r="M1052" s="4"/>
      <c r="N1052" s="4"/>
      <c r="O1052" s="4"/>
      <c r="P1052" s="6"/>
      <c r="Q1052" s="6"/>
      <c r="R1052" s="6"/>
      <c r="S1052" s="6"/>
      <c r="T1052" s="4"/>
      <c r="U1052" s="6"/>
      <c r="V1052" s="6"/>
      <c r="W1052" s="6"/>
      <c r="X1052" s="6"/>
      <c r="Y1052" s="4"/>
      <c r="Z1052" s="6"/>
      <c r="AA1052" s="4"/>
      <c r="AB1052" s="4"/>
      <c r="AC1052" s="4"/>
      <c r="AD1052" s="6"/>
      <c r="AE1052" s="4"/>
      <c r="AF1052" s="4"/>
      <c r="AG1052" s="4"/>
      <c r="AH1052" s="4">
        <v>13777197200</v>
      </c>
    </row>
    <row r="1053" spans="1:34" x14ac:dyDescent="0.25">
      <c r="A1053" s="4">
        <v>1052</v>
      </c>
      <c r="B1053" s="5" t="s">
        <v>2233</v>
      </c>
      <c r="C1053" s="5" t="s">
        <v>2234</v>
      </c>
      <c r="D1053" s="5" t="s">
        <v>1586</v>
      </c>
      <c r="E1053" s="5" t="s">
        <v>29</v>
      </c>
      <c r="F1053" s="5" t="s">
        <v>30</v>
      </c>
      <c r="G1053" s="5" t="s">
        <v>117</v>
      </c>
      <c r="H1053" s="4"/>
      <c r="I1053" s="4"/>
      <c r="J1053" s="6"/>
      <c r="K1053" s="6"/>
      <c r="L1053" s="6"/>
      <c r="M1053" s="4"/>
      <c r="N1053" s="4"/>
      <c r="O1053" s="4"/>
      <c r="P1053" s="6"/>
      <c r="Q1053" s="6"/>
      <c r="R1053" s="6"/>
      <c r="S1053" s="6"/>
      <c r="T1053" s="4"/>
      <c r="U1053" s="6"/>
      <c r="V1053" s="6"/>
      <c r="W1053" s="6"/>
      <c r="X1053" s="6"/>
      <c r="Y1053" s="4"/>
      <c r="Z1053" s="6"/>
      <c r="AA1053" s="4"/>
      <c r="AB1053" s="4"/>
      <c r="AC1053" s="4"/>
      <c r="AD1053" s="6"/>
      <c r="AE1053" s="4"/>
      <c r="AF1053" s="4"/>
      <c r="AG1053" s="4"/>
      <c r="AH1053" s="4">
        <v>1376286000000</v>
      </c>
    </row>
    <row r="1054" spans="1:34" x14ac:dyDescent="0.25">
      <c r="A1054" s="4">
        <v>1053</v>
      </c>
      <c r="B1054" s="5" t="s">
        <v>2235</v>
      </c>
      <c r="C1054" s="5" t="s">
        <v>2236</v>
      </c>
      <c r="D1054" s="5" t="s">
        <v>1586</v>
      </c>
      <c r="E1054" s="5" t="s">
        <v>40</v>
      </c>
      <c r="F1054" s="5" t="s">
        <v>41</v>
      </c>
      <c r="G1054" s="5" t="s">
        <v>619</v>
      </c>
      <c r="H1054" s="4"/>
      <c r="I1054" s="4"/>
      <c r="J1054" s="6"/>
      <c r="K1054" s="6"/>
      <c r="L1054" s="6"/>
      <c r="M1054" s="4"/>
      <c r="N1054" s="4"/>
      <c r="O1054" s="4"/>
      <c r="P1054" s="6"/>
      <c r="Q1054" s="6"/>
      <c r="R1054" s="6"/>
      <c r="S1054" s="6"/>
      <c r="T1054" s="4"/>
      <c r="U1054" s="6"/>
      <c r="V1054" s="6"/>
      <c r="W1054" s="6"/>
      <c r="X1054" s="6"/>
      <c r="Y1054" s="4"/>
      <c r="Z1054" s="6"/>
      <c r="AA1054" s="4"/>
      <c r="AB1054" s="4"/>
      <c r="AC1054" s="4"/>
      <c r="AD1054" s="6"/>
      <c r="AE1054" s="4"/>
      <c r="AF1054" s="4"/>
      <c r="AG1054" s="4"/>
      <c r="AH1054" s="4">
        <v>189968744000</v>
      </c>
    </row>
    <row r="1055" spans="1:34" x14ac:dyDescent="0.25">
      <c r="A1055" s="4">
        <v>1054</v>
      </c>
      <c r="B1055" s="5" t="s">
        <v>2237</v>
      </c>
      <c r="C1055" s="5" t="s">
        <v>2238</v>
      </c>
      <c r="D1055" s="5" t="s">
        <v>1586</v>
      </c>
      <c r="E1055" s="5" t="s">
        <v>40</v>
      </c>
      <c r="F1055" s="5" t="s">
        <v>41</v>
      </c>
      <c r="G1055" s="5" t="s">
        <v>619</v>
      </c>
      <c r="H1055" s="4"/>
      <c r="I1055" s="4"/>
      <c r="J1055" s="6"/>
      <c r="K1055" s="6"/>
      <c r="L1055" s="6"/>
      <c r="M1055" s="4"/>
      <c r="N1055" s="4"/>
      <c r="O1055" s="4"/>
      <c r="P1055" s="6"/>
      <c r="Q1055" s="6"/>
      <c r="R1055" s="6"/>
      <c r="S1055" s="6"/>
      <c r="T1055" s="4"/>
      <c r="U1055" s="6"/>
      <c r="V1055" s="6"/>
      <c r="W1055" s="6"/>
      <c r="X1055" s="6"/>
      <c r="Y1055" s="4"/>
      <c r="Z1055" s="6"/>
      <c r="AA1055" s="4"/>
      <c r="AB1055" s="4"/>
      <c r="AC1055" s="4"/>
      <c r="AD1055" s="6"/>
      <c r="AE1055" s="4"/>
      <c r="AF1055" s="4"/>
      <c r="AG1055" s="4"/>
      <c r="AH1055" s="4">
        <v>295981812500</v>
      </c>
    </row>
    <row r="1056" spans="1:34" x14ac:dyDescent="0.25">
      <c r="A1056" s="4">
        <v>1055</v>
      </c>
      <c r="B1056" s="5" t="s">
        <v>2239</v>
      </c>
      <c r="C1056" s="5" t="s">
        <v>2240</v>
      </c>
      <c r="D1056" s="5" t="s">
        <v>1586</v>
      </c>
      <c r="E1056" s="5" t="s">
        <v>29</v>
      </c>
      <c r="F1056" s="5" t="s">
        <v>36</v>
      </c>
      <c r="G1056" s="5" t="s">
        <v>37</v>
      </c>
      <c r="H1056" s="4"/>
      <c r="I1056" s="4"/>
      <c r="J1056" s="6"/>
      <c r="K1056" s="6"/>
      <c r="L1056" s="6"/>
      <c r="M1056" s="4"/>
      <c r="N1056" s="4"/>
      <c r="O1056" s="4"/>
      <c r="P1056" s="6"/>
      <c r="Q1056" s="6"/>
      <c r="R1056" s="6"/>
      <c r="S1056" s="6"/>
      <c r="T1056" s="4"/>
      <c r="U1056" s="6"/>
      <c r="V1056" s="6"/>
      <c r="W1056" s="6"/>
      <c r="X1056" s="6"/>
      <c r="Y1056" s="4"/>
      <c r="Z1056" s="6"/>
      <c r="AA1056" s="4"/>
      <c r="AB1056" s="4"/>
      <c r="AC1056" s="4"/>
      <c r="AD1056" s="6"/>
      <c r="AE1056" s="4"/>
      <c r="AF1056" s="4"/>
      <c r="AG1056" s="4"/>
      <c r="AH1056" s="4">
        <v>58300000000</v>
      </c>
    </row>
    <row r="1057" spans="1:34" x14ac:dyDescent="0.25">
      <c r="A1057" s="4">
        <v>1056</v>
      </c>
      <c r="B1057" s="5" t="s">
        <v>2241</v>
      </c>
      <c r="C1057" s="5" t="s">
        <v>2242</v>
      </c>
      <c r="D1057" s="5" t="s">
        <v>1586</v>
      </c>
      <c r="E1057" s="5" t="s">
        <v>40</v>
      </c>
      <c r="F1057" s="5" t="s">
        <v>52</v>
      </c>
      <c r="G1057" s="5" t="s">
        <v>53</v>
      </c>
      <c r="H1057" s="4"/>
      <c r="I1057" s="4"/>
      <c r="J1057" s="6"/>
      <c r="K1057" s="6"/>
      <c r="L1057" s="6"/>
      <c r="M1057" s="4"/>
      <c r="N1057" s="4"/>
      <c r="O1057" s="4"/>
      <c r="P1057" s="6"/>
      <c r="Q1057" s="6"/>
      <c r="R1057" s="6"/>
      <c r="S1057" s="6"/>
      <c r="T1057" s="4"/>
      <c r="U1057" s="6"/>
      <c r="V1057" s="6"/>
      <c r="W1057" s="6"/>
      <c r="X1057" s="6"/>
      <c r="Y1057" s="4"/>
      <c r="Z1057" s="6"/>
      <c r="AA1057" s="4"/>
      <c r="AB1057" s="4"/>
      <c r="AC1057" s="4"/>
      <c r="AD1057" s="6"/>
      <c r="AE1057" s="4"/>
      <c r="AF1057" s="4"/>
      <c r="AG1057" s="4"/>
      <c r="AH1057" s="4">
        <v>9899059500</v>
      </c>
    </row>
    <row r="1058" spans="1:34" x14ac:dyDescent="0.25">
      <c r="A1058" s="4">
        <v>1057</v>
      </c>
      <c r="B1058" s="5" t="s">
        <v>2243</v>
      </c>
      <c r="C1058" s="5" t="s">
        <v>2244</v>
      </c>
      <c r="D1058" s="5" t="s">
        <v>1586</v>
      </c>
      <c r="E1058" s="5" t="s">
        <v>24</v>
      </c>
      <c r="F1058" s="5" t="s">
        <v>25</v>
      </c>
      <c r="G1058" s="5" t="s">
        <v>45</v>
      </c>
      <c r="H1058" s="4"/>
      <c r="I1058" s="4"/>
      <c r="J1058" s="6"/>
      <c r="K1058" s="6"/>
      <c r="L1058" s="6"/>
      <c r="M1058" s="4"/>
      <c r="N1058" s="4"/>
      <c r="O1058" s="4"/>
      <c r="P1058" s="6"/>
      <c r="Q1058" s="6"/>
      <c r="R1058" s="6"/>
      <c r="S1058" s="6"/>
      <c r="T1058" s="4"/>
      <c r="U1058" s="6"/>
      <c r="V1058" s="6"/>
      <c r="W1058" s="6"/>
      <c r="X1058" s="6"/>
      <c r="Y1058" s="4"/>
      <c r="Z1058" s="6"/>
      <c r="AA1058" s="4"/>
      <c r="AB1058" s="4"/>
      <c r="AC1058" s="4"/>
      <c r="AD1058" s="6"/>
      <c r="AE1058" s="4"/>
      <c r="AF1058" s="4"/>
      <c r="AG1058" s="4"/>
      <c r="AH1058" s="4">
        <v>98193457500</v>
      </c>
    </row>
    <row r="1059" spans="1:34" x14ac:dyDescent="0.25">
      <c r="A1059" s="4">
        <v>1058</v>
      </c>
      <c r="B1059" s="5" t="s">
        <v>2245</v>
      </c>
      <c r="C1059" s="5" t="s">
        <v>2246</v>
      </c>
      <c r="D1059" s="5" t="s">
        <v>1586</v>
      </c>
      <c r="E1059" s="5" t="s">
        <v>24</v>
      </c>
      <c r="F1059" s="5" t="s">
        <v>56</v>
      </c>
      <c r="G1059" s="5" t="s">
        <v>291</v>
      </c>
      <c r="H1059" s="4"/>
      <c r="I1059" s="4"/>
      <c r="J1059" s="6"/>
      <c r="K1059" s="6"/>
      <c r="L1059" s="6"/>
      <c r="M1059" s="4"/>
      <c r="N1059" s="4"/>
      <c r="O1059" s="4"/>
      <c r="P1059" s="6"/>
      <c r="Q1059" s="6"/>
      <c r="R1059" s="6"/>
      <c r="S1059" s="6"/>
      <c r="T1059" s="4"/>
      <c r="U1059" s="6"/>
      <c r="V1059" s="6"/>
      <c r="W1059" s="6"/>
      <c r="X1059" s="6"/>
      <c r="Y1059" s="4"/>
      <c r="Z1059" s="6"/>
      <c r="AA1059" s="4"/>
      <c r="AB1059" s="4"/>
      <c r="AC1059" s="4"/>
      <c r="AD1059" s="6"/>
      <c r="AE1059" s="4"/>
      <c r="AF1059" s="4"/>
      <c r="AG1059" s="4"/>
      <c r="AH1059" s="4">
        <v>42300000000</v>
      </c>
    </row>
    <row r="1060" spans="1:34" x14ac:dyDescent="0.25">
      <c r="A1060" s="4">
        <v>1059</v>
      </c>
      <c r="B1060" s="5" t="s">
        <v>2247</v>
      </c>
      <c r="C1060" s="5" t="s">
        <v>2248</v>
      </c>
      <c r="D1060" s="5" t="s">
        <v>1586</v>
      </c>
      <c r="E1060" s="5" t="s">
        <v>40</v>
      </c>
      <c r="F1060" s="5" t="s">
        <v>52</v>
      </c>
      <c r="G1060" s="5" t="s">
        <v>110</v>
      </c>
      <c r="H1060" s="4"/>
      <c r="I1060" s="4"/>
      <c r="J1060" s="6"/>
      <c r="K1060" s="6"/>
      <c r="L1060" s="6"/>
      <c r="M1060" s="4"/>
      <c r="N1060" s="4"/>
      <c r="O1060" s="4"/>
      <c r="P1060" s="6"/>
      <c r="Q1060" s="6"/>
      <c r="R1060" s="6"/>
      <c r="S1060" s="6"/>
      <c r="T1060" s="4"/>
      <c r="U1060" s="6"/>
      <c r="V1060" s="6"/>
      <c r="W1060" s="6"/>
      <c r="X1060" s="6"/>
      <c r="Y1060" s="4"/>
      <c r="Z1060" s="6"/>
      <c r="AA1060" s="4"/>
      <c r="AB1060" s="4"/>
      <c r="AC1060" s="4"/>
      <c r="AD1060" s="6"/>
      <c r="AE1060" s="4"/>
      <c r="AF1060" s="4"/>
      <c r="AG1060" s="4"/>
      <c r="AH1060" s="4">
        <v>354293884350</v>
      </c>
    </row>
    <row r="1061" spans="1:34" x14ac:dyDescent="0.25">
      <c r="A1061" s="4">
        <v>1060</v>
      </c>
      <c r="B1061" s="5" t="s">
        <v>2249</v>
      </c>
      <c r="C1061" s="5" t="s">
        <v>2250</v>
      </c>
      <c r="D1061" s="5" t="s">
        <v>1586</v>
      </c>
      <c r="E1061" s="5" t="s">
        <v>40</v>
      </c>
      <c r="F1061" s="5" t="s">
        <v>41</v>
      </c>
      <c r="G1061" s="5" t="s">
        <v>93</v>
      </c>
      <c r="H1061" s="4"/>
      <c r="I1061" s="4"/>
      <c r="J1061" s="6"/>
      <c r="K1061" s="6"/>
      <c r="L1061" s="6"/>
      <c r="M1061" s="4"/>
      <c r="N1061" s="4"/>
      <c r="O1061" s="4"/>
      <c r="P1061" s="6"/>
      <c r="Q1061" s="6"/>
      <c r="R1061" s="6"/>
      <c r="S1061" s="6"/>
      <c r="T1061" s="4"/>
      <c r="U1061" s="6"/>
      <c r="V1061" s="6"/>
      <c r="W1061" s="6"/>
      <c r="X1061" s="6"/>
      <c r="Y1061" s="4"/>
      <c r="Z1061" s="6"/>
      <c r="AA1061" s="4"/>
      <c r="AB1061" s="4"/>
      <c r="AC1061" s="4"/>
      <c r="AD1061" s="6"/>
      <c r="AE1061" s="4"/>
      <c r="AF1061" s="4"/>
      <c r="AG1061" s="4"/>
      <c r="AH1061" s="4">
        <v>114893000000</v>
      </c>
    </row>
    <row r="1062" spans="1:34" x14ac:dyDescent="0.25">
      <c r="A1062" s="4">
        <v>1061</v>
      </c>
      <c r="B1062" s="5" t="s">
        <v>2251</v>
      </c>
      <c r="C1062" s="5" t="s">
        <v>2252</v>
      </c>
      <c r="D1062" s="5" t="s">
        <v>1586</v>
      </c>
      <c r="E1062" s="5" t="s">
        <v>40</v>
      </c>
      <c r="F1062" s="5" t="s">
        <v>52</v>
      </c>
      <c r="G1062" s="5" t="s">
        <v>53</v>
      </c>
      <c r="H1062" s="4"/>
      <c r="I1062" s="4"/>
      <c r="J1062" s="6"/>
      <c r="K1062" s="6"/>
      <c r="L1062" s="6"/>
      <c r="M1062" s="4"/>
      <c r="N1062" s="4"/>
      <c r="O1062" s="4"/>
      <c r="P1062" s="6"/>
      <c r="Q1062" s="6"/>
      <c r="R1062" s="6"/>
      <c r="S1062" s="6"/>
      <c r="T1062" s="4"/>
      <c r="U1062" s="6"/>
      <c r="V1062" s="6"/>
      <c r="W1062" s="6"/>
      <c r="X1062" s="6"/>
      <c r="Y1062" s="4"/>
      <c r="Z1062" s="6"/>
      <c r="AA1062" s="4"/>
      <c r="AB1062" s="4"/>
      <c r="AC1062" s="4"/>
      <c r="AD1062" s="6"/>
      <c r="AE1062" s="4"/>
      <c r="AF1062" s="4"/>
      <c r="AG1062" s="4"/>
      <c r="AH1062" s="4"/>
    </row>
    <row r="1063" spans="1:34" x14ac:dyDescent="0.25">
      <c r="A1063" s="4">
        <v>1062</v>
      </c>
      <c r="B1063" s="5" t="s">
        <v>2253</v>
      </c>
      <c r="C1063" s="5" t="s">
        <v>2254</v>
      </c>
      <c r="D1063" s="5" t="s">
        <v>1586</v>
      </c>
      <c r="E1063" s="5" t="s">
        <v>98</v>
      </c>
      <c r="F1063" s="5" t="s">
        <v>99</v>
      </c>
      <c r="G1063" s="5" t="s">
        <v>144</v>
      </c>
      <c r="H1063" s="4">
        <v>3535490643261</v>
      </c>
      <c r="I1063" s="4">
        <v>6080684660628</v>
      </c>
      <c r="J1063" s="6">
        <v>0.18970000000000001</v>
      </c>
      <c r="K1063" s="6">
        <v>8.0199999999999994E-2</v>
      </c>
      <c r="L1063" s="6">
        <v>1.01E-2</v>
      </c>
      <c r="M1063" s="4">
        <v>292194648294</v>
      </c>
      <c r="N1063" s="4">
        <v>508241421571</v>
      </c>
      <c r="O1063" s="4"/>
      <c r="P1063" s="6">
        <v>0.2089</v>
      </c>
      <c r="Q1063" s="6">
        <v>0.24629999999999999</v>
      </c>
      <c r="R1063" s="6">
        <v>0.87109999999999999</v>
      </c>
      <c r="S1063" s="6">
        <v>0.35249999999999998</v>
      </c>
      <c r="T1063" s="4"/>
      <c r="U1063" s="6">
        <v>-0.4274</v>
      </c>
      <c r="V1063" s="6">
        <v>0.1076</v>
      </c>
      <c r="W1063" s="6">
        <v>0.1033</v>
      </c>
      <c r="X1063" s="6">
        <v>5.0999999999999997E-2</v>
      </c>
      <c r="Y1063" s="4"/>
      <c r="Z1063" s="6">
        <v>0.3891</v>
      </c>
      <c r="AA1063" s="4"/>
      <c r="AB1063" s="4"/>
      <c r="AC1063" s="4"/>
      <c r="AD1063" s="6">
        <v>0</v>
      </c>
      <c r="AE1063" s="4"/>
      <c r="AF1063" s="4"/>
      <c r="AG1063" s="4"/>
      <c r="AH1063" s="4">
        <v>4906500000000</v>
      </c>
    </row>
    <row r="1064" spans="1:34" x14ac:dyDescent="0.25">
      <c r="A1064" s="4">
        <v>1063</v>
      </c>
      <c r="B1064" s="5" t="s">
        <v>2255</v>
      </c>
      <c r="C1064" s="5" t="s">
        <v>2256</v>
      </c>
      <c r="D1064" s="5" t="s">
        <v>1586</v>
      </c>
      <c r="E1064" s="5" t="s">
        <v>29</v>
      </c>
      <c r="F1064" s="5" t="s">
        <v>30</v>
      </c>
      <c r="G1064" s="5" t="s">
        <v>83</v>
      </c>
      <c r="H1064" s="4">
        <v>336219909523</v>
      </c>
      <c r="I1064" s="4">
        <v>878457430095</v>
      </c>
      <c r="J1064" s="6">
        <v>-2.4899999999999999E-2</v>
      </c>
      <c r="K1064" s="6">
        <v>0.20330000000000001</v>
      </c>
      <c r="L1064" s="6">
        <v>4.8800000000000003E-2</v>
      </c>
      <c r="M1064" s="4">
        <v>8991260170</v>
      </c>
      <c r="N1064" s="4">
        <v>36834867785</v>
      </c>
      <c r="O1064" s="4"/>
      <c r="P1064" s="6">
        <v>4.6100000000000002E-2</v>
      </c>
      <c r="Q1064" s="6">
        <v>-2.5399999999999999E-2</v>
      </c>
      <c r="R1064" s="6">
        <v>-0.43980000000000002</v>
      </c>
      <c r="S1064" s="6">
        <v>-0.67710000000000004</v>
      </c>
      <c r="T1064" s="4"/>
      <c r="U1064" s="6">
        <v>-0.60829999999999995</v>
      </c>
      <c r="V1064" s="6">
        <v>-0.58179999999999998</v>
      </c>
      <c r="W1064" s="6">
        <v>-0.58179999999999998</v>
      </c>
      <c r="X1064" s="6">
        <v>0.12609999999999999</v>
      </c>
      <c r="Y1064" s="4"/>
      <c r="Z1064" s="6">
        <v>-0.37990000000000002</v>
      </c>
      <c r="AA1064" s="4"/>
      <c r="AB1064" s="4"/>
      <c r="AC1064" s="4"/>
      <c r="AD1064" s="6">
        <v>0</v>
      </c>
      <c r="AE1064" s="4"/>
      <c r="AF1064" s="4"/>
      <c r="AG1064" s="4"/>
      <c r="AH1064" s="4">
        <v>714000000000</v>
      </c>
    </row>
    <row r="1065" spans="1:34" x14ac:dyDescent="0.25">
      <c r="A1065" s="4">
        <v>1064</v>
      </c>
      <c r="B1065" s="5" t="s">
        <v>2257</v>
      </c>
      <c r="C1065" s="5" t="s">
        <v>2258</v>
      </c>
      <c r="D1065" s="5" t="s">
        <v>1586</v>
      </c>
      <c r="E1065" s="5" t="s">
        <v>29</v>
      </c>
      <c r="F1065" s="5" t="s">
        <v>30</v>
      </c>
      <c r="G1065" s="5" t="s">
        <v>31</v>
      </c>
      <c r="H1065" s="4"/>
      <c r="I1065" s="4"/>
      <c r="J1065" s="6"/>
      <c r="K1065" s="6"/>
      <c r="L1065" s="6"/>
      <c r="M1065" s="4"/>
      <c r="N1065" s="4"/>
      <c r="O1065" s="4"/>
      <c r="P1065" s="6"/>
      <c r="Q1065" s="6"/>
      <c r="R1065" s="6"/>
      <c r="S1065" s="6"/>
      <c r="T1065" s="4"/>
      <c r="U1065" s="6"/>
      <c r="V1065" s="6"/>
      <c r="W1065" s="6"/>
      <c r="X1065" s="6"/>
      <c r="Y1065" s="4"/>
      <c r="Z1065" s="6"/>
      <c r="AA1065" s="4"/>
      <c r="AB1065" s="4"/>
      <c r="AC1065" s="4"/>
      <c r="AD1065" s="6"/>
      <c r="AE1065" s="4"/>
      <c r="AF1065" s="4"/>
      <c r="AG1065" s="4"/>
      <c r="AH1065" s="4">
        <v>7136869976010</v>
      </c>
    </row>
    <row r="1066" spans="1:34" x14ac:dyDescent="0.25">
      <c r="A1066" s="4">
        <v>1065</v>
      </c>
      <c r="B1066" s="5" t="s">
        <v>2259</v>
      </c>
      <c r="C1066" s="5" t="s">
        <v>2260</v>
      </c>
      <c r="D1066" s="5" t="s">
        <v>1586</v>
      </c>
      <c r="E1066" s="5" t="s">
        <v>29</v>
      </c>
      <c r="F1066" s="5" t="s">
        <v>36</v>
      </c>
      <c r="G1066" s="5" t="s">
        <v>37</v>
      </c>
      <c r="H1066" s="4">
        <v>270306057417</v>
      </c>
      <c r="I1066" s="4">
        <v>438926662324</v>
      </c>
      <c r="J1066" s="6">
        <v>-0.24640000000000001</v>
      </c>
      <c r="K1066" s="6">
        <v>-0.2014</v>
      </c>
      <c r="L1066" s="6">
        <v>-0.1958</v>
      </c>
      <c r="M1066" s="4">
        <v>10557230967</v>
      </c>
      <c r="N1066" s="4">
        <v>20373525991</v>
      </c>
      <c r="O1066" s="4"/>
      <c r="P1066" s="6">
        <v>-0.32200000000000001</v>
      </c>
      <c r="Q1066" s="6">
        <v>-0.20039999999999999</v>
      </c>
      <c r="R1066" s="6">
        <v>-0.12759999999999999</v>
      </c>
      <c r="S1066" s="6">
        <v>7.5499999999999998E-2</v>
      </c>
      <c r="T1066" s="4"/>
      <c r="U1066" s="6">
        <v>-0.56110000000000004</v>
      </c>
      <c r="V1066" s="6">
        <v>-0.42509999999999998</v>
      </c>
      <c r="W1066" s="6">
        <v>-0.43409999999999999</v>
      </c>
      <c r="X1066" s="6">
        <v>4.6899999999999997E-2</v>
      </c>
      <c r="Y1066" s="4"/>
      <c r="Z1066" s="6">
        <v>0.60299999999999998</v>
      </c>
      <c r="AA1066" s="4"/>
      <c r="AB1066" s="4"/>
      <c r="AC1066" s="4"/>
      <c r="AD1066" s="6">
        <v>0</v>
      </c>
      <c r="AE1066" s="4"/>
      <c r="AF1066" s="4"/>
      <c r="AG1066" s="4"/>
      <c r="AH1066" s="4">
        <v>506467140000</v>
      </c>
    </row>
    <row r="1067" spans="1:34" x14ac:dyDescent="0.25">
      <c r="A1067" s="4">
        <v>1066</v>
      </c>
      <c r="B1067" s="5" t="s">
        <v>2261</v>
      </c>
      <c r="C1067" s="5" t="s">
        <v>2262</v>
      </c>
      <c r="D1067" s="5" t="s">
        <v>1586</v>
      </c>
      <c r="E1067" s="5" t="s">
        <v>29</v>
      </c>
      <c r="F1067" s="5" t="s">
        <v>30</v>
      </c>
      <c r="G1067" s="5" t="s">
        <v>83</v>
      </c>
      <c r="H1067" s="4">
        <v>195825129568</v>
      </c>
      <c r="I1067" s="4">
        <v>385445200293</v>
      </c>
      <c r="J1067" s="6">
        <v>7.3800000000000004E-2</v>
      </c>
      <c r="K1067" s="6">
        <v>2.9000000000000001E-2</v>
      </c>
      <c r="L1067" s="6">
        <v>5.3100000000000001E-2</v>
      </c>
      <c r="M1067" s="4">
        <v>7812277065</v>
      </c>
      <c r="N1067" s="4">
        <v>11547374042</v>
      </c>
      <c r="O1067" s="4"/>
      <c r="P1067" s="6">
        <v>0.56310000000000004</v>
      </c>
      <c r="Q1067" s="6">
        <v>-0.1166</v>
      </c>
      <c r="R1067" s="6">
        <v>-0.2485</v>
      </c>
      <c r="S1067" s="6">
        <v>1.0915999999999999</v>
      </c>
      <c r="T1067" s="4"/>
      <c r="U1067" s="6">
        <v>-0.61460000000000004</v>
      </c>
      <c r="V1067" s="6">
        <v>-0.6774</v>
      </c>
      <c r="W1067" s="6">
        <v>-0.67920000000000003</v>
      </c>
      <c r="X1067" s="6">
        <v>0</v>
      </c>
      <c r="Y1067" s="4"/>
      <c r="Z1067" s="6">
        <v>3.27E-2</v>
      </c>
      <c r="AA1067" s="4"/>
      <c r="AB1067" s="4"/>
      <c r="AC1067" s="4"/>
      <c r="AD1067" s="6">
        <v>0</v>
      </c>
      <c r="AE1067" s="4"/>
      <c r="AF1067" s="4"/>
      <c r="AG1067" s="4"/>
      <c r="AH1067" s="4">
        <v>372960000000</v>
      </c>
    </row>
    <row r="1068" spans="1:34" x14ac:dyDescent="0.25">
      <c r="A1068" s="4">
        <v>1067</v>
      </c>
      <c r="B1068" s="5" t="s">
        <v>2263</v>
      </c>
      <c r="C1068" s="5" t="s">
        <v>2264</v>
      </c>
      <c r="D1068" s="5" t="s">
        <v>1586</v>
      </c>
      <c r="E1068" s="5" t="s">
        <v>24</v>
      </c>
      <c r="F1068" s="5" t="s">
        <v>25</v>
      </c>
      <c r="G1068" s="5" t="s">
        <v>26</v>
      </c>
      <c r="H1068" s="4"/>
      <c r="I1068" s="4"/>
      <c r="J1068" s="6"/>
      <c r="K1068" s="6"/>
      <c r="L1068" s="6"/>
      <c r="M1068" s="4"/>
      <c r="N1068" s="4"/>
      <c r="O1068" s="4"/>
      <c r="P1068" s="6"/>
      <c r="Q1068" s="6"/>
      <c r="R1068" s="6"/>
      <c r="S1068" s="6"/>
      <c r="T1068" s="4"/>
      <c r="U1068" s="6"/>
      <c r="V1068" s="6"/>
      <c r="W1068" s="6"/>
      <c r="X1068" s="6"/>
      <c r="Y1068" s="4"/>
      <c r="Z1068" s="6"/>
      <c r="AA1068" s="4"/>
      <c r="AB1068" s="4"/>
      <c r="AC1068" s="4"/>
      <c r="AD1068" s="6"/>
      <c r="AE1068" s="4"/>
      <c r="AF1068" s="4"/>
      <c r="AG1068" s="4"/>
      <c r="AH1068" s="4">
        <v>90000000000</v>
      </c>
    </row>
    <row r="1069" spans="1:34" x14ac:dyDescent="0.25">
      <c r="A1069" s="4">
        <v>1068</v>
      </c>
      <c r="B1069" s="5" t="s">
        <v>2265</v>
      </c>
      <c r="C1069" s="5" t="s">
        <v>2266</v>
      </c>
      <c r="D1069" s="5" t="s">
        <v>1586</v>
      </c>
      <c r="E1069" s="5" t="s">
        <v>29</v>
      </c>
      <c r="F1069" s="5" t="s">
        <v>30</v>
      </c>
      <c r="G1069" s="5" t="s">
        <v>1527</v>
      </c>
      <c r="H1069" s="4">
        <v>31294863612</v>
      </c>
      <c r="I1069" s="4">
        <v>70908062096</v>
      </c>
      <c r="J1069" s="6">
        <v>9.69E-2</v>
      </c>
      <c r="K1069" s="6"/>
      <c r="L1069" s="6"/>
      <c r="M1069" s="4">
        <v>-3815384668</v>
      </c>
      <c r="N1069" s="4">
        <v>-1863716270</v>
      </c>
      <c r="O1069" s="4"/>
      <c r="P1069" s="6">
        <v>-12.355700000000001</v>
      </c>
      <c r="Q1069" s="6"/>
      <c r="R1069" s="6"/>
      <c r="S1069" s="6">
        <v>-2.9548999999999999</v>
      </c>
      <c r="T1069" s="4"/>
      <c r="U1069" s="6"/>
      <c r="V1069" s="6"/>
      <c r="W1069" s="6"/>
      <c r="X1069" s="6"/>
      <c r="Y1069" s="4"/>
      <c r="Z1069" s="6">
        <v>-0.21</v>
      </c>
      <c r="AA1069" s="4"/>
      <c r="AB1069" s="4"/>
      <c r="AC1069" s="4"/>
      <c r="AD1069" s="6"/>
      <c r="AE1069" s="4"/>
      <c r="AF1069" s="4"/>
      <c r="AG1069" s="4"/>
      <c r="AH1069" s="4">
        <v>240000000000</v>
      </c>
    </row>
    <row r="1070" spans="1:34" x14ac:dyDescent="0.25">
      <c r="A1070" s="4">
        <v>1069</v>
      </c>
      <c r="B1070" s="5" t="s">
        <v>2267</v>
      </c>
      <c r="C1070" s="5" t="s">
        <v>2268</v>
      </c>
      <c r="D1070" s="5" t="s">
        <v>1586</v>
      </c>
      <c r="E1070" s="5" t="s">
        <v>62</v>
      </c>
      <c r="F1070" s="5" t="s">
        <v>226</v>
      </c>
      <c r="G1070" s="5" t="s">
        <v>737</v>
      </c>
      <c r="H1070" s="4"/>
      <c r="I1070" s="4"/>
      <c r="J1070" s="6"/>
      <c r="K1070" s="6"/>
      <c r="L1070" s="6"/>
      <c r="M1070" s="4"/>
      <c r="N1070" s="4"/>
      <c r="O1070" s="4"/>
      <c r="P1070" s="6"/>
      <c r="Q1070" s="6"/>
      <c r="R1070" s="6"/>
      <c r="S1070" s="6"/>
      <c r="T1070" s="4"/>
      <c r="U1070" s="6"/>
      <c r="V1070" s="6"/>
      <c r="W1070" s="6"/>
      <c r="X1070" s="6"/>
      <c r="Y1070" s="4"/>
      <c r="Z1070" s="6"/>
      <c r="AA1070" s="4"/>
      <c r="AB1070" s="4"/>
      <c r="AC1070" s="4"/>
      <c r="AD1070" s="6"/>
      <c r="AE1070" s="4"/>
      <c r="AF1070" s="4"/>
      <c r="AG1070" s="4"/>
      <c r="AH1070" s="4">
        <v>179998582500</v>
      </c>
    </row>
    <row r="1071" spans="1:34" x14ac:dyDescent="0.25">
      <c r="A1071" s="4">
        <v>1070</v>
      </c>
      <c r="B1071" s="5" t="s">
        <v>2269</v>
      </c>
      <c r="C1071" s="5" t="s">
        <v>2270</v>
      </c>
      <c r="D1071" s="5" t="s">
        <v>1586</v>
      </c>
      <c r="E1071" s="5" t="s">
        <v>40</v>
      </c>
      <c r="F1071" s="5" t="s">
        <v>41</v>
      </c>
      <c r="G1071" s="5" t="s">
        <v>90</v>
      </c>
      <c r="H1071" s="4"/>
      <c r="I1071" s="4"/>
      <c r="J1071" s="6"/>
      <c r="K1071" s="6"/>
      <c r="L1071" s="6"/>
      <c r="M1071" s="4"/>
      <c r="N1071" s="4"/>
      <c r="O1071" s="4"/>
      <c r="P1071" s="6"/>
      <c r="Q1071" s="6"/>
      <c r="R1071" s="6"/>
      <c r="S1071" s="6"/>
      <c r="T1071" s="4"/>
      <c r="U1071" s="6"/>
      <c r="V1071" s="6"/>
      <c r="W1071" s="6"/>
      <c r="X1071" s="6"/>
      <c r="Y1071" s="4"/>
      <c r="Z1071" s="6"/>
      <c r="AA1071" s="4"/>
      <c r="AB1071" s="4"/>
      <c r="AC1071" s="4"/>
      <c r="AD1071" s="6"/>
      <c r="AE1071" s="4"/>
      <c r="AF1071" s="4"/>
      <c r="AG1071" s="4"/>
      <c r="AH1071" s="4">
        <v>66195320000</v>
      </c>
    </row>
    <row r="1072" spans="1:34" x14ac:dyDescent="0.25">
      <c r="A1072" s="4">
        <v>1071</v>
      </c>
      <c r="B1072" s="5" t="s">
        <v>2271</v>
      </c>
      <c r="C1072" s="5" t="s">
        <v>2272</v>
      </c>
      <c r="D1072" s="5" t="s">
        <v>1586</v>
      </c>
      <c r="E1072" s="5" t="s">
        <v>98</v>
      </c>
      <c r="F1072" s="5" t="s">
        <v>99</v>
      </c>
      <c r="G1072" s="5" t="s">
        <v>144</v>
      </c>
      <c r="H1072" s="4"/>
      <c r="I1072" s="4"/>
      <c r="J1072" s="6"/>
      <c r="K1072" s="6"/>
      <c r="L1072" s="6"/>
      <c r="M1072" s="4"/>
      <c r="N1072" s="4"/>
      <c r="O1072" s="4"/>
      <c r="P1072" s="6"/>
      <c r="Q1072" s="6"/>
      <c r="R1072" s="6"/>
      <c r="S1072" s="6"/>
      <c r="T1072" s="4"/>
      <c r="U1072" s="6"/>
      <c r="V1072" s="6"/>
      <c r="W1072" s="6"/>
      <c r="X1072" s="6"/>
      <c r="Y1072" s="4"/>
      <c r="Z1072" s="6"/>
      <c r="AA1072" s="4"/>
      <c r="AB1072" s="4"/>
      <c r="AC1072" s="4"/>
      <c r="AD1072" s="6"/>
      <c r="AE1072" s="4"/>
      <c r="AF1072" s="4"/>
      <c r="AG1072" s="4"/>
      <c r="AH1072" s="4">
        <v>131119523150</v>
      </c>
    </row>
    <row r="1073" spans="1:34" x14ac:dyDescent="0.25">
      <c r="A1073" s="4">
        <v>1072</v>
      </c>
      <c r="B1073" s="5" t="s">
        <v>2273</v>
      </c>
      <c r="C1073" s="5" t="s">
        <v>2274</v>
      </c>
      <c r="D1073" s="5" t="s">
        <v>1586</v>
      </c>
      <c r="E1073" s="5" t="s">
        <v>24</v>
      </c>
      <c r="F1073" s="5" t="s">
        <v>25</v>
      </c>
      <c r="G1073" s="5" t="s">
        <v>45</v>
      </c>
      <c r="H1073" s="4"/>
      <c r="I1073" s="4"/>
      <c r="J1073" s="6"/>
      <c r="K1073" s="6"/>
      <c r="L1073" s="6"/>
      <c r="M1073" s="4"/>
      <c r="N1073" s="4"/>
      <c r="O1073" s="4"/>
      <c r="P1073" s="6"/>
      <c r="Q1073" s="6"/>
      <c r="R1073" s="6"/>
      <c r="S1073" s="6"/>
      <c r="T1073" s="4"/>
      <c r="U1073" s="6"/>
      <c r="V1073" s="6"/>
      <c r="W1073" s="6"/>
      <c r="X1073" s="6"/>
      <c r="Y1073" s="4"/>
      <c r="Z1073" s="6"/>
      <c r="AA1073" s="4"/>
      <c r="AB1073" s="4"/>
      <c r="AC1073" s="4"/>
      <c r="AD1073" s="6"/>
      <c r="AE1073" s="4"/>
      <c r="AF1073" s="4"/>
      <c r="AG1073" s="4"/>
      <c r="AH1073" s="4">
        <v>122640000000</v>
      </c>
    </row>
    <row r="1074" spans="1:34" x14ac:dyDescent="0.25">
      <c r="A1074" s="4">
        <v>1073</v>
      </c>
      <c r="B1074" s="5" t="s">
        <v>2275</v>
      </c>
      <c r="C1074" s="5" t="s">
        <v>2276</v>
      </c>
      <c r="D1074" s="5" t="s">
        <v>1586</v>
      </c>
      <c r="E1074" s="5" t="s">
        <v>75</v>
      </c>
      <c r="F1074" s="5" t="s">
        <v>76</v>
      </c>
      <c r="G1074" s="5" t="s">
        <v>76</v>
      </c>
      <c r="H1074" s="4">
        <v>17048730630</v>
      </c>
      <c r="I1074" s="4">
        <v>32912267764</v>
      </c>
      <c r="J1074" s="6">
        <v>-0.28739999999999999</v>
      </c>
      <c r="K1074" s="6">
        <v>-0.27450000000000002</v>
      </c>
      <c r="L1074" s="6">
        <v>-0.35709999999999997</v>
      </c>
      <c r="M1074" s="4">
        <v>3466607886</v>
      </c>
      <c r="N1074" s="4">
        <v>4574229935</v>
      </c>
      <c r="O1074" s="4"/>
      <c r="P1074" s="6">
        <v>-0.49059999999999998</v>
      </c>
      <c r="Q1074" s="6">
        <v>-0.64749999999999996</v>
      </c>
      <c r="R1074" s="6">
        <v>-1.0753999999999999</v>
      </c>
      <c r="S1074" s="6">
        <v>2.1297999999999999</v>
      </c>
      <c r="T1074" s="4"/>
      <c r="U1074" s="6">
        <v>-0.85850000000000004</v>
      </c>
      <c r="V1074" s="6">
        <v>-0.86480000000000001</v>
      </c>
      <c r="W1074" s="6">
        <v>-0.86709999999999998</v>
      </c>
      <c r="X1074" s="6">
        <v>0</v>
      </c>
      <c r="Y1074" s="4"/>
      <c r="Z1074" s="6">
        <v>7.4700000000000003E-2</v>
      </c>
      <c r="AA1074" s="4"/>
      <c r="AB1074" s="4"/>
      <c r="AC1074" s="4"/>
      <c r="AD1074" s="6">
        <v>0</v>
      </c>
      <c r="AE1074" s="4"/>
      <c r="AF1074" s="4"/>
      <c r="AG1074" s="4"/>
      <c r="AH1074" s="4">
        <v>1080000000000</v>
      </c>
    </row>
    <row r="1075" spans="1:34" x14ac:dyDescent="0.25">
      <c r="A1075" s="4">
        <v>1074</v>
      </c>
      <c r="B1075" s="5" t="s">
        <v>2277</v>
      </c>
      <c r="C1075" s="5" t="s">
        <v>2278</v>
      </c>
      <c r="D1075" s="5" t="s">
        <v>1586</v>
      </c>
      <c r="E1075" s="5" t="s">
        <v>40</v>
      </c>
      <c r="F1075" s="5" t="s">
        <v>41</v>
      </c>
      <c r="G1075" s="5" t="s">
        <v>389</v>
      </c>
      <c r="H1075" s="4"/>
      <c r="I1075" s="4"/>
      <c r="J1075" s="6"/>
      <c r="K1075" s="6"/>
      <c r="L1075" s="6"/>
      <c r="M1075" s="4"/>
      <c r="N1075" s="4"/>
      <c r="O1075" s="4"/>
      <c r="P1075" s="6"/>
      <c r="Q1075" s="6"/>
      <c r="R1075" s="6"/>
      <c r="S1075" s="6"/>
      <c r="T1075" s="4"/>
      <c r="U1075" s="6"/>
      <c r="V1075" s="6"/>
      <c r="W1075" s="6"/>
      <c r="X1075" s="6"/>
      <c r="Y1075" s="4"/>
      <c r="Z1075" s="6"/>
      <c r="AA1075" s="4"/>
      <c r="AB1075" s="4"/>
      <c r="AC1075" s="4"/>
      <c r="AD1075" s="6"/>
      <c r="AE1075" s="4"/>
      <c r="AF1075" s="4"/>
      <c r="AG1075" s="4"/>
      <c r="AH1075" s="4">
        <v>88853480100</v>
      </c>
    </row>
    <row r="1076" spans="1:34" x14ac:dyDescent="0.25">
      <c r="A1076" s="4">
        <v>1075</v>
      </c>
      <c r="B1076" s="5" t="s">
        <v>2279</v>
      </c>
      <c r="C1076" s="5" t="s">
        <v>2280</v>
      </c>
      <c r="D1076" s="5" t="s">
        <v>1586</v>
      </c>
      <c r="E1076" s="5" t="s">
        <v>40</v>
      </c>
      <c r="F1076" s="5" t="s">
        <v>52</v>
      </c>
      <c r="G1076" s="5" t="s">
        <v>53</v>
      </c>
      <c r="H1076" s="4"/>
      <c r="I1076" s="4"/>
      <c r="J1076" s="6"/>
      <c r="K1076" s="6"/>
      <c r="L1076" s="6"/>
      <c r="M1076" s="4"/>
      <c r="N1076" s="4"/>
      <c r="O1076" s="4"/>
      <c r="P1076" s="6"/>
      <c r="Q1076" s="6"/>
      <c r="R1076" s="6"/>
      <c r="S1076" s="6"/>
      <c r="T1076" s="4"/>
      <c r="U1076" s="6"/>
      <c r="V1076" s="6"/>
      <c r="W1076" s="6"/>
      <c r="X1076" s="6"/>
      <c r="Y1076" s="4"/>
      <c r="Z1076" s="6"/>
      <c r="AA1076" s="4"/>
      <c r="AB1076" s="4"/>
      <c r="AC1076" s="4"/>
      <c r="AD1076" s="6"/>
      <c r="AE1076" s="4"/>
      <c r="AF1076" s="4"/>
      <c r="AG1076" s="4"/>
      <c r="AH1076" s="4">
        <v>601450715700</v>
      </c>
    </row>
    <row r="1077" spans="1:34" x14ac:dyDescent="0.25">
      <c r="A1077" s="4">
        <v>1076</v>
      </c>
      <c r="B1077" s="5" t="s">
        <v>2281</v>
      </c>
      <c r="C1077" s="5" t="s">
        <v>2282</v>
      </c>
      <c r="D1077" s="5" t="s">
        <v>1586</v>
      </c>
      <c r="E1077" s="5" t="s">
        <v>185</v>
      </c>
      <c r="F1077" s="5" t="s">
        <v>185</v>
      </c>
      <c r="G1077" s="5" t="s">
        <v>332</v>
      </c>
      <c r="H1077" s="4"/>
      <c r="I1077" s="4"/>
      <c r="J1077" s="6"/>
      <c r="K1077" s="6"/>
      <c r="L1077" s="6"/>
      <c r="M1077" s="4"/>
      <c r="N1077" s="4"/>
      <c r="O1077" s="4"/>
      <c r="P1077" s="6"/>
      <c r="Q1077" s="6"/>
      <c r="R1077" s="6"/>
      <c r="S1077" s="6"/>
      <c r="T1077" s="4"/>
      <c r="U1077" s="6"/>
      <c r="V1077" s="6"/>
      <c r="W1077" s="6"/>
      <c r="X1077" s="6">
        <v>0</v>
      </c>
      <c r="Y1077" s="4"/>
      <c r="Z1077" s="6"/>
      <c r="AA1077" s="4"/>
      <c r="AB1077" s="4"/>
      <c r="AC1077" s="4"/>
      <c r="AD1077" s="6"/>
      <c r="AE1077" s="4"/>
      <c r="AF1077" s="4"/>
      <c r="AG1077" s="4"/>
      <c r="AH1077" s="4">
        <v>324519781500</v>
      </c>
    </row>
    <row r="1078" spans="1:34" x14ac:dyDescent="0.25">
      <c r="A1078" s="4">
        <v>1077</v>
      </c>
      <c r="B1078" s="5" t="s">
        <v>2283</v>
      </c>
      <c r="C1078" s="5" t="s">
        <v>2284</v>
      </c>
      <c r="D1078" s="5" t="s">
        <v>1586</v>
      </c>
      <c r="E1078" s="5" t="s">
        <v>98</v>
      </c>
      <c r="F1078" s="5" t="s">
        <v>99</v>
      </c>
      <c r="G1078" s="5" t="s">
        <v>155</v>
      </c>
      <c r="H1078" s="4"/>
      <c r="I1078" s="4"/>
      <c r="J1078" s="6"/>
      <c r="K1078" s="6"/>
      <c r="L1078" s="6"/>
      <c r="M1078" s="4"/>
      <c r="N1078" s="4"/>
      <c r="O1078" s="4"/>
      <c r="P1078" s="6"/>
      <c r="Q1078" s="6"/>
      <c r="R1078" s="6"/>
      <c r="S1078" s="6"/>
      <c r="T1078" s="4"/>
      <c r="U1078" s="6"/>
      <c r="V1078" s="6"/>
      <c r="W1078" s="6"/>
      <c r="X1078" s="6"/>
      <c r="Y1078" s="4"/>
      <c r="Z1078" s="6"/>
      <c r="AA1078" s="4"/>
      <c r="AB1078" s="4"/>
      <c r="AC1078" s="4"/>
      <c r="AD1078" s="6"/>
      <c r="AE1078" s="4"/>
      <c r="AF1078" s="4"/>
      <c r="AG1078" s="4"/>
      <c r="AH1078" s="4">
        <v>1855173500000</v>
      </c>
    </row>
    <row r="1079" spans="1:34" x14ac:dyDescent="0.25">
      <c r="A1079" s="4">
        <v>1078</v>
      </c>
      <c r="B1079" s="5" t="s">
        <v>2285</v>
      </c>
      <c r="C1079" s="5" t="s">
        <v>2286</v>
      </c>
      <c r="D1079" s="5" t="s">
        <v>1586</v>
      </c>
      <c r="E1079" s="5" t="s">
        <v>75</v>
      </c>
      <c r="F1079" s="5" t="s">
        <v>76</v>
      </c>
      <c r="G1079" s="5" t="s">
        <v>76</v>
      </c>
      <c r="H1079" s="4"/>
      <c r="I1079" s="4"/>
      <c r="J1079" s="6"/>
      <c r="K1079" s="6"/>
      <c r="L1079" s="6"/>
      <c r="M1079" s="4"/>
      <c r="N1079" s="4"/>
      <c r="O1079" s="4"/>
      <c r="P1079" s="6"/>
      <c r="Q1079" s="6"/>
      <c r="R1079" s="6"/>
      <c r="S1079" s="6"/>
      <c r="T1079" s="4"/>
      <c r="U1079" s="6"/>
      <c r="V1079" s="6"/>
      <c r="W1079" s="6"/>
      <c r="X1079" s="6"/>
      <c r="Y1079" s="4"/>
      <c r="Z1079" s="6"/>
      <c r="AA1079" s="4"/>
      <c r="AB1079" s="4"/>
      <c r="AC1079" s="4"/>
      <c r="AD1079" s="6"/>
      <c r="AE1079" s="4"/>
      <c r="AF1079" s="4"/>
      <c r="AG1079" s="4"/>
      <c r="AH1079" s="4">
        <v>209167200000</v>
      </c>
    </row>
    <row r="1080" spans="1:34" x14ac:dyDescent="0.25">
      <c r="A1080" s="4">
        <v>1079</v>
      </c>
      <c r="B1080" s="5" t="s">
        <v>2287</v>
      </c>
      <c r="C1080" s="5" t="s">
        <v>2288</v>
      </c>
      <c r="D1080" s="5" t="s">
        <v>1586</v>
      </c>
      <c r="E1080" s="5" t="s">
        <v>40</v>
      </c>
      <c r="F1080" s="5" t="s">
        <v>41</v>
      </c>
      <c r="G1080" s="5" t="s">
        <v>42</v>
      </c>
      <c r="H1080" s="4"/>
      <c r="I1080" s="4"/>
      <c r="J1080" s="6"/>
      <c r="K1080" s="6"/>
      <c r="L1080" s="6"/>
      <c r="M1080" s="4"/>
      <c r="N1080" s="4"/>
      <c r="O1080" s="4"/>
      <c r="P1080" s="6"/>
      <c r="Q1080" s="6"/>
      <c r="R1080" s="6"/>
      <c r="S1080" s="6"/>
      <c r="T1080" s="4"/>
      <c r="U1080" s="6"/>
      <c r="V1080" s="6"/>
      <c r="W1080" s="6"/>
      <c r="X1080" s="6"/>
      <c r="Y1080" s="4"/>
      <c r="Z1080" s="6"/>
      <c r="AA1080" s="4"/>
      <c r="AB1080" s="4"/>
      <c r="AC1080" s="4"/>
      <c r="AD1080" s="6"/>
      <c r="AE1080" s="4"/>
      <c r="AF1080" s="4"/>
      <c r="AG1080" s="4"/>
      <c r="AH1080" s="4">
        <v>259799991000</v>
      </c>
    </row>
    <row r="1081" spans="1:34" x14ac:dyDescent="0.25">
      <c r="A1081" s="4">
        <v>1080</v>
      </c>
      <c r="B1081" s="5" t="s">
        <v>2289</v>
      </c>
      <c r="C1081" s="5" t="s">
        <v>2290</v>
      </c>
      <c r="D1081" s="5" t="s">
        <v>1586</v>
      </c>
      <c r="E1081" s="5" t="s">
        <v>29</v>
      </c>
      <c r="F1081" s="5" t="s">
        <v>36</v>
      </c>
      <c r="G1081" s="5" t="s">
        <v>37</v>
      </c>
      <c r="H1081" s="4"/>
      <c r="I1081" s="4"/>
      <c r="J1081" s="6"/>
      <c r="K1081" s="6"/>
      <c r="L1081" s="6"/>
      <c r="M1081" s="4"/>
      <c r="N1081" s="4"/>
      <c r="O1081" s="4"/>
      <c r="P1081" s="6"/>
      <c r="Q1081" s="6"/>
      <c r="R1081" s="6"/>
      <c r="S1081" s="6"/>
      <c r="T1081" s="4"/>
      <c r="U1081" s="6"/>
      <c r="V1081" s="6"/>
      <c r="W1081" s="6"/>
      <c r="X1081" s="6"/>
      <c r="Y1081" s="4"/>
      <c r="Z1081" s="6"/>
      <c r="AA1081" s="4"/>
      <c r="AB1081" s="4"/>
      <c r="AC1081" s="4"/>
      <c r="AD1081" s="6"/>
      <c r="AE1081" s="4"/>
      <c r="AF1081" s="4"/>
      <c r="AG1081" s="4"/>
      <c r="AH1081" s="4">
        <v>137350000000</v>
      </c>
    </row>
    <row r="1082" spans="1:34" x14ac:dyDescent="0.25">
      <c r="A1082" s="4">
        <v>1081</v>
      </c>
      <c r="B1082" s="5" t="s">
        <v>2291</v>
      </c>
      <c r="C1082" s="5" t="s">
        <v>2292</v>
      </c>
      <c r="D1082" s="5" t="s">
        <v>1586</v>
      </c>
      <c r="E1082" s="5" t="s">
        <v>40</v>
      </c>
      <c r="F1082" s="5" t="s">
        <v>52</v>
      </c>
      <c r="G1082" s="5" t="s">
        <v>53</v>
      </c>
      <c r="H1082" s="4">
        <v>129308650153</v>
      </c>
      <c r="I1082" s="4">
        <v>244013240987</v>
      </c>
      <c r="J1082" s="6">
        <v>0.13070000000000001</v>
      </c>
      <c r="K1082" s="6"/>
      <c r="L1082" s="6"/>
      <c r="M1082" s="4">
        <v>8095795274</v>
      </c>
      <c r="N1082" s="4">
        <v>36736591551</v>
      </c>
      <c r="O1082" s="4"/>
      <c r="P1082" s="6">
        <v>0.76370000000000005</v>
      </c>
      <c r="Q1082" s="6"/>
      <c r="R1082" s="6"/>
      <c r="S1082" s="6">
        <v>-0.71730000000000005</v>
      </c>
      <c r="T1082" s="4"/>
      <c r="U1082" s="6"/>
      <c r="V1082" s="6"/>
      <c r="W1082" s="6"/>
      <c r="X1082" s="6"/>
      <c r="Y1082" s="4"/>
      <c r="Z1082" s="6">
        <v>0.1273</v>
      </c>
      <c r="AA1082" s="4"/>
      <c r="AB1082" s="4"/>
      <c r="AC1082" s="4"/>
      <c r="AD1082" s="6"/>
      <c r="AE1082" s="4"/>
      <c r="AF1082" s="4"/>
      <c r="AG1082" s="4"/>
      <c r="AH1082" s="4">
        <v>190027958800</v>
      </c>
    </row>
    <row r="1083" spans="1:34" x14ac:dyDescent="0.25">
      <c r="A1083" s="4">
        <v>1082</v>
      </c>
      <c r="B1083" s="5" t="s">
        <v>2293</v>
      </c>
      <c r="C1083" s="5" t="s">
        <v>2294</v>
      </c>
      <c r="D1083" s="5" t="s">
        <v>1586</v>
      </c>
      <c r="E1083" s="5" t="s">
        <v>24</v>
      </c>
      <c r="F1083" s="5" t="s">
        <v>56</v>
      </c>
      <c r="G1083" s="5" t="s">
        <v>291</v>
      </c>
      <c r="H1083" s="4">
        <v>515617760222</v>
      </c>
      <c r="I1083" s="4">
        <v>927877419275</v>
      </c>
      <c r="J1083" s="6">
        <v>0.1118</v>
      </c>
      <c r="K1083" s="6">
        <v>0.23169999999999999</v>
      </c>
      <c r="L1083" s="6">
        <v>0.4118</v>
      </c>
      <c r="M1083" s="4">
        <v>3706226154</v>
      </c>
      <c r="N1083" s="4">
        <v>4931127354</v>
      </c>
      <c r="O1083" s="4"/>
      <c r="P1083" s="6">
        <v>0.95040000000000002</v>
      </c>
      <c r="Q1083" s="6">
        <v>0.63290000000000002</v>
      </c>
      <c r="R1083" s="6">
        <v>0.1313</v>
      </c>
      <c r="S1083" s="6">
        <v>2.0257000000000001</v>
      </c>
      <c r="T1083" s="4"/>
      <c r="U1083" s="6">
        <v>-0.53610000000000002</v>
      </c>
      <c r="V1083" s="6">
        <v>-0.62070000000000003</v>
      </c>
      <c r="W1083" s="6">
        <v>-0.62070000000000003</v>
      </c>
      <c r="X1083" s="6">
        <v>0</v>
      </c>
      <c r="Y1083" s="4"/>
      <c r="Z1083" s="6">
        <v>0.25069999999999998</v>
      </c>
      <c r="AA1083" s="4"/>
      <c r="AB1083" s="4"/>
      <c r="AC1083" s="4"/>
      <c r="AD1083" s="6">
        <v>0</v>
      </c>
      <c r="AE1083" s="4"/>
      <c r="AF1083" s="4"/>
      <c r="AG1083" s="4"/>
      <c r="AH1083" s="4">
        <v>124752725658</v>
      </c>
    </row>
    <row r="1084" spans="1:34" x14ac:dyDescent="0.25">
      <c r="A1084" s="4">
        <v>1083</v>
      </c>
      <c r="B1084" s="5" t="s">
        <v>2295</v>
      </c>
      <c r="C1084" s="5" t="s">
        <v>2296</v>
      </c>
      <c r="D1084" s="5" t="s">
        <v>1586</v>
      </c>
      <c r="E1084" s="5" t="s">
        <v>40</v>
      </c>
      <c r="F1084" s="5" t="s">
        <v>52</v>
      </c>
      <c r="G1084" s="5" t="s">
        <v>110</v>
      </c>
      <c r="H1084" s="4"/>
      <c r="I1084" s="4"/>
      <c r="J1084" s="6"/>
      <c r="K1084" s="6"/>
      <c r="L1084" s="6"/>
      <c r="M1084" s="4"/>
      <c r="N1084" s="4"/>
      <c r="O1084" s="4"/>
      <c r="P1084" s="6"/>
      <c r="Q1084" s="6"/>
      <c r="R1084" s="6"/>
      <c r="S1084" s="6"/>
      <c r="T1084" s="4"/>
      <c r="U1084" s="6"/>
      <c r="V1084" s="6"/>
      <c r="W1084" s="6"/>
      <c r="X1084" s="6"/>
      <c r="Y1084" s="4"/>
      <c r="Z1084" s="6"/>
      <c r="AA1084" s="4"/>
      <c r="AB1084" s="4"/>
      <c r="AC1084" s="4"/>
      <c r="AD1084" s="6"/>
      <c r="AE1084" s="4"/>
      <c r="AF1084" s="4"/>
      <c r="AG1084" s="4"/>
      <c r="AH1084" s="4"/>
    </row>
    <row r="1085" spans="1:34" x14ac:dyDescent="0.25">
      <c r="A1085" s="4">
        <v>1084</v>
      </c>
      <c r="B1085" s="5" t="s">
        <v>2297</v>
      </c>
      <c r="C1085" s="5" t="s">
        <v>2298</v>
      </c>
      <c r="D1085" s="5" t="s">
        <v>1586</v>
      </c>
      <c r="E1085" s="5" t="s">
        <v>40</v>
      </c>
      <c r="F1085" s="5" t="s">
        <v>41</v>
      </c>
      <c r="G1085" s="5" t="s">
        <v>389</v>
      </c>
      <c r="H1085" s="4"/>
      <c r="I1085" s="4"/>
      <c r="J1085" s="6"/>
      <c r="K1085" s="6"/>
      <c r="L1085" s="6"/>
      <c r="M1085" s="4"/>
      <c r="N1085" s="4"/>
      <c r="O1085" s="4"/>
      <c r="P1085" s="6"/>
      <c r="Q1085" s="6"/>
      <c r="R1085" s="6"/>
      <c r="S1085" s="6"/>
      <c r="T1085" s="4"/>
      <c r="U1085" s="6"/>
      <c r="V1085" s="6"/>
      <c r="W1085" s="6"/>
      <c r="X1085" s="6"/>
      <c r="Y1085" s="4"/>
      <c r="Z1085" s="6"/>
      <c r="AA1085" s="4"/>
      <c r="AB1085" s="4"/>
      <c r="AC1085" s="4"/>
      <c r="AD1085" s="6"/>
      <c r="AE1085" s="4"/>
      <c r="AF1085" s="4"/>
      <c r="AG1085" s="4"/>
      <c r="AH1085" s="4">
        <v>63386862000</v>
      </c>
    </row>
    <row r="1086" spans="1:34" x14ac:dyDescent="0.25">
      <c r="A1086" s="4">
        <v>1085</v>
      </c>
      <c r="B1086" s="5" t="s">
        <v>2299</v>
      </c>
      <c r="C1086" s="5" t="s">
        <v>2300</v>
      </c>
      <c r="D1086" s="5" t="s">
        <v>1586</v>
      </c>
      <c r="E1086" s="5" t="s">
        <v>62</v>
      </c>
      <c r="F1086" s="5" t="s">
        <v>71</v>
      </c>
      <c r="G1086" s="5" t="s">
        <v>147</v>
      </c>
      <c r="H1086" s="4"/>
      <c r="I1086" s="4"/>
      <c r="J1086" s="6"/>
      <c r="K1086" s="6"/>
      <c r="L1086" s="6"/>
      <c r="M1086" s="4"/>
      <c r="N1086" s="4"/>
      <c r="O1086" s="4"/>
      <c r="P1086" s="6"/>
      <c r="Q1086" s="6"/>
      <c r="R1086" s="6"/>
      <c r="S1086" s="6"/>
      <c r="T1086" s="4"/>
      <c r="U1086" s="6"/>
      <c r="V1086" s="6"/>
      <c r="W1086" s="6"/>
      <c r="X1086" s="6"/>
      <c r="Y1086" s="4"/>
      <c r="Z1086" s="6"/>
      <c r="AA1086" s="4"/>
      <c r="AB1086" s="4"/>
      <c r="AC1086" s="4"/>
      <c r="AD1086" s="6"/>
      <c r="AE1086" s="4"/>
      <c r="AF1086" s="4"/>
      <c r="AG1086" s="4"/>
      <c r="AH1086" s="4">
        <v>1913639820000</v>
      </c>
    </row>
    <row r="1087" spans="1:34" x14ac:dyDescent="0.25">
      <c r="A1087" s="4">
        <v>1086</v>
      </c>
      <c r="B1087" s="5" t="s">
        <v>2301</v>
      </c>
      <c r="C1087" s="5" t="s">
        <v>2302</v>
      </c>
      <c r="D1087" s="5" t="s">
        <v>1586</v>
      </c>
      <c r="E1087" s="5" t="s">
        <v>62</v>
      </c>
      <c r="F1087" s="5" t="s">
        <v>63</v>
      </c>
      <c r="G1087" s="5" t="s">
        <v>656</v>
      </c>
      <c r="H1087" s="4"/>
      <c r="I1087" s="4"/>
      <c r="J1087" s="6"/>
      <c r="K1087" s="6"/>
      <c r="L1087" s="6"/>
      <c r="M1087" s="4"/>
      <c r="N1087" s="4"/>
      <c r="O1087" s="4"/>
      <c r="P1087" s="6"/>
      <c r="Q1087" s="6"/>
      <c r="R1087" s="6"/>
      <c r="S1087" s="6"/>
      <c r="T1087" s="4"/>
      <c r="U1087" s="6"/>
      <c r="V1087" s="6"/>
      <c r="W1087" s="6"/>
      <c r="X1087" s="6"/>
      <c r="Y1087" s="4"/>
      <c r="Z1087" s="6"/>
      <c r="AA1087" s="4"/>
      <c r="AB1087" s="4"/>
      <c r="AC1087" s="4"/>
      <c r="AD1087" s="6"/>
      <c r="AE1087" s="4"/>
      <c r="AF1087" s="4"/>
      <c r="AG1087" s="4"/>
      <c r="AH1087" s="4">
        <v>82624482000</v>
      </c>
    </row>
    <row r="1088" spans="1:34" x14ac:dyDescent="0.25">
      <c r="A1088" s="4">
        <v>1087</v>
      </c>
      <c r="B1088" s="5" t="s">
        <v>2303</v>
      </c>
      <c r="C1088" s="5" t="s">
        <v>2304</v>
      </c>
      <c r="D1088" s="5" t="s">
        <v>1586</v>
      </c>
      <c r="E1088" s="5" t="s">
        <v>24</v>
      </c>
      <c r="F1088" s="5" t="s">
        <v>56</v>
      </c>
      <c r="G1088" s="5" t="s">
        <v>291</v>
      </c>
      <c r="H1088" s="4"/>
      <c r="I1088" s="4"/>
      <c r="J1088" s="6"/>
      <c r="K1088" s="6"/>
      <c r="L1088" s="6"/>
      <c r="M1088" s="4"/>
      <c r="N1088" s="4"/>
      <c r="O1088" s="4"/>
      <c r="P1088" s="6"/>
      <c r="Q1088" s="6"/>
      <c r="R1088" s="6"/>
      <c r="S1088" s="6"/>
      <c r="T1088" s="4"/>
      <c r="U1088" s="6"/>
      <c r="V1088" s="6"/>
      <c r="W1088" s="6"/>
      <c r="X1088" s="6"/>
      <c r="Y1088" s="4"/>
      <c r="Z1088" s="6"/>
      <c r="AA1088" s="4"/>
      <c r="AB1088" s="4"/>
      <c r="AC1088" s="4"/>
      <c r="AD1088" s="6"/>
      <c r="AE1088" s="4"/>
      <c r="AF1088" s="4"/>
      <c r="AG1088" s="4"/>
      <c r="AH1088" s="4"/>
    </row>
    <row r="1089" spans="1:34" x14ac:dyDescent="0.25">
      <c r="A1089" s="4">
        <v>1088</v>
      </c>
      <c r="B1089" s="5" t="s">
        <v>2305</v>
      </c>
      <c r="C1089" s="5" t="s">
        <v>2306</v>
      </c>
      <c r="D1089" s="5" t="s">
        <v>1586</v>
      </c>
      <c r="E1089" s="5" t="s">
        <v>62</v>
      </c>
      <c r="F1089" s="5" t="s">
        <v>71</v>
      </c>
      <c r="G1089" s="5" t="s">
        <v>147</v>
      </c>
      <c r="H1089" s="4">
        <v>1688271363</v>
      </c>
      <c r="I1089" s="4">
        <v>3042007154</v>
      </c>
      <c r="J1089" s="6">
        <v>-0.26840000000000003</v>
      </c>
      <c r="K1089" s="6">
        <v>-0.18990000000000001</v>
      </c>
      <c r="L1089" s="6">
        <v>3.7000000000000002E-3</v>
      </c>
      <c r="M1089" s="4">
        <v>-1345571783</v>
      </c>
      <c r="N1089" s="4">
        <v>-2932657460</v>
      </c>
      <c r="O1089" s="4"/>
      <c r="P1089" s="6">
        <v>0.42380000000000001</v>
      </c>
      <c r="Q1089" s="6">
        <v>0.24379999999999999</v>
      </c>
      <c r="R1089" s="6">
        <v>0.31809999999999999</v>
      </c>
      <c r="S1089" s="6">
        <v>0.1522</v>
      </c>
      <c r="T1089" s="4"/>
      <c r="U1089" s="6">
        <v>0</v>
      </c>
      <c r="V1089" s="6">
        <v>0</v>
      </c>
      <c r="W1089" s="6">
        <v>0</v>
      </c>
      <c r="X1089" s="6">
        <v>0</v>
      </c>
      <c r="Y1089" s="4"/>
      <c r="Z1089" s="6">
        <v>0.24709999999999999</v>
      </c>
      <c r="AA1089" s="4"/>
      <c r="AB1089" s="4"/>
      <c r="AC1089" s="4"/>
      <c r="AD1089" s="6">
        <v>0</v>
      </c>
      <c r="AE1089" s="4"/>
      <c r="AF1089" s="4"/>
      <c r="AG1089" s="4"/>
      <c r="AH1089" s="4">
        <v>34000000000</v>
      </c>
    </row>
    <row r="1090" spans="1:34" x14ac:dyDescent="0.25">
      <c r="A1090" s="4">
        <v>1089</v>
      </c>
      <c r="B1090" s="5" t="s">
        <v>2307</v>
      </c>
      <c r="C1090" s="5" t="s">
        <v>2308</v>
      </c>
      <c r="D1090" s="5" t="s">
        <v>1586</v>
      </c>
      <c r="E1090" s="5" t="s">
        <v>40</v>
      </c>
      <c r="F1090" s="5" t="s">
        <v>52</v>
      </c>
      <c r="G1090" s="5" t="s">
        <v>110</v>
      </c>
      <c r="H1090" s="4"/>
      <c r="I1090" s="4"/>
      <c r="J1090" s="6"/>
      <c r="K1090" s="6"/>
      <c r="L1090" s="6"/>
      <c r="M1090" s="4"/>
      <c r="N1090" s="4"/>
      <c r="O1090" s="4"/>
      <c r="P1090" s="6"/>
      <c r="Q1090" s="6"/>
      <c r="R1090" s="6"/>
      <c r="S1090" s="6"/>
      <c r="T1090" s="4"/>
      <c r="U1090" s="6"/>
      <c r="V1090" s="6"/>
      <c r="W1090" s="6"/>
      <c r="X1090" s="6"/>
      <c r="Y1090" s="4"/>
      <c r="Z1090" s="6"/>
      <c r="AA1090" s="4"/>
      <c r="AB1090" s="4"/>
      <c r="AC1090" s="4"/>
      <c r="AD1090" s="6"/>
      <c r="AE1090" s="4"/>
      <c r="AF1090" s="4"/>
      <c r="AG1090" s="4"/>
      <c r="AH1090" s="4">
        <v>29999832000</v>
      </c>
    </row>
    <row r="1091" spans="1:34" x14ac:dyDescent="0.25">
      <c r="A1091" s="4">
        <v>1090</v>
      </c>
      <c r="B1091" s="5" t="s">
        <v>2309</v>
      </c>
      <c r="C1091" s="5" t="s">
        <v>2310</v>
      </c>
      <c r="D1091" s="5" t="s">
        <v>1586</v>
      </c>
      <c r="E1091" s="5" t="s">
        <v>40</v>
      </c>
      <c r="F1091" s="5" t="s">
        <v>52</v>
      </c>
      <c r="G1091" s="5" t="s">
        <v>110</v>
      </c>
      <c r="H1091" s="4">
        <v>49714104086</v>
      </c>
      <c r="I1091" s="4">
        <v>92474134601</v>
      </c>
      <c r="J1091" s="6">
        <v>-0.73150000000000004</v>
      </c>
      <c r="K1091" s="6"/>
      <c r="L1091" s="6"/>
      <c r="M1091" s="4">
        <v>3794754221</v>
      </c>
      <c r="N1091" s="4">
        <v>5383077100</v>
      </c>
      <c r="O1091" s="4"/>
      <c r="P1091" s="6">
        <v>-0.71579999999999999</v>
      </c>
      <c r="Q1091" s="6"/>
      <c r="R1091" s="6"/>
      <c r="S1091" s="6">
        <v>1.3892</v>
      </c>
      <c r="T1091" s="4"/>
      <c r="U1091" s="6"/>
      <c r="V1091" s="6"/>
      <c r="W1091" s="6"/>
      <c r="X1091" s="6"/>
      <c r="Y1091" s="4"/>
      <c r="Z1091" s="6">
        <v>0.16259999999999999</v>
      </c>
      <c r="AA1091" s="4"/>
      <c r="AB1091" s="4"/>
      <c r="AC1091" s="4"/>
      <c r="AD1091" s="6"/>
      <c r="AE1091" s="4"/>
      <c r="AF1091" s="4"/>
      <c r="AG1091" s="4"/>
      <c r="AH1091" s="4">
        <v>131250000000</v>
      </c>
    </row>
    <row r="1092" spans="1:34" x14ac:dyDescent="0.25">
      <c r="A1092" s="4">
        <v>1091</v>
      </c>
      <c r="B1092" s="5" t="s">
        <v>2311</v>
      </c>
      <c r="C1092" s="5" t="s">
        <v>2312</v>
      </c>
      <c r="D1092" s="5" t="s">
        <v>1586</v>
      </c>
      <c r="E1092" s="5" t="s">
        <v>75</v>
      </c>
      <c r="F1092" s="5" t="s">
        <v>76</v>
      </c>
      <c r="G1092" s="5" t="s">
        <v>76</v>
      </c>
      <c r="H1092" s="4"/>
      <c r="I1092" s="4"/>
      <c r="J1092" s="6"/>
      <c r="K1092" s="6"/>
      <c r="L1092" s="6"/>
      <c r="M1092" s="4"/>
      <c r="N1092" s="4"/>
      <c r="O1092" s="4"/>
      <c r="P1092" s="6"/>
      <c r="Q1092" s="6"/>
      <c r="R1092" s="6"/>
      <c r="S1092" s="6"/>
      <c r="T1092" s="4"/>
      <c r="U1092" s="6"/>
      <c r="V1092" s="6"/>
      <c r="W1092" s="6"/>
      <c r="X1092" s="6"/>
      <c r="Y1092" s="4"/>
      <c r="Z1092" s="6"/>
      <c r="AA1092" s="4"/>
      <c r="AB1092" s="4"/>
      <c r="AC1092" s="4"/>
      <c r="AD1092" s="6"/>
      <c r="AE1092" s="4"/>
      <c r="AF1092" s="4"/>
      <c r="AG1092" s="4"/>
      <c r="AH1092" s="4">
        <v>31605000000</v>
      </c>
    </row>
    <row r="1093" spans="1:34" x14ac:dyDescent="0.25">
      <c r="A1093" s="4">
        <v>1092</v>
      </c>
      <c r="B1093" s="5" t="s">
        <v>2313</v>
      </c>
      <c r="C1093" s="5" t="s">
        <v>2314</v>
      </c>
      <c r="D1093" s="5" t="s">
        <v>1586</v>
      </c>
      <c r="E1093" s="5" t="s">
        <v>29</v>
      </c>
      <c r="F1093" s="5" t="s">
        <v>36</v>
      </c>
      <c r="G1093" s="5" t="s">
        <v>37</v>
      </c>
      <c r="H1093" s="4"/>
      <c r="I1093" s="4"/>
      <c r="J1093" s="6"/>
      <c r="K1093" s="6"/>
      <c r="L1093" s="6"/>
      <c r="M1093" s="4"/>
      <c r="N1093" s="4"/>
      <c r="O1093" s="4"/>
      <c r="P1093" s="6"/>
      <c r="Q1093" s="6"/>
      <c r="R1093" s="6"/>
      <c r="S1093" s="6"/>
      <c r="T1093" s="4"/>
      <c r="U1093" s="6"/>
      <c r="V1093" s="6"/>
      <c r="W1093" s="6"/>
      <c r="X1093" s="6"/>
      <c r="Y1093" s="4"/>
      <c r="Z1093" s="6"/>
      <c r="AA1093" s="4"/>
      <c r="AB1093" s="4"/>
      <c r="AC1093" s="4"/>
      <c r="AD1093" s="6"/>
      <c r="AE1093" s="4"/>
      <c r="AF1093" s="4"/>
      <c r="AG1093" s="4"/>
      <c r="AH1093" s="4">
        <v>585341670000</v>
      </c>
    </row>
    <row r="1094" spans="1:34" x14ac:dyDescent="0.25">
      <c r="A1094" s="4">
        <v>1093</v>
      </c>
      <c r="B1094" s="5" t="s">
        <v>2315</v>
      </c>
      <c r="C1094" s="5" t="s">
        <v>2316</v>
      </c>
      <c r="D1094" s="5" t="s">
        <v>1586</v>
      </c>
      <c r="E1094" s="5" t="s">
        <v>75</v>
      </c>
      <c r="F1094" s="5" t="s">
        <v>79</v>
      </c>
      <c r="G1094" s="5" t="s">
        <v>612</v>
      </c>
      <c r="H1094" s="4"/>
      <c r="I1094" s="4"/>
      <c r="J1094" s="6"/>
      <c r="K1094" s="6"/>
      <c r="L1094" s="6"/>
      <c r="M1094" s="4"/>
      <c r="N1094" s="4"/>
      <c r="O1094" s="4"/>
      <c r="P1094" s="6"/>
      <c r="Q1094" s="6"/>
      <c r="R1094" s="6"/>
      <c r="S1094" s="6"/>
      <c r="T1094" s="4"/>
      <c r="U1094" s="6"/>
      <c r="V1094" s="6"/>
      <c r="W1094" s="6"/>
      <c r="X1094" s="6"/>
      <c r="Y1094" s="4"/>
      <c r="Z1094" s="6"/>
      <c r="AA1094" s="4"/>
      <c r="AB1094" s="4"/>
      <c r="AC1094" s="4"/>
      <c r="AD1094" s="6"/>
      <c r="AE1094" s="4"/>
      <c r="AF1094" s="4"/>
      <c r="AG1094" s="4"/>
      <c r="AH1094" s="4">
        <v>35490000000</v>
      </c>
    </row>
    <row r="1095" spans="1:34" x14ac:dyDescent="0.25">
      <c r="A1095" s="4">
        <v>1094</v>
      </c>
      <c r="B1095" s="5" t="s">
        <v>2317</v>
      </c>
      <c r="C1095" s="5" t="s">
        <v>2318</v>
      </c>
      <c r="D1095" s="5" t="s">
        <v>1586</v>
      </c>
      <c r="E1095" s="5" t="s">
        <v>40</v>
      </c>
      <c r="F1095" s="5" t="s">
        <v>52</v>
      </c>
      <c r="G1095" s="5" t="s">
        <v>53</v>
      </c>
      <c r="H1095" s="4"/>
      <c r="I1095" s="4"/>
      <c r="J1095" s="6"/>
      <c r="K1095" s="6"/>
      <c r="L1095" s="6"/>
      <c r="M1095" s="4"/>
      <c r="N1095" s="4"/>
      <c r="O1095" s="4"/>
      <c r="P1095" s="6"/>
      <c r="Q1095" s="6"/>
      <c r="R1095" s="6"/>
      <c r="S1095" s="6"/>
      <c r="T1095" s="4"/>
      <c r="U1095" s="6"/>
      <c r="V1095" s="6"/>
      <c r="W1095" s="6"/>
      <c r="X1095" s="6"/>
      <c r="Y1095" s="4"/>
      <c r="Z1095" s="6"/>
      <c r="AA1095" s="4"/>
      <c r="AB1095" s="4"/>
      <c r="AC1095" s="4"/>
      <c r="AD1095" s="6"/>
      <c r="AE1095" s="4"/>
      <c r="AF1095" s="4"/>
      <c r="AG1095" s="4"/>
      <c r="AH1095" s="4">
        <v>94054691250</v>
      </c>
    </row>
    <row r="1096" spans="1:34" x14ac:dyDescent="0.25">
      <c r="A1096" s="4">
        <v>1095</v>
      </c>
      <c r="B1096" s="5" t="s">
        <v>2319</v>
      </c>
      <c r="C1096" s="5" t="s">
        <v>2320</v>
      </c>
      <c r="D1096" s="5" t="s">
        <v>1586</v>
      </c>
      <c r="E1096" s="5" t="s">
        <v>40</v>
      </c>
      <c r="F1096" s="5" t="s">
        <v>52</v>
      </c>
      <c r="G1096" s="5" t="s">
        <v>110</v>
      </c>
      <c r="H1096" s="4"/>
      <c r="I1096" s="4"/>
      <c r="J1096" s="6"/>
      <c r="K1096" s="6"/>
      <c r="L1096" s="6"/>
      <c r="M1096" s="4"/>
      <c r="N1096" s="4"/>
      <c r="O1096" s="4"/>
      <c r="P1096" s="6"/>
      <c r="Q1096" s="6"/>
      <c r="R1096" s="6"/>
      <c r="S1096" s="6"/>
      <c r="T1096" s="4"/>
      <c r="U1096" s="6"/>
      <c r="V1096" s="6"/>
      <c r="W1096" s="6"/>
      <c r="X1096" s="6"/>
      <c r="Y1096" s="4"/>
      <c r="Z1096" s="6"/>
      <c r="AA1096" s="4"/>
      <c r="AB1096" s="4"/>
      <c r="AC1096" s="4"/>
      <c r="AD1096" s="6"/>
      <c r="AE1096" s="4"/>
      <c r="AF1096" s="4"/>
      <c r="AG1096" s="4"/>
      <c r="AH1096" s="4"/>
    </row>
    <row r="1097" spans="1:34" x14ac:dyDescent="0.25">
      <c r="A1097" s="4">
        <v>1096</v>
      </c>
      <c r="B1097" s="5" t="s">
        <v>2321</v>
      </c>
      <c r="C1097" s="5" t="s">
        <v>2322</v>
      </c>
      <c r="D1097" s="5" t="s">
        <v>1586</v>
      </c>
      <c r="E1097" s="5" t="s">
        <v>98</v>
      </c>
      <c r="F1097" s="5" t="s">
        <v>99</v>
      </c>
      <c r="G1097" s="5" t="s">
        <v>155</v>
      </c>
      <c r="H1097" s="4">
        <v>192367494950</v>
      </c>
      <c r="I1097" s="4">
        <v>347731786308</v>
      </c>
      <c r="J1097" s="6">
        <v>9.9599999999999994E-2</v>
      </c>
      <c r="K1097" s="6">
        <v>8.2600000000000007E-2</v>
      </c>
      <c r="L1097" s="6">
        <v>7.17E-2</v>
      </c>
      <c r="M1097" s="4">
        <v>32639666376</v>
      </c>
      <c r="N1097" s="4">
        <v>66905518088</v>
      </c>
      <c r="O1097" s="4"/>
      <c r="P1097" s="6">
        <v>9.3200000000000005E-2</v>
      </c>
      <c r="Q1097" s="6">
        <v>4.7399999999999998E-2</v>
      </c>
      <c r="R1097" s="6">
        <v>9.1300000000000006E-2</v>
      </c>
      <c r="S1097" s="6">
        <v>-4.7500000000000001E-2</v>
      </c>
      <c r="T1097" s="4"/>
      <c r="U1097" s="6">
        <v>-0.49220000000000003</v>
      </c>
      <c r="V1097" s="6">
        <v>-0.51729999999999998</v>
      </c>
      <c r="W1097" s="6">
        <v>-0.53159999999999996</v>
      </c>
      <c r="X1097" s="6">
        <v>0</v>
      </c>
      <c r="Y1097" s="4"/>
      <c r="Z1097" s="6">
        <v>0.2382</v>
      </c>
      <c r="AA1097" s="4"/>
      <c r="AB1097" s="4"/>
      <c r="AC1097" s="4"/>
      <c r="AD1097" s="6">
        <v>0</v>
      </c>
      <c r="AE1097" s="4"/>
      <c r="AF1097" s="4"/>
      <c r="AG1097" s="4"/>
      <c r="AH1097" s="4">
        <v>1328571132000</v>
      </c>
    </row>
    <row r="1098" spans="1:34" x14ac:dyDescent="0.25">
      <c r="A1098" s="4">
        <v>1097</v>
      </c>
      <c r="B1098" s="5" t="s">
        <v>2323</v>
      </c>
      <c r="C1098" s="5" t="s">
        <v>2324</v>
      </c>
      <c r="D1098" s="5" t="s">
        <v>1586</v>
      </c>
      <c r="E1098" s="5" t="s">
        <v>62</v>
      </c>
      <c r="F1098" s="5" t="s">
        <v>63</v>
      </c>
      <c r="G1098" s="5" t="s">
        <v>656</v>
      </c>
      <c r="H1098" s="4"/>
      <c r="I1098" s="4"/>
      <c r="J1098" s="6"/>
      <c r="K1098" s="6"/>
      <c r="L1098" s="6"/>
      <c r="M1098" s="4"/>
      <c r="N1098" s="4"/>
      <c r="O1098" s="4"/>
      <c r="P1098" s="6"/>
      <c r="Q1098" s="6"/>
      <c r="R1098" s="6"/>
      <c r="S1098" s="6"/>
      <c r="T1098" s="4"/>
      <c r="U1098" s="6"/>
      <c r="V1098" s="6"/>
      <c r="W1098" s="6"/>
      <c r="X1098" s="6"/>
      <c r="Y1098" s="4"/>
      <c r="Z1098" s="6"/>
      <c r="AA1098" s="4"/>
      <c r="AB1098" s="4"/>
      <c r="AC1098" s="4"/>
      <c r="AD1098" s="6"/>
      <c r="AE1098" s="4"/>
      <c r="AF1098" s="4"/>
      <c r="AG1098" s="4"/>
      <c r="AH1098" s="4">
        <v>44100000000</v>
      </c>
    </row>
    <row r="1099" spans="1:34" x14ac:dyDescent="0.25">
      <c r="A1099" s="4">
        <v>1098</v>
      </c>
      <c r="B1099" s="5" t="s">
        <v>2325</v>
      </c>
      <c r="C1099" s="5" t="s">
        <v>2326</v>
      </c>
      <c r="D1099" s="5" t="s">
        <v>1586</v>
      </c>
      <c r="E1099" s="5" t="s">
        <v>40</v>
      </c>
      <c r="F1099" s="5" t="s">
        <v>52</v>
      </c>
      <c r="G1099" s="5" t="s">
        <v>110</v>
      </c>
      <c r="H1099" s="4"/>
      <c r="I1099" s="4"/>
      <c r="J1099" s="6"/>
      <c r="K1099" s="6"/>
      <c r="L1099" s="6"/>
      <c r="M1099" s="4"/>
      <c r="N1099" s="4"/>
      <c r="O1099" s="4"/>
      <c r="P1099" s="6"/>
      <c r="Q1099" s="6"/>
      <c r="R1099" s="6"/>
      <c r="S1099" s="6"/>
      <c r="T1099" s="4"/>
      <c r="U1099" s="6"/>
      <c r="V1099" s="6"/>
      <c r="W1099" s="6"/>
      <c r="X1099" s="6"/>
      <c r="Y1099" s="4"/>
      <c r="Z1099" s="6"/>
      <c r="AA1099" s="4"/>
      <c r="AB1099" s="4"/>
      <c r="AC1099" s="4"/>
      <c r="AD1099" s="6"/>
      <c r="AE1099" s="4"/>
      <c r="AF1099" s="4"/>
      <c r="AG1099" s="4"/>
      <c r="AH1099" s="4">
        <v>108300000000</v>
      </c>
    </row>
    <row r="1100" spans="1:34" x14ac:dyDescent="0.25">
      <c r="A1100" s="4">
        <v>1099</v>
      </c>
      <c r="B1100" s="5" t="s">
        <v>2327</v>
      </c>
      <c r="C1100" s="5" t="s">
        <v>2328</v>
      </c>
      <c r="D1100" s="5" t="s">
        <v>1586</v>
      </c>
      <c r="E1100" s="5" t="s">
        <v>29</v>
      </c>
      <c r="F1100" s="5" t="s">
        <v>30</v>
      </c>
      <c r="G1100" s="5" t="s">
        <v>31</v>
      </c>
      <c r="H1100" s="4"/>
      <c r="I1100" s="4"/>
      <c r="J1100" s="6"/>
      <c r="K1100" s="6"/>
      <c r="L1100" s="6"/>
      <c r="M1100" s="4"/>
      <c r="N1100" s="4"/>
      <c r="O1100" s="4"/>
      <c r="P1100" s="6"/>
      <c r="Q1100" s="6"/>
      <c r="R1100" s="6"/>
      <c r="S1100" s="6"/>
      <c r="T1100" s="4"/>
      <c r="U1100" s="6"/>
      <c r="V1100" s="6"/>
      <c r="W1100" s="6"/>
      <c r="X1100" s="6"/>
      <c r="Y1100" s="4"/>
      <c r="Z1100" s="6"/>
      <c r="AA1100" s="4"/>
      <c r="AB1100" s="4"/>
      <c r="AC1100" s="4"/>
      <c r="AD1100" s="6"/>
      <c r="AE1100" s="4"/>
      <c r="AF1100" s="4"/>
      <c r="AG1100" s="4"/>
      <c r="AH1100" s="4">
        <v>19146465000</v>
      </c>
    </row>
    <row r="1101" spans="1:34" x14ac:dyDescent="0.25">
      <c r="A1101" s="4">
        <v>1100</v>
      </c>
      <c r="B1101" s="5" t="s">
        <v>2329</v>
      </c>
      <c r="C1101" s="5" t="s">
        <v>2330</v>
      </c>
      <c r="D1101" s="5" t="s">
        <v>1586</v>
      </c>
      <c r="E1101" s="5" t="s">
        <v>40</v>
      </c>
      <c r="F1101" s="5" t="s">
        <v>52</v>
      </c>
      <c r="G1101" s="5" t="s">
        <v>110</v>
      </c>
      <c r="H1101" s="4"/>
      <c r="I1101" s="4"/>
      <c r="J1101" s="6"/>
      <c r="K1101" s="6"/>
      <c r="L1101" s="6"/>
      <c r="M1101" s="4"/>
      <c r="N1101" s="4"/>
      <c r="O1101" s="4"/>
      <c r="P1101" s="6"/>
      <c r="Q1101" s="6"/>
      <c r="R1101" s="6"/>
      <c r="S1101" s="6"/>
      <c r="T1101" s="4"/>
      <c r="U1101" s="6"/>
      <c r="V1101" s="6"/>
      <c r="W1101" s="6"/>
      <c r="X1101" s="6"/>
      <c r="Y1101" s="4"/>
      <c r="Z1101" s="6"/>
      <c r="AA1101" s="4"/>
      <c r="AB1101" s="4"/>
      <c r="AC1101" s="4"/>
      <c r="AD1101" s="6"/>
      <c r="AE1101" s="4"/>
      <c r="AF1101" s="4"/>
      <c r="AG1101" s="4"/>
      <c r="AH1101" s="4">
        <v>36000000000</v>
      </c>
    </row>
    <row r="1102" spans="1:34" x14ac:dyDescent="0.25">
      <c r="A1102" s="4">
        <v>1101</v>
      </c>
      <c r="B1102" s="5" t="s">
        <v>2331</v>
      </c>
      <c r="C1102" s="5" t="s">
        <v>2332</v>
      </c>
      <c r="D1102" s="5" t="s">
        <v>1586</v>
      </c>
      <c r="E1102" s="5" t="s">
        <v>62</v>
      </c>
      <c r="F1102" s="5" t="s">
        <v>71</v>
      </c>
      <c r="G1102" s="5" t="s">
        <v>72</v>
      </c>
      <c r="H1102" s="4"/>
      <c r="I1102" s="4"/>
      <c r="J1102" s="6"/>
      <c r="K1102" s="6"/>
      <c r="L1102" s="6"/>
      <c r="M1102" s="4"/>
      <c r="N1102" s="4"/>
      <c r="O1102" s="4"/>
      <c r="P1102" s="6"/>
      <c r="Q1102" s="6"/>
      <c r="R1102" s="6"/>
      <c r="S1102" s="6"/>
      <c r="T1102" s="4"/>
      <c r="U1102" s="6"/>
      <c r="V1102" s="6"/>
      <c r="W1102" s="6"/>
      <c r="X1102" s="6"/>
      <c r="Y1102" s="4"/>
      <c r="Z1102" s="6"/>
      <c r="AA1102" s="4"/>
      <c r="AB1102" s="4"/>
      <c r="AC1102" s="4"/>
      <c r="AD1102" s="6"/>
      <c r="AE1102" s="4"/>
      <c r="AF1102" s="4"/>
      <c r="AG1102" s="4"/>
      <c r="AH1102" s="4"/>
    </row>
    <row r="1103" spans="1:34" x14ac:dyDescent="0.25">
      <c r="A1103" s="4">
        <v>1102</v>
      </c>
      <c r="B1103" s="5" t="s">
        <v>2333</v>
      </c>
      <c r="C1103" s="5" t="s">
        <v>2334</v>
      </c>
      <c r="D1103" s="5" t="s">
        <v>1586</v>
      </c>
      <c r="E1103" s="5" t="s">
        <v>40</v>
      </c>
      <c r="F1103" s="5" t="s">
        <v>52</v>
      </c>
      <c r="G1103" s="5" t="s">
        <v>110</v>
      </c>
      <c r="H1103" s="4">
        <v>32219366057</v>
      </c>
      <c r="I1103" s="4">
        <v>58552531705</v>
      </c>
      <c r="J1103" s="6">
        <v>-0.82769999999999999</v>
      </c>
      <c r="K1103" s="6"/>
      <c r="L1103" s="6"/>
      <c r="M1103" s="4">
        <v>15282299665</v>
      </c>
      <c r="N1103" s="4">
        <v>22331812408</v>
      </c>
      <c r="O1103" s="4"/>
      <c r="P1103" s="6">
        <v>-0.82010000000000005</v>
      </c>
      <c r="Q1103" s="6"/>
      <c r="R1103" s="6"/>
      <c r="S1103" s="6">
        <v>1.1678999999999999</v>
      </c>
      <c r="T1103" s="4"/>
      <c r="U1103" s="6"/>
      <c r="V1103" s="6"/>
      <c r="W1103" s="6"/>
      <c r="X1103" s="6"/>
      <c r="Y1103" s="4"/>
      <c r="Z1103" s="6">
        <v>0.2235</v>
      </c>
      <c r="AA1103" s="4"/>
      <c r="AB1103" s="4"/>
      <c r="AC1103" s="4"/>
      <c r="AD1103" s="6"/>
      <c r="AE1103" s="4"/>
      <c r="AF1103" s="4"/>
      <c r="AG1103" s="4"/>
      <c r="AH1103" s="4">
        <v>817017944100</v>
      </c>
    </row>
    <row r="1104" spans="1:34" x14ac:dyDescent="0.25">
      <c r="A1104" s="4">
        <v>1103</v>
      </c>
      <c r="B1104" s="5" t="s">
        <v>2335</v>
      </c>
      <c r="C1104" s="5" t="s">
        <v>2336</v>
      </c>
      <c r="D1104" s="5" t="s">
        <v>1586</v>
      </c>
      <c r="E1104" s="5" t="s">
        <v>29</v>
      </c>
      <c r="F1104" s="5" t="s">
        <v>30</v>
      </c>
      <c r="G1104" s="5" t="s">
        <v>83</v>
      </c>
      <c r="H1104" s="4">
        <v>2077381552713</v>
      </c>
      <c r="I1104" s="4">
        <v>3978388218230</v>
      </c>
      <c r="J1104" s="6">
        <v>-1.67E-2</v>
      </c>
      <c r="K1104" s="6"/>
      <c r="L1104" s="6"/>
      <c r="M1104" s="4">
        <v>228530044263</v>
      </c>
      <c r="N1104" s="4">
        <v>475566161517</v>
      </c>
      <c r="O1104" s="4"/>
      <c r="P1104" s="6">
        <v>7.3406000000000002</v>
      </c>
      <c r="Q1104" s="6"/>
      <c r="R1104" s="6"/>
      <c r="S1104" s="6">
        <v>-6.3700000000000007E-2</v>
      </c>
      <c r="T1104" s="4"/>
      <c r="U1104" s="6"/>
      <c r="V1104" s="6"/>
      <c r="W1104" s="6"/>
      <c r="X1104" s="6"/>
      <c r="Y1104" s="4"/>
      <c r="Z1104" s="6">
        <v>9.2799999999999994E-2</v>
      </c>
      <c r="AA1104" s="4"/>
      <c r="AB1104" s="4"/>
      <c r="AC1104" s="4"/>
      <c r="AD1104" s="6"/>
      <c r="AE1104" s="4"/>
      <c r="AF1104" s="4"/>
      <c r="AG1104" s="4"/>
      <c r="AH1104" s="4">
        <v>18232319240000</v>
      </c>
    </row>
    <row r="1105" spans="1:34" x14ac:dyDescent="0.25">
      <c r="A1105" s="4">
        <v>1104</v>
      </c>
      <c r="B1105" s="5" t="s">
        <v>2337</v>
      </c>
      <c r="C1105" s="5" t="s">
        <v>2338</v>
      </c>
      <c r="D1105" s="5" t="s">
        <v>1586</v>
      </c>
      <c r="E1105" s="5" t="s">
        <v>29</v>
      </c>
      <c r="F1105" s="5" t="s">
        <v>30</v>
      </c>
      <c r="G1105" s="5" t="s">
        <v>574</v>
      </c>
      <c r="H1105" s="4">
        <v>582628689000</v>
      </c>
      <c r="I1105" s="4">
        <v>1082872265000</v>
      </c>
      <c r="J1105" s="6">
        <v>0.18970000000000001</v>
      </c>
      <c r="K1105" s="6">
        <v>9.8299999999999998E-2</v>
      </c>
      <c r="L1105" s="6">
        <v>5.1499999999999997E-2</v>
      </c>
      <c r="M1105" s="4">
        <v>62581058000</v>
      </c>
      <c r="N1105" s="4">
        <v>115450907000</v>
      </c>
      <c r="O1105" s="4"/>
      <c r="P1105" s="6">
        <v>0.61270000000000002</v>
      </c>
      <c r="Q1105" s="6">
        <v>0.34079999999999999</v>
      </c>
      <c r="R1105" s="6">
        <v>0.19980000000000001</v>
      </c>
      <c r="S1105" s="6">
        <v>0.1837</v>
      </c>
      <c r="T1105" s="4"/>
      <c r="U1105" s="6">
        <v>-0.50449999999999995</v>
      </c>
      <c r="V1105" s="6">
        <v>-0.2142</v>
      </c>
      <c r="W1105" s="6">
        <v>-0.2152</v>
      </c>
      <c r="X1105" s="6">
        <v>0</v>
      </c>
      <c r="Y1105" s="4"/>
      <c r="Z1105" s="6">
        <v>0.16470000000000001</v>
      </c>
      <c r="AA1105" s="4"/>
      <c r="AB1105" s="4"/>
      <c r="AC1105" s="4"/>
      <c r="AD1105" s="6">
        <v>0</v>
      </c>
      <c r="AE1105" s="4"/>
      <c r="AF1105" s="4"/>
      <c r="AG1105" s="4"/>
      <c r="AH1105" s="4">
        <v>1576206118592</v>
      </c>
    </row>
    <row r="1106" spans="1:34" x14ac:dyDescent="0.25">
      <c r="A1106" s="4">
        <v>1105</v>
      </c>
      <c r="B1106" s="5" t="s">
        <v>2339</v>
      </c>
      <c r="C1106" s="5" t="s">
        <v>2340</v>
      </c>
      <c r="D1106" s="5" t="s">
        <v>1586</v>
      </c>
      <c r="E1106" s="5" t="s">
        <v>40</v>
      </c>
      <c r="F1106" s="5" t="s">
        <v>52</v>
      </c>
      <c r="G1106" s="5" t="s">
        <v>53</v>
      </c>
      <c r="H1106" s="4"/>
      <c r="I1106" s="4"/>
      <c r="J1106" s="6"/>
      <c r="K1106" s="6"/>
      <c r="L1106" s="6"/>
      <c r="M1106" s="4"/>
      <c r="N1106" s="4"/>
      <c r="O1106" s="4"/>
      <c r="P1106" s="6"/>
      <c r="Q1106" s="6"/>
      <c r="R1106" s="6"/>
      <c r="S1106" s="6"/>
      <c r="T1106" s="4"/>
      <c r="U1106" s="6"/>
      <c r="V1106" s="6"/>
      <c r="W1106" s="6"/>
      <c r="X1106" s="6"/>
      <c r="Y1106" s="4"/>
      <c r="Z1106" s="6"/>
      <c r="AA1106" s="4"/>
      <c r="AB1106" s="4"/>
      <c r="AC1106" s="4"/>
      <c r="AD1106" s="6"/>
      <c r="AE1106" s="4"/>
      <c r="AF1106" s="4"/>
      <c r="AG1106" s="4"/>
      <c r="AH1106" s="4">
        <v>149628421358</v>
      </c>
    </row>
    <row r="1107" spans="1:34" x14ac:dyDescent="0.25">
      <c r="A1107" s="4">
        <v>1106</v>
      </c>
      <c r="B1107" s="5" t="s">
        <v>2341</v>
      </c>
      <c r="C1107" s="5" t="s">
        <v>2342</v>
      </c>
      <c r="D1107" s="5" t="s">
        <v>1586</v>
      </c>
      <c r="E1107" s="5" t="s">
        <v>40</v>
      </c>
      <c r="F1107" s="5" t="s">
        <v>41</v>
      </c>
      <c r="G1107" s="5" t="s">
        <v>1025</v>
      </c>
      <c r="H1107" s="4"/>
      <c r="I1107" s="4"/>
      <c r="J1107" s="6"/>
      <c r="K1107" s="6"/>
      <c r="L1107" s="6"/>
      <c r="M1107" s="4"/>
      <c r="N1107" s="4"/>
      <c r="O1107" s="4"/>
      <c r="P1107" s="6"/>
      <c r="Q1107" s="6"/>
      <c r="R1107" s="6"/>
      <c r="S1107" s="6"/>
      <c r="T1107" s="4"/>
      <c r="U1107" s="6"/>
      <c r="V1107" s="6"/>
      <c r="W1107" s="6"/>
      <c r="X1107" s="6"/>
      <c r="Y1107" s="4"/>
      <c r="Z1107" s="6"/>
      <c r="AA1107" s="4"/>
      <c r="AB1107" s="4"/>
      <c r="AC1107" s="4"/>
      <c r="AD1107" s="6"/>
      <c r="AE1107" s="4"/>
      <c r="AF1107" s="4"/>
      <c r="AG1107" s="4"/>
      <c r="AH1107" s="4">
        <v>40425822150</v>
      </c>
    </row>
    <row r="1108" spans="1:34" x14ac:dyDescent="0.25">
      <c r="A1108" s="4">
        <v>1107</v>
      </c>
      <c r="B1108" s="5" t="s">
        <v>2343</v>
      </c>
      <c r="C1108" s="5" t="s">
        <v>2344</v>
      </c>
      <c r="D1108" s="5" t="s">
        <v>1586</v>
      </c>
      <c r="E1108" s="5" t="s">
        <v>40</v>
      </c>
      <c r="F1108" s="5" t="s">
        <v>41</v>
      </c>
      <c r="G1108" s="5" t="s">
        <v>90</v>
      </c>
      <c r="H1108" s="4"/>
      <c r="I1108" s="4"/>
      <c r="J1108" s="6"/>
      <c r="K1108" s="6"/>
      <c r="L1108" s="6"/>
      <c r="M1108" s="4"/>
      <c r="N1108" s="4"/>
      <c r="O1108" s="4"/>
      <c r="P1108" s="6"/>
      <c r="Q1108" s="6"/>
      <c r="R1108" s="6"/>
      <c r="S1108" s="6"/>
      <c r="T1108" s="4"/>
      <c r="U1108" s="6"/>
      <c r="V1108" s="6"/>
      <c r="W1108" s="6"/>
      <c r="X1108" s="6"/>
      <c r="Y1108" s="4"/>
      <c r="Z1108" s="6"/>
      <c r="AA1108" s="4"/>
      <c r="AB1108" s="4"/>
      <c r="AC1108" s="4"/>
      <c r="AD1108" s="6"/>
      <c r="AE1108" s="4"/>
      <c r="AF1108" s="4"/>
      <c r="AG1108" s="4"/>
      <c r="AH1108" s="4">
        <v>737748000000</v>
      </c>
    </row>
    <row r="1109" spans="1:34" x14ac:dyDescent="0.25">
      <c r="A1109" s="4">
        <v>1108</v>
      </c>
      <c r="B1109" s="5" t="s">
        <v>2345</v>
      </c>
      <c r="C1109" s="5" t="s">
        <v>2346</v>
      </c>
      <c r="D1109" s="5" t="s">
        <v>1586</v>
      </c>
      <c r="E1109" s="5" t="s">
        <v>40</v>
      </c>
      <c r="F1109" s="5" t="s">
        <v>41</v>
      </c>
      <c r="G1109" s="5" t="s">
        <v>519</v>
      </c>
      <c r="H1109" s="4"/>
      <c r="I1109" s="4"/>
      <c r="J1109" s="6"/>
      <c r="K1109" s="6"/>
      <c r="L1109" s="6"/>
      <c r="M1109" s="4"/>
      <c r="N1109" s="4"/>
      <c r="O1109" s="4"/>
      <c r="P1109" s="6"/>
      <c r="Q1109" s="6"/>
      <c r="R1109" s="6"/>
      <c r="S1109" s="6"/>
      <c r="T1109" s="4"/>
      <c r="U1109" s="6"/>
      <c r="V1109" s="6"/>
      <c r="W1109" s="6"/>
      <c r="X1109" s="6"/>
      <c r="Y1109" s="4"/>
      <c r="Z1109" s="6"/>
      <c r="AA1109" s="4"/>
      <c r="AB1109" s="4"/>
      <c r="AC1109" s="4"/>
      <c r="AD1109" s="6"/>
      <c r="AE1109" s="4"/>
      <c r="AF1109" s="4"/>
      <c r="AG1109" s="4"/>
      <c r="AH1109" s="4">
        <v>72718949600</v>
      </c>
    </row>
    <row r="1110" spans="1:34" x14ac:dyDescent="0.25">
      <c r="A1110" s="4">
        <v>1109</v>
      </c>
      <c r="B1110" s="5" t="s">
        <v>2347</v>
      </c>
      <c r="C1110" s="5" t="s">
        <v>2348</v>
      </c>
      <c r="D1110" s="5" t="s">
        <v>1586</v>
      </c>
      <c r="E1110" s="5" t="s">
        <v>62</v>
      </c>
      <c r="F1110" s="5" t="s">
        <v>63</v>
      </c>
      <c r="G1110" s="5" t="s">
        <v>656</v>
      </c>
      <c r="H1110" s="4"/>
      <c r="I1110" s="4"/>
      <c r="J1110" s="6"/>
      <c r="K1110" s="6"/>
      <c r="L1110" s="6"/>
      <c r="M1110" s="4"/>
      <c r="N1110" s="4"/>
      <c r="O1110" s="4"/>
      <c r="P1110" s="6"/>
      <c r="Q1110" s="6"/>
      <c r="R1110" s="6"/>
      <c r="S1110" s="6"/>
      <c r="T1110" s="4"/>
      <c r="U1110" s="6"/>
      <c r="V1110" s="6"/>
      <c r="W1110" s="6"/>
      <c r="X1110" s="6"/>
      <c r="Y1110" s="4"/>
      <c r="Z1110" s="6"/>
      <c r="AA1110" s="4"/>
      <c r="AB1110" s="4"/>
      <c r="AC1110" s="4"/>
      <c r="AD1110" s="6"/>
      <c r="AE1110" s="4"/>
      <c r="AF1110" s="4"/>
      <c r="AG1110" s="4"/>
      <c r="AH1110" s="4">
        <v>52440000000</v>
      </c>
    </row>
    <row r="1111" spans="1:34" x14ac:dyDescent="0.25">
      <c r="A1111" s="4">
        <v>1110</v>
      </c>
      <c r="B1111" s="5" t="s">
        <v>2349</v>
      </c>
      <c r="C1111" s="5" t="s">
        <v>2350</v>
      </c>
      <c r="D1111" s="5" t="s">
        <v>1586</v>
      </c>
      <c r="E1111" s="5" t="s">
        <v>24</v>
      </c>
      <c r="F1111" s="5" t="s">
        <v>25</v>
      </c>
      <c r="G1111" s="5" t="s">
        <v>26</v>
      </c>
      <c r="H1111" s="4">
        <v>16058278750</v>
      </c>
      <c r="I1111" s="4">
        <v>17032225550</v>
      </c>
      <c r="J1111" s="6">
        <v>4.0537000000000001</v>
      </c>
      <c r="K1111" s="6"/>
      <c r="L1111" s="6"/>
      <c r="M1111" s="4">
        <v>957262898</v>
      </c>
      <c r="N1111" s="4">
        <v>847801759</v>
      </c>
      <c r="O1111" s="4"/>
      <c r="P1111" s="6">
        <v>1.252</v>
      </c>
      <c r="Q1111" s="6"/>
      <c r="R1111" s="6"/>
      <c r="S1111" s="6">
        <v>9.7452000000000005</v>
      </c>
      <c r="T1111" s="4"/>
      <c r="U1111" s="6"/>
      <c r="V1111" s="6"/>
      <c r="W1111" s="6"/>
      <c r="X1111" s="6"/>
      <c r="Y1111" s="4"/>
      <c r="Z1111" s="6">
        <v>15.4878</v>
      </c>
      <c r="AA1111" s="4"/>
      <c r="AB1111" s="4"/>
      <c r="AC1111" s="4"/>
      <c r="AD1111" s="6"/>
      <c r="AE1111" s="4"/>
      <c r="AF1111" s="4"/>
      <c r="AG1111" s="4"/>
      <c r="AH1111" s="4">
        <v>82250000000</v>
      </c>
    </row>
    <row r="1112" spans="1:34" x14ac:dyDescent="0.25">
      <c r="A1112" s="4">
        <v>1111</v>
      </c>
      <c r="B1112" s="5" t="s">
        <v>2351</v>
      </c>
      <c r="C1112" s="5" t="s">
        <v>2352</v>
      </c>
      <c r="D1112" s="5" t="s">
        <v>1586</v>
      </c>
      <c r="E1112" s="5" t="s">
        <v>40</v>
      </c>
      <c r="F1112" s="5" t="s">
        <v>41</v>
      </c>
      <c r="G1112" s="5" t="s">
        <v>406</v>
      </c>
      <c r="H1112" s="4"/>
      <c r="I1112" s="4"/>
      <c r="J1112" s="6"/>
      <c r="K1112" s="6"/>
      <c r="L1112" s="6"/>
      <c r="M1112" s="4"/>
      <c r="N1112" s="4"/>
      <c r="O1112" s="4"/>
      <c r="P1112" s="6"/>
      <c r="Q1112" s="6"/>
      <c r="R1112" s="6"/>
      <c r="S1112" s="6"/>
      <c r="T1112" s="4"/>
      <c r="U1112" s="6"/>
      <c r="V1112" s="6"/>
      <c r="W1112" s="6"/>
      <c r="X1112" s="6"/>
      <c r="Y1112" s="4"/>
      <c r="Z1112" s="6"/>
      <c r="AA1112" s="4"/>
      <c r="AB1112" s="4"/>
      <c r="AC1112" s="4"/>
      <c r="AD1112" s="6"/>
      <c r="AE1112" s="4"/>
      <c r="AF1112" s="4"/>
      <c r="AG1112" s="4"/>
      <c r="AH1112" s="4">
        <v>79200000000</v>
      </c>
    </row>
    <row r="1113" spans="1:34" x14ac:dyDescent="0.25">
      <c r="A1113" s="4">
        <v>1112</v>
      </c>
      <c r="B1113" s="5" t="s">
        <v>2353</v>
      </c>
      <c r="C1113" s="5" t="s">
        <v>2354</v>
      </c>
      <c r="D1113" s="5" t="s">
        <v>1586</v>
      </c>
      <c r="E1113" s="5" t="s">
        <v>98</v>
      </c>
      <c r="F1113" s="5" t="s">
        <v>99</v>
      </c>
      <c r="G1113" s="5" t="s">
        <v>144</v>
      </c>
      <c r="H1113" s="4"/>
      <c r="I1113" s="4"/>
      <c r="J1113" s="6"/>
      <c r="K1113" s="6"/>
      <c r="L1113" s="6"/>
      <c r="M1113" s="4"/>
      <c r="N1113" s="4"/>
      <c r="O1113" s="4"/>
      <c r="P1113" s="6"/>
      <c r="Q1113" s="6"/>
      <c r="R1113" s="6"/>
      <c r="S1113" s="6"/>
      <c r="T1113" s="4"/>
      <c r="U1113" s="6"/>
      <c r="V1113" s="6"/>
      <c r="W1113" s="6"/>
      <c r="X1113" s="6"/>
      <c r="Y1113" s="4"/>
      <c r="Z1113" s="6"/>
      <c r="AA1113" s="4"/>
      <c r="AB1113" s="4"/>
      <c r="AC1113" s="4"/>
      <c r="AD1113" s="6"/>
      <c r="AE1113" s="4"/>
      <c r="AF1113" s="4"/>
      <c r="AG1113" s="4"/>
      <c r="AH1113" s="4">
        <v>1075500000000</v>
      </c>
    </row>
    <row r="1114" spans="1:34" x14ac:dyDescent="0.25">
      <c r="A1114" s="4">
        <v>1113</v>
      </c>
      <c r="B1114" s="5" t="s">
        <v>2355</v>
      </c>
      <c r="C1114" s="5" t="s">
        <v>2356</v>
      </c>
      <c r="D1114" s="5" t="s">
        <v>1586</v>
      </c>
      <c r="E1114" s="5" t="s">
        <v>40</v>
      </c>
      <c r="F1114" s="5" t="s">
        <v>41</v>
      </c>
      <c r="G1114" s="5" t="s">
        <v>93</v>
      </c>
      <c r="H1114" s="4"/>
      <c r="I1114" s="4"/>
      <c r="J1114" s="6"/>
      <c r="K1114" s="6"/>
      <c r="L1114" s="6"/>
      <c r="M1114" s="4"/>
      <c r="N1114" s="4"/>
      <c r="O1114" s="4"/>
      <c r="P1114" s="6"/>
      <c r="Q1114" s="6"/>
      <c r="R1114" s="6"/>
      <c r="S1114" s="6"/>
      <c r="T1114" s="4"/>
      <c r="U1114" s="6"/>
      <c r="V1114" s="6"/>
      <c r="W1114" s="6"/>
      <c r="X1114" s="6"/>
      <c r="Y1114" s="4"/>
      <c r="Z1114" s="6"/>
      <c r="AA1114" s="4"/>
      <c r="AB1114" s="4"/>
      <c r="AC1114" s="4"/>
      <c r="AD1114" s="6"/>
      <c r="AE1114" s="4"/>
      <c r="AF1114" s="4"/>
      <c r="AG1114" s="4"/>
      <c r="AH1114" s="4">
        <v>539105032640</v>
      </c>
    </row>
    <row r="1115" spans="1:34" x14ac:dyDescent="0.25">
      <c r="A1115" s="4">
        <v>1114</v>
      </c>
      <c r="B1115" s="5" t="s">
        <v>2357</v>
      </c>
      <c r="C1115" s="5" t="s">
        <v>2358</v>
      </c>
      <c r="D1115" s="5" t="s">
        <v>1586</v>
      </c>
      <c r="E1115" s="5" t="s">
        <v>75</v>
      </c>
      <c r="F1115" s="5" t="s">
        <v>76</v>
      </c>
      <c r="G1115" s="5" t="s">
        <v>76</v>
      </c>
      <c r="H1115" s="4"/>
      <c r="I1115" s="4"/>
      <c r="J1115" s="6"/>
      <c r="K1115" s="6"/>
      <c r="L1115" s="6"/>
      <c r="M1115" s="4"/>
      <c r="N1115" s="4"/>
      <c r="O1115" s="4"/>
      <c r="P1115" s="6"/>
      <c r="Q1115" s="6"/>
      <c r="R1115" s="6"/>
      <c r="S1115" s="6"/>
      <c r="T1115" s="4"/>
      <c r="U1115" s="6"/>
      <c r="V1115" s="6"/>
      <c r="W1115" s="6"/>
      <c r="X1115" s="6"/>
      <c r="Y1115" s="4"/>
      <c r="Z1115" s="6"/>
      <c r="AA1115" s="4"/>
      <c r="AB1115" s="4"/>
      <c r="AC1115" s="4"/>
      <c r="AD1115" s="6"/>
      <c r="AE1115" s="4"/>
      <c r="AF1115" s="4"/>
      <c r="AG1115" s="4"/>
      <c r="AH1115" s="4">
        <v>2158139622500</v>
      </c>
    </row>
    <row r="1116" spans="1:34" x14ac:dyDescent="0.25">
      <c r="A1116" s="4">
        <v>1115</v>
      </c>
      <c r="B1116" s="5" t="s">
        <v>2359</v>
      </c>
      <c r="C1116" s="5" t="s">
        <v>2360</v>
      </c>
      <c r="D1116" s="5" t="s">
        <v>1586</v>
      </c>
      <c r="E1116" s="5" t="s">
        <v>40</v>
      </c>
      <c r="F1116" s="5" t="s">
        <v>41</v>
      </c>
      <c r="G1116" s="5" t="s">
        <v>519</v>
      </c>
      <c r="H1116" s="4"/>
      <c r="I1116" s="4"/>
      <c r="J1116" s="6"/>
      <c r="K1116" s="6"/>
      <c r="L1116" s="6"/>
      <c r="M1116" s="4"/>
      <c r="N1116" s="4"/>
      <c r="O1116" s="4"/>
      <c r="P1116" s="6"/>
      <c r="Q1116" s="6"/>
      <c r="R1116" s="6"/>
      <c r="S1116" s="6"/>
      <c r="T1116" s="4"/>
      <c r="U1116" s="6"/>
      <c r="V1116" s="6"/>
      <c r="W1116" s="6"/>
      <c r="X1116" s="6"/>
      <c r="Y1116" s="4"/>
      <c r="Z1116" s="6"/>
      <c r="AA1116" s="4"/>
      <c r="AB1116" s="4"/>
      <c r="AC1116" s="4"/>
      <c r="AD1116" s="6"/>
      <c r="AE1116" s="4"/>
      <c r="AF1116" s="4"/>
      <c r="AG1116" s="4"/>
      <c r="AH1116" s="4">
        <v>95255726400</v>
      </c>
    </row>
    <row r="1117" spans="1:34" x14ac:dyDescent="0.25">
      <c r="A1117" s="4">
        <v>1116</v>
      </c>
      <c r="B1117" s="5" t="s">
        <v>2361</v>
      </c>
      <c r="C1117" s="5" t="s">
        <v>2362</v>
      </c>
      <c r="D1117" s="5" t="s">
        <v>1586</v>
      </c>
      <c r="E1117" s="5" t="s">
        <v>29</v>
      </c>
      <c r="F1117" s="5" t="s">
        <v>30</v>
      </c>
      <c r="G1117" s="5" t="s">
        <v>31</v>
      </c>
      <c r="H1117" s="4">
        <v>176220365</v>
      </c>
      <c r="I1117" s="4">
        <v>815377905</v>
      </c>
      <c r="J1117" s="6">
        <v>-0.98909999999999998</v>
      </c>
      <c r="K1117" s="6">
        <v>-0.96419999999999995</v>
      </c>
      <c r="L1117" s="6">
        <v>-0.73540000000000005</v>
      </c>
      <c r="M1117" s="4">
        <v>-9340003557</v>
      </c>
      <c r="N1117" s="4">
        <v>-8965331225</v>
      </c>
      <c r="O1117" s="4"/>
      <c r="P1117" s="6">
        <v>0.19650000000000001</v>
      </c>
      <c r="Q1117" s="6">
        <v>0.2802</v>
      </c>
      <c r="R1117" s="6">
        <v>-6.2572999999999999</v>
      </c>
      <c r="S1117" s="6">
        <v>-25.9285</v>
      </c>
      <c r="T1117" s="4"/>
      <c r="U1117" s="6">
        <v>0</v>
      </c>
      <c r="V1117" s="6">
        <v>0</v>
      </c>
      <c r="W1117" s="6">
        <v>0</v>
      </c>
      <c r="X1117" s="6">
        <v>0</v>
      </c>
      <c r="Y1117" s="4"/>
      <c r="Z1117" s="6">
        <v>-0.72430000000000005</v>
      </c>
      <c r="AA1117" s="4"/>
      <c r="AB1117" s="4"/>
      <c r="AC1117" s="4"/>
      <c r="AD1117" s="6">
        <v>0</v>
      </c>
      <c r="AE1117" s="4"/>
      <c r="AF1117" s="4"/>
      <c r="AG1117" s="4"/>
      <c r="AH1117" s="4">
        <v>16547477100</v>
      </c>
    </row>
    <row r="1118" spans="1:34" x14ac:dyDescent="0.25">
      <c r="A1118" s="4">
        <v>1117</v>
      </c>
      <c r="B1118" s="5" t="s">
        <v>2363</v>
      </c>
      <c r="C1118" s="5" t="s">
        <v>2364</v>
      </c>
      <c r="D1118" s="5" t="s">
        <v>1586</v>
      </c>
      <c r="E1118" s="5" t="s">
        <v>24</v>
      </c>
      <c r="F1118" s="5" t="s">
        <v>56</v>
      </c>
      <c r="G1118" s="5" t="s">
        <v>129</v>
      </c>
      <c r="H1118" s="4"/>
      <c r="I1118" s="4"/>
      <c r="J1118" s="6"/>
      <c r="K1118" s="6"/>
      <c r="L1118" s="6"/>
      <c r="M1118" s="4"/>
      <c r="N1118" s="4"/>
      <c r="O1118" s="4"/>
      <c r="P1118" s="6"/>
      <c r="Q1118" s="6"/>
      <c r="R1118" s="6"/>
      <c r="S1118" s="6"/>
      <c r="T1118" s="4"/>
      <c r="U1118" s="6"/>
      <c r="V1118" s="6"/>
      <c r="W1118" s="6"/>
      <c r="X1118" s="6"/>
      <c r="Y1118" s="4"/>
      <c r="Z1118" s="6"/>
      <c r="AA1118" s="4"/>
      <c r="AB1118" s="4"/>
      <c r="AC1118" s="4"/>
      <c r="AD1118" s="6"/>
      <c r="AE1118" s="4"/>
      <c r="AF1118" s="4"/>
      <c r="AG1118" s="4"/>
      <c r="AH1118" s="4">
        <v>76200000000</v>
      </c>
    </row>
    <row r="1119" spans="1:34" x14ac:dyDescent="0.25">
      <c r="A1119" s="4">
        <v>1118</v>
      </c>
      <c r="B1119" s="5" t="s">
        <v>2365</v>
      </c>
      <c r="C1119" s="5" t="s">
        <v>2366</v>
      </c>
      <c r="D1119" s="5" t="s">
        <v>1586</v>
      </c>
      <c r="E1119" s="5" t="s">
        <v>62</v>
      </c>
      <c r="F1119" s="5" t="s">
        <v>71</v>
      </c>
      <c r="G1119" s="5" t="s">
        <v>147</v>
      </c>
      <c r="H1119" s="4">
        <v>1474612314673</v>
      </c>
      <c r="I1119" s="4">
        <v>2102855722860</v>
      </c>
      <c r="J1119" s="6">
        <v>-0.24110000000000001</v>
      </c>
      <c r="K1119" s="6">
        <v>-0.36530000000000001</v>
      </c>
      <c r="L1119" s="6">
        <v>-0.43880000000000002</v>
      </c>
      <c r="M1119" s="4">
        <v>4796755664</v>
      </c>
      <c r="N1119" s="4">
        <v>9339254180</v>
      </c>
      <c r="O1119" s="4"/>
      <c r="P1119" s="6">
        <v>-0.33589999999999998</v>
      </c>
      <c r="Q1119" s="6">
        <v>-0.14199999999999999</v>
      </c>
      <c r="R1119" s="6">
        <v>0.67710000000000004</v>
      </c>
      <c r="S1119" s="6">
        <v>5.6000000000000001E-2</v>
      </c>
      <c r="T1119" s="4"/>
      <c r="U1119" s="6">
        <v>-0.42859999999999998</v>
      </c>
      <c r="V1119" s="6">
        <v>-0.31330000000000002</v>
      </c>
      <c r="W1119" s="6">
        <v>-0.31330000000000002</v>
      </c>
      <c r="X1119" s="6">
        <v>0</v>
      </c>
      <c r="Y1119" s="4"/>
      <c r="Z1119" s="6">
        <v>1.3472</v>
      </c>
      <c r="AA1119" s="4"/>
      <c r="AB1119" s="4"/>
      <c r="AC1119" s="4"/>
      <c r="AD1119" s="6">
        <v>0</v>
      </c>
      <c r="AE1119" s="4"/>
      <c r="AF1119" s="4"/>
      <c r="AG1119" s="4"/>
      <c r="AH1119" s="4">
        <v>133532930000</v>
      </c>
    </row>
    <row r="1120" spans="1:34" x14ac:dyDescent="0.25">
      <c r="A1120" s="4">
        <v>1119</v>
      </c>
      <c r="B1120" s="5" t="s">
        <v>2367</v>
      </c>
      <c r="C1120" s="5" t="s">
        <v>2368</v>
      </c>
      <c r="D1120" s="5" t="s">
        <v>1586</v>
      </c>
      <c r="E1120" s="5" t="s">
        <v>24</v>
      </c>
      <c r="F1120" s="5" t="s">
        <v>56</v>
      </c>
      <c r="G1120" s="5" t="s">
        <v>129</v>
      </c>
      <c r="H1120" s="4"/>
      <c r="I1120" s="4"/>
      <c r="J1120" s="6"/>
      <c r="K1120" s="6"/>
      <c r="L1120" s="6"/>
      <c r="M1120" s="4"/>
      <c r="N1120" s="4"/>
      <c r="O1120" s="4"/>
      <c r="P1120" s="6"/>
      <c r="Q1120" s="6"/>
      <c r="R1120" s="6"/>
      <c r="S1120" s="6"/>
      <c r="T1120" s="4"/>
      <c r="U1120" s="6"/>
      <c r="V1120" s="6"/>
      <c r="W1120" s="6"/>
      <c r="X1120" s="6"/>
      <c r="Y1120" s="4"/>
      <c r="Z1120" s="6"/>
      <c r="AA1120" s="4"/>
      <c r="AB1120" s="4"/>
      <c r="AC1120" s="4"/>
      <c r="AD1120" s="6"/>
      <c r="AE1120" s="4"/>
      <c r="AF1120" s="4"/>
      <c r="AG1120" s="4"/>
      <c r="AH1120" s="4">
        <v>52205088000</v>
      </c>
    </row>
    <row r="1121" spans="1:34" x14ac:dyDescent="0.25">
      <c r="A1121" s="4">
        <v>1120</v>
      </c>
      <c r="B1121" s="5" t="s">
        <v>2369</v>
      </c>
      <c r="C1121" s="5" t="s">
        <v>2370</v>
      </c>
      <c r="D1121" s="5" t="s">
        <v>1586</v>
      </c>
      <c r="E1121" s="5" t="s">
        <v>98</v>
      </c>
      <c r="F1121" s="5" t="s">
        <v>99</v>
      </c>
      <c r="G1121" s="5" t="s">
        <v>155</v>
      </c>
      <c r="H1121" s="4">
        <v>122256291322</v>
      </c>
      <c r="I1121" s="4">
        <v>228256114416</v>
      </c>
      <c r="J1121" s="6">
        <v>2.35E-2</v>
      </c>
      <c r="K1121" s="6">
        <v>4.0599999999999997E-2</v>
      </c>
      <c r="L1121" s="6">
        <v>3.1800000000000002E-2</v>
      </c>
      <c r="M1121" s="4">
        <v>24453254436</v>
      </c>
      <c r="N1121" s="4">
        <v>39798180009</v>
      </c>
      <c r="O1121" s="4"/>
      <c r="P1121" s="6">
        <v>2.3400000000000001E-2</v>
      </c>
      <c r="Q1121" s="6">
        <v>3.5400000000000001E-2</v>
      </c>
      <c r="R1121" s="6">
        <v>6.5299999999999997E-2</v>
      </c>
      <c r="S1121" s="6">
        <v>0.59360000000000002</v>
      </c>
      <c r="T1121" s="4"/>
      <c r="U1121" s="6">
        <v>-0.52300000000000002</v>
      </c>
      <c r="V1121" s="6">
        <v>-0.55989999999999995</v>
      </c>
      <c r="W1121" s="6">
        <v>-0.55379999999999996</v>
      </c>
      <c r="X1121" s="6">
        <v>0</v>
      </c>
      <c r="Y1121" s="4"/>
      <c r="Z1121" s="6">
        <v>0.15340000000000001</v>
      </c>
      <c r="AA1121" s="4"/>
      <c r="AB1121" s="4"/>
      <c r="AC1121" s="4"/>
      <c r="AD1121" s="6">
        <v>0</v>
      </c>
      <c r="AE1121" s="4"/>
      <c r="AF1121" s="4"/>
      <c r="AG1121" s="4"/>
      <c r="AH1121" s="4">
        <v>857998056000</v>
      </c>
    </row>
    <row r="1122" spans="1:34" x14ac:dyDescent="0.25">
      <c r="A1122" s="4">
        <v>1121</v>
      </c>
      <c r="B1122" s="5" t="s">
        <v>2371</v>
      </c>
      <c r="C1122" s="5" t="s">
        <v>2372</v>
      </c>
      <c r="D1122" s="5" t="s">
        <v>1586</v>
      </c>
      <c r="E1122" s="5" t="s">
        <v>62</v>
      </c>
      <c r="F1122" s="5" t="s">
        <v>63</v>
      </c>
      <c r="G1122" s="5" t="s">
        <v>656</v>
      </c>
      <c r="H1122" s="4"/>
      <c r="I1122" s="4"/>
      <c r="J1122" s="6"/>
      <c r="K1122" s="6"/>
      <c r="L1122" s="6"/>
      <c r="M1122" s="4"/>
      <c r="N1122" s="4"/>
      <c r="O1122" s="4"/>
      <c r="P1122" s="6"/>
      <c r="Q1122" s="6"/>
      <c r="R1122" s="6"/>
      <c r="S1122" s="6"/>
      <c r="T1122" s="4"/>
      <c r="U1122" s="6"/>
      <c r="V1122" s="6"/>
      <c r="W1122" s="6"/>
      <c r="X1122" s="6">
        <v>0</v>
      </c>
      <c r="Y1122" s="4"/>
      <c r="Z1122" s="6"/>
      <c r="AA1122" s="4"/>
      <c r="AB1122" s="4"/>
      <c r="AC1122" s="4"/>
      <c r="AD1122" s="6"/>
      <c r="AE1122" s="4"/>
      <c r="AF1122" s="4"/>
      <c r="AG1122" s="4"/>
      <c r="AH1122" s="4">
        <v>79000000000</v>
      </c>
    </row>
    <row r="1123" spans="1:34" x14ac:dyDescent="0.25">
      <c r="A1123" s="4">
        <v>1122</v>
      </c>
      <c r="B1123" s="5" t="s">
        <v>2373</v>
      </c>
      <c r="C1123" s="5" t="s">
        <v>2374</v>
      </c>
      <c r="D1123" s="5" t="s">
        <v>1586</v>
      </c>
      <c r="E1123" s="5" t="s">
        <v>40</v>
      </c>
      <c r="F1123" s="5" t="s">
        <v>41</v>
      </c>
      <c r="G1123" s="5" t="s">
        <v>389</v>
      </c>
      <c r="H1123" s="4"/>
      <c r="I1123" s="4"/>
      <c r="J1123" s="6"/>
      <c r="K1123" s="6"/>
      <c r="L1123" s="6"/>
      <c r="M1123" s="4"/>
      <c r="N1123" s="4"/>
      <c r="O1123" s="4"/>
      <c r="P1123" s="6"/>
      <c r="Q1123" s="6"/>
      <c r="R1123" s="6"/>
      <c r="S1123" s="6"/>
      <c r="T1123" s="4"/>
      <c r="U1123" s="6"/>
      <c r="V1123" s="6"/>
      <c r="W1123" s="6"/>
      <c r="X1123" s="6"/>
      <c r="Y1123" s="4"/>
      <c r="Z1123" s="6"/>
      <c r="AA1123" s="4"/>
      <c r="AB1123" s="4"/>
      <c r="AC1123" s="4"/>
      <c r="AD1123" s="6"/>
      <c r="AE1123" s="4"/>
      <c r="AF1123" s="4"/>
      <c r="AG1123" s="4"/>
      <c r="AH1123" s="4">
        <v>147980000000</v>
      </c>
    </row>
    <row r="1124" spans="1:34" x14ac:dyDescent="0.25">
      <c r="A1124" s="4">
        <v>1123</v>
      </c>
      <c r="B1124" s="5" t="s">
        <v>2375</v>
      </c>
      <c r="C1124" s="5" t="s">
        <v>2376</v>
      </c>
      <c r="D1124" s="5" t="s">
        <v>1586</v>
      </c>
      <c r="E1124" s="5" t="s">
        <v>24</v>
      </c>
      <c r="F1124" s="5" t="s">
        <v>56</v>
      </c>
      <c r="G1124" s="5" t="s">
        <v>129</v>
      </c>
      <c r="H1124" s="4"/>
      <c r="I1124" s="4"/>
      <c r="J1124" s="6"/>
      <c r="K1124" s="6"/>
      <c r="L1124" s="6"/>
      <c r="M1124" s="4"/>
      <c r="N1124" s="4"/>
      <c r="O1124" s="4"/>
      <c r="P1124" s="6"/>
      <c r="Q1124" s="6"/>
      <c r="R1124" s="6"/>
      <c r="S1124" s="6"/>
      <c r="T1124" s="4"/>
      <c r="U1124" s="6"/>
      <c r="V1124" s="6"/>
      <c r="W1124" s="6"/>
      <c r="X1124" s="6"/>
      <c r="Y1124" s="4"/>
      <c r="Z1124" s="6"/>
      <c r="AA1124" s="4"/>
      <c r="AB1124" s="4"/>
      <c r="AC1124" s="4"/>
      <c r="AD1124" s="6"/>
      <c r="AE1124" s="4"/>
      <c r="AF1124" s="4"/>
      <c r="AG1124" s="4"/>
      <c r="AH1124" s="4"/>
    </row>
    <row r="1125" spans="1:34" x14ac:dyDescent="0.25">
      <c r="A1125" s="4">
        <v>1124</v>
      </c>
      <c r="B1125" s="5" t="s">
        <v>2377</v>
      </c>
      <c r="C1125" s="5" t="s">
        <v>2378</v>
      </c>
      <c r="D1125" s="5" t="s">
        <v>1586</v>
      </c>
      <c r="E1125" s="5" t="s">
        <v>40</v>
      </c>
      <c r="F1125" s="5" t="s">
        <v>52</v>
      </c>
      <c r="G1125" s="5" t="s">
        <v>53</v>
      </c>
      <c r="H1125" s="4"/>
      <c r="I1125" s="4"/>
      <c r="J1125" s="6"/>
      <c r="K1125" s="6"/>
      <c r="L1125" s="6"/>
      <c r="M1125" s="4"/>
      <c r="N1125" s="4"/>
      <c r="O1125" s="4"/>
      <c r="P1125" s="6"/>
      <c r="Q1125" s="6"/>
      <c r="R1125" s="6"/>
      <c r="S1125" s="6"/>
      <c r="T1125" s="4"/>
      <c r="U1125" s="6"/>
      <c r="V1125" s="6"/>
      <c r="W1125" s="6"/>
      <c r="X1125" s="6"/>
      <c r="Y1125" s="4"/>
      <c r="Z1125" s="6"/>
      <c r="AA1125" s="4"/>
      <c r="AB1125" s="4"/>
      <c r="AC1125" s="4"/>
      <c r="AD1125" s="6"/>
      <c r="AE1125" s="4"/>
      <c r="AF1125" s="4"/>
      <c r="AG1125" s="4"/>
      <c r="AH1125" s="4">
        <v>73040689200</v>
      </c>
    </row>
    <row r="1126" spans="1:34" x14ac:dyDescent="0.25">
      <c r="A1126" s="4">
        <v>1125</v>
      </c>
      <c r="B1126" s="5" t="s">
        <v>2379</v>
      </c>
      <c r="C1126" s="5" t="s">
        <v>2380</v>
      </c>
      <c r="D1126" s="5" t="s">
        <v>1586</v>
      </c>
      <c r="E1126" s="5" t="s">
        <v>40</v>
      </c>
      <c r="F1126" s="5" t="s">
        <v>52</v>
      </c>
      <c r="G1126" s="5" t="s">
        <v>53</v>
      </c>
      <c r="H1126" s="4">
        <v>7856806679</v>
      </c>
      <c r="I1126" s="4">
        <v>7856806679</v>
      </c>
      <c r="J1126" s="6">
        <v>23.515899999999998</v>
      </c>
      <c r="K1126" s="6">
        <v>23.515899999999998</v>
      </c>
      <c r="L1126" s="6">
        <v>20.204899999999999</v>
      </c>
      <c r="M1126" s="4">
        <v>429655068</v>
      </c>
      <c r="N1126" s="4">
        <v>46492697</v>
      </c>
      <c r="O1126" s="4"/>
      <c r="P1126" s="6">
        <v>1.1890000000000001</v>
      </c>
      <c r="Q1126" s="6">
        <v>1.0109999999999999</v>
      </c>
      <c r="R1126" s="6">
        <v>2.3285</v>
      </c>
      <c r="S1126" s="6">
        <v>2.1213000000000002</v>
      </c>
      <c r="T1126" s="4"/>
      <c r="U1126" s="6">
        <v>0.57140000000000002</v>
      </c>
      <c r="V1126" s="6">
        <v>-0.95350000000000001</v>
      </c>
      <c r="W1126" s="6">
        <v>-0.95350000000000001</v>
      </c>
      <c r="X1126" s="6">
        <v>0</v>
      </c>
      <c r="Y1126" s="4"/>
      <c r="Z1126" s="6">
        <v>0</v>
      </c>
      <c r="AA1126" s="4"/>
      <c r="AB1126" s="4"/>
      <c r="AC1126" s="4"/>
      <c r="AD1126" s="6">
        <v>0</v>
      </c>
      <c r="AE1126" s="4"/>
      <c r="AF1126" s="4"/>
      <c r="AG1126" s="4"/>
      <c r="AH1126" s="4">
        <v>30000000000</v>
      </c>
    </row>
    <row r="1127" spans="1:34" x14ac:dyDescent="0.25">
      <c r="A1127" s="4">
        <v>1126</v>
      </c>
      <c r="B1127" s="5" t="s">
        <v>2381</v>
      </c>
      <c r="C1127" s="5" t="s">
        <v>2382</v>
      </c>
      <c r="D1127" s="5" t="s">
        <v>1586</v>
      </c>
      <c r="E1127" s="5" t="s">
        <v>29</v>
      </c>
      <c r="F1127" s="5" t="s">
        <v>30</v>
      </c>
      <c r="G1127" s="5" t="s">
        <v>83</v>
      </c>
      <c r="H1127" s="4"/>
      <c r="I1127" s="4"/>
      <c r="J1127" s="6"/>
      <c r="K1127" s="6"/>
      <c r="L1127" s="6"/>
      <c r="M1127" s="4"/>
      <c r="N1127" s="4"/>
      <c r="O1127" s="4"/>
      <c r="P1127" s="6"/>
      <c r="Q1127" s="6"/>
      <c r="R1127" s="6"/>
      <c r="S1127" s="6"/>
      <c r="T1127" s="4"/>
      <c r="U1127" s="6"/>
      <c r="V1127" s="6"/>
      <c r="W1127" s="6"/>
      <c r="X1127" s="6"/>
      <c r="Y1127" s="4"/>
      <c r="Z1127" s="6"/>
      <c r="AA1127" s="4"/>
      <c r="AB1127" s="4"/>
      <c r="AC1127" s="4"/>
      <c r="AD1127" s="6"/>
      <c r="AE1127" s="4"/>
      <c r="AF1127" s="4"/>
      <c r="AG1127" s="4"/>
      <c r="AH1127" s="4">
        <v>335559263600</v>
      </c>
    </row>
    <row r="1128" spans="1:34" x14ac:dyDescent="0.25">
      <c r="A1128" s="4">
        <v>1127</v>
      </c>
      <c r="B1128" s="5" t="s">
        <v>2383</v>
      </c>
      <c r="C1128" s="5" t="s">
        <v>2384</v>
      </c>
      <c r="D1128" s="5" t="s">
        <v>1586</v>
      </c>
      <c r="E1128" s="5" t="s">
        <v>24</v>
      </c>
      <c r="F1128" s="5" t="s">
        <v>56</v>
      </c>
      <c r="G1128" s="5" t="s">
        <v>291</v>
      </c>
      <c r="H1128" s="4"/>
      <c r="I1128" s="4"/>
      <c r="J1128" s="6"/>
      <c r="K1128" s="6"/>
      <c r="L1128" s="6"/>
      <c r="M1128" s="4"/>
      <c r="N1128" s="4"/>
      <c r="O1128" s="4"/>
      <c r="P1128" s="6"/>
      <c r="Q1128" s="6"/>
      <c r="R1128" s="6"/>
      <c r="S1128" s="6"/>
      <c r="T1128" s="4"/>
      <c r="U1128" s="6"/>
      <c r="V1128" s="6"/>
      <c r="W1128" s="6"/>
      <c r="X1128" s="6"/>
      <c r="Y1128" s="4"/>
      <c r="Z1128" s="6"/>
      <c r="AA1128" s="4"/>
      <c r="AB1128" s="4"/>
      <c r="AC1128" s="4"/>
      <c r="AD1128" s="6"/>
      <c r="AE1128" s="4"/>
      <c r="AF1128" s="4"/>
      <c r="AG1128" s="4"/>
      <c r="AH1128" s="4">
        <v>403200000000</v>
      </c>
    </row>
    <row r="1129" spans="1:34" x14ac:dyDescent="0.25">
      <c r="A1129" s="4">
        <v>1128</v>
      </c>
      <c r="B1129" s="5" t="s">
        <v>2385</v>
      </c>
      <c r="C1129" s="5" t="s">
        <v>2386</v>
      </c>
      <c r="D1129" s="5" t="s">
        <v>1586</v>
      </c>
      <c r="E1129" s="5" t="s">
        <v>40</v>
      </c>
      <c r="F1129" s="5" t="s">
        <v>52</v>
      </c>
      <c r="G1129" s="5" t="s">
        <v>110</v>
      </c>
      <c r="H1129" s="4"/>
      <c r="I1129" s="4"/>
      <c r="J1129" s="6"/>
      <c r="K1129" s="6"/>
      <c r="L1129" s="6"/>
      <c r="M1129" s="4"/>
      <c r="N1129" s="4"/>
      <c r="O1129" s="4"/>
      <c r="P1129" s="6"/>
      <c r="Q1129" s="6"/>
      <c r="R1129" s="6"/>
      <c r="S1129" s="6"/>
      <c r="T1129" s="4"/>
      <c r="U1129" s="6"/>
      <c r="V1129" s="6"/>
      <c r="W1129" s="6"/>
      <c r="X1129" s="6"/>
      <c r="Y1129" s="4"/>
      <c r="Z1129" s="6"/>
      <c r="AA1129" s="4"/>
      <c r="AB1129" s="4"/>
      <c r="AC1129" s="4"/>
      <c r="AD1129" s="6"/>
      <c r="AE1129" s="4"/>
      <c r="AF1129" s="4"/>
      <c r="AG1129" s="4"/>
      <c r="AH1129" s="4">
        <v>6796500000</v>
      </c>
    </row>
    <row r="1130" spans="1:34" x14ac:dyDescent="0.25">
      <c r="A1130" s="4">
        <v>1129</v>
      </c>
      <c r="B1130" s="5" t="s">
        <v>2387</v>
      </c>
      <c r="C1130" s="5" t="s">
        <v>2388</v>
      </c>
      <c r="D1130" s="5" t="s">
        <v>1586</v>
      </c>
      <c r="E1130" s="5" t="s">
        <v>24</v>
      </c>
      <c r="F1130" s="5" t="s">
        <v>56</v>
      </c>
      <c r="G1130" s="5" t="s">
        <v>291</v>
      </c>
      <c r="H1130" s="4">
        <v>28419710060</v>
      </c>
      <c r="I1130" s="4">
        <v>64441417947</v>
      </c>
      <c r="J1130" s="6">
        <v>0.41589999999999999</v>
      </c>
      <c r="K1130" s="6">
        <v>0.1094</v>
      </c>
      <c r="L1130" s="6">
        <v>6.1699999999999998E-2</v>
      </c>
      <c r="M1130" s="4">
        <v>-3887789624</v>
      </c>
      <c r="N1130" s="4">
        <v>-7774832279</v>
      </c>
      <c r="O1130" s="4"/>
      <c r="P1130" s="6">
        <v>0.19420000000000001</v>
      </c>
      <c r="Q1130" s="6">
        <v>0.16750000000000001</v>
      </c>
      <c r="R1130" s="6">
        <v>-3.5478000000000001</v>
      </c>
      <c r="S1130" s="6">
        <v>-2.0000000000000001E-4</v>
      </c>
      <c r="T1130" s="4"/>
      <c r="U1130" s="6">
        <v>0</v>
      </c>
      <c r="V1130" s="6">
        <v>0</v>
      </c>
      <c r="W1130" s="6">
        <v>0</v>
      </c>
      <c r="X1130" s="6">
        <v>0</v>
      </c>
      <c r="Y1130" s="4"/>
      <c r="Z1130" s="6">
        <v>-0.21099999999999999</v>
      </c>
      <c r="AA1130" s="4"/>
      <c r="AB1130" s="4"/>
      <c r="AC1130" s="4"/>
      <c r="AD1130" s="6">
        <v>0</v>
      </c>
      <c r="AE1130" s="4"/>
      <c r="AF1130" s="4"/>
      <c r="AG1130" s="4"/>
      <c r="AH1130" s="4">
        <v>49599000000</v>
      </c>
    </row>
    <row r="1131" spans="1:34" x14ac:dyDescent="0.25">
      <c r="A1131" s="4">
        <v>1130</v>
      </c>
      <c r="B1131" s="5" t="s">
        <v>2389</v>
      </c>
      <c r="C1131" s="5" t="s">
        <v>2390</v>
      </c>
      <c r="D1131" s="5" t="s">
        <v>1586</v>
      </c>
      <c r="E1131" s="5" t="s">
        <v>40</v>
      </c>
      <c r="F1131" s="5" t="s">
        <v>52</v>
      </c>
      <c r="G1131" s="5" t="s">
        <v>110</v>
      </c>
      <c r="H1131" s="4"/>
      <c r="I1131" s="4"/>
      <c r="J1131" s="6"/>
      <c r="K1131" s="6"/>
      <c r="L1131" s="6"/>
      <c r="M1131" s="4"/>
      <c r="N1131" s="4"/>
      <c r="O1131" s="4"/>
      <c r="P1131" s="6"/>
      <c r="Q1131" s="6"/>
      <c r="R1131" s="6"/>
      <c r="S1131" s="6"/>
      <c r="T1131" s="4"/>
      <c r="U1131" s="6"/>
      <c r="V1131" s="6"/>
      <c r="W1131" s="6"/>
      <c r="X1131" s="6"/>
      <c r="Y1131" s="4"/>
      <c r="Z1131" s="6"/>
      <c r="AA1131" s="4"/>
      <c r="AB1131" s="4"/>
      <c r="AC1131" s="4"/>
      <c r="AD1131" s="6"/>
      <c r="AE1131" s="4"/>
      <c r="AF1131" s="4"/>
      <c r="AG1131" s="4"/>
      <c r="AH1131" s="4">
        <v>30324919500</v>
      </c>
    </row>
    <row r="1132" spans="1:34" x14ac:dyDescent="0.25">
      <c r="A1132" s="4">
        <v>1131</v>
      </c>
      <c r="B1132" s="5" t="s">
        <v>2391</v>
      </c>
      <c r="C1132" s="5" t="s">
        <v>2392</v>
      </c>
      <c r="D1132" s="5" t="s">
        <v>1586</v>
      </c>
      <c r="E1132" s="5" t="s">
        <v>40</v>
      </c>
      <c r="F1132" s="5" t="s">
        <v>41</v>
      </c>
      <c r="G1132" s="5" t="s">
        <v>519</v>
      </c>
      <c r="H1132" s="4"/>
      <c r="I1132" s="4"/>
      <c r="J1132" s="6"/>
      <c r="K1132" s="6"/>
      <c r="L1132" s="6"/>
      <c r="M1132" s="4"/>
      <c r="N1132" s="4"/>
      <c r="O1132" s="4"/>
      <c r="P1132" s="6"/>
      <c r="Q1132" s="6"/>
      <c r="R1132" s="6"/>
      <c r="S1132" s="6"/>
      <c r="T1132" s="4"/>
      <c r="U1132" s="6"/>
      <c r="V1132" s="6"/>
      <c r="W1132" s="6"/>
      <c r="X1132" s="6"/>
      <c r="Y1132" s="4"/>
      <c r="Z1132" s="6"/>
      <c r="AA1132" s="4"/>
      <c r="AB1132" s="4"/>
      <c r="AC1132" s="4"/>
      <c r="AD1132" s="6"/>
      <c r="AE1132" s="4"/>
      <c r="AF1132" s="4"/>
      <c r="AG1132" s="4"/>
      <c r="AH1132" s="4">
        <v>5224248000</v>
      </c>
    </row>
    <row r="1133" spans="1:34" x14ac:dyDescent="0.25">
      <c r="A1133" s="4">
        <v>1132</v>
      </c>
      <c r="B1133" s="5" t="s">
        <v>2393</v>
      </c>
      <c r="C1133" s="5" t="s">
        <v>2394</v>
      </c>
      <c r="D1133" s="5" t="s">
        <v>1586</v>
      </c>
      <c r="E1133" s="5" t="s">
        <v>40</v>
      </c>
      <c r="F1133" s="5" t="s">
        <v>52</v>
      </c>
      <c r="G1133" s="5" t="s">
        <v>110</v>
      </c>
      <c r="H1133" s="4"/>
      <c r="I1133" s="4"/>
      <c r="J1133" s="6"/>
      <c r="K1133" s="6"/>
      <c r="L1133" s="6"/>
      <c r="M1133" s="4"/>
      <c r="N1133" s="4"/>
      <c r="O1133" s="4"/>
      <c r="P1133" s="6"/>
      <c r="Q1133" s="6"/>
      <c r="R1133" s="6"/>
      <c r="S1133" s="6"/>
      <c r="T1133" s="4"/>
      <c r="U1133" s="6"/>
      <c r="V1133" s="6"/>
      <c r="W1133" s="6"/>
      <c r="X1133" s="6"/>
      <c r="Y1133" s="4"/>
      <c r="Z1133" s="6"/>
      <c r="AA1133" s="4"/>
      <c r="AB1133" s="4"/>
      <c r="AC1133" s="4"/>
      <c r="AD1133" s="6"/>
      <c r="AE1133" s="4"/>
      <c r="AF1133" s="4"/>
      <c r="AG1133" s="4"/>
      <c r="AH1133" s="4">
        <v>7000000000</v>
      </c>
    </row>
    <row r="1134" spans="1:34" x14ac:dyDescent="0.25">
      <c r="A1134" s="4">
        <v>1133</v>
      </c>
      <c r="B1134" s="5" t="s">
        <v>2395</v>
      </c>
      <c r="C1134" s="5" t="s">
        <v>2396</v>
      </c>
      <c r="D1134" s="5" t="s">
        <v>1586</v>
      </c>
      <c r="E1134" s="5" t="s">
        <v>40</v>
      </c>
      <c r="F1134" s="5" t="s">
        <v>52</v>
      </c>
      <c r="G1134" s="5" t="s">
        <v>110</v>
      </c>
      <c r="H1134" s="4"/>
      <c r="I1134" s="4"/>
      <c r="J1134" s="6"/>
      <c r="K1134" s="6"/>
      <c r="L1134" s="6"/>
      <c r="M1134" s="4"/>
      <c r="N1134" s="4"/>
      <c r="O1134" s="4"/>
      <c r="P1134" s="6"/>
      <c r="Q1134" s="6"/>
      <c r="R1134" s="6"/>
      <c r="S1134" s="6"/>
      <c r="T1134" s="4"/>
      <c r="U1134" s="6"/>
      <c r="V1134" s="6"/>
      <c r="W1134" s="6"/>
      <c r="X1134" s="6"/>
      <c r="Y1134" s="4"/>
      <c r="Z1134" s="6"/>
      <c r="AA1134" s="4"/>
      <c r="AB1134" s="4"/>
      <c r="AC1134" s="4"/>
      <c r="AD1134" s="6"/>
      <c r="AE1134" s="4"/>
      <c r="AF1134" s="4"/>
      <c r="AG1134" s="4"/>
      <c r="AH1134" s="4">
        <v>9120000000</v>
      </c>
    </row>
    <row r="1135" spans="1:34" x14ac:dyDescent="0.25">
      <c r="A1135" s="4">
        <v>1134</v>
      </c>
      <c r="B1135" s="5" t="s">
        <v>2397</v>
      </c>
      <c r="C1135" s="5" t="s">
        <v>2398</v>
      </c>
      <c r="D1135" s="5" t="s">
        <v>1586</v>
      </c>
      <c r="E1135" s="5" t="s">
        <v>40</v>
      </c>
      <c r="F1135" s="5" t="s">
        <v>41</v>
      </c>
      <c r="G1135" s="5" t="s">
        <v>519</v>
      </c>
      <c r="H1135" s="4"/>
      <c r="I1135" s="4"/>
      <c r="J1135" s="6"/>
      <c r="K1135" s="6"/>
      <c r="L1135" s="6"/>
      <c r="M1135" s="4"/>
      <c r="N1135" s="4"/>
      <c r="O1135" s="4"/>
      <c r="P1135" s="6"/>
      <c r="Q1135" s="6"/>
      <c r="R1135" s="6"/>
      <c r="S1135" s="6"/>
      <c r="T1135" s="4"/>
      <c r="U1135" s="6"/>
      <c r="V1135" s="6"/>
      <c r="W1135" s="6"/>
      <c r="X1135" s="6"/>
      <c r="Y1135" s="4"/>
      <c r="Z1135" s="6"/>
      <c r="AA1135" s="4"/>
      <c r="AB1135" s="4"/>
      <c r="AC1135" s="4"/>
      <c r="AD1135" s="6"/>
      <c r="AE1135" s="4"/>
      <c r="AF1135" s="4"/>
      <c r="AG1135" s="4"/>
      <c r="AH1135" s="4">
        <v>9849060000</v>
      </c>
    </row>
    <row r="1136" spans="1:34" x14ac:dyDescent="0.25">
      <c r="A1136" s="4">
        <v>1135</v>
      </c>
      <c r="B1136" s="5" t="s">
        <v>2399</v>
      </c>
      <c r="C1136" s="5" t="s">
        <v>2400</v>
      </c>
      <c r="D1136" s="5" t="s">
        <v>1586</v>
      </c>
      <c r="E1136" s="5" t="s">
        <v>40</v>
      </c>
      <c r="F1136" s="5" t="s">
        <v>41</v>
      </c>
      <c r="G1136" s="5" t="s">
        <v>519</v>
      </c>
      <c r="H1136" s="4"/>
      <c r="I1136" s="4"/>
      <c r="J1136" s="6"/>
      <c r="K1136" s="6"/>
      <c r="L1136" s="6"/>
      <c r="M1136" s="4"/>
      <c r="N1136" s="4"/>
      <c r="O1136" s="4"/>
      <c r="P1136" s="6"/>
      <c r="Q1136" s="6"/>
      <c r="R1136" s="6"/>
      <c r="S1136" s="6"/>
      <c r="T1136" s="4"/>
      <c r="U1136" s="6"/>
      <c r="V1136" s="6"/>
      <c r="W1136" s="6"/>
      <c r="X1136" s="6"/>
      <c r="Y1136" s="4"/>
      <c r="Z1136" s="6"/>
      <c r="AA1136" s="4"/>
      <c r="AB1136" s="4"/>
      <c r="AC1136" s="4"/>
      <c r="AD1136" s="6"/>
      <c r="AE1136" s="4"/>
      <c r="AF1136" s="4"/>
      <c r="AG1136" s="4"/>
      <c r="AH1136" s="4">
        <v>24064904700</v>
      </c>
    </row>
    <row r="1137" spans="1:34" x14ac:dyDescent="0.25">
      <c r="A1137" s="4">
        <v>1136</v>
      </c>
      <c r="B1137" s="5" t="s">
        <v>2401</v>
      </c>
      <c r="C1137" s="5" t="s">
        <v>2402</v>
      </c>
      <c r="D1137" s="5" t="s">
        <v>1586</v>
      </c>
      <c r="E1137" s="5" t="s">
        <v>40</v>
      </c>
      <c r="F1137" s="5" t="s">
        <v>41</v>
      </c>
      <c r="G1137" s="5" t="s">
        <v>519</v>
      </c>
      <c r="H1137" s="4"/>
      <c r="I1137" s="4"/>
      <c r="J1137" s="6"/>
      <c r="K1137" s="6"/>
      <c r="L1137" s="6"/>
      <c r="M1137" s="4"/>
      <c r="N1137" s="4"/>
      <c r="O1137" s="4"/>
      <c r="P1137" s="6"/>
      <c r="Q1137" s="6"/>
      <c r="R1137" s="6"/>
      <c r="S1137" s="6"/>
      <c r="T1137" s="4"/>
      <c r="U1137" s="6"/>
      <c r="V1137" s="6"/>
      <c r="W1137" s="6"/>
      <c r="X1137" s="6"/>
      <c r="Y1137" s="4"/>
      <c r="Z1137" s="6"/>
      <c r="AA1137" s="4"/>
      <c r="AB1137" s="4"/>
      <c r="AC1137" s="4"/>
      <c r="AD1137" s="6"/>
      <c r="AE1137" s="4"/>
      <c r="AF1137" s="4"/>
      <c r="AG1137" s="4"/>
      <c r="AH1137" s="4">
        <v>82793610000</v>
      </c>
    </row>
    <row r="1138" spans="1:34" x14ac:dyDescent="0.25">
      <c r="A1138" s="4">
        <v>1137</v>
      </c>
      <c r="B1138" s="5" t="s">
        <v>2403</v>
      </c>
      <c r="C1138" s="5" t="s">
        <v>2404</v>
      </c>
      <c r="D1138" s="5" t="s">
        <v>1586</v>
      </c>
      <c r="E1138" s="5" t="s">
        <v>40</v>
      </c>
      <c r="F1138" s="5" t="s">
        <v>52</v>
      </c>
      <c r="G1138" s="5" t="s">
        <v>110</v>
      </c>
      <c r="H1138" s="4">
        <v>45152282887</v>
      </c>
      <c r="I1138" s="4">
        <v>84044878436</v>
      </c>
      <c r="J1138" s="6">
        <v>-0.42659999999999998</v>
      </c>
      <c r="K1138" s="6">
        <v>-0.34949999999999998</v>
      </c>
      <c r="L1138" s="6">
        <v>-0.58479999999999999</v>
      </c>
      <c r="M1138" s="4">
        <v>1927160082</v>
      </c>
      <c r="N1138" s="4">
        <v>4981639661</v>
      </c>
      <c r="O1138" s="4"/>
      <c r="P1138" s="6">
        <v>-0.89559999999999995</v>
      </c>
      <c r="Q1138" s="6">
        <v>-0.82489999999999997</v>
      </c>
      <c r="R1138" s="6">
        <v>-0.98229999999999995</v>
      </c>
      <c r="S1138" s="6">
        <v>-0.3674</v>
      </c>
      <c r="T1138" s="4"/>
      <c r="U1138" s="6">
        <v>-0.6714</v>
      </c>
      <c r="V1138" s="6">
        <v>-0.71660000000000001</v>
      </c>
      <c r="W1138" s="6">
        <v>-0.71660000000000001</v>
      </c>
      <c r="X1138" s="6">
        <v>0</v>
      </c>
      <c r="Y1138" s="4"/>
      <c r="Z1138" s="6">
        <v>0.16089999999999999</v>
      </c>
      <c r="AA1138" s="4"/>
      <c r="AB1138" s="4"/>
      <c r="AC1138" s="4"/>
      <c r="AD1138" s="6">
        <v>0</v>
      </c>
      <c r="AE1138" s="4"/>
      <c r="AF1138" s="4"/>
      <c r="AG1138" s="4"/>
      <c r="AH1138" s="4">
        <v>283668158592</v>
      </c>
    </row>
    <row r="1139" spans="1:34" x14ac:dyDescent="0.25">
      <c r="A1139" s="4">
        <v>1138</v>
      </c>
      <c r="B1139" s="5" t="s">
        <v>2405</v>
      </c>
      <c r="C1139" s="5" t="s">
        <v>2406</v>
      </c>
      <c r="D1139" s="5" t="s">
        <v>1586</v>
      </c>
      <c r="E1139" s="5" t="s">
        <v>98</v>
      </c>
      <c r="F1139" s="5" t="s">
        <v>99</v>
      </c>
      <c r="G1139" s="5" t="s">
        <v>155</v>
      </c>
      <c r="H1139" s="4">
        <v>108199397224</v>
      </c>
      <c r="I1139" s="4">
        <v>206359348065</v>
      </c>
      <c r="J1139" s="6">
        <v>0.1384</v>
      </c>
      <c r="K1139" s="6">
        <v>0.1358</v>
      </c>
      <c r="L1139" s="6">
        <v>0.1202</v>
      </c>
      <c r="M1139" s="4">
        <v>13267076504</v>
      </c>
      <c r="N1139" s="4">
        <v>21908442217</v>
      </c>
      <c r="O1139" s="4"/>
      <c r="P1139" s="6">
        <v>-0.1993</v>
      </c>
      <c r="Q1139" s="6">
        <v>-1.2500000000000001E-2</v>
      </c>
      <c r="R1139" s="6">
        <v>-0.19089999999999999</v>
      </c>
      <c r="S1139" s="6">
        <v>0.53620000000000001</v>
      </c>
      <c r="T1139" s="4"/>
      <c r="U1139" s="6">
        <v>-0.43459999999999999</v>
      </c>
      <c r="V1139" s="6">
        <v>-0.37759999999999999</v>
      </c>
      <c r="W1139" s="6">
        <v>-0.22220000000000001</v>
      </c>
      <c r="X1139" s="6">
        <v>0</v>
      </c>
      <c r="Y1139" s="4"/>
      <c r="Z1139" s="6">
        <v>0.1023</v>
      </c>
      <c r="AA1139" s="4"/>
      <c r="AB1139" s="4"/>
      <c r="AC1139" s="4"/>
      <c r="AD1139" s="6">
        <v>0</v>
      </c>
      <c r="AE1139" s="4"/>
      <c r="AF1139" s="4"/>
      <c r="AG1139" s="4"/>
      <c r="AH1139" s="4">
        <v>302560000000</v>
      </c>
    </row>
    <row r="1140" spans="1:34" x14ac:dyDescent="0.25">
      <c r="A1140" s="4">
        <v>1139</v>
      </c>
      <c r="B1140" s="5" t="s">
        <v>2407</v>
      </c>
      <c r="C1140" s="5" t="s">
        <v>2408</v>
      </c>
      <c r="D1140" s="5" t="s">
        <v>1586</v>
      </c>
      <c r="E1140" s="5" t="s">
        <v>24</v>
      </c>
      <c r="F1140" s="5" t="s">
        <v>56</v>
      </c>
      <c r="G1140" s="5" t="s">
        <v>129</v>
      </c>
      <c r="H1140" s="4"/>
      <c r="I1140" s="4"/>
      <c r="J1140" s="6"/>
      <c r="K1140" s="6"/>
      <c r="L1140" s="6"/>
      <c r="M1140" s="4"/>
      <c r="N1140" s="4"/>
      <c r="O1140" s="4"/>
      <c r="P1140" s="6"/>
      <c r="Q1140" s="6"/>
      <c r="R1140" s="6"/>
      <c r="S1140" s="6"/>
      <c r="T1140" s="4"/>
      <c r="U1140" s="6"/>
      <c r="V1140" s="6"/>
      <c r="W1140" s="6"/>
      <c r="X1140" s="6"/>
      <c r="Y1140" s="4"/>
      <c r="Z1140" s="6"/>
      <c r="AA1140" s="4"/>
      <c r="AB1140" s="4"/>
      <c r="AC1140" s="4"/>
      <c r="AD1140" s="6"/>
      <c r="AE1140" s="4"/>
      <c r="AF1140" s="4"/>
      <c r="AG1140" s="4"/>
      <c r="AH1140" s="4">
        <v>17242966300</v>
      </c>
    </row>
    <row r="1141" spans="1:34" x14ac:dyDescent="0.25">
      <c r="A1141" s="4">
        <v>1140</v>
      </c>
      <c r="B1141" s="5" t="s">
        <v>2409</v>
      </c>
      <c r="C1141" s="5" t="s">
        <v>2410</v>
      </c>
      <c r="D1141" s="5" t="s">
        <v>1586</v>
      </c>
      <c r="E1141" s="5" t="s">
        <v>98</v>
      </c>
      <c r="F1141" s="5" t="s">
        <v>99</v>
      </c>
      <c r="G1141" s="5" t="s">
        <v>155</v>
      </c>
      <c r="H1141" s="4">
        <v>81438315337</v>
      </c>
      <c r="I1141" s="4">
        <v>163161163393</v>
      </c>
      <c r="J1141" s="6">
        <v>3.5999999999999999E-3</v>
      </c>
      <c r="K1141" s="6">
        <v>8.9999999999999993E-3</v>
      </c>
      <c r="L1141" s="6">
        <v>6.6E-3</v>
      </c>
      <c r="M1141" s="4">
        <v>18537914693</v>
      </c>
      <c r="N1141" s="4">
        <v>39929244271</v>
      </c>
      <c r="O1141" s="4"/>
      <c r="P1141" s="6">
        <v>-6.5199999999999994E-2</v>
      </c>
      <c r="Q1141" s="6">
        <v>-4.3799999999999999E-2</v>
      </c>
      <c r="R1141" s="6">
        <v>-0.16189999999999999</v>
      </c>
      <c r="S1141" s="6">
        <v>-0.13339999999999999</v>
      </c>
      <c r="T1141" s="4"/>
      <c r="U1141" s="6">
        <v>-0.54920000000000002</v>
      </c>
      <c r="V1141" s="6">
        <v>-0.45440000000000003</v>
      </c>
      <c r="W1141" s="6">
        <v>-0.45590000000000003</v>
      </c>
      <c r="X1141" s="6">
        <v>0</v>
      </c>
      <c r="Y1141" s="4"/>
      <c r="Z1141" s="6">
        <v>-3.5000000000000001E-3</v>
      </c>
      <c r="AA1141" s="4"/>
      <c r="AB1141" s="4"/>
      <c r="AC1141" s="4"/>
      <c r="AD1141" s="6">
        <v>0</v>
      </c>
      <c r="AE1141" s="4"/>
      <c r="AF1141" s="4"/>
      <c r="AG1141" s="4"/>
      <c r="AH1141" s="4">
        <v>2159120000000</v>
      </c>
    </row>
    <row r="1142" spans="1:34" x14ac:dyDescent="0.25">
      <c r="A1142" s="4">
        <v>1141</v>
      </c>
      <c r="B1142" s="5" t="s">
        <v>2411</v>
      </c>
      <c r="C1142" s="5" t="s">
        <v>2412</v>
      </c>
      <c r="D1142" s="5" t="s">
        <v>1586</v>
      </c>
      <c r="E1142" s="5" t="s">
        <v>75</v>
      </c>
      <c r="F1142" s="5" t="s">
        <v>76</v>
      </c>
      <c r="G1142" s="5" t="s">
        <v>76</v>
      </c>
      <c r="H1142" s="4"/>
      <c r="I1142" s="4"/>
      <c r="J1142" s="6"/>
      <c r="K1142" s="6"/>
      <c r="L1142" s="6"/>
      <c r="M1142" s="4"/>
      <c r="N1142" s="4"/>
      <c r="O1142" s="4"/>
      <c r="P1142" s="6"/>
      <c r="Q1142" s="6"/>
      <c r="R1142" s="6"/>
      <c r="S1142" s="6"/>
      <c r="T1142" s="4"/>
      <c r="U1142" s="6"/>
      <c r="V1142" s="6"/>
      <c r="W1142" s="6"/>
      <c r="X1142" s="6"/>
      <c r="Y1142" s="4"/>
      <c r="Z1142" s="6"/>
      <c r="AA1142" s="4"/>
      <c r="AB1142" s="4"/>
      <c r="AC1142" s="4"/>
      <c r="AD1142" s="6"/>
      <c r="AE1142" s="4"/>
      <c r="AF1142" s="4"/>
      <c r="AG1142" s="4"/>
      <c r="AH1142" s="4">
        <v>117450000000</v>
      </c>
    </row>
    <row r="1143" spans="1:34" x14ac:dyDescent="0.25">
      <c r="A1143" s="4">
        <v>1142</v>
      </c>
      <c r="B1143" s="5" t="s">
        <v>2413</v>
      </c>
      <c r="C1143" s="5" t="s">
        <v>2414</v>
      </c>
      <c r="D1143" s="5" t="s">
        <v>1586</v>
      </c>
      <c r="E1143" s="5" t="s">
        <v>40</v>
      </c>
      <c r="F1143" s="5" t="s">
        <v>52</v>
      </c>
      <c r="G1143" s="5" t="s">
        <v>110</v>
      </c>
      <c r="H1143" s="4"/>
      <c r="I1143" s="4"/>
      <c r="J1143" s="6"/>
      <c r="K1143" s="6"/>
      <c r="L1143" s="6"/>
      <c r="M1143" s="4"/>
      <c r="N1143" s="4"/>
      <c r="O1143" s="4"/>
      <c r="P1143" s="6"/>
      <c r="Q1143" s="6"/>
      <c r="R1143" s="6"/>
      <c r="S1143" s="6"/>
      <c r="T1143" s="4"/>
      <c r="U1143" s="6"/>
      <c r="V1143" s="6"/>
      <c r="W1143" s="6"/>
      <c r="X1143" s="6"/>
      <c r="Y1143" s="4"/>
      <c r="Z1143" s="6"/>
      <c r="AA1143" s="4"/>
      <c r="AB1143" s="4"/>
      <c r="AC1143" s="4"/>
      <c r="AD1143" s="6"/>
      <c r="AE1143" s="4"/>
      <c r="AF1143" s="4"/>
      <c r="AG1143" s="4"/>
      <c r="AH1143" s="4">
        <v>16587780000</v>
      </c>
    </row>
    <row r="1144" spans="1:34" x14ac:dyDescent="0.25">
      <c r="A1144" s="4">
        <v>1143</v>
      </c>
      <c r="B1144" s="5" t="s">
        <v>2415</v>
      </c>
      <c r="C1144" s="5" t="s">
        <v>2416</v>
      </c>
      <c r="D1144" s="5" t="s">
        <v>1586</v>
      </c>
      <c r="E1144" s="5" t="s">
        <v>40</v>
      </c>
      <c r="F1144" s="5" t="s">
        <v>52</v>
      </c>
      <c r="G1144" s="5" t="s">
        <v>53</v>
      </c>
      <c r="H1144" s="4"/>
      <c r="I1144" s="4"/>
      <c r="J1144" s="6"/>
      <c r="K1144" s="6"/>
      <c r="L1144" s="6"/>
      <c r="M1144" s="4"/>
      <c r="N1144" s="4"/>
      <c r="O1144" s="4"/>
      <c r="P1144" s="6"/>
      <c r="Q1144" s="6"/>
      <c r="R1144" s="6"/>
      <c r="S1144" s="6"/>
      <c r="T1144" s="4"/>
      <c r="U1144" s="6"/>
      <c r="V1144" s="6"/>
      <c r="W1144" s="6"/>
      <c r="X1144" s="6"/>
      <c r="Y1144" s="4"/>
      <c r="Z1144" s="6"/>
      <c r="AA1144" s="4"/>
      <c r="AB1144" s="4"/>
      <c r="AC1144" s="4"/>
      <c r="AD1144" s="6"/>
      <c r="AE1144" s="4"/>
      <c r="AF1144" s="4"/>
      <c r="AG1144" s="4"/>
      <c r="AH1144" s="4">
        <v>2610000000000</v>
      </c>
    </row>
    <row r="1145" spans="1:34" x14ac:dyDescent="0.25">
      <c r="A1145" s="4">
        <v>1144</v>
      </c>
      <c r="B1145" s="5" t="s">
        <v>2417</v>
      </c>
      <c r="C1145" s="5" t="s">
        <v>2418</v>
      </c>
      <c r="D1145" s="5" t="s">
        <v>1586</v>
      </c>
      <c r="E1145" s="5" t="s">
        <v>98</v>
      </c>
      <c r="F1145" s="5" t="s">
        <v>99</v>
      </c>
      <c r="G1145" s="5" t="s">
        <v>155</v>
      </c>
      <c r="H1145" s="4"/>
      <c r="I1145" s="4"/>
      <c r="J1145" s="6"/>
      <c r="K1145" s="6"/>
      <c r="L1145" s="6"/>
      <c r="M1145" s="4"/>
      <c r="N1145" s="4"/>
      <c r="O1145" s="4"/>
      <c r="P1145" s="6"/>
      <c r="Q1145" s="6"/>
      <c r="R1145" s="6"/>
      <c r="S1145" s="6"/>
      <c r="T1145" s="4"/>
      <c r="U1145" s="6"/>
      <c r="V1145" s="6"/>
      <c r="W1145" s="6"/>
      <c r="X1145" s="6"/>
      <c r="Y1145" s="4"/>
      <c r="Z1145" s="6"/>
      <c r="AA1145" s="4"/>
      <c r="AB1145" s="4"/>
      <c r="AC1145" s="4"/>
      <c r="AD1145" s="6"/>
      <c r="AE1145" s="4"/>
      <c r="AF1145" s="4"/>
      <c r="AG1145" s="4"/>
      <c r="AH1145" s="4">
        <v>87500000000</v>
      </c>
    </row>
    <row r="1146" spans="1:34" x14ac:dyDescent="0.25">
      <c r="A1146" s="4">
        <v>1145</v>
      </c>
      <c r="B1146" s="5" t="s">
        <v>2419</v>
      </c>
      <c r="C1146" s="5" t="s">
        <v>2420</v>
      </c>
      <c r="D1146" s="5" t="s">
        <v>1586</v>
      </c>
      <c r="E1146" s="5" t="s">
        <v>40</v>
      </c>
      <c r="F1146" s="5" t="s">
        <v>41</v>
      </c>
      <c r="G1146" s="5" t="s">
        <v>519</v>
      </c>
      <c r="H1146" s="4"/>
      <c r="I1146" s="4"/>
      <c r="J1146" s="6"/>
      <c r="K1146" s="6"/>
      <c r="L1146" s="6"/>
      <c r="M1146" s="4"/>
      <c r="N1146" s="4"/>
      <c r="O1146" s="4"/>
      <c r="P1146" s="6"/>
      <c r="Q1146" s="6"/>
      <c r="R1146" s="6"/>
      <c r="S1146" s="6"/>
      <c r="T1146" s="4"/>
      <c r="U1146" s="6"/>
      <c r="V1146" s="6"/>
      <c r="W1146" s="6"/>
      <c r="X1146" s="6"/>
      <c r="Y1146" s="4"/>
      <c r="Z1146" s="6"/>
      <c r="AA1146" s="4"/>
      <c r="AB1146" s="4"/>
      <c r="AC1146" s="4"/>
      <c r="AD1146" s="6"/>
      <c r="AE1146" s="4"/>
      <c r="AF1146" s="4"/>
      <c r="AG1146" s="4"/>
      <c r="AH1146" s="4">
        <v>1506345008976</v>
      </c>
    </row>
    <row r="1147" spans="1:34" x14ac:dyDescent="0.25">
      <c r="A1147" s="4">
        <v>1146</v>
      </c>
      <c r="B1147" s="5" t="s">
        <v>2421</v>
      </c>
      <c r="C1147" s="5" t="s">
        <v>2422</v>
      </c>
      <c r="D1147" s="5" t="s">
        <v>1586</v>
      </c>
      <c r="E1147" s="5" t="s">
        <v>40</v>
      </c>
      <c r="F1147" s="5" t="s">
        <v>52</v>
      </c>
      <c r="G1147" s="5" t="s">
        <v>110</v>
      </c>
      <c r="H1147" s="4"/>
      <c r="I1147" s="4"/>
      <c r="J1147" s="6"/>
      <c r="K1147" s="6"/>
      <c r="L1147" s="6"/>
      <c r="M1147" s="4"/>
      <c r="N1147" s="4"/>
      <c r="O1147" s="4"/>
      <c r="P1147" s="6"/>
      <c r="Q1147" s="6"/>
      <c r="R1147" s="6"/>
      <c r="S1147" s="6"/>
      <c r="T1147" s="4"/>
      <c r="U1147" s="6"/>
      <c r="V1147" s="6"/>
      <c r="W1147" s="6"/>
      <c r="X1147" s="6"/>
      <c r="Y1147" s="4"/>
      <c r="Z1147" s="6"/>
      <c r="AA1147" s="4"/>
      <c r="AB1147" s="4"/>
      <c r="AC1147" s="4"/>
      <c r="AD1147" s="6"/>
      <c r="AE1147" s="4"/>
      <c r="AF1147" s="4"/>
      <c r="AG1147" s="4"/>
      <c r="AH1147" s="4">
        <v>8240000000</v>
      </c>
    </row>
    <row r="1148" spans="1:34" x14ac:dyDescent="0.25">
      <c r="A1148" s="4">
        <v>1147</v>
      </c>
      <c r="B1148" s="5" t="s">
        <v>2423</v>
      </c>
      <c r="C1148" s="5" t="s">
        <v>2424</v>
      </c>
      <c r="D1148" s="5" t="s">
        <v>1586</v>
      </c>
      <c r="E1148" s="5" t="s">
        <v>40</v>
      </c>
      <c r="F1148" s="5" t="s">
        <v>41</v>
      </c>
      <c r="G1148" s="5" t="s">
        <v>519</v>
      </c>
      <c r="H1148" s="4"/>
      <c r="I1148" s="4"/>
      <c r="J1148" s="6"/>
      <c r="K1148" s="6"/>
      <c r="L1148" s="6"/>
      <c r="M1148" s="4"/>
      <c r="N1148" s="4"/>
      <c r="O1148" s="4"/>
      <c r="P1148" s="6"/>
      <c r="Q1148" s="6"/>
      <c r="R1148" s="6"/>
      <c r="S1148" s="6"/>
      <c r="T1148" s="4"/>
      <c r="U1148" s="6"/>
      <c r="V1148" s="6"/>
      <c r="W1148" s="6"/>
      <c r="X1148" s="6"/>
      <c r="Y1148" s="4"/>
      <c r="Z1148" s="6"/>
      <c r="AA1148" s="4"/>
      <c r="AB1148" s="4"/>
      <c r="AC1148" s="4"/>
      <c r="AD1148" s="6"/>
      <c r="AE1148" s="4"/>
      <c r="AF1148" s="4"/>
      <c r="AG1148" s="4"/>
      <c r="AH1148" s="4">
        <v>8500000000</v>
      </c>
    </row>
    <row r="1149" spans="1:34" x14ac:dyDescent="0.25">
      <c r="A1149" s="4">
        <v>1148</v>
      </c>
      <c r="B1149" s="5" t="s">
        <v>2425</v>
      </c>
      <c r="C1149" s="5" t="s">
        <v>2426</v>
      </c>
      <c r="D1149" s="5" t="s">
        <v>1586</v>
      </c>
      <c r="E1149" s="5" t="s">
        <v>24</v>
      </c>
      <c r="F1149" s="5" t="s">
        <v>56</v>
      </c>
      <c r="G1149" s="5" t="s">
        <v>129</v>
      </c>
      <c r="H1149" s="4"/>
      <c r="I1149" s="4"/>
      <c r="J1149" s="6"/>
      <c r="K1149" s="6"/>
      <c r="L1149" s="6"/>
      <c r="M1149" s="4"/>
      <c r="N1149" s="4"/>
      <c r="O1149" s="4"/>
      <c r="P1149" s="6"/>
      <c r="Q1149" s="6"/>
      <c r="R1149" s="6"/>
      <c r="S1149" s="6"/>
      <c r="T1149" s="4"/>
      <c r="U1149" s="6"/>
      <c r="V1149" s="6"/>
      <c r="W1149" s="6"/>
      <c r="X1149" s="6"/>
      <c r="Y1149" s="4"/>
      <c r="Z1149" s="6"/>
      <c r="AA1149" s="4"/>
      <c r="AB1149" s="4"/>
      <c r="AC1149" s="4"/>
      <c r="AD1149" s="6"/>
      <c r="AE1149" s="4"/>
      <c r="AF1149" s="4"/>
      <c r="AG1149" s="4"/>
      <c r="AH1149" s="4">
        <v>6931500000</v>
      </c>
    </row>
    <row r="1150" spans="1:34" x14ac:dyDescent="0.25">
      <c r="A1150" s="4">
        <v>1149</v>
      </c>
      <c r="B1150" s="5" t="s">
        <v>2427</v>
      </c>
      <c r="C1150" s="5" t="s">
        <v>2428</v>
      </c>
      <c r="D1150" s="5" t="s">
        <v>1586</v>
      </c>
      <c r="E1150" s="5" t="s">
        <v>75</v>
      </c>
      <c r="F1150" s="5" t="s">
        <v>76</v>
      </c>
      <c r="G1150" s="5" t="s">
        <v>76</v>
      </c>
      <c r="H1150" s="4"/>
      <c r="I1150" s="4"/>
      <c r="J1150" s="6"/>
      <c r="K1150" s="6"/>
      <c r="L1150" s="6"/>
      <c r="M1150" s="4"/>
      <c r="N1150" s="4"/>
      <c r="O1150" s="4"/>
      <c r="P1150" s="6"/>
      <c r="Q1150" s="6"/>
      <c r="R1150" s="6"/>
      <c r="S1150" s="6"/>
      <c r="T1150" s="4"/>
      <c r="U1150" s="6"/>
      <c r="V1150" s="6"/>
      <c r="W1150" s="6"/>
      <c r="X1150" s="6"/>
      <c r="Y1150" s="4"/>
      <c r="Z1150" s="6"/>
      <c r="AA1150" s="4"/>
      <c r="AB1150" s="4"/>
      <c r="AC1150" s="4"/>
      <c r="AD1150" s="6"/>
      <c r="AE1150" s="4"/>
      <c r="AF1150" s="4"/>
      <c r="AG1150" s="4"/>
      <c r="AH1150" s="4">
        <v>25629995000</v>
      </c>
    </row>
    <row r="1151" spans="1:34" x14ac:dyDescent="0.25">
      <c r="A1151" s="4">
        <v>1150</v>
      </c>
      <c r="B1151" s="5" t="s">
        <v>2429</v>
      </c>
      <c r="C1151" s="5" t="s">
        <v>2430</v>
      </c>
      <c r="D1151" s="5" t="s">
        <v>1586</v>
      </c>
      <c r="E1151" s="5" t="s">
        <v>40</v>
      </c>
      <c r="F1151" s="5" t="s">
        <v>41</v>
      </c>
      <c r="G1151" s="5" t="s">
        <v>519</v>
      </c>
      <c r="H1151" s="4"/>
      <c r="I1151" s="4"/>
      <c r="J1151" s="6"/>
      <c r="K1151" s="6"/>
      <c r="L1151" s="6"/>
      <c r="M1151" s="4"/>
      <c r="N1151" s="4"/>
      <c r="O1151" s="4"/>
      <c r="P1151" s="6"/>
      <c r="Q1151" s="6"/>
      <c r="R1151" s="6"/>
      <c r="S1151" s="6"/>
      <c r="T1151" s="4"/>
      <c r="U1151" s="6"/>
      <c r="V1151" s="6"/>
      <c r="W1151" s="6"/>
      <c r="X1151" s="6"/>
      <c r="Y1151" s="4"/>
      <c r="Z1151" s="6"/>
      <c r="AA1151" s="4"/>
      <c r="AB1151" s="4"/>
      <c r="AC1151" s="4"/>
      <c r="AD1151" s="6"/>
      <c r="AE1151" s="4"/>
      <c r="AF1151" s="4"/>
      <c r="AG1151" s="4"/>
      <c r="AH1151" s="4">
        <v>44231000000</v>
      </c>
    </row>
    <row r="1152" spans="1:34" x14ac:dyDescent="0.25">
      <c r="A1152" s="4">
        <v>1151</v>
      </c>
      <c r="B1152" s="5" t="s">
        <v>2431</v>
      </c>
      <c r="C1152" s="5" t="s">
        <v>2432</v>
      </c>
      <c r="D1152" s="5" t="s">
        <v>1586</v>
      </c>
      <c r="E1152" s="5" t="s">
        <v>24</v>
      </c>
      <c r="F1152" s="5" t="s">
        <v>25</v>
      </c>
      <c r="G1152" s="5" t="s">
        <v>26</v>
      </c>
      <c r="H1152" s="4"/>
      <c r="I1152" s="4"/>
      <c r="J1152" s="6"/>
      <c r="K1152" s="6"/>
      <c r="L1152" s="6"/>
      <c r="M1152" s="4"/>
      <c r="N1152" s="4"/>
      <c r="O1152" s="4"/>
      <c r="P1152" s="6"/>
      <c r="Q1152" s="6"/>
      <c r="R1152" s="6"/>
      <c r="S1152" s="6"/>
      <c r="T1152" s="4"/>
      <c r="U1152" s="6"/>
      <c r="V1152" s="6"/>
      <c r="W1152" s="6"/>
      <c r="X1152" s="6"/>
      <c r="Y1152" s="4"/>
      <c r="Z1152" s="6"/>
      <c r="AA1152" s="4"/>
      <c r="AB1152" s="4"/>
      <c r="AC1152" s="4"/>
      <c r="AD1152" s="6"/>
      <c r="AE1152" s="4"/>
      <c r="AF1152" s="4"/>
      <c r="AG1152" s="4"/>
      <c r="AH1152" s="4">
        <v>42796348400</v>
      </c>
    </row>
    <row r="1153" spans="1:34" x14ac:dyDescent="0.25">
      <c r="A1153" s="4">
        <v>1152</v>
      </c>
      <c r="B1153" s="5" t="s">
        <v>2433</v>
      </c>
      <c r="C1153" s="5" t="s">
        <v>2434</v>
      </c>
      <c r="D1153" s="5" t="s">
        <v>1586</v>
      </c>
      <c r="E1153" s="5" t="s">
        <v>40</v>
      </c>
      <c r="F1153" s="5" t="s">
        <v>41</v>
      </c>
      <c r="G1153" s="5" t="s">
        <v>519</v>
      </c>
      <c r="H1153" s="4"/>
      <c r="I1153" s="4"/>
      <c r="J1153" s="6"/>
      <c r="K1153" s="6"/>
      <c r="L1153" s="6"/>
      <c r="M1153" s="4"/>
      <c r="N1153" s="4"/>
      <c r="O1153" s="4"/>
      <c r="P1153" s="6"/>
      <c r="Q1153" s="6"/>
      <c r="R1153" s="6"/>
      <c r="S1153" s="6"/>
      <c r="T1153" s="4"/>
      <c r="U1153" s="6"/>
      <c r="V1153" s="6"/>
      <c r="W1153" s="6"/>
      <c r="X1153" s="6"/>
      <c r="Y1153" s="4"/>
      <c r="Z1153" s="6"/>
      <c r="AA1153" s="4"/>
      <c r="AB1153" s="4"/>
      <c r="AC1153" s="4"/>
      <c r="AD1153" s="6"/>
      <c r="AE1153" s="4"/>
      <c r="AF1153" s="4"/>
      <c r="AG1153" s="4"/>
      <c r="AH1153" s="4">
        <v>2059916400</v>
      </c>
    </row>
    <row r="1154" spans="1:34" x14ac:dyDescent="0.25">
      <c r="A1154" s="4">
        <v>1153</v>
      </c>
      <c r="B1154" s="5" t="s">
        <v>2435</v>
      </c>
      <c r="C1154" s="5" t="s">
        <v>2436</v>
      </c>
      <c r="D1154" s="5" t="s">
        <v>1586</v>
      </c>
      <c r="E1154" s="5" t="s">
        <v>40</v>
      </c>
      <c r="F1154" s="5" t="s">
        <v>41</v>
      </c>
      <c r="G1154" s="5" t="s">
        <v>1025</v>
      </c>
      <c r="H1154" s="4"/>
      <c r="I1154" s="4"/>
      <c r="J1154" s="6"/>
      <c r="K1154" s="6"/>
      <c r="L1154" s="6"/>
      <c r="M1154" s="4"/>
      <c r="N1154" s="4"/>
      <c r="O1154" s="4"/>
      <c r="P1154" s="6"/>
      <c r="Q1154" s="6"/>
      <c r="R1154" s="6"/>
      <c r="S1154" s="6"/>
      <c r="T1154" s="4"/>
      <c r="U1154" s="6"/>
      <c r="V1154" s="6"/>
      <c r="W1154" s="6"/>
      <c r="X1154" s="6"/>
      <c r="Y1154" s="4"/>
      <c r="Z1154" s="6"/>
      <c r="AA1154" s="4"/>
      <c r="AB1154" s="4"/>
      <c r="AC1154" s="4"/>
      <c r="AD1154" s="6"/>
      <c r="AE1154" s="4"/>
      <c r="AF1154" s="4"/>
      <c r="AG1154" s="4"/>
      <c r="AH1154" s="4">
        <v>89316000000</v>
      </c>
    </row>
    <row r="1155" spans="1:34" x14ac:dyDescent="0.25">
      <c r="A1155" s="4">
        <v>1154</v>
      </c>
      <c r="B1155" s="5" t="s">
        <v>2437</v>
      </c>
      <c r="C1155" s="5" t="s">
        <v>2438</v>
      </c>
      <c r="D1155" s="5" t="s">
        <v>1586</v>
      </c>
      <c r="E1155" s="5" t="s">
        <v>40</v>
      </c>
      <c r="F1155" s="5" t="s">
        <v>52</v>
      </c>
      <c r="G1155" s="5" t="s">
        <v>110</v>
      </c>
      <c r="H1155" s="4"/>
      <c r="I1155" s="4"/>
      <c r="J1155" s="6"/>
      <c r="K1155" s="6"/>
      <c r="L1155" s="6"/>
      <c r="M1155" s="4"/>
      <c r="N1155" s="4"/>
      <c r="O1155" s="4"/>
      <c r="P1155" s="6"/>
      <c r="Q1155" s="6"/>
      <c r="R1155" s="6"/>
      <c r="S1155" s="6"/>
      <c r="T1155" s="4"/>
      <c r="U1155" s="6"/>
      <c r="V1155" s="6"/>
      <c r="W1155" s="6"/>
      <c r="X1155" s="6"/>
      <c r="Y1155" s="4"/>
      <c r="Z1155" s="6"/>
      <c r="AA1155" s="4"/>
      <c r="AB1155" s="4"/>
      <c r="AC1155" s="4"/>
      <c r="AD1155" s="6"/>
      <c r="AE1155" s="4"/>
      <c r="AF1155" s="4"/>
      <c r="AG1155" s="4"/>
      <c r="AH1155" s="4">
        <v>4165040000</v>
      </c>
    </row>
    <row r="1156" spans="1:34" x14ac:dyDescent="0.25">
      <c r="A1156" s="4">
        <v>1155</v>
      </c>
      <c r="B1156" s="5" t="s">
        <v>2439</v>
      </c>
      <c r="C1156" s="5" t="s">
        <v>2440</v>
      </c>
      <c r="D1156" s="5" t="s">
        <v>1586</v>
      </c>
      <c r="E1156" s="5" t="s">
        <v>75</v>
      </c>
      <c r="F1156" s="5" t="s">
        <v>76</v>
      </c>
      <c r="G1156" s="5" t="s">
        <v>76</v>
      </c>
      <c r="H1156" s="4"/>
      <c r="I1156" s="4"/>
      <c r="J1156" s="6"/>
      <c r="K1156" s="6"/>
      <c r="L1156" s="6"/>
      <c r="M1156" s="4"/>
      <c r="N1156" s="4"/>
      <c r="O1156" s="4"/>
      <c r="P1156" s="6"/>
      <c r="Q1156" s="6"/>
      <c r="R1156" s="6"/>
      <c r="S1156" s="6"/>
      <c r="T1156" s="4"/>
      <c r="U1156" s="6"/>
      <c r="V1156" s="6"/>
      <c r="W1156" s="6"/>
      <c r="X1156" s="6"/>
      <c r="Y1156" s="4"/>
      <c r="Z1156" s="6"/>
      <c r="AA1156" s="4"/>
      <c r="AB1156" s="4"/>
      <c r="AC1156" s="4"/>
      <c r="AD1156" s="6"/>
      <c r="AE1156" s="4"/>
      <c r="AF1156" s="4"/>
      <c r="AG1156" s="4"/>
      <c r="AH1156" s="4">
        <v>2998980000000</v>
      </c>
    </row>
    <row r="1157" spans="1:34" x14ac:dyDescent="0.25">
      <c r="A1157" s="4">
        <v>1156</v>
      </c>
      <c r="B1157" s="5" t="s">
        <v>2441</v>
      </c>
      <c r="C1157" s="5" t="s">
        <v>2442</v>
      </c>
      <c r="D1157" s="5" t="s">
        <v>1586</v>
      </c>
      <c r="E1157" s="5" t="s">
        <v>185</v>
      </c>
      <c r="F1157" s="5" t="s">
        <v>185</v>
      </c>
      <c r="G1157" s="5" t="s">
        <v>1283</v>
      </c>
      <c r="H1157" s="4"/>
      <c r="I1157" s="4"/>
      <c r="J1157" s="6"/>
      <c r="K1157" s="6"/>
      <c r="L1157" s="6"/>
      <c r="M1157" s="4"/>
      <c r="N1157" s="4"/>
      <c r="O1157" s="4"/>
      <c r="P1157" s="6"/>
      <c r="Q1157" s="6"/>
      <c r="R1157" s="6"/>
      <c r="S1157" s="6"/>
      <c r="T1157" s="4"/>
      <c r="U1157" s="6"/>
      <c r="V1157" s="6"/>
      <c r="W1157" s="6"/>
      <c r="X1157" s="6"/>
      <c r="Y1157" s="4"/>
      <c r="Z1157" s="6"/>
      <c r="AA1157" s="4"/>
      <c r="AB1157" s="4"/>
      <c r="AC1157" s="4"/>
      <c r="AD1157" s="6"/>
      <c r="AE1157" s="4"/>
      <c r="AF1157" s="4"/>
      <c r="AG1157" s="4"/>
      <c r="AH1157" s="4">
        <v>6420400000</v>
      </c>
    </row>
    <row r="1158" spans="1:34" x14ac:dyDescent="0.25">
      <c r="A1158" s="4">
        <v>1157</v>
      </c>
      <c r="B1158" s="5" t="s">
        <v>2443</v>
      </c>
      <c r="C1158" s="5" t="s">
        <v>2444</v>
      </c>
      <c r="D1158" s="5" t="s">
        <v>1586</v>
      </c>
      <c r="E1158" s="5" t="s">
        <v>29</v>
      </c>
      <c r="F1158" s="5" t="s">
        <v>30</v>
      </c>
      <c r="G1158" s="5" t="s">
        <v>31</v>
      </c>
      <c r="H1158" s="4"/>
      <c r="I1158" s="4"/>
      <c r="J1158" s="6"/>
      <c r="K1158" s="6"/>
      <c r="L1158" s="6"/>
      <c r="M1158" s="4"/>
      <c r="N1158" s="4"/>
      <c r="O1158" s="4"/>
      <c r="P1158" s="6"/>
      <c r="Q1158" s="6"/>
      <c r="R1158" s="6"/>
      <c r="S1158" s="6"/>
      <c r="T1158" s="4"/>
      <c r="U1158" s="6"/>
      <c r="V1158" s="6"/>
      <c r="W1158" s="6"/>
      <c r="X1158" s="6"/>
      <c r="Y1158" s="4"/>
      <c r="Z1158" s="6"/>
      <c r="AA1158" s="4"/>
      <c r="AB1158" s="4"/>
      <c r="AC1158" s="4"/>
      <c r="AD1158" s="6"/>
      <c r="AE1158" s="4"/>
      <c r="AF1158" s="4"/>
      <c r="AG1158" s="4"/>
      <c r="AH1158" s="4">
        <v>533929764500</v>
      </c>
    </row>
    <row r="1159" spans="1:34" x14ac:dyDescent="0.25">
      <c r="A1159" s="4">
        <v>1158</v>
      </c>
      <c r="B1159" s="5" t="s">
        <v>2445</v>
      </c>
      <c r="C1159" s="5" t="s">
        <v>2446</v>
      </c>
      <c r="D1159" s="5" t="s">
        <v>1586</v>
      </c>
      <c r="E1159" s="5" t="s">
        <v>24</v>
      </c>
      <c r="F1159" s="5" t="s">
        <v>56</v>
      </c>
      <c r="G1159" s="5" t="s">
        <v>57</v>
      </c>
      <c r="H1159" s="4"/>
      <c r="I1159" s="4"/>
      <c r="J1159" s="6"/>
      <c r="K1159" s="6"/>
      <c r="L1159" s="6"/>
      <c r="M1159" s="4"/>
      <c r="N1159" s="4"/>
      <c r="O1159" s="4"/>
      <c r="P1159" s="6"/>
      <c r="Q1159" s="6"/>
      <c r="R1159" s="6"/>
      <c r="S1159" s="6"/>
      <c r="T1159" s="4"/>
      <c r="U1159" s="6"/>
      <c r="V1159" s="6"/>
      <c r="W1159" s="6"/>
      <c r="X1159" s="6"/>
      <c r="Y1159" s="4"/>
      <c r="Z1159" s="6"/>
      <c r="AA1159" s="4"/>
      <c r="AB1159" s="4"/>
      <c r="AC1159" s="4"/>
      <c r="AD1159" s="6"/>
      <c r="AE1159" s="4"/>
      <c r="AF1159" s="4"/>
      <c r="AG1159" s="4"/>
      <c r="AH1159" s="4"/>
    </row>
    <row r="1160" spans="1:34" x14ac:dyDescent="0.25">
      <c r="A1160" s="4">
        <v>1159</v>
      </c>
      <c r="B1160" s="5" t="s">
        <v>2447</v>
      </c>
      <c r="C1160" s="5" t="s">
        <v>2448</v>
      </c>
      <c r="D1160" s="5" t="s">
        <v>1586</v>
      </c>
      <c r="E1160" s="5" t="s">
        <v>40</v>
      </c>
      <c r="F1160" s="5" t="s">
        <v>52</v>
      </c>
      <c r="G1160" s="5" t="s">
        <v>110</v>
      </c>
      <c r="H1160" s="4"/>
      <c r="I1160" s="4"/>
      <c r="J1160" s="6"/>
      <c r="K1160" s="6"/>
      <c r="L1160" s="6"/>
      <c r="M1160" s="4"/>
      <c r="N1160" s="4"/>
      <c r="O1160" s="4"/>
      <c r="P1160" s="6"/>
      <c r="Q1160" s="6"/>
      <c r="R1160" s="6"/>
      <c r="S1160" s="6"/>
      <c r="T1160" s="4"/>
      <c r="U1160" s="6"/>
      <c r="V1160" s="6"/>
      <c r="W1160" s="6"/>
      <c r="X1160" s="6"/>
      <c r="Y1160" s="4"/>
      <c r="Z1160" s="6"/>
      <c r="AA1160" s="4"/>
      <c r="AB1160" s="4"/>
      <c r="AC1160" s="4"/>
      <c r="AD1160" s="6"/>
      <c r="AE1160" s="4"/>
      <c r="AF1160" s="4"/>
      <c r="AG1160" s="4"/>
      <c r="AH1160" s="4">
        <v>7480000000</v>
      </c>
    </row>
    <row r="1161" spans="1:34" x14ac:dyDescent="0.25">
      <c r="A1161" s="4">
        <v>1160</v>
      </c>
      <c r="B1161" s="5" t="s">
        <v>2449</v>
      </c>
      <c r="C1161" s="5" t="s">
        <v>2450</v>
      </c>
      <c r="D1161" s="5" t="s">
        <v>1586</v>
      </c>
      <c r="E1161" s="5" t="s">
        <v>29</v>
      </c>
      <c r="F1161" s="5" t="s">
        <v>36</v>
      </c>
      <c r="G1161" s="5" t="s">
        <v>37</v>
      </c>
      <c r="H1161" s="4"/>
      <c r="I1161" s="4"/>
      <c r="J1161" s="6"/>
      <c r="K1161" s="6"/>
      <c r="L1161" s="6"/>
      <c r="M1161" s="4"/>
      <c r="N1161" s="4"/>
      <c r="O1161" s="4"/>
      <c r="P1161" s="6"/>
      <c r="Q1161" s="6"/>
      <c r="R1161" s="6"/>
      <c r="S1161" s="6"/>
      <c r="T1161" s="4"/>
      <c r="U1161" s="6"/>
      <c r="V1161" s="6"/>
      <c r="W1161" s="6"/>
      <c r="X1161" s="6"/>
      <c r="Y1161" s="4"/>
      <c r="Z1161" s="6"/>
      <c r="AA1161" s="4"/>
      <c r="AB1161" s="4"/>
      <c r="AC1161" s="4"/>
      <c r="AD1161" s="6"/>
      <c r="AE1161" s="4"/>
      <c r="AF1161" s="4"/>
      <c r="AG1161" s="4"/>
      <c r="AH1161" s="4">
        <v>664448070812</v>
      </c>
    </row>
    <row r="1162" spans="1:34" x14ac:dyDescent="0.25">
      <c r="A1162" s="4">
        <v>1161</v>
      </c>
      <c r="B1162" s="5" t="s">
        <v>2451</v>
      </c>
      <c r="C1162" s="5" t="s">
        <v>2452</v>
      </c>
      <c r="D1162" s="5" t="s">
        <v>1586</v>
      </c>
      <c r="E1162" s="5" t="s">
        <v>75</v>
      </c>
      <c r="F1162" s="5" t="s">
        <v>76</v>
      </c>
      <c r="G1162" s="5" t="s">
        <v>76</v>
      </c>
      <c r="H1162" s="4"/>
      <c r="I1162" s="4"/>
      <c r="J1162" s="6"/>
      <c r="K1162" s="6"/>
      <c r="L1162" s="6"/>
      <c r="M1162" s="4"/>
      <c r="N1162" s="4"/>
      <c r="O1162" s="4"/>
      <c r="P1162" s="6"/>
      <c r="Q1162" s="6"/>
      <c r="R1162" s="6"/>
      <c r="S1162" s="6"/>
      <c r="T1162" s="4"/>
      <c r="U1162" s="6"/>
      <c r="V1162" s="6"/>
      <c r="W1162" s="6"/>
      <c r="X1162" s="6"/>
      <c r="Y1162" s="4"/>
      <c r="Z1162" s="6"/>
      <c r="AA1162" s="4"/>
      <c r="AB1162" s="4"/>
      <c r="AC1162" s="4"/>
      <c r="AD1162" s="6"/>
      <c r="AE1162" s="4"/>
      <c r="AF1162" s="4"/>
      <c r="AG1162" s="4"/>
      <c r="AH1162" s="4">
        <v>330657896800</v>
      </c>
    </row>
    <row r="1163" spans="1:34" x14ac:dyDescent="0.25">
      <c r="A1163" s="4">
        <v>1162</v>
      </c>
      <c r="B1163" s="5" t="s">
        <v>2453</v>
      </c>
      <c r="C1163" s="5" t="s">
        <v>2454</v>
      </c>
      <c r="D1163" s="5" t="s">
        <v>1586</v>
      </c>
      <c r="E1163" s="5" t="s">
        <v>40</v>
      </c>
      <c r="F1163" s="5" t="s">
        <v>41</v>
      </c>
      <c r="G1163" s="5" t="s">
        <v>1716</v>
      </c>
      <c r="H1163" s="4"/>
      <c r="I1163" s="4"/>
      <c r="J1163" s="6"/>
      <c r="K1163" s="6"/>
      <c r="L1163" s="6"/>
      <c r="M1163" s="4"/>
      <c r="N1163" s="4"/>
      <c r="O1163" s="4"/>
      <c r="P1163" s="6"/>
      <c r="Q1163" s="6"/>
      <c r="R1163" s="6"/>
      <c r="S1163" s="6"/>
      <c r="T1163" s="4"/>
      <c r="U1163" s="6"/>
      <c r="V1163" s="6"/>
      <c r="W1163" s="6"/>
      <c r="X1163" s="6"/>
      <c r="Y1163" s="4"/>
      <c r="Z1163" s="6"/>
      <c r="AA1163" s="4"/>
      <c r="AB1163" s="4"/>
      <c r="AC1163" s="4"/>
      <c r="AD1163" s="6"/>
      <c r="AE1163" s="4"/>
      <c r="AF1163" s="4"/>
      <c r="AG1163" s="4"/>
      <c r="AH1163" s="4">
        <v>45425000000</v>
      </c>
    </row>
    <row r="1164" spans="1:34" x14ac:dyDescent="0.25">
      <c r="A1164" s="4">
        <v>1163</v>
      </c>
      <c r="B1164" s="5" t="s">
        <v>2455</v>
      </c>
      <c r="C1164" s="5" t="s">
        <v>2456</v>
      </c>
      <c r="D1164" s="5" t="s">
        <v>1586</v>
      </c>
      <c r="E1164" s="5" t="s">
        <v>75</v>
      </c>
      <c r="F1164" s="5" t="s">
        <v>76</v>
      </c>
      <c r="G1164" s="5" t="s">
        <v>76</v>
      </c>
      <c r="H1164" s="4"/>
      <c r="I1164" s="4"/>
      <c r="J1164" s="6"/>
      <c r="K1164" s="6"/>
      <c r="L1164" s="6"/>
      <c r="M1164" s="4"/>
      <c r="N1164" s="4"/>
      <c r="O1164" s="4"/>
      <c r="P1164" s="6"/>
      <c r="Q1164" s="6"/>
      <c r="R1164" s="6"/>
      <c r="S1164" s="6"/>
      <c r="T1164" s="4"/>
      <c r="U1164" s="6"/>
      <c r="V1164" s="6"/>
      <c r="W1164" s="6"/>
      <c r="X1164" s="6"/>
      <c r="Y1164" s="4"/>
      <c r="Z1164" s="6"/>
      <c r="AA1164" s="4"/>
      <c r="AB1164" s="4"/>
      <c r="AC1164" s="4"/>
      <c r="AD1164" s="6"/>
      <c r="AE1164" s="4"/>
      <c r="AF1164" s="4"/>
      <c r="AG1164" s="4"/>
      <c r="AH1164" s="4">
        <v>30400000000</v>
      </c>
    </row>
    <row r="1165" spans="1:34" x14ac:dyDescent="0.25">
      <c r="A1165" s="4">
        <v>1164</v>
      </c>
      <c r="B1165" s="5" t="s">
        <v>2457</v>
      </c>
      <c r="C1165" s="5" t="s">
        <v>2458</v>
      </c>
      <c r="D1165" s="5" t="s">
        <v>1586</v>
      </c>
      <c r="E1165" s="5" t="s">
        <v>40</v>
      </c>
      <c r="F1165" s="5" t="s">
        <v>52</v>
      </c>
      <c r="G1165" s="5" t="s">
        <v>110</v>
      </c>
      <c r="H1165" s="4"/>
      <c r="I1165" s="4"/>
      <c r="J1165" s="6"/>
      <c r="K1165" s="6"/>
      <c r="L1165" s="6"/>
      <c r="M1165" s="4"/>
      <c r="N1165" s="4"/>
      <c r="O1165" s="4"/>
      <c r="P1165" s="6"/>
      <c r="Q1165" s="6"/>
      <c r="R1165" s="6"/>
      <c r="S1165" s="6"/>
      <c r="T1165" s="4"/>
      <c r="U1165" s="6"/>
      <c r="V1165" s="6"/>
      <c r="W1165" s="6"/>
      <c r="X1165" s="6"/>
      <c r="Y1165" s="4"/>
      <c r="Z1165" s="6"/>
      <c r="AA1165" s="4"/>
      <c r="AB1165" s="4"/>
      <c r="AC1165" s="4"/>
      <c r="AD1165" s="6"/>
      <c r="AE1165" s="4"/>
      <c r="AF1165" s="4"/>
      <c r="AG1165" s="4"/>
      <c r="AH1165" s="4">
        <v>140957010000</v>
      </c>
    </row>
    <row r="1166" spans="1:34" x14ac:dyDescent="0.25">
      <c r="A1166" s="4">
        <v>1165</v>
      </c>
      <c r="B1166" s="5" t="s">
        <v>2459</v>
      </c>
      <c r="C1166" s="5" t="s">
        <v>2460</v>
      </c>
      <c r="D1166" s="5" t="s">
        <v>1586</v>
      </c>
      <c r="E1166" s="5" t="s">
        <v>40</v>
      </c>
      <c r="F1166" s="5" t="s">
        <v>41</v>
      </c>
      <c r="G1166" s="5" t="s">
        <v>1716</v>
      </c>
      <c r="H1166" s="4"/>
      <c r="I1166" s="4"/>
      <c r="J1166" s="6"/>
      <c r="K1166" s="6"/>
      <c r="L1166" s="6"/>
      <c r="M1166" s="4"/>
      <c r="N1166" s="4"/>
      <c r="O1166" s="4"/>
      <c r="P1166" s="6"/>
      <c r="Q1166" s="6"/>
      <c r="R1166" s="6"/>
      <c r="S1166" s="6"/>
      <c r="T1166" s="4"/>
      <c r="U1166" s="6"/>
      <c r="V1166" s="6"/>
      <c r="W1166" s="6"/>
      <c r="X1166" s="6"/>
      <c r="Y1166" s="4"/>
      <c r="Z1166" s="6"/>
      <c r="AA1166" s="4"/>
      <c r="AB1166" s="4"/>
      <c r="AC1166" s="4"/>
      <c r="AD1166" s="6"/>
      <c r="AE1166" s="4"/>
      <c r="AF1166" s="4"/>
      <c r="AG1166" s="4"/>
      <c r="AH1166" s="4">
        <v>6360000000</v>
      </c>
    </row>
    <row r="1167" spans="1:34" x14ac:dyDescent="0.25">
      <c r="A1167" s="4">
        <v>1166</v>
      </c>
      <c r="B1167" s="5" t="s">
        <v>2461</v>
      </c>
      <c r="C1167" s="5" t="s">
        <v>2462</v>
      </c>
      <c r="D1167" s="5" t="s">
        <v>1586</v>
      </c>
      <c r="E1167" s="5" t="s">
        <v>24</v>
      </c>
      <c r="F1167" s="5" t="s">
        <v>56</v>
      </c>
      <c r="G1167" s="5" t="s">
        <v>57</v>
      </c>
      <c r="H1167" s="4">
        <v>310943700486</v>
      </c>
      <c r="I1167" s="4"/>
      <c r="J1167" s="6">
        <v>0.58199999999999996</v>
      </c>
      <c r="K1167" s="6">
        <v>0.36799999999999999</v>
      </c>
      <c r="L1167" s="6">
        <v>0.26650000000000001</v>
      </c>
      <c r="M1167" s="4">
        <v>4992480263</v>
      </c>
      <c r="N1167" s="4"/>
      <c r="O1167" s="4"/>
      <c r="P1167" s="6">
        <v>2.4508999999999999</v>
      </c>
      <c r="Q1167" s="6">
        <v>2.3448000000000002</v>
      </c>
      <c r="R1167" s="6">
        <v>1.651</v>
      </c>
      <c r="S1167" s="6">
        <v>1.4244000000000001</v>
      </c>
      <c r="T1167" s="4"/>
      <c r="U1167" s="6">
        <v>-0.4708</v>
      </c>
      <c r="V1167" s="6">
        <v>-0.35770000000000002</v>
      </c>
      <c r="W1167" s="6">
        <v>-0.35560000000000003</v>
      </c>
      <c r="X1167" s="6">
        <v>0</v>
      </c>
      <c r="Y1167" s="4"/>
      <c r="Z1167" s="6">
        <v>0.15459999999999999</v>
      </c>
      <c r="AA1167" s="4"/>
      <c r="AB1167" s="4"/>
      <c r="AC1167" s="4"/>
      <c r="AD1167" s="6">
        <v>0</v>
      </c>
      <c r="AE1167" s="4"/>
      <c r="AF1167" s="4"/>
      <c r="AG1167" s="4"/>
      <c r="AH1167" s="4">
        <v>275567975000</v>
      </c>
    </row>
    <row r="1168" spans="1:34" x14ac:dyDescent="0.25">
      <c r="A1168" s="4">
        <v>1167</v>
      </c>
      <c r="B1168" s="5" t="s">
        <v>2463</v>
      </c>
      <c r="C1168" s="5" t="s">
        <v>2464</v>
      </c>
      <c r="D1168" s="5" t="s">
        <v>1586</v>
      </c>
      <c r="E1168" s="5" t="s">
        <v>40</v>
      </c>
      <c r="F1168" s="5" t="s">
        <v>52</v>
      </c>
      <c r="G1168" s="5" t="s">
        <v>110</v>
      </c>
      <c r="H1168" s="4"/>
      <c r="I1168" s="4"/>
      <c r="J1168" s="6"/>
      <c r="K1168" s="6"/>
      <c r="L1168" s="6"/>
      <c r="M1168" s="4"/>
      <c r="N1168" s="4"/>
      <c r="O1168" s="4"/>
      <c r="P1168" s="6"/>
      <c r="Q1168" s="6"/>
      <c r="R1168" s="6"/>
      <c r="S1168" s="6"/>
      <c r="T1168" s="4"/>
      <c r="U1168" s="6"/>
      <c r="V1168" s="6"/>
      <c r="W1168" s="6"/>
      <c r="X1168" s="6"/>
      <c r="Y1168" s="4"/>
      <c r="Z1168" s="6"/>
      <c r="AA1168" s="4"/>
      <c r="AB1168" s="4"/>
      <c r="AC1168" s="4"/>
      <c r="AD1168" s="6"/>
      <c r="AE1168" s="4"/>
      <c r="AF1168" s="4"/>
      <c r="AG1168" s="4"/>
      <c r="AH1168" s="4">
        <v>14201154000</v>
      </c>
    </row>
    <row r="1169" spans="1:34" x14ac:dyDescent="0.25">
      <c r="A1169" s="4">
        <v>1168</v>
      </c>
      <c r="B1169" s="5" t="s">
        <v>2465</v>
      </c>
      <c r="C1169" s="5" t="s">
        <v>2466</v>
      </c>
      <c r="D1169" s="5" t="s">
        <v>1586</v>
      </c>
      <c r="E1169" s="5" t="s">
        <v>234</v>
      </c>
      <c r="F1169" s="5" t="s">
        <v>235</v>
      </c>
      <c r="G1169" s="5" t="s">
        <v>1996</v>
      </c>
      <c r="H1169" s="4"/>
      <c r="I1169" s="4"/>
      <c r="J1169" s="6"/>
      <c r="K1169" s="6"/>
      <c r="L1169" s="6"/>
      <c r="M1169" s="4"/>
      <c r="N1169" s="4"/>
      <c r="O1169" s="4"/>
      <c r="P1169" s="6"/>
      <c r="Q1169" s="6"/>
      <c r="R1169" s="6"/>
      <c r="S1169" s="6"/>
      <c r="T1169" s="4"/>
      <c r="U1169" s="6"/>
      <c r="V1169" s="6"/>
      <c r="W1169" s="6"/>
      <c r="X1169" s="6"/>
      <c r="Y1169" s="4"/>
      <c r="Z1169" s="6"/>
      <c r="AA1169" s="4"/>
      <c r="AB1169" s="4"/>
      <c r="AC1169" s="4"/>
      <c r="AD1169" s="6"/>
      <c r="AE1169" s="4"/>
      <c r="AF1169" s="4"/>
      <c r="AG1169" s="4"/>
      <c r="AH1169" s="4">
        <v>8580761700</v>
      </c>
    </row>
    <row r="1170" spans="1:34" x14ac:dyDescent="0.25">
      <c r="A1170" s="4">
        <v>1169</v>
      </c>
      <c r="B1170" s="5" t="s">
        <v>2467</v>
      </c>
      <c r="C1170" s="5" t="s">
        <v>2468</v>
      </c>
      <c r="D1170" s="5" t="s">
        <v>1586</v>
      </c>
      <c r="E1170" s="5" t="s">
        <v>40</v>
      </c>
      <c r="F1170" s="5" t="s">
        <v>52</v>
      </c>
      <c r="G1170" s="5" t="s">
        <v>110</v>
      </c>
      <c r="H1170" s="4">
        <v>466105531</v>
      </c>
      <c r="I1170" s="4">
        <v>1616296842</v>
      </c>
      <c r="J1170" s="6">
        <v>-9.6699999999999994E-2</v>
      </c>
      <c r="K1170" s="6">
        <v>0.63949999999999996</v>
      </c>
      <c r="L1170" s="6">
        <v>-0.13689999999999999</v>
      </c>
      <c r="M1170" s="4">
        <v>61146655</v>
      </c>
      <c r="N1170" s="4">
        <v>36512298</v>
      </c>
      <c r="O1170" s="4"/>
      <c r="P1170" s="6">
        <v>-0.79410000000000003</v>
      </c>
      <c r="Q1170" s="6">
        <v>1.1605000000000001</v>
      </c>
      <c r="R1170" s="6">
        <v>2.8407</v>
      </c>
      <c r="S1170" s="6">
        <v>3.4822000000000002</v>
      </c>
      <c r="T1170" s="4"/>
      <c r="U1170" s="6">
        <v>-0.89370000000000005</v>
      </c>
      <c r="V1170" s="6">
        <v>-0.26979999999999998</v>
      </c>
      <c r="W1170" s="6">
        <v>-0.26979999999999998</v>
      </c>
      <c r="X1170" s="6">
        <v>0</v>
      </c>
      <c r="Y1170" s="4"/>
      <c r="Z1170" s="6">
        <v>-0.5948</v>
      </c>
      <c r="AA1170" s="4"/>
      <c r="AB1170" s="4"/>
      <c r="AC1170" s="4"/>
      <c r="AD1170" s="6">
        <v>0</v>
      </c>
      <c r="AE1170" s="4"/>
      <c r="AF1170" s="4"/>
      <c r="AG1170" s="4"/>
      <c r="AH1170" s="4">
        <v>186000000000</v>
      </c>
    </row>
    <row r="1171" spans="1:34" x14ac:dyDescent="0.25">
      <c r="A1171" s="4">
        <v>1170</v>
      </c>
      <c r="B1171" s="5" t="s">
        <v>2469</v>
      </c>
      <c r="C1171" s="5" t="s">
        <v>2470</v>
      </c>
      <c r="D1171" s="5" t="s">
        <v>1586</v>
      </c>
      <c r="E1171" s="5" t="s">
        <v>1306</v>
      </c>
      <c r="F1171" s="5" t="s">
        <v>1306</v>
      </c>
      <c r="G1171" s="5" t="s">
        <v>1598</v>
      </c>
      <c r="H1171" s="4"/>
      <c r="I1171" s="4"/>
      <c r="J1171" s="6"/>
      <c r="K1171" s="6"/>
      <c r="L1171" s="6"/>
      <c r="M1171" s="4"/>
      <c r="N1171" s="4"/>
      <c r="O1171" s="4"/>
      <c r="P1171" s="6"/>
      <c r="Q1171" s="6"/>
      <c r="R1171" s="6"/>
      <c r="S1171" s="6"/>
      <c r="T1171" s="4"/>
      <c r="U1171" s="6"/>
      <c r="V1171" s="6"/>
      <c r="W1171" s="6"/>
      <c r="X1171" s="6"/>
      <c r="Y1171" s="4"/>
      <c r="Z1171" s="6"/>
      <c r="AA1171" s="4"/>
      <c r="AB1171" s="4"/>
      <c r="AC1171" s="4"/>
      <c r="AD1171" s="6"/>
      <c r="AE1171" s="4"/>
      <c r="AF1171" s="4"/>
      <c r="AG1171" s="4"/>
      <c r="AH1171" s="4">
        <v>208965296694</v>
      </c>
    </row>
    <row r="1172" spans="1:34" x14ac:dyDescent="0.25">
      <c r="A1172" s="4">
        <v>1171</v>
      </c>
      <c r="B1172" s="5" t="s">
        <v>2471</v>
      </c>
      <c r="C1172" s="5" t="s">
        <v>2472</v>
      </c>
      <c r="D1172" s="5" t="s">
        <v>1586</v>
      </c>
      <c r="E1172" s="5" t="s">
        <v>24</v>
      </c>
      <c r="F1172" s="5" t="s">
        <v>56</v>
      </c>
      <c r="G1172" s="5" t="s">
        <v>129</v>
      </c>
      <c r="H1172" s="4"/>
      <c r="I1172" s="4"/>
      <c r="J1172" s="6"/>
      <c r="K1172" s="6"/>
      <c r="L1172" s="6"/>
      <c r="M1172" s="4"/>
      <c r="N1172" s="4"/>
      <c r="O1172" s="4"/>
      <c r="P1172" s="6"/>
      <c r="Q1172" s="6"/>
      <c r="R1172" s="6"/>
      <c r="S1172" s="6"/>
      <c r="T1172" s="4"/>
      <c r="U1172" s="6"/>
      <c r="V1172" s="6"/>
      <c r="W1172" s="6"/>
      <c r="X1172" s="6"/>
      <c r="Y1172" s="4"/>
      <c r="Z1172" s="6"/>
      <c r="AA1172" s="4"/>
      <c r="AB1172" s="4"/>
      <c r="AC1172" s="4"/>
      <c r="AD1172" s="6"/>
      <c r="AE1172" s="4"/>
      <c r="AF1172" s="4"/>
      <c r="AG1172" s="4"/>
      <c r="AH1172" s="4">
        <v>109512000000</v>
      </c>
    </row>
    <row r="1173" spans="1:34" x14ac:dyDescent="0.25">
      <c r="A1173" s="4">
        <v>1172</v>
      </c>
      <c r="B1173" s="5" t="s">
        <v>2473</v>
      </c>
      <c r="C1173" s="5" t="s">
        <v>2474</v>
      </c>
      <c r="D1173" s="5" t="s">
        <v>1586</v>
      </c>
      <c r="E1173" s="5" t="s">
        <v>29</v>
      </c>
      <c r="F1173" s="5" t="s">
        <v>36</v>
      </c>
      <c r="G1173" s="5" t="s">
        <v>37</v>
      </c>
      <c r="H1173" s="4"/>
      <c r="I1173" s="4"/>
      <c r="J1173" s="6"/>
      <c r="K1173" s="6"/>
      <c r="L1173" s="6"/>
      <c r="M1173" s="4"/>
      <c r="N1173" s="4"/>
      <c r="O1173" s="4"/>
      <c r="P1173" s="6"/>
      <c r="Q1173" s="6"/>
      <c r="R1173" s="6"/>
      <c r="S1173" s="6"/>
      <c r="T1173" s="4"/>
      <c r="U1173" s="6"/>
      <c r="V1173" s="6"/>
      <c r="W1173" s="6"/>
      <c r="X1173" s="6"/>
      <c r="Y1173" s="4"/>
      <c r="Z1173" s="6"/>
      <c r="AA1173" s="4"/>
      <c r="AB1173" s="4"/>
      <c r="AC1173" s="4"/>
      <c r="AD1173" s="6"/>
      <c r="AE1173" s="4"/>
      <c r="AF1173" s="4"/>
      <c r="AG1173" s="4"/>
      <c r="AH1173" s="4">
        <v>206991306000</v>
      </c>
    </row>
    <row r="1174" spans="1:34" x14ac:dyDescent="0.25">
      <c r="A1174" s="4">
        <v>1173</v>
      </c>
      <c r="B1174" s="5" t="s">
        <v>2475</v>
      </c>
      <c r="C1174" s="5" t="s">
        <v>2476</v>
      </c>
      <c r="D1174" s="5" t="s">
        <v>1586</v>
      </c>
      <c r="E1174" s="5" t="s">
        <v>75</v>
      </c>
      <c r="F1174" s="5" t="s">
        <v>76</v>
      </c>
      <c r="G1174" s="5" t="s">
        <v>76</v>
      </c>
      <c r="H1174" s="4"/>
      <c r="I1174" s="4"/>
      <c r="J1174" s="6"/>
      <c r="K1174" s="6"/>
      <c r="L1174" s="6"/>
      <c r="M1174" s="4"/>
      <c r="N1174" s="4"/>
      <c r="O1174" s="4"/>
      <c r="P1174" s="6"/>
      <c r="Q1174" s="6"/>
      <c r="R1174" s="6"/>
      <c r="S1174" s="6"/>
      <c r="T1174" s="4"/>
      <c r="U1174" s="6"/>
      <c r="V1174" s="6"/>
      <c r="W1174" s="6"/>
      <c r="X1174" s="6"/>
      <c r="Y1174" s="4"/>
      <c r="Z1174" s="6"/>
      <c r="AA1174" s="4"/>
      <c r="AB1174" s="4"/>
      <c r="AC1174" s="4"/>
      <c r="AD1174" s="6"/>
      <c r="AE1174" s="4"/>
      <c r="AF1174" s="4"/>
      <c r="AG1174" s="4"/>
      <c r="AH1174" s="4">
        <v>162000000000</v>
      </c>
    </row>
    <row r="1175" spans="1:34" x14ac:dyDescent="0.25">
      <c r="A1175" s="4">
        <v>1174</v>
      </c>
      <c r="B1175" s="5" t="s">
        <v>2477</v>
      </c>
      <c r="C1175" s="5" t="s">
        <v>2478</v>
      </c>
      <c r="D1175" s="5" t="s">
        <v>1586</v>
      </c>
      <c r="E1175" s="5" t="s">
        <v>75</v>
      </c>
      <c r="F1175" s="5" t="s">
        <v>76</v>
      </c>
      <c r="G1175" s="5" t="s">
        <v>76</v>
      </c>
      <c r="H1175" s="4">
        <v>27305880191</v>
      </c>
      <c r="I1175" s="4">
        <v>52009582757</v>
      </c>
      <c r="J1175" s="6">
        <v>4.0500000000000001E-2</v>
      </c>
      <c r="K1175" s="6">
        <v>6.6299999999999998E-2</v>
      </c>
      <c r="L1175" s="6">
        <v>2.2599999999999999E-2</v>
      </c>
      <c r="M1175" s="4">
        <v>16470778568</v>
      </c>
      <c r="N1175" s="4">
        <v>27682692765</v>
      </c>
      <c r="O1175" s="4"/>
      <c r="P1175" s="6">
        <v>0.3589</v>
      </c>
      <c r="Q1175" s="6">
        <v>0.22420000000000001</v>
      </c>
      <c r="R1175" s="6">
        <v>0.1983</v>
      </c>
      <c r="S1175" s="6">
        <v>0.46899999999999997</v>
      </c>
      <c r="T1175" s="4"/>
      <c r="U1175" s="6">
        <v>-0.6</v>
      </c>
      <c r="V1175" s="6">
        <v>-0.31690000000000002</v>
      </c>
      <c r="W1175" s="6">
        <v>-0.32450000000000001</v>
      </c>
      <c r="X1175" s="6">
        <v>5.2200000000000003E-2</v>
      </c>
      <c r="Y1175" s="4"/>
      <c r="Z1175" s="6">
        <v>0.1053</v>
      </c>
      <c r="AA1175" s="4"/>
      <c r="AB1175" s="4"/>
      <c r="AC1175" s="4"/>
      <c r="AD1175" s="6">
        <v>0</v>
      </c>
      <c r="AE1175" s="4"/>
      <c r="AF1175" s="4"/>
      <c r="AG1175" s="4"/>
      <c r="AH1175" s="4">
        <v>643200000000</v>
      </c>
    </row>
    <row r="1176" spans="1:34" x14ac:dyDescent="0.25">
      <c r="A1176" s="4">
        <v>1175</v>
      </c>
      <c r="B1176" s="5" t="s">
        <v>2479</v>
      </c>
      <c r="C1176" s="5" t="s">
        <v>2480</v>
      </c>
      <c r="D1176" s="5" t="s">
        <v>1586</v>
      </c>
      <c r="E1176" s="5" t="s">
        <v>24</v>
      </c>
      <c r="F1176" s="5" t="s">
        <v>56</v>
      </c>
      <c r="G1176" s="5" t="s">
        <v>291</v>
      </c>
      <c r="H1176" s="4"/>
      <c r="I1176" s="4"/>
      <c r="J1176" s="6"/>
      <c r="K1176" s="6"/>
      <c r="L1176" s="6"/>
      <c r="M1176" s="4"/>
      <c r="N1176" s="4"/>
      <c r="O1176" s="4"/>
      <c r="P1176" s="6"/>
      <c r="Q1176" s="6"/>
      <c r="R1176" s="6"/>
      <c r="S1176" s="6"/>
      <c r="T1176" s="4"/>
      <c r="U1176" s="6"/>
      <c r="V1176" s="6"/>
      <c r="W1176" s="6"/>
      <c r="X1176" s="6"/>
      <c r="Y1176" s="4"/>
      <c r="Z1176" s="6"/>
      <c r="AA1176" s="4"/>
      <c r="AB1176" s="4"/>
      <c r="AC1176" s="4"/>
      <c r="AD1176" s="6"/>
      <c r="AE1176" s="4"/>
      <c r="AF1176" s="4"/>
      <c r="AG1176" s="4"/>
      <c r="AH1176" s="4">
        <v>17452455900</v>
      </c>
    </row>
    <row r="1177" spans="1:34" x14ac:dyDescent="0.25">
      <c r="A1177" s="4">
        <v>1176</v>
      </c>
      <c r="B1177" s="5" t="s">
        <v>2481</v>
      </c>
      <c r="C1177" s="5" t="s">
        <v>2482</v>
      </c>
      <c r="D1177" s="5" t="s">
        <v>1586</v>
      </c>
      <c r="E1177" s="5" t="s">
        <v>40</v>
      </c>
      <c r="F1177" s="5" t="s">
        <v>41</v>
      </c>
      <c r="G1177" s="5" t="s">
        <v>519</v>
      </c>
      <c r="H1177" s="4"/>
      <c r="I1177" s="4"/>
      <c r="J1177" s="6"/>
      <c r="K1177" s="6"/>
      <c r="L1177" s="6"/>
      <c r="M1177" s="4"/>
      <c r="N1177" s="4"/>
      <c r="O1177" s="4"/>
      <c r="P1177" s="6"/>
      <c r="Q1177" s="6"/>
      <c r="R1177" s="6"/>
      <c r="S1177" s="6"/>
      <c r="T1177" s="4"/>
      <c r="U1177" s="6"/>
      <c r="V1177" s="6"/>
      <c r="W1177" s="6"/>
      <c r="X1177" s="6"/>
      <c r="Y1177" s="4"/>
      <c r="Z1177" s="6"/>
      <c r="AA1177" s="4"/>
      <c r="AB1177" s="4"/>
      <c r="AC1177" s="4"/>
      <c r="AD1177" s="6"/>
      <c r="AE1177" s="4"/>
      <c r="AF1177" s="4"/>
      <c r="AG1177" s="4"/>
      <c r="AH1177" s="4">
        <v>1135932000000</v>
      </c>
    </row>
    <row r="1178" spans="1:34" x14ac:dyDescent="0.25">
      <c r="A1178" s="4">
        <v>1177</v>
      </c>
      <c r="B1178" s="5" t="s">
        <v>2483</v>
      </c>
      <c r="C1178" s="5" t="s">
        <v>2484</v>
      </c>
      <c r="D1178" s="5" t="s">
        <v>1586</v>
      </c>
      <c r="E1178" s="5" t="s">
        <v>234</v>
      </c>
      <c r="F1178" s="5" t="s">
        <v>235</v>
      </c>
      <c r="G1178" s="5" t="s">
        <v>236</v>
      </c>
      <c r="H1178" s="4">
        <v>203926287150</v>
      </c>
      <c r="I1178" s="4">
        <v>411789096711</v>
      </c>
      <c r="J1178" s="6">
        <v>3.2399999999999998E-2</v>
      </c>
      <c r="K1178" s="6">
        <v>-3.61E-2</v>
      </c>
      <c r="L1178" s="6">
        <v>3.7600000000000001E-2</v>
      </c>
      <c r="M1178" s="4">
        <v>1991573519</v>
      </c>
      <c r="N1178" s="4">
        <v>3608841485</v>
      </c>
      <c r="O1178" s="4"/>
      <c r="P1178" s="6">
        <v>1.1242000000000001</v>
      </c>
      <c r="Q1178" s="6">
        <v>1.1224000000000001</v>
      </c>
      <c r="R1178" s="6">
        <v>23.672699999999999</v>
      </c>
      <c r="S1178" s="6">
        <v>0.23139999999999999</v>
      </c>
      <c r="T1178" s="4"/>
      <c r="U1178" s="6">
        <v>-0.58819999999999995</v>
      </c>
      <c r="V1178" s="6">
        <v>-0.86980000000000002</v>
      </c>
      <c r="W1178" s="6">
        <v>-0.87109999999999999</v>
      </c>
      <c r="X1178" s="6">
        <v>0</v>
      </c>
      <c r="Y1178" s="4"/>
      <c r="Z1178" s="6">
        <v>-1.89E-2</v>
      </c>
      <c r="AA1178" s="4"/>
      <c r="AB1178" s="4"/>
      <c r="AC1178" s="4"/>
      <c r="AD1178" s="6">
        <v>0</v>
      </c>
      <c r="AE1178" s="4"/>
      <c r="AF1178" s="4"/>
      <c r="AG1178" s="4"/>
      <c r="AH1178" s="4">
        <v>607271155293</v>
      </c>
    </row>
    <row r="1179" spans="1:34" x14ac:dyDescent="0.25">
      <c r="A1179" s="4">
        <v>1178</v>
      </c>
      <c r="B1179" s="5" t="s">
        <v>2485</v>
      </c>
      <c r="C1179" s="5" t="s">
        <v>2486</v>
      </c>
      <c r="D1179" s="5" t="s">
        <v>1586</v>
      </c>
      <c r="E1179" s="5" t="s">
        <v>40</v>
      </c>
      <c r="F1179" s="5" t="s">
        <v>41</v>
      </c>
      <c r="G1179" s="5" t="s">
        <v>1716</v>
      </c>
      <c r="H1179" s="4"/>
      <c r="I1179" s="4"/>
      <c r="J1179" s="6"/>
      <c r="K1179" s="6"/>
      <c r="L1179" s="6"/>
      <c r="M1179" s="4"/>
      <c r="N1179" s="4"/>
      <c r="O1179" s="4"/>
      <c r="P1179" s="6"/>
      <c r="Q1179" s="6"/>
      <c r="R1179" s="6"/>
      <c r="S1179" s="6"/>
      <c r="T1179" s="4"/>
      <c r="U1179" s="6"/>
      <c r="V1179" s="6"/>
      <c r="W1179" s="6"/>
      <c r="X1179" s="6"/>
      <c r="Y1179" s="4"/>
      <c r="Z1179" s="6"/>
      <c r="AA1179" s="4"/>
      <c r="AB1179" s="4"/>
      <c r="AC1179" s="4"/>
      <c r="AD1179" s="6"/>
      <c r="AE1179" s="4"/>
      <c r="AF1179" s="4"/>
      <c r="AG1179" s="4"/>
      <c r="AH1179" s="4">
        <v>85091970000</v>
      </c>
    </row>
    <row r="1180" spans="1:34" x14ac:dyDescent="0.25">
      <c r="A1180" s="4">
        <v>1179</v>
      </c>
      <c r="B1180" s="5" t="s">
        <v>2487</v>
      </c>
      <c r="C1180" s="5" t="s">
        <v>2488</v>
      </c>
      <c r="D1180" s="5" t="s">
        <v>1586</v>
      </c>
      <c r="E1180" s="5" t="s">
        <v>29</v>
      </c>
      <c r="F1180" s="5" t="s">
        <v>30</v>
      </c>
      <c r="G1180" s="5" t="s">
        <v>31</v>
      </c>
      <c r="H1180" s="4"/>
      <c r="I1180" s="4"/>
      <c r="J1180" s="6"/>
      <c r="K1180" s="6"/>
      <c r="L1180" s="6"/>
      <c r="M1180" s="4"/>
      <c r="N1180" s="4"/>
      <c r="O1180" s="4"/>
      <c r="P1180" s="6"/>
      <c r="Q1180" s="6"/>
      <c r="R1180" s="6"/>
      <c r="S1180" s="6"/>
      <c r="T1180" s="4"/>
      <c r="U1180" s="6"/>
      <c r="V1180" s="6"/>
      <c r="W1180" s="6"/>
      <c r="X1180" s="6"/>
      <c r="Y1180" s="4"/>
      <c r="Z1180" s="6"/>
      <c r="AA1180" s="4"/>
      <c r="AB1180" s="4"/>
      <c r="AC1180" s="4"/>
      <c r="AD1180" s="6"/>
      <c r="AE1180" s="4"/>
      <c r="AF1180" s="4"/>
      <c r="AG1180" s="4"/>
      <c r="AH1180" s="4">
        <v>63600000000</v>
      </c>
    </row>
    <row r="1181" spans="1:34" x14ac:dyDescent="0.25">
      <c r="A1181" s="4">
        <v>1180</v>
      </c>
      <c r="B1181" s="5" t="s">
        <v>2489</v>
      </c>
      <c r="C1181" s="5" t="s">
        <v>2490</v>
      </c>
      <c r="D1181" s="5" t="s">
        <v>1586</v>
      </c>
      <c r="E1181" s="5" t="s">
        <v>29</v>
      </c>
      <c r="F1181" s="5" t="s">
        <v>30</v>
      </c>
      <c r="G1181" s="5" t="s">
        <v>83</v>
      </c>
      <c r="H1181" s="4"/>
      <c r="I1181" s="4"/>
      <c r="J1181" s="6"/>
      <c r="K1181" s="6"/>
      <c r="L1181" s="6"/>
      <c r="M1181" s="4"/>
      <c r="N1181" s="4"/>
      <c r="O1181" s="4"/>
      <c r="P1181" s="6"/>
      <c r="Q1181" s="6"/>
      <c r="R1181" s="6"/>
      <c r="S1181" s="6"/>
      <c r="T1181" s="4"/>
      <c r="U1181" s="6"/>
      <c r="V1181" s="6"/>
      <c r="W1181" s="6"/>
      <c r="X1181" s="6"/>
      <c r="Y1181" s="4"/>
      <c r="Z1181" s="6"/>
      <c r="AA1181" s="4"/>
      <c r="AB1181" s="4"/>
      <c r="AC1181" s="4"/>
      <c r="AD1181" s="6"/>
      <c r="AE1181" s="4"/>
      <c r="AF1181" s="4"/>
      <c r="AG1181" s="4"/>
      <c r="AH1181" s="4">
        <v>9403886830821</v>
      </c>
    </row>
    <row r="1182" spans="1:34" x14ac:dyDescent="0.25">
      <c r="A1182" s="4">
        <v>1181</v>
      </c>
      <c r="B1182" s="5" t="s">
        <v>2491</v>
      </c>
      <c r="C1182" s="5" t="s">
        <v>2492</v>
      </c>
      <c r="D1182" s="5" t="s">
        <v>1586</v>
      </c>
      <c r="E1182" s="5" t="s">
        <v>29</v>
      </c>
      <c r="F1182" s="5" t="s">
        <v>36</v>
      </c>
      <c r="G1182" s="5" t="s">
        <v>37</v>
      </c>
      <c r="H1182" s="4"/>
      <c r="I1182" s="4"/>
      <c r="J1182" s="6"/>
      <c r="K1182" s="6"/>
      <c r="L1182" s="6"/>
      <c r="M1182" s="4"/>
      <c r="N1182" s="4"/>
      <c r="O1182" s="4"/>
      <c r="P1182" s="6"/>
      <c r="Q1182" s="6"/>
      <c r="R1182" s="6"/>
      <c r="S1182" s="6"/>
      <c r="T1182" s="4"/>
      <c r="U1182" s="6"/>
      <c r="V1182" s="6"/>
      <c r="W1182" s="6"/>
      <c r="X1182" s="6"/>
      <c r="Y1182" s="4"/>
      <c r="Z1182" s="6"/>
      <c r="AA1182" s="4"/>
      <c r="AB1182" s="4"/>
      <c r="AC1182" s="4"/>
      <c r="AD1182" s="6"/>
      <c r="AE1182" s="4"/>
      <c r="AF1182" s="4"/>
      <c r="AG1182" s="4"/>
      <c r="AH1182" s="4">
        <v>560000000000</v>
      </c>
    </row>
    <row r="1183" spans="1:34" x14ac:dyDescent="0.25">
      <c r="A1183" s="4">
        <v>1182</v>
      </c>
      <c r="B1183" s="5" t="s">
        <v>2493</v>
      </c>
      <c r="C1183" s="5" t="s">
        <v>2494</v>
      </c>
      <c r="D1183" s="5" t="s">
        <v>1586</v>
      </c>
      <c r="E1183" s="5" t="s">
        <v>40</v>
      </c>
      <c r="F1183" s="5" t="s">
        <v>41</v>
      </c>
      <c r="G1183" s="5" t="s">
        <v>1716</v>
      </c>
      <c r="H1183" s="4"/>
      <c r="I1183" s="4"/>
      <c r="J1183" s="6"/>
      <c r="K1183" s="6"/>
      <c r="L1183" s="6"/>
      <c r="M1183" s="4"/>
      <c r="N1183" s="4"/>
      <c r="O1183" s="4"/>
      <c r="P1183" s="6"/>
      <c r="Q1183" s="6"/>
      <c r="R1183" s="6"/>
      <c r="S1183" s="6"/>
      <c r="T1183" s="4"/>
      <c r="U1183" s="6"/>
      <c r="V1183" s="6"/>
      <c r="W1183" s="6"/>
      <c r="X1183" s="6"/>
      <c r="Y1183" s="4"/>
      <c r="Z1183" s="6"/>
      <c r="AA1183" s="4"/>
      <c r="AB1183" s="4"/>
      <c r="AC1183" s="4"/>
      <c r="AD1183" s="6"/>
      <c r="AE1183" s="4"/>
      <c r="AF1183" s="4"/>
      <c r="AG1183" s="4"/>
      <c r="AH1183" s="4">
        <v>21944750000</v>
      </c>
    </row>
    <row r="1184" spans="1:34" x14ac:dyDescent="0.25">
      <c r="A1184" s="4">
        <v>1183</v>
      </c>
      <c r="B1184" s="5" t="s">
        <v>2495</v>
      </c>
      <c r="C1184" s="5" t="s">
        <v>2496</v>
      </c>
      <c r="D1184" s="5" t="s">
        <v>1586</v>
      </c>
      <c r="E1184" s="5" t="s">
        <v>29</v>
      </c>
      <c r="F1184" s="5" t="s">
        <v>30</v>
      </c>
      <c r="G1184" s="5" t="s">
        <v>31</v>
      </c>
      <c r="H1184" s="4"/>
      <c r="I1184" s="4"/>
      <c r="J1184" s="6"/>
      <c r="K1184" s="6"/>
      <c r="L1184" s="6"/>
      <c r="M1184" s="4"/>
      <c r="N1184" s="4"/>
      <c r="O1184" s="4"/>
      <c r="P1184" s="6"/>
      <c r="Q1184" s="6"/>
      <c r="R1184" s="6"/>
      <c r="S1184" s="6"/>
      <c r="T1184" s="4"/>
      <c r="U1184" s="6"/>
      <c r="V1184" s="6"/>
      <c r="W1184" s="6"/>
      <c r="X1184" s="6"/>
      <c r="Y1184" s="4"/>
      <c r="Z1184" s="6"/>
      <c r="AA1184" s="4"/>
      <c r="AB1184" s="4"/>
      <c r="AC1184" s="4"/>
      <c r="AD1184" s="6"/>
      <c r="AE1184" s="4"/>
      <c r="AF1184" s="4"/>
      <c r="AG1184" s="4"/>
      <c r="AH1184" s="4">
        <v>5852347963000</v>
      </c>
    </row>
    <row r="1185" spans="1:34" x14ac:dyDescent="0.25">
      <c r="A1185" s="4">
        <v>1184</v>
      </c>
      <c r="B1185" s="5" t="s">
        <v>2497</v>
      </c>
      <c r="C1185" s="5" t="s">
        <v>2498</v>
      </c>
      <c r="D1185" s="5" t="s">
        <v>1586</v>
      </c>
      <c r="E1185" s="5" t="s">
        <v>29</v>
      </c>
      <c r="F1185" s="5" t="s">
        <v>36</v>
      </c>
      <c r="G1185" s="5" t="s">
        <v>37</v>
      </c>
      <c r="H1185" s="4"/>
      <c r="I1185" s="4"/>
      <c r="J1185" s="6"/>
      <c r="K1185" s="6"/>
      <c r="L1185" s="6"/>
      <c r="M1185" s="4"/>
      <c r="N1185" s="4"/>
      <c r="O1185" s="4"/>
      <c r="P1185" s="6"/>
      <c r="Q1185" s="6"/>
      <c r="R1185" s="6"/>
      <c r="S1185" s="6"/>
      <c r="T1185" s="4"/>
      <c r="U1185" s="6"/>
      <c r="V1185" s="6"/>
      <c r="W1185" s="6"/>
      <c r="X1185" s="6"/>
      <c r="Y1185" s="4"/>
      <c r="Z1185" s="6"/>
      <c r="AA1185" s="4"/>
      <c r="AB1185" s="4"/>
      <c r="AC1185" s="4"/>
      <c r="AD1185" s="6"/>
      <c r="AE1185" s="4"/>
      <c r="AF1185" s="4"/>
      <c r="AG1185" s="4"/>
      <c r="AH1185" s="4">
        <v>13685731200</v>
      </c>
    </row>
    <row r="1186" spans="1:34" x14ac:dyDescent="0.25">
      <c r="A1186" s="4">
        <v>1185</v>
      </c>
      <c r="B1186" s="5" t="s">
        <v>2499</v>
      </c>
      <c r="C1186" s="5" t="s">
        <v>2500</v>
      </c>
      <c r="D1186" s="5" t="s">
        <v>1586</v>
      </c>
      <c r="E1186" s="5" t="s">
        <v>40</v>
      </c>
      <c r="F1186" s="5" t="s">
        <v>41</v>
      </c>
      <c r="G1186" s="5" t="s">
        <v>1716</v>
      </c>
      <c r="H1186" s="4"/>
      <c r="I1186" s="4"/>
      <c r="J1186" s="6"/>
      <c r="K1186" s="6"/>
      <c r="L1186" s="6"/>
      <c r="M1186" s="4"/>
      <c r="N1186" s="4"/>
      <c r="O1186" s="4"/>
      <c r="P1186" s="6"/>
      <c r="Q1186" s="6"/>
      <c r="R1186" s="6"/>
      <c r="S1186" s="6"/>
      <c r="T1186" s="4"/>
      <c r="U1186" s="6"/>
      <c r="V1186" s="6"/>
      <c r="W1186" s="6"/>
      <c r="X1186" s="6"/>
      <c r="Y1186" s="4"/>
      <c r="Z1186" s="6"/>
      <c r="AA1186" s="4"/>
      <c r="AB1186" s="4"/>
      <c r="AC1186" s="4"/>
      <c r="AD1186" s="6"/>
      <c r="AE1186" s="4"/>
      <c r="AF1186" s="4"/>
      <c r="AG1186" s="4"/>
      <c r="AH1186" s="4">
        <v>123474300000</v>
      </c>
    </row>
    <row r="1187" spans="1:34" x14ac:dyDescent="0.25">
      <c r="A1187" s="4">
        <v>1186</v>
      </c>
      <c r="B1187" s="5" t="s">
        <v>2501</v>
      </c>
      <c r="C1187" s="5" t="s">
        <v>2502</v>
      </c>
      <c r="D1187" s="5" t="s">
        <v>1586</v>
      </c>
      <c r="E1187" s="5" t="s">
        <v>40</v>
      </c>
      <c r="F1187" s="5" t="s">
        <v>41</v>
      </c>
      <c r="G1187" s="5" t="s">
        <v>1716</v>
      </c>
      <c r="H1187" s="4"/>
      <c r="I1187" s="4"/>
      <c r="J1187" s="6"/>
      <c r="K1187" s="6"/>
      <c r="L1187" s="6"/>
      <c r="M1187" s="4"/>
      <c r="N1187" s="4"/>
      <c r="O1187" s="4"/>
      <c r="P1187" s="6"/>
      <c r="Q1187" s="6"/>
      <c r="R1187" s="6"/>
      <c r="S1187" s="6"/>
      <c r="T1187" s="4"/>
      <c r="U1187" s="6"/>
      <c r="V1187" s="6"/>
      <c r="W1187" s="6"/>
      <c r="X1187" s="6"/>
      <c r="Y1187" s="4"/>
      <c r="Z1187" s="6"/>
      <c r="AA1187" s="4"/>
      <c r="AB1187" s="4"/>
      <c r="AC1187" s="4"/>
      <c r="AD1187" s="6"/>
      <c r="AE1187" s="4"/>
      <c r="AF1187" s="4"/>
      <c r="AG1187" s="4"/>
      <c r="AH1187" s="4">
        <v>18745942500</v>
      </c>
    </row>
    <row r="1188" spans="1:34" x14ac:dyDescent="0.25">
      <c r="A1188" s="4">
        <v>1187</v>
      </c>
      <c r="B1188" s="5" t="s">
        <v>2503</v>
      </c>
      <c r="C1188" s="5" t="s">
        <v>2504</v>
      </c>
      <c r="D1188" s="5" t="s">
        <v>1586</v>
      </c>
      <c r="E1188" s="5" t="s">
        <v>40</v>
      </c>
      <c r="F1188" s="5" t="s">
        <v>41</v>
      </c>
      <c r="G1188" s="5" t="s">
        <v>1716</v>
      </c>
      <c r="H1188" s="4"/>
      <c r="I1188" s="4"/>
      <c r="J1188" s="6"/>
      <c r="K1188" s="6"/>
      <c r="L1188" s="6"/>
      <c r="M1188" s="4"/>
      <c r="N1188" s="4"/>
      <c r="O1188" s="4"/>
      <c r="P1188" s="6"/>
      <c r="Q1188" s="6"/>
      <c r="R1188" s="6"/>
      <c r="S1188" s="6"/>
      <c r="T1188" s="4"/>
      <c r="U1188" s="6"/>
      <c r="V1188" s="6"/>
      <c r="W1188" s="6"/>
      <c r="X1188" s="6"/>
      <c r="Y1188" s="4"/>
      <c r="Z1188" s="6"/>
      <c r="AA1188" s="4"/>
      <c r="AB1188" s="4"/>
      <c r="AC1188" s="4"/>
      <c r="AD1188" s="6"/>
      <c r="AE1188" s="4"/>
      <c r="AF1188" s="4"/>
      <c r="AG1188" s="4"/>
      <c r="AH1188" s="4">
        <v>151101057600</v>
      </c>
    </row>
    <row r="1189" spans="1:34" x14ac:dyDescent="0.25">
      <c r="A1189" s="4">
        <v>1188</v>
      </c>
      <c r="B1189" s="5" t="s">
        <v>2505</v>
      </c>
      <c r="C1189" s="5" t="s">
        <v>2506</v>
      </c>
      <c r="D1189" s="5" t="s">
        <v>1586</v>
      </c>
      <c r="E1189" s="5" t="s">
        <v>234</v>
      </c>
      <c r="F1189" s="5" t="s">
        <v>235</v>
      </c>
      <c r="G1189" s="5" t="s">
        <v>498</v>
      </c>
      <c r="H1189" s="4"/>
      <c r="I1189" s="4"/>
      <c r="J1189" s="6"/>
      <c r="K1189" s="6"/>
      <c r="L1189" s="6"/>
      <c r="M1189" s="4"/>
      <c r="N1189" s="4"/>
      <c r="O1189" s="4"/>
      <c r="P1189" s="6"/>
      <c r="Q1189" s="6"/>
      <c r="R1189" s="6"/>
      <c r="S1189" s="6"/>
      <c r="T1189" s="4"/>
      <c r="U1189" s="6"/>
      <c r="V1189" s="6"/>
      <c r="W1189" s="6"/>
      <c r="X1189" s="6"/>
      <c r="Y1189" s="4"/>
      <c r="Z1189" s="6"/>
      <c r="AA1189" s="4"/>
      <c r="AB1189" s="4"/>
      <c r="AC1189" s="4"/>
      <c r="AD1189" s="6"/>
      <c r="AE1189" s="4"/>
      <c r="AF1189" s="4"/>
      <c r="AG1189" s="4"/>
      <c r="AH1189" s="4">
        <v>176601672000</v>
      </c>
    </row>
    <row r="1190" spans="1:34" x14ac:dyDescent="0.25">
      <c r="A1190" s="4">
        <v>1189</v>
      </c>
      <c r="B1190" s="5" t="s">
        <v>2507</v>
      </c>
      <c r="C1190" s="5" t="s">
        <v>2508</v>
      </c>
      <c r="D1190" s="5" t="s">
        <v>1586</v>
      </c>
      <c r="E1190" s="5" t="s">
        <v>24</v>
      </c>
      <c r="F1190" s="5" t="s">
        <v>56</v>
      </c>
      <c r="G1190" s="5" t="s">
        <v>129</v>
      </c>
      <c r="H1190" s="4"/>
      <c r="I1190" s="4"/>
      <c r="J1190" s="6"/>
      <c r="K1190" s="6"/>
      <c r="L1190" s="6"/>
      <c r="M1190" s="4"/>
      <c r="N1190" s="4"/>
      <c r="O1190" s="4"/>
      <c r="P1190" s="6"/>
      <c r="Q1190" s="6"/>
      <c r="R1190" s="6"/>
      <c r="S1190" s="6"/>
      <c r="T1190" s="4"/>
      <c r="U1190" s="6"/>
      <c r="V1190" s="6"/>
      <c r="W1190" s="6"/>
      <c r="X1190" s="6"/>
      <c r="Y1190" s="4"/>
      <c r="Z1190" s="6"/>
      <c r="AA1190" s="4"/>
      <c r="AB1190" s="4"/>
      <c r="AC1190" s="4"/>
      <c r="AD1190" s="6"/>
      <c r="AE1190" s="4"/>
      <c r="AF1190" s="4"/>
      <c r="AG1190" s="4"/>
      <c r="AH1190" s="4">
        <v>36574830687600</v>
      </c>
    </row>
    <row r="1191" spans="1:34" x14ac:dyDescent="0.25">
      <c r="A1191" s="4">
        <v>1190</v>
      </c>
      <c r="B1191" s="5" t="s">
        <v>2509</v>
      </c>
      <c r="C1191" s="5" t="s">
        <v>2510</v>
      </c>
      <c r="D1191" s="5" t="s">
        <v>1586</v>
      </c>
      <c r="E1191" s="5" t="s">
        <v>62</v>
      </c>
      <c r="F1191" s="5" t="s">
        <v>226</v>
      </c>
      <c r="G1191" s="5" t="s">
        <v>986</v>
      </c>
      <c r="H1191" s="4"/>
      <c r="I1191" s="4"/>
      <c r="J1191" s="6"/>
      <c r="K1191" s="6"/>
      <c r="L1191" s="6"/>
      <c r="M1191" s="4"/>
      <c r="N1191" s="4"/>
      <c r="O1191" s="4"/>
      <c r="P1191" s="6"/>
      <c r="Q1191" s="6"/>
      <c r="R1191" s="6"/>
      <c r="S1191" s="6"/>
      <c r="T1191" s="4"/>
      <c r="U1191" s="6"/>
      <c r="V1191" s="6"/>
      <c r="W1191" s="6"/>
      <c r="X1191" s="6"/>
      <c r="Y1191" s="4"/>
      <c r="Z1191" s="6"/>
      <c r="AA1191" s="4"/>
      <c r="AB1191" s="4"/>
      <c r="AC1191" s="4"/>
      <c r="AD1191" s="6"/>
      <c r="AE1191" s="4"/>
      <c r="AF1191" s="4"/>
      <c r="AG1191" s="4"/>
      <c r="AH1191" s="4"/>
    </row>
    <row r="1192" spans="1:34" x14ac:dyDescent="0.25">
      <c r="A1192" s="4">
        <v>1191</v>
      </c>
      <c r="B1192" s="5" t="s">
        <v>2511</v>
      </c>
      <c r="C1192" s="5" t="s">
        <v>2512</v>
      </c>
      <c r="D1192" s="5" t="s">
        <v>1586</v>
      </c>
      <c r="E1192" s="5" t="s">
        <v>40</v>
      </c>
      <c r="F1192" s="5" t="s">
        <v>52</v>
      </c>
      <c r="G1192" s="5" t="s">
        <v>110</v>
      </c>
      <c r="H1192" s="4"/>
      <c r="I1192" s="4"/>
      <c r="J1192" s="6"/>
      <c r="K1192" s="6"/>
      <c r="L1192" s="6"/>
      <c r="M1192" s="4"/>
      <c r="N1192" s="4"/>
      <c r="O1192" s="4"/>
      <c r="P1192" s="6"/>
      <c r="Q1192" s="6"/>
      <c r="R1192" s="6"/>
      <c r="S1192" s="6"/>
      <c r="T1192" s="4"/>
      <c r="U1192" s="6"/>
      <c r="V1192" s="6"/>
      <c r="W1192" s="6"/>
      <c r="X1192" s="6"/>
      <c r="Y1192" s="4"/>
      <c r="Z1192" s="6"/>
      <c r="AA1192" s="4"/>
      <c r="AB1192" s="4"/>
      <c r="AC1192" s="4"/>
      <c r="AD1192" s="6"/>
      <c r="AE1192" s="4"/>
      <c r="AF1192" s="4"/>
      <c r="AG1192" s="4"/>
      <c r="AH1192" s="4"/>
    </row>
    <row r="1193" spans="1:34" x14ac:dyDescent="0.25">
      <c r="A1193" s="4">
        <v>1192</v>
      </c>
      <c r="B1193" s="5" t="s">
        <v>2513</v>
      </c>
      <c r="C1193" s="5" t="s">
        <v>2514</v>
      </c>
      <c r="D1193" s="5" t="s">
        <v>1586</v>
      </c>
      <c r="E1193" s="5" t="s">
        <v>24</v>
      </c>
      <c r="F1193" s="5" t="s">
        <v>56</v>
      </c>
      <c r="G1193" s="5" t="s">
        <v>129</v>
      </c>
      <c r="H1193" s="4"/>
      <c r="I1193" s="4"/>
      <c r="J1193" s="6"/>
      <c r="K1193" s="6"/>
      <c r="L1193" s="6"/>
      <c r="M1193" s="4"/>
      <c r="N1193" s="4"/>
      <c r="O1193" s="4"/>
      <c r="P1193" s="6"/>
      <c r="Q1193" s="6"/>
      <c r="R1193" s="6"/>
      <c r="S1193" s="6"/>
      <c r="T1193" s="4"/>
      <c r="U1193" s="6"/>
      <c r="V1193" s="6"/>
      <c r="W1193" s="6"/>
      <c r="X1193" s="6"/>
      <c r="Y1193" s="4"/>
      <c r="Z1193" s="6"/>
      <c r="AA1193" s="4"/>
      <c r="AB1193" s="4"/>
      <c r="AC1193" s="4"/>
      <c r="AD1193" s="6"/>
      <c r="AE1193" s="4"/>
      <c r="AF1193" s="4"/>
      <c r="AG1193" s="4"/>
      <c r="AH1193" s="4">
        <v>1192420076939</v>
      </c>
    </row>
    <row r="1194" spans="1:34" x14ac:dyDescent="0.25">
      <c r="A1194" s="4">
        <v>1193</v>
      </c>
      <c r="B1194" s="5" t="s">
        <v>2515</v>
      </c>
      <c r="C1194" s="5" t="s">
        <v>2516</v>
      </c>
      <c r="D1194" s="5" t="s">
        <v>1586</v>
      </c>
      <c r="E1194" s="5" t="s">
        <v>40</v>
      </c>
      <c r="F1194" s="5" t="s">
        <v>41</v>
      </c>
      <c r="G1194" s="5" t="s">
        <v>1716</v>
      </c>
      <c r="H1194" s="4"/>
      <c r="I1194" s="4"/>
      <c r="J1194" s="6"/>
      <c r="K1194" s="6"/>
      <c r="L1194" s="6"/>
      <c r="M1194" s="4"/>
      <c r="N1194" s="4"/>
      <c r="O1194" s="4"/>
      <c r="P1194" s="6"/>
      <c r="Q1194" s="6"/>
      <c r="R1194" s="6"/>
      <c r="S1194" s="6"/>
      <c r="T1194" s="4"/>
      <c r="U1194" s="6"/>
      <c r="V1194" s="6"/>
      <c r="W1194" s="6"/>
      <c r="X1194" s="6"/>
      <c r="Y1194" s="4"/>
      <c r="Z1194" s="6"/>
      <c r="AA1194" s="4"/>
      <c r="AB1194" s="4"/>
      <c r="AC1194" s="4"/>
      <c r="AD1194" s="6"/>
      <c r="AE1194" s="4"/>
      <c r="AF1194" s="4"/>
      <c r="AG1194" s="4"/>
      <c r="AH1194" s="4">
        <v>61526938200</v>
      </c>
    </row>
    <row r="1195" spans="1:34" x14ac:dyDescent="0.25">
      <c r="A1195" s="4">
        <v>1194</v>
      </c>
      <c r="B1195" s="5" t="s">
        <v>2517</v>
      </c>
      <c r="C1195" s="5" t="s">
        <v>2518</v>
      </c>
      <c r="D1195" s="5" t="s">
        <v>1586</v>
      </c>
      <c r="E1195" s="5" t="s">
        <v>98</v>
      </c>
      <c r="F1195" s="5" t="s">
        <v>99</v>
      </c>
      <c r="G1195" s="5" t="s">
        <v>100</v>
      </c>
      <c r="H1195" s="4"/>
      <c r="I1195" s="4"/>
      <c r="J1195" s="6"/>
      <c r="K1195" s="6"/>
      <c r="L1195" s="6"/>
      <c r="M1195" s="4"/>
      <c r="N1195" s="4"/>
      <c r="O1195" s="4"/>
      <c r="P1195" s="6"/>
      <c r="Q1195" s="6"/>
      <c r="R1195" s="6"/>
      <c r="S1195" s="6"/>
      <c r="T1195" s="4"/>
      <c r="U1195" s="6"/>
      <c r="V1195" s="6"/>
      <c r="W1195" s="6"/>
      <c r="X1195" s="6"/>
      <c r="Y1195" s="4"/>
      <c r="Z1195" s="6"/>
      <c r="AA1195" s="4"/>
      <c r="AB1195" s="4"/>
      <c r="AC1195" s="4"/>
      <c r="AD1195" s="6"/>
      <c r="AE1195" s="4"/>
      <c r="AF1195" s="4"/>
      <c r="AG1195" s="4"/>
      <c r="AH1195" s="4">
        <v>106590000000</v>
      </c>
    </row>
    <row r="1196" spans="1:34" x14ac:dyDescent="0.25">
      <c r="A1196" s="4">
        <v>1195</v>
      </c>
      <c r="B1196" s="5" t="s">
        <v>2519</v>
      </c>
      <c r="C1196" s="5" t="s">
        <v>2520</v>
      </c>
      <c r="D1196" s="5" t="s">
        <v>1586</v>
      </c>
      <c r="E1196" s="5" t="s">
        <v>40</v>
      </c>
      <c r="F1196" s="5" t="s">
        <v>41</v>
      </c>
      <c r="G1196" s="5" t="s">
        <v>1716</v>
      </c>
      <c r="H1196" s="4"/>
      <c r="I1196" s="4"/>
      <c r="J1196" s="6"/>
      <c r="K1196" s="6"/>
      <c r="L1196" s="6"/>
      <c r="M1196" s="4"/>
      <c r="N1196" s="4"/>
      <c r="O1196" s="4"/>
      <c r="P1196" s="6"/>
      <c r="Q1196" s="6"/>
      <c r="R1196" s="6"/>
      <c r="S1196" s="6"/>
      <c r="T1196" s="4"/>
      <c r="U1196" s="6"/>
      <c r="V1196" s="6"/>
      <c r="W1196" s="6"/>
      <c r="X1196" s="6"/>
      <c r="Y1196" s="4"/>
      <c r="Z1196" s="6"/>
      <c r="AA1196" s="4"/>
      <c r="AB1196" s="4"/>
      <c r="AC1196" s="4"/>
      <c r="AD1196" s="6"/>
      <c r="AE1196" s="4"/>
      <c r="AF1196" s="4"/>
      <c r="AG1196" s="4"/>
      <c r="AH1196" s="4">
        <v>119697750000</v>
      </c>
    </row>
    <row r="1197" spans="1:34" x14ac:dyDescent="0.25">
      <c r="A1197" s="4">
        <v>1196</v>
      </c>
      <c r="B1197" s="5" t="s">
        <v>2521</v>
      </c>
      <c r="C1197" s="5" t="s">
        <v>2522</v>
      </c>
      <c r="D1197" s="5" t="s">
        <v>1586</v>
      </c>
      <c r="E1197" s="5" t="s">
        <v>40</v>
      </c>
      <c r="F1197" s="5" t="s">
        <v>41</v>
      </c>
      <c r="G1197" s="5" t="s">
        <v>1716</v>
      </c>
      <c r="H1197" s="4"/>
      <c r="I1197" s="4"/>
      <c r="J1197" s="6"/>
      <c r="K1197" s="6"/>
      <c r="L1197" s="6"/>
      <c r="M1197" s="4"/>
      <c r="N1197" s="4"/>
      <c r="O1197" s="4"/>
      <c r="P1197" s="6"/>
      <c r="Q1197" s="6"/>
      <c r="R1197" s="6"/>
      <c r="S1197" s="6"/>
      <c r="T1197" s="4"/>
      <c r="U1197" s="6"/>
      <c r="V1197" s="6"/>
      <c r="W1197" s="6"/>
      <c r="X1197" s="6"/>
      <c r="Y1197" s="4"/>
      <c r="Z1197" s="6"/>
      <c r="AA1197" s="4"/>
      <c r="AB1197" s="4"/>
      <c r="AC1197" s="4"/>
      <c r="AD1197" s="6"/>
      <c r="AE1197" s="4"/>
      <c r="AF1197" s="4"/>
      <c r="AG1197" s="4"/>
      <c r="AH1197" s="4">
        <v>27618000000</v>
      </c>
    </row>
    <row r="1198" spans="1:34" x14ac:dyDescent="0.25">
      <c r="A1198" s="4">
        <v>1197</v>
      </c>
      <c r="B1198" s="5" t="s">
        <v>2523</v>
      </c>
      <c r="C1198" s="5" t="s">
        <v>2524</v>
      </c>
      <c r="D1198" s="5" t="s">
        <v>1586</v>
      </c>
      <c r="E1198" s="5" t="s">
        <v>234</v>
      </c>
      <c r="F1198" s="5" t="s">
        <v>235</v>
      </c>
      <c r="G1198" s="5" t="s">
        <v>236</v>
      </c>
      <c r="H1198" s="4"/>
      <c r="I1198" s="4"/>
      <c r="J1198" s="6"/>
      <c r="K1198" s="6"/>
      <c r="L1198" s="6"/>
      <c r="M1198" s="4"/>
      <c r="N1198" s="4"/>
      <c r="O1198" s="4"/>
      <c r="P1198" s="6"/>
      <c r="Q1198" s="6"/>
      <c r="R1198" s="6"/>
      <c r="S1198" s="6"/>
      <c r="T1198" s="4"/>
      <c r="U1198" s="6"/>
      <c r="V1198" s="6"/>
      <c r="W1198" s="6"/>
      <c r="X1198" s="6"/>
      <c r="Y1198" s="4"/>
      <c r="Z1198" s="6"/>
      <c r="AA1198" s="4"/>
      <c r="AB1198" s="4"/>
      <c r="AC1198" s="4"/>
      <c r="AD1198" s="6"/>
      <c r="AE1198" s="4"/>
      <c r="AF1198" s="4"/>
      <c r="AG1198" s="4"/>
      <c r="AH1198" s="4">
        <v>109526848200</v>
      </c>
    </row>
    <row r="1199" spans="1:34" x14ac:dyDescent="0.25">
      <c r="A1199" s="4">
        <v>1198</v>
      </c>
      <c r="B1199" s="5" t="s">
        <v>2525</v>
      </c>
      <c r="C1199" s="5" t="s">
        <v>2526</v>
      </c>
      <c r="D1199" s="5" t="s">
        <v>1586</v>
      </c>
      <c r="E1199" s="5" t="s">
        <v>40</v>
      </c>
      <c r="F1199" s="5" t="s">
        <v>41</v>
      </c>
      <c r="G1199" s="5" t="s">
        <v>983</v>
      </c>
      <c r="H1199" s="4"/>
      <c r="I1199" s="4"/>
      <c r="J1199" s="6"/>
      <c r="K1199" s="6"/>
      <c r="L1199" s="6"/>
      <c r="M1199" s="4"/>
      <c r="N1199" s="4"/>
      <c r="O1199" s="4"/>
      <c r="P1199" s="6"/>
      <c r="Q1199" s="6"/>
      <c r="R1199" s="6"/>
      <c r="S1199" s="6"/>
      <c r="T1199" s="4"/>
      <c r="U1199" s="6"/>
      <c r="V1199" s="6"/>
      <c r="W1199" s="6"/>
      <c r="X1199" s="6"/>
      <c r="Y1199" s="4"/>
      <c r="Z1199" s="6"/>
      <c r="AA1199" s="4"/>
      <c r="AB1199" s="4"/>
      <c r="AC1199" s="4"/>
      <c r="AD1199" s="6"/>
      <c r="AE1199" s="4"/>
      <c r="AF1199" s="4"/>
      <c r="AG1199" s="4"/>
      <c r="AH1199" s="4">
        <v>135000000000</v>
      </c>
    </row>
    <row r="1200" spans="1:34" x14ac:dyDescent="0.25">
      <c r="A1200" s="4">
        <v>1199</v>
      </c>
      <c r="B1200" s="5" t="s">
        <v>2527</v>
      </c>
      <c r="C1200" s="5" t="s">
        <v>2528</v>
      </c>
      <c r="D1200" s="5" t="s">
        <v>1586</v>
      </c>
      <c r="E1200" s="5" t="s">
        <v>40</v>
      </c>
      <c r="F1200" s="5" t="s">
        <v>41</v>
      </c>
      <c r="G1200" s="5" t="s">
        <v>1716</v>
      </c>
      <c r="H1200" s="4"/>
      <c r="I1200" s="4"/>
      <c r="J1200" s="6"/>
      <c r="K1200" s="6"/>
      <c r="L1200" s="6"/>
      <c r="M1200" s="4"/>
      <c r="N1200" s="4"/>
      <c r="O1200" s="4"/>
      <c r="P1200" s="6"/>
      <c r="Q1200" s="6"/>
      <c r="R1200" s="6"/>
      <c r="S1200" s="6"/>
      <c r="T1200" s="4"/>
      <c r="U1200" s="6"/>
      <c r="V1200" s="6"/>
      <c r="W1200" s="6"/>
      <c r="X1200" s="6"/>
      <c r="Y1200" s="4"/>
      <c r="Z1200" s="6"/>
      <c r="AA1200" s="4"/>
      <c r="AB1200" s="4"/>
      <c r="AC1200" s="4"/>
      <c r="AD1200" s="6"/>
      <c r="AE1200" s="4"/>
      <c r="AF1200" s="4"/>
      <c r="AG1200" s="4"/>
      <c r="AH1200" s="4">
        <v>78300000000</v>
      </c>
    </row>
    <row r="1201" spans="1:34" x14ac:dyDescent="0.25">
      <c r="A1201" s="4">
        <v>1200</v>
      </c>
      <c r="B1201" s="5" t="s">
        <v>2529</v>
      </c>
      <c r="C1201" s="5" t="s">
        <v>2530</v>
      </c>
      <c r="D1201" s="5" t="s">
        <v>1586</v>
      </c>
      <c r="E1201" s="5" t="s">
        <v>40</v>
      </c>
      <c r="F1201" s="5" t="s">
        <v>52</v>
      </c>
      <c r="G1201" s="5" t="s">
        <v>53</v>
      </c>
      <c r="H1201" s="4"/>
      <c r="I1201" s="4"/>
      <c r="J1201" s="6"/>
      <c r="K1201" s="6"/>
      <c r="L1201" s="6"/>
      <c r="M1201" s="4"/>
      <c r="N1201" s="4"/>
      <c r="O1201" s="4"/>
      <c r="P1201" s="6"/>
      <c r="Q1201" s="6"/>
      <c r="R1201" s="6"/>
      <c r="S1201" s="6"/>
      <c r="T1201" s="4"/>
      <c r="U1201" s="6"/>
      <c r="V1201" s="6"/>
      <c r="W1201" s="6"/>
      <c r="X1201" s="6"/>
      <c r="Y1201" s="4"/>
      <c r="Z1201" s="6"/>
      <c r="AA1201" s="4"/>
      <c r="AB1201" s="4"/>
      <c r="AC1201" s="4"/>
      <c r="AD1201" s="6"/>
      <c r="AE1201" s="4"/>
      <c r="AF1201" s="4"/>
      <c r="AG1201" s="4"/>
      <c r="AH1201" s="4">
        <v>1332400000000</v>
      </c>
    </row>
    <row r="1202" spans="1:34" x14ac:dyDescent="0.25">
      <c r="A1202" s="4">
        <v>1201</v>
      </c>
      <c r="B1202" s="5" t="s">
        <v>2531</v>
      </c>
      <c r="C1202" s="5" t="s">
        <v>2532</v>
      </c>
      <c r="D1202" s="5" t="s">
        <v>1586</v>
      </c>
      <c r="E1202" s="5" t="s">
        <v>40</v>
      </c>
      <c r="F1202" s="5" t="s">
        <v>41</v>
      </c>
      <c r="G1202" s="5" t="s">
        <v>406</v>
      </c>
      <c r="H1202" s="4"/>
      <c r="I1202" s="4"/>
      <c r="J1202" s="6"/>
      <c r="K1202" s="6"/>
      <c r="L1202" s="6"/>
      <c r="M1202" s="4"/>
      <c r="N1202" s="4"/>
      <c r="O1202" s="4"/>
      <c r="P1202" s="6"/>
      <c r="Q1202" s="6"/>
      <c r="R1202" s="6"/>
      <c r="S1202" s="6"/>
      <c r="T1202" s="4"/>
      <c r="U1202" s="6"/>
      <c r="V1202" s="6"/>
      <c r="W1202" s="6"/>
      <c r="X1202" s="6"/>
      <c r="Y1202" s="4"/>
      <c r="Z1202" s="6"/>
      <c r="AA1202" s="4"/>
      <c r="AB1202" s="4"/>
      <c r="AC1202" s="4"/>
      <c r="AD1202" s="6"/>
      <c r="AE1202" s="4"/>
      <c r="AF1202" s="4"/>
      <c r="AG1202" s="4"/>
      <c r="AH1202" s="4">
        <v>65187126048000</v>
      </c>
    </row>
    <row r="1203" spans="1:34" x14ac:dyDescent="0.25">
      <c r="A1203" s="4">
        <v>1202</v>
      </c>
      <c r="B1203" s="5" t="s">
        <v>2533</v>
      </c>
      <c r="C1203" s="5" t="s">
        <v>2534</v>
      </c>
      <c r="D1203" s="5" t="s">
        <v>1586</v>
      </c>
      <c r="E1203" s="5" t="s">
        <v>40</v>
      </c>
      <c r="F1203" s="5" t="s">
        <v>52</v>
      </c>
      <c r="G1203" s="5" t="s">
        <v>110</v>
      </c>
      <c r="H1203" s="4"/>
      <c r="I1203" s="4"/>
      <c r="J1203" s="6"/>
      <c r="K1203" s="6"/>
      <c r="L1203" s="6"/>
      <c r="M1203" s="4"/>
      <c r="N1203" s="4"/>
      <c r="O1203" s="4"/>
      <c r="P1203" s="6"/>
      <c r="Q1203" s="6"/>
      <c r="R1203" s="6"/>
      <c r="S1203" s="6"/>
      <c r="T1203" s="4"/>
      <c r="U1203" s="6"/>
      <c r="V1203" s="6"/>
      <c r="W1203" s="6"/>
      <c r="X1203" s="6"/>
      <c r="Y1203" s="4"/>
      <c r="Z1203" s="6"/>
      <c r="AA1203" s="4"/>
      <c r="AB1203" s="4"/>
      <c r="AC1203" s="4"/>
      <c r="AD1203" s="6"/>
      <c r="AE1203" s="4"/>
      <c r="AF1203" s="4"/>
      <c r="AG1203" s="4"/>
      <c r="AH1203" s="4">
        <v>3685500000</v>
      </c>
    </row>
    <row r="1204" spans="1:34" x14ac:dyDescent="0.25">
      <c r="A1204" s="4">
        <v>1203</v>
      </c>
      <c r="B1204" s="5" t="s">
        <v>2535</v>
      </c>
      <c r="C1204" s="5" t="s">
        <v>2536</v>
      </c>
      <c r="D1204" s="5" t="s">
        <v>1586</v>
      </c>
      <c r="E1204" s="5" t="s">
        <v>40</v>
      </c>
      <c r="F1204" s="5" t="s">
        <v>41</v>
      </c>
      <c r="G1204" s="5" t="s">
        <v>93</v>
      </c>
      <c r="H1204" s="4"/>
      <c r="I1204" s="4"/>
      <c r="J1204" s="6"/>
      <c r="K1204" s="6"/>
      <c r="L1204" s="6"/>
      <c r="M1204" s="4"/>
      <c r="N1204" s="4"/>
      <c r="O1204" s="4"/>
      <c r="P1204" s="6"/>
      <c r="Q1204" s="6"/>
      <c r="R1204" s="6"/>
      <c r="S1204" s="6"/>
      <c r="T1204" s="4"/>
      <c r="U1204" s="6"/>
      <c r="V1204" s="6"/>
      <c r="W1204" s="6"/>
      <c r="X1204" s="6"/>
      <c r="Y1204" s="4"/>
      <c r="Z1204" s="6"/>
      <c r="AA1204" s="4"/>
      <c r="AB1204" s="4"/>
      <c r="AC1204" s="4"/>
      <c r="AD1204" s="6"/>
      <c r="AE1204" s="4"/>
      <c r="AF1204" s="4"/>
      <c r="AG1204" s="4"/>
      <c r="AH1204" s="4">
        <v>266095424000</v>
      </c>
    </row>
    <row r="1205" spans="1:34" x14ac:dyDescent="0.25">
      <c r="A1205" s="4">
        <v>1204</v>
      </c>
      <c r="B1205" s="5" t="s">
        <v>2537</v>
      </c>
      <c r="C1205" s="5" t="s">
        <v>2538</v>
      </c>
      <c r="D1205" s="5" t="s">
        <v>1586</v>
      </c>
      <c r="E1205" s="5" t="s">
        <v>40</v>
      </c>
      <c r="F1205" s="5" t="s">
        <v>41</v>
      </c>
      <c r="G1205" s="5" t="s">
        <v>1716</v>
      </c>
      <c r="H1205" s="4"/>
      <c r="I1205" s="4"/>
      <c r="J1205" s="6"/>
      <c r="K1205" s="6"/>
      <c r="L1205" s="6"/>
      <c r="M1205" s="4"/>
      <c r="N1205" s="4"/>
      <c r="O1205" s="4"/>
      <c r="P1205" s="6"/>
      <c r="Q1205" s="6"/>
      <c r="R1205" s="6"/>
      <c r="S1205" s="6"/>
      <c r="T1205" s="4"/>
      <c r="U1205" s="6"/>
      <c r="V1205" s="6"/>
      <c r="W1205" s="6"/>
      <c r="X1205" s="6"/>
      <c r="Y1205" s="4"/>
      <c r="Z1205" s="6"/>
      <c r="AA1205" s="4"/>
      <c r="AB1205" s="4"/>
      <c r="AC1205" s="4"/>
      <c r="AD1205" s="6"/>
      <c r="AE1205" s="4"/>
      <c r="AF1205" s="4"/>
      <c r="AG1205" s="4"/>
      <c r="AH1205" s="4">
        <v>25689993000</v>
      </c>
    </row>
    <row r="1206" spans="1:34" x14ac:dyDescent="0.25">
      <c r="A1206" s="4">
        <v>1205</v>
      </c>
      <c r="B1206" s="5" t="s">
        <v>2539</v>
      </c>
      <c r="C1206" s="5" t="s">
        <v>2540</v>
      </c>
      <c r="D1206" s="5" t="s">
        <v>1586</v>
      </c>
      <c r="E1206" s="5" t="s">
        <v>98</v>
      </c>
      <c r="F1206" s="5" t="s">
        <v>99</v>
      </c>
      <c r="G1206" s="5" t="s">
        <v>155</v>
      </c>
      <c r="H1206" s="4"/>
      <c r="I1206" s="4"/>
      <c r="J1206" s="6"/>
      <c r="K1206" s="6"/>
      <c r="L1206" s="6"/>
      <c r="M1206" s="4"/>
      <c r="N1206" s="4"/>
      <c r="O1206" s="4"/>
      <c r="P1206" s="6"/>
      <c r="Q1206" s="6"/>
      <c r="R1206" s="6"/>
      <c r="S1206" s="6"/>
      <c r="T1206" s="4"/>
      <c r="U1206" s="6"/>
      <c r="V1206" s="6"/>
      <c r="W1206" s="6"/>
      <c r="X1206" s="6"/>
      <c r="Y1206" s="4"/>
      <c r="Z1206" s="6"/>
      <c r="AA1206" s="4"/>
      <c r="AB1206" s="4"/>
      <c r="AC1206" s="4"/>
      <c r="AD1206" s="6"/>
      <c r="AE1206" s="4"/>
      <c r="AF1206" s="4"/>
      <c r="AG1206" s="4"/>
      <c r="AH1206" s="4">
        <v>280394872500</v>
      </c>
    </row>
    <row r="1207" spans="1:34" x14ac:dyDescent="0.25">
      <c r="A1207" s="4">
        <v>1206</v>
      </c>
      <c r="B1207" s="5" t="s">
        <v>2541</v>
      </c>
      <c r="C1207" s="5" t="s">
        <v>2542</v>
      </c>
      <c r="D1207" s="5" t="s">
        <v>1586</v>
      </c>
      <c r="E1207" s="5" t="s">
        <v>62</v>
      </c>
      <c r="F1207" s="5" t="s">
        <v>63</v>
      </c>
      <c r="G1207" s="5" t="s">
        <v>656</v>
      </c>
      <c r="H1207" s="4"/>
      <c r="I1207" s="4"/>
      <c r="J1207" s="6"/>
      <c r="K1207" s="6"/>
      <c r="L1207" s="6"/>
      <c r="M1207" s="4"/>
      <c r="N1207" s="4"/>
      <c r="O1207" s="4"/>
      <c r="P1207" s="6"/>
      <c r="Q1207" s="6"/>
      <c r="R1207" s="6"/>
      <c r="S1207" s="6"/>
      <c r="T1207" s="4"/>
      <c r="U1207" s="6"/>
      <c r="V1207" s="6"/>
      <c r="W1207" s="6"/>
      <c r="X1207" s="6"/>
      <c r="Y1207" s="4"/>
      <c r="Z1207" s="6"/>
      <c r="AA1207" s="4"/>
      <c r="AB1207" s="4"/>
      <c r="AC1207" s="4"/>
      <c r="AD1207" s="6"/>
      <c r="AE1207" s="4"/>
      <c r="AF1207" s="4"/>
      <c r="AG1207" s="4"/>
      <c r="AH1207" s="4">
        <v>42000000000</v>
      </c>
    </row>
    <row r="1208" spans="1:34" x14ac:dyDescent="0.25">
      <c r="A1208" s="4">
        <v>1207</v>
      </c>
      <c r="B1208" s="5" t="s">
        <v>2543</v>
      </c>
      <c r="C1208" s="5" t="s">
        <v>2544</v>
      </c>
      <c r="D1208" s="5" t="s">
        <v>1586</v>
      </c>
      <c r="E1208" s="5" t="s">
        <v>98</v>
      </c>
      <c r="F1208" s="5" t="s">
        <v>99</v>
      </c>
      <c r="G1208" s="5" t="s">
        <v>155</v>
      </c>
      <c r="H1208" s="4"/>
      <c r="I1208" s="4"/>
      <c r="J1208" s="6"/>
      <c r="K1208" s="6"/>
      <c r="L1208" s="6"/>
      <c r="M1208" s="4"/>
      <c r="N1208" s="4"/>
      <c r="O1208" s="4"/>
      <c r="P1208" s="6"/>
      <c r="Q1208" s="6"/>
      <c r="R1208" s="6"/>
      <c r="S1208" s="6"/>
      <c r="T1208" s="4"/>
      <c r="U1208" s="6"/>
      <c r="V1208" s="6"/>
      <c r="W1208" s="6"/>
      <c r="X1208" s="6"/>
      <c r="Y1208" s="4"/>
      <c r="Z1208" s="6"/>
      <c r="AA1208" s="4"/>
      <c r="AB1208" s="4"/>
      <c r="AC1208" s="4"/>
      <c r="AD1208" s="6"/>
      <c r="AE1208" s="4"/>
      <c r="AF1208" s="4"/>
      <c r="AG1208" s="4"/>
      <c r="AH1208" s="4">
        <v>417480000000</v>
      </c>
    </row>
    <row r="1209" spans="1:34" x14ac:dyDescent="0.25">
      <c r="A1209" s="4">
        <v>1208</v>
      </c>
      <c r="B1209" s="5" t="s">
        <v>2545</v>
      </c>
      <c r="C1209" s="5" t="s">
        <v>2546</v>
      </c>
      <c r="D1209" s="5" t="s">
        <v>1586</v>
      </c>
      <c r="E1209" s="5" t="s">
        <v>29</v>
      </c>
      <c r="F1209" s="5" t="s">
        <v>30</v>
      </c>
      <c r="G1209" s="5" t="s">
        <v>31</v>
      </c>
      <c r="H1209" s="4"/>
      <c r="I1209" s="4"/>
      <c r="J1209" s="6"/>
      <c r="K1209" s="6"/>
      <c r="L1209" s="6"/>
      <c r="M1209" s="4"/>
      <c r="N1209" s="4"/>
      <c r="O1209" s="4"/>
      <c r="P1209" s="6"/>
      <c r="Q1209" s="6"/>
      <c r="R1209" s="6"/>
      <c r="S1209" s="6"/>
      <c r="T1209" s="4"/>
      <c r="U1209" s="6"/>
      <c r="V1209" s="6"/>
      <c r="W1209" s="6"/>
      <c r="X1209" s="6"/>
      <c r="Y1209" s="4"/>
      <c r="Z1209" s="6"/>
      <c r="AA1209" s="4"/>
      <c r="AB1209" s="4"/>
      <c r="AC1209" s="4"/>
      <c r="AD1209" s="6"/>
      <c r="AE1209" s="4"/>
      <c r="AF1209" s="4"/>
      <c r="AG1209" s="4"/>
      <c r="AH1209" s="4">
        <v>1394169758675</v>
      </c>
    </row>
    <row r="1210" spans="1:34" x14ac:dyDescent="0.25">
      <c r="A1210" s="4">
        <v>1209</v>
      </c>
      <c r="B1210" s="5" t="s">
        <v>2547</v>
      </c>
      <c r="C1210" s="5" t="s">
        <v>2548</v>
      </c>
      <c r="D1210" s="5" t="s">
        <v>1586</v>
      </c>
      <c r="E1210" s="5" t="s">
        <v>29</v>
      </c>
      <c r="F1210" s="5" t="s">
        <v>30</v>
      </c>
      <c r="G1210" s="5" t="s">
        <v>83</v>
      </c>
      <c r="H1210" s="4">
        <v>237669021894</v>
      </c>
      <c r="I1210" s="4">
        <v>494837478572</v>
      </c>
      <c r="J1210" s="6">
        <v>0.17879999999999999</v>
      </c>
      <c r="K1210" s="6"/>
      <c r="L1210" s="6"/>
      <c r="M1210" s="4">
        <v>18641573987</v>
      </c>
      <c r="N1210" s="4">
        <v>39668197643</v>
      </c>
      <c r="O1210" s="4"/>
      <c r="P1210" s="6">
        <v>6.7900000000000002E-2</v>
      </c>
      <c r="Q1210" s="6"/>
      <c r="R1210" s="6"/>
      <c r="S1210" s="6">
        <v>-0.11409999999999999</v>
      </c>
      <c r="T1210" s="4"/>
      <c r="U1210" s="6"/>
      <c r="V1210" s="6"/>
      <c r="W1210" s="6"/>
      <c r="X1210" s="6"/>
      <c r="Y1210" s="4"/>
      <c r="Z1210" s="6">
        <v>-7.5800000000000006E-2</v>
      </c>
      <c r="AA1210" s="4"/>
      <c r="AB1210" s="4"/>
      <c r="AC1210" s="4"/>
      <c r="AD1210" s="6"/>
      <c r="AE1210" s="4"/>
      <c r="AF1210" s="4"/>
      <c r="AG1210" s="4"/>
      <c r="AH1210" s="4">
        <v>721518042000</v>
      </c>
    </row>
    <row r="1211" spans="1:34" x14ac:dyDescent="0.25">
      <c r="A1211" s="4">
        <v>1210</v>
      </c>
      <c r="B1211" s="5" t="s">
        <v>2549</v>
      </c>
      <c r="C1211" s="5" t="s">
        <v>2550</v>
      </c>
      <c r="D1211" s="5" t="s">
        <v>1586</v>
      </c>
      <c r="E1211" s="5" t="s">
        <v>98</v>
      </c>
      <c r="F1211" s="5" t="s">
        <v>99</v>
      </c>
      <c r="G1211" s="5" t="s">
        <v>144</v>
      </c>
      <c r="H1211" s="4">
        <v>90873425378</v>
      </c>
      <c r="I1211" s="4">
        <v>132136300352</v>
      </c>
      <c r="J1211" s="6">
        <v>-0.19040000000000001</v>
      </c>
      <c r="K1211" s="6">
        <v>-0.12690000000000001</v>
      </c>
      <c r="L1211" s="6">
        <v>1.15E-2</v>
      </c>
      <c r="M1211" s="4">
        <v>41551571653</v>
      </c>
      <c r="N1211" s="4">
        <v>41153350419</v>
      </c>
      <c r="O1211" s="4"/>
      <c r="P1211" s="6">
        <v>-0.32500000000000001</v>
      </c>
      <c r="Q1211" s="6">
        <v>-0.29570000000000002</v>
      </c>
      <c r="R1211" s="6">
        <v>0.15570000000000001</v>
      </c>
      <c r="S1211" s="6">
        <v>105.3429</v>
      </c>
      <c r="T1211" s="4"/>
      <c r="U1211" s="6">
        <v>-0.64439999999999997</v>
      </c>
      <c r="V1211" s="6">
        <v>-0.71309999999999996</v>
      </c>
      <c r="W1211" s="6">
        <v>-0.73660000000000003</v>
      </c>
      <c r="X1211" s="6">
        <v>0</v>
      </c>
      <c r="Y1211" s="4"/>
      <c r="Z1211" s="6">
        <v>1.2022999999999999</v>
      </c>
      <c r="AA1211" s="4"/>
      <c r="AB1211" s="4"/>
      <c r="AC1211" s="4"/>
      <c r="AD1211" s="6">
        <v>0</v>
      </c>
      <c r="AE1211" s="4"/>
      <c r="AF1211" s="4"/>
      <c r="AG1211" s="4"/>
      <c r="AH1211" s="4">
        <v>1799782560000</v>
      </c>
    </row>
    <row r="1212" spans="1:34" x14ac:dyDescent="0.25">
      <c r="A1212" s="4">
        <v>1211</v>
      </c>
      <c r="B1212" s="5" t="s">
        <v>2551</v>
      </c>
      <c r="C1212" s="5" t="s">
        <v>2552</v>
      </c>
      <c r="D1212" s="5" t="s">
        <v>1586</v>
      </c>
      <c r="E1212" s="5" t="s">
        <v>234</v>
      </c>
      <c r="F1212" s="5" t="s">
        <v>235</v>
      </c>
      <c r="G1212" s="5" t="s">
        <v>236</v>
      </c>
      <c r="H1212" s="4"/>
      <c r="I1212" s="4"/>
      <c r="J1212" s="6"/>
      <c r="K1212" s="6"/>
      <c r="L1212" s="6"/>
      <c r="M1212" s="4"/>
      <c r="N1212" s="4"/>
      <c r="O1212" s="4"/>
      <c r="P1212" s="6"/>
      <c r="Q1212" s="6"/>
      <c r="R1212" s="6"/>
      <c r="S1212" s="6"/>
      <c r="T1212" s="4"/>
      <c r="U1212" s="6"/>
      <c r="V1212" s="6"/>
      <c r="W1212" s="6"/>
      <c r="X1212" s="6"/>
      <c r="Y1212" s="4"/>
      <c r="Z1212" s="6"/>
      <c r="AA1212" s="4"/>
      <c r="AB1212" s="4"/>
      <c r="AC1212" s="4"/>
      <c r="AD1212" s="6"/>
      <c r="AE1212" s="4"/>
      <c r="AF1212" s="4"/>
      <c r="AG1212" s="4"/>
      <c r="AH1212" s="4">
        <v>1151052000000</v>
      </c>
    </row>
    <row r="1213" spans="1:34" x14ac:dyDescent="0.25">
      <c r="A1213" s="4">
        <v>1212</v>
      </c>
      <c r="B1213" s="5" t="s">
        <v>2553</v>
      </c>
      <c r="C1213" s="5" t="s">
        <v>2554</v>
      </c>
      <c r="D1213" s="5" t="s">
        <v>1586</v>
      </c>
      <c r="E1213" s="5" t="s">
        <v>29</v>
      </c>
      <c r="F1213" s="5" t="s">
        <v>30</v>
      </c>
      <c r="G1213" s="5" t="s">
        <v>83</v>
      </c>
      <c r="H1213" s="4"/>
      <c r="I1213" s="4"/>
      <c r="J1213" s="6"/>
      <c r="K1213" s="6"/>
      <c r="L1213" s="6"/>
      <c r="M1213" s="4"/>
      <c r="N1213" s="4"/>
      <c r="O1213" s="4"/>
      <c r="P1213" s="6"/>
      <c r="Q1213" s="6"/>
      <c r="R1213" s="6"/>
      <c r="S1213" s="6"/>
      <c r="T1213" s="4"/>
      <c r="U1213" s="6"/>
      <c r="V1213" s="6"/>
      <c r="W1213" s="6"/>
      <c r="X1213" s="6"/>
      <c r="Y1213" s="4"/>
      <c r="Z1213" s="6"/>
      <c r="AA1213" s="4"/>
      <c r="AB1213" s="4"/>
      <c r="AC1213" s="4"/>
      <c r="AD1213" s="6"/>
      <c r="AE1213" s="4"/>
      <c r="AF1213" s="4"/>
      <c r="AG1213" s="4"/>
      <c r="AH1213" s="4">
        <v>7068420000</v>
      </c>
    </row>
    <row r="1214" spans="1:34" x14ac:dyDescent="0.25">
      <c r="A1214" s="4">
        <v>1213</v>
      </c>
      <c r="B1214" s="5" t="s">
        <v>2555</v>
      </c>
      <c r="C1214" s="5" t="s">
        <v>2556</v>
      </c>
      <c r="D1214" s="5" t="s">
        <v>1586</v>
      </c>
      <c r="E1214" s="5" t="s">
        <v>234</v>
      </c>
      <c r="F1214" s="5" t="s">
        <v>235</v>
      </c>
      <c r="G1214" s="5" t="s">
        <v>236</v>
      </c>
      <c r="H1214" s="4"/>
      <c r="I1214" s="4"/>
      <c r="J1214" s="6"/>
      <c r="K1214" s="6"/>
      <c r="L1214" s="6"/>
      <c r="M1214" s="4"/>
      <c r="N1214" s="4"/>
      <c r="O1214" s="4"/>
      <c r="P1214" s="6"/>
      <c r="Q1214" s="6"/>
      <c r="R1214" s="6"/>
      <c r="S1214" s="6"/>
      <c r="T1214" s="4"/>
      <c r="U1214" s="6"/>
      <c r="V1214" s="6"/>
      <c r="W1214" s="6"/>
      <c r="X1214" s="6"/>
      <c r="Y1214" s="4"/>
      <c r="Z1214" s="6"/>
      <c r="AA1214" s="4"/>
      <c r="AB1214" s="4"/>
      <c r="AC1214" s="4"/>
      <c r="AD1214" s="6"/>
      <c r="AE1214" s="4"/>
      <c r="AF1214" s="4"/>
      <c r="AG1214" s="4"/>
      <c r="AH1214" s="4">
        <v>255300000000</v>
      </c>
    </row>
    <row r="1215" spans="1:34" x14ac:dyDescent="0.25">
      <c r="A1215" s="4">
        <v>1214</v>
      </c>
      <c r="B1215" s="5" t="s">
        <v>2557</v>
      </c>
      <c r="C1215" s="5" t="s">
        <v>2558</v>
      </c>
      <c r="D1215" s="5" t="s">
        <v>1586</v>
      </c>
      <c r="E1215" s="5" t="s">
        <v>29</v>
      </c>
      <c r="F1215" s="5" t="s">
        <v>36</v>
      </c>
      <c r="G1215" s="5" t="s">
        <v>37</v>
      </c>
      <c r="H1215" s="4"/>
      <c r="I1215" s="4"/>
      <c r="J1215" s="6"/>
      <c r="K1215" s="6"/>
      <c r="L1215" s="6"/>
      <c r="M1215" s="4"/>
      <c r="N1215" s="4"/>
      <c r="O1215" s="4"/>
      <c r="P1215" s="6"/>
      <c r="Q1215" s="6"/>
      <c r="R1215" s="6"/>
      <c r="S1215" s="6"/>
      <c r="T1215" s="4"/>
      <c r="U1215" s="6"/>
      <c r="V1215" s="6"/>
      <c r="W1215" s="6"/>
      <c r="X1215" s="6"/>
      <c r="Y1215" s="4"/>
      <c r="Z1215" s="6"/>
      <c r="AA1215" s="4"/>
      <c r="AB1215" s="4"/>
      <c r="AC1215" s="4"/>
      <c r="AD1215" s="6"/>
      <c r="AE1215" s="4"/>
      <c r="AF1215" s="4"/>
      <c r="AG1215" s="4"/>
      <c r="AH1215" s="4">
        <v>71709289960</v>
      </c>
    </row>
    <row r="1216" spans="1:34" x14ac:dyDescent="0.25">
      <c r="A1216" s="4">
        <v>1215</v>
      </c>
      <c r="B1216" s="5" t="s">
        <v>2559</v>
      </c>
      <c r="C1216" s="5" t="s">
        <v>2560</v>
      </c>
      <c r="D1216" s="5" t="s">
        <v>1586</v>
      </c>
      <c r="E1216" s="5" t="s">
        <v>98</v>
      </c>
      <c r="F1216" s="5" t="s">
        <v>99</v>
      </c>
      <c r="G1216" s="5" t="s">
        <v>155</v>
      </c>
      <c r="H1216" s="4">
        <v>78299771347</v>
      </c>
      <c r="I1216" s="4">
        <v>146239327255</v>
      </c>
      <c r="J1216" s="6">
        <v>0.1179</v>
      </c>
      <c r="K1216" s="6">
        <v>8.8900000000000007E-2</v>
      </c>
      <c r="L1216" s="6">
        <v>5.3600000000000002E-2</v>
      </c>
      <c r="M1216" s="4">
        <v>10999532936</v>
      </c>
      <c r="N1216" s="4">
        <v>20656470727</v>
      </c>
      <c r="O1216" s="4"/>
      <c r="P1216" s="6">
        <v>-3.0000000000000001E-3</v>
      </c>
      <c r="Q1216" s="6">
        <v>-1.1999999999999999E-3</v>
      </c>
      <c r="R1216" s="6">
        <v>-2.4400000000000002E-2</v>
      </c>
      <c r="S1216" s="6">
        <v>0.13900000000000001</v>
      </c>
      <c r="T1216" s="4"/>
      <c r="U1216" s="6">
        <v>-0.45490000000000003</v>
      </c>
      <c r="V1216" s="6">
        <v>-0.33239999999999997</v>
      </c>
      <c r="W1216" s="6">
        <v>-0.25369999999999998</v>
      </c>
      <c r="X1216" s="6">
        <v>0</v>
      </c>
      <c r="Y1216" s="4"/>
      <c r="Z1216" s="6">
        <v>0.1525</v>
      </c>
      <c r="AA1216" s="4"/>
      <c r="AB1216" s="4"/>
      <c r="AC1216" s="4"/>
      <c r="AD1216" s="6">
        <v>0</v>
      </c>
      <c r="AE1216" s="4"/>
      <c r="AF1216" s="4"/>
      <c r="AG1216" s="4"/>
      <c r="AH1216" s="4">
        <v>540803158400</v>
      </c>
    </row>
    <row r="1217" spans="1:34" x14ac:dyDescent="0.25">
      <c r="A1217" s="4">
        <v>1216</v>
      </c>
      <c r="B1217" s="5" t="s">
        <v>2561</v>
      </c>
      <c r="C1217" s="5" t="s">
        <v>2562</v>
      </c>
      <c r="D1217" s="5" t="s">
        <v>1586</v>
      </c>
      <c r="E1217" s="5" t="s">
        <v>40</v>
      </c>
      <c r="F1217" s="5" t="s">
        <v>52</v>
      </c>
      <c r="G1217" s="5" t="s">
        <v>110</v>
      </c>
      <c r="H1217" s="4"/>
      <c r="I1217" s="4"/>
      <c r="J1217" s="6"/>
      <c r="K1217" s="6"/>
      <c r="L1217" s="6"/>
      <c r="M1217" s="4"/>
      <c r="N1217" s="4"/>
      <c r="O1217" s="4"/>
      <c r="P1217" s="6"/>
      <c r="Q1217" s="6"/>
      <c r="R1217" s="6"/>
      <c r="S1217" s="6"/>
      <c r="T1217" s="4"/>
      <c r="U1217" s="6"/>
      <c r="V1217" s="6"/>
      <c r="W1217" s="6"/>
      <c r="X1217" s="6"/>
      <c r="Y1217" s="4"/>
      <c r="Z1217" s="6"/>
      <c r="AA1217" s="4"/>
      <c r="AB1217" s="4"/>
      <c r="AC1217" s="4"/>
      <c r="AD1217" s="6"/>
      <c r="AE1217" s="4"/>
      <c r="AF1217" s="4"/>
      <c r="AG1217" s="4"/>
      <c r="AH1217" s="4">
        <v>247252500000</v>
      </c>
    </row>
    <row r="1218" spans="1:34" x14ac:dyDescent="0.25">
      <c r="A1218" s="4">
        <v>1217</v>
      </c>
      <c r="B1218" s="5" t="s">
        <v>2563</v>
      </c>
      <c r="C1218" s="5" t="s">
        <v>2564</v>
      </c>
      <c r="D1218" s="5" t="s">
        <v>1586</v>
      </c>
      <c r="E1218" s="5" t="s">
        <v>29</v>
      </c>
      <c r="F1218" s="5" t="s">
        <v>30</v>
      </c>
      <c r="G1218" s="5" t="s">
        <v>31</v>
      </c>
      <c r="H1218" s="4"/>
      <c r="I1218" s="4"/>
      <c r="J1218" s="6"/>
      <c r="K1218" s="6"/>
      <c r="L1218" s="6"/>
      <c r="M1218" s="4"/>
      <c r="N1218" s="4"/>
      <c r="O1218" s="4"/>
      <c r="P1218" s="6"/>
      <c r="Q1218" s="6"/>
      <c r="R1218" s="6"/>
      <c r="S1218" s="6"/>
      <c r="T1218" s="4"/>
      <c r="U1218" s="6"/>
      <c r="V1218" s="6"/>
      <c r="W1218" s="6"/>
      <c r="X1218" s="6"/>
      <c r="Y1218" s="4"/>
      <c r="Z1218" s="6"/>
      <c r="AA1218" s="4"/>
      <c r="AB1218" s="4"/>
      <c r="AC1218" s="4"/>
      <c r="AD1218" s="6"/>
      <c r="AE1218" s="4"/>
      <c r="AF1218" s="4"/>
      <c r="AG1218" s="4"/>
      <c r="AH1218" s="4">
        <v>2759824800</v>
      </c>
    </row>
    <row r="1219" spans="1:34" x14ac:dyDescent="0.25">
      <c r="A1219" s="4">
        <v>1218</v>
      </c>
      <c r="B1219" s="5" t="s">
        <v>2565</v>
      </c>
      <c r="C1219" s="5" t="s">
        <v>2566</v>
      </c>
      <c r="D1219" s="5" t="s">
        <v>1586</v>
      </c>
      <c r="E1219" s="5" t="s">
        <v>234</v>
      </c>
      <c r="F1219" s="5" t="s">
        <v>235</v>
      </c>
      <c r="G1219" s="5" t="s">
        <v>236</v>
      </c>
      <c r="H1219" s="4"/>
      <c r="I1219" s="4"/>
      <c r="J1219" s="6"/>
      <c r="K1219" s="6"/>
      <c r="L1219" s="6"/>
      <c r="M1219" s="4"/>
      <c r="N1219" s="4"/>
      <c r="O1219" s="4"/>
      <c r="P1219" s="6"/>
      <c r="Q1219" s="6"/>
      <c r="R1219" s="6"/>
      <c r="S1219" s="6"/>
      <c r="T1219" s="4"/>
      <c r="U1219" s="6"/>
      <c r="V1219" s="6"/>
      <c r="W1219" s="6"/>
      <c r="X1219" s="6"/>
      <c r="Y1219" s="4"/>
      <c r="Z1219" s="6"/>
      <c r="AA1219" s="4"/>
      <c r="AB1219" s="4"/>
      <c r="AC1219" s="4"/>
      <c r="AD1219" s="6"/>
      <c r="AE1219" s="4"/>
      <c r="AF1219" s="4"/>
      <c r="AG1219" s="4"/>
      <c r="AH1219" s="4">
        <v>369200000000</v>
      </c>
    </row>
    <row r="1220" spans="1:34" x14ac:dyDescent="0.25">
      <c r="A1220" s="4">
        <v>1219</v>
      </c>
      <c r="B1220" s="5" t="s">
        <v>2567</v>
      </c>
      <c r="C1220" s="5" t="s">
        <v>2568</v>
      </c>
      <c r="D1220" s="5" t="s">
        <v>1586</v>
      </c>
      <c r="E1220" s="5" t="s">
        <v>24</v>
      </c>
      <c r="F1220" s="5" t="s">
        <v>56</v>
      </c>
      <c r="G1220" s="5" t="s">
        <v>1856</v>
      </c>
      <c r="H1220" s="4"/>
      <c r="I1220" s="4"/>
      <c r="J1220" s="6"/>
      <c r="K1220" s="6"/>
      <c r="L1220" s="6"/>
      <c r="M1220" s="4"/>
      <c r="N1220" s="4"/>
      <c r="O1220" s="4"/>
      <c r="P1220" s="6"/>
      <c r="Q1220" s="6"/>
      <c r="R1220" s="6"/>
      <c r="S1220" s="6"/>
      <c r="T1220" s="4"/>
      <c r="U1220" s="6"/>
      <c r="V1220" s="6"/>
      <c r="W1220" s="6"/>
      <c r="X1220" s="6"/>
      <c r="Y1220" s="4"/>
      <c r="Z1220" s="6"/>
      <c r="AA1220" s="4"/>
      <c r="AB1220" s="4"/>
      <c r="AC1220" s="4"/>
      <c r="AD1220" s="6"/>
      <c r="AE1220" s="4"/>
      <c r="AF1220" s="4"/>
      <c r="AG1220" s="4"/>
      <c r="AH1220" s="4">
        <v>3288067200</v>
      </c>
    </row>
    <row r="1221" spans="1:34" x14ac:dyDescent="0.25">
      <c r="A1221" s="4">
        <v>1220</v>
      </c>
      <c r="B1221" s="5" t="s">
        <v>2569</v>
      </c>
      <c r="C1221" s="5" t="s">
        <v>2570</v>
      </c>
      <c r="D1221" s="5" t="s">
        <v>1586</v>
      </c>
      <c r="E1221" s="5" t="s">
        <v>29</v>
      </c>
      <c r="F1221" s="5" t="s">
        <v>36</v>
      </c>
      <c r="G1221" s="5" t="s">
        <v>37</v>
      </c>
      <c r="H1221" s="4"/>
      <c r="I1221" s="4"/>
      <c r="J1221" s="6"/>
      <c r="K1221" s="6"/>
      <c r="L1221" s="6"/>
      <c r="M1221" s="4"/>
      <c r="N1221" s="4"/>
      <c r="O1221" s="4"/>
      <c r="P1221" s="6"/>
      <c r="Q1221" s="6"/>
      <c r="R1221" s="6"/>
      <c r="S1221" s="6"/>
      <c r="T1221" s="4"/>
      <c r="U1221" s="6"/>
      <c r="V1221" s="6"/>
      <c r="W1221" s="6"/>
      <c r="X1221" s="6"/>
      <c r="Y1221" s="4"/>
      <c r="Z1221" s="6"/>
      <c r="AA1221" s="4"/>
      <c r="AB1221" s="4"/>
      <c r="AC1221" s="4"/>
      <c r="AD1221" s="6"/>
      <c r="AE1221" s="4"/>
      <c r="AF1221" s="4"/>
      <c r="AG1221" s="4"/>
      <c r="AH1221" s="4">
        <v>67923921000</v>
      </c>
    </row>
    <row r="1222" spans="1:34" x14ac:dyDescent="0.25">
      <c r="A1222" s="4">
        <v>1221</v>
      </c>
      <c r="B1222" s="5" t="s">
        <v>2571</v>
      </c>
      <c r="C1222" s="5" t="s">
        <v>2572</v>
      </c>
      <c r="D1222" s="5" t="s">
        <v>1586</v>
      </c>
      <c r="E1222" s="5" t="s">
        <v>98</v>
      </c>
      <c r="F1222" s="5" t="s">
        <v>99</v>
      </c>
      <c r="G1222" s="5" t="s">
        <v>155</v>
      </c>
      <c r="H1222" s="4"/>
      <c r="I1222" s="4"/>
      <c r="J1222" s="6"/>
      <c r="K1222" s="6"/>
      <c r="L1222" s="6"/>
      <c r="M1222" s="4"/>
      <c r="N1222" s="4"/>
      <c r="O1222" s="4"/>
      <c r="P1222" s="6"/>
      <c r="Q1222" s="6"/>
      <c r="R1222" s="6"/>
      <c r="S1222" s="6"/>
      <c r="T1222" s="4"/>
      <c r="U1222" s="6"/>
      <c r="V1222" s="6"/>
      <c r="W1222" s="6"/>
      <c r="X1222" s="6"/>
      <c r="Y1222" s="4"/>
      <c r="Z1222" s="6"/>
      <c r="AA1222" s="4"/>
      <c r="AB1222" s="4"/>
      <c r="AC1222" s="4"/>
      <c r="AD1222" s="6"/>
      <c r="AE1222" s="4"/>
      <c r="AF1222" s="4"/>
      <c r="AG1222" s="4"/>
      <c r="AH1222" s="4">
        <v>27553900000</v>
      </c>
    </row>
    <row r="1223" spans="1:34" x14ac:dyDescent="0.25">
      <c r="A1223" s="4">
        <v>1222</v>
      </c>
      <c r="B1223" s="5" t="s">
        <v>2573</v>
      </c>
      <c r="C1223" s="5" t="s">
        <v>2574</v>
      </c>
      <c r="D1223" s="5" t="s">
        <v>1586</v>
      </c>
      <c r="E1223" s="5" t="s">
        <v>98</v>
      </c>
      <c r="F1223" s="5" t="s">
        <v>99</v>
      </c>
      <c r="G1223" s="5" t="s">
        <v>155</v>
      </c>
      <c r="H1223" s="4"/>
      <c r="I1223" s="4"/>
      <c r="J1223" s="6"/>
      <c r="K1223" s="6"/>
      <c r="L1223" s="6"/>
      <c r="M1223" s="4"/>
      <c r="N1223" s="4"/>
      <c r="O1223" s="4"/>
      <c r="P1223" s="6"/>
      <c r="Q1223" s="6"/>
      <c r="R1223" s="6"/>
      <c r="S1223" s="6"/>
      <c r="T1223" s="4"/>
      <c r="U1223" s="6"/>
      <c r="V1223" s="6"/>
      <c r="W1223" s="6"/>
      <c r="X1223" s="6"/>
      <c r="Y1223" s="4"/>
      <c r="Z1223" s="6"/>
      <c r="AA1223" s="4"/>
      <c r="AB1223" s="4"/>
      <c r="AC1223" s="4"/>
      <c r="AD1223" s="6"/>
      <c r="AE1223" s="4"/>
      <c r="AF1223" s="4"/>
      <c r="AG1223" s="4"/>
      <c r="AH1223" s="4">
        <v>550468778000</v>
      </c>
    </row>
    <row r="1224" spans="1:34" x14ac:dyDescent="0.25">
      <c r="A1224" s="4">
        <v>1223</v>
      </c>
      <c r="B1224" s="5" t="s">
        <v>2575</v>
      </c>
      <c r="C1224" s="5" t="s">
        <v>2576</v>
      </c>
      <c r="D1224" s="5" t="s">
        <v>1586</v>
      </c>
      <c r="E1224" s="5" t="s">
        <v>40</v>
      </c>
      <c r="F1224" s="5" t="s">
        <v>41</v>
      </c>
      <c r="G1224" s="5" t="s">
        <v>406</v>
      </c>
      <c r="H1224" s="4"/>
      <c r="I1224" s="4"/>
      <c r="J1224" s="6"/>
      <c r="K1224" s="6"/>
      <c r="L1224" s="6"/>
      <c r="M1224" s="4"/>
      <c r="N1224" s="4"/>
      <c r="O1224" s="4"/>
      <c r="P1224" s="6"/>
      <c r="Q1224" s="6"/>
      <c r="R1224" s="6"/>
      <c r="S1224" s="6"/>
      <c r="T1224" s="4"/>
      <c r="U1224" s="6"/>
      <c r="V1224" s="6"/>
      <c r="W1224" s="6"/>
      <c r="X1224" s="6"/>
      <c r="Y1224" s="4"/>
      <c r="Z1224" s="6"/>
      <c r="AA1224" s="4"/>
      <c r="AB1224" s="4"/>
      <c r="AC1224" s="4"/>
      <c r="AD1224" s="6"/>
      <c r="AE1224" s="4"/>
      <c r="AF1224" s="4"/>
      <c r="AG1224" s="4"/>
      <c r="AH1224" s="4">
        <v>17573338800</v>
      </c>
    </row>
    <row r="1225" spans="1:34" x14ac:dyDescent="0.25">
      <c r="A1225" s="4">
        <v>1224</v>
      </c>
      <c r="B1225" s="5" t="s">
        <v>2577</v>
      </c>
      <c r="C1225" s="5" t="s">
        <v>2578</v>
      </c>
      <c r="D1225" s="5" t="s">
        <v>1586</v>
      </c>
      <c r="E1225" s="5" t="s">
        <v>98</v>
      </c>
      <c r="F1225" s="5" t="s">
        <v>99</v>
      </c>
      <c r="G1225" s="5" t="s">
        <v>155</v>
      </c>
      <c r="H1225" s="4"/>
      <c r="I1225" s="4"/>
      <c r="J1225" s="6"/>
      <c r="K1225" s="6"/>
      <c r="L1225" s="6"/>
      <c r="M1225" s="4"/>
      <c r="N1225" s="4"/>
      <c r="O1225" s="4"/>
      <c r="P1225" s="6"/>
      <c r="Q1225" s="6"/>
      <c r="R1225" s="6"/>
      <c r="S1225" s="6"/>
      <c r="T1225" s="4"/>
      <c r="U1225" s="6"/>
      <c r="V1225" s="6"/>
      <c r="W1225" s="6"/>
      <c r="X1225" s="6"/>
      <c r="Y1225" s="4"/>
      <c r="Z1225" s="6"/>
      <c r="AA1225" s="4"/>
      <c r="AB1225" s="4"/>
      <c r="AC1225" s="4"/>
      <c r="AD1225" s="6"/>
      <c r="AE1225" s="4"/>
      <c r="AF1225" s="4"/>
      <c r="AG1225" s="4"/>
      <c r="AH1225" s="4">
        <v>174025060400</v>
      </c>
    </row>
    <row r="1226" spans="1:34" x14ac:dyDescent="0.25">
      <c r="A1226" s="4">
        <v>1225</v>
      </c>
      <c r="B1226" s="5" t="s">
        <v>2579</v>
      </c>
      <c r="C1226" s="5" t="s">
        <v>2580</v>
      </c>
      <c r="D1226" s="5" t="s">
        <v>1586</v>
      </c>
      <c r="E1226" s="5" t="s">
        <v>98</v>
      </c>
      <c r="F1226" s="5" t="s">
        <v>99</v>
      </c>
      <c r="G1226" s="5" t="s">
        <v>155</v>
      </c>
      <c r="H1226" s="4"/>
      <c r="I1226" s="4"/>
      <c r="J1226" s="6"/>
      <c r="K1226" s="6"/>
      <c r="L1226" s="6"/>
      <c r="M1226" s="4"/>
      <c r="N1226" s="4"/>
      <c r="O1226" s="4"/>
      <c r="P1226" s="6"/>
      <c r="Q1226" s="6"/>
      <c r="R1226" s="6"/>
      <c r="S1226" s="6"/>
      <c r="T1226" s="4"/>
      <c r="U1226" s="6"/>
      <c r="V1226" s="6"/>
      <c r="W1226" s="6"/>
      <c r="X1226" s="6"/>
      <c r="Y1226" s="4"/>
      <c r="Z1226" s="6"/>
      <c r="AA1226" s="4"/>
      <c r="AB1226" s="4"/>
      <c r="AC1226" s="4"/>
      <c r="AD1226" s="6"/>
      <c r="AE1226" s="4"/>
      <c r="AF1226" s="4"/>
      <c r="AG1226" s="4"/>
      <c r="AH1226" s="4">
        <v>569313841600</v>
      </c>
    </row>
    <row r="1227" spans="1:34" x14ac:dyDescent="0.25">
      <c r="A1227" s="4">
        <v>1226</v>
      </c>
      <c r="B1227" s="5" t="s">
        <v>2581</v>
      </c>
      <c r="C1227" s="5" t="s">
        <v>2582</v>
      </c>
      <c r="D1227" s="5" t="s">
        <v>1586</v>
      </c>
      <c r="E1227" s="5" t="s">
        <v>24</v>
      </c>
      <c r="F1227" s="5" t="s">
        <v>25</v>
      </c>
      <c r="G1227" s="5" t="s">
        <v>26</v>
      </c>
      <c r="H1227" s="4"/>
      <c r="I1227" s="4"/>
      <c r="J1227" s="6"/>
      <c r="K1227" s="6"/>
      <c r="L1227" s="6"/>
      <c r="M1227" s="4"/>
      <c r="N1227" s="4"/>
      <c r="O1227" s="4"/>
      <c r="P1227" s="6"/>
      <c r="Q1227" s="6"/>
      <c r="R1227" s="6"/>
      <c r="S1227" s="6"/>
      <c r="T1227" s="4"/>
      <c r="U1227" s="6"/>
      <c r="V1227" s="6"/>
      <c r="W1227" s="6"/>
      <c r="X1227" s="6"/>
      <c r="Y1227" s="4"/>
      <c r="Z1227" s="6"/>
      <c r="AA1227" s="4"/>
      <c r="AB1227" s="4"/>
      <c r="AC1227" s="4"/>
      <c r="AD1227" s="6"/>
      <c r="AE1227" s="4"/>
      <c r="AF1227" s="4"/>
      <c r="AG1227" s="4"/>
      <c r="AH1227" s="4">
        <v>112309704000</v>
      </c>
    </row>
    <row r="1228" spans="1:34" x14ac:dyDescent="0.25">
      <c r="A1228" s="4">
        <v>1227</v>
      </c>
      <c r="B1228" s="5" t="s">
        <v>2583</v>
      </c>
      <c r="C1228" s="5" t="s">
        <v>2584</v>
      </c>
      <c r="D1228" s="5" t="s">
        <v>1586</v>
      </c>
      <c r="E1228" s="5" t="s">
        <v>98</v>
      </c>
      <c r="F1228" s="5" t="s">
        <v>99</v>
      </c>
      <c r="G1228" s="5" t="s">
        <v>155</v>
      </c>
      <c r="H1228" s="4"/>
      <c r="I1228" s="4"/>
      <c r="J1228" s="6"/>
      <c r="K1228" s="6"/>
      <c r="L1228" s="6"/>
      <c r="M1228" s="4"/>
      <c r="N1228" s="4"/>
      <c r="O1228" s="4"/>
      <c r="P1228" s="6"/>
      <c r="Q1228" s="6"/>
      <c r="R1228" s="6"/>
      <c r="S1228" s="6"/>
      <c r="T1228" s="4"/>
      <c r="U1228" s="6"/>
      <c r="V1228" s="6"/>
      <c r="W1228" s="6"/>
      <c r="X1228" s="6"/>
      <c r="Y1228" s="4"/>
      <c r="Z1228" s="6"/>
      <c r="AA1228" s="4"/>
      <c r="AB1228" s="4"/>
      <c r="AC1228" s="4"/>
      <c r="AD1228" s="6"/>
      <c r="AE1228" s="4"/>
      <c r="AF1228" s="4"/>
      <c r="AG1228" s="4"/>
      <c r="AH1228" s="4">
        <v>233744969700</v>
      </c>
    </row>
    <row r="1229" spans="1:34" x14ac:dyDescent="0.25">
      <c r="A1229" s="4">
        <v>1228</v>
      </c>
      <c r="B1229" s="5" t="s">
        <v>2585</v>
      </c>
      <c r="C1229" s="5" t="s">
        <v>2586</v>
      </c>
      <c r="D1229" s="5" t="s">
        <v>1586</v>
      </c>
      <c r="E1229" s="5" t="s">
        <v>29</v>
      </c>
      <c r="F1229" s="5" t="s">
        <v>30</v>
      </c>
      <c r="G1229" s="5" t="s">
        <v>31</v>
      </c>
      <c r="H1229" s="4"/>
      <c r="I1229" s="4"/>
      <c r="J1229" s="6"/>
      <c r="K1229" s="6"/>
      <c r="L1229" s="6"/>
      <c r="M1229" s="4"/>
      <c r="N1229" s="4"/>
      <c r="O1229" s="4"/>
      <c r="P1229" s="6"/>
      <c r="Q1229" s="6"/>
      <c r="R1229" s="6"/>
      <c r="S1229" s="6"/>
      <c r="T1229" s="4"/>
      <c r="U1229" s="6"/>
      <c r="V1229" s="6"/>
      <c r="W1229" s="6"/>
      <c r="X1229" s="6"/>
      <c r="Y1229" s="4"/>
      <c r="Z1229" s="6"/>
      <c r="AA1229" s="4"/>
      <c r="AB1229" s="4"/>
      <c r="AC1229" s="4"/>
      <c r="AD1229" s="6"/>
      <c r="AE1229" s="4"/>
      <c r="AF1229" s="4"/>
      <c r="AG1229" s="4"/>
      <c r="AH1229" s="4">
        <v>37976585400</v>
      </c>
    </row>
    <row r="1230" spans="1:34" x14ac:dyDescent="0.25">
      <c r="A1230" s="4">
        <v>1229</v>
      </c>
      <c r="B1230" s="5" t="s">
        <v>2587</v>
      </c>
      <c r="C1230" s="5" t="s">
        <v>2588</v>
      </c>
      <c r="D1230" s="5" t="s">
        <v>1586</v>
      </c>
      <c r="E1230" s="5" t="s">
        <v>234</v>
      </c>
      <c r="F1230" s="5" t="s">
        <v>235</v>
      </c>
      <c r="G1230" s="5" t="s">
        <v>236</v>
      </c>
      <c r="H1230" s="4"/>
      <c r="I1230" s="4"/>
      <c r="J1230" s="6"/>
      <c r="K1230" s="6"/>
      <c r="L1230" s="6"/>
      <c r="M1230" s="4"/>
      <c r="N1230" s="4"/>
      <c r="O1230" s="4"/>
      <c r="P1230" s="6"/>
      <c r="Q1230" s="6"/>
      <c r="R1230" s="6"/>
      <c r="S1230" s="6"/>
      <c r="T1230" s="4"/>
      <c r="U1230" s="6"/>
      <c r="V1230" s="6"/>
      <c r="W1230" s="6"/>
      <c r="X1230" s="6"/>
      <c r="Y1230" s="4"/>
      <c r="Z1230" s="6"/>
      <c r="AA1230" s="4"/>
      <c r="AB1230" s="4"/>
      <c r="AC1230" s="4"/>
      <c r="AD1230" s="6"/>
      <c r="AE1230" s="4"/>
      <c r="AF1230" s="4"/>
      <c r="AG1230" s="4"/>
      <c r="AH1230" s="4">
        <v>183000000000</v>
      </c>
    </row>
    <row r="1231" spans="1:34" x14ac:dyDescent="0.25">
      <c r="A1231" s="4">
        <v>1230</v>
      </c>
      <c r="B1231" s="5" t="s">
        <v>2589</v>
      </c>
      <c r="C1231" s="5" t="s">
        <v>2590</v>
      </c>
      <c r="D1231" s="5" t="s">
        <v>1586</v>
      </c>
      <c r="E1231" s="5" t="s">
        <v>29</v>
      </c>
      <c r="F1231" s="5" t="s">
        <v>36</v>
      </c>
      <c r="G1231" s="5" t="s">
        <v>37</v>
      </c>
      <c r="H1231" s="4"/>
      <c r="I1231" s="4"/>
      <c r="J1231" s="6"/>
      <c r="K1231" s="6"/>
      <c r="L1231" s="6"/>
      <c r="M1231" s="4"/>
      <c r="N1231" s="4"/>
      <c r="O1231" s="4"/>
      <c r="P1231" s="6"/>
      <c r="Q1231" s="6"/>
      <c r="R1231" s="6"/>
      <c r="S1231" s="6"/>
      <c r="T1231" s="4"/>
      <c r="U1231" s="6"/>
      <c r="V1231" s="6"/>
      <c r="W1231" s="6"/>
      <c r="X1231" s="6"/>
      <c r="Y1231" s="4"/>
      <c r="Z1231" s="6"/>
      <c r="AA1231" s="4"/>
      <c r="AB1231" s="4"/>
      <c r="AC1231" s="4"/>
      <c r="AD1231" s="6"/>
      <c r="AE1231" s="4"/>
      <c r="AF1231" s="4"/>
      <c r="AG1231" s="4"/>
      <c r="AH1231" s="4">
        <v>220900000000</v>
      </c>
    </row>
    <row r="1232" spans="1:34" x14ac:dyDescent="0.25">
      <c r="A1232" s="4">
        <v>1231</v>
      </c>
      <c r="B1232" s="5" t="s">
        <v>2591</v>
      </c>
      <c r="C1232" s="5" t="s">
        <v>2592</v>
      </c>
      <c r="D1232" s="5" t="s">
        <v>1586</v>
      </c>
      <c r="E1232" s="5" t="s">
        <v>98</v>
      </c>
      <c r="F1232" s="5" t="s">
        <v>99</v>
      </c>
      <c r="G1232" s="5" t="s">
        <v>155</v>
      </c>
      <c r="H1232" s="4"/>
      <c r="I1232" s="4"/>
      <c r="J1232" s="6"/>
      <c r="K1232" s="6"/>
      <c r="L1232" s="6"/>
      <c r="M1232" s="4"/>
      <c r="N1232" s="4"/>
      <c r="O1232" s="4"/>
      <c r="P1232" s="6"/>
      <c r="Q1232" s="6"/>
      <c r="R1232" s="6"/>
      <c r="S1232" s="6"/>
      <c r="T1232" s="4"/>
      <c r="U1232" s="6"/>
      <c r="V1232" s="6"/>
      <c r="W1232" s="6"/>
      <c r="X1232" s="6"/>
      <c r="Y1232" s="4"/>
      <c r="Z1232" s="6"/>
      <c r="AA1232" s="4"/>
      <c r="AB1232" s="4"/>
      <c r="AC1232" s="4"/>
      <c r="AD1232" s="6"/>
      <c r="AE1232" s="4"/>
      <c r="AF1232" s="4"/>
      <c r="AG1232" s="4"/>
      <c r="AH1232" s="4">
        <v>193000000000</v>
      </c>
    </row>
    <row r="1233" spans="1:34" x14ac:dyDescent="0.25">
      <c r="A1233" s="4">
        <v>1232</v>
      </c>
      <c r="B1233" s="5" t="s">
        <v>2593</v>
      </c>
      <c r="C1233" s="5" t="s">
        <v>2594</v>
      </c>
      <c r="D1233" s="5" t="s">
        <v>1586</v>
      </c>
      <c r="E1233" s="5" t="s">
        <v>40</v>
      </c>
      <c r="F1233" s="5" t="s">
        <v>41</v>
      </c>
      <c r="G1233" s="5" t="s">
        <v>1716</v>
      </c>
      <c r="H1233" s="4"/>
      <c r="I1233" s="4"/>
      <c r="J1233" s="6"/>
      <c r="K1233" s="6"/>
      <c r="L1233" s="6"/>
      <c r="M1233" s="4"/>
      <c r="N1233" s="4"/>
      <c r="O1233" s="4"/>
      <c r="P1233" s="6"/>
      <c r="Q1233" s="6"/>
      <c r="R1233" s="6"/>
      <c r="S1233" s="6"/>
      <c r="T1233" s="4"/>
      <c r="U1233" s="6"/>
      <c r="V1233" s="6"/>
      <c r="W1233" s="6"/>
      <c r="X1233" s="6"/>
      <c r="Y1233" s="4"/>
      <c r="Z1233" s="6"/>
      <c r="AA1233" s="4"/>
      <c r="AB1233" s="4"/>
      <c r="AC1233" s="4"/>
      <c r="AD1233" s="6"/>
      <c r="AE1233" s="4"/>
      <c r="AF1233" s="4"/>
      <c r="AG1233" s="4"/>
      <c r="AH1233" s="4">
        <v>64200000000</v>
      </c>
    </row>
    <row r="1234" spans="1:34" x14ac:dyDescent="0.25">
      <c r="A1234" s="4">
        <v>1233</v>
      </c>
      <c r="B1234" s="5" t="s">
        <v>2595</v>
      </c>
      <c r="C1234" s="5" t="s">
        <v>2596</v>
      </c>
      <c r="D1234" s="5" t="s">
        <v>1586</v>
      </c>
      <c r="E1234" s="5" t="s">
        <v>98</v>
      </c>
      <c r="F1234" s="5" t="s">
        <v>99</v>
      </c>
      <c r="G1234" s="5" t="s">
        <v>155</v>
      </c>
      <c r="H1234" s="4"/>
      <c r="I1234" s="4"/>
      <c r="J1234" s="6"/>
      <c r="K1234" s="6"/>
      <c r="L1234" s="6"/>
      <c r="M1234" s="4"/>
      <c r="N1234" s="4"/>
      <c r="O1234" s="4"/>
      <c r="P1234" s="6"/>
      <c r="Q1234" s="6"/>
      <c r="R1234" s="6"/>
      <c r="S1234" s="6"/>
      <c r="T1234" s="4"/>
      <c r="U1234" s="6"/>
      <c r="V1234" s="6"/>
      <c r="W1234" s="6"/>
      <c r="X1234" s="6"/>
      <c r="Y1234" s="4"/>
      <c r="Z1234" s="6"/>
      <c r="AA1234" s="4"/>
      <c r="AB1234" s="4"/>
      <c r="AC1234" s="4"/>
      <c r="AD1234" s="6"/>
      <c r="AE1234" s="4"/>
      <c r="AF1234" s="4"/>
      <c r="AG1234" s="4"/>
      <c r="AH1234" s="4">
        <v>559113000000</v>
      </c>
    </row>
    <row r="1235" spans="1:34" x14ac:dyDescent="0.25">
      <c r="A1235" s="4">
        <v>1234</v>
      </c>
      <c r="B1235" s="5" t="s">
        <v>2597</v>
      </c>
      <c r="C1235" s="5" t="s">
        <v>2598</v>
      </c>
      <c r="D1235" s="5" t="s">
        <v>1586</v>
      </c>
      <c r="E1235" s="5" t="s">
        <v>62</v>
      </c>
      <c r="F1235" s="5" t="s">
        <v>226</v>
      </c>
      <c r="G1235" s="5" t="s">
        <v>737</v>
      </c>
      <c r="H1235" s="4"/>
      <c r="I1235" s="4"/>
      <c r="J1235" s="6"/>
      <c r="K1235" s="6"/>
      <c r="L1235" s="6"/>
      <c r="M1235" s="4"/>
      <c r="N1235" s="4"/>
      <c r="O1235" s="4"/>
      <c r="P1235" s="6"/>
      <c r="Q1235" s="6"/>
      <c r="R1235" s="6"/>
      <c r="S1235" s="6"/>
      <c r="T1235" s="4"/>
      <c r="U1235" s="6"/>
      <c r="V1235" s="6"/>
      <c r="W1235" s="6"/>
      <c r="X1235" s="6"/>
      <c r="Y1235" s="4"/>
      <c r="Z1235" s="6"/>
      <c r="AA1235" s="4"/>
      <c r="AB1235" s="4"/>
      <c r="AC1235" s="4"/>
      <c r="AD1235" s="6"/>
      <c r="AE1235" s="4"/>
      <c r="AF1235" s="4"/>
      <c r="AG1235" s="4"/>
      <c r="AH1235" s="4">
        <v>53550000000</v>
      </c>
    </row>
    <row r="1236" spans="1:34" x14ac:dyDescent="0.25">
      <c r="A1236" s="4">
        <v>1235</v>
      </c>
      <c r="B1236" s="5" t="s">
        <v>2599</v>
      </c>
      <c r="C1236" s="5" t="s">
        <v>2600</v>
      </c>
      <c r="D1236" s="5" t="s">
        <v>1586</v>
      </c>
      <c r="E1236" s="5" t="s">
        <v>40</v>
      </c>
      <c r="F1236" s="5" t="s">
        <v>52</v>
      </c>
      <c r="G1236" s="5" t="s">
        <v>53</v>
      </c>
      <c r="H1236" s="4"/>
      <c r="I1236" s="4"/>
      <c r="J1236" s="6"/>
      <c r="K1236" s="6"/>
      <c r="L1236" s="6"/>
      <c r="M1236" s="4"/>
      <c r="N1236" s="4"/>
      <c r="O1236" s="4"/>
      <c r="P1236" s="6"/>
      <c r="Q1236" s="6"/>
      <c r="R1236" s="6"/>
      <c r="S1236" s="6"/>
      <c r="T1236" s="4"/>
      <c r="U1236" s="6"/>
      <c r="V1236" s="6"/>
      <c r="W1236" s="6"/>
      <c r="X1236" s="6"/>
      <c r="Y1236" s="4"/>
      <c r="Z1236" s="6"/>
      <c r="AA1236" s="4"/>
      <c r="AB1236" s="4"/>
      <c r="AC1236" s="4"/>
      <c r="AD1236" s="6"/>
      <c r="AE1236" s="4"/>
      <c r="AF1236" s="4"/>
      <c r="AG1236" s="4"/>
      <c r="AH1236" s="4">
        <v>27060000000</v>
      </c>
    </row>
    <row r="1237" spans="1:34" x14ac:dyDescent="0.25">
      <c r="A1237" s="4">
        <v>1236</v>
      </c>
      <c r="B1237" s="5" t="s">
        <v>2601</v>
      </c>
      <c r="C1237" s="5" t="s">
        <v>2602</v>
      </c>
      <c r="D1237" s="5" t="s">
        <v>1586</v>
      </c>
      <c r="E1237" s="5" t="s">
        <v>62</v>
      </c>
      <c r="F1237" s="5" t="s">
        <v>63</v>
      </c>
      <c r="G1237" s="5" t="s">
        <v>965</v>
      </c>
      <c r="H1237" s="4"/>
      <c r="I1237" s="4"/>
      <c r="J1237" s="6"/>
      <c r="K1237" s="6"/>
      <c r="L1237" s="6"/>
      <c r="M1237" s="4"/>
      <c r="N1237" s="4"/>
      <c r="O1237" s="4"/>
      <c r="P1237" s="6"/>
      <c r="Q1237" s="6"/>
      <c r="R1237" s="6"/>
      <c r="S1237" s="6"/>
      <c r="T1237" s="4"/>
      <c r="U1237" s="6"/>
      <c r="V1237" s="6"/>
      <c r="W1237" s="6"/>
      <c r="X1237" s="6"/>
      <c r="Y1237" s="4"/>
      <c r="Z1237" s="6"/>
      <c r="AA1237" s="4"/>
      <c r="AB1237" s="4"/>
      <c r="AC1237" s="4"/>
      <c r="AD1237" s="6"/>
      <c r="AE1237" s="4"/>
      <c r="AF1237" s="4"/>
      <c r="AG1237" s="4"/>
      <c r="AH1237" s="4">
        <v>460740000000</v>
      </c>
    </row>
    <row r="1238" spans="1:34" x14ac:dyDescent="0.25">
      <c r="A1238" s="4">
        <v>1237</v>
      </c>
      <c r="B1238" s="5" t="s">
        <v>2603</v>
      </c>
      <c r="C1238" s="5" t="s">
        <v>2604</v>
      </c>
      <c r="D1238" s="5" t="s">
        <v>1586</v>
      </c>
      <c r="E1238" s="5" t="s">
        <v>140</v>
      </c>
      <c r="F1238" s="5" t="s">
        <v>140</v>
      </c>
      <c r="G1238" s="5" t="s">
        <v>141</v>
      </c>
      <c r="H1238" s="4"/>
      <c r="I1238" s="4"/>
      <c r="J1238" s="6"/>
      <c r="K1238" s="6"/>
      <c r="L1238" s="6"/>
      <c r="M1238" s="4"/>
      <c r="N1238" s="4"/>
      <c r="O1238" s="4"/>
      <c r="P1238" s="6"/>
      <c r="Q1238" s="6"/>
      <c r="R1238" s="6"/>
      <c r="S1238" s="6"/>
      <c r="T1238" s="4"/>
      <c r="U1238" s="6"/>
      <c r="V1238" s="6"/>
      <c r="W1238" s="6"/>
      <c r="X1238" s="6"/>
      <c r="Y1238" s="4"/>
      <c r="Z1238" s="6"/>
      <c r="AA1238" s="4"/>
      <c r="AB1238" s="4"/>
      <c r="AC1238" s="4"/>
      <c r="AD1238" s="6"/>
      <c r="AE1238" s="4"/>
      <c r="AF1238" s="4"/>
      <c r="AG1238" s="4"/>
      <c r="AH1238" s="4">
        <v>13447051959000</v>
      </c>
    </row>
    <row r="1239" spans="1:34" x14ac:dyDescent="0.25">
      <c r="A1239" s="4">
        <v>1238</v>
      </c>
      <c r="B1239" s="5" t="s">
        <v>2605</v>
      </c>
      <c r="C1239" s="5" t="s">
        <v>2606</v>
      </c>
      <c r="D1239" s="5" t="s">
        <v>1586</v>
      </c>
      <c r="E1239" s="5" t="s">
        <v>62</v>
      </c>
      <c r="F1239" s="5" t="s">
        <v>226</v>
      </c>
      <c r="G1239" s="5" t="s">
        <v>286</v>
      </c>
      <c r="H1239" s="4"/>
      <c r="I1239" s="4"/>
      <c r="J1239" s="6"/>
      <c r="K1239" s="6"/>
      <c r="L1239" s="6"/>
      <c r="M1239" s="4"/>
      <c r="N1239" s="4"/>
      <c r="O1239" s="4"/>
      <c r="P1239" s="6"/>
      <c r="Q1239" s="6"/>
      <c r="R1239" s="6"/>
      <c r="S1239" s="6"/>
      <c r="T1239" s="4"/>
      <c r="U1239" s="6"/>
      <c r="V1239" s="6"/>
      <c r="W1239" s="6"/>
      <c r="X1239" s="6"/>
      <c r="Y1239" s="4"/>
      <c r="Z1239" s="6"/>
      <c r="AA1239" s="4"/>
      <c r="AB1239" s="4"/>
      <c r="AC1239" s="4"/>
      <c r="AD1239" s="6"/>
      <c r="AE1239" s="4"/>
      <c r="AF1239" s="4"/>
      <c r="AG1239" s="4"/>
      <c r="AH1239" s="4">
        <v>33000000000</v>
      </c>
    </row>
    <row r="1240" spans="1:34" x14ac:dyDescent="0.25">
      <c r="A1240" s="4">
        <v>1239</v>
      </c>
      <c r="B1240" s="5" t="s">
        <v>2607</v>
      </c>
      <c r="C1240" s="5" t="s">
        <v>2608</v>
      </c>
      <c r="D1240" s="5" t="s">
        <v>1586</v>
      </c>
      <c r="E1240" s="5" t="s">
        <v>1306</v>
      </c>
      <c r="F1240" s="5" t="s">
        <v>1306</v>
      </c>
      <c r="G1240" s="5" t="s">
        <v>1307</v>
      </c>
      <c r="H1240" s="4"/>
      <c r="I1240" s="4"/>
      <c r="J1240" s="6"/>
      <c r="K1240" s="6"/>
      <c r="L1240" s="6"/>
      <c r="M1240" s="4"/>
      <c r="N1240" s="4"/>
      <c r="O1240" s="4"/>
      <c r="P1240" s="6"/>
      <c r="Q1240" s="6"/>
      <c r="R1240" s="6"/>
      <c r="S1240" s="6"/>
      <c r="T1240" s="4"/>
      <c r="U1240" s="6"/>
      <c r="V1240" s="6"/>
      <c r="W1240" s="6"/>
      <c r="X1240" s="6"/>
      <c r="Y1240" s="4"/>
      <c r="Z1240" s="6"/>
      <c r="AA1240" s="4"/>
      <c r="AB1240" s="4"/>
      <c r="AC1240" s="4"/>
      <c r="AD1240" s="6"/>
      <c r="AE1240" s="4"/>
      <c r="AF1240" s="4"/>
      <c r="AG1240" s="4"/>
      <c r="AH1240" s="4">
        <v>52517596000</v>
      </c>
    </row>
    <row r="1241" spans="1:34" x14ac:dyDescent="0.25">
      <c r="A1241" s="4">
        <v>1240</v>
      </c>
      <c r="B1241" s="5" t="s">
        <v>2609</v>
      </c>
      <c r="C1241" s="5" t="s">
        <v>2610</v>
      </c>
      <c r="D1241" s="5" t="s">
        <v>1586</v>
      </c>
      <c r="E1241" s="5" t="s">
        <v>40</v>
      </c>
      <c r="F1241" s="5" t="s">
        <v>41</v>
      </c>
      <c r="G1241" s="5" t="s">
        <v>93</v>
      </c>
      <c r="H1241" s="4"/>
      <c r="I1241" s="4"/>
      <c r="J1241" s="6"/>
      <c r="K1241" s="6"/>
      <c r="L1241" s="6"/>
      <c r="M1241" s="4"/>
      <c r="N1241" s="4"/>
      <c r="O1241" s="4"/>
      <c r="P1241" s="6"/>
      <c r="Q1241" s="6"/>
      <c r="R1241" s="6"/>
      <c r="S1241" s="6"/>
      <c r="T1241" s="4"/>
      <c r="U1241" s="6"/>
      <c r="V1241" s="6"/>
      <c r="W1241" s="6"/>
      <c r="X1241" s="6"/>
      <c r="Y1241" s="4"/>
      <c r="Z1241" s="6"/>
      <c r="AA1241" s="4"/>
      <c r="AB1241" s="4"/>
      <c r="AC1241" s="4"/>
      <c r="AD1241" s="6"/>
      <c r="AE1241" s="4"/>
      <c r="AF1241" s="4"/>
      <c r="AG1241" s="4"/>
      <c r="AH1241" s="4">
        <v>9219525000000</v>
      </c>
    </row>
    <row r="1242" spans="1:34" x14ac:dyDescent="0.25">
      <c r="A1242" s="4">
        <v>1241</v>
      </c>
      <c r="B1242" s="5" t="s">
        <v>2611</v>
      </c>
      <c r="C1242" s="5" t="s">
        <v>2612</v>
      </c>
      <c r="D1242" s="5" t="s">
        <v>1586</v>
      </c>
      <c r="E1242" s="5" t="s">
        <v>24</v>
      </c>
      <c r="F1242" s="5" t="s">
        <v>56</v>
      </c>
      <c r="G1242" s="5" t="s">
        <v>291</v>
      </c>
      <c r="H1242" s="4"/>
      <c r="I1242" s="4"/>
      <c r="J1242" s="6"/>
      <c r="K1242" s="6"/>
      <c r="L1242" s="6"/>
      <c r="M1242" s="4"/>
      <c r="N1242" s="4"/>
      <c r="O1242" s="4"/>
      <c r="P1242" s="6"/>
      <c r="Q1242" s="6"/>
      <c r="R1242" s="6"/>
      <c r="S1242" s="6"/>
      <c r="T1242" s="4"/>
      <c r="U1242" s="6"/>
      <c r="V1242" s="6"/>
      <c r="W1242" s="6"/>
      <c r="X1242" s="6"/>
      <c r="Y1242" s="4"/>
      <c r="Z1242" s="6"/>
      <c r="AA1242" s="4"/>
      <c r="AB1242" s="4"/>
      <c r="AC1242" s="4"/>
      <c r="AD1242" s="6"/>
      <c r="AE1242" s="4"/>
      <c r="AF1242" s="4"/>
      <c r="AG1242" s="4"/>
      <c r="AH1242" s="4">
        <v>68526071824</v>
      </c>
    </row>
    <row r="1243" spans="1:34" x14ac:dyDescent="0.25">
      <c r="A1243" s="4">
        <v>1242</v>
      </c>
      <c r="B1243" s="5" t="s">
        <v>2613</v>
      </c>
      <c r="C1243" s="5" t="s">
        <v>2614</v>
      </c>
      <c r="D1243" s="5" t="s">
        <v>1586</v>
      </c>
      <c r="E1243" s="5" t="s">
        <v>24</v>
      </c>
      <c r="F1243" s="5" t="s">
        <v>25</v>
      </c>
      <c r="G1243" s="5" t="s">
        <v>45</v>
      </c>
      <c r="H1243" s="4">
        <v>517355456005</v>
      </c>
      <c r="I1243" s="4">
        <v>939271427360</v>
      </c>
      <c r="J1243" s="6">
        <v>8.3099999999999993E-2</v>
      </c>
      <c r="K1243" s="6"/>
      <c r="L1243" s="6"/>
      <c r="M1243" s="4">
        <v>109836820776</v>
      </c>
      <c r="N1243" s="4">
        <v>156392552913</v>
      </c>
      <c r="O1243" s="4"/>
      <c r="P1243" s="6">
        <v>0.4148</v>
      </c>
      <c r="Q1243" s="6"/>
      <c r="R1243" s="6"/>
      <c r="S1243" s="6">
        <v>1.3593</v>
      </c>
      <c r="T1243" s="4"/>
      <c r="U1243" s="6"/>
      <c r="V1243" s="6"/>
      <c r="W1243" s="6"/>
      <c r="X1243" s="6"/>
      <c r="Y1243" s="4"/>
      <c r="Z1243" s="6">
        <v>0.22620000000000001</v>
      </c>
      <c r="AA1243" s="4"/>
      <c r="AB1243" s="4"/>
      <c r="AC1243" s="4"/>
      <c r="AD1243" s="6"/>
      <c r="AE1243" s="4"/>
      <c r="AF1243" s="4"/>
      <c r="AG1243" s="4"/>
      <c r="AH1243" s="4">
        <v>1570525000000</v>
      </c>
    </row>
    <row r="1244" spans="1:34" x14ac:dyDescent="0.25">
      <c r="A1244" s="4">
        <v>1243</v>
      </c>
      <c r="B1244" s="5" t="s">
        <v>2615</v>
      </c>
      <c r="C1244" s="5" t="s">
        <v>2616</v>
      </c>
      <c r="D1244" s="5" t="s">
        <v>1586</v>
      </c>
      <c r="E1244" s="5" t="s">
        <v>234</v>
      </c>
      <c r="F1244" s="5" t="s">
        <v>235</v>
      </c>
      <c r="G1244" s="5" t="s">
        <v>236</v>
      </c>
      <c r="H1244" s="4">
        <v>205628644023</v>
      </c>
      <c r="I1244" s="4">
        <v>413490538454</v>
      </c>
      <c r="J1244" s="6">
        <v>-0.2878</v>
      </c>
      <c r="K1244" s="6">
        <v>-0.18790000000000001</v>
      </c>
      <c r="L1244" s="6">
        <v>-0.1663</v>
      </c>
      <c r="M1244" s="4">
        <v>17393884989</v>
      </c>
      <c r="N1244" s="4">
        <v>28050970226</v>
      </c>
      <c r="O1244" s="4"/>
      <c r="P1244" s="6">
        <v>2.0830000000000002</v>
      </c>
      <c r="Q1244" s="6">
        <v>6.7324999999999999</v>
      </c>
      <c r="R1244" s="6">
        <v>5.2760999999999996</v>
      </c>
      <c r="S1244" s="6">
        <v>0.6321</v>
      </c>
      <c r="T1244" s="4"/>
      <c r="U1244" s="6">
        <v>-0.70040000000000002</v>
      </c>
      <c r="V1244" s="6">
        <v>-0.59219999999999995</v>
      </c>
      <c r="W1244" s="6">
        <v>-0.59350000000000003</v>
      </c>
      <c r="X1244" s="6">
        <v>9.4299999999999995E-2</v>
      </c>
      <c r="Y1244" s="4"/>
      <c r="Z1244" s="6">
        <v>-1.0699999999999999E-2</v>
      </c>
      <c r="AA1244" s="4"/>
      <c r="AB1244" s="4"/>
      <c r="AC1244" s="4"/>
      <c r="AD1244" s="6">
        <v>0</v>
      </c>
      <c r="AE1244" s="4"/>
      <c r="AF1244" s="4"/>
      <c r="AG1244" s="4"/>
      <c r="AH1244" s="4">
        <v>618501774400</v>
      </c>
    </row>
    <row r="1245" spans="1:34" x14ac:dyDescent="0.25">
      <c r="A1245" s="4">
        <v>1244</v>
      </c>
      <c r="B1245" s="5" t="s">
        <v>2617</v>
      </c>
      <c r="C1245" s="5" t="s">
        <v>2618</v>
      </c>
      <c r="D1245" s="5" t="s">
        <v>1586</v>
      </c>
      <c r="E1245" s="5" t="s">
        <v>40</v>
      </c>
      <c r="F1245" s="5" t="s">
        <v>41</v>
      </c>
      <c r="G1245" s="5" t="s">
        <v>90</v>
      </c>
      <c r="H1245" s="4"/>
      <c r="I1245" s="4"/>
      <c r="J1245" s="6"/>
      <c r="K1245" s="6"/>
      <c r="L1245" s="6"/>
      <c r="M1245" s="4"/>
      <c r="N1245" s="4"/>
      <c r="O1245" s="4"/>
      <c r="P1245" s="6"/>
      <c r="Q1245" s="6"/>
      <c r="R1245" s="6"/>
      <c r="S1245" s="6"/>
      <c r="T1245" s="4"/>
      <c r="U1245" s="6"/>
      <c r="V1245" s="6"/>
      <c r="W1245" s="6"/>
      <c r="X1245" s="6"/>
      <c r="Y1245" s="4"/>
      <c r="Z1245" s="6"/>
      <c r="AA1245" s="4"/>
      <c r="AB1245" s="4"/>
      <c r="AC1245" s="4"/>
      <c r="AD1245" s="6"/>
      <c r="AE1245" s="4"/>
      <c r="AF1245" s="4"/>
      <c r="AG1245" s="4"/>
      <c r="AH1245" s="4">
        <v>215524093200</v>
      </c>
    </row>
    <row r="1246" spans="1:34" x14ac:dyDescent="0.25">
      <c r="A1246" s="4">
        <v>1245</v>
      </c>
      <c r="B1246" s="5" t="s">
        <v>2619</v>
      </c>
      <c r="C1246" s="5" t="s">
        <v>2620</v>
      </c>
      <c r="D1246" s="5" t="s">
        <v>1586</v>
      </c>
      <c r="E1246" s="5" t="s">
        <v>49</v>
      </c>
      <c r="F1246" s="5" t="s">
        <v>49</v>
      </c>
      <c r="G1246" s="5" t="s">
        <v>49</v>
      </c>
      <c r="H1246" s="4"/>
      <c r="I1246" s="4"/>
      <c r="J1246" s="6"/>
      <c r="K1246" s="6"/>
      <c r="L1246" s="6"/>
      <c r="M1246" s="4"/>
      <c r="N1246" s="4"/>
      <c r="O1246" s="4"/>
      <c r="P1246" s="6"/>
      <c r="Q1246" s="6"/>
      <c r="R1246" s="6"/>
      <c r="S1246" s="6"/>
      <c r="T1246" s="4"/>
      <c r="U1246" s="6"/>
      <c r="V1246" s="6"/>
      <c r="W1246" s="6"/>
      <c r="X1246" s="6"/>
      <c r="Y1246" s="4"/>
      <c r="Z1246" s="6"/>
      <c r="AA1246" s="4"/>
      <c r="AB1246" s="4"/>
      <c r="AC1246" s="4"/>
      <c r="AD1246" s="6"/>
      <c r="AE1246" s="4">
        <v>493828000000</v>
      </c>
      <c r="AF1246" s="4">
        <v>1707376000000</v>
      </c>
      <c r="AG1246" s="4">
        <v>1446757000000</v>
      </c>
      <c r="AH1246" s="4"/>
    </row>
    <row r="1247" spans="1:34" x14ac:dyDescent="0.25">
      <c r="A1247" s="4">
        <v>1246</v>
      </c>
      <c r="B1247" s="5" t="s">
        <v>2621</v>
      </c>
      <c r="C1247" s="5" t="s">
        <v>2622</v>
      </c>
      <c r="D1247" s="5" t="s">
        <v>1586</v>
      </c>
      <c r="E1247" s="5" t="s">
        <v>40</v>
      </c>
      <c r="F1247" s="5" t="s">
        <v>52</v>
      </c>
      <c r="G1247" s="5" t="s">
        <v>110</v>
      </c>
      <c r="H1247" s="4"/>
      <c r="I1247" s="4"/>
      <c r="J1247" s="6"/>
      <c r="K1247" s="6"/>
      <c r="L1247" s="6"/>
      <c r="M1247" s="4"/>
      <c r="N1247" s="4"/>
      <c r="O1247" s="4"/>
      <c r="P1247" s="6"/>
      <c r="Q1247" s="6"/>
      <c r="R1247" s="6"/>
      <c r="S1247" s="6"/>
      <c r="T1247" s="4"/>
      <c r="U1247" s="6"/>
      <c r="V1247" s="6"/>
      <c r="W1247" s="6"/>
      <c r="X1247" s="6"/>
      <c r="Y1247" s="4"/>
      <c r="Z1247" s="6"/>
      <c r="AA1247" s="4"/>
      <c r="AB1247" s="4"/>
      <c r="AC1247" s="4"/>
      <c r="AD1247" s="6"/>
      <c r="AE1247" s="4"/>
      <c r="AF1247" s="4"/>
      <c r="AG1247" s="4"/>
      <c r="AH1247" s="4">
        <v>293250000000</v>
      </c>
    </row>
    <row r="1248" spans="1:34" x14ac:dyDescent="0.25">
      <c r="A1248" s="4">
        <v>1247</v>
      </c>
      <c r="B1248" s="5" t="s">
        <v>2623</v>
      </c>
      <c r="C1248" s="5" t="s">
        <v>2624</v>
      </c>
      <c r="D1248" s="5" t="s">
        <v>1586</v>
      </c>
      <c r="E1248" s="5" t="s">
        <v>29</v>
      </c>
      <c r="F1248" s="5" t="s">
        <v>30</v>
      </c>
      <c r="G1248" s="5" t="s">
        <v>574</v>
      </c>
      <c r="H1248" s="4"/>
      <c r="I1248" s="4"/>
      <c r="J1248" s="6"/>
      <c r="K1248" s="6"/>
      <c r="L1248" s="6"/>
      <c r="M1248" s="4"/>
      <c r="N1248" s="4"/>
      <c r="O1248" s="4"/>
      <c r="P1248" s="6"/>
      <c r="Q1248" s="6"/>
      <c r="R1248" s="6"/>
      <c r="S1248" s="6"/>
      <c r="T1248" s="4"/>
      <c r="U1248" s="6"/>
      <c r="V1248" s="6"/>
      <c r="W1248" s="6"/>
      <c r="X1248" s="6"/>
      <c r="Y1248" s="4"/>
      <c r="Z1248" s="6"/>
      <c r="AA1248" s="4"/>
      <c r="AB1248" s="4"/>
      <c r="AC1248" s="4"/>
      <c r="AD1248" s="6"/>
      <c r="AE1248" s="4"/>
      <c r="AF1248" s="4"/>
      <c r="AG1248" s="4"/>
      <c r="AH1248" s="4">
        <v>9300000000</v>
      </c>
    </row>
    <row r="1249" spans="1:34" x14ac:dyDescent="0.25">
      <c r="A1249" s="4">
        <v>1248</v>
      </c>
      <c r="B1249" s="5" t="s">
        <v>2625</v>
      </c>
      <c r="C1249" s="5" t="s">
        <v>2626</v>
      </c>
      <c r="D1249" s="5" t="s">
        <v>1586</v>
      </c>
      <c r="E1249" s="5" t="s">
        <v>98</v>
      </c>
      <c r="F1249" s="5" t="s">
        <v>99</v>
      </c>
      <c r="G1249" s="5" t="s">
        <v>100</v>
      </c>
      <c r="H1249" s="4"/>
      <c r="I1249" s="4"/>
      <c r="J1249" s="6"/>
      <c r="K1249" s="6"/>
      <c r="L1249" s="6"/>
      <c r="M1249" s="4"/>
      <c r="N1249" s="4"/>
      <c r="O1249" s="4"/>
      <c r="P1249" s="6"/>
      <c r="Q1249" s="6"/>
      <c r="R1249" s="6"/>
      <c r="S1249" s="6"/>
      <c r="T1249" s="4"/>
      <c r="U1249" s="6"/>
      <c r="V1249" s="6"/>
      <c r="W1249" s="6"/>
      <c r="X1249" s="6"/>
      <c r="Y1249" s="4"/>
      <c r="Z1249" s="6"/>
      <c r="AA1249" s="4"/>
      <c r="AB1249" s="4"/>
      <c r="AC1249" s="4"/>
      <c r="AD1249" s="6"/>
      <c r="AE1249" s="4"/>
      <c r="AF1249" s="4"/>
      <c r="AG1249" s="4"/>
      <c r="AH1249" s="4">
        <v>58497000000</v>
      </c>
    </row>
    <row r="1250" spans="1:34" x14ac:dyDescent="0.25">
      <c r="A1250" s="4">
        <v>1249</v>
      </c>
      <c r="B1250" s="5" t="s">
        <v>2627</v>
      </c>
      <c r="C1250" s="5" t="s">
        <v>2628</v>
      </c>
      <c r="D1250" s="5" t="s">
        <v>1586</v>
      </c>
      <c r="E1250" s="5" t="s">
        <v>40</v>
      </c>
      <c r="F1250" s="5" t="s">
        <v>52</v>
      </c>
      <c r="G1250" s="5" t="s">
        <v>53</v>
      </c>
      <c r="H1250" s="4"/>
      <c r="I1250" s="4"/>
      <c r="J1250" s="6"/>
      <c r="K1250" s="6"/>
      <c r="L1250" s="6"/>
      <c r="M1250" s="4"/>
      <c r="N1250" s="4"/>
      <c r="O1250" s="4"/>
      <c r="P1250" s="6"/>
      <c r="Q1250" s="6"/>
      <c r="R1250" s="6"/>
      <c r="S1250" s="6"/>
      <c r="T1250" s="4"/>
      <c r="U1250" s="6"/>
      <c r="V1250" s="6"/>
      <c r="W1250" s="6"/>
      <c r="X1250" s="6"/>
      <c r="Y1250" s="4"/>
      <c r="Z1250" s="6"/>
      <c r="AA1250" s="4"/>
      <c r="AB1250" s="4"/>
      <c r="AC1250" s="4"/>
      <c r="AD1250" s="6"/>
      <c r="AE1250" s="4"/>
      <c r="AF1250" s="4"/>
      <c r="AG1250" s="4"/>
      <c r="AH1250" s="4">
        <v>63112000000</v>
      </c>
    </row>
    <row r="1251" spans="1:34" x14ac:dyDescent="0.25">
      <c r="A1251" s="4">
        <v>1250</v>
      </c>
      <c r="B1251" s="5" t="s">
        <v>2629</v>
      </c>
      <c r="C1251" s="5" t="s">
        <v>2630</v>
      </c>
      <c r="D1251" s="5" t="s">
        <v>1586</v>
      </c>
      <c r="E1251" s="5" t="s">
        <v>62</v>
      </c>
      <c r="F1251" s="5" t="s">
        <v>226</v>
      </c>
      <c r="G1251" s="5" t="s">
        <v>737</v>
      </c>
      <c r="H1251" s="4">
        <v>11988172758</v>
      </c>
      <c r="I1251" s="4">
        <v>23009089362</v>
      </c>
      <c r="J1251" s="6">
        <v>5.3999999999999999E-2</v>
      </c>
      <c r="K1251" s="6">
        <v>2.8E-3</v>
      </c>
      <c r="L1251" s="6">
        <v>6.3E-2</v>
      </c>
      <c r="M1251" s="4">
        <v>990795150</v>
      </c>
      <c r="N1251" s="4">
        <v>2026465354</v>
      </c>
      <c r="O1251" s="4"/>
      <c r="P1251" s="6">
        <v>1.6207</v>
      </c>
      <c r="Q1251" s="6">
        <v>-0.105</v>
      </c>
      <c r="R1251" s="6">
        <v>-1.7630999999999999</v>
      </c>
      <c r="S1251" s="6">
        <v>-4.3299999999999998E-2</v>
      </c>
      <c r="T1251" s="4"/>
      <c r="U1251" s="6">
        <v>-0.52059999999999995</v>
      </c>
      <c r="V1251" s="6">
        <v>-0.4587</v>
      </c>
      <c r="W1251" s="6">
        <v>-0.4582</v>
      </c>
      <c r="X1251" s="6">
        <v>0</v>
      </c>
      <c r="Y1251" s="4"/>
      <c r="Z1251" s="6">
        <v>8.7800000000000003E-2</v>
      </c>
      <c r="AA1251" s="4"/>
      <c r="AB1251" s="4"/>
      <c r="AC1251" s="4"/>
      <c r="AD1251" s="6">
        <v>0</v>
      </c>
      <c r="AE1251" s="4"/>
      <c r="AF1251" s="4"/>
      <c r="AG1251" s="4"/>
      <c r="AH1251" s="4">
        <v>67500000000</v>
      </c>
    </row>
    <row r="1252" spans="1:34" x14ac:dyDescent="0.25">
      <c r="A1252" s="4">
        <v>1251</v>
      </c>
      <c r="B1252" s="5" t="s">
        <v>2631</v>
      </c>
      <c r="C1252" s="5" t="s">
        <v>2632</v>
      </c>
      <c r="D1252" s="5" t="s">
        <v>1586</v>
      </c>
      <c r="E1252" s="5" t="s">
        <v>98</v>
      </c>
      <c r="F1252" s="5" t="s">
        <v>99</v>
      </c>
      <c r="G1252" s="5" t="s">
        <v>100</v>
      </c>
      <c r="H1252" s="4"/>
      <c r="I1252" s="4"/>
      <c r="J1252" s="6"/>
      <c r="K1252" s="6"/>
      <c r="L1252" s="6"/>
      <c r="M1252" s="4"/>
      <c r="N1252" s="4"/>
      <c r="O1252" s="4"/>
      <c r="P1252" s="6"/>
      <c r="Q1252" s="6"/>
      <c r="R1252" s="6"/>
      <c r="S1252" s="6"/>
      <c r="T1252" s="4"/>
      <c r="U1252" s="6"/>
      <c r="V1252" s="6"/>
      <c r="W1252" s="6"/>
      <c r="X1252" s="6"/>
      <c r="Y1252" s="4"/>
      <c r="Z1252" s="6"/>
      <c r="AA1252" s="4"/>
      <c r="AB1252" s="4"/>
      <c r="AC1252" s="4"/>
      <c r="AD1252" s="6"/>
      <c r="AE1252" s="4"/>
      <c r="AF1252" s="4"/>
      <c r="AG1252" s="4"/>
      <c r="AH1252" s="4">
        <v>846183398000</v>
      </c>
    </row>
    <row r="1253" spans="1:34" x14ac:dyDescent="0.25">
      <c r="A1253" s="4">
        <v>1252</v>
      </c>
      <c r="B1253" s="5" t="s">
        <v>2633</v>
      </c>
      <c r="C1253" s="5" t="s">
        <v>2634</v>
      </c>
      <c r="D1253" s="5" t="s">
        <v>1586</v>
      </c>
      <c r="E1253" s="5" t="s">
        <v>140</v>
      </c>
      <c r="F1253" s="5" t="s">
        <v>140</v>
      </c>
      <c r="G1253" s="5" t="s">
        <v>671</v>
      </c>
      <c r="H1253" s="4"/>
      <c r="I1253" s="4"/>
      <c r="J1253" s="6"/>
      <c r="K1253" s="6"/>
      <c r="L1253" s="6"/>
      <c r="M1253" s="4"/>
      <c r="N1253" s="4"/>
      <c r="O1253" s="4"/>
      <c r="P1253" s="6"/>
      <c r="Q1253" s="6"/>
      <c r="R1253" s="6"/>
      <c r="S1253" s="6"/>
      <c r="T1253" s="4"/>
      <c r="U1253" s="6"/>
      <c r="V1253" s="6"/>
      <c r="W1253" s="6"/>
      <c r="X1253" s="6"/>
      <c r="Y1253" s="4"/>
      <c r="Z1253" s="6"/>
      <c r="AA1253" s="4"/>
      <c r="AB1253" s="4"/>
      <c r="AC1253" s="4"/>
      <c r="AD1253" s="6"/>
      <c r="AE1253" s="4"/>
      <c r="AF1253" s="4"/>
      <c r="AG1253" s="4"/>
      <c r="AH1253" s="4">
        <v>209048139400</v>
      </c>
    </row>
    <row r="1254" spans="1:34" x14ac:dyDescent="0.25">
      <c r="A1254" s="4">
        <v>1253</v>
      </c>
      <c r="B1254" s="5" t="s">
        <v>2635</v>
      </c>
      <c r="C1254" s="5" t="s">
        <v>2636</v>
      </c>
      <c r="D1254" s="5" t="s">
        <v>1586</v>
      </c>
      <c r="E1254" s="5" t="s">
        <v>40</v>
      </c>
      <c r="F1254" s="5" t="s">
        <v>52</v>
      </c>
      <c r="G1254" s="5" t="s">
        <v>110</v>
      </c>
      <c r="H1254" s="4"/>
      <c r="I1254" s="4"/>
      <c r="J1254" s="6"/>
      <c r="K1254" s="6"/>
      <c r="L1254" s="6"/>
      <c r="M1254" s="4"/>
      <c r="N1254" s="4"/>
      <c r="O1254" s="4"/>
      <c r="P1254" s="6"/>
      <c r="Q1254" s="6"/>
      <c r="R1254" s="6"/>
      <c r="S1254" s="6"/>
      <c r="T1254" s="4"/>
      <c r="U1254" s="6"/>
      <c r="V1254" s="6"/>
      <c r="W1254" s="6"/>
      <c r="X1254" s="6"/>
      <c r="Y1254" s="4"/>
      <c r="Z1254" s="6"/>
      <c r="AA1254" s="4"/>
      <c r="AB1254" s="4"/>
      <c r="AC1254" s="4"/>
      <c r="AD1254" s="6"/>
      <c r="AE1254" s="4"/>
      <c r="AF1254" s="4"/>
      <c r="AG1254" s="4"/>
      <c r="AH1254" s="4">
        <v>84700000000</v>
      </c>
    </row>
    <row r="1255" spans="1:34" x14ac:dyDescent="0.25">
      <c r="A1255" s="4">
        <v>1254</v>
      </c>
      <c r="B1255" s="5" t="s">
        <v>2637</v>
      </c>
      <c r="C1255" s="5" t="s">
        <v>2638</v>
      </c>
      <c r="D1255" s="5" t="s">
        <v>1586</v>
      </c>
      <c r="E1255" s="5" t="s">
        <v>49</v>
      </c>
      <c r="F1255" s="5" t="s">
        <v>49</v>
      </c>
      <c r="G1255" s="5" t="s">
        <v>49</v>
      </c>
      <c r="H1255" s="4"/>
      <c r="I1255" s="4"/>
      <c r="J1255" s="6">
        <v>0.3306</v>
      </c>
      <c r="K1255" s="6"/>
      <c r="L1255" s="6"/>
      <c r="M1255" s="4">
        <v>131200000000</v>
      </c>
      <c r="N1255" s="4">
        <v>351566000000</v>
      </c>
      <c r="O1255" s="4"/>
      <c r="P1255" s="6">
        <v>-2.87E-2</v>
      </c>
      <c r="Q1255" s="6"/>
      <c r="R1255" s="6"/>
      <c r="S1255" s="6">
        <v>-0.40460000000000002</v>
      </c>
      <c r="T1255" s="4"/>
      <c r="U1255" s="6"/>
      <c r="V1255" s="6"/>
      <c r="W1255" s="6"/>
      <c r="X1255" s="6"/>
      <c r="Y1255" s="4"/>
      <c r="Z1255" s="6">
        <v>0.11749999999999999</v>
      </c>
      <c r="AA1255" s="4">
        <v>521519000000</v>
      </c>
      <c r="AB1255" s="4">
        <v>979065000000</v>
      </c>
      <c r="AC1255" s="4"/>
      <c r="AD1255" s="6"/>
      <c r="AE1255" s="4">
        <v>471899000000</v>
      </c>
      <c r="AF1255" s="4">
        <v>930169000000</v>
      </c>
      <c r="AG1255" s="4">
        <v>1396035000000</v>
      </c>
      <c r="AH1255" s="4">
        <v>7336547489068</v>
      </c>
    </row>
    <row r="1256" spans="1:34" x14ac:dyDescent="0.25">
      <c r="A1256" s="4">
        <v>1255</v>
      </c>
      <c r="B1256" s="5" t="s">
        <v>2639</v>
      </c>
      <c r="C1256" s="5" t="s">
        <v>2640</v>
      </c>
      <c r="D1256" s="5" t="s">
        <v>1586</v>
      </c>
      <c r="E1256" s="5" t="s">
        <v>40</v>
      </c>
      <c r="F1256" s="5" t="s">
        <v>52</v>
      </c>
      <c r="G1256" s="5" t="s">
        <v>110</v>
      </c>
      <c r="H1256" s="4"/>
      <c r="I1256" s="4"/>
      <c r="J1256" s="6"/>
      <c r="K1256" s="6"/>
      <c r="L1256" s="6"/>
      <c r="M1256" s="4"/>
      <c r="N1256" s="4"/>
      <c r="O1256" s="4"/>
      <c r="P1256" s="6"/>
      <c r="Q1256" s="6"/>
      <c r="R1256" s="6"/>
      <c r="S1256" s="6"/>
      <c r="T1256" s="4"/>
      <c r="U1256" s="6"/>
      <c r="V1256" s="6"/>
      <c r="W1256" s="6"/>
      <c r="X1256" s="6"/>
      <c r="Y1256" s="4"/>
      <c r="Z1256" s="6"/>
      <c r="AA1256" s="4"/>
      <c r="AB1256" s="4"/>
      <c r="AC1256" s="4"/>
      <c r="AD1256" s="6"/>
      <c r="AE1256" s="4"/>
      <c r="AF1256" s="4"/>
      <c r="AG1256" s="4"/>
      <c r="AH1256" s="4">
        <v>81450000000</v>
      </c>
    </row>
    <row r="1257" spans="1:34" x14ac:dyDescent="0.25">
      <c r="A1257" s="4">
        <v>1256</v>
      </c>
      <c r="B1257" s="5" t="s">
        <v>2641</v>
      </c>
      <c r="C1257" s="5" t="s">
        <v>2642</v>
      </c>
      <c r="D1257" s="5" t="s">
        <v>1586</v>
      </c>
      <c r="E1257" s="5" t="s">
        <v>40</v>
      </c>
      <c r="F1257" s="5" t="s">
        <v>41</v>
      </c>
      <c r="G1257" s="5" t="s">
        <v>93</v>
      </c>
      <c r="H1257" s="4"/>
      <c r="I1257" s="4"/>
      <c r="J1257" s="6"/>
      <c r="K1257" s="6"/>
      <c r="L1257" s="6"/>
      <c r="M1257" s="4"/>
      <c r="N1257" s="4"/>
      <c r="O1257" s="4"/>
      <c r="P1257" s="6"/>
      <c r="Q1257" s="6"/>
      <c r="R1257" s="6"/>
      <c r="S1257" s="6"/>
      <c r="T1257" s="4"/>
      <c r="U1257" s="6"/>
      <c r="V1257" s="6"/>
      <c r="W1257" s="6"/>
      <c r="X1257" s="6"/>
      <c r="Y1257" s="4"/>
      <c r="Z1257" s="6"/>
      <c r="AA1257" s="4"/>
      <c r="AB1257" s="4"/>
      <c r="AC1257" s="4"/>
      <c r="AD1257" s="6"/>
      <c r="AE1257" s="4"/>
      <c r="AF1257" s="4"/>
      <c r="AG1257" s="4"/>
      <c r="AH1257" s="4">
        <v>12038994160000</v>
      </c>
    </row>
    <row r="1258" spans="1:34" x14ac:dyDescent="0.25">
      <c r="A1258" s="4">
        <v>1257</v>
      </c>
      <c r="B1258" s="5" t="s">
        <v>2643</v>
      </c>
      <c r="C1258" s="5" t="s">
        <v>2644</v>
      </c>
      <c r="D1258" s="5" t="s">
        <v>1586</v>
      </c>
      <c r="E1258" s="5" t="s">
        <v>75</v>
      </c>
      <c r="F1258" s="5" t="s">
        <v>79</v>
      </c>
      <c r="G1258" s="5" t="s">
        <v>80</v>
      </c>
      <c r="H1258" s="4">
        <v>178227643023</v>
      </c>
      <c r="I1258" s="4">
        <v>352431523838</v>
      </c>
      <c r="J1258" s="6">
        <v>0.27650000000000002</v>
      </c>
      <c r="K1258" s="6">
        <v>0.40050000000000002</v>
      </c>
      <c r="L1258" s="6">
        <v>0.4914</v>
      </c>
      <c r="M1258" s="4">
        <v>9342623451</v>
      </c>
      <c r="N1258" s="4">
        <v>12850168165</v>
      </c>
      <c r="O1258" s="4"/>
      <c r="P1258" s="6">
        <v>-0.40039999999999998</v>
      </c>
      <c r="Q1258" s="6">
        <v>-0.57850000000000001</v>
      </c>
      <c r="R1258" s="6">
        <v>0.1822</v>
      </c>
      <c r="S1258" s="6">
        <v>1.6636</v>
      </c>
      <c r="T1258" s="4"/>
      <c r="U1258" s="6">
        <v>-0.55420000000000003</v>
      </c>
      <c r="V1258" s="6">
        <v>-0.90900000000000003</v>
      </c>
      <c r="W1258" s="6">
        <v>-0.90839999999999999</v>
      </c>
      <c r="X1258" s="6">
        <v>0</v>
      </c>
      <c r="Y1258" s="4"/>
      <c r="Z1258" s="6">
        <v>2.3099999999999999E-2</v>
      </c>
      <c r="AA1258" s="4"/>
      <c r="AB1258" s="4"/>
      <c r="AC1258" s="4"/>
      <c r="AD1258" s="6">
        <v>0</v>
      </c>
      <c r="AE1258" s="4"/>
      <c r="AF1258" s="4"/>
      <c r="AG1258" s="4"/>
      <c r="AH1258" s="4">
        <v>2160100753200</v>
      </c>
    </row>
    <row r="1259" spans="1:34" x14ac:dyDescent="0.25">
      <c r="A1259" s="4">
        <v>1258</v>
      </c>
      <c r="B1259" s="5" t="s">
        <v>2645</v>
      </c>
      <c r="C1259" s="5" t="s">
        <v>2646</v>
      </c>
      <c r="D1259" s="5" t="s">
        <v>1586</v>
      </c>
      <c r="E1259" s="5" t="s">
        <v>40</v>
      </c>
      <c r="F1259" s="5" t="s">
        <v>52</v>
      </c>
      <c r="G1259" s="5" t="s">
        <v>53</v>
      </c>
      <c r="H1259" s="4"/>
      <c r="I1259" s="4"/>
      <c r="J1259" s="6"/>
      <c r="K1259" s="6"/>
      <c r="L1259" s="6"/>
      <c r="M1259" s="4"/>
      <c r="N1259" s="4"/>
      <c r="O1259" s="4"/>
      <c r="P1259" s="6"/>
      <c r="Q1259" s="6"/>
      <c r="R1259" s="6"/>
      <c r="S1259" s="6"/>
      <c r="T1259" s="4"/>
      <c r="U1259" s="6"/>
      <c r="V1259" s="6"/>
      <c r="W1259" s="6"/>
      <c r="X1259" s="6"/>
      <c r="Y1259" s="4"/>
      <c r="Z1259" s="6"/>
      <c r="AA1259" s="4"/>
      <c r="AB1259" s="4"/>
      <c r="AC1259" s="4"/>
      <c r="AD1259" s="6"/>
      <c r="AE1259" s="4"/>
      <c r="AF1259" s="4"/>
      <c r="AG1259" s="4"/>
      <c r="AH1259" s="4">
        <v>11200000000</v>
      </c>
    </row>
    <row r="1260" spans="1:34" x14ac:dyDescent="0.25">
      <c r="A1260" s="4">
        <v>1259</v>
      </c>
      <c r="B1260" s="5" t="s">
        <v>2647</v>
      </c>
      <c r="C1260" s="5" t="s">
        <v>2648</v>
      </c>
      <c r="D1260" s="5" t="s">
        <v>1586</v>
      </c>
      <c r="E1260" s="5" t="s">
        <v>24</v>
      </c>
      <c r="F1260" s="5" t="s">
        <v>56</v>
      </c>
      <c r="G1260" s="5" t="s">
        <v>57</v>
      </c>
      <c r="H1260" s="4"/>
      <c r="I1260" s="4"/>
      <c r="J1260" s="6"/>
      <c r="K1260" s="6"/>
      <c r="L1260" s="6"/>
      <c r="M1260" s="4"/>
      <c r="N1260" s="4"/>
      <c r="O1260" s="4"/>
      <c r="P1260" s="6"/>
      <c r="Q1260" s="6"/>
      <c r="R1260" s="6"/>
      <c r="S1260" s="6"/>
      <c r="T1260" s="4"/>
      <c r="U1260" s="6"/>
      <c r="V1260" s="6"/>
      <c r="W1260" s="6"/>
      <c r="X1260" s="6"/>
      <c r="Y1260" s="4"/>
      <c r="Z1260" s="6"/>
      <c r="AA1260" s="4"/>
      <c r="AB1260" s="4"/>
      <c r="AC1260" s="4"/>
      <c r="AD1260" s="6"/>
      <c r="AE1260" s="4"/>
      <c r="AF1260" s="4"/>
      <c r="AG1260" s="4"/>
      <c r="AH1260" s="4">
        <v>316250000000</v>
      </c>
    </row>
    <row r="1261" spans="1:34" x14ac:dyDescent="0.25">
      <c r="A1261" s="4">
        <v>1260</v>
      </c>
      <c r="B1261" s="5" t="s">
        <v>2649</v>
      </c>
      <c r="C1261" s="5" t="s">
        <v>2650</v>
      </c>
      <c r="D1261" s="5" t="s">
        <v>1586</v>
      </c>
      <c r="E1261" s="5" t="s">
        <v>75</v>
      </c>
      <c r="F1261" s="5" t="s">
        <v>76</v>
      </c>
      <c r="G1261" s="5" t="s">
        <v>300</v>
      </c>
      <c r="H1261" s="4"/>
      <c r="I1261" s="4"/>
      <c r="J1261" s="6"/>
      <c r="K1261" s="6"/>
      <c r="L1261" s="6"/>
      <c r="M1261" s="4"/>
      <c r="N1261" s="4"/>
      <c r="O1261" s="4"/>
      <c r="P1261" s="6"/>
      <c r="Q1261" s="6"/>
      <c r="R1261" s="6"/>
      <c r="S1261" s="6"/>
      <c r="T1261" s="4"/>
      <c r="U1261" s="6"/>
      <c r="V1261" s="6"/>
      <c r="W1261" s="6"/>
      <c r="X1261" s="6"/>
      <c r="Y1261" s="4"/>
      <c r="Z1261" s="6"/>
      <c r="AA1261" s="4"/>
      <c r="AB1261" s="4"/>
      <c r="AC1261" s="4"/>
      <c r="AD1261" s="6"/>
      <c r="AE1261" s="4"/>
      <c r="AF1261" s="4"/>
      <c r="AG1261" s="4"/>
      <c r="AH1261" s="4">
        <v>102338432394</v>
      </c>
    </row>
    <row r="1262" spans="1:34" x14ac:dyDescent="0.25">
      <c r="A1262" s="4">
        <v>1261</v>
      </c>
      <c r="B1262" s="5" t="s">
        <v>2651</v>
      </c>
      <c r="C1262" s="5" t="s">
        <v>2652</v>
      </c>
      <c r="D1262" s="5" t="s">
        <v>1586</v>
      </c>
      <c r="E1262" s="5" t="s">
        <v>98</v>
      </c>
      <c r="F1262" s="5" t="s">
        <v>99</v>
      </c>
      <c r="G1262" s="5" t="s">
        <v>155</v>
      </c>
      <c r="H1262" s="4"/>
      <c r="I1262" s="4"/>
      <c r="J1262" s="6"/>
      <c r="K1262" s="6"/>
      <c r="L1262" s="6"/>
      <c r="M1262" s="4"/>
      <c r="N1262" s="4"/>
      <c r="O1262" s="4"/>
      <c r="P1262" s="6"/>
      <c r="Q1262" s="6"/>
      <c r="R1262" s="6"/>
      <c r="S1262" s="6"/>
      <c r="T1262" s="4"/>
      <c r="U1262" s="6"/>
      <c r="V1262" s="6"/>
      <c r="W1262" s="6"/>
      <c r="X1262" s="6"/>
      <c r="Y1262" s="4"/>
      <c r="Z1262" s="6"/>
      <c r="AA1262" s="4"/>
      <c r="AB1262" s="4"/>
      <c r="AC1262" s="4"/>
      <c r="AD1262" s="6"/>
      <c r="AE1262" s="4"/>
      <c r="AF1262" s="4"/>
      <c r="AG1262" s="4"/>
      <c r="AH1262" s="4">
        <v>228600000000</v>
      </c>
    </row>
    <row r="1263" spans="1:34" x14ac:dyDescent="0.25">
      <c r="A1263" s="4">
        <v>1262</v>
      </c>
      <c r="B1263" s="5" t="s">
        <v>2653</v>
      </c>
      <c r="C1263" s="5" t="s">
        <v>2654</v>
      </c>
      <c r="D1263" s="5" t="s">
        <v>1586</v>
      </c>
      <c r="E1263" s="5" t="s">
        <v>40</v>
      </c>
      <c r="F1263" s="5" t="s">
        <v>52</v>
      </c>
      <c r="G1263" s="5" t="s">
        <v>110</v>
      </c>
      <c r="H1263" s="4"/>
      <c r="I1263" s="4"/>
      <c r="J1263" s="6"/>
      <c r="K1263" s="6"/>
      <c r="L1263" s="6"/>
      <c r="M1263" s="4"/>
      <c r="N1263" s="4"/>
      <c r="O1263" s="4"/>
      <c r="P1263" s="6"/>
      <c r="Q1263" s="6"/>
      <c r="R1263" s="6"/>
      <c r="S1263" s="6"/>
      <c r="T1263" s="4"/>
      <c r="U1263" s="6"/>
      <c r="V1263" s="6"/>
      <c r="W1263" s="6"/>
      <c r="X1263" s="6"/>
      <c r="Y1263" s="4"/>
      <c r="Z1263" s="6"/>
      <c r="AA1263" s="4"/>
      <c r="AB1263" s="4"/>
      <c r="AC1263" s="4"/>
      <c r="AD1263" s="6"/>
      <c r="AE1263" s="4"/>
      <c r="AF1263" s="4"/>
      <c r="AG1263" s="4"/>
      <c r="AH1263" s="4">
        <v>61000000000</v>
      </c>
    </row>
    <row r="1264" spans="1:34" x14ac:dyDescent="0.25">
      <c r="A1264" s="4">
        <v>1263</v>
      </c>
      <c r="B1264" s="5" t="s">
        <v>2655</v>
      </c>
      <c r="C1264" s="5" t="s">
        <v>2656</v>
      </c>
      <c r="D1264" s="5" t="s">
        <v>1586</v>
      </c>
      <c r="E1264" s="5" t="s">
        <v>40</v>
      </c>
      <c r="F1264" s="5" t="s">
        <v>52</v>
      </c>
      <c r="G1264" s="5" t="s">
        <v>110</v>
      </c>
      <c r="H1264" s="4"/>
      <c r="I1264" s="4"/>
      <c r="J1264" s="6"/>
      <c r="K1264" s="6"/>
      <c r="L1264" s="6"/>
      <c r="M1264" s="4"/>
      <c r="N1264" s="4"/>
      <c r="O1264" s="4"/>
      <c r="P1264" s="6"/>
      <c r="Q1264" s="6"/>
      <c r="R1264" s="6"/>
      <c r="S1264" s="6"/>
      <c r="T1264" s="4"/>
      <c r="U1264" s="6"/>
      <c r="V1264" s="6"/>
      <c r="W1264" s="6"/>
      <c r="X1264" s="6"/>
      <c r="Y1264" s="4"/>
      <c r="Z1264" s="6"/>
      <c r="AA1264" s="4"/>
      <c r="AB1264" s="4"/>
      <c r="AC1264" s="4"/>
      <c r="AD1264" s="6"/>
      <c r="AE1264" s="4"/>
      <c r="AF1264" s="4"/>
      <c r="AG1264" s="4"/>
      <c r="AH1264" s="4">
        <v>75937500000</v>
      </c>
    </row>
    <row r="1265" spans="1:34" x14ac:dyDescent="0.25">
      <c r="A1265" s="4">
        <v>1264</v>
      </c>
      <c r="B1265" s="5" t="s">
        <v>2657</v>
      </c>
      <c r="C1265" s="5" t="s">
        <v>2658</v>
      </c>
      <c r="D1265" s="5" t="s">
        <v>1586</v>
      </c>
      <c r="E1265" s="5" t="s">
        <v>40</v>
      </c>
      <c r="F1265" s="5" t="s">
        <v>41</v>
      </c>
      <c r="G1265" s="5" t="s">
        <v>93</v>
      </c>
      <c r="H1265" s="4"/>
      <c r="I1265" s="4"/>
      <c r="J1265" s="6"/>
      <c r="K1265" s="6"/>
      <c r="L1265" s="6"/>
      <c r="M1265" s="4"/>
      <c r="N1265" s="4"/>
      <c r="O1265" s="4"/>
      <c r="P1265" s="6"/>
      <c r="Q1265" s="6"/>
      <c r="R1265" s="6"/>
      <c r="S1265" s="6"/>
      <c r="T1265" s="4"/>
      <c r="U1265" s="6"/>
      <c r="V1265" s="6"/>
      <c r="W1265" s="6"/>
      <c r="X1265" s="6">
        <v>0</v>
      </c>
      <c r="Y1265" s="4"/>
      <c r="Z1265" s="6"/>
      <c r="AA1265" s="4"/>
      <c r="AB1265" s="4"/>
      <c r="AC1265" s="4"/>
      <c r="AD1265" s="6"/>
      <c r="AE1265" s="4"/>
      <c r="AF1265" s="4"/>
      <c r="AG1265" s="4"/>
      <c r="AH1265" s="4">
        <v>29489455000</v>
      </c>
    </row>
    <row r="1266" spans="1:34" x14ac:dyDescent="0.25">
      <c r="A1266" s="4">
        <v>1265</v>
      </c>
      <c r="B1266" s="5" t="s">
        <v>2659</v>
      </c>
      <c r="C1266" s="5" t="s">
        <v>2660</v>
      </c>
      <c r="D1266" s="5" t="s">
        <v>1586</v>
      </c>
      <c r="E1266" s="5" t="s">
        <v>185</v>
      </c>
      <c r="F1266" s="5" t="s">
        <v>185</v>
      </c>
      <c r="G1266" s="5" t="s">
        <v>310</v>
      </c>
      <c r="H1266" s="4"/>
      <c r="I1266" s="4"/>
      <c r="J1266" s="6"/>
      <c r="K1266" s="6"/>
      <c r="L1266" s="6"/>
      <c r="M1266" s="4"/>
      <c r="N1266" s="4"/>
      <c r="O1266" s="4"/>
      <c r="P1266" s="6"/>
      <c r="Q1266" s="6"/>
      <c r="R1266" s="6"/>
      <c r="S1266" s="6"/>
      <c r="T1266" s="4"/>
      <c r="U1266" s="6"/>
      <c r="V1266" s="6"/>
      <c r="W1266" s="6"/>
      <c r="X1266" s="6"/>
      <c r="Y1266" s="4"/>
      <c r="Z1266" s="6"/>
      <c r="AA1266" s="4"/>
      <c r="AB1266" s="4"/>
      <c r="AC1266" s="4"/>
      <c r="AD1266" s="6"/>
      <c r="AE1266" s="4"/>
      <c r="AF1266" s="4"/>
      <c r="AG1266" s="4"/>
      <c r="AH1266" s="4">
        <v>29880000000</v>
      </c>
    </row>
    <row r="1267" spans="1:34" x14ac:dyDescent="0.25">
      <c r="A1267" s="4">
        <v>1266</v>
      </c>
      <c r="B1267" s="5" t="s">
        <v>2661</v>
      </c>
      <c r="C1267" s="5" t="s">
        <v>2662</v>
      </c>
      <c r="D1267" s="5" t="s">
        <v>1586</v>
      </c>
      <c r="E1267" s="5" t="s">
        <v>185</v>
      </c>
      <c r="F1267" s="5" t="s">
        <v>185</v>
      </c>
      <c r="G1267" s="5" t="s">
        <v>310</v>
      </c>
      <c r="H1267" s="4"/>
      <c r="I1267" s="4"/>
      <c r="J1267" s="6"/>
      <c r="K1267" s="6"/>
      <c r="L1267" s="6"/>
      <c r="M1267" s="4"/>
      <c r="N1267" s="4"/>
      <c r="O1267" s="4"/>
      <c r="P1267" s="6"/>
      <c r="Q1267" s="6"/>
      <c r="R1267" s="6"/>
      <c r="S1267" s="6"/>
      <c r="T1267" s="4"/>
      <c r="U1267" s="6"/>
      <c r="V1267" s="6"/>
      <c r="W1267" s="6"/>
      <c r="X1267" s="6"/>
      <c r="Y1267" s="4"/>
      <c r="Z1267" s="6"/>
      <c r="AA1267" s="4"/>
      <c r="AB1267" s="4"/>
      <c r="AC1267" s="4"/>
      <c r="AD1267" s="6"/>
      <c r="AE1267" s="4"/>
      <c r="AF1267" s="4"/>
      <c r="AG1267" s="4"/>
      <c r="AH1267" s="4">
        <v>32604000000</v>
      </c>
    </row>
    <row r="1268" spans="1:34" x14ac:dyDescent="0.25">
      <c r="A1268" s="4">
        <v>1267</v>
      </c>
      <c r="B1268" s="5" t="s">
        <v>2663</v>
      </c>
      <c r="C1268" s="5" t="s">
        <v>2664</v>
      </c>
      <c r="D1268" s="5" t="s">
        <v>1586</v>
      </c>
      <c r="E1268" s="5" t="s">
        <v>98</v>
      </c>
      <c r="F1268" s="5" t="s">
        <v>99</v>
      </c>
      <c r="G1268" s="5" t="s">
        <v>155</v>
      </c>
      <c r="H1268" s="4">
        <v>103957747994</v>
      </c>
      <c r="I1268" s="4"/>
      <c r="J1268" s="6">
        <v>0.14799999999999999</v>
      </c>
      <c r="K1268" s="6">
        <v>0.1033</v>
      </c>
      <c r="L1268" s="6">
        <v>7.6300000000000007E-2</v>
      </c>
      <c r="M1268" s="4">
        <v>34762363556</v>
      </c>
      <c r="N1268" s="4"/>
      <c r="O1268" s="4"/>
      <c r="P1268" s="6">
        <v>0.71940000000000004</v>
      </c>
      <c r="Q1268" s="6">
        <v>-6.1899999999999997E-2</v>
      </c>
      <c r="R1268" s="6">
        <v>0.27600000000000002</v>
      </c>
      <c r="S1268" s="6">
        <v>1.3091999999999999</v>
      </c>
      <c r="T1268" s="4"/>
      <c r="U1268" s="6">
        <v>-0.50009999999999999</v>
      </c>
      <c r="V1268" s="6">
        <v>-0.50549999999999995</v>
      </c>
      <c r="W1268" s="6">
        <v>-0.50970000000000004</v>
      </c>
      <c r="X1268" s="6">
        <v>4.2299999999999997E-2</v>
      </c>
      <c r="Y1268" s="4"/>
      <c r="Z1268" s="6">
        <v>0.17069999999999999</v>
      </c>
      <c r="AA1268" s="4"/>
      <c r="AB1268" s="4"/>
      <c r="AC1268" s="4"/>
      <c r="AD1268" s="6">
        <v>0</v>
      </c>
      <c r="AE1268" s="4"/>
      <c r="AF1268" s="4"/>
      <c r="AG1268" s="4"/>
      <c r="AH1268" s="4">
        <v>1774994036000</v>
      </c>
    </row>
    <row r="1269" spans="1:34" x14ac:dyDescent="0.25">
      <c r="A1269" s="4">
        <v>1268</v>
      </c>
      <c r="B1269" s="5" t="s">
        <v>2665</v>
      </c>
      <c r="C1269" s="5" t="s">
        <v>2666</v>
      </c>
      <c r="D1269" s="5" t="s">
        <v>1586</v>
      </c>
      <c r="E1269" s="5" t="s">
        <v>98</v>
      </c>
      <c r="F1269" s="5" t="s">
        <v>99</v>
      </c>
      <c r="G1269" s="5" t="s">
        <v>100</v>
      </c>
      <c r="H1269" s="4"/>
      <c r="I1269" s="4"/>
      <c r="J1269" s="6"/>
      <c r="K1269" s="6"/>
      <c r="L1269" s="6"/>
      <c r="M1269" s="4"/>
      <c r="N1269" s="4"/>
      <c r="O1269" s="4"/>
      <c r="P1269" s="6"/>
      <c r="Q1269" s="6"/>
      <c r="R1269" s="6"/>
      <c r="S1269" s="6"/>
      <c r="T1269" s="4"/>
      <c r="U1269" s="6"/>
      <c r="V1269" s="6"/>
      <c r="W1269" s="6"/>
      <c r="X1269" s="6"/>
      <c r="Y1269" s="4"/>
      <c r="Z1269" s="6"/>
      <c r="AA1269" s="4"/>
      <c r="AB1269" s="4"/>
      <c r="AC1269" s="4"/>
      <c r="AD1269" s="6"/>
      <c r="AE1269" s="4"/>
      <c r="AF1269" s="4"/>
      <c r="AG1269" s="4"/>
      <c r="AH1269" s="4">
        <v>46666662000</v>
      </c>
    </row>
    <row r="1270" spans="1:34" x14ac:dyDescent="0.25">
      <c r="A1270" s="4">
        <v>1269</v>
      </c>
      <c r="B1270" s="5" t="s">
        <v>2667</v>
      </c>
      <c r="C1270" s="5" t="s">
        <v>2668</v>
      </c>
      <c r="D1270" s="5" t="s">
        <v>1586</v>
      </c>
      <c r="E1270" s="5" t="s">
        <v>62</v>
      </c>
      <c r="F1270" s="5" t="s">
        <v>226</v>
      </c>
      <c r="G1270" s="5" t="s">
        <v>986</v>
      </c>
      <c r="H1270" s="4"/>
      <c r="I1270" s="4"/>
      <c r="J1270" s="6"/>
      <c r="K1270" s="6"/>
      <c r="L1270" s="6"/>
      <c r="M1270" s="4"/>
      <c r="N1270" s="4"/>
      <c r="O1270" s="4"/>
      <c r="P1270" s="6"/>
      <c r="Q1270" s="6"/>
      <c r="R1270" s="6"/>
      <c r="S1270" s="6"/>
      <c r="T1270" s="4"/>
      <c r="U1270" s="6"/>
      <c r="V1270" s="6"/>
      <c r="W1270" s="6"/>
      <c r="X1270" s="6"/>
      <c r="Y1270" s="4"/>
      <c r="Z1270" s="6"/>
      <c r="AA1270" s="4"/>
      <c r="AB1270" s="4"/>
      <c r="AC1270" s="4"/>
      <c r="AD1270" s="6"/>
      <c r="AE1270" s="4"/>
      <c r="AF1270" s="4"/>
      <c r="AG1270" s="4"/>
      <c r="AH1270" s="4">
        <v>405900000000</v>
      </c>
    </row>
    <row r="1271" spans="1:34" x14ac:dyDescent="0.25">
      <c r="A1271" s="4">
        <v>1270</v>
      </c>
      <c r="B1271" s="5" t="s">
        <v>2669</v>
      </c>
      <c r="C1271" s="5" t="s">
        <v>2670</v>
      </c>
      <c r="D1271" s="5" t="s">
        <v>1586</v>
      </c>
      <c r="E1271" s="5" t="s">
        <v>40</v>
      </c>
      <c r="F1271" s="5" t="s">
        <v>41</v>
      </c>
      <c r="G1271" s="5" t="s">
        <v>406</v>
      </c>
      <c r="H1271" s="4">
        <v>85894279043</v>
      </c>
      <c r="I1271" s="4">
        <v>173776880061</v>
      </c>
      <c r="J1271" s="6">
        <v>-4.6699999999999998E-2</v>
      </c>
      <c r="K1271" s="6"/>
      <c r="L1271" s="6"/>
      <c r="M1271" s="4">
        <v>10813338147</v>
      </c>
      <c r="N1271" s="4">
        <v>22243719337</v>
      </c>
      <c r="O1271" s="4"/>
      <c r="P1271" s="6">
        <v>-7.3700000000000002E-2</v>
      </c>
      <c r="Q1271" s="6"/>
      <c r="R1271" s="6"/>
      <c r="S1271" s="6">
        <v>-5.3999999999999999E-2</v>
      </c>
      <c r="T1271" s="4"/>
      <c r="U1271" s="6"/>
      <c r="V1271" s="6"/>
      <c r="W1271" s="6"/>
      <c r="X1271" s="6"/>
      <c r="Y1271" s="4"/>
      <c r="Z1271" s="6">
        <v>-2.2599999999999999E-2</v>
      </c>
      <c r="AA1271" s="4"/>
      <c r="AB1271" s="4"/>
      <c r="AC1271" s="4"/>
      <c r="AD1271" s="6"/>
      <c r="AE1271" s="4"/>
      <c r="AF1271" s="4"/>
      <c r="AG1271" s="4"/>
      <c r="AH1271" s="4">
        <v>313950000000</v>
      </c>
    </row>
    <row r="1272" spans="1:34" x14ac:dyDescent="0.25">
      <c r="A1272" s="4">
        <v>1271</v>
      </c>
      <c r="B1272" s="5" t="s">
        <v>2671</v>
      </c>
      <c r="C1272" s="5" t="s">
        <v>2672</v>
      </c>
      <c r="D1272" s="5" t="s">
        <v>1586</v>
      </c>
      <c r="E1272" s="5" t="s">
        <v>40</v>
      </c>
      <c r="F1272" s="5" t="s">
        <v>52</v>
      </c>
      <c r="G1272" s="5" t="s">
        <v>110</v>
      </c>
      <c r="H1272" s="4"/>
      <c r="I1272" s="4"/>
      <c r="J1272" s="6"/>
      <c r="K1272" s="6"/>
      <c r="L1272" s="6"/>
      <c r="M1272" s="4"/>
      <c r="N1272" s="4"/>
      <c r="O1272" s="4"/>
      <c r="P1272" s="6"/>
      <c r="Q1272" s="6"/>
      <c r="R1272" s="6"/>
      <c r="S1272" s="6"/>
      <c r="T1272" s="4"/>
      <c r="U1272" s="6"/>
      <c r="V1272" s="6"/>
      <c r="W1272" s="6"/>
      <c r="X1272" s="6"/>
      <c r="Y1272" s="4"/>
      <c r="Z1272" s="6"/>
      <c r="AA1272" s="4"/>
      <c r="AB1272" s="4"/>
      <c r="AC1272" s="4"/>
      <c r="AD1272" s="6"/>
      <c r="AE1272" s="4"/>
      <c r="AF1272" s="4"/>
      <c r="AG1272" s="4"/>
      <c r="AH1272" s="4">
        <v>78899312000</v>
      </c>
    </row>
    <row r="1273" spans="1:34" x14ac:dyDescent="0.25">
      <c r="A1273" s="4">
        <v>1272</v>
      </c>
      <c r="B1273" s="5" t="s">
        <v>2673</v>
      </c>
      <c r="C1273" s="5" t="s">
        <v>2674</v>
      </c>
      <c r="D1273" s="5" t="s">
        <v>1586</v>
      </c>
      <c r="E1273" s="5" t="s">
        <v>98</v>
      </c>
      <c r="F1273" s="5" t="s">
        <v>99</v>
      </c>
      <c r="G1273" s="5" t="s">
        <v>100</v>
      </c>
      <c r="H1273" s="4"/>
      <c r="I1273" s="4"/>
      <c r="J1273" s="6"/>
      <c r="K1273" s="6"/>
      <c r="L1273" s="6"/>
      <c r="M1273" s="4"/>
      <c r="N1273" s="4"/>
      <c r="O1273" s="4"/>
      <c r="P1273" s="6"/>
      <c r="Q1273" s="6"/>
      <c r="R1273" s="6"/>
      <c r="S1273" s="6"/>
      <c r="T1273" s="4"/>
      <c r="U1273" s="6"/>
      <c r="V1273" s="6"/>
      <c r="W1273" s="6"/>
      <c r="X1273" s="6"/>
      <c r="Y1273" s="4"/>
      <c r="Z1273" s="6"/>
      <c r="AA1273" s="4"/>
      <c r="AB1273" s="4"/>
      <c r="AC1273" s="4"/>
      <c r="AD1273" s="6"/>
      <c r="AE1273" s="4"/>
      <c r="AF1273" s="4"/>
      <c r="AG1273" s="4"/>
      <c r="AH1273" s="4">
        <v>501400000000</v>
      </c>
    </row>
    <row r="1274" spans="1:34" x14ac:dyDescent="0.25">
      <c r="A1274" s="4">
        <v>1273</v>
      </c>
      <c r="B1274" s="5" t="s">
        <v>2675</v>
      </c>
      <c r="C1274" s="5" t="s">
        <v>2676</v>
      </c>
      <c r="D1274" s="5" t="s">
        <v>1586</v>
      </c>
      <c r="E1274" s="5" t="s">
        <v>24</v>
      </c>
      <c r="F1274" s="5" t="s">
        <v>56</v>
      </c>
      <c r="G1274" s="5" t="s">
        <v>291</v>
      </c>
      <c r="H1274" s="4"/>
      <c r="I1274" s="4"/>
      <c r="J1274" s="6"/>
      <c r="K1274" s="6"/>
      <c r="L1274" s="6"/>
      <c r="M1274" s="4"/>
      <c r="N1274" s="4"/>
      <c r="O1274" s="4"/>
      <c r="P1274" s="6"/>
      <c r="Q1274" s="6"/>
      <c r="R1274" s="6"/>
      <c r="S1274" s="6"/>
      <c r="T1274" s="4"/>
      <c r="U1274" s="6"/>
      <c r="V1274" s="6"/>
      <c r="W1274" s="6"/>
      <c r="X1274" s="6"/>
      <c r="Y1274" s="4"/>
      <c r="Z1274" s="6"/>
      <c r="AA1274" s="4"/>
      <c r="AB1274" s="4"/>
      <c r="AC1274" s="4"/>
      <c r="AD1274" s="6"/>
      <c r="AE1274" s="4"/>
      <c r="AF1274" s="4"/>
      <c r="AG1274" s="4"/>
      <c r="AH1274" s="4">
        <v>863484992600</v>
      </c>
    </row>
    <row r="1275" spans="1:34" x14ac:dyDescent="0.25">
      <c r="A1275" s="4">
        <v>1274</v>
      </c>
      <c r="B1275" s="5" t="s">
        <v>2677</v>
      </c>
      <c r="C1275" s="5" t="s">
        <v>2678</v>
      </c>
      <c r="D1275" s="5" t="s">
        <v>1586</v>
      </c>
      <c r="E1275" s="5" t="s">
        <v>140</v>
      </c>
      <c r="F1275" s="5" t="s">
        <v>140</v>
      </c>
      <c r="G1275" s="5" t="s">
        <v>671</v>
      </c>
      <c r="H1275" s="4">
        <v>1643906593705</v>
      </c>
      <c r="I1275" s="4">
        <v>2282014856623</v>
      </c>
      <c r="J1275" s="6">
        <v>2.2414999999999998</v>
      </c>
      <c r="K1275" s="6">
        <v>1.5228999999999999</v>
      </c>
      <c r="L1275" s="6">
        <v>0.94359999999999999</v>
      </c>
      <c r="M1275" s="4">
        <v>43957770358</v>
      </c>
      <c r="N1275" s="4">
        <v>62864341981</v>
      </c>
      <c r="O1275" s="4"/>
      <c r="P1275" s="6">
        <v>1.3018000000000001</v>
      </c>
      <c r="Q1275" s="6">
        <v>0.68459999999999999</v>
      </c>
      <c r="R1275" s="6">
        <v>0.9022</v>
      </c>
      <c r="S1275" s="6">
        <v>1.325</v>
      </c>
      <c r="T1275" s="4"/>
      <c r="U1275" s="6">
        <v>-0.34799999999999998</v>
      </c>
      <c r="V1275" s="6">
        <v>-0.45739999999999997</v>
      </c>
      <c r="W1275" s="6">
        <v>-0.45810000000000001</v>
      </c>
      <c r="X1275" s="6">
        <v>0</v>
      </c>
      <c r="Y1275" s="4"/>
      <c r="Z1275" s="6">
        <v>1.5762</v>
      </c>
      <c r="AA1275" s="4"/>
      <c r="AB1275" s="4"/>
      <c r="AC1275" s="4"/>
      <c r="AD1275" s="6">
        <v>0</v>
      </c>
      <c r="AE1275" s="4"/>
      <c r="AF1275" s="4"/>
      <c r="AG1275" s="4"/>
      <c r="AH1275" s="4">
        <v>628405521865</v>
      </c>
    </row>
    <row r="1276" spans="1:34" x14ac:dyDescent="0.25">
      <c r="A1276" s="4">
        <v>1275</v>
      </c>
      <c r="B1276" s="5" t="s">
        <v>2679</v>
      </c>
      <c r="C1276" s="5" t="s">
        <v>2680</v>
      </c>
      <c r="D1276" s="5" t="s">
        <v>1586</v>
      </c>
      <c r="E1276" s="5" t="s">
        <v>98</v>
      </c>
      <c r="F1276" s="5" t="s">
        <v>99</v>
      </c>
      <c r="G1276" s="5" t="s">
        <v>100</v>
      </c>
      <c r="H1276" s="4">
        <v>2283796414401</v>
      </c>
      <c r="I1276" s="4"/>
      <c r="J1276" s="6">
        <v>1.0896999999999999</v>
      </c>
      <c r="K1276" s="6">
        <v>0.72770000000000001</v>
      </c>
      <c r="L1276" s="6">
        <v>0.5585</v>
      </c>
      <c r="M1276" s="4">
        <v>9225054092</v>
      </c>
      <c r="N1276" s="4"/>
      <c r="O1276" s="4"/>
      <c r="P1276" s="6">
        <v>0.97670000000000001</v>
      </c>
      <c r="Q1276" s="6">
        <v>3.5388000000000002</v>
      </c>
      <c r="R1276" s="6">
        <v>1.5258</v>
      </c>
      <c r="S1276" s="6">
        <v>-4.4299999999999999E-2</v>
      </c>
      <c r="T1276" s="4"/>
      <c r="U1276" s="6">
        <v>-0.1173</v>
      </c>
      <c r="V1276" s="6">
        <v>0.85519999999999996</v>
      </c>
      <c r="W1276" s="6">
        <v>0.748</v>
      </c>
      <c r="X1276" s="6">
        <v>0</v>
      </c>
      <c r="Y1276" s="4"/>
      <c r="Z1276" s="6">
        <v>0.67979999999999996</v>
      </c>
      <c r="AA1276" s="4"/>
      <c r="AB1276" s="4"/>
      <c r="AC1276" s="4"/>
      <c r="AD1276" s="6">
        <v>0</v>
      </c>
      <c r="AE1276" s="4"/>
      <c r="AF1276" s="4"/>
      <c r="AG1276" s="4"/>
      <c r="AH1276" s="4">
        <v>81559968300</v>
      </c>
    </row>
    <row r="1277" spans="1:34" x14ac:dyDescent="0.25">
      <c r="A1277" s="4">
        <v>1276</v>
      </c>
      <c r="B1277" s="5" t="s">
        <v>2681</v>
      </c>
      <c r="C1277" s="5" t="s">
        <v>2682</v>
      </c>
      <c r="D1277" s="5" t="s">
        <v>1586</v>
      </c>
      <c r="E1277" s="5" t="s">
        <v>29</v>
      </c>
      <c r="F1277" s="5" t="s">
        <v>36</v>
      </c>
      <c r="G1277" s="5" t="s">
        <v>37</v>
      </c>
      <c r="H1277" s="4"/>
      <c r="I1277" s="4"/>
      <c r="J1277" s="6"/>
      <c r="K1277" s="6"/>
      <c r="L1277" s="6"/>
      <c r="M1277" s="4"/>
      <c r="N1277" s="4"/>
      <c r="O1277" s="4"/>
      <c r="P1277" s="6"/>
      <c r="Q1277" s="6"/>
      <c r="R1277" s="6"/>
      <c r="S1277" s="6"/>
      <c r="T1277" s="4"/>
      <c r="U1277" s="6"/>
      <c r="V1277" s="6"/>
      <c r="W1277" s="6"/>
      <c r="X1277" s="6"/>
      <c r="Y1277" s="4"/>
      <c r="Z1277" s="6"/>
      <c r="AA1277" s="4"/>
      <c r="AB1277" s="4"/>
      <c r="AC1277" s="4"/>
      <c r="AD1277" s="6"/>
      <c r="AE1277" s="4"/>
      <c r="AF1277" s="4"/>
      <c r="AG1277" s="4"/>
      <c r="AH1277" s="4">
        <v>1920012620283</v>
      </c>
    </row>
    <row r="1278" spans="1:34" x14ac:dyDescent="0.25">
      <c r="A1278" s="4">
        <v>1277</v>
      </c>
      <c r="B1278" s="5" t="s">
        <v>2683</v>
      </c>
      <c r="C1278" s="5" t="s">
        <v>2684</v>
      </c>
      <c r="D1278" s="5" t="s">
        <v>1586</v>
      </c>
      <c r="E1278" s="5" t="s">
        <v>75</v>
      </c>
      <c r="F1278" s="5" t="s">
        <v>76</v>
      </c>
      <c r="G1278" s="5" t="s">
        <v>76</v>
      </c>
      <c r="H1278" s="4"/>
      <c r="I1278" s="4"/>
      <c r="J1278" s="6"/>
      <c r="K1278" s="6"/>
      <c r="L1278" s="6"/>
      <c r="M1278" s="4"/>
      <c r="N1278" s="4"/>
      <c r="O1278" s="4"/>
      <c r="P1278" s="6"/>
      <c r="Q1278" s="6"/>
      <c r="R1278" s="6"/>
      <c r="S1278" s="6"/>
      <c r="T1278" s="4"/>
      <c r="U1278" s="6"/>
      <c r="V1278" s="6"/>
      <c r="W1278" s="6"/>
      <c r="X1278" s="6"/>
      <c r="Y1278" s="4"/>
      <c r="Z1278" s="6"/>
      <c r="AA1278" s="4"/>
      <c r="AB1278" s="4"/>
      <c r="AC1278" s="4"/>
      <c r="AD1278" s="6"/>
      <c r="AE1278" s="4"/>
      <c r="AF1278" s="4"/>
      <c r="AG1278" s="4"/>
      <c r="AH1278" s="4">
        <v>19316251600</v>
      </c>
    </row>
    <row r="1279" spans="1:34" x14ac:dyDescent="0.25">
      <c r="A1279" s="4">
        <v>1278</v>
      </c>
      <c r="B1279" s="5" t="s">
        <v>2685</v>
      </c>
      <c r="C1279" s="5" t="s">
        <v>2686</v>
      </c>
      <c r="D1279" s="5" t="s">
        <v>1586</v>
      </c>
      <c r="E1279" s="5" t="s">
        <v>40</v>
      </c>
      <c r="F1279" s="5" t="s">
        <v>41</v>
      </c>
      <c r="G1279" s="5" t="s">
        <v>93</v>
      </c>
      <c r="H1279" s="4">
        <v>643354015218</v>
      </c>
      <c r="I1279" s="4"/>
      <c r="J1279" s="6"/>
      <c r="K1279" s="6">
        <v>0.3967</v>
      </c>
      <c r="L1279" s="6">
        <v>0.30580000000000002</v>
      </c>
      <c r="M1279" s="4">
        <v>12961932429</v>
      </c>
      <c r="N1279" s="4"/>
      <c r="O1279" s="4"/>
      <c r="P1279" s="6"/>
      <c r="Q1279" s="6">
        <v>0.17269999999999999</v>
      </c>
      <c r="R1279" s="6">
        <v>0.21560000000000001</v>
      </c>
      <c r="S1279" s="6"/>
      <c r="T1279" s="4"/>
      <c r="U1279" s="6">
        <v>-0.46729999999999999</v>
      </c>
      <c r="V1279" s="6">
        <v>-0.46129999999999999</v>
      </c>
      <c r="W1279" s="6">
        <v>-0.4652</v>
      </c>
      <c r="X1279" s="6">
        <v>0</v>
      </c>
      <c r="Y1279" s="4"/>
      <c r="Z1279" s="6"/>
      <c r="AA1279" s="4"/>
      <c r="AB1279" s="4"/>
      <c r="AC1279" s="4"/>
      <c r="AD1279" s="6">
        <v>0</v>
      </c>
      <c r="AE1279" s="4"/>
      <c r="AF1279" s="4"/>
      <c r="AG1279" s="4"/>
      <c r="AH1279" s="4">
        <v>120000000000</v>
      </c>
    </row>
    <row r="1280" spans="1:34" x14ac:dyDescent="0.25">
      <c r="A1280" s="4">
        <v>1279</v>
      </c>
      <c r="B1280" s="5" t="s">
        <v>2687</v>
      </c>
      <c r="C1280" s="5" t="s">
        <v>2688</v>
      </c>
      <c r="D1280" s="5" t="s">
        <v>1586</v>
      </c>
      <c r="E1280" s="5" t="s">
        <v>29</v>
      </c>
      <c r="F1280" s="5" t="s">
        <v>30</v>
      </c>
      <c r="G1280" s="5" t="s">
        <v>83</v>
      </c>
      <c r="H1280" s="4"/>
      <c r="I1280" s="4"/>
      <c r="J1280" s="6"/>
      <c r="K1280" s="6"/>
      <c r="L1280" s="6"/>
      <c r="M1280" s="4"/>
      <c r="N1280" s="4"/>
      <c r="O1280" s="4"/>
      <c r="P1280" s="6"/>
      <c r="Q1280" s="6"/>
      <c r="R1280" s="6"/>
      <c r="S1280" s="6"/>
      <c r="T1280" s="4"/>
      <c r="U1280" s="6"/>
      <c r="V1280" s="6"/>
      <c r="W1280" s="6"/>
      <c r="X1280" s="6"/>
      <c r="Y1280" s="4"/>
      <c r="Z1280" s="6"/>
      <c r="AA1280" s="4"/>
      <c r="AB1280" s="4"/>
      <c r="AC1280" s="4"/>
      <c r="AD1280" s="6"/>
      <c r="AE1280" s="4"/>
      <c r="AF1280" s="4"/>
      <c r="AG1280" s="4"/>
      <c r="AH1280" s="4">
        <v>19500000000</v>
      </c>
    </row>
    <row r="1281" spans="1:34" x14ac:dyDescent="0.25">
      <c r="A1281" s="4">
        <v>1280</v>
      </c>
      <c r="B1281" s="5" t="s">
        <v>2689</v>
      </c>
      <c r="C1281" s="5" t="s">
        <v>2690</v>
      </c>
      <c r="D1281" s="5" t="s">
        <v>1586</v>
      </c>
      <c r="E1281" s="5" t="s">
        <v>75</v>
      </c>
      <c r="F1281" s="5" t="s">
        <v>76</v>
      </c>
      <c r="G1281" s="5" t="s">
        <v>76</v>
      </c>
      <c r="H1281" s="4"/>
      <c r="I1281" s="4"/>
      <c r="J1281" s="6"/>
      <c r="K1281" s="6"/>
      <c r="L1281" s="6"/>
      <c r="M1281" s="4"/>
      <c r="N1281" s="4"/>
      <c r="O1281" s="4"/>
      <c r="P1281" s="6"/>
      <c r="Q1281" s="6"/>
      <c r="R1281" s="6"/>
      <c r="S1281" s="6"/>
      <c r="T1281" s="4"/>
      <c r="U1281" s="6"/>
      <c r="V1281" s="6"/>
      <c r="W1281" s="6"/>
      <c r="X1281" s="6"/>
      <c r="Y1281" s="4"/>
      <c r="Z1281" s="6"/>
      <c r="AA1281" s="4"/>
      <c r="AB1281" s="4"/>
      <c r="AC1281" s="4"/>
      <c r="AD1281" s="6"/>
      <c r="AE1281" s="4"/>
      <c r="AF1281" s="4"/>
      <c r="AG1281" s="4"/>
      <c r="AH1281" s="4">
        <v>2475000000000</v>
      </c>
    </row>
    <row r="1282" spans="1:34" x14ac:dyDescent="0.25">
      <c r="A1282" s="4">
        <v>1281</v>
      </c>
      <c r="B1282" s="5" t="s">
        <v>2691</v>
      </c>
      <c r="C1282" s="5" t="s">
        <v>2692</v>
      </c>
      <c r="D1282" s="5" t="s">
        <v>1586</v>
      </c>
      <c r="E1282" s="5" t="s">
        <v>40</v>
      </c>
      <c r="F1282" s="5" t="s">
        <v>52</v>
      </c>
      <c r="G1282" s="5" t="s">
        <v>110</v>
      </c>
      <c r="H1282" s="4">
        <v>150505440752</v>
      </c>
      <c r="I1282" s="4"/>
      <c r="J1282" s="6">
        <v>1.9537</v>
      </c>
      <c r="K1282" s="6">
        <v>1.4480999999999999</v>
      </c>
      <c r="L1282" s="6">
        <v>1.6307</v>
      </c>
      <c r="M1282" s="4">
        <v>573557418</v>
      </c>
      <c r="N1282" s="4"/>
      <c r="O1282" s="4"/>
      <c r="P1282" s="6">
        <v>-0.41</v>
      </c>
      <c r="Q1282" s="6">
        <v>0.41299999999999998</v>
      </c>
      <c r="R1282" s="6">
        <v>3.9382999999999999</v>
      </c>
      <c r="S1282" s="6">
        <v>-0.54969999999999997</v>
      </c>
      <c r="T1282" s="4"/>
      <c r="U1282" s="6">
        <v>-0.15809999999999999</v>
      </c>
      <c r="V1282" s="6">
        <v>0.16969999999999999</v>
      </c>
      <c r="W1282" s="6">
        <v>-0.12859999999999999</v>
      </c>
      <c r="X1282" s="6">
        <v>0</v>
      </c>
      <c r="Y1282" s="4"/>
      <c r="Z1282" s="6">
        <v>0.26579999999999998</v>
      </c>
      <c r="AA1282" s="4"/>
      <c r="AB1282" s="4"/>
      <c r="AC1282" s="4"/>
      <c r="AD1282" s="6">
        <v>0</v>
      </c>
      <c r="AE1282" s="4"/>
      <c r="AF1282" s="4"/>
      <c r="AG1282" s="4"/>
      <c r="AH1282" s="4">
        <v>242600000000</v>
      </c>
    </row>
    <row r="1283" spans="1:34" x14ac:dyDescent="0.25">
      <c r="A1283" s="4">
        <v>1282</v>
      </c>
      <c r="B1283" s="5" t="s">
        <v>2693</v>
      </c>
      <c r="C1283" s="5" t="s">
        <v>2694</v>
      </c>
      <c r="D1283" s="5" t="s">
        <v>1586</v>
      </c>
      <c r="E1283" s="5" t="s">
        <v>98</v>
      </c>
      <c r="F1283" s="5" t="s">
        <v>99</v>
      </c>
      <c r="G1283" s="5" t="s">
        <v>100</v>
      </c>
      <c r="H1283" s="4"/>
      <c r="I1283" s="4"/>
      <c r="J1283" s="6"/>
      <c r="K1283" s="6"/>
      <c r="L1283" s="6"/>
      <c r="M1283" s="4"/>
      <c r="N1283" s="4"/>
      <c r="O1283" s="4"/>
      <c r="P1283" s="6"/>
      <c r="Q1283" s="6"/>
      <c r="R1283" s="6"/>
      <c r="S1283" s="6"/>
      <c r="T1283" s="4"/>
      <c r="U1283" s="6"/>
      <c r="V1283" s="6"/>
      <c r="W1283" s="6"/>
      <c r="X1283" s="6"/>
      <c r="Y1283" s="4"/>
      <c r="Z1283" s="6"/>
      <c r="AA1283" s="4"/>
      <c r="AB1283" s="4"/>
      <c r="AC1283" s="4"/>
      <c r="AD1283" s="6"/>
      <c r="AE1283" s="4"/>
      <c r="AF1283" s="4"/>
      <c r="AG1283" s="4"/>
      <c r="AH1283" s="4">
        <v>214488626000</v>
      </c>
    </row>
    <row r="1284" spans="1:34" x14ac:dyDescent="0.25">
      <c r="A1284" s="4">
        <v>1283</v>
      </c>
      <c r="B1284" s="5" t="s">
        <v>2695</v>
      </c>
      <c r="C1284" s="5" t="s">
        <v>2696</v>
      </c>
      <c r="D1284" s="5" t="s">
        <v>1586</v>
      </c>
      <c r="E1284" s="5" t="s">
        <v>29</v>
      </c>
      <c r="F1284" s="5" t="s">
        <v>30</v>
      </c>
      <c r="G1284" s="5" t="s">
        <v>31</v>
      </c>
      <c r="H1284" s="4"/>
      <c r="I1284" s="4"/>
      <c r="J1284" s="6"/>
      <c r="K1284" s="6"/>
      <c r="L1284" s="6"/>
      <c r="M1284" s="4"/>
      <c r="N1284" s="4"/>
      <c r="O1284" s="4"/>
      <c r="P1284" s="6"/>
      <c r="Q1284" s="6"/>
      <c r="R1284" s="6"/>
      <c r="S1284" s="6"/>
      <c r="T1284" s="4"/>
      <c r="U1284" s="6"/>
      <c r="V1284" s="6"/>
      <c r="W1284" s="6"/>
      <c r="X1284" s="6"/>
      <c r="Y1284" s="4"/>
      <c r="Z1284" s="6"/>
      <c r="AA1284" s="4"/>
      <c r="AB1284" s="4"/>
      <c r="AC1284" s="4"/>
      <c r="AD1284" s="6"/>
      <c r="AE1284" s="4"/>
      <c r="AF1284" s="4"/>
      <c r="AG1284" s="4"/>
      <c r="AH1284" s="4">
        <v>73532812500</v>
      </c>
    </row>
    <row r="1285" spans="1:34" x14ac:dyDescent="0.25">
      <c r="A1285" s="4">
        <v>1284</v>
      </c>
      <c r="B1285" s="5" t="s">
        <v>2697</v>
      </c>
      <c r="C1285" s="5" t="s">
        <v>2698</v>
      </c>
      <c r="D1285" s="5" t="s">
        <v>1586</v>
      </c>
      <c r="E1285" s="5" t="s">
        <v>40</v>
      </c>
      <c r="F1285" s="5" t="s">
        <v>41</v>
      </c>
      <c r="G1285" s="5" t="s">
        <v>93</v>
      </c>
      <c r="H1285" s="4">
        <v>584644622096</v>
      </c>
      <c r="I1285" s="4"/>
      <c r="J1285" s="6"/>
      <c r="K1285" s="6">
        <v>0.88749999999999996</v>
      </c>
      <c r="L1285" s="6">
        <v>0.7268</v>
      </c>
      <c r="M1285" s="4">
        <v>13232312682</v>
      </c>
      <c r="N1285" s="4"/>
      <c r="O1285" s="4"/>
      <c r="P1285" s="6"/>
      <c r="Q1285" s="6">
        <v>0.5907</v>
      </c>
      <c r="R1285" s="6">
        <v>0.44390000000000002</v>
      </c>
      <c r="S1285" s="6"/>
      <c r="T1285" s="4"/>
      <c r="U1285" s="6">
        <v>-0.5131</v>
      </c>
      <c r="V1285" s="6">
        <v>-0.52190000000000003</v>
      </c>
      <c r="W1285" s="6">
        <v>-0.50260000000000005</v>
      </c>
      <c r="X1285" s="6">
        <v>0</v>
      </c>
      <c r="Y1285" s="4"/>
      <c r="Z1285" s="6"/>
      <c r="AA1285" s="4"/>
      <c r="AB1285" s="4"/>
      <c r="AC1285" s="4"/>
      <c r="AD1285" s="6">
        <v>0</v>
      </c>
      <c r="AE1285" s="4"/>
      <c r="AF1285" s="4"/>
      <c r="AG1285" s="4"/>
      <c r="AH1285" s="4">
        <v>372000000000</v>
      </c>
    </row>
    <row r="1286" spans="1:34" x14ac:dyDescent="0.25">
      <c r="A1286" s="4">
        <v>1285</v>
      </c>
      <c r="B1286" s="5" t="s">
        <v>2699</v>
      </c>
      <c r="C1286" s="5" t="s">
        <v>2700</v>
      </c>
      <c r="D1286" s="5" t="s">
        <v>1586</v>
      </c>
      <c r="E1286" s="5" t="s">
        <v>40</v>
      </c>
      <c r="F1286" s="5" t="s">
        <v>41</v>
      </c>
      <c r="G1286" s="5" t="s">
        <v>557</v>
      </c>
      <c r="H1286" s="4">
        <v>71787300978</v>
      </c>
      <c r="I1286" s="4">
        <v>145663110529</v>
      </c>
      <c r="J1286" s="6">
        <v>5.5E-2</v>
      </c>
      <c r="K1286" s="6">
        <v>0.1172</v>
      </c>
      <c r="L1286" s="6">
        <v>0.26939999999999997</v>
      </c>
      <c r="M1286" s="4">
        <v>3351727942</v>
      </c>
      <c r="N1286" s="4">
        <v>6056846549</v>
      </c>
      <c r="O1286" s="4"/>
      <c r="P1286" s="6">
        <v>6.93E-2</v>
      </c>
      <c r="Q1286" s="6">
        <v>1.6299999999999999E-2</v>
      </c>
      <c r="R1286" s="6">
        <v>3.9899999999999998E-2</v>
      </c>
      <c r="S1286" s="6">
        <v>0.23899999999999999</v>
      </c>
      <c r="T1286" s="4"/>
      <c r="U1286" s="6">
        <v>-0.52239999999999998</v>
      </c>
      <c r="V1286" s="6">
        <v>-0.33389999999999997</v>
      </c>
      <c r="W1286" s="6">
        <v>-0.47099999999999997</v>
      </c>
      <c r="X1286" s="6">
        <v>1.9E-2</v>
      </c>
      <c r="Y1286" s="4"/>
      <c r="Z1286" s="6">
        <v>-2.8299999999999999E-2</v>
      </c>
      <c r="AA1286" s="4"/>
      <c r="AB1286" s="4"/>
      <c r="AC1286" s="4"/>
      <c r="AD1286" s="6">
        <v>0</v>
      </c>
      <c r="AE1286" s="4"/>
      <c r="AF1286" s="4"/>
      <c r="AG1286" s="4"/>
      <c r="AH1286" s="4">
        <v>632000000000</v>
      </c>
    </row>
    <row r="1287" spans="1:34" x14ac:dyDescent="0.25">
      <c r="A1287" s="4">
        <v>1286</v>
      </c>
      <c r="B1287" s="5" t="s">
        <v>2701</v>
      </c>
      <c r="C1287" s="5" t="s">
        <v>2702</v>
      </c>
      <c r="D1287" s="5" t="s">
        <v>1586</v>
      </c>
      <c r="E1287" s="5" t="s">
        <v>40</v>
      </c>
      <c r="F1287" s="5" t="s">
        <v>52</v>
      </c>
      <c r="G1287" s="5" t="s">
        <v>53</v>
      </c>
      <c r="H1287" s="4">
        <v>30103007604</v>
      </c>
      <c r="I1287" s="4">
        <v>62516981591</v>
      </c>
      <c r="J1287" s="6">
        <v>-0.2384</v>
      </c>
      <c r="K1287" s="6">
        <v>-0.21</v>
      </c>
      <c r="L1287" s="6">
        <v>-0.21390000000000001</v>
      </c>
      <c r="M1287" s="4">
        <v>-8875927408</v>
      </c>
      <c r="N1287" s="4">
        <v>-17890034369</v>
      </c>
      <c r="O1287" s="4"/>
      <c r="P1287" s="6">
        <v>0.43619999999999998</v>
      </c>
      <c r="Q1287" s="6">
        <v>0.2621</v>
      </c>
      <c r="R1287" s="6">
        <v>0.21709999999999999</v>
      </c>
      <c r="S1287" s="6">
        <v>1.5299999999999999E-2</v>
      </c>
      <c r="T1287" s="4"/>
      <c r="U1287" s="6">
        <v>-0.46820000000000001</v>
      </c>
      <c r="V1287" s="6">
        <v>0.59279999999999999</v>
      </c>
      <c r="W1287" s="6">
        <v>0.59279999999999999</v>
      </c>
      <c r="X1287" s="6">
        <v>0</v>
      </c>
      <c r="Y1287" s="4"/>
      <c r="Z1287" s="6">
        <v>-7.1300000000000002E-2</v>
      </c>
      <c r="AA1287" s="4"/>
      <c r="AB1287" s="4"/>
      <c r="AC1287" s="4"/>
      <c r="AD1287" s="6">
        <v>0</v>
      </c>
      <c r="AE1287" s="4"/>
      <c r="AF1287" s="4"/>
      <c r="AG1287" s="4"/>
      <c r="AH1287" s="4">
        <v>70358500800</v>
      </c>
    </row>
    <row r="1288" spans="1:34" x14ac:dyDescent="0.25">
      <c r="A1288" s="4">
        <v>1287</v>
      </c>
      <c r="B1288" s="5" t="s">
        <v>2703</v>
      </c>
      <c r="C1288" s="5" t="s">
        <v>2704</v>
      </c>
      <c r="D1288" s="5" t="s">
        <v>1586</v>
      </c>
      <c r="E1288" s="5" t="s">
        <v>29</v>
      </c>
      <c r="F1288" s="5" t="s">
        <v>36</v>
      </c>
      <c r="G1288" s="5" t="s">
        <v>37</v>
      </c>
      <c r="H1288" s="4"/>
      <c r="I1288" s="4"/>
      <c r="J1288" s="6"/>
      <c r="K1288" s="6"/>
      <c r="L1288" s="6"/>
      <c r="M1288" s="4"/>
      <c r="N1288" s="4"/>
      <c r="O1288" s="4"/>
      <c r="P1288" s="6"/>
      <c r="Q1288" s="6"/>
      <c r="R1288" s="6"/>
      <c r="S1288" s="6"/>
      <c r="T1288" s="4"/>
      <c r="U1288" s="6"/>
      <c r="V1288" s="6"/>
      <c r="W1288" s="6"/>
      <c r="X1288" s="6"/>
      <c r="Y1288" s="4"/>
      <c r="Z1288" s="6"/>
      <c r="AA1288" s="4"/>
      <c r="AB1288" s="4"/>
      <c r="AC1288" s="4"/>
      <c r="AD1288" s="6"/>
      <c r="AE1288" s="4"/>
      <c r="AF1288" s="4"/>
      <c r="AG1288" s="4"/>
      <c r="AH1288" s="4">
        <v>7993896000</v>
      </c>
    </row>
    <row r="1289" spans="1:34" x14ac:dyDescent="0.25">
      <c r="A1289" s="4">
        <v>1288</v>
      </c>
      <c r="B1289" s="5" t="s">
        <v>2705</v>
      </c>
      <c r="C1289" s="5" t="s">
        <v>2706</v>
      </c>
      <c r="D1289" s="5" t="s">
        <v>1586</v>
      </c>
      <c r="E1289" s="5" t="s">
        <v>98</v>
      </c>
      <c r="F1289" s="5" t="s">
        <v>99</v>
      </c>
      <c r="G1289" s="5" t="s">
        <v>100</v>
      </c>
      <c r="H1289" s="4"/>
      <c r="I1289" s="4"/>
      <c r="J1289" s="6"/>
      <c r="K1289" s="6"/>
      <c r="L1289" s="6"/>
      <c r="M1289" s="4"/>
      <c r="N1289" s="4"/>
      <c r="O1289" s="4"/>
      <c r="P1289" s="6"/>
      <c r="Q1289" s="6"/>
      <c r="R1289" s="6"/>
      <c r="S1289" s="6"/>
      <c r="T1289" s="4"/>
      <c r="U1289" s="6"/>
      <c r="V1289" s="6"/>
      <c r="W1289" s="6"/>
      <c r="X1289" s="6"/>
      <c r="Y1289" s="4"/>
      <c r="Z1289" s="6"/>
      <c r="AA1289" s="4"/>
      <c r="AB1289" s="4"/>
      <c r="AC1289" s="4"/>
      <c r="AD1289" s="6"/>
      <c r="AE1289" s="4"/>
      <c r="AF1289" s="4"/>
      <c r="AG1289" s="4"/>
      <c r="AH1289" s="4">
        <v>42037968000</v>
      </c>
    </row>
    <row r="1290" spans="1:34" x14ac:dyDescent="0.25">
      <c r="A1290" s="4">
        <v>1289</v>
      </c>
      <c r="B1290" s="5" t="s">
        <v>2707</v>
      </c>
      <c r="C1290" s="5" t="s">
        <v>2708</v>
      </c>
      <c r="D1290" s="5" t="s">
        <v>1586</v>
      </c>
      <c r="E1290" s="5" t="s">
        <v>29</v>
      </c>
      <c r="F1290" s="5" t="s">
        <v>203</v>
      </c>
      <c r="G1290" s="5" t="s">
        <v>211</v>
      </c>
      <c r="H1290" s="4"/>
      <c r="I1290" s="4"/>
      <c r="J1290" s="6"/>
      <c r="K1290" s="6"/>
      <c r="L1290" s="6"/>
      <c r="M1290" s="4"/>
      <c r="N1290" s="4"/>
      <c r="O1290" s="4"/>
      <c r="P1290" s="6"/>
      <c r="Q1290" s="6"/>
      <c r="R1290" s="6"/>
      <c r="S1290" s="6"/>
      <c r="T1290" s="4"/>
      <c r="U1290" s="6"/>
      <c r="V1290" s="6"/>
      <c r="W1290" s="6"/>
      <c r="X1290" s="6"/>
      <c r="Y1290" s="4"/>
      <c r="Z1290" s="6"/>
      <c r="AA1290" s="4"/>
      <c r="AB1290" s="4"/>
      <c r="AC1290" s="4"/>
      <c r="AD1290" s="6"/>
      <c r="AE1290" s="4"/>
      <c r="AF1290" s="4"/>
      <c r="AG1290" s="4"/>
      <c r="AH1290" s="4">
        <v>401279920200</v>
      </c>
    </row>
    <row r="1291" spans="1:34" x14ac:dyDescent="0.25">
      <c r="A1291" s="4">
        <v>1290</v>
      </c>
      <c r="B1291" s="5" t="s">
        <v>2709</v>
      </c>
      <c r="C1291" s="5" t="s">
        <v>2710</v>
      </c>
      <c r="D1291" s="5" t="s">
        <v>1586</v>
      </c>
      <c r="E1291" s="5" t="s">
        <v>40</v>
      </c>
      <c r="F1291" s="5" t="s">
        <v>52</v>
      </c>
      <c r="G1291" s="5" t="s">
        <v>110</v>
      </c>
      <c r="H1291" s="4"/>
      <c r="I1291" s="4"/>
      <c r="J1291" s="6"/>
      <c r="K1291" s="6"/>
      <c r="L1291" s="6"/>
      <c r="M1291" s="4"/>
      <c r="N1291" s="4"/>
      <c r="O1291" s="4"/>
      <c r="P1291" s="6"/>
      <c r="Q1291" s="6"/>
      <c r="R1291" s="6"/>
      <c r="S1291" s="6"/>
      <c r="T1291" s="4"/>
      <c r="U1291" s="6"/>
      <c r="V1291" s="6"/>
      <c r="W1291" s="6"/>
      <c r="X1291" s="6"/>
      <c r="Y1291" s="4"/>
      <c r="Z1291" s="6"/>
      <c r="AA1291" s="4"/>
      <c r="AB1291" s="4"/>
      <c r="AC1291" s="4"/>
      <c r="AD1291" s="6"/>
      <c r="AE1291" s="4"/>
      <c r="AF1291" s="4"/>
      <c r="AG1291" s="4"/>
      <c r="AH1291" s="4">
        <v>24000000000</v>
      </c>
    </row>
    <row r="1292" spans="1:34" x14ac:dyDescent="0.25">
      <c r="A1292" s="4">
        <v>1291</v>
      </c>
      <c r="B1292" s="5" t="s">
        <v>2711</v>
      </c>
      <c r="C1292" s="5" t="s">
        <v>2712</v>
      </c>
      <c r="D1292" s="5" t="s">
        <v>1586</v>
      </c>
      <c r="E1292" s="5" t="s">
        <v>1306</v>
      </c>
      <c r="F1292" s="5" t="s">
        <v>1306</v>
      </c>
      <c r="G1292" s="5" t="s">
        <v>1307</v>
      </c>
      <c r="H1292" s="4"/>
      <c r="I1292" s="4"/>
      <c r="J1292" s="6"/>
      <c r="K1292" s="6"/>
      <c r="L1292" s="6"/>
      <c r="M1292" s="4"/>
      <c r="N1292" s="4"/>
      <c r="O1292" s="4"/>
      <c r="P1292" s="6"/>
      <c r="Q1292" s="6"/>
      <c r="R1292" s="6"/>
      <c r="S1292" s="6"/>
      <c r="T1292" s="4"/>
      <c r="U1292" s="6"/>
      <c r="V1292" s="6"/>
      <c r="W1292" s="6"/>
      <c r="X1292" s="6"/>
      <c r="Y1292" s="4"/>
      <c r="Z1292" s="6"/>
      <c r="AA1292" s="4"/>
      <c r="AB1292" s="4"/>
      <c r="AC1292" s="4"/>
      <c r="AD1292" s="6"/>
      <c r="AE1292" s="4"/>
      <c r="AF1292" s="4"/>
      <c r="AG1292" s="4"/>
      <c r="AH1292" s="4">
        <v>73385037000</v>
      </c>
    </row>
    <row r="1293" spans="1:34" x14ac:dyDescent="0.25">
      <c r="A1293" s="4">
        <v>1292</v>
      </c>
      <c r="B1293" s="5" t="s">
        <v>2713</v>
      </c>
      <c r="C1293" s="5" t="s">
        <v>2714</v>
      </c>
      <c r="D1293" s="5" t="s">
        <v>1586</v>
      </c>
      <c r="E1293" s="5" t="s">
        <v>40</v>
      </c>
      <c r="F1293" s="5" t="s">
        <v>41</v>
      </c>
      <c r="G1293" s="5" t="s">
        <v>557</v>
      </c>
      <c r="H1293" s="4"/>
      <c r="I1293" s="4"/>
      <c r="J1293" s="6"/>
      <c r="K1293" s="6"/>
      <c r="L1293" s="6"/>
      <c r="M1293" s="4"/>
      <c r="N1293" s="4"/>
      <c r="O1293" s="4"/>
      <c r="P1293" s="6"/>
      <c r="Q1293" s="6"/>
      <c r="R1293" s="6"/>
      <c r="S1293" s="6"/>
      <c r="T1293" s="4"/>
      <c r="U1293" s="6"/>
      <c r="V1293" s="6"/>
      <c r="W1293" s="6"/>
      <c r="X1293" s="6"/>
      <c r="Y1293" s="4"/>
      <c r="Z1293" s="6"/>
      <c r="AA1293" s="4"/>
      <c r="AB1293" s="4"/>
      <c r="AC1293" s="4"/>
      <c r="AD1293" s="6"/>
      <c r="AE1293" s="4"/>
      <c r="AF1293" s="4"/>
      <c r="AG1293" s="4"/>
      <c r="AH1293" s="4">
        <v>148438548000</v>
      </c>
    </row>
    <row r="1294" spans="1:34" x14ac:dyDescent="0.25">
      <c r="A1294" s="4">
        <v>1293</v>
      </c>
      <c r="B1294" s="5" t="s">
        <v>2715</v>
      </c>
      <c r="C1294" s="5" t="s">
        <v>2716</v>
      </c>
      <c r="D1294" s="5" t="s">
        <v>1586</v>
      </c>
      <c r="E1294" s="5" t="s">
        <v>140</v>
      </c>
      <c r="F1294" s="5" t="s">
        <v>140</v>
      </c>
      <c r="G1294" s="5" t="s">
        <v>671</v>
      </c>
      <c r="H1294" s="4"/>
      <c r="I1294" s="4"/>
      <c r="J1294" s="6"/>
      <c r="K1294" s="6"/>
      <c r="L1294" s="6"/>
      <c r="M1294" s="4"/>
      <c r="N1294" s="4"/>
      <c r="O1294" s="4"/>
      <c r="P1294" s="6"/>
      <c r="Q1294" s="6"/>
      <c r="R1294" s="6"/>
      <c r="S1294" s="6"/>
      <c r="T1294" s="4"/>
      <c r="U1294" s="6"/>
      <c r="V1294" s="6"/>
      <c r="W1294" s="6"/>
      <c r="X1294" s="6"/>
      <c r="Y1294" s="4"/>
      <c r="Z1294" s="6"/>
      <c r="AA1294" s="4"/>
      <c r="AB1294" s="4"/>
      <c r="AC1294" s="4"/>
      <c r="AD1294" s="6"/>
      <c r="AE1294" s="4"/>
      <c r="AF1294" s="4"/>
      <c r="AG1294" s="4"/>
      <c r="AH1294" s="4">
        <v>87260000000</v>
      </c>
    </row>
    <row r="1295" spans="1:34" x14ac:dyDescent="0.25">
      <c r="A1295" s="4">
        <v>1294</v>
      </c>
      <c r="B1295" s="5" t="s">
        <v>2717</v>
      </c>
      <c r="C1295" s="5" t="s">
        <v>2718</v>
      </c>
      <c r="D1295" s="5" t="s">
        <v>1586</v>
      </c>
      <c r="E1295" s="5" t="s">
        <v>140</v>
      </c>
      <c r="F1295" s="5" t="s">
        <v>140</v>
      </c>
      <c r="G1295" s="5" t="s">
        <v>671</v>
      </c>
      <c r="H1295" s="4"/>
      <c r="I1295" s="4"/>
      <c r="J1295" s="6"/>
      <c r="K1295" s="6"/>
      <c r="L1295" s="6"/>
      <c r="M1295" s="4"/>
      <c r="N1295" s="4"/>
      <c r="O1295" s="4"/>
      <c r="P1295" s="6"/>
      <c r="Q1295" s="6"/>
      <c r="R1295" s="6"/>
      <c r="S1295" s="6"/>
      <c r="T1295" s="4"/>
      <c r="U1295" s="6"/>
      <c r="V1295" s="6"/>
      <c r="W1295" s="6"/>
      <c r="X1295" s="6"/>
      <c r="Y1295" s="4"/>
      <c r="Z1295" s="6"/>
      <c r="AA1295" s="4"/>
      <c r="AB1295" s="4"/>
      <c r="AC1295" s="4"/>
      <c r="AD1295" s="6"/>
      <c r="AE1295" s="4"/>
      <c r="AF1295" s="4"/>
      <c r="AG1295" s="4"/>
      <c r="AH1295" s="4">
        <v>60000000000</v>
      </c>
    </row>
    <row r="1296" spans="1:34" x14ac:dyDescent="0.25">
      <c r="A1296" s="4">
        <v>1295</v>
      </c>
      <c r="B1296" s="5" t="s">
        <v>2719</v>
      </c>
      <c r="C1296" s="5" t="s">
        <v>2720</v>
      </c>
      <c r="D1296" s="5" t="s">
        <v>1586</v>
      </c>
      <c r="E1296" s="5" t="s">
        <v>40</v>
      </c>
      <c r="F1296" s="5" t="s">
        <v>52</v>
      </c>
      <c r="G1296" s="5" t="s">
        <v>110</v>
      </c>
      <c r="H1296" s="4">
        <v>7174391805</v>
      </c>
      <c r="I1296" s="4"/>
      <c r="J1296" s="6">
        <v>0.85570000000000002</v>
      </c>
      <c r="K1296" s="6">
        <v>1.8221000000000001</v>
      </c>
      <c r="L1296" s="6">
        <v>1.0455000000000001</v>
      </c>
      <c r="M1296" s="4">
        <v>-1793617906</v>
      </c>
      <c r="N1296" s="4"/>
      <c r="O1296" s="4"/>
      <c r="P1296" s="6">
        <v>0.1221</v>
      </c>
      <c r="Q1296" s="6">
        <v>0.13739999999999999</v>
      </c>
      <c r="R1296" s="6">
        <v>0.2384</v>
      </c>
      <c r="S1296" s="6">
        <v>5.9200000000000003E-2</v>
      </c>
      <c r="T1296" s="4"/>
      <c r="U1296" s="6">
        <v>-0.81200000000000006</v>
      </c>
      <c r="V1296" s="6">
        <v>0.46610000000000001</v>
      </c>
      <c r="W1296" s="6">
        <v>0.46610000000000001</v>
      </c>
      <c r="X1296" s="6">
        <v>0</v>
      </c>
      <c r="Y1296" s="4"/>
      <c r="Z1296" s="6">
        <v>0.34560000000000002</v>
      </c>
      <c r="AA1296" s="4"/>
      <c r="AB1296" s="4"/>
      <c r="AC1296" s="4"/>
      <c r="AD1296" s="6">
        <v>0</v>
      </c>
      <c r="AE1296" s="4"/>
      <c r="AF1296" s="4"/>
      <c r="AG1296" s="4"/>
      <c r="AH1296" s="4">
        <v>12600000000</v>
      </c>
    </row>
    <row r="1297" spans="1:34" x14ac:dyDescent="0.25">
      <c r="A1297" s="4">
        <v>1296</v>
      </c>
      <c r="B1297" s="5" t="s">
        <v>2721</v>
      </c>
      <c r="C1297" s="5" t="s">
        <v>2722</v>
      </c>
      <c r="D1297" s="5" t="s">
        <v>1586</v>
      </c>
      <c r="E1297" s="5" t="s">
        <v>75</v>
      </c>
      <c r="F1297" s="5" t="s">
        <v>76</v>
      </c>
      <c r="G1297" s="5" t="s">
        <v>76</v>
      </c>
      <c r="H1297" s="4">
        <v>3175729113</v>
      </c>
      <c r="I1297" s="4">
        <v>5739300633</v>
      </c>
      <c r="J1297" s="6">
        <v>40.331099999999999</v>
      </c>
      <c r="K1297" s="6"/>
      <c r="L1297" s="6"/>
      <c r="M1297" s="4">
        <v>-1700315245</v>
      </c>
      <c r="N1297" s="4">
        <v>-447717648</v>
      </c>
      <c r="O1297" s="4"/>
      <c r="P1297" s="6">
        <v>-0.316</v>
      </c>
      <c r="Q1297" s="6"/>
      <c r="R1297" s="6"/>
      <c r="S1297" s="6">
        <v>-2.3574000000000002</v>
      </c>
      <c r="T1297" s="4"/>
      <c r="U1297" s="6"/>
      <c r="V1297" s="6"/>
      <c r="W1297" s="6"/>
      <c r="X1297" s="6"/>
      <c r="Y1297" s="4"/>
      <c r="Z1297" s="6">
        <v>0.23880000000000001</v>
      </c>
      <c r="AA1297" s="4"/>
      <c r="AB1297" s="4"/>
      <c r="AC1297" s="4"/>
      <c r="AD1297" s="6"/>
      <c r="AE1297" s="4"/>
      <c r="AF1297" s="4"/>
      <c r="AG1297" s="4"/>
      <c r="AH1297" s="4">
        <v>135000000000</v>
      </c>
    </row>
    <row r="1298" spans="1:34" x14ac:dyDescent="0.25">
      <c r="A1298" s="4">
        <v>1297</v>
      </c>
      <c r="B1298" s="5" t="s">
        <v>2723</v>
      </c>
      <c r="C1298" s="5" t="s">
        <v>2724</v>
      </c>
      <c r="D1298" s="5" t="s">
        <v>1586</v>
      </c>
      <c r="E1298" s="5" t="s">
        <v>40</v>
      </c>
      <c r="F1298" s="5" t="s">
        <v>41</v>
      </c>
      <c r="G1298" s="5" t="s">
        <v>983</v>
      </c>
      <c r="H1298" s="4"/>
      <c r="I1298" s="4"/>
      <c r="J1298" s="6"/>
      <c r="K1298" s="6"/>
      <c r="L1298" s="6"/>
      <c r="M1298" s="4"/>
      <c r="N1298" s="4"/>
      <c r="O1298" s="4"/>
      <c r="P1298" s="6"/>
      <c r="Q1298" s="6"/>
      <c r="R1298" s="6"/>
      <c r="S1298" s="6"/>
      <c r="T1298" s="4"/>
      <c r="U1298" s="6"/>
      <c r="V1298" s="6"/>
      <c r="W1298" s="6"/>
      <c r="X1298" s="6"/>
      <c r="Y1298" s="4"/>
      <c r="Z1298" s="6"/>
      <c r="AA1298" s="4"/>
      <c r="AB1298" s="4"/>
      <c r="AC1298" s="4"/>
      <c r="AD1298" s="6"/>
      <c r="AE1298" s="4"/>
      <c r="AF1298" s="4"/>
      <c r="AG1298" s="4"/>
      <c r="AH1298" s="4">
        <v>695494800000</v>
      </c>
    </row>
    <row r="1299" spans="1:34" x14ac:dyDescent="0.25">
      <c r="A1299" s="4">
        <v>1298</v>
      </c>
      <c r="B1299" s="5" t="s">
        <v>2725</v>
      </c>
      <c r="C1299" s="5" t="s">
        <v>2726</v>
      </c>
      <c r="D1299" s="5" t="s">
        <v>1586</v>
      </c>
      <c r="E1299" s="5" t="s">
        <v>24</v>
      </c>
      <c r="F1299" s="5" t="s">
        <v>25</v>
      </c>
      <c r="G1299" s="5" t="s">
        <v>45</v>
      </c>
      <c r="H1299" s="4"/>
      <c r="I1299" s="4"/>
      <c r="J1299" s="6"/>
      <c r="K1299" s="6"/>
      <c r="L1299" s="6"/>
      <c r="M1299" s="4"/>
      <c r="N1299" s="4"/>
      <c r="O1299" s="4"/>
      <c r="P1299" s="6"/>
      <c r="Q1299" s="6"/>
      <c r="R1299" s="6"/>
      <c r="S1299" s="6"/>
      <c r="T1299" s="4"/>
      <c r="U1299" s="6"/>
      <c r="V1299" s="6"/>
      <c r="W1299" s="6"/>
      <c r="X1299" s="6"/>
      <c r="Y1299" s="4"/>
      <c r="Z1299" s="6"/>
      <c r="AA1299" s="4"/>
      <c r="AB1299" s="4"/>
      <c r="AC1299" s="4"/>
      <c r="AD1299" s="6"/>
      <c r="AE1299" s="4"/>
      <c r="AF1299" s="4"/>
      <c r="AG1299" s="4"/>
      <c r="AH1299" s="4">
        <v>51130500000</v>
      </c>
    </row>
    <row r="1300" spans="1:34" x14ac:dyDescent="0.25">
      <c r="A1300" s="4">
        <v>1299</v>
      </c>
      <c r="B1300" s="5" t="s">
        <v>2727</v>
      </c>
      <c r="C1300" s="5" t="s">
        <v>2728</v>
      </c>
      <c r="D1300" s="5" t="s">
        <v>1586</v>
      </c>
      <c r="E1300" s="5" t="s">
        <v>75</v>
      </c>
      <c r="F1300" s="5" t="s">
        <v>76</v>
      </c>
      <c r="G1300" s="5" t="s">
        <v>76</v>
      </c>
      <c r="H1300" s="4">
        <v>0</v>
      </c>
      <c r="I1300" s="4">
        <v>0</v>
      </c>
      <c r="J1300" s="6">
        <v>0</v>
      </c>
      <c r="K1300" s="6">
        <v>0</v>
      </c>
      <c r="L1300" s="6">
        <v>0</v>
      </c>
      <c r="M1300" s="4">
        <v>-358647850</v>
      </c>
      <c r="N1300" s="4">
        <v>-720121770</v>
      </c>
      <c r="O1300" s="4"/>
      <c r="P1300" s="6">
        <v>-3.8E-3</v>
      </c>
      <c r="Q1300" s="6">
        <v>2.6700000000000002E-2</v>
      </c>
      <c r="R1300" s="6">
        <v>7.9299999999999995E-2</v>
      </c>
      <c r="S1300" s="6">
        <v>7.7999999999999996E-3</v>
      </c>
      <c r="T1300" s="4"/>
      <c r="U1300" s="6">
        <v>0</v>
      </c>
      <c r="V1300" s="6">
        <v>0.72299999999999998</v>
      </c>
      <c r="W1300" s="6">
        <v>0.72299999999999998</v>
      </c>
      <c r="X1300" s="6">
        <v>0</v>
      </c>
      <c r="Y1300" s="4"/>
      <c r="Z1300" s="6">
        <v>0</v>
      </c>
      <c r="AA1300" s="4"/>
      <c r="AB1300" s="4"/>
      <c r="AC1300" s="4"/>
      <c r="AD1300" s="6">
        <v>0</v>
      </c>
      <c r="AE1300" s="4"/>
      <c r="AF1300" s="4"/>
      <c r="AG1300" s="4"/>
      <c r="AH1300" s="4">
        <v>51906713000</v>
      </c>
    </row>
    <row r="1301" spans="1:34" x14ac:dyDescent="0.25">
      <c r="A1301" s="4">
        <v>1300</v>
      </c>
      <c r="B1301" s="5" t="s">
        <v>2729</v>
      </c>
      <c r="C1301" s="5" t="s">
        <v>2730</v>
      </c>
      <c r="D1301" s="5" t="s">
        <v>1586</v>
      </c>
      <c r="E1301" s="5" t="s">
        <v>40</v>
      </c>
      <c r="F1301" s="5" t="s">
        <v>52</v>
      </c>
      <c r="G1301" s="5" t="s">
        <v>110</v>
      </c>
      <c r="H1301" s="4"/>
      <c r="I1301" s="4"/>
      <c r="J1301" s="6"/>
      <c r="K1301" s="6"/>
      <c r="L1301" s="6"/>
      <c r="M1301" s="4"/>
      <c r="N1301" s="4"/>
      <c r="O1301" s="4"/>
      <c r="P1301" s="6"/>
      <c r="Q1301" s="6"/>
      <c r="R1301" s="6"/>
      <c r="S1301" s="6"/>
      <c r="T1301" s="4"/>
      <c r="U1301" s="6"/>
      <c r="V1301" s="6"/>
      <c r="W1301" s="6"/>
      <c r="X1301" s="6"/>
      <c r="Y1301" s="4"/>
      <c r="Z1301" s="6"/>
      <c r="AA1301" s="4"/>
      <c r="AB1301" s="4"/>
      <c r="AC1301" s="4"/>
      <c r="AD1301" s="6"/>
      <c r="AE1301" s="4"/>
      <c r="AF1301" s="4"/>
      <c r="AG1301" s="4"/>
      <c r="AH1301" s="4">
        <v>48000000000</v>
      </c>
    </row>
    <row r="1302" spans="1:34" x14ac:dyDescent="0.25">
      <c r="A1302" s="4">
        <v>1301</v>
      </c>
      <c r="B1302" s="5" t="s">
        <v>2731</v>
      </c>
      <c r="C1302" s="5" t="s">
        <v>2732</v>
      </c>
      <c r="D1302" s="5" t="s">
        <v>1586</v>
      </c>
      <c r="E1302" s="5" t="s">
        <v>40</v>
      </c>
      <c r="F1302" s="5" t="s">
        <v>52</v>
      </c>
      <c r="G1302" s="5" t="s">
        <v>110</v>
      </c>
      <c r="H1302" s="4"/>
      <c r="I1302" s="4"/>
      <c r="J1302" s="6"/>
      <c r="K1302" s="6"/>
      <c r="L1302" s="6"/>
      <c r="M1302" s="4"/>
      <c r="N1302" s="4"/>
      <c r="O1302" s="4"/>
      <c r="P1302" s="6"/>
      <c r="Q1302" s="6"/>
      <c r="R1302" s="6"/>
      <c r="S1302" s="6"/>
      <c r="T1302" s="4"/>
      <c r="U1302" s="6"/>
      <c r="V1302" s="6"/>
      <c r="W1302" s="6"/>
      <c r="X1302" s="6"/>
      <c r="Y1302" s="4"/>
      <c r="Z1302" s="6"/>
      <c r="AA1302" s="4"/>
      <c r="AB1302" s="4"/>
      <c r="AC1302" s="4"/>
      <c r="AD1302" s="6"/>
      <c r="AE1302" s="4"/>
      <c r="AF1302" s="4"/>
      <c r="AG1302" s="4"/>
      <c r="AH1302" s="4">
        <v>599995543500</v>
      </c>
    </row>
    <row r="1303" spans="1:34" x14ac:dyDescent="0.25">
      <c r="A1303" s="4">
        <v>1302</v>
      </c>
      <c r="B1303" s="5" t="s">
        <v>2733</v>
      </c>
      <c r="C1303" s="5" t="s">
        <v>2734</v>
      </c>
      <c r="D1303" s="5" t="s">
        <v>1586</v>
      </c>
      <c r="E1303" s="5" t="s">
        <v>40</v>
      </c>
      <c r="F1303" s="5" t="s">
        <v>52</v>
      </c>
      <c r="G1303" s="5" t="s">
        <v>110</v>
      </c>
      <c r="H1303" s="4"/>
      <c r="I1303" s="4"/>
      <c r="J1303" s="6"/>
      <c r="K1303" s="6"/>
      <c r="L1303" s="6"/>
      <c r="M1303" s="4"/>
      <c r="N1303" s="4"/>
      <c r="O1303" s="4"/>
      <c r="P1303" s="6"/>
      <c r="Q1303" s="6"/>
      <c r="R1303" s="6"/>
      <c r="S1303" s="6"/>
      <c r="T1303" s="4"/>
      <c r="U1303" s="6"/>
      <c r="V1303" s="6"/>
      <c r="W1303" s="6"/>
      <c r="X1303" s="6"/>
      <c r="Y1303" s="4"/>
      <c r="Z1303" s="6"/>
      <c r="AA1303" s="4"/>
      <c r="AB1303" s="4"/>
      <c r="AC1303" s="4"/>
      <c r="AD1303" s="6"/>
      <c r="AE1303" s="4"/>
      <c r="AF1303" s="4"/>
      <c r="AG1303" s="4"/>
      <c r="AH1303" s="4">
        <v>107081616600</v>
      </c>
    </row>
    <row r="1304" spans="1:34" x14ac:dyDescent="0.25">
      <c r="A1304" s="4">
        <v>1303</v>
      </c>
      <c r="B1304" s="5" t="s">
        <v>2735</v>
      </c>
      <c r="C1304" s="5" t="s">
        <v>2736</v>
      </c>
      <c r="D1304" s="5" t="s">
        <v>1586</v>
      </c>
      <c r="E1304" s="5" t="s">
        <v>75</v>
      </c>
      <c r="F1304" s="5" t="s">
        <v>76</v>
      </c>
      <c r="G1304" s="5" t="s">
        <v>76</v>
      </c>
      <c r="H1304" s="4"/>
      <c r="I1304" s="4"/>
      <c r="J1304" s="6"/>
      <c r="K1304" s="6"/>
      <c r="L1304" s="6"/>
      <c r="M1304" s="4"/>
      <c r="N1304" s="4"/>
      <c r="O1304" s="4"/>
      <c r="P1304" s="6"/>
      <c r="Q1304" s="6"/>
      <c r="R1304" s="6"/>
      <c r="S1304" s="6"/>
      <c r="T1304" s="4"/>
      <c r="U1304" s="6"/>
      <c r="V1304" s="6"/>
      <c r="W1304" s="6"/>
      <c r="X1304" s="6"/>
      <c r="Y1304" s="4"/>
      <c r="Z1304" s="6"/>
      <c r="AA1304" s="4"/>
      <c r="AB1304" s="4"/>
      <c r="AC1304" s="4"/>
      <c r="AD1304" s="6"/>
      <c r="AE1304" s="4"/>
      <c r="AF1304" s="4"/>
      <c r="AG1304" s="4"/>
      <c r="AH1304" s="4">
        <v>64000000000</v>
      </c>
    </row>
    <row r="1305" spans="1:34" x14ac:dyDescent="0.25">
      <c r="A1305" s="4">
        <v>1304</v>
      </c>
      <c r="B1305" s="5" t="s">
        <v>2737</v>
      </c>
      <c r="C1305" s="5" t="s">
        <v>2738</v>
      </c>
      <c r="D1305" s="5" t="s">
        <v>1586</v>
      </c>
      <c r="E1305" s="5" t="s">
        <v>98</v>
      </c>
      <c r="F1305" s="5" t="s">
        <v>99</v>
      </c>
      <c r="G1305" s="5" t="s">
        <v>155</v>
      </c>
      <c r="H1305" s="4">
        <v>36380843948</v>
      </c>
      <c r="I1305" s="4">
        <v>68895315762</v>
      </c>
      <c r="J1305" s="6">
        <v>3.27E-2</v>
      </c>
      <c r="K1305" s="6">
        <v>5.4899999999999997E-2</v>
      </c>
      <c r="L1305" s="6">
        <v>3.27E-2</v>
      </c>
      <c r="M1305" s="4">
        <v>3238024743</v>
      </c>
      <c r="N1305" s="4">
        <v>10265659375</v>
      </c>
      <c r="O1305" s="4"/>
      <c r="P1305" s="6">
        <v>-0.39219999999999999</v>
      </c>
      <c r="Q1305" s="6">
        <v>4.3E-3</v>
      </c>
      <c r="R1305" s="6">
        <v>-0.22409999999999999</v>
      </c>
      <c r="S1305" s="6">
        <v>-0.53920000000000001</v>
      </c>
      <c r="T1305" s="4"/>
      <c r="U1305" s="6">
        <v>-0.5232</v>
      </c>
      <c r="V1305" s="6">
        <v>-0.32990000000000003</v>
      </c>
      <c r="W1305" s="6">
        <v>-0.26669999999999999</v>
      </c>
      <c r="X1305" s="6">
        <v>0</v>
      </c>
      <c r="Y1305" s="4"/>
      <c r="Z1305" s="6">
        <v>0.11890000000000001</v>
      </c>
      <c r="AA1305" s="4"/>
      <c r="AB1305" s="4"/>
      <c r="AC1305" s="4"/>
      <c r="AD1305" s="6">
        <v>0</v>
      </c>
      <c r="AE1305" s="4"/>
      <c r="AF1305" s="4"/>
      <c r="AG1305" s="4"/>
      <c r="AH1305" s="4">
        <v>548599179700</v>
      </c>
    </row>
    <row r="1306" spans="1:34" x14ac:dyDescent="0.25">
      <c r="A1306" s="4">
        <v>1305</v>
      </c>
      <c r="B1306" s="5" t="s">
        <v>2739</v>
      </c>
      <c r="C1306" s="5" t="s">
        <v>2740</v>
      </c>
      <c r="D1306" s="5" t="s">
        <v>1586</v>
      </c>
      <c r="E1306" s="5" t="s">
        <v>75</v>
      </c>
      <c r="F1306" s="5" t="s">
        <v>76</v>
      </c>
      <c r="G1306" s="5" t="s">
        <v>76</v>
      </c>
      <c r="H1306" s="4"/>
      <c r="I1306" s="4"/>
      <c r="J1306" s="6"/>
      <c r="K1306" s="6"/>
      <c r="L1306" s="6"/>
      <c r="M1306" s="4"/>
      <c r="N1306" s="4"/>
      <c r="O1306" s="4"/>
      <c r="P1306" s="6"/>
      <c r="Q1306" s="6"/>
      <c r="R1306" s="6"/>
      <c r="S1306" s="6"/>
      <c r="T1306" s="4"/>
      <c r="U1306" s="6"/>
      <c r="V1306" s="6"/>
      <c r="W1306" s="6"/>
      <c r="X1306" s="6"/>
      <c r="Y1306" s="4"/>
      <c r="Z1306" s="6"/>
      <c r="AA1306" s="4"/>
      <c r="AB1306" s="4"/>
      <c r="AC1306" s="4"/>
      <c r="AD1306" s="6"/>
      <c r="AE1306" s="4"/>
      <c r="AF1306" s="4"/>
      <c r="AG1306" s="4"/>
      <c r="AH1306" s="4">
        <v>12000000000</v>
      </c>
    </row>
    <row r="1307" spans="1:34" x14ac:dyDescent="0.25">
      <c r="A1307" s="4">
        <v>1306</v>
      </c>
      <c r="B1307" s="5" t="s">
        <v>2741</v>
      </c>
      <c r="C1307" s="5" t="s">
        <v>2742</v>
      </c>
      <c r="D1307" s="5" t="s">
        <v>1586</v>
      </c>
      <c r="E1307" s="5" t="s">
        <v>40</v>
      </c>
      <c r="F1307" s="5" t="s">
        <v>52</v>
      </c>
      <c r="G1307" s="5" t="s">
        <v>110</v>
      </c>
      <c r="H1307" s="4">
        <v>4197191450</v>
      </c>
      <c r="I1307" s="4">
        <v>13739164473</v>
      </c>
      <c r="J1307" s="6">
        <v>2.0678999999999998</v>
      </c>
      <c r="K1307" s="6">
        <v>6.8552</v>
      </c>
      <c r="L1307" s="6">
        <v>7.4443999999999999</v>
      </c>
      <c r="M1307" s="4">
        <v>-446476057</v>
      </c>
      <c r="N1307" s="4">
        <v>-1219174914</v>
      </c>
      <c r="O1307" s="4"/>
      <c r="P1307" s="6">
        <v>0.24429999999999999</v>
      </c>
      <c r="Q1307" s="6">
        <v>-0.27750000000000002</v>
      </c>
      <c r="R1307" s="6">
        <v>-0.76400000000000001</v>
      </c>
      <c r="S1307" s="6">
        <v>0.42220000000000002</v>
      </c>
      <c r="T1307" s="4"/>
      <c r="U1307" s="6">
        <v>-0.23669999999999999</v>
      </c>
      <c r="V1307" s="6">
        <v>-3.6503999999999999</v>
      </c>
      <c r="W1307" s="6">
        <v>-3.6503999999999999</v>
      </c>
      <c r="X1307" s="6">
        <v>0</v>
      </c>
      <c r="Y1307" s="4"/>
      <c r="Z1307" s="6">
        <v>-0.56010000000000004</v>
      </c>
      <c r="AA1307" s="4"/>
      <c r="AB1307" s="4"/>
      <c r="AC1307" s="4"/>
      <c r="AD1307" s="6">
        <v>0</v>
      </c>
      <c r="AE1307" s="4"/>
      <c r="AF1307" s="4"/>
      <c r="AG1307" s="4"/>
      <c r="AH1307" s="4">
        <v>21000000000</v>
      </c>
    </row>
    <row r="1308" spans="1:34" x14ac:dyDescent="0.25">
      <c r="A1308" s="4">
        <v>1307</v>
      </c>
      <c r="B1308" s="5" t="s">
        <v>2743</v>
      </c>
      <c r="C1308" s="5" t="s">
        <v>2744</v>
      </c>
      <c r="D1308" s="5" t="s">
        <v>1586</v>
      </c>
      <c r="E1308" s="5" t="s">
        <v>75</v>
      </c>
      <c r="F1308" s="5" t="s">
        <v>76</v>
      </c>
      <c r="G1308" s="5" t="s">
        <v>76</v>
      </c>
      <c r="H1308" s="4">
        <v>3019589067</v>
      </c>
      <c r="I1308" s="4">
        <v>6006735125</v>
      </c>
      <c r="J1308" s="6">
        <v>0.81059999999999999</v>
      </c>
      <c r="K1308" s="6">
        <v>0.92</v>
      </c>
      <c r="L1308" s="6">
        <v>0.84079999999999999</v>
      </c>
      <c r="M1308" s="4">
        <v>378646842</v>
      </c>
      <c r="N1308" s="4">
        <v>720445623</v>
      </c>
      <c r="O1308" s="4"/>
      <c r="P1308" s="6">
        <v>1.0024999999999999</v>
      </c>
      <c r="Q1308" s="6">
        <v>1.5437000000000001</v>
      </c>
      <c r="R1308" s="6">
        <v>1.7188000000000001</v>
      </c>
      <c r="S1308" s="6">
        <v>0.10780000000000001</v>
      </c>
      <c r="T1308" s="4"/>
      <c r="U1308" s="6">
        <v>-0.94710000000000005</v>
      </c>
      <c r="V1308" s="6">
        <v>-0.2792</v>
      </c>
      <c r="W1308" s="6">
        <v>-0.42820000000000003</v>
      </c>
      <c r="X1308" s="6">
        <v>0</v>
      </c>
      <c r="Y1308" s="4"/>
      <c r="Z1308" s="6">
        <v>1.09E-2</v>
      </c>
      <c r="AA1308" s="4"/>
      <c r="AB1308" s="4"/>
      <c r="AC1308" s="4"/>
      <c r="AD1308" s="6">
        <v>0</v>
      </c>
      <c r="AE1308" s="4"/>
      <c r="AF1308" s="4"/>
      <c r="AG1308" s="4"/>
      <c r="AH1308" s="4">
        <v>1888103325600</v>
      </c>
    </row>
    <row r="1309" spans="1:34" x14ac:dyDescent="0.25">
      <c r="A1309" s="4">
        <v>1308</v>
      </c>
      <c r="B1309" s="5" t="s">
        <v>2745</v>
      </c>
      <c r="C1309" s="5" t="s">
        <v>2746</v>
      </c>
      <c r="D1309" s="5" t="s">
        <v>1586</v>
      </c>
      <c r="E1309" s="5" t="s">
        <v>40</v>
      </c>
      <c r="F1309" s="5" t="s">
        <v>52</v>
      </c>
      <c r="G1309" s="5" t="s">
        <v>110</v>
      </c>
      <c r="H1309" s="4">
        <v>498792902</v>
      </c>
      <c r="I1309" s="4">
        <v>569626234</v>
      </c>
      <c r="J1309" s="6"/>
      <c r="K1309" s="6"/>
      <c r="L1309" s="6"/>
      <c r="M1309" s="4">
        <v>-4773378995</v>
      </c>
      <c r="N1309" s="4">
        <v>-9649601784</v>
      </c>
      <c r="O1309" s="4"/>
      <c r="P1309" s="6"/>
      <c r="Q1309" s="6"/>
      <c r="R1309" s="6"/>
      <c r="S1309" s="6"/>
      <c r="T1309" s="4"/>
      <c r="U1309" s="6"/>
      <c r="V1309" s="6"/>
      <c r="W1309" s="6"/>
      <c r="X1309" s="6"/>
      <c r="Y1309" s="4"/>
      <c r="Z1309" s="6"/>
      <c r="AA1309" s="4"/>
      <c r="AB1309" s="4"/>
      <c r="AC1309" s="4"/>
      <c r="AD1309" s="6"/>
      <c r="AE1309" s="4"/>
      <c r="AF1309" s="4"/>
      <c r="AG1309" s="4"/>
      <c r="AH1309" s="4">
        <v>7500000000</v>
      </c>
    </row>
    <row r="1310" spans="1:34" x14ac:dyDescent="0.25">
      <c r="A1310" s="4">
        <v>1309</v>
      </c>
      <c r="B1310" s="5" t="s">
        <v>2747</v>
      </c>
      <c r="C1310" s="5" t="s">
        <v>2748</v>
      </c>
      <c r="D1310" s="5" t="s">
        <v>1586</v>
      </c>
      <c r="E1310" s="5" t="s">
        <v>40</v>
      </c>
      <c r="F1310" s="5" t="s">
        <v>52</v>
      </c>
      <c r="G1310" s="5" t="s">
        <v>110</v>
      </c>
      <c r="H1310" s="4"/>
      <c r="I1310" s="4"/>
      <c r="J1310" s="6"/>
      <c r="K1310" s="6"/>
      <c r="L1310" s="6"/>
      <c r="M1310" s="4"/>
      <c r="N1310" s="4"/>
      <c r="O1310" s="4"/>
      <c r="P1310" s="6"/>
      <c r="Q1310" s="6"/>
      <c r="R1310" s="6"/>
      <c r="S1310" s="6"/>
      <c r="T1310" s="4"/>
      <c r="U1310" s="6"/>
      <c r="V1310" s="6"/>
      <c r="W1310" s="6"/>
      <c r="X1310" s="6"/>
      <c r="Y1310" s="4"/>
      <c r="Z1310" s="6"/>
      <c r="AA1310" s="4"/>
      <c r="AB1310" s="4"/>
      <c r="AC1310" s="4"/>
      <c r="AD1310" s="6"/>
      <c r="AE1310" s="4"/>
      <c r="AF1310" s="4"/>
      <c r="AG1310" s="4"/>
      <c r="AH1310" s="4">
        <v>137999995400</v>
      </c>
    </row>
    <row r="1311" spans="1:34" x14ac:dyDescent="0.25">
      <c r="A1311" s="4">
        <v>1310</v>
      </c>
      <c r="B1311" s="5" t="s">
        <v>2749</v>
      </c>
      <c r="C1311" s="5" t="s">
        <v>2750</v>
      </c>
      <c r="D1311" s="5" t="s">
        <v>1586</v>
      </c>
      <c r="E1311" s="5" t="s">
        <v>40</v>
      </c>
      <c r="F1311" s="5" t="s">
        <v>52</v>
      </c>
      <c r="G1311" s="5" t="s">
        <v>110</v>
      </c>
      <c r="H1311" s="4">
        <v>55218999903</v>
      </c>
      <c r="I1311" s="4">
        <v>88544170562</v>
      </c>
      <c r="J1311" s="6">
        <v>1.5665</v>
      </c>
      <c r="K1311" s="6"/>
      <c r="L1311" s="6"/>
      <c r="M1311" s="4">
        <v>321981078</v>
      </c>
      <c r="N1311" s="4">
        <v>570105767</v>
      </c>
      <c r="O1311" s="4"/>
      <c r="P1311" s="6">
        <v>-0.56989999999999996</v>
      </c>
      <c r="Q1311" s="6"/>
      <c r="R1311" s="6"/>
      <c r="S1311" s="6">
        <v>0.29770000000000002</v>
      </c>
      <c r="T1311" s="4"/>
      <c r="U1311" s="6"/>
      <c r="V1311" s="6"/>
      <c r="W1311" s="6"/>
      <c r="X1311" s="6"/>
      <c r="Y1311" s="4"/>
      <c r="Z1311" s="6">
        <v>0.65700000000000003</v>
      </c>
      <c r="AA1311" s="4"/>
      <c r="AB1311" s="4"/>
      <c r="AC1311" s="4"/>
      <c r="AD1311" s="6"/>
      <c r="AE1311" s="4"/>
      <c r="AF1311" s="4"/>
      <c r="AG1311" s="4"/>
      <c r="AH1311" s="4">
        <v>28000000000</v>
      </c>
    </row>
    <row r="1312" spans="1:34" x14ac:dyDescent="0.25">
      <c r="A1312" s="4">
        <v>1311</v>
      </c>
      <c r="B1312" s="5" t="s">
        <v>2751</v>
      </c>
      <c r="C1312" s="5" t="s">
        <v>2752</v>
      </c>
      <c r="D1312" s="5" t="s">
        <v>1586</v>
      </c>
      <c r="E1312" s="5" t="s">
        <v>24</v>
      </c>
      <c r="F1312" s="5" t="s">
        <v>25</v>
      </c>
      <c r="G1312" s="5" t="s">
        <v>45</v>
      </c>
      <c r="H1312" s="4">
        <v>51000000</v>
      </c>
      <c r="I1312" s="4">
        <v>75000000</v>
      </c>
      <c r="J1312" s="6">
        <v>1.125</v>
      </c>
      <c r="K1312" s="6">
        <v>0</v>
      </c>
      <c r="L1312" s="6">
        <v>0</v>
      </c>
      <c r="M1312" s="4">
        <v>-13796541059</v>
      </c>
      <c r="N1312" s="4">
        <v>-14398886315</v>
      </c>
      <c r="O1312" s="4"/>
      <c r="P1312" s="6">
        <v>-2.0400000000000001E-2</v>
      </c>
      <c r="Q1312" s="6">
        <v>-2.18E-2</v>
      </c>
      <c r="R1312" s="6">
        <v>6.4000000000000003E-3</v>
      </c>
      <c r="S1312" s="6">
        <v>-21.904699999999998</v>
      </c>
      <c r="T1312" s="4"/>
      <c r="U1312" s="6">
        <v>-0.99919999999999998</v>
      </c>
      <c r="V1312" s="6">
        <v>-18.9986</v>
      </c>
      <c r="W1312" s="6">
        <v>-23.4983</v>
      </c>
      <c r="X1312" s="6">
        <v>0</v>
      </c>
      <c r="Y1312" s="4"/>
      <c r="Z1312" s="6">
        <v>1.125</v>
      </c>
      <c r="AA1312" s="4"/>
      <c r="AB1312" s="4"/>
      <c r="AC1312" s="4"/>
      <c r="AD1312" s="6">
        <v>0</v>
      </c>
      <c r="AE1312" s="4"/>
      <c r="AF1312" s="4"/>
      <c r="AG1312" s="4"/>
      <c r="AH1312" s="4">
        <v>34664964000</v>
      </c>
    </row>
    <row r="1313" spans="1:34" x14ac:dyDescent="0.25">
      <c r="A1313" s="4">
        <v>1312</v>
      </c>
      <c r="B1313" s="5" t="s">
        <v>2753</v>
      </c>
      <c r="C1313" s="5" t="s">
        <v>2754</v>
      </c>
      <c r="D1313" s="5" t="s">
        <v>1586</v>
      </c>
      <c r="E1313" s="5" t="s">
        <v>40</v>
      </c>
      <c r="F1313" s="5" t="s">
        <v>52</v>
      </c>
      <c r="G1313" s="5" t="s">
        <v>110</v>
      </c>
      <c r="H1313" s="4"/>
      <c r="I1313" s="4"/>
      <c r="J1313" s="6"/>
      <c r="K1313" s="6"/>
      <c r="L1313" s="6"/>
      <c r="M1313" s="4"/>
      <c r="N1313" s="4"/>
      <c r="O1313" s="4"/>
      <c r="P1313" s="6"/>
      <c r="Q1313" s="6"/>
      <c r="R1313" s="6"/>
      <c r="S1313" s="6"/>
      <c r="T1313" s="4"/>
      <c r="U1313" s="6"/>
      <c r="V1313" s="6"/>
      <c r="W1313" s="6"/>
      <c r="X1313" s="6"/>
      <c r="Y1313" s="4"/>
      <c r="Z1313" s="6"/>
      <c r="AA1313" s="4"/>
      <c r="AB1313" s="4"/>
      <c r="AC1313" s="4"/>
      <c r="AD1313" s="6"/>
      <c r="AE1313" s="4"/>
      <c r="AF1313" s="4"/>
      <c r="AG1313" s="4"/>
      <c r="AH1313" s="4">
        <v>21674110000</v>
      </c>
    </row>
    <row r="1314" spans="1:34" x14ac:dyDescent="0.25">
      <c r="A1314" s="4">
        <v>1313</v>
      </c>
      <c r="B1314" s="5" t="s">
        <v>2755</v>
      </c>
      <c r="C1314" s="5" t="s">
        <v>2756</v>
      </c>
      <c r="D1314" s="5" t="s">
        <v>1586</v>
      </c>
      <c r="E1314" s="5" t="s">
        <v>29</v>
      </c>
      <c r="F1314" s="5" t="s">
        <v>30</v>
      </c>
      <c r="G1314" s="5" t="s">
        <v>574</v>
      </c>
      <c r="H1314" s="4"/>
      <c r="I1314" s="4"/>
      <c r="J1314" s="6"/>
      <c r="K1314" s="6"/>
      <c r="L1314" s="6"/>
      <c r="M1314" s="4"/>
      <c r="N1314" s="4"/>
      <c r="O1314" s="4"/>
      <c r="P1314" s="6"/>
      <c r="Q1314" s="6"/>
      <c r="R1314" s="6"/>
      <c r="S1314" s="6"/>
      <c r="T1314" s="4"/>
      <c r="U1314" s="6"/>
      <c r="V1314" s="6"/>
      <c r="W1314" s="6"/>
      <c r="X1314" s="6"/>
      <c r="Y1314" s="4"/>
      <c r="Z1314" s="6"/>
      <c r="AA1314" s="4"/>
      <c r="AB1314" s="4"/>
      <c r="AC1314" s="4"/>
      <c r="AD1314" s="6"/>
      <c r="AE1314" s="4"/>
      <c r="AF1314" s="4"/>
      <c r="AG1314" s="4"/>
      <c r="AH1314" s="4">
        <v>272895480000</v>
      </c>
    </row>
    <row r="1315" spans="1:34" x14ac:dyDescent="0.25">
      <c r="A1315" s="4">
        <v>1314</v>
      </c>
      <c r="B1315" s="5" t="s">
        <v>2757</v>
      </c>
      <c r="C1315" s="5" t="s">
        <v>2758</v>
      </c>
      <c r="D1315" s="5" t="s">
        <v>1586</v>
      </c>
      <c r="E1315" s="5" t="s">
        <v>40</v>
      </c>
      <c r="F1315" s="5" t="s">
        <v>52</v>
      </c>
      <c r="G1315" s="5" t="s">
        <v>53</v>
      </c>
      <c r="H1315" s="4"/>
      <c r="I1315" s="4"/>
      <c r="J1315" s="6"/>
      <c r="K1315" s="6"/>
      <c r="L1315" s="6"/>
      <c r="M1315" s="4"/>
      <c r="N1315" s="4"/>
      <c r="O1315" s="4"/>
      <c r="P1315" s="6"/>
      <c r="Q1315" s="6"/>
      <c r="R1315" s="6"/>
      <c r="S1315" s="6"/>
      <c r="T1315" s="4"/>
      <c r="U1315" s="6"/>
      <c r="V1315" s="6"/>
      <c r="W1315" s="6"/>
      <c r="X1315" s="6"/>
      <c r="Y1315" s="4"/>
      <c r="Z1315" s="6"/>
      <c r="AA1315" s="4"/>
      <c r="AB1315" s="4"/>
      <c r="AC1315" s="4"/>
      <c r="AD1315" s="6"/>
      <c r="AE1315" s="4"/>
      <c r="AF1315" s="4"/>
      <c r="AG1315" s="4"/>
      <c r="AH1315" s="4">
        <v>311646400000</v>
      </c>
    </row>
    <row r="1316" spans="1:34" x14ac:dyDescent="0.25">
      <c r="A1316" s="4">
        <v>1315</v>
      </c>
      <c r="B1316" s="5" t="s">
        <v>2759</v>
      </c>
      <c r="C1316" s="5" t="s">
        <v>2760</v>
      </c>
      <c r="D1316" s="5" t="s">
        <v>1586</v>
      </c>
      <c r="E1316" s="5" t="s">
        <v>29</v>
      </c>
      <c r="F1316" s="5" t="s">
        <v>30</v>
      </c>
      <c r="G1316" s="5" t="s">
        <v>83</v>
      </c>
      <c r="H1316" s="4"/>
      <c r="I1316" s="4"/>
      <c r="J1316" s="6"/>
      <c r="K1316" s="6"/>
      <c r="L1316" s="6"/>
      <c r="M1316" s="4"/>
      <c r="N1316" s="4"/>
      <c r="O1316" s="4"/>
      <c r="P1316" s="6"/>
      <c r="Q1316" s="6"/>
      <c r="R1316" s="6"/>
      <c r="S1316" s="6"/>
      <c r="T1316" s="4"/>
      <c r="U1316" s="6"/>
      <c r="V1316" s="6"/>
      <c r="W1316" s="6"/>
      <c r="X1316" s="6"/>
      <c r="Y1316" s="4"/>
      <c r="Z1316" s="6"/>
      <c r="AA1316" s="4"/>
      <c r="AB1316" s="4"/>
      <c r="AC1316" s="4"/>
      <c r="AD1316" s="6"/>
      <c r="AE1316" s="4"/>
      <c r="AF1316" s="4"/>
      <c r="AG1316" s="4"/>
      <c r="AH1316" s="4">
        <v>17656670195978</v>
      </c>
    </row>
    <row r="1317" spans="1:34" x14ac:dyDescent="0.25">
      <c r="A1317" s="4">
        <v>1316</v>
      </c>
      <c r="B1317" s="5" t="s">
        <v>2761</v>
      </c>
      <c r="C1317" s="5" t="s">
        <v>2762</v>
      </c>
      <c r="D1317" s="5" t="s">
        <v>1586</v>
      </c>
      <c r="E1317" s="5" t="s">
        <v>40</v>
      </c>
      <c r="F1317" s="5" t="s">
        <v>52</v>
      </c>
      <c r="G1317" s="5" t="s">
        <v>110</v>
      </c>
      <c r="H1317" s="4"/>
      <c r="I1317" s="4"/>
      <c r="J1317" s="6"/>
      <c r="K1317" s="6"/>
      <c r="L1317" s="6"/>
      <c r="M1317" s="4"/>
      <c r="N1317" s="4"/>
      <c r="O1317" s="4"/>
      <c r="P1317" s="6"/>
      <c r="Q1317" s="6"/>
      <c r="R1317" s="6"/>
      <c r="S1317" s="6"/>
      <c r="T1317" s="4"/>
      <c r="U1317" s="6"/>
      <c r="V1317" s="6"/>
      <c r="W1317" s="6"/>
      <c r="X1317" s="6"/>
      <c r="Y1317" s="4"/>
      <c r="Z1317" s="6"/>
      <c r="AA1317" s="4"/>
      <c r="AB1317" s="4"/>
      <c r="AC1317" s="4"/>
      <c r="AD1317" s="6"/>
      <c r="AE1317" s="4"/>
      <c r="AF1317" s="4"/>
      <c r="AG1317" s="4"/>
      <c r="AH1317" s="4">
        <v>29320200000</v>
      </c>
    </row>
    <row r="1318" spans="1:34" x14ac:dyDescent="0.25">
      <c r="A1318" s="4">
        <v>1317</v>
      </c>
      <c r="B1318" s="5" t="s">
        <v>2763</v>
      </c>
      <c r="C1318" s="5" t="s">
        <v>2764</v>
      </c>
      <c r="D1318" s="5" t="s">
        <v>1586</v>
      </c>
      <c r="E1318" s="5" t="s">
        <v>40</v>
      </c>
      <c r="F1318" s="5" t="s">
        <v>41</v>
      </c>
      <c r="G1318" s="5" t="s">
        <v>1716</v>
      </c>
      <c r="H1318" s="4"/>
      <c r="I1318" s="4"/>
      <c r="J1318" s="6"/>
      <c r="K1318" s="6"/>
      <c r="L1318" s="6"/>
      <c r="M1318" s="4"/>
      <c r="N1318" s="4"/>
      <c r="O1318" s="4"/>
      <c r="P1318" s="6"/>
      <c r="Q1318" s="6"/>
      <c r="R1318" s="6"/>
      <c r="S1318" s="6"/>
      <c r="T1318" s="4"/>
      <c r="U1318" s="6"/>
      <c r="V1318" s="6"/>
      <c r="W1318" s="6"/>
      <c r="X1318" s="6"/>
      <c r="Y1318" s="4"/>
      <c r="Z1318" s="6"/>
      <c r="AA1318" s="4"/>
      <c r="AB1318" s="4"/>
      <c r="AC1318" s="4"/>
      <c r="AD1318" s="6"/>
      <c r="AE1318" s="4"/>
      <c r="AF1318" s="4"/>
      <c r="AG1318" s="4"/>
      <c r="AH1318" s="4">
        <v>66640000000</v>
      </c>
    </row>
    <row r="1319" spans="1:34" x14ac:dyDescent="0.25">
      <c r="A1319" s="4">
        <v>1318</v>
      </c>
      <c r="B1319" s="5" t="s">
        <v>2765</v>
      </c>
      <c r="C1319" s="5" t="s">
        <v>2766</v>
      </c>
      <c r="D1319" s="5" t="s">
        <v>1586</v>
      </c>
      <c r="E1319" s="5" t="s">
        <v>98</v>
      </c>
      <c r="F1319" s="5" t="s">
        <v>99</v>
      </c>
      <c r="G1319" s="5" t="s">
        <v>155</v>
      </c>
      <c r="H1319" s="4"/>
      <c r="I1319" s="4"/>
      <c r="J1319" s="6"/>
      <c r="K1319" s="6"/>
      <c r="L1319" s="6"/>
      <c r="M1319" s="4"/>
      <c r="N1319" s="4"/>
      <c r="O1319" s="4"/>
      <c r="P1319" s="6"/>
      <c r="Q1319" s="6"/>
      <c r="R1319" s="6"/>
      <c r="S1319" s="6"/>
      <c r="T1319" s="4"/>
      <c r="U1319" s="6"/>
      <c r="V1319" s="6"/>
      <c r="W1319" s="6"/>
      <c r="X1319" s="6"/>
      <c r="Y1319" s="4"/>
      <c r="Z1319" s="6"/>
      <c r="AA1319" s="4"/>
      <c r="AB1319" s="4"/>
      <c r="AC1319" s="4"/>
      <c r="AD1319" s="6"/>
      <c r="AE1319" s="4"/>
      <c r="AF1319" s="4"/>
      <c r="AG1319" s="4"/>
      <c r="AH1319" s="4">
        <v>322000000000</v>
      </c>
    </row>
    <row r="1320" spans="1:34" x14ac:dyDescent="0.25">
      <c r="A1320" s="4">
        <v>1319</v>
      </c>
      <c r="B1320" s="5" t="s">
        <v>2767</v>
      </c>
      <c r="C1320" s="5" t="s">
        <v>2768</v>
      </c>
      <c r="D1320" s="5" t="s">
        <v>1586</v>
      </c>
      <c r="E1320" s="5" t="s">
        <v>98</v>
      </c>
      <c r="F1320" s="5" t="s">
        <v>99</v>
      </c>
      <c r="G1320" s="5" t="s">
        <v>144</v>
      </c>
      <c r="H1320" s="4"/>
      <c r="I1320" s="4"/>
      <c r="J1320" s="6"/>
      <c r="K1320" s="6"/>
      <c r="L1320" s="6"/>
      <c r="M1320" s="4"/>
      <c r="N1320" s="4"/>
      <c r="O1320" s="4"/>
      <c r="P1320" s="6"/>
      <c r="Q1320" s="6"/>
      <c r="R1320" s="6"/>
      <c r="S1320" s="6"/>
      <c r="T1320" s="4"/>
      <c r="U1320" s="6"/>
      <c r="V1320" s="6"/>
      <c r="W1320" s="6"/>
      <c r="X1320" s="6"/>
      <c r="Y1320" s="4"/>
      <c r="Z1320" s="6"/>
      <c r="AA1320" s="4"/>
      <c r="AB1320" s="4"/>
      <c r="AC1320" s="4"/>
      <c r="AD1320" s="6"/>
      <c r="AE1320" s="4"/>
      <c r="AF1320" s="4"/>
      <c r="AG1320" s="4"/>
      <c r="AH1320" s="4">
        <v>641116950000</v>
      </c>
    </row>
    <row r="1321" spans="1:34" x14ac:dyDescent="0.25">
      <c r="A1321" s="4">
        <v>1320</v>
      </c>
      <c r="B1321" s="5" t="s">
        <v>2769</v>
      </c>
      <c r="C1321" s="5" t="s">
        <v>2770</v>
      </c>
      <c r="D1321" s="5" t="s">
        <v>1586</v>
      </c>
      <c r="E1321" s="5" t="s">
        <v>40</v>
      </c>
      <c r="F1321" s="5" t="s">
        <v>41</v>
      </c>
      <c r="G1321" s="5" t="s">
        <v>93</v>
      </c>
      <c r="H1321" s="4"/>
      <c r="I1321" s="4"/>
      <c r="J1321" s="6"/>
      <c r="K1321" s="6"/>
      <c r="L1321" s="6"/>
      <c r="M1321" s="4"/>
      <c r="N1321" s="4"/>
      <c r="O1321" s="4"/>
      <c r="P1321" s="6"/>
      <c r="Q1321" s="6"/>
      <c r="R1321" s="6"/>
      <c r="S1321" s="6"/>
      <c r="T1321" s="4"/>
      <c r="U1321" s="6"/>
      <c r="V1321" s="6"/>
      <c r="W1321" s="6"/>
      <c r="X1321" s="6"/>
      <c r="Y1321" s="4"/>
      <c r="Z1321" s="6"/>
      <c r="AA1321" s="4"/>
      <c r="AB1321" s="4"/>
      <c r="AC1321" s="4"/>
      <c r="AD1321" s="6"/>
      <c r="AE1321" s="4"/>
      <c r="AF1321" s="4"/>
      <c r="AG1321" s="4"/>
      <c r="AH1321" s="4">
        <v>237430050000</v>
      </c>
    </row>
    <row r="1322" spans="1:34" x14ac:dyDescent="0.25">
      <c r="A1322" s="4">
        <v>1321</v>
      </c>
      <c r="B1322" s="5" t="s">
        <v>2771</v>
      </c>
      <c r="C1322" s="5" t="s">
        <v>2772</v>
      </c>
      <c r="D1322" s="5" t="s">
        <v>1586</v>
      </c>
      <c r="E1322" s="5" t="s">
        <v>98</v>
      </c>
      <c r="F1322" s="5" t="s">
        <v>99</v>
      </c>
      <c r="G1322" s="5" t="s">
        <v>144</v>
      </c>
      <c r="H1322" s="4">
        <v>3624789980070</v>
      </c>
      <c r="I1322" s="4">
        <v>6358695246617</v>
      </c>
      <c r="J1322" s="6">
        <v>0.26569999999999999</v>
      </c>
      <c r="K1322" s="6">
        <v>0.1009</v>
      </c>
      <c r="L1322" s="6">
        <v>7.5300000000000006E-2</v>
      </c>
      <c r="M1322" s="4">
        <v>326824881577</v>
      </c>
      <c r="N1322" s="4">
        <v>524045331592</v>
      </c>
      <c r="O1322" s="4"/>
      <c r="P1322" s="6">
        <v>0.71479999999999999</v>
      </c>
      <c r="Q1322" s="6">
        <v>0.44280000000000003</v>
      </c>
      <c r="R1322" s="6">
        <v>1.2465999999999999</v>
      </c>
      <c r="S1322" s="6">
        <v>0.65720000000000001</v>
      </c>
      <c r="T1322" s="4"/>
      <c r="U1322" s="6">
        <v>-0.33600000000000002</v>
      </c>
      <c r="V1322" s="6">
        <v>0.62880000000000003</v>
      </c>
      <c r="W1322" s="6">
        <v>0.62829999999999997</v>
      </c>
      <c r="X1322" s="6">
        <v>6.3399999999999998E-2</v>
      </c>
      <c r="Y1322" s="4"/>
      <c r="Z1322" s="6">
        <v>0.32590000000000002</v>
      </c>
      <c r="AA1322" s="4"/>
      <c r="AB1322" s="4"/>
      <c r="AC1322" s="4"/>
      <c r="AD1322" s="6">
        <v>0</v>
      </c>
      <c r="AE1322" s="4"/>
      <c r="AF1322" s="4"/>
      <c r="AG1322" s="4"/>
      <c r="AH1322" s="4">
        <v>4966650000000</v>
      </c>
    </row>
    <row r="1323" spans="1:34" x14ac:dyDescent="0.25">
      <c r="A1323" s="4">
        <v>1322</v>
      </c>
      <c r="B1323" s="5" t="s">
        <v>2773</v>
      </c>
      <c r="C1323" s="5" t="s">
        <v>2774</v>
      </c>
      <c r="D1323" s="5" t="s">
        <v>1586</v>
      </c>
      <c r="E1323" s="5" t="s">
        <v>40</v>
      </c>
      <c r="F1323" s="5" t="s">
        <v>41</v>
      </c>
      <c r="G1323" s="5" t="s">
        <v>557</v>
      </c>
      <c r="H1323" s="4"/>
      <c r="I1323" s="4"/>
      <c r="J1323" s="6"/>
      <c r="K1323" s="6"/>
      <c r="L1323" s="6"/>
      <c r="M1323" s="4"/>
      <c r="N1323" s="4"/>
      <c r="O1323" s="4"/>
      <c r="P1323" s="6"/>
      <c r="Q1323" s="6"/>
      <c r="R1323" s="6"/>
      <c r="S1323" s="6"/>
      <c r="T1323" s="4"/>
      <c r="U1323" s="6"/>
      <c r="V1323" s="6"/>
      <c r="W1323" s="6"/>
      <c r="X1323" s="6"/>
      <c r="Y1323" s="4"/>
      <c r="Z1323" s="6"/>
      <c r="AA1323" s="4"/>
      <c r="AB1323" s="4"/>
      <c r="AC1323" s="4"/>
      <c r="AD1323" s="6"/>
      <c r="AE1323" s="4"/>
      <c r="AF1323" s="4"/>
      <c r="AG1323" s="4"/>
      <c r="AH1323" s="4">
        <v>100671297000</v>
      </c>
    </row>
    <row r="1324" spans="1:34" x14ac:dyDescent="0.25">
      <c r="A1324" s="4">
        <v>1323</v>
      </c>
      <c r="B1324" s="5" t="s">
        <v>2775</v>
      </c>
      <c r="C1324" s="5" t="s">
        <v>2776</v>
      </c>
      <c r="D1324" s="5" t="s">
        <v>1586</v>
      </c>
      <c r="E1324" s="5" t="s">
        <v>24</v>
      </c>
      <c r="F1324" s="5" t="s">
        <v>25</v>
      </c>
      <c r="G1324" s="5" t="s">
        <v>26</v>
      </c>
      <c r="H1324" s="4"/>
      <c r="I1324" s="4"/>
      <c r="J1324" s="6"/>
      <c r="K1324" s="6"/>
      <c r="L1324" s="6"/>
      <c r="M1324" s="4"/>
      <c r="N1324" s="4"/>
      <c r="O1324" s="4"/>
      <c r="P1324" s="6"/>
      <c r="Q1324" s="6"/>
      <c r="R1324" s="6"/>
      <c r="S1324" s="6"/>
      <c r="T1324" s="4"/>
      <c r="U1324" s="6"/>
      <c r="V1324" s="6"/>
      <c r="W1324" s="6"/>
      <c r="X1324" s="6"/>
      <c r="Y1324" s="4"/>
      <c r="Z1324" s="6"/>
      <c r="AA1324" s="4"/>
      <c r="AB1324" s="4"/>
      <c r="AC1324" s="4"/>
      <c r="AD1324" s="6"/>
      <c r="AE1324" s="4"/>
      <c r="AF1324" s="4"/>
      <c r="AG1324" s="4"/>
      <c r="AH1324" s="4">
        <v>49518540000</v>
      </c>
    </row>
    <row r="1325" spans="1:34" x14ac:dyDescent="0.25">
      <c r="A1325" s="4">
        <v>1324</v>
      </c>
      <c r="B1325" s="5" t="s">
        <v>2777</v>
      </c>
      <c r="C1325" s="5" t="s">
        <v>2778</v>
      </c>
      <c r="D1325" s="5" t="s">
        <v>1586</v>
      </c>
      <c r="E1325" s="5" t="s">
        <v>40</v>
      </c>
      <c r="F1325" s="5" t="s">
        <v>52</v>
      </c>
      <c r="G1325" s="5" t="s">
        <v>110</v>
      </c>
      <c r="H1325" s="4"/>
      <c r="I1325" s="4"/>
      <c r="J1325" s="6"/>
      <c r="K1325" s="6"/>
      <c r="L1325" s="6"/>
      <c r="M1325" s="4"/>
      <c r="N1325" s="4"/>
      <c r="O1325" s="4"/>
      <c r="P1325" s="6"/>
      <c r="Q1325" s="6"/>
      <c r="R1325" s="6"/>
      <c r="S1325" s="6"/>
      <c r="T1325" s="4"/>
      <c r="U1325" s="6"/>
      <c r="V1325" s="6"/>
      <c r="W1325" s="6"/>
      <c r="X1325" s="6"/>
      <c r="Y1325" s="4"/>
      <c r="Z1325" s="6"/>
      <c r="AA1325" s="4"/>
      <c r="AB1325" s="4"/>
      <c r="AC1325" s="4"/>
      <c r="AD1325" s="6"/>
      <c r="AE1325" s="4"/>
      <c r="AF1325" s="4"/>
      <c r="AG1325" s="4"/>
      <c r="AH1325" s="4">
        <v>708630952900</v>
      </c>
    </row>
    <row r="1326" spans="1:34" x14ac:dyDescent="0.25">
      <c r="A1326" s="4">
        <v>1325</v>
      </c>
      <c r="B1326" s="5" t="s">
        <v>2779</v>
      </c>
      <c r="C1326" s="5" t="s">
        <v>2780</v>
      </c>
      <c r="D1326" s="5" t="s">
        <v>1586</v>
      </c>
      <c r="E1326" s="5" t="s">
        <v>40</v>
      </c>
      <c r="F1326" s="5" t="s">
        <v>52</v>
      </c>
      <c r="G1326" s="5" t="s">
        <v>110</v>
      </c>
      <c r="H1326" s="4"/>
      <c r="I1326" s="4"/>
      <c r="J1326" s="6"/>
      <c r="K1326" s="6"/>
      <c r="L1326" s="6"/>
      <c r="M1326" s="4"/>
      <c r="N1326" s="4"/>
      <c r="O1326" s="4"/>
      <c r="P1326" s="6"/>
      <c r="Q1326" s="6"/>
      <c r="R1326" s="6"/>
      <c r="S1326" s="6"/>
      <c r="T1326" s="4"/>
      <c r="U1326" s="6"/>
      <c r="V1326" s="6"/>
      <c r="W1326" s="6"/>
      <c r="X1326" s="6"/>
      <c r="Y1326" s="4"/>
      <c r="Z1326" s="6"/>
      <c r="AA1326" s="4"/>
      <c r="AB1326" s="4"/>
      <c r="AC1326" s="4"/>
      <c r="AD1326" s="6"/>
      <c r="AE1326" s="4"/>
      <c r="AF1326" s="4"/>
      <c r="AG1326" s="4"/>
      <c r="AH1326" s="4">
        <v>9699664000</v>
      </c>
    </row>
    <row r="1327" spans="1:34" x14ac:dyDescent="0.25">
      <c r="A1327" s="4">
        <v>1326</v>
      </c>
      <c r="B1327" s="5" t="s">
        <v>2781</v>
      </c>
      <c r="C1327" s="5" t="s">
        <v>2782</v>
      </c>
      <c r="D1327" s="5" t="s">
        <v>1586</v>
      </c>
      <c r="E1327" s="5" t="s">
        <v>40</v>
      </c>
      <c r="F1327" s="5" t="s">
        <v>52</v>
      </c>
      <c r="G1327" s="5" t="s">
        <v>110</v>
      </c>
      <c r="H1327" s="4"/>
      <c r="I1327" s="4"/>
      <c r="J1327" s="6"/>
      <c r="K1327" s="6"/>
      <c r="L1327" s="6"/>
      <c r="M1327" s="4"/>
      <c r="N1327" s="4"/>
      <c r="O1327" s="4"/>
      <c r="P1327" s="6"/>
      <c r="Q1327" s="6"/>
      <c r="R1327" s="6"/>
      <c r="S1327" s="6"/>
      <c r="T1327" s="4"/>
      <c r="U1327" s="6"/>
      <c r="V1327" s="6"/>
      <c r="W1327" s="6"/>
      <c r="X1327" s="6"/>
      <c r="Y1327" s="4"/>
      <c r="Z1327" s="6"/>
      <c r="AA1327" s="4"/>
      <c r="AB1327" s="4"/>
      <c r="AC1327" s="4"/>
      <c r="AD1327" s="6"/>
      <c r="AE1327" s="4"/>
      <c r="AF1327" s="4"/>
      <c r="AG1327" s="4"/>
      <c r="AH1327" s="4"/>
    </row>
    <row r="1328" spans="1:34" x14ac:dyDescent="0.25">
      <c r="A1328" s="4">
        <v>1327</v>
      </c>
      <c r="B1328" s="5" t="s">
        <v>2783</v>
      </c>
      <c r="C1328" s="5" t="s">
        <v>2784</v>
      </c>
      <c r="D1328" s="5" t="s">
        <v>1586</v>
      </c>
      <c r="E1328" s="5" t="s">
        <v>75</v>
      </c>
      <c r="F1328" s="5" t="s">
        <v>76</v>
      </c>
      <c r="G1328" s="5" t="s">
        <v>76</v>
      </c>
      <c r="H1328" s="4"/>
      <c r="I1328" s="4"/>
      <c r="J1328" s="6"/>
      <c r="K1328" s="6"/>
      <c r="L1328" s="6"/>
      <c r="M1328" s="4"/>
      <c r="N1328" s="4"/>
      <c r="O1328" s="4"/>
      <c r="P1328" s="6"/>
      <c r="Q1328" s="6"/>
      <c r="R1328" s="6"/>
      <c r="S1328" s="6"/>
      <c r="T1328" s="4"/>
      <c r="U1328" s="6"/>
      <c r="V1328" s="6"/>
      <c r="W1328" s="6"/>
      <c r="X1328" s="6"/>
      <c r="Y1328" s="4"/>
      <c r="Z1328" s="6"/>
      <c r="AA1328" s="4"/>
      <c r="AB1328" s="4"/>
      <c r="AC1328" s="4"/>
      <c r="AD1328" s="6"/>
      <c r="AE1328" s="4"/>
      <c r="AF1328" s="4"/>
      <c r="AG1328" s="4"/>
      <c r="AH1328" s="4">
        <v>7414000000000</v>
      </c>
    </row>
    <row r="1329" spans="1:34" x14ac:dyDescent="0.25">
      <c r="A1329" s="4">
        <v>1328</v>
      </c>
      <c r="B1329" s="5" t="s">
        <v>2785</v>
      </c>
      <c r="C1329" s="5" t="s">
        <v>2786</v>
      </c>
      <c r="D1329" s="5" t="s">
        <v>1586</v>
      </c>
      <c r="E1329" s="5" t="s">
        <v>62</v>
      </c>
      <c r="F1329" s="5" t="s">
        <v>226</v>
      </c>
      <c r="G1329" s="5" t="s">
        <v>286</v>
      </c>
      <c r="H1329" s="4">
        <v>32781839337</v>
      </c>
      <c r="I1329" s="4">
        <v>76853849535</v>
      </c>
      <c r="J1329" s="6">
        <v>-0.30480000000000002</v>
      </c>
      <c r="K1329" s="6"/>
      <c r="L1329" s="6"/>
      <c r="M1329" s="4">
        <v>-9078949062</v>
      </c>
      <c r="N1329" s="4">
        <v>-1702122831</v>
      </c>
      <c r="O1329" s="4"/>
      <c r="P1329" s="6">
        <v>-1.9159999999999999</v>
      </c>
      <c r="Q1329" s="6"/>
      <c r="R1329" s="6"/>
      <c r="S1329" s="6">
        <v>-2.2336999999999998</v>
      </c>
      <c r="T1329" s="4"/>
      <c r="U1329" s="6"/>
      <c r="V1329" s="6"/>
      <c r="W1329" s="6"/>
      <c r="X1329" s="6"/>
      <c r="Y1329" s="4"/>
      <c r="Z1329" s="6">
        <v>-0.25440000000000002</v>
      </c>
      <c r="AA1329" s="4"/>
      <c r="AB1329" s="4"/>
      <c r="AC1329" s="4"/>
      <c r="AD1329" s="6"/>
      <c r="AE1329" s="4"/>
      <c r="AF1329" s="4"/>
      <c r="AG1329" s="4"/>
      <c r="AH1329" s="4">
        <v>478507527200</v>
      </c>
    </row>
    <row r="1330" spans="1:34" x14ac:dyDescent="0.25">
      <c r="A1330" s="4">
        <v>1329</v>
      </c>
      <c r="B1330" s="5" t="s">
        <v>2787</v>
      </c>
      <c r="C1330" s="5" t="s">
        <v>2788</v>
      </c>
      <c r="D1330" s="5" t="s">
        <v>1586</v>
      </c>
      <c r="E1330" s="5" t="s">
        <v>24</v>
      </c>
      <c r="F1330" s="5" t="s">
        <v>25</v>
      </c>
      <c r="G1330" s="5" t="s">
        <v>26</v>
      </c>
      <c r="H1330" s="4">
        <v>339741114824</v>
      </c>
      <c r="I1330" s="4">
        <v>726961461353</v>
      </c>
      <c r="J1330" s="6">
        <v>0.28689999999999999</v>
      </c>
      <c r="K1330" s="6">
        <v>0.55630000000000002</v>
      </c>
      <c r="L1330" s="6">
        <v>0.38390000000000002</v>
      </c>
      <c r="M1330" s="4">
        <v>73798533685</v>
      </c>
      <c r="N1330" s="4">
        <v>262926222352</v>
      </c>
      <c r="O1330" s="4"/>
      <c r="P1330" s="6">
        <v>-0.60440000000000005</v>
      </c>
      <c r="Q1330" s="6">
        <v>0.14610000000000001</v>
      </c>
      <c r="R1330" s="6">
        <v>0.13320000000000001</v>
      </c>
      <c r="S1330" s="6">
        <v>-0.60980000000000001</v>
      </c>
      <c r="T1330" s="4"/>
      <c r="U1330" s="6">
        <v>-0.1178</v>
      </c>
      <c r="V1330" s="6">
        <v>-2.2800000000000001E-2</v>
      </c>
      <c r="W1330" s="6">
        <v>-0.24610000000000001</v>
      </c>
      <c r="X1330" s="6">
        <v>7.0099999999999996E-2</v>
      </c>
      <c r="Y1330" s="4"/>
      <c r="Z1330" s="6">
        <v>-0.1226</v>
      </c>
      <c r="AA1330" s="4"/>
      <c r="AB1330" s="4"/>
      <c r="AC1330" s="4"/>
      <c r="AD1330" s="6">
        <v>0</v>
      </c>
      <c r="AE1330" s="4"/>
      <c r="AF1330" s="4"/>
      <c r="AG1330" s="4"/>
      <c r="AH1330" s="4">
        <v>2258515545000</v>
      </c>
    </row>
    <row r="1331" spans="1:34" x14ac:dyDescent="0.25">
      <c r="A1331" s="4">
        <v>1330</v>
      </c>
      <c r="B1331" s="5" t="s">
        <v>2789</v>
      </c>
      <c r="C1331" s="5" t="s">
        <v>2790</v>
      </c>
      <c r="D1331" s="5" t="s">
        <v>1586</v>
      </c>
      <c r="E1331" s="5" t="s">
        <v>40</v>
      </c>
      <c r="F1331" s="5" t="s">
        <v>52</v>
      </c>
      <c r="G1331" s="5" t="s">
        <v>110</v>
      </c>
      <c r="H1331" s="4"/>
      <c r="I1331" s="4"/>
      <c r="J1331" s="6"/>
      <c r="K1331" s="6"/>
      <c r="L1331" s="6"/>
      <c r="M1331" s="4"/>
      <c r="N1331" s="4"/>
      <c r="O1331" s="4"/>
      <c r="P1331" s="6"/>
      <c r="Q1331" s="6"/>
      <c r="R1331" s="6"/>
      <c r="S1331" s="6"/>
      <c r="T1331" s="4"/>
      <c r="U1331" s="6"/>
      <c r="V1331" s="6"/>
      <c r="W1331" s="6"/>
      <c r="X1331" s="6"/>
      <c r="Y1331" s="4"/>
      <c r="Z1331" s="6"/>
      <c r="AA1331" s="4"/>
      <c r="AB1331" s="4"/>
      <c r="AC1331" s="4"/>
      <c r="AD1331" s="6"/>
      <c r="AE1331" s="4"/>
      <c r="AF1331" s="4"/>
      <c r="AG1331" s="4"/>
      <c r="AH1331" s="4">
        <v>11500000000</v>
      </c>
    </row>
    <row r="1332" spans="1:34" x14ac:dyDescent="0.25">
      <c r="A1332" s="4">
        <v>1331</v>
      </c>
      <c r="B1332" s="5" t="s">
        <v>2791</v>
      </c>
      <c r="C1332" s="5" t="s">
        <v>2792</v>
      </c>
      <c r="D1332" s="5" t="s">
        <v>1586</v>
      </c>
      <c r="E1332" s="5" t="s">
        <v>40</v>
      </c>
      <c r="F1332" s="5" t="s">
        <v>52</v>
      </c>
      <c r="G1332" s="5" t="s">
        <v>110</v>
      </c>
      <c r="H1332" s="4">
        <v>13627553241</v>
      </c>
      <c r="I1332" s="4">
        <v>17430884239</v>
      </c>
      <c r="J1332" s="6">
        <v>-7.1499999999999994E-2</v>
      </c>
      <c r="K1332" s="6">
        <v>-4.48E-2</v>
      </c>
      <c r="L1332" s="6">
        <v>5.5300000000000002E-2</v>
      </c>
      <c r="M1332" s="4">
        <v>5839804000</v>
      </c>
      <c r="N1332" s="4">
        <v>2868386657</v>
      </c>
      <c r="O1332" s="4"/>
      <c r="P1332" s="6">
        <v>-0.1648</v>
      </c>
      <c r="Q1332" s="6">
        <v>-0.34360000000000002</v>
      </c>
      <c r="R1332" s="6">
        <v>0.32779999999999998</v>
      </c>
      <c r="S1332" s="6">
        <v>2.9653</v>
      </c>
      <c r="T1332" s="4"/>
      <c r="U1332" s="6">
        <v>-0.54649999999999999</v>
      </c>
      <c r="V1332" s="6">
        <v>-0.52270000000000005</v>
      </c>
      <c r="W1332" s="6">
        <v>-0.43340000000000001</v>
      </c>
      <c r="X1332" s="6">
        <v>0</v>
      </c>
      <c r="Y1332" s="4"/>
      <c r="Z1332" s="6">
        <v>2.5831</v>
      </c>
      <c r="AA1332" s="4"/>
      <c r="AB1332" s="4"/>
      <c r="AC1332" s="4"/>
      <c r="AD1332" s="6">
        <v>0</v>
      </c>
      <c r="AE1332" s="4"/>
      <c r="AF1332" s="4"/>
      <c r="AG1332" s="4"/>
      <c r="AH1332" s="4">
        <v>73200000000</v>
      </c>
    </row>
    <row r="1333" spans="1:34" x14ac:dyDescent="0.25">
      <c r="A1333" s="4">
        <v>1332</v>
      </c>
      <c r="B1333" s="5" t="s">
        <v>2793</v>
      </c>
      <c r="C1333" s="5" t="s">
        <v>2794</v>
      </c>
      <c r="D1333" s="5" t="s">
        <v>1586</v>
      </c>
      <c r="E1333" s="5" t="s">
        <v>40</v>
      </c>
      <c r="F1333" s="5" t="s">
        <v>52</v>
      </c>
      <c r="G1333" s="5" t="s">
        <v>110</v>
      </c>
      <c r="H1333" s="4"/>
      <c r="I1333" s="4"/>
      <c r="J1333" s="6"/>
      <c r="K1333" s="6"/>
      <c r="L1333" s="6"/>
      <c r="M1333" s="4"/>
      <c r="N1333" s="4"/>
      <c r="O1333" s="4"/>
      <c r="P1333" s="6"/>
      <c r="Q1333" s="6"/>
      <c r="R1333" s="6"/>
      <c r="S1333" s="6"/>
      <c r="T1333" s="4"/>
      <c r="U1333" s="6"/>
      <c r="V1333" s="6"/>
      <c r="W1333" s="6"/>
      <c r="X1333" s="6"/>
      <c r="Y1333" s="4"/>
      <c r="Z1333" s="6"/>
      <c r="AA1333" s="4"/>
      <c r="AB1333" s="4"/>
      <c r="AC1333" s="4"/>
      <c r="AD1333" s="6"/>
      <c r="AE1333" s="4"/>
      <c r="AF1333" s="4"/>
      <c r="AG1333" s="4"/>
      <c r="AH1333" s="4">
        <v>97200000000</v>
      </c>
    </row>
    <row r="1334" spans="1:34" x14ac:dyDescent="0.25">
      <c r="A1334" s="4">
        <v>1333</v>
      </c>
      <c r="B1334" s="5" t="s">
        <v>2795</v>
      </c>
      <c r="C1334" s="5" t="s">
        <v>2796</v>
      </c>
      <c r="D1334" s="5" t="s">
        <v>1586</v>
      </c>
      <c r="E1334" s="5" t="s">
        <v>40</v>
      </c>
      <c r="F1334" s="5" t="s">
        <v>41</v>
      </c>
      <c r="G1334" s="5" t="s">
        <v>93</v>
      </c>
      <c r="H1334" s="4"/>
      <c r="I1334" s="4"/>
      <c r="J1334" s="6"/>
      <c r="K1334" s="6"/>
      <c r="L1334" s="6"/>
      <c r="M1334" s="4"/>
      <c r="N1334" s="4"/>
      <c r="O1334" s="4"/>
      <c r="P1334" s="6"/>
      <c r="Q1334" s="6"/>
      <c r="R1334" s="6"/>
      <c r="S1334" s="6"/>
      <c r="T1334" s="4"/>
      <c r="U1334" s="6"/>
      <c r="V1334" s="6"/>
      <c r="W1334" s="6"/>
      <c r="X1334" s="6"/>
      <c r="Y1334" s="4"/>
      <c r="Z1334" s="6"/>
      <c r="AA1334" s="4"/>
      <c r="AB1334" s="4"/>
      <c r="AC1334" s="4"/>
      <c r="AD1334" s="6"/>
      <c r="AE1334" s="4"/>
      <c r="AF1334" s="4"/>
      <c r="AG1334" s="4"/>
      <c r="AH1334" s="4">
        <v>48418279500</v>
      </c>
    </row>
    <row r="1335" spans="1:34" x14ac:dyDescent="0.25">
      <c r="A1335" s="4">
        <v>1334</v>
      </c>
      <c r="B1335" s="5" t="s">
        <v>2797</v>
      </c>
      <c r="C1335" s="5" t="s">
        <v>2798</v>
      </c>
      <c r="D1335" s="5" t="s">
        <v>1586</v>
      </c>
      <c r="E1335" s="5" t="s">
        <v>40</v>
      </c>
      <c r="F1335" s="5" t="s">
        <v>41</v>
      </c>
      <c r="G1335" s="5" t="s">
        <v>1217</v>
      </c>
      <c r="H1335" s="4"/>
      <c r="I1335" s="4"/>
      <c r="J1335" s="6"/>
      <c r="K1335" s="6"/>
      <c r="L1335" s="6"/>
      <c r="M1335" s="4"/>
      <c r="N1335" s="4"/>
      <c r="O1335" s="4"/>
      <c r="P1335" s="6"/>
      <c r="Q1335" s="6"/>
      <c r="R1335" s="6"/>
      <c r="S1335" s="6"/>
      <c r="T1335" s="4"/>
      <c r="U1335" s="6"/>
      <c r="V1335" s="6"/>
      <c r="W1335" s="6"/>
      <c r="X1335" s="6"/>
      <c r="Y1335" s="4"/>
      <c r="Z1335" s="6"/>
      <c r="AA1335" s="4"/>
      <c r="AB1335" s="4"/>
      <c r="AC1335" s="4"/>
      <c r="AD1335" s="6"/>
      <c r="AE1335" s="4"/>
      <c r="AF1335" s="4"/>
      <c r="AG1335" s="4"/>
      <c r="AH1335" s="4">
        <v>26592000000</v>
      </c>
    </row>
    <row r="1336" spans="1:34" x14ac:dyDescent="0.25">
      <c r="A1336" s="4">
        <v>1335</v>
      </c>
      <c r="B1336" s="5" t="s">
        <v>2799</v>
      </c>
      <c r="C1336" s="5" t="s">
        <v>2800</v>
      </c>
      <c r="D1336" s="5" t="s">
        <v>1586</v>
      </c>
      <c r="E1336" s="5" t="s">
        <v>62</v>
      </c>
      <c r="F1336" s="5" t="s">
        <v>71</v>
      </c>
      <c r="G1336" s="5" t="s">
        <v>103</v>
      </c>
      <c r="H1336" s="4">
        <v>774980262132</v>
      </c>
      <c r="I1336" s="4">
        <v>1553482127948</v>
      </c>
      <c r="J1336" s="6">
        <v>6.1999999999999998E-3</v>
      </c>
      <c r="K1336" s="6"/>
      <c r="L1336" s="6"/>
      <c r="M1336" s="4">
        <v>215700066206</v>
      </c>
      <c r="N1336" s="4">
        <v>370799051223</v>
      </c>
      <c r="O1336" s="4"/>
      <c r="P1336" s="6">
        <v>0.98860000000000003</v>
      </c>
      <c r="Q1336" s="6"/>
      <c r="R1336" s="6"/>
      <c r="S1336" s="6">
        <v>0.39069999999999999</v>
      </c>
      <c r="T1336" s="4"/>
      <c r="U1336" s="6"/>
      <c r="V1336" s="6"/>
      <c r="W1336" s="6"/>
      <c r="X1336" s="6"/>
      <c r="Y1336" s="4"/>
      <c r="Z1336" s="6">
        <v>-4.4999999999999997E-3</v>
      </c>
      <c r="AA1336" s="4"/>
      <c r="AB1336" s="4"/>
      <c r="AC1336" s="4"/>
      <c r="AD1336" s="6"/>
      <c r="AE1336" s="4"/>
      <c r="AF1336" s="4"/>
      <c r="AG1336" s="4"/>
      <c r="AH1336" s="4">
        <v>4916768720130</v>
      </c>
    </row>
    <row r="1337" spans="1:34" x14ac:dyDescent="0.25">
      <c r="A1337" s="4">
        <v>1336</v>
      </c>
      <c r="B1337" s="5" t="s">
        <v>2801</v>
      </c>
      <c r="C1337" s="5" t="s">
        <v>2802</v>
      </c>
      <c r="D1337" s="5" t="s">
        <v>1586</v>
      </c>
      <c r="E1337" s="5" t="s">
        <v>29</v>
      </c>
      <c r="F1337" s="5" t="s">
        <v>30</v>
      </c>
      <c r="G1337" s="5" t="s">
        <v>117</v>
      </c>
      <c r="H1337" s="4"/>
      <c r="I1337" s="4"/>
      <c r="J1337" s="6"/>
      <c r="K1337" s="6"/>
      <c r="L1337" s="6"/>
      <c r="M1337" s="4"/>
      <c r="N1337" s="4"/>
      <c r="O1337" s="4"/>
      <c r="P1337" s="6"/>
      <c r="Q1337" s="6"/>
      <c r="R1337" s="6"/>
      <c r="S1337" s="6"/>
      <c r="T1337" s="4"/>
      <c r="U1337" s="6"/>
      <c r="V1337" s="6"/>
      <c r="W1337" s="6"/>
      <c r="X1337" s="6"/>
      <c r="Y1337" s="4"/>
      <c r="Z1337" s="6"/>
      <c r="AA1337" s="4"/>
      <c r="AB1337" s="4"/>
      <c r="AC1337" s="4"/>
      <c r="AD1337" s="6"/>
      <c r="AE1337" s="4"/>
      <c r="AF1337" s="4"/>
      <c r="AG1337" s="4"/>
      <c r="AH1337" s="4">
        <v>79621500000</v>
      </c>
    </row>
    <row r="1338" spans="1:34" x14ac:dyDescent="0.25">
      <c r="A1338" s="4">
        <v>1337</v>
      </c>
      <c r="B1338" s="5" t="s">
        <v>2803</v>
      </c>
      <c r="C1338" s="5" t="s">
        <v>2804</v>
      </c>
      <c r="D1338" s="5" t="s">
        <v>1586</v>
      </c>
      <c r="E1338" s="5" t="s">
        <v>29</v>
      </c>
      <c r="F1338" s="5" t="s">
        <v>30</v>
      </c>
      <c r="G1338" s="5" t="s">
        <v>117</v>
      </c>
      <c r="H1338" s="4"/>
      <c r="I1338" s="4"/>
      <c r="J1338" s="6"/>
      <c r="K1338" s="6"/>
      <c r="L1338" s="6"/>
      <c r="M1338" s="4"/>
      <c r="N1338" s="4"/>
      <c r="O1338" s="4"/>
      <c r="P1338" s="6"/>
      <c r="Q1338" s="6"/>
      <c r="R1338" s="6"/>
      <c r="S1338" s="6"/>
      <c r="T1338" s="4"/>
      <c r="U1338" s="6"/>
      <c r="V1338" s="6"/>
      <c r="W1338" s="6"/>
      <c r="X1338" s="6"/>
      <c r="Y1338" s="4"/>
      <c r="Z1338" s="6"/>
      <c r="AA1338" s="4"/>
      <c r="AB1338" s="4"/>
      <c r="AC1338" s="4"/>
      <c r="AD1338" s="6"/>
      <c r="AE1338" s="4"/>
      <c r="AF1338" s="4"/>
      <c r="AG1338" s="4"/>
      <c r="AH1338" s="4">
        <v>1729047208680</v>
      </c>
    </row>
    <row r="1339" spans="1:34" x14ac:dyDescent="0.25">
      <c r="A1339" s="4">
        <v>1338</v>
      </c>
      <c r="B1339" s="5" t="s">
        <v>2805</v>
      </c>
      <c r="C1339" s="5" t="s">
        <v>2806</v>
      </c>
      <c r="D1339" s="5" t="s">
        <v>1586</v>
      </c>
      <c r="E1339" s="5" t="s">
        <v>40</v>
      </c>
      <c r="F1339" s="5" t="s">
        <v>41</v>
      </c>
      <c r="G1339" s="5" t="s">
        <v>557</v>
      </c>
      <c r="H1339" s="4"/>
      <c r="I1339" s="4"/>
      <c r="J1339" s="6"/>
      <c r="K1339" s="6"/>
      <c r="L1339" s="6"/>
      <c r="M1339" s="4"/>
      <c r="N1339" s="4"/>
      <c r="O1339" s="4"/>
      <c r="P1339" s="6"/>
      <c r="Q1339" s="6"/>
      <c r="R1339" s="6"/>
      <c r="S1339" s="6"/>
      <c r="T1339" s="4"/>
      <c r="U1339" s="6"/>
      <c r="V1339" s="6"/>
      <c r="W1339" s="6"/>
      <c r="X1339" s="6"/>
      <c r="Y1339" s="4"/>
      <c r="Z1339" s="6"/>
      <c r="AA1339" s="4"/>
      <c r="AB1339" s="4"/>
      <c r="AC1339" s="4"/>
      <c r="AD1339" s="6"/>
      <c r="AE1339" s="4"/>
      <c r="AF1339" s="4"/>
      <c r="AG1339" s="4"/>
      <c r="AH1339" s="4"/>
    </row>
    <row r="1340" spans="1:34" x14ac:dyDescent="0.25">
      <c r="A1340" s="4">
        <v>1339</v>
      </c>
      <c r="B1340" s="5" t="s">
        <v>2807</v>
      </c>
      <c r="C1340" s="5" t="s">
        <v>2808</v>
      </c>
      <c r="D1340" s="5" t="s">
        <v>1586</v>
      </c>
      <c r="E1340" s="5" t="s">
        <v>185</v>
      </c>
      <c r="F1340" s="5" t="s">
        <v>185</v>
      </c>
      <c r="G1340" s="5" t="s">
        <v>332</v>
      </c>
      <c r="H1340" s="4"/>
      <c r="I1340" s="4"/>
      <c r="J1340" s="6"/>
      <c r="K1340" s="6"/>
      <c r="L1340" s="6"/>
      <c r="M1340" s="4"/>
      <c r="N1340" s="4"/>
      <c r="O1340" s="4"/>
      <c r="P1340" s="6"/>
      <c r="Q1340" s="6"/>
      <c r="R1340" s="6"/>
      <c r="S1340" s="6"/>
      <c r="T1340" s="4"/>
      <c r="U1340" s="6"/>
      <c r="V1340" s="6"/>
      <c r="W1340" s="6"/>
      <c r="X1340" s="6"/>
      <c r="Y1340" s="4"/>
      <c r="Z1340" s="6"/>
      <c r="AA1340" s="4"/>
      <c r="AB1340" s="4"/>
      <c r="AC1340" s="4"/>
      <c r="AD1340" s="6"/>
      <c r="AE1340" s="4"/>
      <c r="AF1340" s="4"/>
      <c r="AG1340" s="4"/>
      <c r="AH1340" s="4">
        <v>102981952000</v>
      </c>
    </row>
    <row r="1341" spans="1:34" x14ac:dyDescent="0.25">
      <c r="A1341" s="4">
        <v>1340</v>
      </c>
      <c r="B1341" s="5" t="s">
        <v>2809</v>
      </c>
      <c r="C1341" s="5" t="s">
        <v>2810</v>
      </c>
      <c r="D1341" s="5" t="s">
        <v>1586</v>
      </c>
      <c r="E1341" s="5" t="s">
        <v>98</v>
      </c>
      <c r="F1341" s="5" t="s">
        <v>99</v>
      </c>
      <c r="G1341" s="5" t="s">
        <v>144</v>
      </c>
      <c r="H1341" s="4"/>
      <c r="I1341" s="4"/>
      <c r="J1341" s="6"/>
      <c r="K1341" s="6"/>
      <c r="L1341" s="6"/>
      <c r="M1341" s="4"/>
      <c r="N1341" s="4"/>
      <c r="O1341" s="4"/>
      <c r="P1341" s="6"/>
      <c r="Q1341" s="6"/>
      <c r="R1341" s="6"/>
      <c r="S1341" s="6"/>
      <c r="T1341" s="4"/>
      <c r="U1341" s="6"/>
      <c r="V1341" s="6"/>
      <c r="W1341" s="6"/>
      <c r="X1341" s="6"/>
      <c r="Y1341" s="4"/>
      <c r="Z1341" s="6"/>
      <c r="AA1341" s="4"/>
      <c r="AB1341" s="4"/>
      <c r="AC1341" s="4"/>
      <c r="AD1341" s="6"/>
      <c r="AE1341" s="4"/>
      <c r="AF1341" s="4"/>
      <c r="AG1341" s="4"/>
      <c r="AH1341" s="4">
        <v>4969000000000</v>
      </c>
    </row>
    <row r="1342" spans="1:34" x14ac:dyDescent="0.25">
      <c r="A1342" s="4">
        <v>1341</v>
      </c>
      <c r="B1342" s="5" t="s">
        <v>2811</v>
      </c>
      <c r="C1342" s="5" t="s">
        <v>2812</v>
      </c>
      <c r="D1342" s="5" t="s">
        <v>1586</v>
      </c>
      <c r="E1342" s="5" t="s">
        <v>29</v>
      </c>
      <c r="F1342" s="5" t="s">
        <v>30</v>
      </c>
      <c r="G1342" s="5" t="s">
        <v>117</v>
      </c>
      <c r="H1342" s="4">
        <v>29815264148</v>
      </c>
      <c r="I1342" s="4">
        <v>49532594977</v>
      </c>
      <c r="J1342" s="6">
        <v>2.4899999999999999E-2</v>
      </c>
      <c r="K1342" s="6">
        <v>-8.6800000000000002E-2</v>
      </c>
      <c r="L1342" s="6">
        <v>-0.14169999999999999</v>
      </c>
      <c r="M1342" s="4">
        <v>4437368542</v>
      </c>
      <c r="N1342" s="4">
        <v>2467843116</v>
      </c>
      <c r="O1342" s="4"/>
      <c r="P1342" s="6">
        <v>4.851</v>
      </c>
      <c r="Q1342" s="6">
        <v>11.593299999999999</v>
      </c>
      <c r="R1342" s="6">
        <v>-5.4800000000000001E-2</v>
      </c>
      <c r="S1342" s="6">
        <v>3.2530000000000001</v>
      </c>
      <c r="T1342" s="4"/>
      <c r="U1342" s="6">
        <v>-0.5907</v>
      </c>
      <c r="V1342" s="6">
        <v>5.5033000000000003</v>
      </c>
      <c r="W1342" s="6">
        <v>200.77330000000001</v>
      </c>
      <c r="X1342" s="6">
        <v>0</v>
      </c>
      <c r="Y1342" s="4"/>
      <c r="Z1342" s="6">
        <v>0.5121</v>
      </c>
      <c r="AA1342" s="4"/>
      <c r="AB1342" s="4"/>
      <c r="AC1342" s="4"/>
      <c r="AD1342" s="6">
        <v>0</v>
      </c>
      <c r="AE1342" s="4"/>
      <c r="AF1342" s="4"/>
      <c r="AG1342" s="4"/>
      <c r="AH1342" s="4">
        <v>58366308000</v>
      </c>
    </row>
    <row r="1343" spans="1:34" x14ac:dyDescent="0.25">
      <c r="A1343" s="4">
        <v>1342</v>
      </c>
      <c r="B1343" s="5" t="s">
        <v>2813</v>
      </c>
      <c r="C1343" s="5" t="s">
        <v>2814</v>
      </c>
      <c r="D1343" s="5" t="s">
        <v>1586</v>
      </c>
      <c r="E1343" s="5" t="s">
        <v>98</v>
      </c>
      <c r="F1343" s="5" t="s">
        <v>99</v>
      </c>
      <c r="G1343" s="5" t="s">
        <v>144</v>
      </c>
      <c r="H1343" s="4">
        <v>64118400960</v>
      </c>
      <c r="I1343" s="4">
        <v>115920999298</v>
      </c>
      <c r="J1343" s="6">
        <v>-1.6000000000000001E-3</v>
      </c>
      <c r="K1343" s="6">
        <v>7.2900000000000006E-2</v>
      </c>
      <c r="L1343" s="6">
        <v>0.1366</v>
      </c>
      <c r="M1343" s="4">
        <v>28977224402</v>
      </c>
      <c r="N1343" s="4">
        <v>52774932283</v>
      </c>
      <c r="O1343" s="4"/>
      <c r="P1343" s="6">
        <v>-0.06</v>
      </c>
      <c r="Q1343" s="6">
        <v>2.3900000000000001E-2</v>
      </c>
      <c r="R1343" s="6">
        <v>0.12820000000000001</v>
      </c>
      <c r="S1343" s="6">
        <v>0.21759999999999999</v>
      </c>
      <c r="T1343" s="4"/>
      <c r="U1343" s="6">
        <v>-0.54990000000000006</v>
      </c>
      <c r="V1343" s="6">
        <v>-0.48549999999999999</v>
      </c>
      <c r="W1343" s="6">
        <v>-0.48830000000000001</v>
      </c>
      <c r="X1343" s="6">
        <v>0</v>
      </c>
      <c r="Y1343" s="4"/>
      <c r="Z1343" s="6">
        <v>0.23769999999999999</v>
      </c>
      <c r="AA1343" s="4"/>
      <c r="AB1343" s="4"/>
      <c r="AC1343" s="4"/>
      <c r="AD1343" s="6">
        <v>0</v>
      </c>
      <c r="AE1343" s="4"/>
      <c r="AF1343" s="4"/>
      <c r="AG1343" s="4"/>
      <c r="AH1343" s="4">
        <v>1436934000700</v>
      </c>
    </row>
    <row r="1344" spans="1:34" x14ac:dyDescent="0.25">
      <c r="A1344" s="4">
        <v>1343</v>
      </c>
      <c r="B1344" s="5" t="s">
        <v>2815</v>
      </c>
      <c r="C1344" s="5" t="s">
        <v>2816</v>
      </c>
      <c r="D1344" s="5" t="s">
        <v>1586</v>
      </c>
      <c r="E1344" s="5" t="s">
        <v>24</v>
      </c>
      <c r="F1344" s="5" t="s">
        <v>25</v>
      </c>
      <c r="G1344" s="5" t="s">
        <v>26</v>
      </c>
      <c r="H1344" s="4">
        <v>43827068613</v>
      </c>
      <c r="I1344" s="4">
        <v>112639491007</v>
      </c>
      <c r="J1344" s="6">
        <v>1.2625</v>
      </c>
      <c r="K1344" s="6"/>
      <c r="L1344" s="6"/>
      <c r="M1344" s="4">
        <v>27695987605</v>
      </c>
      <c r="N1344" s="4">
        <v>36301598386</v>
      </c>
      <c r="O1344" s="4"/>
      <c r="P1344" s="6">
        <v>5.5457999999999998</v>
      </c>
      <c r="Q1344" s="6"/>
      <c r="R1344" s="6"/>
      <c r="S1344" s="6">
        <v>2.2183999999999999</v>
      </c>
      <c r="T1344" s="4"/>
      <c r="U1344" s="6"/>
      <c r="V1344" s="6"/>
      <c r="W1344" s="6"/>
      <c r="X1344" s="6"/>
      <c r="Y1344" s="4"/>
      <c r="Z1344" s="6">
        <v>-0.36309999999999998</v>
      </c>
      <c r="AA1344" s="4"/>
      <c r="AB1344" s="4"/>
      <c r="AC1344" s="4"/>
      <c r="AD1344" s="6"/>
      <c r="AE1344" s="4"/>
      <c r="AF1344" s="4"/>
      <c r="AG1344" s="4"/>
      <c r="AH1344" s="4">
        <v>740705347200</v>
      </c>
    </row>
    <row r="1345" spans="1:34" x14ac:dyDescent="0.25">
      <c r="A1345" s="4">
        <v>1344</v>
      </c>
      <c r="B1345" s="5" t="s">
        <v>2817</v>
      </c>
      <c r="C1345" s="5" t="s">
        <v>2818</v>
      </c>
      <c r="D1345" s="5" t="s">
        <v>1586</v>
      </c>
      <c r="E1345" s="5" t="s">
        <v>75</v>
      </c>
      <c r="F1345" s="5" t="s">
        <v>79</v>
      </c>
      <c r="G1345" s="5" t="s">
        <v>80</v>
      </c>
      <c r="H1345" s="4">
        <v>37228693396</v>
      </c>
      <c r="I1345" s="4">
        <v>70490464026</v>
      </c>
      <c r="J1345" s="6">
        <v>-3.4799999999999998E-2</v>
      </c>
      <c r="K1345" s="6">
        <v>0.25069999999999998</v>
      </c>
      <c r="L1345" s="6">
        <v>0.27800000000000002</v>
      </c>
      <c r="M1345" s="4">
        <v>42808667386</v>
      </c>
      <c r="N1345" s="4">
        <v>37538091718</v>
      </c>
      <c r="O1345" s="4"/>
      <c r="P1345" s="6">
        <v>19.479600000000001</v>
      </c>
      <c r="Q1345" s="6">
        <v>1.7934000000000001</v>
      </c>
      <c r="R1345" s="6">
        <v>1.476</v>
      </c>
      <c r="S1345" s="6">
        <v>9.1221999999999994</v>
      </c>
      <c r="T1345" s="4"/>
      <c r="U1345" s="6">
        <v>-0.4965</v>
      </c>
      <c r="V1345" s="6">
        <v>2.7789000000000001</v>
      </c>
      <c r="W1345" s="6">
        <v>3.6922999999999999</v>
      </c>
      <c r="X1345" s="6">
        <v>0</v>
      </c>
      <c r="Y1345" s="4"/>
      <c r="Z1345" s="6">
        <v>0.1193</v>
      </c>
      <c r="AA1345" s="4"/>
      <c r="AB1345" s="4"/>
      <c r="AC1345" s="4"/>
      <c r="AD1345" s="6">
        <v>0</v>
      </c>
      <c r="AE1345" s="4"/>
      <c r="AF1345" s="4"/>
      <c r="AG1345" s="4"/>
      <c r="AH1345" s="4">
        <v>659001162000</v>
      </c>
    </row>
    <row r="1346" spans="1:34" x14ac:dyDescent="0.25">
      <c r="A1346" s="4">
        <v>1345</v>
      </c>
      <c r="B1346" s="5" t="s">
        <v>2819</v>
      </c>
      <c r="C1346" s="5" t="s">
        <v>2820</v>
      </c>
      <c r="D1346" s="5" t="s">
        <v>1586</v>
      </c>
      <c r="E1346" s="5" t="s">
        <v>40</v>
      </c>
      <c r="F1346" s="5" t="s">
        <v>52</v>
      </c>
      <c r="G1346" s="5" t="s">
        <v>53</v>
      </c>
      <c r="H1346" s="4"/>
      <c r="I1346" s="4"/>
      <c r="J1346" s="6"/>
      <c r="K1346" s="6"/>
      <c r="L1346" s="6"/>
      <c r="M1346" s="4"/>
      <c r="N1346" s="4"/>
      <c r="O1346" s="4"/>
      <c r="P1346" s="6"/>
      <c r="Q1346" s="6"/>
      <c r="R1346" s="6"/>
      <c r="S1346" s="6"/>
      <c r="T1346" s="4"/>
      <c r="U1346" s="6"/>
      <c r="V1346" s="6"/>
      <c r="W1346" s="6"/>
      <c r="X1346" s="6"/>
      <c r="Y1346" s="4"/>
      <c r="Z1346" s="6"/>
      <c r="AA1346" s="4"/>
      <c r="AB1346" s="4"/>
      <c r="AC1346" s="4"/>
      <c r="AD1346" s="6"/>
      <c r="AE1346" s="4"/>
      <c r="AF1346" s="4"/>
      <c r="AG1346" s="4"/>
      <c r="AH1346" s="4">
        <v>14856750000</v>
      </c>
    </row>
    <row r="1347" spans="1:34" x14ac:dyDescent="0.25">
      <c r="A1347" s="4">
        <v>1346</v>
      </c>
      <c r="B1347" s="5" t="s">
        <v>2821</v>
      </c>
      <c r="C1347" s="5" t="s">
        <v>2822</v>
      </c>
      <c r="D1347" s="5" t="s">
        <v>1586</v>
      </c>
      <c r="E1347" s="5" t="s">
        <v>29</v>
      </c>
      <c r="F1347" s="5" t="s">
        <v>30</v>
      </c>
      <c r="G1347" s="5" t="s">
        <v>574</v>
      </c>
      <c r="H1347" s="4"/>
      <c r="I1347" s="4"/>
      <c r="J1347" s="6"/>
      <c r="K1347" s="6"/>
      <c r="L1347" s="6"/>
      <c r="M1347" s="4"/>
      <c r="N1347" s="4"/>
      <c r="O1347" s="4"/>
      <c r="P1347" s="6"/>
      <c r="Q1347" s="6"/>
      <c r="R1347" s="6"/>
      <c r="S1347" s="6"/>
      <c r="T1347" s="4"/>
      <c r="U1347" s="6"/>
      <c r="V1347" s="6"/>
      <c r="W1347" s="6"/>
      <c r="X1347" s="6"/>
      <c r="Y1347" s="4"/>
      <c r="Z1347" s="6"/>
      <c r="AA1347" s="4"/>
      <c r="AB1347" s="4"/>
      <c r="AC1347" s="4"/>
      <c r="AD1347" s="6"/>
      <c r="AE1347" s="4"/>
      <c r="AF1347" s="4"/>
      <c r="AG1347" s="4"/>
      <c r="AH1347" s="4">
        <v>131403420000</v>
      </c>
    </row>
    <row r="1348" spans="1:34" x14ac:dyDescent="0.25">
      <c r="A1348" s="4">
        <v>1347</v>
      </c>
      <c r="B1348" s="5" t="s">
        <v>2823</v>
      </c>
      <c r="C1348" s="5" t="s">
        <v>2824</v>
      </c>
      <c r="D1348" s="5" t="s">
        <v>1586</v>
      </c>
      <c r="E1348" s="5" t="s">
        <v>40</v>
      </c>
      <c r="F1348" s="5" t="s">
        <v>52</v>
      </c>
      <c r="G1348" s="5" t="s">
        <v>53</v>
      </c>
      <c r="H1348" s="4">
        <v>221516441341</v>
      </c>
      <c r="I1348" s="4">
        <v>421141928390</v>
      </c>
      <c r="J1348" s="6">
        <v>-0.2177</v>
      </c>
      <c r="K1348" s="6"/>
      <c r="L1348" s="6"/>
      <c r="M1348" s="4">
        <v>1707746944</v>
      </c>
      <c r="N1348" s="4">
        <v>2746671483</v>
      </c>
      <c r="O1348" s="4"/>
      <c r="P1348" s="6">
        <v>-0.68640000000000001</v>
      </c>
      <c r="Q1348" s="6"/>
      <c r="R1348" s="6"/>
      <c r="S1348" s="6">
        <v>0.64380000000000004</v>
      </c>
      <c r="T1348" s="4"/>
      <c r="U1348" s="6"/>
      <c r="V1348" s="6"/>
      <c r="W1348" s="6"/>
      <c r="X1348" s="6"/>
      <c r="Y1348" s="4"/>
      <c r="Z1348" s="6">
        <v>0.10970000000000001</v>
      </c>
      <c r="AA1348" s="4"/>
      <c r="AB1348" s="4"/>
      <c r="AC1348" s="4"/>
      <c r="AD1348" s="6"/>
      <c r="AE1348" s="4"/>
      <c r="AF1348" s="4"/>
      <c r="AG1348" s="4"/>
      <c r="AH1348" s="4">
        <v>167733100000</v>
      </c>
    </row>
    <row r="1349" spans="1:34" x14ac:dyDescent="0.25">
      <c r="A1349" s="4">
        <v>1348</v>
      </c>
      <c r="B1349" s="5" t="s">
        <v>2825</v>
      </c>
      <c r="C1349" s="5" t="s">
        <v>2826</v>
      </c>
      <c r="D1349" s="5" t="s">
        <v>1586</v>
      </c>
      <c r="E1349" s="5" t="s">
        <v>40</v>
      </c>
      <c r="F1349" s="5" t="s">
        <v>52</v>
      </c>
      <c r="G1349" s="5" t="s">
        <v>53</v>
      </c>
      <c r="H1349" s="4"/>
      <c r="I1349" s="4"/>
      <c r="J1349" s="6"/>
      <c r="K1349" s="6"/>
      <c r="L1349" s="6"/>
      <c r="M1349" s="4"/>
      <c r="N1349" s="4"/>
      <c r="O1349" s="4"/>
      <c r="P1349" s="6"/>
      <c r="Q1349" s="6"/>
      <c r="R1349" s="6"/>
      <c r="S1349" s="6"/>
      <c r="T1349" s="4"/>
      <c r="U1349" s="6"/>
      <c r="V1349" s="6"/>
      <c r="W1349" s="6"/>
      <c r="X1349" s="6"/>
      <c r="Y1349" s="4"/>
      <c r="Z1349" s="6"/>
      <c r="AA1349" s="4"/>
      <c r="AB1349" s="4"/>
      <c r="AC1349" s="4"/>
      <c r="AD1349" s="6"/>
      <c r="AE1349" s="4"/>
      <c r="AF1349" s="4"/>
      <c r="AG1349" s="4"/>
      <c r="AH1349" s="4">
        <v>898969766835</v>
      </c>
    </row>
    <row r="1350" spans="1:34" x14ac:dyDescent="0.25">
      <c r="A1350" s="4">
        <v>1349</v>
      </c>
      <c r="B1350" s="5" t="s">
        <v>2827</v>
      </c>
      <c r="C1350" s="5" t="s">
        <v>2828</v>
      </c>
      <c r="D1350" s="5" t="s">
        <v>1586</v>
      </c>
      <c r="E1350" s="5" t="s">
        <v>40</v>
      </c>
      <c r="F1350" s="5" t="s">
        <v>41</v>
      </c>
      <c r="G1350" s="5" t="s">
        <v>519</v>
      </c>
      <c r="H1350" s="4"/>
      <c r="I1350" s="4"/>
      <c r="J1350" s="6"/>
      <c r="K1350" s="6"/>
      <c r="L1350" s="6"/>
      <c r="M1350" s="4"/>
      <c r="N1350" s="4"/>
      <c r="O1350" s="4"/>
      <c r="P1350" s="6"/>
      <c r="Q1350" s="6"/>
      <c r="R1350" s="6"/>
      <c r="S1350" s="6"/>
      <c r="T1350" s="4"/>
      <c r="U1350" s="6"/>
      <c r="V1350" s="6"/>
      <c r="W1350" s="6"/>
      <c r="X1350" s="6"/>
      <c r="Y1350" s="4"/>
      <c r="Z1350" s="6"/>
      <c r="AA1350" s="4"/>
      <c r="AB1350" s="4"/>
      <c r="AC1350" s="4"/>
      <c r="AD1350" s="6"/>
      <c r="AE1350" s="4"/>
      <c r="AF1350" s="4"/>
      <c r="AG1350" s="4"/>
      <c r="AH1350" s="4">
        <v>46744050000</v>
      </c>
    </row>
    <row r="1351" spans="1:34" x14ac:dyDescent="0.25">
      <c r="A1351" s="4">
        <v>1350</v>
      </c>
      <c r="B1351" s="5" t="s">
        <v>2829</v>
      </c>
      <c r="C1351" s="5" t="s">
        <v>2830</v>
      </c>
      <c r="D1351" s="5" t="s">
        <v>1586</v>
      </c>
      <c r="E1351" s="5" t="s">
        <v>40</v>
      </c>
      <c r="F1351" s="5" t="s">
        <v>52</v>
      </c>
      <c r="G1351" s="5" t="s">
        <v>110</v>
      </c>
      <c r="H1351" s="4"/>
      <c r="I1351" s="4"/>
      <c r="J1351" s="6"/>
      <c r="K1351" s="6"/>
      <c r="L1351" s="6"/>
      <c r="M1351" s="4"/>
      <c r="N1351" s="4"/>
      <c r="O1351" s="4"/>
      <c r="P1351" s="6"/>
      <c r="Q1351" s="6"/>
      <c r="R1351" s="6"/>
      <c r="S1351" s="6"/>
      <c r="T1351" s="4"/>
      <c r="U1351" s="6"/>
      <c r="V1351" s="6"/>
      <c r="W1351" s="6"/>
      <c r="X1351" s="6"/>
      <c r="Y1351" s="4"/>
      <c r="Z1351" s="6"/>
      <c r="AA1351" s="4"/>
      <c r="AB1351" s="4"/>
      <c r="AC1351" s="4"/>
      <c r="AD1351" s="6"/>
      <c r="AE1351" s="4"/>
      <c r="AF1351" s="4"/>
      <c r="AG1351" s="4"/>
      <c r="AH1351" s="4">
        <v>59136497600</v>
      </c>
    </row>
    <row r="1352" spans="1:34" x14ac:dyDescent="0.25">
      <c r="A1352" s="4">
        <v>1351</v>
      </c>
      <c r="B1352" s="5" t="s">
        <v>2831</v>
      </c>
      <c r="C1352" s="5" t="s">
        <v>2832</v>
      </c>
      <c r="D1352" s="5" t="s">
        <v>1586</v>
      </c>
      <c r="E1352" s="5" t="s">
        <v>40</v>
      </c>
      <c r="F1352" s="5" t="s">
        <v>52</v>
      </c>
      <c r="G1352" s="5" t="s">
        <v>110</v>
      </c>
      <c r="H1352" s="4">
        <v>31433188661</v>
      </c>
      <c r="I1352" s="4">
        <v>80454815398</v>
      </c>
      <c r="J1352" s="6">
        <v>-0.32540000000000002</v>
      </c>
      <c r="K1352" s="6">
        <v>-0.1767</v>
      </c>
      <c r="L1352" s="6">
        <v>-9.06E-2</v>
      </c>
      <c r="M1352" s="4">
        <v>-9061753413</v>
      </c>
      <c r="N1352" s="4">
        <v>11501912298</v>
      </c>
      <c r="O1352" s="4"/>
      <c r="P1352" s="6">
        <v>-0.20710000000000001</v>
      </c>
      <c r="Q1352" s="6">
        <v>0.19109999999999999</v>
      </c>
      <c r="R1352" s="6">
        <v>1.8548</v>
      </c>
      <c r="S1352" s="6">
        <v>-1.4448000000000001</v>
      </c>
      <c r="T1352" s="4"/>
      <c r="U1352" s="6">
        <v>-0.62139999999999995</v>
      </c>
      <c r="V1352" s="6">
        <v>-0.7208</v>
      </c>
      <c r="W1352" s="6">
        <v>-0.6986</v>
      </c>
      <c r="X1352" s="6">
        <v>0</v>
      </c>
      <c r="Y1352" s="4"/>
      <c r="Z1352" s="6">
        <v>-0.35880000000000001</v>
      </c>
      <c r="AA1352" s="4"/>
      <c r="AB1352" s="4"/>
      <c r="AC1352" s="4"/>
      <c r="AD1352" s="6">
        <v>0</v>
      </c>
      <c r="AE1352" s="4"/>
      <c r="AF1352" s="4"/>
      <c r="AG1352" s="4"/>
      <c r="AH1352" s="4">
        <v>137594461600</v>
      </c>
    </row>
    <row r="1353" spans="1:34" x14ac:dyDescent="0.25">
      <c r="A1353" s="4">
        <v>1352</v>
      </c>
      <c r="B1353" s="5" t="s">
        <v>2833</v>
      </c>
      <c r="C1353" s="5" t="s">
        <v>2834</v>
      </c>
      <c r="D1353" s="5" t="s">
        <v>1586</v>
      </c>
      <c r="E1353" s="5" t="s">
        <v>40</v>
      </c>
      <c r="F1353" s="5" t="s">
        <v>52</v>
      </c>
      <c r="G1353" s="5" t="s">
        <v>110</v>
      </c>
      <c r="H1353" s="4"/>
      <c r="I1353" s="4"/>
      <c r="J1353" s="6"/>
      <c r="K1353" s="6"/>
      <c r="L1353" s="6"/>
      <c r="M1353" s="4"/>
      <c r="N1353" s="4"/>
      <c r="O1353" s="4"/>
      <c r="P1353" s="6"/>
      <c r="Q1353" s="6"/>
      <c r="R1353" s="6"/>
      <c r="S1353" s="6"/>
      <c r="T1353" s="4"/>
      <c r="U1353" s="6"/>
      <c r="V1353" s="6"/>
      <c r="W1353" s="6"/>
      <c r="X1353" s="6"/>
      <c r="Y1353" s="4"/>
      <c r="Z1353" s="6"/>
      <c r="AA1353" s="4"/>
      <c r="AB1353" s="4"/>
      <c r="AC1353" s="4"/>
      <c r="AD1353" s="6"/>
      <c r="AE1353" s="4"/>
      <c r="AF1353" s="4"/>
      <c r="AG1353" s="4"/>
      <c r="AH1353" s="4">
        <v>19570000000</v>
      </c>
    </row>
    <row r="1354" spans="1:34" x14ac:dyDescent="0.25">
      <c r="A1354" s="4">
        <v>1353</v>
      </c>
      <c r="B1354" s="5" t="s">
        <v>2835</v>
      </c>
      <c r="C1354" s="5" t="s">
        <v>2836</v>
      </c>
      <c r="D1354" s="5" t="s">
        <v>1586</v>
      </c>
      <c r="E1354" s="5" t="s">
        <v>40</v>
      </c>
      <c r="F1354" s="5" t="s">
        <v>52</v>
      </c>
      <c r="G1354" s="5" t="s">
        <v>110</v>
      </c>
      <c r="H1354" s="4">
        <v>48367321509</v>
      </c>
      <c r="I1354" s="4">
        <v>69147913992</v>
      </c>
      <c r="J1354" s="6">
        <v>11.174899999999999</v>
      </c>
      <c r="K1354" s="6">
        <v>1.8416999999999999</v>
      </c>
      <c r="L1354" s="6">
        <v>1.6554</v>
      </c>
      <c r="M1354" s="4">
        <v>2862521537</v>
      </c>
      <c r="N1354" s="4">
        <v>2930842007</v>
      </c>
      <c r="O1354" s="4"/>
      <c r="P1354" s="6">
        <v>1.5005999999999999</v>
      </c>
      <c r="Q1354" s="6">
        <v>1.0640000000000001</v>
      </c>
      <c r="R1354" s="6">
        <v>0.78890000000000005</v>
      </c>
      <c r="S1354" s="6">
        <v>40.898400000000002</v>
      </c>
      <c r="T1354" s="4"/>
      <c r="U1354" s="6">
        <v>-0.75590000000000002</v>
      </c>
      <c r="V1354" s="6">
        <v>-0.83960000000000001</v>
      </c>
      <c r="W1354" s="6">
        <v>-0.83960000000000001</v>
      </c>
      <c r="X1354" s="6">
        <v>0</v>
      </c>
      <c r="Y1354" s="4"/>
      <c r="Z1354" s="6">
        <v>1.3274999999999999</v>
      </c>
      <c r="AA1354" s="4"/>
      <c r="AB1354" s="4"/>
      <c r="AC1354" s="4"/>
      <c r="AD1354" s="6">
        <v>0</v>
      </c>
      <c r="AE1354" s="4"/>
      <c r="AF1354" s="4"/>
      <c r="AG1354" s="4"/>
      <c r="AH1354" s="4">
        <v>69543222000</v>
      </c>
    </row>
    <row r="1355" spans="1:34" x14ac:dyDescent="0.25">
      <c r="A1355" s="4">
        <v>1354</v>
      </c>
      <c r="B1355" s="5" t="s">
        <v>2837</v>
      </c>
      <c r="C1355" s="5" t="s">
        <v>2838</v>
      </c>
      <c r="D1355" s="5" t="s">
        <v>1586</v>
      </c>
      <c r="E1355" s="5" t="s">
        <v>40</v>
      </c>
      <c r="F1355" s="5" t="s">
        <v>52</v>
      </c>
      <c r="G1355" s="5" t="s">
        <v>110</v>
      </c>
      <c r="H1355" s="4"/>
      <c r="I1355" s="4"/>
      <c r="J1355" s="6"/>
      <c r="K1355" s="6"/>
      <c r="L1355" s="6"/>
      <c r="M1355" s="4"/>
      <c r="N1355" s="4"/>
      <c r="O1355" s="4"/>
      <c r="P1355" s="6"/>
      <c r="Q1355" s="6"/>
      <c r="R1355" s="6"/>
      <c r="S1355" s="6"/>
      <c r="T1355" s="4"/>
      <c r="U1355" s="6"/>
      <c r="V1355" s="6"/>
      <c r="W1355" s="6"/>
      <c r="X1355" s="6"/>
      <c r="Y1355" s="4"/>
      <c r="Z1355" s="6"/>
      <c r="AA1355" s="4"/>
      <c r="AB1355" s="4"/>
      <c r="AC1355" s="4"/>
      <c r="AD1355" s="6"/>
      <c r="AE1355" s="4"/>
      <c r="AF1355" s="4"/>
      <c r="AG1355" s="4"/>
      <c r="AH1355" s="4">
        <v>27560000000</v>
      </c>
    </row>
    <row r="1356" spans="1:34" x14ac:dyDescent="0.25">
      <c r="A1356" s="4">
        <v>1355</v>
      </c>
      <c r="B1356" s="5" t="s">
        <v>2839</v>
      </c>
      <c r="C1356" s="5" t="s">
        <v>2840</v>
      </c>
      <c r="D1356" s="5" t="s">
        <v>1586</v>
      </c>
      <c r="E1356" s="5" t="s">
        <v>40</v>
      </c>
      <c r="F1356" s="5" t="s">
        <v>52</v>
      </c>
      <c r="G1356" s="5" t="s">
        <v>110</v>
      </c>
      <c r="H1356" s="4"/>
      <c r="I1356" s="4"/>
      <c r="J1356" s="6"/>
      <c r="K1356" s="6"/>
      <c r="L1356" s="6"/>
      <c r="M1356" s="4"/>
      <c r="N1356" s="4"/>
      <c r="O1356" s="4"/>
      <c r="P1356" s="6"/>
      <c r="Q1356" s="6"/>
      <c r="R1356" s="6"/>
      <c r="S1356" s="6"/>
      <c r="T1356" s="4"/>
      <c r="U1356" s="6"/>
      <c r="V1356" s="6"/>
      <c r="W1356" s="6"/>
      <c r="X1356" s="6"/>
      <c r="Y1356" s="4"/>
      <c r="Z1356" s="6"/>
      <c r="AA1356" s="4"/>
      <c r="AB1356" s="4"/>
      <c r="AC1356" s="4"/>
      <c r="AD1356" s="6"/>
      <c r="AE1356" s="4"/>
      <c r="AF1356" s="4"/>
      <c r="AG1356" s="4"/>
      <c r="AH1356" s="4">
        <v>4200000000</v>
      </c>
    </row>
    <row r="1357" spans="1:34" x14ac:dyDescent="0.25">
      <c r="A1357" s="4">
        <v>1356</v>
      </c>
      <c r="B1357" s="5" t="s">
        <v>2841</v>
      </c>
      <c r="C1357" s="5" t="s">
        <v>2842</v>
      </c>
      <c r="D1357" s="5" t="s">
        <v>1586</v>
      </c>
      <c r="E1357" s="5" t="s">
        <v>40</v>
      </c>
      <c r="F1357" s="5" t="s">
        <v>41</v>
      </c>
      <c r="G1357" s="5" t="s">
        <v>1025</v>
      </c>
      <c r="H1357" s="4"/>
      <c r="I1357" s="4"/>
      <c r="J1357" s="6"/>
      <c r="K1357" s="6"/>
      <c r="L1357" s="6"/>
      <c r="M1357" s="4"/>
      <c r="N1357" s="4"/>
      <c r="O1357" s="4"/>
      <c r="P1357" s="6"/>
      <c r="Q1357" s="6"/>
      <c r="R1357" s="6"/>
      <c r="S1357" s="6"/>
      <c r="T1357" s="4"/>
      <c r="U1357" s="6"/>
      <c r="V1357" s="6"/>
      <c r="W1357" s="6"/>
      <c r="X1357" s="6"/>
      <c r="Y1357" s="4"/>
      <c r="Z1357" s="6"/>
      <c r="AA1357" s="4"/>
      <c r="AB1357" s="4"/>
      <c r="AC1357" s="4"/>
      <c r="AD1357" s="6"/>
      <c r="AE1357" s="4"/>
      <c r="AF1357" s="4"/>
      <c r="AG1357" s="4"/>
      <c r="AH1357" s="4">
        <v>49110025260</v>
      </c>
    </row>
    <row r="1358" spans="1:34" x14ac:dyDescent="0.25">
      <c r="A1358" s="4">
        <v>1357</v>
      </c>
      <c r="B1358" s="5" t="s">
        <v>2843</v>
      </c>
      <c r="C1358" s="5" t="s">
        <v>2844</v>
      </c>
      <c r="D1358" s="5" t="s">
        <v>1586</v>
      </c>
      <c r="E1358" s="5" t="s">
        <v>40</v>
      </c>
      <c r="F1358" s="5" t="s">
        <v>52</v>
      </c>
      <c r="G1358" s="5" t="s">
        <v>110</v>
      </c>
      <c r="H1358" s="4">
        <v>3022733465</v>
      </c>
      <c r="I1358" s="4"/>
      <c r="J1358" s="6">
        <v>0.42030000000000001</v>
      </c>
      <c r="K1358" s="6">
        <v>0.40010000000000001</v>
      </c>
      <c r="L1358" s="6">
        <v>0.14080000000000001</v>
      </c>
      <c r="M1358" s="4">
        <v>-2408720301</v>
      </c>
      <c r="N1358" s="4"/>
      <c r="O1358" s="4"/>
      <c r="P1358" s="6">
        <v>-3.5000000000000001E-3</v>
      </c>
      <c r="Q1358" s="6">
        <v>7.1099999999999997E-2</v>
      </c>
      <c r="R1358" s="6">
        <v>-2.8899999999999999E-2</v>
      </c>
      <c r="S1358" s="6">
        <v>0.33639999999999998</v>
      </c>
      <c r="T1358" s="4"/>
      <c r="U1358" s="6">
        <v>-0.69640000000000002</v>
      </c>
      <c r="V1358" s="6">
        <v>0.37190000000000001</v>
      </c>
      <c r="W1358" s="6">
        <v>0.37190000000000001</v>
      </c>
      <c r="X1358" s="6">
        <v>0</v>
      </c>
      <c r="Y1358" s="4"/>
      <c r="Z1358" s="6">
        <v>1.0051000000000001</v>
      </c>
      <c r="AA1358" s="4"/>
      <c r="AB1358" s="4"/>
      <c r="AC1358" s="4"/>
      <c r="AD1358" s="6">
        <v>0</v>
      </c>
      <c r="AE1358" s="4"/>
      <c r="AF1358" s="4"/>
      <c r="AG1358" s="4"/>
      <c r="AH1358" s="4">
        <v>20809534200</v>
      </c>
    </row>
    <row r="1359" spans="1:34" x14ac:dyDescent="0.25">
      <c r="A1359" s="4">
        <v>1358</v>
      </c>
      <c r="B1359" s="5" t="s">
        <v>2845</v>
      </c>
      <c r="C1359" s="5" t="s">
        <v>2846</v>
      </c>
      <c r="D1359" s="5" t="s">
        <v>1586</v>
      </c>
      <c r="E1359" s="5" t="s">
        <v>40</v>
      </c>
      <c r="F1359" s="5" t="s">
        <v>41</v>
      </c>
      <c r="G1359" s="5" t="s">
        <v>519</v>
      </c>
      <c r="H1359" s="4"/>
      <c r="I1359" s="4"/>
      <c r="J1359" s="6"/>
      <c r="K1359" s="6"/>
      <c r="L1359" s="6"/>
      <c r="M1359" s="4"/>
      <c r="N1359" s="4"/>
      <c r="O1359" s="4"/>
      <c r="P1359" s="6"/>
      <c r="Q1359" s="6"/>
      <c r="R1359" s="6"/>
      <c r="S1359" s="6"/>
      <c r="T1359" s="4"/>
      <c r="U1359" s="6"/>
      <c r="V1359" s="6"/>
      <c r="W1359" s="6"/>
      <c r="X1359" s="6"/>
      <c r="Y1359" s="4"/>
      <c r="Z1359" s="6"/>
      <c r="AA1359" s="4"/>
      <c r="AB1359" s="4"/>
      <c r="AC1359" s="4"/>
      <c r="AD1359" s="6"/>
      <c r="AE1359" s="4"/>
      <c r="AF1359" s="4"/>
      <c r="AG1359" s="4"/>
      <c r="AH1359" s="4">
        <v>29015888400</v>
      </c>
    </row>
    <row r="1360" spans="1:34" x14ac:dyDescent="0.25">
      <c r="A1360" s="4">
        <v>1359</v>
      </c>
      <c r="B1360" s="5" t="s">
        <v>2847</v>
      </c>
      <c r="C1360" s="5" t="s">
        <v>2848</v>
      </c>
      <c r="D1360" s="5" t="s">
        <v>1586</v>
      </c>
      <c r="E1360" s="5" t="s">
        <v>40</v>
      </c>
      <c r="F1360" s="5" t="s">
        <v>52</v>
      </c>
      <c r="G1360" s="5" t="s">
        <v>110</v>
      </c>
      <c r="H1360" s="4"/>
      <c r="I1360" s="4"/>
      <c r="J1360" s="6"/>
      <c r="K1360" s="6"/>
      <c r="L1360" s="6"/>
      <c r="M1360" s="4"/>
      <c r="N1360" s="4"/>
      <c r="O1360" s="4"/>
      <c r="P1360" s="6"/>
      <c r="Q1360" s="6"/>
      <c r="R1360" s="6"/>
      <c r="S1360" s="6"/>
      <c r="T1360" s="4"/>
      <c r="U1360" s="6"/>
      <c r="V1360" s="6"/>
      <c r="W1360" s="6"/>
      <c r="X1360" s="6"/>
      <c r="Y1360" s="4"/>
      <c r="Z1360" s="6"/>
      <c r="AA1360" s="4"/>
      <c r="AB1360" s="4"/>
      <c r="AC1360" s="4"/>
      <c r="AD1360" s="6"/>
      <c r="AE1360" s="4"/>
      <c r="AF1360" s="4"/>
      <c r="AG1360" s="4"/>
      <c r="AH1360" s="4">
        <v>8891577600</v>
      </c>
    </row>
    <row r="1361" spans="1:34" x14ac:dyDescent="0.25">
      <c r="A1361" s="4">
        <v>1360</v>
      </c>
      <c r="B1361" s="5" t="s">
        <v>2849</v>
      </c>
      <c r="C1361" s="5" t="s">
        <v>2850</v>
      </c>
      <c r="D1361" s="5" t="s">
        <v>1586</v>
      </c>
      <c r="E1361" s="5" t="s">
        <v>40</v>
      </c>
      <c r="F1361" s="5" t="s">
        <v>52</v>
      </c>
      <c r="G1361" s="5" t="s">
        <v>110</v>
      </c>
      <c r="H1361" s="4"/>
      <c r="I1361" s="4"/>
      <c r="J1361" s="6"/>
      <c r="K1361" s="6"/>
      <c r="L1361" s="6"/>
      <c r="M1361" s="4"/>
      <c r="N1361" s="4"/>
      <c r="O1361" s="4"/>
      <c r="P1361" s="6"/>
      <c r="Q1361" s="6"/>
      <c r="R1361" s="6"/>
      <c r="S1361" s="6"/>
      <c r="T1361" s="4"/>
      <c r="U1361" s="6"/>
      <c r="V1361" s="6"/>
      <c r="W1361" s="6"/>
      <c r="X1361" s="6"/>
      <c r="Y1361" s="4"/>
      <c r="Z1361" s="6"/>
      <c r="AA1361" s="4"/>
      <c r="AB1361" s="4"/>
      <c r="AC1361" s="4"/>
      <c r="AD1361" s="6"/>
      <c r="AE1361" s="4"/>
      <c r="AF1361" s="4"/>
      <c r="AG1361" s="4"/>
      <c r="AH1361" s="4">
        <v>191184359414</v>
      </c>
    </row>
    <row r="1362" spans="1:34" x14ac:dyDescent="0.25">
      <c r="A1362" s="4">
        <v>1361</v>
      </c>
      <c r="B1362" s="5" t="s">
        <v>2851</v>
      </c>
      <c r="C1362" s="5" t="s">
        <v>2852</v>
      </c>
      <c r="D1362" s="5" t="s">
        <v>1586</v>
      </c>
      <c r="E1362" s="5" t="s">
        <v>40</v>
      </c>
      <c r="F1362" s="5" t="s">
        <v>41</v>
      </c>
      <c r="G1362" s="5" t="s">
        <v>1716</v>
      </c>
      <c r="H1362" s="4"/>
      <c r="I1362" s="4"/>
      <c r="J1362" s="6"/>
      <c r="K1362" s="6"/>
      <c r="L1362" s="6"/>
      <c r="M1362" s="4"/>
      <c r="N1362" s="4"/>
      <c r="O1362" s="4"/>
      <c r="P1362" s="6"/>
      <c r="Q1362" s="6"/>
      <c r="R1362" s="6"/>
      <c r="S1362" s="6"/>
      <c r="T1362" s="4"/>
      <c r="U1362" s="6"/>
      <c r="V1362" s="6"/>
      <c r="W1362" s="6"/>
      <c r="X1362" s="6"/>
      <c r="Y1362" s="4"/>
      <c r="Z1362" s="6"/>
      <c r="AA1362" s="4"/>
      <c r="AB1362" s="4"/>
      <c r="AC1362" s="4"/>
      <c r="AD1362" s="6"/>
      <c r="AE1362" s="4"/>
      <c r="AF1362" s="4"/>
      <c r="AG1362" s="4"/>
      <c r="AH1362" s="4">
        <v>329000000000</v>
      </c>
    </row>
    <row r="1363" spans="1:34" x14ac:dyDescent="0.25">
      <c r="A1363" s="4">
        <v>1362</v>
      </c>
      <c r="B1363" s="5" t="s">
        <v>2853</v>
      </c>
      <c r="C1363" s="5" t="s">
        <v>2854</v>
      </c>
      <c r="D1363" s="5" t="s">
        <v>1586</v>
      </c>
      <c r="E1363" s="5" t="s">
        <v>40</v>
      </c>
      <c r="F1363" s="5" t="s">
        <v>52</v>
      </c>
      <c r="G1363" s="5" t="s">
        <v>53</v>
      </c>
      <c r="H1363" s="4"/>
      <c r="I1363" s="4"/>
      <c r="J1363" s="6"/>
      <c r="K1363" s="6"/>
      <c r="L1363" s="6"/>
      <c r="M1363" s="4"/>
      <c r="N1363" s="4"/>
      <c r="O1363" s="4"/>
      <c r="P1363" s="6"/>
      <c r="Q1363" s="6"/>
      <c r="R1363" s="6"/>
      <c r="S1363" s="6"/>
      <c r="T1363" s="4"/>
      <c r="U1363" s="6"/>
      <c r="V1363" s="6"/>
      <c r="W1363" s="6"/>
      <c r="X1363" s="6"/>
      <c r="Y1363" s="4"/>
      <c r="Z1363" s="6"/>
      <c r="AA1363" s="4"/>
      <c r="AB1363" s="4"/>
      <c r="AC1363" s="4"/>
      <c r="AD1363" s="6"/>
      <c r="AE1363" s="4"/>
      <c r="AF1363" s="4"/>
      <c r="AG1363" s="4"/>
      <c r="AH1363" s="4">
        <v>3600000000</v>
      </c>
    </row>
    <row r="1364" spans="1:34" x14ac:dyDescent="0.25">
      <c r="A1364" s="4">
        <v>1363</v>
      </c>
      <c r="B1364" s="5" t="s">
        <v>2855</v>
      </c>
      <c r="C1364" s="5" t="s">
        <v>2856</v>
      </c>
      <c r="D1364" s="5" t="s">
        <v>1586</v>
      </c>
      <c r="E1364" s="5" t="s">
        <v>29</v>
      </c>
      <c r="F1364" s="5" t="s">
        <v>30</v>
      </c>
      <c r="G1364" s="5" t="s">
        <v>31</v>
      </c>
      <c r="H1364" s="4"/>
      <c r="I1364" s="4"/>
      <c r="J1364" s="6"/>
      <c r="K1364" s="6"/>
      <c r="L1364" s="6"/>
      <c r="M1364" s="4"/>
      <c r="N1364" s="4"/>
      <c r="O1364" s="4"/>
      <c r="P1364" s="6"/>
      <c r="Q1364" s="6"/>
      <c r="R1364" s="6"/>
      <c r="S1364" s="6"/>
      <c r="T1364" s="4"/>
      <c r="U1364" s="6"/>
      <c r="V1364" s="6"/>
      <c r="W1364" s="6"/>
      <c r="X1364" s="6"/>
      <c r="Y1364" s="4"/>
      <c r="Z1364" s="6"/>
      <c r="AA1364" s="4"/>
      <c r="AB1364" s="4"/>
      <c r="AC1364" s="4"/>
      <c r="AD1364" s="6"/>
      <c r="AE1364" s="4"/>
      <c r="AF1364" s="4"/>
      <c r="AG1364" s="4"/>
      <c r="AH1364" s="4">
        <v>6169156108500</v>
      </c>
    </row>
    <row r="1365" spans="1:34" x14ac:dyDescent="0.25">
      <c r="A1365" s="4">
        <v>1364</v>
      </c>
      <c r="B1365" s="5" t="s">
        <v>2857</v>
      </c>
      <c r="C1365" s="5" t="s">
        <v>2858</v>
      </c>
      <c r="D1365" s="5" t="s">
        <v>1586</v>
      </c>
      <c r="E1365" s="5" t="s">
        <v>24</v>
      </c>
      <c r="F1365" s="5" t="s">
        <v>25</v>
      </c>
      <c r="G1365" s="5" t="s">
        <v>26</v>
      </c>
      <c r="H1365" s="4"/>
      <c r="I1365" s="4"/>
      <c r="J1365" s="6"/>
      <c r="K1365" s="6"/>
      <c r="L1365" s="6"/>
      <c r="M1365" s="4"/>
      <c r="N1365" s="4"/>
      <c r="O1365" s="4"/>
      <c r="P1365" s="6"/>
      <c r="Q1365" s="6"/>
      <c r="R1365" s="6"/>
      <c r="S1365" s="6"/>
      <c r="T1365" s="4"/>
      <c r="U1365" s="6"/>
      <c r="V1365" s="6"/>
      <c r="W1365" s="6"/>
      <c r="X1365" s="6"/>
      <c r="Y1365" s="4"/>
      <c r="Z1365" s="6"/>
      <c r="AA1365" s="4"/>
      <c r="AB1365" s="4"/>
      <c r="AC1365" s="4"/>
      <c r="AD1365" s="6"/>
      <c r="AE1365" s="4"/>
      <c r="AF1365" s="4"/>
      <c r="AG1365" s="4"/>
      <c r="AH1365" s="4">
        <v>159600000000</v>
      </c>
    </row>
    <row r="1366" spans="1:34" x14ac:dyDescent="0.25">
      <c r="A1366" s="4">
        <v>1365</v>
      </c>
      <c r="B1366" s="5" t="s">
        <v>2859</v>
      </c>
      <c r="C1366" s="5" t="s">
        <v>2860</v>
      </c>
      <c r="D1366" s="5" t="s">
        <v>1586</v>
      </c>
      <c r="E1366" s="5" t="s">
        <v>49</v>
      </c>
      <c r="F1366" s="5" t="s">
        <v>49</v>
      </c>
      <c r="G1366" s="5" t="s">
        <v>49</v>
      </c>
      <c r="H1366" s="4"/>
      <c r="I1366" s="4"/>
      <c r="J1366" s="6"/>
      <c r="K1366" s="6"/>
      <c r="L1366" s="6"/>
      <c r="M1366" s="4"/>
      <c r="N1366" s="4"/>
      <c r="O1366" s="4"/>
      <c r="P1366" s="6"/>
      <c r="Q1366" s="6"/>
      <c r="R1366" s="6"/>
      <c r="S1366" s="6"/>
      <c r="T1366" s="4"/>
      <c r="U1366" s="6"/>
      <c r="V1366" s="6"/>
      <c r="W1366" s="6"/>
      <c r="X1366" s="6"/>
      <c r="Y1366" s="4"/>
      <c r="Z1366" s="6"/>
      <c r="AA1366" s="4"/>
      <c r="AB1366" s="4"/>
      <c r="AC1366" s="4"/>
      <c r="AD1366" s="6"/>
      <c r="AE1366" s="4">
        <v>233402000000</v>
      </c>
      <c r="AF1366" s="4">
        <v>451263000000</v>
      </c>
      <c r="AG1366" s="4">
        <v>648919000000</v>
      </c>
      <c r="AH1366" s="4">
        <v>4596482565948</v>
      </c>
    </row>
    <row r="1367" spans="1:34" x14ac:dyDescent="0.25">
      <c r="A1367" s="4">
        <v>1366</v>
      </c>
      <c r="B1367" s="5" t="s">
        <v>2861</v>
      </c>
      <c r="C1367" s="5" t="s">
        <v>2862</v>
      </c>
      <c r="D1367" s="5" t="s">
        <v>1586</v>
      </c>
      <c r="E1367" s="5" t="s">
        <v>29</v>
      </c>
      <c r="F1367" s="5" t="s">
        <v>36</v>
      </c>
      <c r="G1367" s="5" t="s">
        <v>37</v>
      </c>
      <c r="H1367" s="4"/>
      <c r="I1367" s="4"/>
      <c r="J1367" s="6"/>
      <c r="K1367" s="6"/>
      <c r="L1367" s="6"/>
      <c r="M1367" s="4"/>
      <c r="N1367" s="4"/>
      <c r="O1367" s="4"/>
      <c r="P1367" s="6"/>
      <c r="Q1367" s="6"/>
      <c r="R1367" s="6"/>
      <c r="S1367" s="6"/>
      <c r="T1367" s="4"/>
      <c r="U1367" s="6"/>
      <c r="V1367" s="6"/>
      <c r="W1367" s="6"/>
      <c r="X1367" s="6"/>
      <c r="Y1367" s="4"/>
      <c r="Z1367" s="6"/>
      <c r="AA1367" s="4"/>
      <c r="AB1367" s="4"/>
      <c r="AC1367" s="4"/>
      <c r="AD1367" s="6"/>
      <c r="AE1367" s="4"/>
      <c r="AF1367" s="4"/>
      <c r="AG1367" s="4"/>
      <c r="AH1367" s="4">
        <v>684162970200</v>
      </c>
    </row>
    <row r="1368" spans="1:34" x14ac:dyDescent="0.25">
      <c r="A1368" s="4">
        <v>1367</v>
      </c>
      <c r="B1368" s="5" t="s">
        <v>2863</v>
      </c>
      <c r="C1368" s="5" t="s">
        <v>2864</v>
      </c>
      <c r="D1368" s="5" t="s">
        <v>1586</v>
      </c>
      <c r="E1368" s="5" t="s">
        <v>40</v>
      </c>
      <c r="F1368" s="5" t="s">
        <v>41</v>
      </c>
      <c r="G1368" s="5" t="s">
        <v>93</v>
      </c>
      <c r="H1368" s="4"/>
      <c r="I1368" s="4"/>
      <c r="J1368" s="6"/>
      <c r="K1368" s="6"/>
      <c r="L1368" s="6"/>
      <c r="M1368" s="4"/>
      <c r="N1368" s="4"/>
      <c r="O1368" s="4"/>
      <c r="P1368" s="6"/>
      <c r="Q1368" s="6"/>
      <c r="R1368" s="6"/>
      <c r="S1368" s="6"/>
      <c r="T1368" s="4"/>
      <c r="U1368" s="6"/>
      <c r="V1368" s="6"/>
      <c r="W1368" s="6"/>
      <c r="X1368" s="6"/>
      <c r="Y1368" s="4"/>
      <c r="Z1368" s="6"/>
      <c r="AA1368" s="4"/>
      <c r="AB1368" s="4"/>
      <c r="AC1368" s="4"/>
      <c r="AD1368" s="6"/>
      <c r="AE1368" s="4"/>
      <c r="AF1368" s="4"/>
      <c r="AG1368" s="4"/>
      <c r="AH1368" s="4">
        <v>4296915695226</v>
      </c>
    </row>
    <row r="1369" spans="1:34" x14ac:dyDescent="0.25">
      <c r="A1369" s="4">
        <v>1368</v>
      </c>
      <c r="B1369" s="5" t="s">
        <v>2865</v>
      </c>
      <c r="C1369" s="5" t="s">
        <v>2866</v>
      </c>
      <c r="D1369" s="5" t="s">
        <v>1586</v>
      </c>
      <c r="E1369" s="5" t="s">
        <v>40</v>
      </c>
      <c r="F1369" s="5" t="s">
        <v>41</v>
      </c>
      <c r="G1369" s="5" t="s">
        <v>406</v>
      </c>
      <c r="H1369" s="4"/>
      <c r="I1369" s="4"/>
      <c r="J1369" s="6"/>
      <c r="K1369" s="6"/>
      <c r="L1369" s="6"/>
      <c r="M1369" s="4"/>
      <c r="N1369" s="4"/>
      <c r="O1369" s="4"/>
      <c r="P1369" s="6"/>
      <c r="Q1369" s="6"/>
      <c r="R1369" s="6"/>
      <c r="S1369" s="6"/>
      <c r="T1369" s="4"/>
      <c r="U1369" s="6"/>
      <c r="V1369" s="6"/>
      <c r="W1369" s="6"/>
      <c r="X1369" s="6"/>
      <c r="Y1369" s="4"/>
      <c r="Z1369" s="6"/>
      <c r="AA1369" s="4"/>
      <c r="AB1369" s="4"/>
      <c r="AC1369" s="4"/>
      <c r="AD1369" s="6"/>
      <c r="AE1369" s="4"/>
      <c r="AF1369" s="4"/>
      <c r="AG1369" s="4"/>
      <c r="AH1369" s="4">
        <v>194670000000</v>
      </c>
    </row>
    <row r="1370" spans="1:34" x14ac:dyDescent="0.25">
      <c r="A1370" s="4">
        <v>1369</v>
      </c>
      <c r="B1370" s="5" t="s">
        <v>2867</v>
      </c>
      <c r="C1370" s="5" t="s">
        <v>2868</v>
      </c>
      <c r="D1370" s="5" t="s">
        <v>1586</v>
      </c>
      <c r="E1370" s="5" t="s">
        <v>40</v>
      </c>
      <c r="F1370" s="5" t="s">
        <v>52</v>
      </c>
      <c r="G1370" s="5" t="s">
        <v>110</v>
      </c>
      <c r="H1370" s="4"/>
      <c r="I1370" s="4"/>
      <c r="J1370" s="6"/>
      <c r="K1370" s="6"/>
      <c r="L1370" s="6"/>
      <c r="M1370" s="4"/>
      <c r="N1370" s="4"/>
      <c r="O1370" s="4"/>
      <c r="P1370" s="6"/>
      <c r="Q1370" s="6"/>
      <c r="R1370" s="6"/>
      <c r="S1370" s="6"/>
      <c r="T1370" s="4"/>
      <c r="U1370" s="6"/>
      <c r="V1370" s="6"/>
      <c r="W1370" s="6"/>
      <c r="X1370" s="6"/>
      <c r="Y1370" s="4"/>
      <c r="Z1370" s="6"/>
      <c r="AA1370" s="4"/>
      <c r="AB1370" s="4"/>
      <c r="AC1370" s="4"/>
      <c r="AD1370" s="6"/>
      <c r="AE1370" s="4"/>
      <c r="AF1370" s="4"/>
      <c r="AG1370" s="4"/>
      <c r="AH1370" s="4"/>
    </row>
    <row r="1371" spans="1:34" x14ac:dyDescent="0.25">
      <c r="A1371" s="4">
        <v>1370</v>
      </c>
      <c r="B1371" s="5" t="s">
        <v>2869</v>
      </c>
      <c r="C1371" s="5" t="s">
        <v>2870</v>
      </c>
      <c r="D1371" s="5" t="s">
        <v>1586</v>
      </c>
      <c r="E1371" s="5" t="s">
        <v>40</v>
      </c>
      <c r="F1371" s="5" t="s">
        <v>41</v>
      </c>
      <c r="G1371" s="5" t="s">
        <v>406</v>
      </c>
      <c r="H1371" s="4"/>
      <c r="I1371" s="4"/>
      <c r="J1371" s="6"/>
      <c r="K1371" s="6"/>
      <c r="L1371" s="6"/>
      <c r="M1371" s="4"/>
      <c r="N1371" s="4"/>
      <c r="O1371" s="4"/>
      <c r="P1371" s="6"/>
      <c r="Q1371" s="6"/>
      <c r="R1371" s="6"/>
      <c r="S1371" s="6"/>
      <c r="T1371" s="4"/>
      <c r="U1371" s="6"/>
      <c r="V1371" s="6"/>
      <c r="W1371" s="6"/>
      <c r="X1371" s="6"/>
      <c r="Y1371" s="4"/>
      <c r="Z1371" s="6"/>
      <c r="AA1371" s="4"/>
      <c r="AB1371" s="4"/>
      <c r="AC1371" s="4"/>
      <c r="AD1371" s="6"/>
      <c r="AE1371" s="4"/>
      <c r="AF1371" s="4"/>
      <c r="AG1371" s="4"/>
      <c r="AH1371" s="4">
        <v>53438420000</v>
      </c>
    </row>
    <row r="1372" spans="1:34" x14ac:dyDescent="0.25">
      <c r="A1372" s="4">
        <v>1371</v>
      </c>
      <c r="B1372" s="5" t="s">
        <v>2871</v>
      </c>
      <c r="C1372" s="5" t="s">
        <v>2872</v>
      </c>
      <c r="D1372" s="5" t="s">
        <v>1586</v>
      </c>
      <c r="E1372" s="5" t="s">
        <v>75</v>
      </c>
      <c r="F1372" s="5" t="s">
        <v>76</v>
      </c>
      <c r="G1372" s="5" t="s">
        <v>76</v>
      </c>
      <c r="H1372" s="4"/>
      <c r="I1372" s="4"/>
      <c r="J1372" s="6"/>
      <c r="K1372" s="6"/>
      <c r="L1372" s="6"/>
      <c r="M1372" s="4"/>
      <c r="N1372" s="4"/>
      <c r="O1372" s="4"/>
      <c r="P1372" s="6"/>
      <c r="Q1372" s="6"/>
      <c r="R1372" s="6"/>
      <c r="S1372" s="6"/>
      <c r="T1372" s="4"/>
      <c r="U1372" s="6"/>
      <c r="V1372" s="6"/>
      <c r="W1372" s="6"/>
      <c r="X1372" s="6"/>
      <c r="Y1372" s="4"/>
      <c r="Z1372" s="6"/>
      <c r="AA1372" s="4"/>
      <c r="AB1372" s="4"/>
      <c r="AC1372" s="4"/>
      <c r="AD1372" s="6"/>
      <c r="AE1372" s="4"/>
      <c r="AF1372" s="4"/>
      <c r="AG1372" s="4"/>
      <c r="AH1372" s="4">
        <v>1364100000000</v>
      </c>
    </row>
    <row r="1373" spans="1:34" x14ac:dyDescent="0.25">
      <c r="A1373" s="4">
        <v>1372</v>
      </c>
      <c r="B1373" s="5" t="s">
        <v>2873</v>
      </c>
      <c r="C1373" s="5" t="s">
        <v>2874</v>
      </c>
      <c r="D1373" s="5" t="s">
        <v>1586</v>
      </c>
      <c r="E1373" s="5" t="s">
        <v>40</v>
      </c>
      <c r="F1373" s="5" t="s">
        <v>52</v>
      </c>
      <c r="G1373" s="5" t="s">
        <v>110</v>
      </c>
      <c r="H1373" s="4"/>
      <c r="I1373" s="4"/>
      <c r="J1373" s="6"/>
      <c r="K1373" s="6"/>
      <c r="L1373" s="6"/>
      <c r="M1373" s="4"/>
      <c r="N1373" s="4"/>
      <c r="O1373" s="4"/>
      <c r="P1373" s="6"/>
      <c r="Q1373" s="6"/>
      <c r="R1373" s="6"/>
      <c r="S1373" s="6"/>
      <c r="T1373" s="4"/>
      <c r="U1373" s="6"/>
      <c r="V1373" s="6"/>
      <c r="W1373" s="6"/>
      <c r="X1373" s="6"/>
      <c r="Y1373" s="4"/>
      <c r="Z1373" s="6"/>
      <c r="AA1373" s="4"/>
      <c r="AB1373" s="4"/>
      <c r="AC1373" s="4"/>
      <c r="AD1373" s="6"/>
      <c r="AE1373" s="4"/>
      <c r="AF1373" s="4"/>
      <c r="AG1373" s="4"/>
      <c r="AH1373" s="4">
        <v>95630000000</v>
      </c>
    </row>
    <row r="1374" spans="1:34" x14ac:dyDescent="0.25">
      <c r="A1374" s="4">
        <v>1373</v>
      </c>
      <c r="B1374" s="5" t="s">
        <v>2875</v>
      </c>
      <c r="C1374" s="5" t="s">
        <v>2876</v>
      </c>
      <c r="D1374" s="5" t="s">
        <v>1586</v>
      </c>
      <c r="E1374" s="5" t="s">
        <v>98</v>
      </c>
      <c r="F1374" s="5" t="s">
        <v>99</v>
      </c>
      <c r="G1374" s="5" t="s">
        <v>155</v>
      </c>
      <c r="H1374" s="4"/>
      <c r="I1374" s="4"/>
      <c r="J1374" s="6"/>
      <c r="K1374" s="6"/>
      <c r="L1374" s="6"/>
      <c r="M1374" s="4"/>
      <c r="N1374" s="4"/>
      <c r="O1374" s="4"/>
      <c r="P1374" s="6"/>
      <c r="Q1374" s="6"/>
      <c r="R1374" s="6"/>
      <c r="S1374" s="6"/>
      <c r="T1374" s="4"/>
      <c r="U1374" s="6"/>
      <c r="V1374" s="6"/>
      <c r="W1374" s="6"/>
      <c r="X1374" s="6"/>
      <c r="Y1374" s="4"/>
      <c r="Z1374" s="6"/>
      <c r="AA1374" s="4"/>
      <c r="AB1374" s="4"/>
      <c r="AC1374" s="4"/>
      <c r="AD1374" s="6"/>
      <c r="AE1374" s="4"/>
      <c r="AF1374" s="4"/>
      <c r="AG1374" s="4"/>
      <c r="AH1374" s="4">
        <v>1032353664000</v>
      </c>
    </row>
    <row r="1375" spans="1:34" x14ac:dyDescent="0.25">
      <c r="A1375" s="4">
        <v>1374</v>
      </c>
      <c r="B1375" s="5" t="s">
        <v>2877</v>
      </c>
      <c r="C1375" s="5" t="s">
        <v>2878</v>
      </c>
      <c r="D1375" s="5" t="s">
        <v>1586</v>
      </c>
      <c r="E1375" s="5" t="s">
        <v>40</v>
      </c>
      <c r="F1375" s="5" t="s">
        <v>52</v>
      </c>
      <c r="G1375" s="5" t="s">
        <v>53</v>
      </c>
      <c r="H1375" s="4"/>
      <c r="I1375" s="4"/>
      <c r="J1375" s="6"/>
      <c r="K1375" s="6"/>
      <c r="L1375" s="6"/>
      <c r="M1375" s="4"/>
      <c r="N1375" s="4"/>
      <c r="O1375" s="4"/>
      <c r="P1375" s="6"/>
      <c r="Q1375" s="6"/>
      <c r="R1375" s="6"/>
      <c r="S1375" s="6"/>
      <c r="T1375" s="4"/>
      <c r="U1375" s="6"/>
      <c r="V1375" s="6"/>
      <c r="W1375" s="6"/>
      <c r="X1375" s="6"/>
      <c r="Y1375" s="4"/>
      <c r="Z1375" s="6"/>
      <c r="AA1375" s="4"/>
      <c r="AB1375" s="4"/>
      <c r="AC1375" s="4"/>
      <c r="AD1375" s="6"/>
      <c r="AE1375" s="4"/>
      <c r="AF1375" s="4"/>
      <c r="AG1375" s="4"/>
      <c r="AH1375" s="4">
        <v>138567120000</v>
      </c>
    </row>
    <row r="1376" spans="1:34" x14ac:dyDescent="0.25">
      <c r="A1376" s="4">
        <v>1375</v>
      </c>
      <c r="B1376" s="5" t="s">
        <v>2879</v>
      </c>
      <c r="C1376" s="5" t="s">
        <v>2880</v>
      </c>
      <c r="D1376" s="5" t="s">
        <v>1586</v>
      </c>
      <c r="E1376" s="5" t="s">
        <v>24</v>
      </c>
      <c r="F1376" s="5" t="s">
        <v>56</v>
      </c>
      <c r="G1376" s="5" t="s">
        <v>57</v>
      </c>
      <c r="H1376" s="4"/>
      <c r="I1376" s="4"/>
      <c r="J1376" s="6"/>
      <c r="K1376" s="6"/>
      <c r="L1376" s="6"/>
      <c r="M1376" s="4"/>
      <c r="N1376" s="4"/>
      <c r="O1376" s="4"/>
      <c r="P1376" s="6"/>
      <c r="Q1376" s="6"/>
      <c r="R1376" s="6"/>
      <c r="S1376" s="6"/>
      <c r="T1376" s="4"/>
      <c r="U1376" s="6"/>
      <c r="V1376" s="6"/>
      <c r="W1376" s="6"/>
      <c r="X1376" s="6"/>
      <c r="Y1376" s="4"/>
      <c r="Z1376" s="6"/>
      <c r="AA1376" s="4"/>
      <c r="AB1376" s="4"/>
      <c r="AC1376" s="4"/>
      <c r="AD1376" s="6"/>
      <c r="AE1376" s="4"/>
      <c r="AF1376" s="4"/>
      <c r="AG1376" s="4"/>
      <c r="AH1376" s="4">
        <v>134640000000</v>
      </c>
    </row>
    <row r="1377" spans="1:34" x14ac:dyDescent="0.25">
      <c r="A1377" s="4">
        <v>1376</v>
      </c>
      <c r="B1377" s="5" t="s">
        <v>2881</v>
      </c>
      <c r="C1377" s="5" t="s">
        <v>2882</v>
      </c>
      <c r="D1377" s="5" t="s">
        <v>1586</v>
      </c>
      <c r="E1377" s="5" t="s">
        <v>40</v>
      </c>
      <c r="F1377" s="5" t="s">
        <v>52</v>
      </c>
      <c r="G1377" s="5" t="s">
        <v>110</v>
      </c>
      <c r="H1377" s="4"/>
      <c r="I1377" s="4"/>
      <c r="J1377" s="6"/>
      <c r="K1377" s="6"/>
      <c r="L1377" s="6"/>
      <c r="M1377" s="4"/>
      <c r="N1377" s="4"/>
      <c r="O1377" s="4"/>
      <c r="P1377" s="6"/>
      <c r="Q1377" s="6"/>
      <c r="R1377" s="6"/>
      <c r="S1377" s="6"/>
      <c r="T1377" s="4"/>
      <c r="U1377" s="6"/>
      <c r="V1377" s="6"/>
      <c r="W1377" s="6"/>
      <c r="X1377" s="6"/>
      <c r="Y1377" s="4"/>
      <c r="Z1377" s="6"/>
      <c r="AA1377" s="4"/>
      <c r="AB1377" s="4"/>
      <c r="AC1377" s="4"/>
      <c r="AD1377" s="6"/>
      <c r="AE1377" s="4"/>
      <c r="AF1377" s="4"/>
      <c r="AG1377" s="4"/>
      <c r="AH1377" s="4">
        <v>9170557084800</v>
      </c>
    </row>
    <row r="1378" spans="1:34" x14ac:dyDescent="0.25">
      <c r="A1378" s="4">
        <v>1377</v>
      </c>
      <c r="B1378" s="5" t="s">
        <v>2883</v>
      </c>
      <c r="C1378" s="5" t="s">
        <v>2884</v>
      </c>
      <c r="D1378" s="5" t="s">
        <v>1586</v>
      </c>
      <c r="E1378" s="5" t="s">
        <v>40</v>
      </c>
      <c r="F1378" s="5" t="s">
        <v>52</v>
      </c>
      <c r="G1378" s="5" t="s">
        <v>110</v>
      </c>
      <c r="H1378" s="4"/>
      <c r="I1378" s="4"/>
      <c r="J1378" s="6"/>
      <c r="K1378" s="6"/>
      <c r="L1378" s="6"/>
      <c r="M1378" s="4"/>
      <c r="N1378" s="4"/>
      <c r="O1378" s="4"/>
      <c r="P1378" s="6"/>
      <c r="Q1378" s="6"/>
      <c r="R1378" s="6"/>
      <c r="S1378" s="6"/>
      <c r="T1378" s="4"/>
      <c r="U1378" s="6"/>
      <c r="V1378" s="6"/>
      <c r="W1378" s="6"/>
      <c r="X1378" s="6"/>
      <c r="Y1378" s="4"/>
      <c r="Z1378" s="6"/>
      <c r="AA1378" s="4"/>
      <c r="AB1378" s="4"/>
      <c r="AC1378" s="4"/>
      <c r="AD1378" s="6"/>
      <c r="AE1378" s="4"/>
      <c r="AF1378" s="4"/>
      <c r="AG1378" s="4"/>
      <c r="AH1378" s="4">
        <v>32500000000</v>
      </c>
    </row>
    <row r="1379" spans="1:34" x14ac:dyDescent="0.25">
      <c r="A1379" s="4">
        <v>1378</v>
      </c>
      <c r="B1379" s="5" t="s">
        <v>2885</v>
      </c>
      <c r="C1379" s="5" t="s">
        <v>2886</v>
      </c>
      <c r="D1379" s="5" t="s">
        <v>1586</v>
      </c>
      <c r="E1379" s="5" t="s">
        <v>29</v>
      </c>
      <c r="F1379" s="5" t="s">
        <v>30</v>
      </c>
      <c r="G1379" s="5" t="s">
        <v>574</v>
      </c>
      <c r="H1379" s="4"/>
      <c r="I1379" s="4"/>
      <c r="J1379" s="6"/>
      <c r="K1379" s="6"/>
      <c r="L1379" s="6"/>
      <c r="M1379" s="4"/>
      <c r="N1379" s="4"/>
      <c r="O1379" s="4"/>
      <c r="P1379" s="6"/>
      <c r="Q1379" s="6"/>
      <c r="R1379" s="6"/>
      <c r="S1379" s="6"/>
      <c r="T1379" s="4"/>
      <c r="U1379" s="6"/>
      <c r="V1379" s="6"/>
      <c r="W1379" s="6"/>
      <c r="X1379" s="6"/>
      <c r="Y1379" s="4"/>
      <c r="Z1379" s="6"/>
      <c r="AA1379" s="4"/>
      <c r="AB1379" s="4"/>
      <c r="AC1379" s="4"/>
      <c r="AD1379" s="6"/>
      <c r="AE1379" s="4"/>
      <c r="AF1379" s="4"/>
      <c r="AG1379" s="4"/>
      <c r="AH1379" s="4">
        <v>693000000000</v>
      </c>
    </row>
    <row r="1380" spans="1:34" x14ac:dyDescent="0.25">
      <c r="A1380" s="4">
        <v>1379</v>
      </c>
      <c r="B1380" s="5" t="s">
        <v>2887</v>
      </c>
      <c r="C1380" s="5" t="s">
        <v>2888</v>
      </c>
      <c r="D1380" s="5" t="s">
        <v>1586</v>
      </c>
      <c r="E1380" s="5" t="s">
        <v>29</v>
      </c>
      <c r="F1380" s="5" t="s">
        <v>30</v>
      </c>
      <c r="G1380" s="5" t="s">
        <v>574</v>
      </c>
      <c r="H1380" s="4"/>
      <c r="I1380" s="4"/>
      <c r="J1380" s="6"/>
      <c r="K1380" s="6"/>
      <c r="L1380" s="6"/>
      <c r="M1380" s="4"/>
      <c r="N1380" s="4"/>
      <c r="O1380" s="4"/>
      <c r="P1380" s="6"/>
      <c r="Q1380" s="6"/>
      <c r="R1380" s="6"/>
      <c r="S1380" s="6"/>
      <c r="T1380" s="4"/>
      <c r="U1380" s="6"/>
      <c r="V1380" s="6"/>
      <c r="W1380" s="6"/>
      <c r="X1380" s="6"/>
      <c r="Y1380" s="4"/>
      <c r="Z1380" s="6"/>
      <c r="AA1380" s="4"/>
      <c r="AB1380" s="4"/>
      <c r="AC1380" s="4"/>
      <c r="AD1380" s="6"/>
      <c r="AE1380" s="4"/>
      <c r="AF1380" s="4"/>
      <c r="AG1380" s="4"/>
      <c r="AH1380" s="4">
        <v>35500000000</v>
      </c>
    </row>
    <row r="1381" spans="1:34" x14ac:dyDescent="0.25">
      <c r="A1381" s="4">
        <v>1380</v>
      </c>
      <c r="B1381" s="5" t="s">
        <v>2889</v>
      </c>
      <c r="C1381" s="5" t="s">
        <v>2890</v>
      </c>
      <c r="D1381" s="5" t="s">
        <v>1586</v>
      </c>
      <c r="E1381" s="5" t="s">
        <v>29</v>
      </c>
      <c r="F1381" s="5" t="s">
        <v>30</v>
      </c>
      <c r="G1381" s="5" t="s">
        <v>574</v>
      </c>
      <c r="H1381" s="4"/>
      <c r="I1381" s="4"/>
      <c r="J1381" s="6"/>
      <c r="K1381" s="6"/>
      <c r="L1381" s="6"/>
      <c r="M1381" s="4"/>
      <c r="N1381" s="4"/>
      <c r="O1381" s="4"/>
      <c r="P1381" s="6"/>
      <c r="Q1381" s="6"/>
      <c r="R1381" s="6"/>
      <c r="S1381" s="6"/>
      <c r="T1381" s="4"/>
      <c r="U1381" s="6"/>
      <c r="V1381" s="6"/>
      <c r="W1381" s="6"/>
      <c r="X1381" s="6"/>
      <c r="Y1381" s="4"/>
      <c r="Z1381" s="6"/>
      <c r="AA1381" s="4"/>
      <c r="AB1381" s="4"/>
      <c r="AC1381" s="4"/>
      <c r="AD1381" s="6"/>
      <c r="AE1381" s="4"/>
      <c r="AF1381" s="4"/>
      <c r="AG1381" s="4"/>
      <c r="AH1381" s="4">
        <v>580750000000</v>
      </c>
    </row>
    <row r="1382" spans="1:34" x14ac:dyDescent="0.25">
      <c r="A1382" s="4">
        <v>1381</v>
      </c>
      <c r="B1382" s="5" t="s">
        <v>2891</v>
      </c>
      <c r="C1382" s="5" t="s">
        <v>2892</v>
      </c>
      <c r="D1382" s="5" t="s">
        <v>1586</v>
      </c>
      <c r="E1382" s="5" t="s">
        <v>75</v>
      </c>
      <c r="F1382" s="5" t="s">
        <v>76</v>
      </c>
      <c r="G1382" s="5" t="s">
        <v>76</v>
      </c>
      <c r="H1382" s="4">
        <v>42668062</v>
      </c>
      <c r="I1382" s="4">
        <v>42668062</v>
      </c>
      <c r="J1382" s="6">
        <v>0</v>
      </c>
      <c r="K1382" s="6"/>
      <c r="L1382" s="6"/>
      <c r="M1382" s="4">
        <v>320315417</v>
      </c>
      <c r="N1382" s="4">
        <v>524582101</v>
      </c>
      <c r="O1382" s="4"/>
      <c r="P1382" s="6">
        <v>-0.93799999999999994</v>
      </c>
      <c r="Q1382" s="6"/>
      <c r="R1382" s="6"/>
      <c r="S1382" s="6">
        <v>0.56810000000000005</v>
      </c>
      <c r="T1382" s="4"/>
      <c r="U1382" s="6"/>
      <c r="V1382" s="6"/>
      <c r="W1382" s="6"/>
      <c r="X1382" s="6"/>
      <c r="Y1382" s="4"/>
      <c r="Z1382" s="6">
        <v>0</v>
      </c>
      <c r="AA1382" s="4"/>
      <c r="AB1382" s="4"/>
      <c r="AC1382" s="4"/>
      <c r="AD1382" s="6"/>
      <c r="AE1382" s="4"/>
      <c r="AF1382" s="4"/>
      <c r="AG1382" s="4"/>
      <c r="AH1382" s="4">
        <v>801445569000</v>
      </c>
    </row>
    <row r="1383" spans="1:34" x14ac:dyDescent="0.25">
      <c r="A1383" s="4">
        <v>1382</v>
      </c>
      <c r="B1383" s="5" t="s">
        <v>2893</v>
      </c>
      <c r="C1383" s="5" t="s">
        <v>2894</v>
      </c>
      <c r="D1383" s="5" t="s">
        <v>1586</v>
      </c>
      <c r="E1383" s="5" t="s">
        <v>29</v>
      </c>
      <c r="F1383" s="5" t="s">
        <v>30</v>
      </c>
      <c r="G1383" s="5" t="s">
        <v>31</v>
      </c>
      <c r="H1383" s="4"/>
      <c r="I1383" s="4"/>
      <c r="J1383" s="6"/>
      <c r="K1383" s="6"/>
      <c r="L1383" s="6"/>
      <c r="M1383" s="4"/>
      <c r="N1383" s="4"/>
      <c r="O1383" s="4"/>
      <c r="P1383" s="6"/>
      <c r="Q1383" s="6"/>
      <c r="R1383" s="6"/>
      <c r="S1383" s="6"/>
      <c r="T1383" s="4"/>
      <c r="U1383" s="6"/>
      <c r="V1383" s="6"/>
      <c r="W1383" s="6"/>
      <c r="X1383" s="6"/>
      <c r="Y1383" s="4"/>
      <c r="Z1383" s="6"/>
      <c r="AA1383" s="4"/>
      <c r="AB1383" s="4"/>
      <c r="AC1383" s="4"/>
      <c r="AD1383" s="6"/>
      <c r="AE1383" s="4"/>
      <c r="AF1383" s="4"/>
      <c r="AG1383" s="4"/>
      <c r="AH1383" s="4">
        <v>99902000000</v>
      </c>
    </row>
    <row r="1384" spans="1:34" x14ac:dyDescent="0.25">
      <c r="A1384" s="4">
        <v>1383</v>
      </c>
      <c r="B1384" s="5" t="s">
        <v>2895</v>
      </c>
      <c r="C1384" s="5" t="s">
        <v>2896</v>
      </c>
      <c r="D1384" s="5" t="s">
        <v>1586</v>
      </c>
      <c r="E1384" s="5" t="s">
        <v>40</v>
      </c>
      <c r="F1384" s="5" t="s">
        <v>52</v>
      </c>
      <c r="G1384" s="5" t="s">
        <v>110</v>
      </c>
      <c r="H1384" s="4"/>
      <c r="I1384" s="4"/>
      <c r="J1384" s="6"/>
      <c r="K1384" s="6"/>
      <c r="L1384" s="6"/>
      <c r="M1384" s="4"/>
      <c r="N1384" s="4"/>
      <c r="O1384" s="4"/>
      <c r="P1384" s="6"/>
      <c r="Q1384" s="6"/>
      <c r="R1384" s="6"/>
      <c r="S1384" s="6"/>
      <c r="T1384" s="4"/>
      <c r="U1384" s="6"/>
      <c r="V1384" s="6"/>
      <c r="W1384" s="6"/>
      <c r="X1384" s="6"/>
      <c r="Y1384" s="4"/>
      <c r="Z1384" s="6"/>
      <c r="AA1384" s="4"/>
      <c r="AB1384" s="4"/>
      <c r="AC1384" s="4"/>
      <c r="AD1384" s="6"/>
      <c r="AE1384" s="4"/>
      <c r="AF1384" s="4"/>
      <c r="AG1384" s="4"/>
      <c r="AH1384" s="4">
        <v>9506417950000</v>
      </c>
    </row>
    <row r="1385" spans="1:34" x14ac:dyDescent="0.25">
      <c r="A1385" s="4">
        <v>1384</v>
      </c>
      <c r="B1385" s="5" t="s">
        <v>2897</v>
      </c>
      <c r="C1385" s="5" t="s">
        <v>2898</v>
      </c>
      <c r="D1385" s="5" t="s">
        <v>1586</v>
      </c>
      <c r="E1385" s="5" t="s">
        <v>98</v>
      </c>
      <c r="F1385" s="5" t="s">
        <v>99</v>
      </c>
      <c r="G1385" s="5" t="s">
        <v>144</v>
      </c>
      <c r="H1385" s="4">
        <v>52983510441</v>
      </c>
      <c r="I1385" s="4"/>
      <c r="J1385" s="6">
        <v>2.64E-2</v>
      </c>
      <c r="K1385" s="6">
        <v>4.9700000000000001E-2</v>
      </c>
      <c r="L1385" s="6">
        <v>8.3099999999999993E-2</v>
      </c>
      <c r="M1385" s="4">
        <v>22650812289</v>
      </c>
      <c r="N1385" s="4"/>
      <c r="O1385" s="4"/>
      <c r="P1385" s="6">
        <v>4.8500000000000001E-2</v>
      </c>
      <c r="Q1385" s="6">
        <v>0.38600000000000001</v>
      </c>
      <c r="R1385" s="6">
        <v>0.65129999999999999</v>
      </c>
      <c r="S1385" s="6">
        <v>4.6740000000000004</v>
      </c>
      <c r="T1385" s="4"/>
      <c r="U1385" s="6">
        <v>-0.59150000000000003</v>
      </c>
      <c r="V1385" s="6">
        <v>-0.66800000000000004</v>
      </c>
      <c r="W1385" s="6">
        <v>-0.67490000000000006</v>
      </c>
      <c r="X1385" s="6">
        <v>0</v>
      </c>
      <c r="Y1385" s="4"/>
      <c r="Z1385" s="6">
        <v>2.2031000000000001</v>
      </c>
      <c r="AA1385" s="4"/>
      <c r="AB1385" s="4"/>
      <c r="AC1385" s="4"/>
      <c r="AD1385" s="6">
        <v>0</v>
      </c>
      <c r="AE1385" s="4"/>
      <c r="AF1385" s="4"/>
      <c r="AG1385" s="4"/>
      <c r="AH1385" s="4">
        <v>495508821000</v>
      </c>
    </row>
    <row r="1386" spans="1:34" x14ac:dyDescent="0.25">
      <c r="A1386" s="4">
        <v>1385</v>
      </c>
      <c r="B1386" s="5" t="s">
        <v>2899</v>
      </c>
      <c r="C1386" s="5" t="s">
        <v>2900</v>
      </c>
      <c r="D1386" s="5" t="s">
        <v>1586</v>
      </c>
      <c r="E1386" s="5" t="s">
        <v>29</v>
      </c>
      <c r="F1386" s="5" t="s">
        <v>36</v>
      </c>
      <c r="G1386" s="5" t="s">
        <v>37</v>
      </c>
      <c r="H1386" s="4"/>
      <c r="I1386" s="4"/>
      <c r="J1386" s="6"/>
      <c r="K1386" s="6"/>
      <c r="L1386" s="6"/>
      <c r="M1386" s="4"/>
      <c r="N1386" s="4"/>
      <c r="O1386" s="4"/>
      <c r="P1386" s="6"/>
      <c r="Q1386" s="6"/>
      <c r="R1386" s="6"/>
      <c r="S1386" s="6"/>
      <c r="T1386" s="4"/>
      <c r="U1386" s="6"/>
      <c r="V1386" s="6"/>
      <c r="W1386" s="6"/>
      <c r="X1386" s="6"/>
      <c r="Y1386" s="4"/>
      <c r="Z1386" s="6"/>
      <c r="AA1386" s="4"/>
      <c r="AB1386" s="4"/>
      <c r="AC1386" s="4"/>
      <c r="AD1386" s="6"/>
      <c r="AE1386" s="4"/>
      <c r="AF1386" s="4"/>
      <c r="AG1386" s="4"/>
      <c r="AH1386" s="4">
        <v>199501305000</v>
      </c>
    </row>
    <row r="1387" spans="1:34" x14ac:dyDescent="0.25">
      <c r="A1387" s="4">
        <v>1386</v>
      </c>
      <c r="B1387" s="5" t="s">
        <v>2901</v>
      </c>
      <c r="C1387" s="5" t="s">
        <v>2902</v>
      </c>
      <c r="D1387" s="5" t="s">
        <v>1586</v>
      </c>
      <c r="E1387" s="5" t="s">
        <v>29</v>
      </c>
      <c r="F1387" s="5" t="s">
        <v>30</v>
      </c>
      <c r="G1387" s="5" t="s">
        <v>31</v>
      </c>
      <c r="H1387" s="4"/>
      <c r="I1387" s="4"/>
      <c r="J1387" s="6"/>
      <c r="K1387" s="6"/>
      <c r="L1387" s="6"/>
      <c r="M1387" s="4"/>
      <c r="N1387" s="4"/>
      <c r="O1387" s="4"/>
      <c r="P1387" s="6"/>
      <c r="Q1387" s="6"/>
      <c r="R1387" s="6"/>
      <c r="S1387" s="6"/>
      <c r="T1387" s="4"/>
      <c r="U1387" s="6"/>
      <c r="V1387" s="6"/>
      <c r="W1387" s="6"/>
      <c r="X1387" s="6"/>
      <c r="Y1387" s="4"/>
      <c r="Z1387" s="6"/>
      <c r="AA1387" s="4"/>
      <c r="AB1387" s="4"/>
      <c r="AC1387" s="4"/>
      <c r="AD1387" s="6"/>
      <c r="AE1387" s="4"/>
      <c r="AF1387" s="4"/>
      <c r="AG1387" s="4"/>
      <c r="AH1387" s="4">
        <v>91200000000</v>
      </c>
    </row>
    <row r="1388" spans="1:34" x14ac:dyDescent="0.25">
      <c r="A1388" s="4">
        <v>1387</v>
      </c>
      <c r="B1388" s="5" t="s">
        <v>2903</v>
      </c>
      <c r="C1388" s="5" t="s">
        <v>2904</v>
      </c>
      <c r="D1388" s="5" t="s">
        <v>1586</v>
      </c>
      <c r="E1388" s="5" t="s">
        <v>29</v>
      </c>
      <c r="F1388" s="5" t="s">
        <v>30</v>
      </c>
      <c r="G1388" s="5" t="s">
        <v>31</v>
      </c>
      <c r="H1388" s="4"/>
      <c r="I1388" s="4"/>
      <c r="J1388" s="6"/>
      <c r="K1388" s="6"/>
      <c r="L1388" s="6"/>
      <c r="M1388" s="4"/>
      <c r="N1388" s="4"/>
      <c r="O1388" s="4"/>
      <c r="P1388" s="6"/>
      <c r="Q1388" s="6"/>
      <c r="R1388" s="6"/>
      <c r="S1388" s="6"/>
      <c r="T1388" s="4"/>
      <c r="U1388" s="6"/>
      <c r="V1388" s="6"/>
      <c r="W1388" s="6"/>
      <c r="X1388" s="6"/>
      <c r="Y1388" s="4"/>
      <c r="Z1388" s="6"/>
      <c r="AA1388" s="4"/>
      <c r="AB1388" s="4"/>
      <c r="AC1388" s="4"/>
      <c r="AD1388" s="6"/>
      <c r="AE1388" s="4"/>
      <c r="AF1388" s="4"/>
      <c r="AG1388" s="4"/>
      <c r="AH1388" s="4">
        <v>68000000000</v>
      </c>
    </row>
    <row r="1389" spans="1:34" x14ac:dyDescent="0.25">
      <c r="A1389" s="4">
        <v>1388</v>
      </c>
      <c r="B1389" s="5" t="s">
        <v>2905</v>
      </c>
      <c r="C1389" s="5" t="s">
        <v>2906</v>
      </c>
      <c r="D1389" s="5" t="s">
        <v>1586</v>
      </c>
      <c r="E1389" s="5" t="s">
        <v>24</v>
      </c>
      <c r="F1389" s="5" t="s">
        <v>56</v>
      </c>
      <c r="G1389" s="5" t="s">
        <v>129</v>
      </c>
      <c r="H1389" s="4"/>
      <c r="I1389" s="4"/>
      <c r="J1389" s="6"/>
      <c r="K1389" s="6"/>
      <c r="L1389" s="6"/>
      <c r="M1389" s="4"/>
      <c r="N1389" s="4"/>
      <c r="O1389" s="4"/>
      <c r="P1389" s="6"/>
      <c r="Q1389" s="6"/>
      <c r="R1389" s="6"/>
      <c r="S1389" s="6"/>
      <c r="T1389" s="4"/>
      <c r="U1389" s="6"/>
      <c r="V1389" s="6"/>
      <c r="W1389" s="6"/>
      <c r="X1389" s="6"/>
      <c r="Y1389" s="4"/>
      <c r="Z1389" s="6"/>
      <c r="AA1389" s="4"/>
      <c r="AB1389" s="4"/>
      <c r="AC1389" s="4"/>
      <c r="AD1389" s="6"/>
      <c r="AE1389" s="4"/>
      <c r="AF1389" s="4"/>
      <c r="AG1389" s="4"/>
      <c r="AH1389" s="4">
        <v>30267000000</v>
      </c>
    </row>
    <row r="1390" spans="1:34" x14ac:dyDescent="0.25">
      <c r="A1390" s="4">
        <v>1389</v>
      </c>
      <c r="B1390" s="5" t="s">
        <v>2907</v>
      </c>
      <c r="C1390" s="5" t="s">
        <v>2908</v>
      </c>
      <c r="D1390" s="5" t="s">
        <v>1586</v>
      </c>
      <c r="E1390" s="5" t="s">
        <v>29</v>
      </c>
      <c r="F1390" s="5" t="s">
        <v>30</v>
      </c>
      <c r="G1390" s="5" t="s">
        <v>31</v>
      </c>
      <c r="H1390" s="4"/>
      <c r="I1390" s="4"/>
      <c r="J1390" s="6"/>
      <c r="K1390" s="6"/>
      <c r="L1390" s="6"/>
      <c r="M1390" s="4"/>
      <c r="N1390" s="4"/>
      <c r="O1390" s="4"/>
      <c r="P1390" s="6"/>
      <c r="Q1390" s="6"/>
      <c r="R1390" s="6"/>
      <c r="S1390" s="6"/>
      <c r="T1390" s="4"/>
      <c r="U1390" s="6"/>
      <c r="V1390" s="6"/>
      <c r="W1390" s="6"/>
      <c r="X1390" s="6"/>
      <c r="Y1390" s="4"/>
      <c r="Z1390" s="6"/>
      <c r="AA1390" s="4"/>
      <c r="AB1390" s="4"/>
      <c r="AC1390" s="4"/>
      <c r="AD1390" s="6"/>
      <c r="AE1390" s="4"/>
      <c r="AF1390" s="4"/>
      <c r="AG1390" s="4"/>
      <c r="AH1390" s="4">
        <v>415860062856</v>
      </c>
    </row>
    <row r="1391" spans="1:34" x14ac:dyDescent="0.25">
      <c r="A1391" s="4">
        <v>1390</v>
      </c>
      <c r="B1391" s="5" t="s">
        <v>2909</v>
      </c>
      <c r="C1391" s="5" t="s">
        <v>2910</v>
      </c>
      <c r="D1391" s="5" t="s">
        <v>1586</v>
      </c>
      <c r="E1391" s="5" t="s">
        <v>185</v>
      </c>
      <c r="F1391" s="5" t="s">
        <v>185</v>
      </c>
      <c r="G1391" s="5" t="s">
        <v>332</v>
      </c>
      <c r="H1391" s="4"/>
      <c r="I1391" s="4"/>
      <c r="J1391" s="6"/>
      <c r="K1391" s="6"/>
      <c r="L1391" s="6"/>
      <c r="M1391" s="4"/>
      <c r="N1391" s="4"/>
      <c r="O1391" s="4"/>
      <c r="P1391" s="6"/>
      <c r="Q1391" s="6"/>
      <c r="R1391" s="6"/>
      <c r="S1391" s="6"/>
      <c r="T1391" s="4"/>
      <c r="U1391" s="6"/>
      <c r="V1391" s="6"/>
      <c r="W1391" s="6"/>
      <c r="X1391" s="6"/>
      <c r="Y1391" s="4"/>
      <c r="Z1391" s="6"/>
      <c r="AA1391" s="4"/>
      <c r="AB1391" s="4"/>
      <c r="AC1391" s="4"/>
      <c r="AD1391" s="6"/>
      <c r="AE1391" s="4"/>
      <c r="AF1391" s="4"/>
      <c r="AG1391" s="4"/>
      <c r="AH1391" s="4">
        <v>12750000000</v>
      </c>
    </row>
    <row r="1392" spans="1:34" x14ac:dyDescent="0.25">
      <c r="A1392" s="4">
        <v>1391</v>
      </c>
      <c r="B1392" s="5" t="s">
        <v>2911</v>
      </c>
      <c r="C1392" s="5" t="s">
        <v>2912</v>
      </c>
      <c r="D1392" s="5" t="s">
        <v>1586</v>
      </c>
      <c r="E1392" s="5" t="s">
        <v>40</v>
      </c>
      <c r="F1392" s="5" t="s">
        <v>41</v>
      </c>
      <c r="G1392" s="5" t="s">
        <v>406</v>
      </c>
      <c r="H1392" s="4"/>
      <c r="I1392" s="4"/>
      <c r="J1392" s="6"/>
      <c r="K1392" s="6"/>
      <c r="L1392" s="6"/>
      <c r="M1392" s="4"/>
      <c r="N1392" s="4"/>
      <c r="O1392" s="4"/>
      <c r="P1392" s="6"/>
      <c r="Q1392" s="6"/>
      <c r="R1392" s="6"/>
      <c r="S1392" s="6"/>
      <c r="T1392" s="4"/>
      <c r="U1392" s="6"/>
      <c r="V1392" s="6"/>
      <c r="W1392" s="6"/>
      <c r="X1392" s="6"/>
      <c r="Y1392" s="4"/>
      <c r="Z1392" s="6"/>
      <c r="AA1392" s="4"/>
      <c r="AB1392" s="4"/>
      <c r="AC1392" s="4"/>
      <c r="AD1392" s="6"/>
      <c r="AE1392" s="4"/>
      <c r="AF1392" s="4"/>
      <c r="AG1392" s="4"/>
      <c r="AH1392" s="4">
        <v>34370211000</v>
      </c>
    </row>
    <row r="1393" spans="1:34" x14ac:dyDescent="0.25">
      <c r="A1393" s="4">
        <v>1392</v>
      </c>
      <c r="B1393" s="5" t="s">
        <v>2913</v>
      </c>
      <c r="C1393" s="5" t="s">
        <v>2914</v>
      </c>
      <c r="D1393" s="5" t="s">
        <v>1586</v>
      </c>
      <c r="E1393" s="5" t="s">
        <v>75</v>
      </c>
      <c r="F1393" s="5" t="s">
        <v>76</v>
      </c>
      <c r="G1393" s="5" t="s">
        <v>76</v>
      </c>
      <c r="H1393" s="4"/>
      <c r="I1393" s="4"/>
      <c r="J1393" s="6"/>
      <c r="K1393" s="6"/>
      <c r="L1393" s="6"/>
      <c r="M1393" s="4"/>
      <c r="N1393" s="4"/>
      <c r="O1393" s="4"/>
      <c r="P1393" s="6"/>
      <c r="Q1393" s="6"/>
      <c r="R1393" s="6"/>
      <c r="S1393" s="6"/>
      <c r="T1393" s="4"/>
      <c r="U1393" s="6"/>
      <c r="V1393" s="6"/>
      <c r="W1393" s="6"/>
      <c r="X1393" s="6"/>
      <c r="Y1393" s="4"/>
      <c r="Z1393" s="6"/>
      <c r="AA1393" s="4"/>
      <c r="AB1393" s="4"/>
      <c r="AC1393" s="4"/>
      <c r="AD1393" s="6"/>
      <c r="AE1393" s="4"/>
      <c r="AF1393" s="4"/>
      <c r="AG1393" s="4"/>
      <c r="AH1393" s="4">
        <v>23137500000000</v>
      </c>
    </row>
    <row r="1394" spans="1:34" x14ac:dyDescent="0.25">
      <c r="A1394" s="4">
        <v>1393</v>
      </c>
      <c r="B1394" s="5" t="s">
        <v>2915</v>
      </c>
      <c r="C1394" s="5" t="s">
        <v>2916</v>
      </c>
      <c r="D1394" s="5" t="s">
        <v>1586</v>
      </c>
      <c r="E1394" s="5" t="s">
        <v>29</v>
      </c>
      <c r="F1394" s="5" t="s">
        <v>30</v>
      </c>
      <c r="G1394" s="5" t="s">
        <v>117</v>
      </c>
      <c r="H1394" s="4"/>
      <c r="I1394" s="4"/>
      <c r="J1394" s="6"/>
      <c r="K1394" s="6"/>
      <c r="L1394" s="6"/>
      <c r="M1394" s="4"/>
      <c r="N1394" s="4"/>
      <c r="O1394" s="4"/>
      <c r="P1394" s="6"/>
      <c r="Q1394" s="6"/>
      <c r="R1394" s="6"/>
      <c r="S1394" s="6"/>
      <c r="T1394" s="4"/>
      <c r="U1394" s="6"/>
      <c r="V1394" s="6"/>
      <c r="W1394" s="6"/>
      <c r="X1394" s="6"/>
      <c r="Y1394" s="4"/>
      <c r="Z1394" s="6"/>
      <c r="AA1394" s="4"/>
      <c r="AB1394" s="4"/>
      <c r="AC1394" s="4"/>
      <c r="AD1394" s="6"/>
      <c r="AE1394" s="4"/>
      <c r="AF1394" s="4"/>
      <c r="AG1394" s="4"/>
      <c r="AH1394" s="4"/>
    </row>
    <row r="1395" spans="1:34" x14ac:dyDescent="0.25">
      <c r="A1395" s="4">
        <v>1394</v>
      </c>
      <c r="B1395" s="5" t="s">
        <v>2917</v>
      </c>
      <c r="C1395" s="5" t="s">
        <v>2918</v>
      </c>
      <c r="D1395" s="5" t="s">
        <v>1586</v>
      </c>
      <c r="E1395" s="5" t="s">
        <v>29</v>
      </c>
      <c r="F1395" s="5" t="s">
        <v>30</v>
      </c>
      <c r="G1395" s="5" t="s">
        <v>117</v>
      </c>
      <c r="H1395" s="4"/>
      <c r="I1395" s="4"/>
      <c r="J1395" s="6"/>
      <c r="K1395" s="6"/>
      <c r="L1395" s="6"/>
      <c r="M1395" s="4"/>
      <c r="N1395" s="4"/>
      <c r="O1395" s="4"/>
      <c r="P1395" s="6"/>
      <c r="Q1395" s="6"/>
      <c r="R1395" s="6"/>
      <c r="S1395" s="6"/>
      <c r="T1395" s="4"/>
      <c r="U1395" s="6"/>
      <c r="V1395" s="6"/>
      <c r="W1395" s="6"/>
      <c r="X1395" s="6"/>
      <c r="Y1395" s="4"/>
      <c r="Z1395" s="6"/>
      <c r="AA1395" s="4"/>
      <c r="AB1395" s="4"/>
      <c r="AC1395" s="4"/>
      <c r="AD1395" s="6"/>
      <c r="AE1395" s="4"/>
      <c r="AF1395" s="4"/>
      <c r="AG1395" s="4"/>
      <c r="AH1395" s="4">
        <v>114000000000</v>
      </c>
    </row>
    <row r="1396" spans="1:34" x14ac:dyDescent="0.25">
      <c r="A1396" s="4">
        <v>1395</v>
      </c>
      <c r="B1396" s="5" t="s">
        <v>2919</v>
      </c>
      <c r="C1396" s="5" t="s">
        <v>2920</v>
      </c>
      <c r="D1396" s="5" t="s">
        <v>1586</v>
      </c>
      <c r="E1396" s="5" t="s">
        <v>62</v>
      </c>
      <c r="F1396" s="5" t="s">
        <v>63</v>
      </c>
      <c r="G1396" s="5" t="s">
        <v>656</v>
      </c>
      <c r="H1396" s="4"/>
      <c r="I1396" s="4"/>
      <c r="J1396" s="6"/>
      <c r="K1396" s="6"/>
      <c r="L1396" s="6"/>
      <c r="M1396" s="4"/>
      <c r="N1396" s="4"/>
      <c r="O1396" s="4"/>
      <c r="P1396" s="6"/>
      <c r="Q1396" s="6"/>
      <c r="R1396" s="6"/>
      <c r="S1396" s="6"/>
      <c r="T1396" s="4"/>
      <c r="U1396" s="6"/>
      <c r="V1396" s="6"/>
      <c r="W1396" s="6"/>
      <c r="X1396" s="6"/>
      <c r="Y1396" s="4"/>
      <c r="Z1396" s="6"/>
      <c r="AA1396" s="4"/>
      <c r="AB1396" s="4"/>
      <c r="AC1396" s="4"/>
      <c r="AD1396" s="6"/>
      <c r="AE1396" s="4"/>
      <c r="AF1396" s="4"/>
      <c r="AG1396" s="4"/>
      <c r="AH1396" s="4">
        <v>405210000000</v>
      </c>
    </row>
    <row r="1397" spans="1:34" x14ac:dyDescent="0.25">
      <c r="A1397" s="4">
        <v>1396</v>
      </c>
      <c r="B1397" s="5" t="s">
        <v>2921</v>
      </c>
      <c r="C1397" s="5" t="s">
        <v>2922</v>
      </c>
      <c r="D1397" s="5" t="s">
        <v>1586</v>
      </c>
      <c r="E1397" s="5" t="s">
        <v>40</v>
      </c>
      <c r="F1397" s="5" t="s">
        <v>41</v>
      </c>
      <c r="G1397" s="5" t="s">
        <v>557</v>
      </c>
      <c r="H1397" s="4"/>
      <c r="I1397" s="4"/>
      <c r="J1397" s="6"/>
      <c r="K1397" s="6"/>
      <c r="L1397" s="6"/>
      <c r="M1397" s="4"/>
      <c r="N1397" s="4"/>
      <c r="O1397" s="4"/>
      <c r="P1397" s="6"/>
      <c r="Q1397" s="6"/>
      <c r="R1397" s="6"/>
      <c r="S1397" s="6"/>
      <c r="T1397" s="4"/>
      <c r="U1397" s="6"/>
      <c r="V1397" s="6"/>
      <c r="W1397" s="6"/>
      <c r="X1397" s="6"/>
      <c r="Y1397" s="4"/>
      <c r="Z1397" s="6"/>
      <c r="AA1397" s="4"/>
      <c r="AB1397" s="4"/>
      <c r="AC1397" s="4"/>
      <c r="AD1397" s="6"/>
      <c r="AE1397" s="4"/>
      <c r="AF1397" s="4"/>
      <c r="AG1397" s="4"/>
      <c r="AH1397" s="4">
        <v>368279289400</v>
      </c>
    </row>
    <row r="1398" spans="1:34" x14ac:dyDescent="0.25">
      <c r="A1398" s="4">
        <v>1397</v>
      </c>
      <c r="B1398" s="5" t="s">
        <v>0</v>
      </c>
      <c r="C1398" s="5" t="s">
        <v>2923</v>
      </c>
      <c r="D1398" s="5" t="s">
        <v>1586</v>
      </c>
      <c r="E1398" s="5" t="s">
        <v>62</v>
      </c>
      <c r="F1398" s="5" t="s">
        <v>226</v>
      </c>
      <c r="G1398" s="5" t="s">
        <v>737</v>
      </c>
      <c r="H1398" s="4"/>
      <c r="I1398" s="4"/>
      <c r="J1398" s="6"/>
      <c r="K1398" s="6"/>
      <c r="L1398" s="6"/>
      <c r="M1398" s="4"/>
      <c r="N1398" s="4"/>
      <c r="O1398" s="4"/>
      <c r="P1398" s="6"/>
      <c r="Q1398" s="6"/>
      <c r="R1398" s="6"/>
      <c r="S1398" s="6"/>
      <c r="T1398" s="4"/>
      <c r="U1398" s="6"/>
      <c r="V1398" s="6"/>
      <c r="W1398" s="6"/>
      <c r="X1398" s="6"/>
      <c r="Y1398" s="4"/>
      <c r="Z1398" s="6"/>
      <c r="AA1398" s="4"/>
      <c r="AB1398" s="4"/>
      <c r="AC1398" s="4"/>
      <c r="AD1398" s="6"/>
      <c r="AE1398" s="4"/>
      <c r="AF1398" s="4"/>
      <c r="AG1398" s="4"/>
      <c r="AH1398" s="4">
        <v>10400000000</v>
      </c>
    </row>
    <row r="1399" spans="1:34" x14ac:dyDescent="0.25">
      <c r="A1399" s="4">
        <v>1398</v>
      </c>
      <c r="B1399" s="5" t="s">
        <v>2924</v>
      </c>
      <c r="C1399" s="5" t="s">
        <v>2925</v>
      </c>
      <c r="D1399" s="5" t="s">
        <v>1586</v>
      </c>
      <c r="E1399" s="5" t="s">
        <v>98</v>
      </c>
      <c r="F1399" s="5" t="s">
        <v>99</v>
      </c>
      <c r="G1399" s="5" t="s">
        <v>155</v>
      </c>
      <c r="H1399" s="4"/>
      <c r="I1399" s="4"/>
      <c r="J1399" s="6"/>
      <c r="K1399" s="6"/>
      <c r="L1399" s="6"/>
      <c r="M1399" s="4"/>
      <c r="N1399" s="4"/>
      <c r="O1399" s="4"/>
      <c r="P1399" s="6"/>
      <c r="Q1399" s="6"/>
      <c r="R1399" s="6"/>
      <c r="S1399" s="6"/>
      <c r="T1399" s="4"/>
      <c r="U1399" s="6"/>
      <c r="V1399" s="6"/>
      <c r="W1399" s="6"/>
      <c r="X1399" s="6"/>
      <c r="Y1399" s="4"/>
      <c r="Z1399" s="6"/>
      <c r="AA1399" s="4"/>
      <c r="AB1399" s="4"/>
      <c r="AC1399" s="4"/>
      <c r="AD1399" s="6"/>
      <c r="AE1399" s="4"/>
      <c r="AF1399" s="4"/>
      <c r="AG1399" s="4"/>
      <c r="AH1399" s="4">
        <v>475893990000</v>
      </c>
    </row>
    <row r="1400" spans="1:34" x14ac:dyDescent="0.25">
      <c r="A1400" s="4">
        <v>1399</v>
      </c>
      <c r="B1400" s="5" t="s">
        <v>2926</v>
      </c>
      <c r="C1400" s="5" t="s">
        <v>2927</v>
      </c>
      <c r="D1400" s="5" t="s">
        <v>1586</v>
      </c>
      <c r="E1400" s="5" t="s">
        <v>40</v>
      </c>
      <c r="F1400" s="5" t="s">
        <v>41</v>
      </c>
      <c r="G1400" s="5" t="s">
        <v>698</v>
      </c>
      <c r="H1400" s="4"/>
      <c r="I1400" s="4"/>
      <c r="J1400" s="6"/>
      <c r="K1400" s="6"/>
      <c r="L1400" s="6"/>
      <c r="M1400" s="4"/>
      <c r="N1400" s="4"/>
      <c r="O1400" s="4"/>
      <c r="P1400" s="6"/>
      <c r="Q1400" s="6"/>
      <c r="R1400" s="6"/>
      <c r="S1400" s="6"/>
      <c r="T1400" s="4"/>
      <c r="U1400" s="6"/>
      <c r="V1400" s="6"/>
      <c r="W1400" s="6"/>
      <c r="X1400" s="6"/>
      <c r="Y1400" s="4"/>
      <c r="Z1400" s="6"/>
      <c r="AA1400" s="4"/>
      <c r="AB1400" s="4"/>
      <c r="AC1400" s="4"/>
      <c r="AD1400" s="6"/>
      <c r="AE1400" s="4"/>
      <c r="AF1400" s="4"/>
      <c r="AG1400" s="4"/>
      <c r="AH1400" s="4">
        <v>217190000000</v>
      </c>
    </row>
    <row r="1401" spans="1:34" x14ac:dyDescent="0.25">
      <c r="A1401" s="4">
        <v>1400</v>
      </c>
      <c r="B1401" s="5" t="s">
        <v>2928</v>
      </c>
      <c r="C1401" s="5" t="s">
        <v>2929</v>
      </c>
      <c r="D1401" s="5" t="s">
        <v>1586</v>
      </c>
      <c r="E1401" s="5" t="s">
        <v>98</v>
      </c>
      <c r="F1401" s="5" t="s">
        <v>99</v>
      </c>
      <c r="G1401" s="5" t="s">
        <v>144</v>
      </c>
      <c r="H1401" s="4">
        <v>13826620710</v>
      </c>
      <c r="I1401" s="4">
        <v>38471360865</v>
      </c>
      <c r="J1401" s="6">
        <v>-0.26519999999999999</v>
      </c>
      <c r="K1401" s="6">
        <v>-0.12709999999999999</v>
      </c>
      <c r="L1401" s="6">
        <v>-3.2000000000000002E-3</v>
      </c>
      <c r="M1401" s="4">
        <v>5527781266</v>
      </c>
      <c r="N1401" s="4">
        <v>19713036633</v>
      </c>
      <c r="O1401" s="4"/>
      <c r="P1401" s="6">
        <v>-0.46960000000000002</v>
      </c>
      <c r="Q1401" s="6">
        <v>-0.29189999999999999</v>
      </c>
      <c r="R1401" s="6">
        <v>-9.4700000000000006E-2</v>
      </c>
      <c r="S1401" s="6">
        <v>-0.61029999999999995</v>
      </c>
      <c r="T1401" s="4"/>
      <c r="U1401" s="6">
        <v>0</v>
      </c>
      <c r="V1401" s="6">
        <v>0</v>
      </c>
      <c r="W1401" s="6">
        <v>0</v>
      </c>
      <c r="X1401" s="6">
        <v>0</v>
      </c>
      <c r="Y1401" s="4"/>
      <c r="Z1401" s="6">
        <v>-0.439</v>
      </c>
      <c r="AA1401" s="4"/>
      <c r="AB1401" s="4"/>
      <c r="AC1401" s="4"/>
      <c r="AD1401" s="6">
        <v>0</v>
      </c>
      <c r="AE1401" s="4"/>
      <c r="AF1401" s="4"/>
      <c r="AG1401" s="4"/>
      <c r="AH1401" s="4">
        <v>88923972000</v>
      </c>
    </row>
    <row r="1402" spans="1:34" x14ac:dyDescent="0.25">
      <c r="A1402" s="4">
        <v>1401</v>
      </c>
      <c r="B1402" s="5" t="s">
        <v>2930</v>
      </c>
      <c r="C1402" s="5" t="s">
        <v>2931</v>
      </c>
      <c r="D1402" s="5" t="s">
        <v>1586</v>
      </c>
      <c r="E1402" s="5" t="s">
        <v>40</v>
      </c>
      <c r="F1402" s="5" t="s">
        <v>41</v>
      </c>
      <c r="G1402" s="5" t="s">
        <v>406</v>
      </c>
      <c r="H1402" s="4"/>
      <c r="I1402" s="4"/>
      <c r="J1402" s="6"/>
      <c r="K1402" s="6"/>
      <c r="L1402" s="6"/>
      <c r="M1402" s="4"/>
      <c r="N1402" s="4"/>
      <c r="O1402" s="4"/>
      <c r="P1402" s="6"/>
      <c r="Q1402" s="6"/>
      <c r="R1402" s="6"/>
      <c r="S1402" s="6"/>
      <c r="T1402" s="4"/>
      <c r="U1402" s="6"/>
      <c r="V1402" s="6"/>
      <c r="W1402" s="6"/>
      <c r="X1402" s="6"/>
      <c r="Y1402" s="4"/>
      <c r="Z1402" s="6"/>
      <c r="AA1402" s="4"/>
      <c r="AB1402" s="4"/>
      <c r="AC1402" s="4"/>
      <c r="AD1402" s="6"/>
      <c r="AE1402" s="4"/>
      <c r="AF1402" s="4"/>
      <c r="AG1402" s="4"/>
      <c r="AH1402" s="4">
        <v>1617110000000</v>
      </c>
    </row>
    <row r="1403" spans="1:34" x14ac:dyDescent="0.25">
      <c r="A1403" s="4">
        <v>1402</v>
      </c>
      <c r="B1403" s="5" t="s">
        <v>2932</v>
      </c>
      <c r="C1403" s="5" t="s">
        <v>2933</v>
      </c>
      <c r="D1403" s="5" t="s">
        <v>1586</v>
      </c>
      <c r="E1403" s="5" t="s">
        <v>40</v>
      </c>
      <c r="F1403" s="5" t="s">
        <v>41</v>
      </c>
      <c r="G1403" s="5" t="s">
        <v>1716</v>
      </c>
      <c r="H1403" s="4">
        <v>82603684860</v>
      </c>
      <c r="I1403" s="4">
        <v>162268882291</v>
      </c>
      <c r="J1403" s="6">
        <v>-0.48370000000000002</v>
      </c>
      <c r="K1403" s="6">
        <v>-0.36899999999999999</v>
      </c>
      <c r="L1403" s="6">
        <v>-0.2994</v>
      </c>
      <c r="M1403" s="4">
        <v>3412493576</v>
      </c>
      <c r="N1403" s="4">
        <v>5996782950</v>
      </c>
      <c r="O1403" s="4"/>
      <c r="P1403" s="6">
        <v>-0.25509999999999999</v>
      </c>
      <c r="Q1403" s="6">
        <v>-0.50090000000000001</v>
      </c>
      <c r="R1403" s="6">
        <v>-0.54020000000000001</v>
      </c>
      <c r="S1403" s="6">
        <v>0.32050000000000001</v>
      </c>
      <c r="T1403" s="4"/>
      <c r="U1403" s="6">
        <v>-0.51970000000000005</v>
      </c>
      <c r="V1403" s="6">
        <v>-0.40810000000000002</v>
      </c>
      <c r="W1403" s="6">
        <v>-0.38219999999999998</v>
      </c>
      <c r="X1403" s="6">
        <v>0</v>
      </c>
      <c r="Y1403" s="4"/>
      <c r="Z1403" s="6">
        <v>3.6900000000000002E-2</v>
      </c>
      <c r="AA1403" s="4"/>
      <c r="AB1403" s="4"/>
      <c r="AC1403" s="4"/>
      <c r="AD1403" s="6">
        <v>0</v>
      </c>
      <c r="AE1403" s="4"/>
      <c r="AF1403" s="4"/>
      <c r="AG1403" s="4"/>
      <c r="AH1403" s="4">
        <v>217500000000</v>
      </c>
    </row>
    <row r="1404" spans="1:34" x14ac:dyDescent="0.25">
      <c r="A1404" s="4">
        <v>1403</v>
      </c>
      <c r="B1404" s="5" t="s">
        <v>2934</v>
      </c>
      <c r="C1404" s="5" t="s">
        <v>2935</v>
      </c>
      <c r="D1404" s="5" t="s">
        <v>1586</v>
      </c>
      <c r="E1404" s="5" t="s">
        <v>75</v>
      </c>
      <c r="F1404" s="5" t="s">
        <v>76</v>
      </c>
      <c r="G1404" s="5" t="s">
        <v>76</v>
      </c>
      <c r="H1404" s="4">
        <v>132408110577</v>
      </c>
      <c r="I1404" s="4">
        <v>265473026684</v>
      </c>
      <c r="J1404" s="6">
        <v>-6.2199999999999998E-2</v>
      </c>
      <c r="K1404" s="6"/>
      <c r="L1404" s="6"/>
      <c r="M1404" s="4">
        <v>43602436609</v>
      </c>
      <c r="N1404" s="4">
        <v>111547056289</v>
      </c>
      <c r="O1404" s="4"/>
      <c r="P1404" s="6">
        <v>-0.26</v>
      </c>
      <c r="Q1404" s="6"/>
      <c r="R1404" s="6"/>
      <c r="S1404" s="6">
        <v>-0.35830000000000001</v>
      </c>
      <c r="T1404" s="4"/>
      <c r="U1404" s="6"/>
      <c r="V1404" s="6"/>
      <c r="W1404" s="6"/>
      <c r="X1404" s="6"/>
      <c r="Y1404" s="4"/>
      <c r="Z1404" s="6">
        <v>-4.8999999999999998E-3</v>
      </c>
      <c r="AA1404" s="4"/>
      <c r="AB1404" s="4"/>
      <c r="AC1404" s="4"/>
      <c r="AD1404" s="6"/>
      <c r="AE1404" s="4"/>
      <c r="AF1404" s="4"/>
      <c r="AG1404" s="4"/>
      <c r="AH1404" s="4">
        <v>1872021800000</v>
      </c>
    </row>
    <row r="1405" spans="1:34" x14ac:dyDescent="0.25">
      <c r="A1405" s="4">
        <v>1404</v>
      </c>
      <c r="B1405" s="5" t="s">
        <v>2936</v>
      </c>
      <c r="C1405" s="5" t="s">
        <v>2937</v>
      </c>
      <c r="D1405" s="5" t="s">
        <v>1586</v>
      </c>
      <c r="E1405" s="5" t="s">
        <v>40</v>
      </c>
      <c r="F1405" s="5" t="s">
        <v>52</v>
      </c>
      <c r="G1405" s="5" t="s">
        <v>110</v>
      </c>
      <c r="H1405" s="4"/>
      <c r="I1405" s="4"/>
      <c r="J1405" s="6"/>
      <c r="K1405" s="6"/>
      <c r="L1405" s="6"/>
      <c r="M1405" s="4"/>
      <c r="N1405" s="4"/>
      <c r="O1405" s="4"/>
      <c r="P1405" s="6"/>
      <c r="Q1405" s="6"/>
      <c r="R1405" s="6"/>
      <c r="S1405" s="6"/>
      <c r="T1405" s="4"/>
      <c r="U1405" s="6"/>
      <c r="V1405" s="6"/>
      <c r="W1405" s="6"/>
      <c r="X1405" s="6"/>
      <c r="Y1405" s="4"/>
      <c r="Z1405" s="6"/>
      <c r="AA1405" s="4"/>
      <c r="AB1405" s="4"/>
      <c r="AC1405" s="4"/>
      <c r="AD1405" s="6"/>
      <c r="AE1405" s="4"/>
      <c r="AF1405" s="4"/>
      <c r="AG1405" s="4"/>
      <c r="AH1405" s="4">
        <v>23100000000</v>
      </c>
    </row>
    <row r="1406" spans="1:34" x14ac:dyDescent="0.25">
      <c r="A1406" s="4">
        <v>1405</v>
      </c>
      <c r="B1406" s="5" t="s">
        <v>2938</v>
      </c>
      <c r="C1406" s="5" t="s">
        <v>2939</v>
      </c>
      <c r="D1406" s="5" t="s">
        <v>1586</v>
      </c>
      <c r="E1406" s="5" t="s">
        <v>40</v>
      </c>
      <c r="F1406" s="5" t="s">
        <v>41</v>
      </c>
      <c r="G1406" s="5" t="s">
        <v>557</v>
      </c>
      <c r="H1406" s="4"/>
      <c r="I1406" s="4"/>
      <c r="J1406" s="6"/>
      <c r="K1406" s="6"/>
      <c r="L1406" s="6"/>
      <c r="M1406" s="4"/>
      <c r="N1406" s="4"/>
      <c r="O1406" s="4"/>
      <c r="P1406" s="6"/>
      <c r="Q1406" s="6"/>
      <c r="R1406" s="6"/>
      <c r="S1406" s="6"/>
      <c r="T1406" s="4"/>
      <c r="U1406" s="6"/>
      <c r="V1406" s="6"/>
      <c r="W1406" s="6"/>
      <c r="X1406" s="6"/>
      <c r="Y1406" s="4"/>
      <c r="Z1406" s="6"/>
      <c r="AA1406" s="4"/>
      <c r="AB1406" s="4"/>
      <c r="AC1406" s="4"/>
      <c r="AD1406" s="6"/>
      <c r="AE1406" s="4"/>
      <c r="AF1406" s="4"/>
      <c r="AG1406" s="4"/>
      <c r="AH1406" s="4">
        <v>214500000000</v>
      </c>
    </row>
    <row r="1407" spans="1:34" x14ac:dyDescent="0.25">
      <c r="A1407" s="4">
        <v>1406</v>
      </c>
      <c r="B1407" s="5" t="s">
        <v>2940</v>
      </c>
      <c r="C1407" s="5" t="s">
        <v>2941</v>
      </c>
      <c r="D1407" s="5" t="s">
        <v>1586</v>
      </c>
      <c r="E1407" s="5" t="s">
        <v>24</v>
      </c>
      <c r="F1407" s="5" t="s">
        <v>56</v>
      </c>
      <c r="G1407" s="5" t="s">
        <v>253</v>
      </c>
      <c r="H1407" s="4"/>
      <c r="I1407" s="4"/>
      <c r="J1407" s="6"/>
      <c r="K1407" s="6"/>
      <c r="L1407" s="6"/>
      <c r="M1407" s="4"/>
      <c r="N1407" s="4"/>
      <c r="O1407" s="4"/>
      <c r="P1407" s="6"/>
      <c r="Q1407" s="6"/>
      <c r="R1407" s="6"/>
      <c r="S1407" s="6"/>
      <c r="T1407" s="4"/>
      <c r="U1407" s="6"/>
      <c r="V1407" s="6"/>
      <c r="W1407" s="6"/>
      <c r="X1407" s="6">
        <v>0</v>
      </c>
      <c r="Y1407" s="4"/>
      <c r="Z1407" s="6"/>
      <c r="AA1407" s="4"/>
      <c r="AB1407" s="4"/>
      <c r="AC1407" s="4"/>
      <c r="AD1407" s="6"/>
      <c r="AE1407" s="4"/>
      <c r="AF1407" s="4"/>
      <c r="AG1407" s="4"/>
      <c r="AH1407" s="4">
        <v>6642000000000</v>
      </c>
    </row>
    <row r="1408" spans="1:34" x14ac:dyDescent="0.25">
      <c r="A1408" s="4">
        <v>1407</v>
      </c>
      <c r="B1408" s="5" t="s">
        <v>2942</v>
      </c>
      <c r="C1408" s="5" t="s">
        <v>2943</v>
      </c>
      <c r="D1408" s="5" t="s">
        <v>1586</v>
      </c>
      <c r="E1408" s="5" t="s">
        <v>29</v>
      </c>
      <c r="F1408" s="5" t="s">
        <v>30</v>
      </c>
      <c r="G1408" s="5" t="s">
        <v>574</v>
      </c>
      <c r="H1408" s="4"/>
      <c r="I1408" s="4"/>
      <c r="J1408" s="6"/>
      <c r="K1408" s="6"/>
      <c r="L1408" s="6"/>
      <c r="M1408" s="4"/>
      <c r="N1408" s="4"/>
      <c r="O1408" s="4"/>
      <c r="P1408" s="6"/>
      <c r="Q1408" s="6"/>
      <c r="R1408" s="6"/>
      <c r="S1408" s="6"/>
      <c r="T1408" s="4"/>
      <c r="U1408" s="6"/>
      <c r="V1408" s="6"/>
      <c r="W1408" s="6"/>
      <c r="X1408" s="6"/>
      <c r="Y1408" s="4"/>
      <c r="Z1408" s="6"/>
      <c r="AA1408" s="4"/>
      <c r="AB1408" s="4"/>
      <c r="AC1408" s="4"/>
      <c r="AD1408" s="6"/>
      <c r="AE1408" s="4"/>
      <c r="AF1408" s="4"/>
      <c r="AG1408" s="4"/>
      <c r="AH1408" s="4">
        <v>75359323000</v>
      </c>
    </row>
    <row r="1409" spans="1:34" x14ac:dyDescent="0.25">
      <c r="A1409" s="4">
        <v>1408</v>
      </c>
      <c r="B1409" s="5" t="s">
        <v>2944</v>
      </c>
      <c r="C1409" s="5" t="s">
        <v>2945</v>
      </c>
      <c r="D1409" s="5" t="s">
        <v>1586</v>
      </c>
      <c r="E1409" s="5" t="s">
        <v>29</v>
      </c>
      <c r="F1409" s="5" t="s">
        <v>30</v>
      </c>
      <c r="G1409" s="5" t="s">
        <v>31</v>
      </c>
      <c r="H1409" s="4"/>
      <c r="I1409" s="4"/>
      <c r="J1409" s="6"/>
      <c r="K1409" s="6"/>
      <c r="L1409" s="6"/>
      <c r="M1409" s="4"/>
      <c r="N1409" s="4"/>
      <c r="O1409" s="4"/>
      <c r="P1409" s="6"/>
      <c r="Q1409" s="6"/>
      <c r="R1409" s="6"/>
      <c r="S1409" s="6"/>
      <c r="T1409" s="4"/>
      <c r="U1409" s="6"/>
      <c r="V1409" s="6"/>
      <c r="W1409" s="6"/>
      <c r="X1409" s="6"/>
      <c r="Y1409" s="4"/>
      <c r="Z1409" s="6"/>
      <c r="AA1409" s="4"/>
      <c r="AB1409" s="4"/>
      <c r="AC1409" s="4"/>
      <c r="AD1409" s="6"/>
      <c r="AE1409" s="4"/>
      <c r="AF1409" s="4"/>
      <c r="AG1409" s="4"/>
      <c r="AH1409" s="4">
        <v>203631420200</v>
      </c>
    </row>
    <row r="1410" spans="1:34" x14ac:dyDescent="0.25">
      <c r="A1410" s="4">
        <v>1409</v>
      </c>
      <c r="B1410" s="5" t="s">
        <v>2946</v>
      </c>
      <c r="C1410" s="5" t="s">
        <v>2947</v>
      </c>
      <c r="D1410" s="5" t="s">
        <v>1586</v>
      </c>
      <c r="E1410" s="5" t="s">
        <v>98</v>
      </c>
      <c r="F1410" s="5" t="s">
        <v>99</v>
      </c>
      <c r="G1410" s="5" t="s">
        <v>155</v>
      </c>
      <c r="H1410" s="4"/>
      <c r="I1410" s="4"/>
      <c r="J1410" s="6"/>
      <c r="K1410" s="6"/>
      <c r="L1410" s="6"/>
      <c r="M1410" s="4"/>
      <c r="N1410" s="4"/>
      <c r="O1410" s="4"/>
      <c r="P1410" s="6"/>
      <c r="Q1410" s="6"/>
      <c r="R1410" s="6"/>
      <c r="S1410" s="6"/>
      <c r="T1410" s="4"/>
      <c r="U1410" s="6"/>
      <c r="V1410" s="6"/>
      <c r="W1410" s="6"/>
      <c r="X1410" s="6"/>
      <c r="Y1410" s="4"/>
      <c r="Z1410" s="6"/>
      <c r="AA1410" s="4"/>
      <c r="AB1410" s="4"/>
      <c r="AC1410" s="4"/>
      <c r="AD1410" s="6"/>
      <c r="AE1410" s="4"/>
      <c r="AF1410" s="4"/>
      <c r="AG1410" s="4"/>
      <c r="AH1410" s="4">
        <v>106500000000</v>
      </c>
    </row>
    <row r="1411" spans="1:34" x14ac:dyDescent="0.25">
      <c r="A1411" s="4">
        <v>1410</v>
      </c>
      <c r="B1411" s="5" t="s">
        <v>2948</v>
      </c>
      <c r="C1411" s="5" t="s">
        <v>2949</v>
      </c>
      <c r="D1411" s="5" t="s">
        <v>1586</v>
      </c>
      <c r="E1411" s="5" t="s">
        <v>40</v>
      </c>
      <c r="F1411" s="5" t="s">
        <v>41</v>
      </c>
      <c r="G1411" s="5" t="s">
        <v>389</v>
      </c>
      <c r="H1411" s="4"/>
      <c r="I1411" s="4"/>
      <c r="J1411" s="6"/>
      <c r="K1411" s="6"/>
      <c r="L1411" s="6"/>
      <c r="M1411" s="4"/>
      <c r="N1411" s="4"/>
      <c r="O1411" s="4"/>
      <c r="P1411" s="6"/>
      <c r="Q1411" s="6"/>
      <c r="R1411" s="6"/>
      <c r="S1411" s="6"/>
      <c r="T1411" s="4"/>
      <c r="U1411" s="6"/>
      <c r="V1411" s="6"/>
      <c r="W1411" s="6"/>
      <c r="X1411" s="6"/>
      <c r="Y1411" s="4"/>
      <c r="Z1411" s="6"/>
      <c r="AA1411" s="4"/>
      <c r="AB1411" s="4"/>
      <c r="AC1411" s="4"/>
      <c r="AD1411" s="6"/>
      <c r="AE1411" s="4"/>
      <c r="AF1411" s="4"/>
      <c r="AG1411" s="4"/>
      <c r="AH1411" s="4">
        <v>4376482920000</v>
      </c>
    </row>
    <row r="1412" spans="1:34" x14ac:dyDescent="0.25">
      <c r="A1412" s="4">
        <v>1411</v>
      </c>
      <c r="B1412" s="5" t="s">
        <v>2950</v>
      </c>
      <c r="C1412" s="5" t="s">
        <v>2951</v>
      </c>
      <c r="D1412" s="5" t="s">
        <v>1586</v>
      </c>
      <c r="E1412" s="5" t="s">
        <v>75</v>
      </c>
      <c r="F1412" s="5" t="s">
        <v>76</v>
      </c>
      <c r="G1412" s="5" t="s">
        <v>76</v>
      </c>
      <c r="H1412" s="4"/>
      <c r="I1412" s="4"/>
      <c r="J1412" s="6"/>
      <c r="K1412" s="6"/>
      <c r="L1412" s="6"/>
      <c r="M1412" s="4"/>
      <c r="N1412" s="4"/>
      <c r="O1412" s="4"/>
      <c r="P1412" s="6"/>
      <c r="Q1412" s="6"/>
      <c r="R1412" s="6"/>
      <c r="S1412" s="6"/>
      <c r="T1412" s="4"/>
      <c r="U1412" s="6"/>
      <c r="V1412" s="6"/>
      <c r="W1412" s="6"/>
      <c r="X1412" s="6"/>
      <c r="Y1412" s="4"/>
      <c r="Z1412" s="6"/>
      <c r="AA1412" s="4"/>
      <c r="AB1412" s="4"/>
      <c r="AC1412" s="4"/>
      <c r="AD1412" s="6"/>
      <c r="AE1412" s="4"/>
      <c r="AF1412" s="4"/>
      <c r="AG1412" s="4"/>
      <c r="AH1412" s="4">
        <v>74152000000</v>
      </c>
    </row>
    <row r="1413" spans="1:34" x14ac:dyDescent="0.25">
      <c r="A1413" s="4">
        <v>1412</v>
      </c>
      <c r="B1413" s="5" t="s">
        <v>2952</v>
      </c>
      <c r="C1413" s="5" t="s">
        <v>2953</v>
      </c>
      <c r="D1413" s="5" t="s">
        <v>1586</v>
      </c>
      <c r="E1413" s="5" t="s">
        <v>98</v>
      </c>
      <c r="F1413" s="5" t="s">
        <v>99</v>
      </c>
      <c r="G1413" s="5" t="s">
        <v>155</v>
      </c>
      <c r="H1413" s="4"/>
      <c r="I1413" s="4"/>
      <c r="J1413" s="6"/>
      <c r="K1413" s="6"/>
      <c r="L1413" s="6"/>
      <c r="M1413" s="4"/>
      <c r="N1413" s="4"/>
      <c r="O1413" s="4"/>
      <c r="P1413" s="6"/>
      <c r="Q1413" s="6"/>
      <c r="R1413" s="6"/>
      <c r="S1413" s="6"/>
      <c r="T1413" s="4"/>
      <c r="U1413" s="6"/>
      <c r="V1413" s="6"/>
      <c r="W1413" s="6"/>
      <c r="X1413" s="6"/>
      <c r="Y1413" s="4"/>
      <c r="Z1413" s="6"/>
      <c r="AA1413" s="4"/>
      <c r="AB1413" s="4"/>
      <c r="AC1413" s="4"/>
      <c r="AD1413" s="6"/>
      <c r="AE1413" s="4"/>
      <c r="AF1413" s="4"/>
      <c r="AG1413" s="4"/>
      <c r="AH1413" s="4">
        <v>112130400000</v>
      </c>
    </row>
    <row r="1414" spans="1:34" x14ac:dyDescent="0.25">
      <c r="A1414" s="4">
        <v>1413</v>
      </c>
      <c r="B1414" s="5" t="s">
        <v>2954</v>
      </c>
      <c r="C1414" s="5" t="s">
        <v>2955</v>
      </c>
      <c r="D1414" s="5" t="s">
        <v>1586</v>
      </c>
      <c r="E1414" s="5" t="s">
        <v>40</v>
      </c>
      <c r="F1414" s="5" t="s">
        <v>52</v>
      </c>
      <c r="G1414" s="5" t="s">
        <v>110</v>
      </c>
      <c r="H1414" s="4"/>
      <c r="I1414" s="4"/>
      <c r="J1414" s="6"/>
      <c r="K1414" s="6"/>
      <c r="L1414" s="6"/>
      <c r="M1414" s="4"/>
      <c r="N1414" s="4"/>
      <c r="O1414" s="4"/>
      <c r="P1414" s="6"/>
      <c r="Q1414" s="6"/>
      <c r="R1414" s="6"/>
      <c r="S1414" s="6"/>
      <c r="T1414" s="4"/>
      <c r="U1414" s="6"/>
      <c r="V1414" s="6"/>
      <c r="W1414" s="6"/>
      <c r="X1414" s="6"/>
      <c r="Y1414" s="4"/>
      <c r="Z1414" s="6"/>
      <c r="AA1414" s="4"/>
      <c r="AB1414" s="4"/>
      <c r="AC1414" s="4"/>
      <c r="AD1414" s="6"/>
      <c r="AE1414" s="4"/>
      <c r="AF1414" s="4"/>
      <c r="AG1414" s="4"/>
      <c r="AH1414" s="4"/>
    </row>
    <row r="1415" spans="1:34" x14ac:dyDescent="0.25">
      <c r="A1415" s="4">
        <v>1414</v>
      </c>
      <c r="B1415" s="5" t="s">
        <v>2956</v>
      </c>
      <c r="C1415" s="5" t="s">
        <v>2957</v>
      </c>
      <c r="D1415" s="5" t="s">
        <v>1586</v>
      </c>
      <c r="E1415" s="5" t="s">
        <v>29</v>
      </c>
      <c r="F1415" s="5" t="s">
        <v>30</v>
      </c>
      <c r="G1415" s="5" t="s">
        <v>31</v>
      </c>
      <c r="H1415" s="4"/>
      <c r="I1415" s="4"/>
      <c r="J1415" s="6"/>
      <c r="K1415" s="6"/>
      <c r="L1415" s="6"/>
      <c r="M1415" s="4"/>
      <c r="N1415" s="4"/>
      <c r="O1415" s="4"/>
      <c r="P1415" s="6"/>
      <c r="Q1415" s="6"/>
      <c r="R1415" s="6"/>
      <c r="S1415" s="6"/>
      <c r="T1415" s="4"/>
      <c r="U1415" s="6"/>
      <c r="V1415" s="6"/>
      <c r="W1415" s="6"/>
      <c r="X1415" s="6"/>
      <c r="Y1415" s="4"/>
      <c r="Z1415" s="6"/>
      <c r="AA1415" s="4"/>
      <c r="AB1415" s="4"/>
      <c r="AC1415" s="4"/>
      <c r="AD1415" s="6"/>
      <c r="AE1415" s="4"/>
      <c r="AF1415" s="4"/>
      <c r="AG1415" s="4"/>
      <c r="AH1415" s="4">
        <v>36000000000</v>
      </c>
    </row>
    <row r="1416" spans="1:34" x14ac:dyDescent="0.25">
      <c r="A1416" s="4">
        <v>1415</v>
      </c>
      <c r="B1416" s="5" t="s">
        <v>2958</v>
      </c>
      <c r="C1416" s="5" t="s">
        <v>2959</v>
      </c>
      <c r="D1416" s="5" t="s">
        <v>1586</v>
      </c>
      <c r="E1416" s="5" t="s">
        <v>40</v>
      </c>
      <c r="F1416" s="5" t="s">
        <v>52</v>
      </c>
      <c r="G1416" s="5" t="s">
        <v>110</v>
      </c>
      <c r="H1416" s="4"/>
      <c r="I1416" s="4"/>
      <c r="J1416" s="6"/>
      <c r="K1416" s="6"/>
      <c r="L1416" s="6"/>
      <c r="M1416" s="4"/>
      <c r="N1416" s="4"/>
      <c r="O1416" s="4"/>
      <c r="P1416" s="6"/>
      <c r="Q1416" s="6"/>
      <c r="R1416" s="6"/>
      <c r="S1416" s="6"/>
      <c r="T1416" s="4"/>
      <c r="U1416" s="6"/>
      <c r="V1416" s="6"/>
      <c r="W1416" s="6"/>
      <c r="X1416" s="6"/>
      <c r="Y1416" s="4"/>
      <c r="Z1416" s="6"/>
      <c r="AA1416" s="4"/>
      <c r="AB1416" s="4"/>
      <c r="AC1416" s="4"/>
      <c r="AD1416" s="6"/>
      <c r="AE1416" s="4"/>
      <c r="AF1416" s="4"/>
      <c r="AG1416" s="4"/>
      <c r="AH1416" s="4">
        <v>71550000000</v>
      </c>
    </row>
    <row r="1417" spans="1:34" x14ac:dyDescent="0.25">
      <c r="A1417" s="4">
        <v>1416</v>
      </c>
      <c r="B1417" s="5" t="s">
        <v>2960</v>
      </c>
      <c r="C1417" s="5" t="s">
        <v>2961</v>
      </c>
      <c r="D1417" s="5" t="s">
        <v>1586</v>
      </c>
      <c r="E1417" s="5" t="s">
        <v>24</v>
      </c>
      <c r="F1417" s="5" t="s">
        <v>56</v>
      </c>
      <c r="G1417" s="5" t="s">
        <v>1044</v>
      </c>
      <c r="H1417" s="4"/>
      <c r="I1417" s="4"/>
      <c r="J1417" s="6"/>
      <c r="K1417" s="6"/>
      <c r="L1417" s="6"/>
      <c r="M1417" s="4"/>
      <c r="N1417" s="4"/>
      <c r="O1417" s="4"/>
      <c r="P1417" s="6"/>
      <c r="Q1417" s="6"/>
      <c r="R1417" s="6"/>
      <c r="S1417" s="6"/>
      <c r="T1417" s="4"/>
      <c r="U1417" s="6"/>
      <c r="V1417" s="6"/>
      <c r="W1417" s="6"/>
      <c r="X1417" s="6"/>
      <c r="Y1417" s="4"/>
      <c r="Z1417" s="6"/>
      <c r="AA1417" s="4"/>
      <c r="AB1417" s="4"/>
      <c r="AC1417" s="4"/>
      <c r="AD1417" s="6"/>
      <c r="AE1417" s="4"/>
      <c r="AF1417" s="4"/>
      <c r="AG1417" s="4"/>
      <c r="AH1417" s="4"/>
    </row>
    <row r="1418" spans="1:34" x14ac:dyDescent="0.25">
      <c r="A1418" s="4">
        <v>1417</v>
      </c>
      <c r="B1418" s="5" t="s">
        <v>2962</v>
      </c>
      <c r="C1418" s="5" t="s">
        <v>2963</v>
      </c>
      <c r="D1418" s="5" t="s">
        <v>1586</v>
      </c>
      <c r="E1418" s="5" t="s">
        <v>40</v>
      </c>
      <c r="F1418" s="5" t="s">
        <v>41</v>
      </c>
      <c r="G1418" s="5" t="s">
        <v>93</v>
      </c>
      <c r="H1418" s="4"/>
      <c r="I1418" s="4"/>
      <c r="J1418" s="6"/>
      <c r="K1418" s="6"/>
      <c r="L1418" s="6"/>
      <c r="M1418" s="4"/>
      <c r="N1418" s="4"/>
      <c r="O1418" s="4"/>
      <c r="P1418" s="6"/>
      <c r="Q1418" s="6"/>
      <c r="R1418" s="6"/>
      <c r="S1418" s="6"/>
      <c r="T1418" s="4"/>
      <c r="U1418" s="6"/>
      <c r="V1418" s="6"/>
      <c r="W1418" s="6"/>
      <c r="X1418" s="6"/>
      <c r="Y1418" s="4"/>
      <c r="Z1418" s="6"/>
      <c r="AA1418" s="4"/>
      <c r="AB1418" s="4"/>
      <c r="AC1418" s="4"/>
      <c r="AD1418" s="6"/>
      <c r="AE1418" s="4"/>
      <c r="AF1418" s="4"/>
      <c r="AG1418" s="4"/>
      <c r="AH1418" s="4">
        <v>582818197080</v>
      </c>
    </row>
    <row r="1419" spans="1:34" x14ac:dyDescent="0.25">
      <c r="A1419" s="4">
        <v>1418</v>
      </c>
      <c r="B1419" s="5" t="s">
        <v>2964</v>
      </c>
      <c r="C1419" s="5" t="s">
        <v>2965</v>
      </c>
      <c r="D1419" s="5" t="s">
        <v>1586</v>
      </c>
      <c r="E1419" s="5" t="s">
        <v>98</v>
      </c>
      <c r="F1419" s="5" t="s">
        <v>99</v>
      </c>
      <c r="G1419" s="5" t="s">
        <v>144</v>
      </c>
      <c r="H1419" s="4"/>
      <c r="I1419" s="4"/>
      <c r="J1419" s="6"/>
      <c r="K1419" s="6"/>
      <c r="L1419" s="6"/>
      <c r="M1419" s="4"/>
      <c r="N1419" s="4"/>
      <c r="O1419" s="4"/>
      <c r="P1419" s="6"/>
      <c r="Q1419" s="6"/>
      <c r="R1419" s="6"/>
      <c r="S1419" s="6"/>
      <c r="T1419" s="4"/>
      <c r="U1419" s="6"/>
      <c r="V1419" s="6"/>
      <c r="W1419" s="6"/>
      <c r="X1419" s="6"/>
      <c r="Y1419" s="4"/>
      <c r="Z1419" s="6"/>
      <c r="AA1419" s="4"/>
      <c r="AB1419" s="4"/>
      <c r="AC1419" s="4"/>
      <c r="AD1419" s="6"/>
      <c r="AE1419" s="4"/>
      <c r="AF1419" s="4"/>
      <c r="AG1419" s="4"/>
      <c r="AH1419" s="4">
        <v>320970000000</v>
      </c>
    </row>
    <row r="1420" spans="1:34" x14ac:dyDescent="0.25">
      <c r="A1420" s="4">
        <v>1419</v>
      </c>
      <c r="B1420" s="5" t="s">
        <v>2966</v>
      </c>
      <c r="C1420" s="5" t="s">
        <v>2967</v>
      </c>
      <c r="D1420" s="5" t="s">
        <v>1586</v>
      </c>
      <c r="E1420" s="5" t="s">
        <v>40</v>
      </c>
      <c r="F1420" s="5" t="s">
        <v>52</v>
      </c>
      <c r="G1420" s="5" t="s">
        <v>53</v>
      </c>
      <c r="H1420" s="4"/>
      <c r="I1420" s="4"/>
      <c r="J1420" s="6"/>
      <c r="K1420" s="6"/>
      <c r="L1420" s="6"/>
      <c r="M1420" s="4"/>
      <c r="N1420" s="4"/>
      <c r="O1420" s="4"/>
      <c r="P1420" s="6"/>
      <c r="Q1420" s="6"/>
      <c r="R1420" s="6"/>
      <c r="S1420" s="6"/>
      <c r="T1420" s="4"/>
      <c r="U1420" s="6"/>
      <c r="V1420" s="6"/>
      <c r="W1420" s="6"/>
      <c r="X1420" s="6"/>
      <c r="Y1420" s="4"/>
      <c r="Z1420" s="6"/>
      <c r="AA1420" s="4"/>
      <c r="AB1420" s="4"/>
      <c r="AC1420" s="4"/>
      <c r="AD1420" s="6"/>
      <c r="AE1420" s="4"/>
      <c r="AF1420" s="4"/>
      <c r="AG1420" s="4"/>
      <c r="AH1420" s="4">
        <v>280000000000</v>
      </c>
    </row>
    <row r="1421" spans="1:34" x14ac:dyDescent="0.25">
      <c r="A1421" s="4">
        <v>1420</v>
      </c>
      <c r="B1421" s="5" t="s">
        <v>2968</v>
      </c>
      <c r="C1421" s="5" t="s">
        <v>2969</v>
      </c>
      <c r="D1421" s="5" t="s">
        <v>1586</v>
      </c>
      <c r="E1421" s="5" t="s">
        <v>24</v>
      </c>
      <c r="F1421" s="5" t="s">
        <v>56</v>
      </c>
      <c r="G1421" s="5" t="s">
        <v>291</v>
      </c>
      <c r="H1421" s="4">
        <v>514541774118</v>
      </c>
      <c r="I1421" s="4">
        <v>1350101965094</v>
      </c>
      <c r="J1421" s="6">
        <v>-6.1199999999999997E-2</v>
      </c>
      <c r="K1421" s="6">
        <v>0.42220000000000002</v>
      </c>
      <c r="L1421" s="6">
        <v>0.48270000000000002</v>
      </c>
      <c r="M1421" s="4">
        <v>7889684657</v>
      </c>
      <c r="N1421" s="4">
        <v>11986573341</v>
      </c>
      <c r="O1421" s="4"/>
      <c r="P1421" s="6">
        <v>2.0482999999999998</v>
      </c>
      <c r="Q1421" s="6">
        <v>1.5238</v>
      </c>
      <c r="R1421" s="6">
        <v>-0.1913</v>
      </c>
      <c r="S1421" s="6">
        <v>0.92579999999999996</v>
      </c>
      <c r="T1421" s="4"/>
      <c r="U1421" s="6">
        <v>0</v>
      </c>
      <c r="V1421" s="6">
        <v>1.9523999999999999</v>
      </c>
      <c r="W1421" s="6">
        <v>1.9965999999999999</v>
      </c>
      <c r="X1421" s="6">
        <v>0</v>
      </c>
      <c r="Y1421" s="4"/>
      <c r="Z1421" s="6">
        <v>-0.38419999999999999</v>
      </c>
      <c r="AA1421" s="4"/>
      <c r="AB1421" s="4"/>
      <c r="AC1421" s="4"/>
      <c r="AD1421" s="6">
        <v>0</v>
      </c>
      <c r="AE1421" s="4"/>
      <c r="AF1421" s="4"/>
      <c r="AG1421" s="4"/>
      <c r="AH1421" s="4">
        <v>97094071206</v>
      </c>
    </row>
    <row r="1422" spans="1:34" x14ac:dyDescent="0.25">
      <c r="A1422" s="4">
        <v>1421</v>
      </c>
      <c r="B1422" s="5" t="s">
        <v>2970</v>
      </c>
      <c r="C1422" s="5" t="s">
        <v>2971</v>
      </c>
      <c r="D1422" s="5" t="s">
        <v>1586</v>
      </c>
      <c r="E1422" s="5" t="s">
        <v>40</v>
      </c>
      <c r="F1422" s="5" t="s">
        <v>52</v>
      </c>
      <c r="G1422" s="5" t="s">
        <v>110</v>
      </c>
      <c r="H1422" s="4"/>
      <c r="I1422" s="4"/>
      <c r="J1422" s="6"/>
      <c r="K1422" s="6"/>
      <c r="L1422" s="6"/>
      <c r="M1422" s="4"/>
      <c r="N1422" s="4"/>
      <c r="O1422" s="4"/>
      <c r="P1422" s="6"/>
      <c r="Q1422" s="6"/>
      <c r="R1422" s="6"/>
      <c r="S1422" s="6"/>
      <c r="T1422" s="4"/>
      <c r="U1422" s="6"/>
      <c r="V1422" s="6"/>
      <c r="W1422" s="6"/>
      <c r="X1422" s="6"/>
      <c r="Y1422" s="4"/>
      <c r="Z1422" s="6"/>
      <c r="AA1422" s="4"/>
      <c r="AB1422" s="4"/>
      <c r="AC1422" s="4"/>
      <c r="AD1422" s="6"/>
      <c r="AE1422" s="4"/>
      <c r="AF1422" s="4"/>
      <c r="AG1422" s="4"/>
      <c r="AH1422" s="4">
        <v>761250000000</v>
      </c>
    </row>
    <row r="1423" spans="1:34" x14ac:dyDescent="0.25">
      <c r="A1423" s="4">
        <v>1422</v>
      </c>
      <c r="B1423" s="5" t="s">
        <v>2972</v>
      </c>
      <c r="C1423" s="5" t="s">
        <v>2973</v>
      </c>
      <c r="D1423" s="5" t="s">
        <v>1586</v>
      </c>
      <c r="E1423" s="5" t="s">
        <v>40</v>
      </c>
      <c r="F1423" s="5" t="s">
        <v>52</v>
      </c>
      <c r="G1423" s="5" t="s">
        <v>110</v>
      </c>
      <c r="H1423" s="4"/>
      <c r="I1423" s="4"/>
      <c r="J1423" s="6"/>
      <c r="K1423" s="6"/>
      <c r="L1423" s="6"/>
      <c r="M1423" s="4"/>
      <c r="N1423" s="4"/>
      <c r="O1423" s="4"/>
      <c r="P1423" s="6"/>
      <c r="Q1423" s="6"/>
      <c r="R1423" s="6"/>
      <c r="S1423" s="6"/>
      <c r="T1423" s="4"/>
      <c r="U1423" s="6"/>
      <c r="V1423" s="6"/>
      <c r="W1423" s="6"/>
      <c r="X1423" s="6"/>
      <c r="Y1423" s="4"/>
      <c r="Z1423" s="6"/>
      <c r="AA1423" s="4"/>
      <c r="AB1423" s="4"/>
      <c r="AC1423" s="4"/>
      <c r="AD1423" s="6"/>
      <c r="AE1423" s="4"/>
      <c r="AF1423" s="4"/>
      <c r="AG1423" s="4"/>
      <c r="AH1423" s="4">
        <v>62789977000</v>
      </c>
    </row>
    <row r="1424" spans="1:34" x14ac:dyDescent="0.25">
      <c r="A1424" s="4">
        <v>1423</v>
      </c>
      <c r="B1424" s="5" t="s">
        <v>2974</v>
      </c>
      <c r="C1424" s="5" t="s">
        <v>2975</v>
      </c>
      <c r="D1424" s="5" t="s">
        <v>1586</v>
      </c>
      <c r="E1424" s="5" t="s">
        <v>40</v>
      </c>
      <c r="F1424" s="5" t="s">
        <v>41</v>
      </c>
      <c r="G1424" s="5" t="s">
        <v>619</v>
      </c>
      <c r="H1424" s="4"/>
      <c r="I1424" s="4"/>
      <c r="J1424" s="6"/>
      <c r="K1424" s="6"/>
      <c r="L1424" s="6"/>
      <c r="M1424" s="4"/>
      <c r="N1424" s="4"/>
      <c r="O1424" s="4"/>
      <c r="P1424" s="6"/>
      <c r="Q1424" s="6"/>
      <c r="R1424" s="6"/>
      <c r="S1424" s="6"/>
      <c r="T1424" s="4"/>
      <c r="U1424" s="6"/>
      <c r="V1424" s="6"/>
      <c r="W1424" s="6"/>
      <c r="X1424" s="6"/>
      <c r="Y1424" s="4"/>
      <c r="Z1424" s="6"/>
      <c r="AA1424" s="4"/>
      <c r="AB1424" s="4"/>
      <c r="AC1424" s="4"/>
      <c r="AD1424" s="6"/>
      <c r="AE1424" s="4"/>
      <c r="AF1424" s="4"/>
      <c r="AG1424" s="4"/>
      <c r="AH1424" s="4">
        <v>77057160125</v>
      </c>
    </row>
    <row r="1425" spans="1:34" x14ac:dyDescent="0.25">
      <c r="A1425" s="4">
        <v>1424</v>
      </c>
      <c r="B1425" s="5" t="s">
        <v>2976</v>
      </c>
      <c r="C1425" s="5" t="s">
        <v>2977</v>
      </c>
      <c r="D1425" s="5" t="s">
        <v>1586</v>
      </c>
      <c r="E1425" s="5" t="s">
        <v>62</v>
      </c>
      <c r="F1425" s="5" t="s">
        <v>71</v>
      </c>
      <c r="G1425" s="5" t="s">
        <v>72</v>
      </c>
      <c r="H1425" s="4">
        <v>657752527928</v>
      </c>
      <c r="I1425" s="4"/>
      <c r="J1425" s="6">
        <v>0.36759999999999998</v>
      </c>
      <c r="K1425" s="6">
        <v>0.4819</v>
      </c>
      <c r="L1425" s="6">
        <v>0.60450000000000004</v>
      </c>
      <c r="M1425" s="4">
        <v>24402875761</v>
      </c>
      <c r="N1425" s="4"/>
      <c r="O1425" s="4"/>
      <c r="P1425" s="6">
        <v>5.2398999999999996</v>
      </c>
      <c r="Q1425" s="6">
        <v>28.035799999999998</v>
      </c>
      <c r="R1425" s="6">
        <v>32.868200000000002</v>
      </c>
      <c r="S1425" s="6">
        <v>2.1957</v>
      </c>
      <c r="T1425" s="4"/>
      <c r="U1425" s="6">
        <v>-0.2487</v>
      </c>
      <c r="V1425" s="6">
        <v>0.83079999999999998</v>
      </c>
      <c r="W1425" s="6">
        <v>1.2885</v>
      </c>
      <c r="X1425" s="6">
        <v>0</v>
      </c>
      <c r="Y1425" s="4"/>
      <c r="Z1425" s="6">
        <v>0.30380000000000001</v>
      </c>
      <c r="AA1425" s="4"/>
      <c r="AB1425" s="4"/>
      <c r="AC1425" s="4"/>
      <c r="AD1425" s="6">
        <v>0</v>
      </c>
      <c r="AE1425" s="4"/>
      <c r="AF1425" s="4"/>
      <c r="AG1425" s="4"/>
      <c r="AH1425" s="4">
        <v>77173588200</v>
      </c>
    </row>
    <row r="1426" spans="1:34" x14ac:dyDescent="0.25">
      <c r="A1426" s="4">
        <v>1425</v>
      </c>
      <c r="B1426" s="5" t="s">
        <v>2978</v>
      </c>
      <c r="C1426" s="5" t="s">
        <v>2979</v>
      </c>
      <c r="D1426" s="5" t="s">
        <v>1586</v>
      </c>
      <c r="E1426" s="5" t="s">
        <v>29</v>
      </c>
      <c r="F1426" s="5" t="s">
        <v>36</v>
      </c>
      <c r="G1426" s="5" t="s">
        <v>37</v>
      </c>
      <c r="H1426" s="4">
        <v>35185786597</v>
      </c>
      <c r="I1426" s="4">
        <v>46086093946</v>
      </c>
      <c r="J1426" s="6">
        <v>0.10100000000000001</v>
      </c>
      <c r="K1426" s="6">
        <v>8.4599999999999995E-2</v>
      </c>
      <c r="L1426" s="6">
        <v>-7.7799999999999994E-2</v>
      </c>
      <c r="M1426" s="4">
        <v>952313571</v>
      </c>
      <c r="N1426" s="4">
        <v>-2735708855</v>
      </c>
      <c r="O1426" s="4"/>
      <c r="P1426" s="6">
        <v>28.066400000000002</v>
      </c>
      <c r="Q1426" s="6">
        <v>0.21410000000000001</v>
      </c>
      <c r="R1426" s="6">
        <v>-19.595700000000001</v>
      </c>
      <c r="S1426" s="6">
        <v>1.3927</v>
      </c>
      <c r="T1426" s="4"/>
      <c r="U1426" s="6">
        <v>-0.69279999999999997</v>
      </c>
      <c r="V1426" s="6">
        <v>-1.1177999999999999</v>
      </c>
      <c r="W1426" s="6">
        <v>-1.1473</v>
      </c>
      <c r="X1426" s="6">
        <v>0</v>
      </c>
      <c r="Y1426" s="4"/>
      <c r="Z1426" s="6">
        <v>2.2280000000000002</v>
      </c>
      <c r="AA1426" s="4"/>
      <c r="AB1426" s="4"/>
      <c r="AC1426" s="4"/>
      <c r="AD1426" s="6">
        <v>0</v>
      </c>
      <c r="AE1426" s="4"/>
      <c r="AF1426" s="4"/>
      <c r="AG1426" s="4"/>
      <c r="AH1426" s="4">
        <v>111805760000</v>
      </c>
    </row>
    <row r="1427" spans="1:34" x14ac:dyDescent="0.25">
      <c r="A1427" s="4">
        <v>1426</v>
      </c>
      <c r="B1427" s="5" t="s">
        <v>2980</v>
      </c>
      <c r="C1427" s="5" t="s">
        <v>2981</v>
      </c>
      <c r="D1427" s="5" t="s">
        <v>1586</v>
      </c>
      <c r="E1427" s="5" t="s">
        <v>98</v>
      </c>
      <c r="F1427" s="5" t="s">
        <v>99</v>
      </c>
      <c r="G1427" s="5" t="s">
        <v>155</v>
      </c>
      <c r="H1427" s="4">
        <v>133597369381</v>
      </c>
      <c r="I1427" s="4">
        <v>248459306505</v>
      </c>
      <c r="J1427" s="6">
        <v>0.1012</v>
      </c>
      <c r="K1427" s="6">
        <v>9.2100000000000001E-2</v>
      </c>
      <c r="L1427" s="6">
        <v>7.9100000000000004E-2</v>
      </c>
      <c r="M1427" s="4">
        <v>17693860968</v>
      </c>
      <c r="N1427" s="4">
        <v>28699388191</v>
      </c>
      <c r="O1427" s="4"/>
      <c r="P1427" s="6">
        <v>1.66E-2</v>
      </c>
      <c r="Q1427" s="6">
        <v>3.9E-2</v>
      </c>
      <c r="R1427" s="6">
        <v>-8.72E-2</v>
      </c>
      <c r="S1427" s="6">
        <v>0.60770000000000002</v>
      </c>
      <c r="T1427" s="4"/>
      <c r="U1427" s="6">
        <v>-0.47560000000000002</v>
      </c>
      <c r="V1427" s="6">
        <v>-0.48049999999999998</v>
      </c>
      <c r="W1427" s="6">
        <v>0</v>
      </c>
      <c r="X1427" s="6">
        <v>0.30659999999999998</v>
      </c>
      <c r="Y1427" s="4"/>
      <c r="Z1427" s="6">
        <v>0.16309999999999999</v>
      </c>
      <c r="AA1427" s="4"/>
      <c r="AB1427" s="4"/>
      <c r="AC1427" s="4"/>
      <c r="AD1427" s="6">
        <v>0</v>
      </c>
      <c r="AE1427" s="4"/>
      <c r="AF1427" s="4"/>
      <c r="AG1427" s="4"/>
      <c r="AH1427" s="4">
        <v>125382561800</v>
      </c>
    </row>
    <row r="1428" spans="1:34" x14ac:dyDescent="0.25">
      <c r="A1428" s="4">
        <v>1427</v>
      </c>
      <c r="B1428" s="5" t="s">
        <v>2982</v>
      </c>
      <c r="C1428" s="5" t="s">
        <v>2983</v>
      </c>
      <c r="D1428" s="5" t="s">
        <v>1586</v>
      </c>
      <c r="E1428" s="5" t="s">
        <v>40</v>
      </c>
      <c r="F1428" s="5" t="s">
        <v>52</v>
      </c>
      <c r="G1428" s="5" t="s">
        <v>110</v>
      </c>
      <c r="H1428" s="4"/>
      <c r="I1428" s="4"/>
      <c r="J1428" s="6"/>
      <c r="K1428" s="6"/>
      <c r="L1428" s="6"/>
      <c r="M1428" s="4"/>
      <c r="N1428" s="4"/>
      <c r="O1428" s="4"/>
      <c r="P1428" s="6"/>
      <c r="Q1428" s="6"/>
      <c r="R1428" s="6"/>
      <c r="S1428" s="6"/>
      <c r="T1428" s="4"/>
      <c r="U1428" s="6"/>
      <c r="V1428" s="6"/>
      <c r="W1428" s="6"/>
      <c r="X1428" s="6"/>
      <c r="Y1428" s="4"/>
      <c r="Z1428" s="6"/>
      <c r="AA1428" s="4"/>
      <c r="AB1428" s="4"/>
      <c r="AC1428" s="4"/>
      <c r="AD1428" s="6"/>
      <c r="AE1428" s="4"/>
      <c r="AF1428" s="4"/>
      <c r="AG1428" s="4"/>
      <c r="AH1428" s="4"/>
    </row>
    <row r="1429" spans="1:34" x14ac:dyDescent="0.25">
      <c r="A1429" s="4">
        <v>1428</v>
      </c>
      <c r="B1429" s="5" t="s">
        <v>2984</v>
      </c>
      <c r="C1429" s="5" t="s">
        <v>2985</v>
      </c>
      <c r="D1429" s="5" t="s">
        <v>1586</v>
      </c>
      <c r="E1429" s="5" t="s">
        <v>29</v>
      </c>
      <c r="F1429" s="5" t="s">
        <v>30</v>
      </c>
      <c r="G1429" s="5" t="s">
        <v>31</v>
      </c>
      <c r="H1429" s="4"/>
      <c r="I1429" s="4"/>
      <c r="J1429" s="6"/>
      <c r="K1429" s="6"/>
      <c r="L1429" s="6"/>
      <c r="M1429" s="4"/>
      <c r="N1429" s="4"/>
      <c r="O1429" s="4"/>
      <c r="P1429" s="6"/>
      <c r="Q1429" s="6"/>
      <c r="R1429" s="6"/>
      <c r="S1429" s="6"/>
      <c r="T1429" s="4"/>
      <c r="U1429" s="6"/>
      <c r="V1429" s="6"/>
      <c r="W1429" s="6"/>
      <c r="X1429" s="6"/>
      <c r="Y1429" s="4"/>
      <c r="Z1429" s="6"/>
      <c r="AA1429" s="4"/>
      <c r="AB1429" s="4"/>
      <c r="AC1429" s="4"/>
      <c r="AD1429" s="6"/>
      <c r="AE1429" s="4"/>
      <c r="AF1429" s="4"/>
      <c r="AG1429" s="4"/>
      <c r="AH1429" s="4">
        <v>205302457500</v>
      </c>
    </row>
    <row r="1430" spans="1:34" x14ac:dyDescent="0.25">
      <c r="A1430" s="4">
        <v>1429</v>
      </c>
      <c r="B1430" s="5" t="s">
        <v>2986</v>
      </c>
      <c r="C1430" s="5" t="s">
        <v>2987</v>
      </c>
      <c r="D1430" s="5" t="s">
        <v>1586</v>
      </c>
      <c r="E1430" s="5" t="s">
        <v>40</v>
      </c>
      <c r="F1430" s="5" t="s">
        <v>41</v>
      </c>
      <c r="G1430" s="5" t="s">
        <v>1716</v>
      </c>
      <c r="H1430" s="4"/>
      <c r="I1430" s="4"/>
      <c r="J1430" s="6"/>
      <c r="K1430" s="6"/>
      <c r="L1430" s="6"/>
      <c r="M1430" s="4"/>
      <c r="N1430" s="4"/>
      <c r="O1430" s="4"/>
      <c r="P1430" s="6"/>
      <c r="Q1430" s="6"/>
      <c r="R1430" s="6"/>
      <c r="S1430" s="6"/>
      <c r="T1430" s="4"/>
      <c r="U1430" s="6"/>
      <c r="V1430" s="6"/>
      <c r="W1430" s="6"/>
      <c r="X1430" s="6"/>
      <c r="Y1430" s="4"/>
      <c r="Z1430" s="6"/>
      <c r="AA1430" s="4"/>
      <c r="AB1430" s="4"/>
      <c r="AC1430" s="4"/>
      <c r="AD1430" s="6"/>
      <c r="AE1430" s="4"/>
      <c r="AF1430" s="4"/>
      <c r="AG1430" s="4"/>
      <c r="AH1430" s="4">
        <v>34626795000</v>
      </c>
    </row>
    <row r="1431" spans="1:34" x14ac:dyDescent="0.25">
      <c r="A1431" s="4">
        <v>1430</v>
      </c>
      <c r="B1431" s="5" t="s">
        <v>2988</v>
      </c>
      <c r="C1431" s="5" t="s">
        <v>2989</v>
      </c>
      <c r="D1431" s="5" t="s">
        <v>1586</v>
      </c>
      <c r="E1431" s="5" t="s">
        <v>98</v>
      </c>
      <c r="F1431" s="5" t="s">
        <v>99</v>
      </c>
      <c r="G1431" s="5" t="s">
        <v>155</v>
      </c>
      <c r="H1431" s="4"/>
      <c r="I1431" s="4"/>
      <c r="J1431" s="6"/>
      <c r="K1431" s="6"/>
      <c r="L1431" s="6"/>
      <c r="M1431" s="4"/>
      <c r="N1431" s="4"/>
      <c r="O1431" s="4"/>
      <c r="P1431" s="6"/>
      <c r="Q1431" s="6"/>
      <c r="R1431" s="6"/>
      <c r="S1431" s="6"/>
      <c r="T1431" s="4"/>
      <c r="U1431" s="6"/>
      <c r="V1431" s="6"/>
      <c r="W1431" s="6"/>
      <c r="X1431" s="6"/>
      <c r="Y1431" s="4"/>
      <c r="Z1431" s="6"/>
      <c r="AA1431" s="4"/>
      <c r="AB1431" s="4"/>
      <c r="AC1431" s="4"/>
      <c r="AD1431" s="6"/>
      <c r="AE1431" s="4"/>
      <c r="AF1431" s="4"/>
      <c r="AG1431" s="4"/>
      <c r="AH1431" s="4">
        <v>94462200000</v>
      </c>
    </row>
    <row r="1432" spans="1:34" x14ac:dyDescent="0.25">
      <c r="A1432" s="4">
        <v>1431</v>
      </c>
      <c r="B1432" s="5" t="s">
        <v>2990</v>
      </c>
      <c r="C1432" s="5" t="s">
        <v>2991</v>
      </c>
      <c r="D1432" s="5" t="s">
        <v>1586</v>
      </c>
      <c r="E1432" s="5" t="s">
        <v>75</v>
      </c>
      <c r="F1432" s="5" t="s">
        <v>76</v>
      </c>
      <c r="G1432" s="5" t="s">
        <v>76</v>
      </c>
      <c r="H1432" s="4"/>
      <c r="I1432" s="4"/>
      <c r="J1432" s="6"/>
      <c r="K1432" s="6"/>
      <c r="L1432" s="6"/>
      <c r="M1432" s="4"/>
      <c r="N1432" s="4"/>
      <c r="O1432" s="4"/>
      <c r="P1432" s="6"/>
      <c r="Q1432" s="6"/>
      <c r="R1432" s="6"/>
      <c r="S1432" s="6"/>
      <c r="T1432" s="4"/>
      <c r="U1432" s="6"/>
      <c r="V1432" s="6"/>
      <c r="W1432" s="6"/>
      <c r="X1432" s="6"/>
      <c r="Y1432" s="4"/>
      <c r="Z1432" s="6"/>
      <c r="AA1432" s="4"/>
      <c r="AB1432" s="4"/>
      <c r="AC1432" s="4"/>
      <c r="AD1432" s="6"/>
      <c r="AE1432" s="4"/>
      <c r="AF1432" s="4"/>
      <c r="AG1432" s="4"/>
      <c r="AH1432" s="4">
        <v>3868800000000</v>
      </c>
    </row>
    <row r="1433" spans="1:34" x14ac:dyDescent="0.25">
      <c r="A1433" s="4">
        <v>1432</v>
      </c>
      <c r="B1433" s="5" t="s">
        <v>2992</v>
      </c>
      <c r="C1433" s="5" t="s">
        <v>2993</v>
      </c>
      <c r="D1433" s="5" t="s">
        <v>1586</v>
      </c>
      <c r="E1433" s="5" t="s">
        <v>40</v>
      </c>
      <c r="F1433" s="5" t="s">
        <v>41</v>
      </c>
      <c r="G1433" s="5" t="s">
        <v>619</v>
      </c>
      <c r="H1433" s="4"/>
      <c r="I1433" s="4"/>
      <c r="J1433" s="6"/>
      <c r="K1433" s="6"/>
      <c r="L1433" s="6"/>
      <c r="M1433" s="4"/>
      <c r="N1433" s="4"/>
      <c r="O1433" s="4"/>
      <c r="P1433" s="6"/>
      <c r="Q1433" s="6"/>
      <c r="R1433" s="6"/>
      <c r="S1433" s="6"/>
      <c r="T1433" s="4"/>
      <c r="U1433" s="6"/>
      <c r="V1433" s="6"/>
      <c r="W1433" s="6"/>
      <c r="X1433" s="6"/>
      <c r="Y1433" s="4"/>
      <c r="Z1433" s="6"/>
      <c r="AA1433" s="4"/>
      <c r="AB1433" s="4"/>
      <c r="AC1433" s="4"/>
      <c r="AD1433" s="6"/>
      <c r="AE1433" s="4"/>
      <c r="AF1433" s="4"/>
      <c r="AG1433" s="4"/>
      <c r="AH1433" s="4">
        <v>30623680000</v>
      </c>
    </row>
    <row r="1434" spans="1:34" x14ac:dyDescent="0.25">
      <c r="A1434" s="4">
        <v>1433</v>
      </c>
      <c r="B1434" s="5" t="s">
        <v>2994</v>
      </c>
      <c r="C1434" s="5" t="s">
        <v>2995</v>
      </c>
      <c r="D1434" s="5" t="s">
        <v>1586</v>
      </c>
      <c r="E1434" s="5" t="s">
        <v>75</v>
      </c>
      <c r="F1434" s="5" t="s">
        <v>79</v>
      </c>
      <c r="G1434" s="5" t="s">
        <v>1937</v>
      </c>
      <c r="H1434" s="4"/>
      <c r="I1434" s="4"/>
      <c r="J1434" s="6">
        <v>1.8812</v>
      </c>
      <c r="K1434" s="6"/>
      <c r="L1434" s="6"/>
      <c r="M1434" s="4">
        <v>376638755147</v>
      </c>
      <c r="N1434" s="4">
        <v>838185839350</v>
      </c>
      <c r="O1434" s="4"/>
      <c r="P1434" s="6">
        <v>0.80249999999999999</v>
      </c>
      <c r="Q1434" s="6"/>
      <c r="R1434" s="6"/>
      <c r="S1434" s="6">
        <v>-0.184</v>
      </c>
      <c r="T1434" s="4"/>
      <c r="U1434" s="6"/>
      <c r="V1434" s="6"/>
      <c r="W1434" s="6"/>
      <c r="X1434" s="6"/>
      <c r="Y1434" s="4"/>
      <c r="Z1434" s="6">
        <v>0.18859999999999999</v>
      </c>
      <c r="AA1434" s="4">
        <v>1771754901316</v>
      </c>
      <c r="AB1434" s="4">
        <v>3272902003916</v>
      </c>
      <c r="AC1434" s="4"/>
      <c r="AD1434" s="6"/>
      <c r="AE1434" s="4">
        <v>640608363718</v>
      </c>
      <c r="AF1434" s="4">
        <v>1052258078507</v>
      </c>
      <c r="AG1434" s="4">
        <v>1997187702043</v>
      </c>
      <c r="AH1434" s="4">
        <v>9101147465427</v>
      </c>
    </row>
    <row r="1435" spans="1:34" x14ac:dyDescent="0.25">
      <c r="A1435" s="4">
        <v>1434</v>
      </c>
      <c r="B1435" s="5" t="s">
        <v>2996</v>
      </c>
      <c r="C1435" s="5" t="s">
        <v>2997</v>
      </c>
      <c r="D1435" s="5" t="s">
        <v>1586</v>
      </c>
      <c r="E1435" s="5" t="s">
        <v>24</v>
      </c>
      <c r="F1435" s="5" t="s">
        <v>56</v>
      </c>
      <c r="G1435" s="5" t="s">
        <v>291</v>
      </c>
      <c r="H1435" s="4">
        <v>3259550951768</v>
      </c>
      <c r="I1435" s="4">
        <v>6902020687234</v>
      </c>
      <c r="J1435" s="6">
        <v>-4.1099999999999998E-2</v>
      </c>
      <c r="K1435" s="6">
        <v>0.1076</v>
      </c>
      <c r="L1435" s="6">
        <v>7.7899999999999997E-2</v>
      </c>
      <c r="M1435" s="4">
        <v>8297766335</v>
      </c>
      <c r="N1435" s="4">
        <v>23361601697</v>
      </c>
      <c r="O1435" s="4"/>
      <c r="P1435" s="6">
        <v>-0.42659999999999998</v>
      </c>
      <c r="Q1435" s="6">
        <v>3.4352</v>
      </c>
      <c r="R1435" s="6">
        <v>-0.61939999999999995</v>
      </c>
      <c r="S1435" s="6">
        <v>-0.44919999999999999</v>
      </c>
      <c r="T1435" s="4"/>
      <c r="U1435" s="6">
        <v>0</v>
      </c>
      <c r="V1435" s="6">
        <v>0</v>
      </c>
      <c r="W1435" s="6">
        <v>0</v>
      </c>
      <c r="X1435" s="6">
        <v>0</v>
      </c>
      <c r="Y1435" s="4"/>
      <c r="Z1435" s="6">
        <v>-0.1051</v>
      </c>
      <c r="AA1435" s="4"/>
      <c r="AB1435" s="4"/>
      <c r="AC1435" s="4"/>
      <c r="AD1435" s="6">
        <v>0</v>
      </c>
      <c r="AE1435" s="4"/>
      <c r="AF1435" s="4"/>
      <c r="AG1435" s="4"/>
      <c r="AH1435" s="4">
        <v>735955600000</v>
      </c>
    </row>
    <row r="1436" spans="1:34" x14ac:dyDescent="0.25">
      <c r="A1436" s="4">
        <v>1435</v>
      </c>
      <c r="B1436" s="5" t="s">
        <v>2998</v>
      </c>
      <c r="C1436" s="5" t="s">
        <v>2999</v>
      </c>
      <c r="D1436" s="5" t="s">
        <v>1586</v>
      </c>
      <c r="E1436" s="5" t="s">
        <v>40</v>
      </c>
      <c r="F1436" s="5" t="s">
        <v>41</v>
      </c>
      <c r="G1436" s="5" t="s">
        <v>90</v>
      </c>
      <c r="H1436" s="4"/>
      <c r="I1436" s="4"/>
      <c r="J1436" s="6"/>
      <c r="K1436" s="6"/>
      <c r="L1436" s="6"/>
      <c r="M1436" s="4"/>
      <c r="N1436" s="4"/>
      <c r="O1436" s="4"/>
      <c r="P1436" s="6"/>
      <c r="Q1436" s="6"/>
      <c r="R1436" s="6"/>
      <c r="S1436" s="6"/>
      <c r="T1436" s="4"/>
      <c r="U1436" s="6"/>
      <c r="V1436" s="6"/>
      <c r="W1436" s="6"/>
      <c r="X1436" s="6"/>
      <c r="Y1436" s="4"/>
      <c r="Z1436" s="6"/>
      <c r="AA1436" s="4"/>
      <c r="AB1436" s="4"/>
      <c r="AC1436" s="4"/>
      <c r="AD1436" s="6"/>
      <c r="AE1436" s="4"/>
      <c r="AF1436" s="4"/>
      <c r="AG1436" s="4"/>
      <c r="AH1436" s="4">
        <v>11400000000</v>
      </c>
    </row>
    <row r="1437" spans="1:34" x14ac:dyDescent="0.25">
      <c r="A1437" s="4">
        <v>1436</v>
      </c>
      <c r="B1437" s="5" t="s">
        <v>3000</v>
      </c>
      <c r="C1437" s="5" t="s">
        <v>3001</v>
      </c>
      <c r="D1437" s="5" t="s">
        <v>1586</v>
      </c>
      <c r="E1437" s="5" t="s">
        <v>40</v>
      </c>
      <c r="F1437" s="5" t="s">
        <v>41</v>
      </c>
      <c r="G1437" s="5" t="s">
        <v>42</v>
      </c>
      <c r="H1437" s="4"/>
      <c r="I1437" s="4"/>
      <c r="J1437" s="6"/>
      <c r="K1437" s="6"/>
      <c r="L1437" s="6"/>
      <c r="M1437" s="4"/>
      <c r="N1437" s="4"/>
      <c r="O1437" s="4"/>
      <c r="P1437" s="6"/>
      <c r="Q1437" s="6"/>
      <c r="R1437" s="6"/>
      <c r="S1437" s="6"/>
      <c r="T1437" s="4"/>
      <c r="U1437" s="6"/>
      <c r="V1437" s="6"/>
      <c r="W1437" s="6"/>
      <c r="X1437" s="6"/>
      <c r="Y1437" s="4"/>
      <c r="Z1437" s="6"/>
      <c r="AA1437" s="4"/>
      <c r="AB1437" s="4"/>
      <c r="AC1437" s="4"/>
      <c r="AD1437" s="6"/>
      <c r="AE1437" s="4"/>
      <c r="AF1437" s="4"/>
      <c r="AG1437" s="4"/>
      <c r="AH1437" s="4"/>
    </row>
    <row r="1438" spans="1:34" x14ac:dyDescent="0.25">
      <c r="A1438" s="4">
        <v>1437</v>
      </c>
      <c r="B1438" s="5" t="s">
        <v>3002</v>
      </c>
      <c r="C1438" s="5" t="s">
        <v>3003</v>
      </c>
      <c r="D1438" s="5" t="s">
        <v>1586</v>
      </c>
      <c r="E1438" s="5" t="s">
        <v>40</v>
      </c>
      <c r="F1438" s="5" t="s">
        <v>52</v>
      </c>
      <c r="G1438" s="5" t="s">
        <v>110</v>
      </c>
      <c r="H1438" s="4"/>
      <c r="I1438" s="4"/>
      <c r="J1438" s="6"/>
      <c r="K1438" s="6"/>
      <c r="L1438" s="6"/>
      <c r="M1438" s="4"/>
      <c r="N1438" s="4"/>
      <c r="O1438" s="4"/>
      <c r="P1438" s="6"/>
      <c r="Q1438" s="6"/>
      <c r="R1438" s="6"/>
      <c r="S1438" s="6"/>
      <c r="T1438" s="4"/>
      <c r="U1438" s="6"/>
      <c r="V1438" s="6"/>
      <c r="W1438" s="6"/>
      <c r="X1438" s="6"/>
      <c r="Y1438" s="4"/>
      <c r="Z1438" s="6"/>
      <c r="AA1438" s="4"/>
      <c r="AB1438" s="4"/>
      <c r="AC1438" s="4"/>
      <c r="AD1438" s="6"/>
      <c r="AE1438" s="4"/>
      <c r="AF1438" s="4"/>
      <c r="AG1438" s="4"/>
      <c r="AH1438" s="4">
        <v>147200044800</v>
      </c>
    </row>
    <row r="1439" spans="1:34" x14ac:dyDescent="0.25">
      <c r="A1439" s="4">
        <v>1438</v>
      </c>
      <c r="B1439" s="5" t="s">
        <v>3004</v>
      </c>
      <c r="C1439" s="5" t="s">
        <v>3005</v>
      </c>
      <c r="D1439" s="5" t="s">
        <v>1586</v>
      </c>
      <c r="E1439" s="5" t="s">
        <v>98</v>
      </c>
      <c r="F1439" s="5" t="s">
        <v>99</v>
      </c>
      <c r="G1439" s="5" t="s">
        <v>100</v>
      </c>
      <c r="H1439" s="4"/>
      <c r="I1439" s="4"/>
      <c r="J1439" s="6"/>
      <c r="K1439" s="6"/>
      <c r="L1439" s="6"/>
      <c r="M1439" s="4"/>
      <c r="N1439" s="4"/>
      <c r="O1439" s="4"/>
      <c r="P1439" s="6"/>
      <c r="Q1439" s="6"/>
      <c r="R1439" s="6"/>
      <c r="S1439" s="6"/>
      <c r="T1439" s="4"/>
      <c r="U1439" s="6"/>
      <c r="V1439" s="6"/>
      <c r="W1439" s="6"/>
      <c r="X1439" s="6"/>
      <c r="Y1439" s="4"/>
      <c r="Z1439" s="6"/>
      <c r="AA1439" s="4"/>
      <c r="AB1439" s="4"/>
      <c r="AC1439" s="4"/>
      <c r="AD1439" s="6"/>
      <c r="AE1439" s="4"/>
      <c r="AF1439" s="4"/>
      <c r="AG1439" s="4"/>
      <c r="AH1439" s="4">
        <v>1482409653400</v>
      </c>
    </row>
    <row r="1440" spans="1:34" x14ac:dyDescent="0.25">
      <c r="A1440" s="4">
        <v>1439</v>
      </c>
      <c r="B1440" s="5" t="s">
        <v>3006</v>
      </c>
      <c r="C1440" s="5" t="s">
        <v>3007</v>
      </c>
      <c r="D1440" s="5" t="s">
        <v>1586</v>
      </c>
      <c r="E1440" s="5" t="s">
        <v>24</v>
      </c>
      <c r="F1440" s="5" t="s">
        <v>56</v>
      </c>
      <c r="G1440" s="5" t="s">
        <v>291</v>
      </c>
      <c r="H1440" s="4">
        <v>390516836687</v>
      </c>
      <c r="I1440" s="4">
        <v>720667808796</v>
      </c>
      <c r="J1440" s="6">
        <v>0.30580000000000002</v>
      </c>
      <c r="K1440" s="6">
        <v>0.1817</v>
      </c>
      <c r="L1440" s="6">
        <v>0.159</v>
      </c>
      <c r="M1440" s="4">
        <v>53873580757</v>
      </c>
      <c r="N1440" s="4">
        <v>81851085165</v>
      </c>
      <c r="O1440" s="4"/>
      <c r="P1440" s="6">
        <v>1.4154</v>
      </c>
      <c r="Q1440" s="6">
        <v>1.3199000000000001</v>
      </c>
      <c r="R1440" s="6">
        <v>1.2451000000000001</v>
      </c>
      <c r="S1440" s="6">
        <v>0.92559999999999998</v>
      </c>
      <c r="T1440" s="4"/>
      <c r="U1440" s="6">
        <v>0</v>
      </c>
      <c r="V1440" s="6">
        <v>0</v>
      </c>
      <c r="W1440" s="6">
        <v>0</v>
      </c>
      <c r="X1440" s="6">
        <v>9.2499999999999999E-2</v>
      </c>
      <c r="Y1440" s="4"/>
      <c r="Z1440" s="6">
        <v>0.18279999999999999</v>
      </c>
      <c r="AA1440" s="4"/>
      <c r="AB1440" s="4"/>
      <c r="AC1440" s="4"/>
      <c r="AD1440" s="6">
        <v>0</v>
      </c>
      <c r="AE1440" s="4"/>
      <c r="AF1440" s="4"/>
      <c r="AG1440" s="4"/>
      <c r="AH1440" s="4">
        <v>982800000000</v>
      </c>
    </row>
    <row r="1441" spans="1:34" x14ac:dyDescent="0.25">
      <c r="A1441" s="4">
        <v>1440</v>
      </c>
      <c r="B1441" s="5" t="s">
        <v>3008</v>
      </c>
      <c r="C1441" s="5" t="s">
        <v>3009</v>
      </c>
      <c r="D1441" s="5" t="s">
        <v>1586</v>
      </c>
      <c r="E1441" s="5" t="s">
        <v>24</v>
      </c>
      <c r="F1441" s="5" t="s">
        <v>56</v>
      </c>
      <c r="G1441" s="5" t="s">
        <v>57</v>
      </c>
      <c r="H1441" s="4"/>
      <c r="I1441" s="4"/>
      <c r="J1441" s="6"/>
      <c r="K1441" s="6"/>
      <c r="L1441" s="6"/>
      <c r="M1441" s="4"/>
      <c r="N1441" s="4"/>
      <c r="O1441" s="4"/>
      <c r="P1441" s="6"/>
      <c r="Q1441" s="6"/>
      <c r="R1441" s="6"/>
      <c r="S1441" s="6"/>
      <c r="T1441" s="4"/>
      <c r="U1441" s="6"/>
      <c r="V1441" s="6"/>
      <c r="W1441" s="6"/>
      <c r="X1441" s="6"/>
      <c r="Y1441" s="4"/>
      <c r="Z1441" s="6"/>
      <c r="AA1441" s="4"/>
      <c r="AB1441" s="4"/>
      <c r="AC1441" s="4"/>
      <c r="AD1441" s="6"/>
      <c r="AE1441" s="4"/>
      <c r="AF1441" s="4"/>
      <c r="AG1441" s="4"/>
      <c r="AH1441" s="4">
        <v>111896400000</v>
      </c>
    </row>
    <row r="1442" spans="1:34" x14ac:dyDescent="0.25">
      <c r="A1442" s="4">
        <v>1441</v>
      </c>
      <c r="B1442" s="5" t="s">
        <v>3010</v>
      </c>
      <c r="C1442" s="5" t="s">
        <v>3011</v>
      </c>
      <c r="D1442" s="5" t="s">
        <v>1586</v>
      </c>
      <c r="E1442" s="5" t="s">
        <v>24</v>
      </c>
      <c r="F1442" s="5" t="s">
        <v>56</v>
      </c>
      <c r="G1442" s="5" t="s">
        <v>291</v>
      </c>
      <c r="H1442" s="4"/>
      <c r="I1442" s="4"/>
      <c r="J1442" s="6"/>
      <c r="K1442" s="6"/>
      <c r="L1442" s="6"/>
      <c r="M1442" s="4"/>
      <c r="N1442" s="4"/>
      <c r="O1442" s="4"/>
      <c r="P1442" s="6"/>
      <c r="Q1442" s="6"/>
      <c r="R1442" s="6"/>
      <c r="S1442" s="6"/>
      <c r="T1442" s="4"/>
      <c r="U1442" s="6"/>
      <c r="V1442" s="6"/>
      <c r="W1442" s="6"/>
      <c r="X1442" s="6"/>
      <c r="Y1442" s="4"/>
      <c r="Z1442" s="6"/>
      <c r="AA1442" s="4"/>
      <c r="AB1442" s="4"/>
      <c r="AC1442" s="4"/>
      <c r="AD1442" s="6"/>
      <c r="AE1442" s="4"/>
      <c r="AF1442" s="4"/>
      <c r="AG1442" s="4"/>
      <c r="AH1442" s="4">
        <v>182155847000</v>
      </c>
    </row>
    <row r="1443" spans="1:34" x14ac:dyDescent="0.25">
      <c r="A1443" s="4">
        <v>1442</v>
      </c>
      <c r="B1443" s="5" t="s">
        <v>3012</v>
      </c>
      <c r="C1443" s="5" t="s">
        <v>3013</v>
      </c>
      <c r="D1443" s="5" t="s">
        <v>1586</v>
      </c>
      <c r="E1443" s="5" t="s">
        <v>24</v>
      </c>
      <c r="F1443" s="5" t="s">
        <v>56</v>
      </c>
      <c r="G1443" s="5" t="s">
        <v>291</v>
      </c>
      <c r="H1443" s="4">
        <v>476309015680</v>
      </c>
      <c r="I1443" s="4"/>
      <c r="J1443" s="6">
        <v>8.4599999999999995E-2</v>
      </c>
      <c r="K1443" s="6">
        <v>0.52580000000000005</v>
      </c>
      <c r="L1443" s="6">
        <v>0.47689999999999999</v>
      </c>
      <c r="M1443" s="4">
        <v>3264722666</v>
      </c>
      <c r="N1443" s="4"/>
      <c r="O1443" s="4"/>
      <c r="P1443" s="6">
        <v>0.52190000000000003</v>
      </c>
      <c r="Q1443" s="6">
        <v>2.8380000000000001</v>
      </c>
      <c r="R1443" s="6">
        <v>6.9900000000000004E-2</v>
      </c>
      <c r="S1443" s="6">
        <v>-0.37859999999999999</v>
      </c>
      <c r="T1443" s="4"/>
      <c r="U1443" s="6">
        <v>-0.40720000000000001</v>
      </c>
      <c r="V1443" s="6">
        <v>0.95040000000000002</v>
      </c>
      <c r="W1443" s="6">
        <v>1.1294999999999999</v>
      </c>
      <c r="X1443" s="6">
        <v>0</v>
      </c>
      <c r="Y1443" s="4"/>
      <c r="Z1443" s="6">
        <v>-0.32390000000000002</v>
      </c>
      <c r="AA1443" s="4"/>
      <c r="AB1443" s="4"/>
      <c r="AC1443" s="4"/>
      <c r="AD1443" s="6">
        <v>0</v>
      </c>
      <c r="AE1443" s="4"/>
      <c r="AF1443" s="4"/>
      <c r="AG1443" s="4"/>
      <c r="AH1443" s="4">
        <v>297231657700</v>
      </c>
    </row>
    <row r="1444" spans="1:34" x14ac:dyDescent="0.25">
      <c r="A1444" s="4">
        <v>1443</v>
      </c>
      <c r="B1444" s="5" t="s">
        <v>3014</v>
      </c>
      <c r="C1444" s="5" t="s">
        <v>3015</v>
      </c>
      <c r="D1444" s="5" t="s">
        <v>1586</v>
      </c>
      <c r="E1444" s="5" t="s">
        <v>40</v>
      </c>
      <c r="F1444" s="5" t="s">
        <v>41</v>
      </c>
      <c r="G1444" s="5" t="s">
        <v>93</v>
      </c>
      <c r="H1444" s="4"/>
      <c r="I1444" s="4"/>
      <c r="J1444" s="6"/>
      <c r="K1444" s="6"/>
      <c r="L1444" s="6"/>
      <c r="M1444" s="4"/>
      <c r="N1444" s="4"/>
      <c r="O1444" s="4"/>
      <c r="P1444" s="6"/>
      <c r="Q1444" s="6"/>
      <c r="R1444" s="6"/>
      <c r="S1444" s="6"/>
      <c r="T1444" s="4"/>
      <c r="U1444" s="6"/>
      <c r="V1444" s="6"/>
      <c r="W1444" s="6"/>
      <c r="X1444" s="6"/>
      <c r="Y1444" s="4"/>
      <c r="Z1444" s="6"/>
      <c r="AA1444" s="4"/>
      <c r="AB1444" s="4"/>
      <c r="AC1444" s="4"/>
      <c r="AD1444" s="6"/>
      <c r="AE1444" s="4"/>
      <c r="AF1444" s="4"/>
      <c r="AG1444" s="4"/>
      <c r="AH1444" s="4">
        <v>156910000000</v>
      </c>
    </row>
    <row r="1445" spans="1:34" x14ac:dyDescent="0.25">
      <c r="A1445" s="4">
        <v>1444</v>
      </c>
      <c r="B1445" s="5" t="s">
        <v>3016</v>
      </c>
      <c r="C1445" s="5" t="s">
        <v>3017</v>
      </c>
      <c r="D1445" s="5" t="s">
        <v>1586</v>
      </c>
      <c r="E1445" s="5" t="s">
        <v>24</v>
      </c>
      <c r="F1445" s="5" t="s">
        <v>56</v>
      </c>
      <c r="G1445" s="5" t="s">
        <v>291</v>
      </c>
      <c r="H1445" s="4">
        <v>257372824568</v>
      </c>
      <c r="I1445" s="4">
        <v>669323250159</v>
      </c>
      <c r="J1445" s="6">
        <v>-0.10489999999999999</v>
      </c>
      <c r="K1445" s="6">
        <v>-9.2499999999999999E-2</v>
      </c>
      <c r="L1445" s="6">
        <v>-0.17119999999999999</v>
      </c>
      <c r="M1445" s="4">
        <v>3415473069</v>
      </c>
      <c r="N1445" s="4">
        <v>3712076128</v>
      </c>
      <c r="O1445" s="4"/>
      <c r="P1445" s="6">
        <v>0.1008</v>
      </c>
      <c r="Q1445" s="6">
        <v>-0.68710000000000004</v>
      </c>
      <c r="R1445" s="6">
        <v>-0.86250000000000004</v>
      </c>
      <c r="S1445" s="6">
        <v>10.5153</v>
      </c>
      <c r="T1445" s="4"/>
      <c r="U1445" s="6">
        <v>0</v>
      </c>
      <c r="V1445" s="6">
        <v>3.8210000000000002</v>
      </c>
      <c r="W1445" s="6">
        <v>3.6400999999999999</v>
      </c>
      <c r="X1445" s="6">
        <v>0</v>
      </c>
      <c r="Y1445" s="4"/>
      <c r="Z1445" s="6">
        <v>-0.37519999999999998</v>
      </c>
      <c r="AA1445" s="4"/>
      <c r="AB1445" s="4"/>
      <c r="AC1445" s="4"/>
      <c r="AD1445" s="6">
        <v>0</v>
      </c>
      <c r="AE1445" s="4"/>
      <c r="AF1445" s="4"/>
      <c r="AG1445" s="4"/>
      <c r="AH1445" s="4">
        <v>72000000000</v>
      </c>
    </row>
    <row r="1446" spans="1:34" x14ac:dyDescent="0.25">
      <c r="A1446" s="4">
        <v>1445</v>
      </c>
      <c r="B1446" s="5" t="s">
        <v>3018</v>
      </c>
      <c r="C1446" s="5" t="s">
        <v>3019</v>
      </c>
      <c r="D1446" s="5" t="s">
        <v>1586</v>
      </c>
      <c r="E1446" s="5" t="s">
        <v>98</v>
      </c>
      <c r="F1446" s="5" t="s">
        <v>99</v>
      </c>
      <c r="G1446" s="5" t="s">
        <v>155</v>
      </c>
      <c r="H1446" s="4"/>
      <c r="I1446" s="4"/>
      <c r="J1446" s="6"/>
      <c r="K1446" s="6"/>
      <c r="L1446" s="6"/>
      <c r="M1446" s="4"/>
      <c r="N1446" s="4"/>
      <c r="O1446" s="4"/>
      <c r="P1446" s="6"/>
      <c r="Q1446" s="6"/>
      <c r="R1446" s="6"/>
      <c r="S1446" s="6"/>
      <c r="T1446" s="4"/>
      <c r="U1446" s="6"/>
      <c r="V1446" s="6"/>
      <c r="W1446" s="6"/>
      <c r="X1446" s="6"/>
      <c r="Y1446" s="4"/>
      <c r="Z1446" s="6"/>
      <c r="AA1446" s="4"/>
      <c r="AB1446" s="4"/>
      <c r="AC1446" s="4"/>
      <c r="AD1446" s="6"/>
      <c r="AE1446" s="4"/>
      <c r="AF1446" s="4"/>
      <c r="AG1446" s="4"/>
      <c r="AH1446" s="4">
        <v>219200000000</v>
      </c>
    </row>
    <row r="1447" spans="1:34" x14ac:dyDescent="0.25">
      <c r="A1447" s="4">
        <v>1446</v>
      </c>
      <c r="B1447" s="5" t="s">
        <v>3020</v>
      </c>
      <c r="C1447" s="5" t="s">
        <v>3021</v>
      </c>
      <c r="D1447" s="5" t="s">
        <v>1586</v>
      </c>
      <c r="E1447" s="5" t="s">
        <v>62</v>
      </c>
      <c r="F1447" s="5" t="s">
        <v>71</v>
      </c>
      <c r="G1447" s="5" t="s">
        <v>147</v>
      </c>
      <c r="H1447" s="4"/>
      <c r="I1447" s="4"/>
      <c r="J1447" s="6"/>
      <c r="K1447" s="6"/>
      <c r="L1447" s="6"/>
      <c r="M1447" s="4"/>
      <c r="N1447" s="4"/>
      <c r="O1447" s="4"/>
      <c r="P1447" s="6"/>
      <c r="Q1447" s="6"/>
      <c r="R1447" s="6"/>
      <c r="S1447" s="6"/>
      <c r="T1447" s="4"/>
      <c r="U1447" s="6"/>
      <c r="V1447" s="6"/>
      <c r="W1447" s="6"/>
      <c r="X1447" s="6"/>
      <c r="Y1447" s="4"/>
      <c r="Z1447" s="6"/>
      <c r="AA1447" s="4"/>
      <c r="AB1447" s="4"/>
      <c r="AC1447" s="4"/>
      <c r="AD1447" s="6"/>
      <c r="AE1447" s="4"/>
      <c r="AF1447" s="4"/>
      <c r="AG1447" s="4"/>
      <c r="AH1447" s="4">
        <v>22815000000</v>
      </c>
    </row>
    <row r="1448" spans="1:34" x14ac:dyDescent="0.25">
      <c r="A1448" s="4">
        <v>1447</v>
      </c>
      <c r="B1448" s="5" t="s">
        <v>3022</v>
      </c>
      <c r="C1448" s="5" t="s">
        <v>3023</v>
      </c>
      <c r="D1448" s="5" t="s">
        <v>1586</v>
      </c>
      <c r="E1448" s="5" t="s">
        <v>140</v>
      </c>
      <c r="F1448" s="5" t="s">
        <v>140</v>
      </c>
      <c r="G1448" s="5" t="s">
        <v>671</v>
      </c>
      <c r="H1448" s="4"/>
      <c r="I1448" s="4"/>
      <c r="J1448" s="6"/>
      <c r="K1448" s="6"/>
      <c r="L1448" s="6"/>
      <c r="M1448" s="4"/>
      <c r="N1448" s="4"/>
      <c r="O1448" s="4"/>
      <c r="P1448" s="6"/>
      <c r="Q1448" s="6"/>
      <c r="R1448" s="6"/>
      <c r="S1448" s="6"/>
      <c r="T1448" s="4"/>
      <c r="U1448" s="6"/>
      <c r="V1448" s="6"/>
      <c r="W1448" s="6"/>
      <c r="X1448" s="6"/>
      <c r="Y1448" s="4"/>
      <c r="Z1448" s="6"/>
      <c r="AA1448" s="4"/>
      <c r="AB1448" s="4"/>
      <c r="AC1448" s="4"/>
      <c r="AD1448" s="6"/>
      <c r="AE1448" s="4"/>
      <c r="AF1448" s="4"/>
      <c r="AG1448" s="4"/>
      <c r="AH1448" s="4">
        <v>7635635871442</v>
      </c>
    </row>
    <row r="1449" spans="1:34" x14ac:dyDescent="0.25">
      <c r="A1449" s="4">
        <v>1448</v>
      </c>
      <c r="B1449" s="5" t="s">
        <v>3024</v>
      </c>
      <c r="C1449" s="5" t="s">
        <v>3025</v>
      </c>
      <c r="D1449" s="5" t="s">
        <v>1586</v>
      </c>
      <c r="E1449" s="5" t="s">
        <v>98</v>
      </c>
      <c r="F1449" s="5" t="s">
        <v>99</v>
      </c>
      <c r="G1449" s="5" t="s">
        <v>155</v>
      </c>
      <c r="H1449" s="4"/>
      <c r="I1449" s="4"/>
      <c r="J1449" s="6"/>
      <c r="K1449" s="6"/>
      <c r="L1449" s="6"/>
      <c r="M1449" s="4"/>
      <c r="N1449" s="4"/>
      <c r="O1449" s="4"/>
      <c r="P1449" s="6"/>
      <c r="Q1449" s="6"/>
      <c r="R1449" s="6"/>
      <c r="S1449" s="6"/>
      <c r="T1449" s="4"/>
      <c r="U1449" s="6"/>
      <c r="V1449" s="6"/>
      <c r="W1449" s="6"/>
      <c r="X1449" s="6"/>
      <c r="Y1449" s="4"/>
      <c r="Z1449" s="6"/>
      <c r="AA1449" s="4"/>
      <c r="AB1449" s="4"/>
      <c r="AC1449" s="4"/>
      <c r="AD1449" s="6"/>
      <c r="AE1449" s="4"/>
      <c r="AF1449" s="4"/>
      <c r="AG1449" s="4"/>
      <c r="AH1449" s="4">
        <v>259286657500</v>
      </c>
    </row>
    <row r="1450" spans="1:34" x14ac:dyDescent="0.25">
      <c r="A1450" s="4">
        <v>1449</v>
      </c>
      <c r="B1450" s="5" t="s">
        <v>3026</v>
      </c>
      <c r="C1450" s="5" t="s">
        <v>3027</v>
      </c>
      <c r="D1450" s="5" t="s">
        <v>1586</v>
      </c>
      <c r="E1450" s="5" t="s">
        <v>62</v>
      </c>
      <c r="F1450" s="5" t="s">
        <v>226</v>
      </c>
      <c r="G1450" s="5" t="s">
        <v>737</v>
      </c>
      <c r="H1450" s="4"/>
      <c r="I1450" s="4"/>
      <c r="J1450" s="6"/>
      <c r="K1450" s="6"/>
      <c r="L1450" s="6"/>
      <c r="M1450" s="4"/>
      <c r="N1450" s="4"/>
      <c r="O1450" s="4"/>
      <c r="P1450" s="6"/>
      <c r="Q1450" s="6"/>
      <c r="R1450" s="6"/>
      <c r="S1450" s="6"/>
      <c r="T1450" s="4"/>
      <c r="U1450" s="6"/>
      <c r="V1450" s="6"/>
      <c r="W1450" s="6"/>
      <c r="X1450" s="6"/>
      <c r="Y1450" s="4"/>
      <c r="Z1450" s="6"/>
      <c r="AA1450" s="4"/>
      <c r="AB1450" s="4"/>
      <c r="AC1450" s="4"/>
      <c r="AD1450" s="6"/>
      <c r="AE1450" s="4"/>
      <c r="AF1450" s="4"/>
      <c r="AG1450" s="4"/>
      <c r="AH1450" s="4">
        <v>237000000000</v>
      </c>
    </row>
    <row r="1451" spans="1:34" x14ac:dyDescent="0.25">
      <c r="A1451" s="4">
        <v>1450</v>
      </c>
      <c r="B1451" s="5" t="s">
        <v>3028</v>
      </c>
      <c r="C1451" s="5" t="s">
        <v>3029</v>
      </c>
      <c r="D1451" s="5" t="s">
        <v>1586</v>
      </c>
      <c r="E1451" s="5" t="s">
        <v>98</v>
      </c>
      <c r="F1451" s="5" t="s">
        <v>99</v>
      </c>
      <c r="G1451" s="5" t="s">
        <v>155</v>
      </c>
      <c r="H1451" s="4"/>
      <c r="I1451" s="4"/>
      <c r="J1451" s="6"/>
      <c r="K1451" s="6"/>
      <c r="L1451" s="6"/>
      <c r="M1451" s="4"/>
      <c r="N1451" s="4"/>
      <c r="O1451" s="4"/>
      <c r="P1451" s="6"/>
      <c r="Q1451" s="6"/>
      <c r="R1451" s="6"/>
      <c r="S1451" s="6"/>
      <c r="T1451" s="4"/>
      <c r="U1451" s="6"/>
      <c r="V1451" s="6"/>
      <c r="W1451" s="6"/>
      <c r="X1451" s="6"/>
      <c r="Y1451" s="4"/>
      <c r="Z1451" s="6"/>
      <c r="AA1451" s="4"/>
      <c r="AB1451" s="4"/>
      <c r="AC1451" s="4"/>
      <c r="AD1451" s="6"/>
      <c r="AE1451" s="4"/>
      <c r="AF1451" s="4"/>
      <c r="AG1451" s="4"/>
      <c r="AH1451" s="4">
        <v>67892320000</v>
      </c>
    </row>
    <row r="1452" spans="1:34" x14ac:dyDescent="0.25">
      <c r="A1452" s="4">
        <v>1451</v>
      </c>
      <c r="B1452" s="5" t="s">
        <v>3030</v>
      </c>
      <c r="C1452" s="5" t="s">
        <v>3031</v>
      </c>
      <c r="D1452" s="5" t="s">
        <v>1586</v>
      </c>
      <c r="E1452" s="5" t="s">
        <v>40</v>
      </c>
      <c r="F1452" s="5" t="s">
        <v>41</v>
      </c>
      <c r="G1452" s="5" t="s">
        <v>93</v>
      </c>
      <c r="H1452" s="4"/>
      <c r="I1452" s="4"/>
      <c r="J1452" s="6"/>
      <c r="K1452" s="6"/>
      <c r="L1452" s="6"/>
      <c r="M1452" s="4"/>
      <c r="N1452" s="4"/>
      <c r="O1452" s="4"/>
      <c r="P1452" s="6"/>
      <c r="Q1452" s="6"/>
      <c r="R1452" s="6"/>
      <c r="S1452" s="6"/>
      <c r="T1452" s="4"/>
      <c r="U1452" s="6"/>
      <c r="V1452" s="6"/>
      <c r="W1452" s="6"/>
      <c r="X1452" s="6"/>
      <c r="Y1452" s="4"/>
      <c r="Z1452" s="6"/>
      <c r="AA1452" s="4"/>
      <c r="AB1452" s="4"/>
      <c r="AC1452" s="4"/>
      <c r="AD1452" s="6"/>
      <c r="AE1452" s="4"/>
      <c r="AF1452" s="4"/>
      <c r="AG1452" s="4"/>
      <c r="AH1452" s="4">
        <v>75776085000</v>
      </c>
    </row>
    <row r="1453" spans="1:34" x14ac:dyDescent="0.25">
      <c r="A1453" s="4">
        <v>1452</v>
      </c>
      <c r="B1453" s="5" t="s">
        <v>3032</v>
      </c>
      <c r="C1453" s="5" t="s">
        <v>3033</v>
      </c>
      <c r="D1453" s="5" t="s">
        <v>1586</v>
      </c>
      <c r="E1453" s="5" t="s">
        <v>40</v>
      </c>
      <c r="F1453" s="5" t="s">
        <v>41</v>
      </c>
      <c r="G1453" s="5" t="s">
        <v>406</v>
      </c>
      <c r="H1453" s="4"/>
      <c r="I1453" s="4"/>
      <c r="J1453" s="6"/>
      <c r="K1453" s="6"/>
      <c r="L1453" s="6"/>
      <c r="M1453" s="4"/>
      <c r="N1453" s="4"/>
      <c r="O1453" s="4"/>
      <c r="P1453" s="6"/>
      <c r="Q1453" s="6"/>
      <c r="R1453" s="6"/>
      <c r="S1453" s="6"/>
      <c r="T1453" s="4"/>
      <c r="U1453" s="6"/>
      <c r="V1453" s="6"/>
      <c r="W1453" s="6"/>
      <c r="X1453" s="6"/>
      <c r="Y1453" s="4"/>
      <c r="Z1453" s="6"/>
      <c r="AA1453" s="4"/>
      <c r="AB1453" s="4"/>
      <c r="AC1453" s="4"/>
      <c r="AD1453" s="6"/>
      <c r="AE1453" s="4"/>
      <c r="AF1453" s="4"/>
      <c r="AG1453" s="4"/>
      <c r="AH1453" s="4">
        <v>286955878800</v>
      </c>
    </row>
    <row r="1454" spans="1:34" x14ac:dyDescent="0.25">
      <c r="A1454" s="4">
        <v>1453</v>
      </c>
      <c r="B1454" s="5" t="s">
        <v>3034</v>
      </c>
      <c r="C1454" s="5" t="s">
        <v>3035</v>
      </c>
      <c r="D1454" s="5" t="s">
        <v>1586</v>
      </c>
      <c r="E1454" s="5" t="s">
        <v>40</v>
      </c>
      <c r="F1454" s="5" t="s">
        <v>52</v>
      </c>
      <c r="G1454" s="5" t="s">
        <v>53</v>
      </c>
      <c r="H1454" s="4"/>
      <c r="I1454" s="4"/>
      <c r="J1454" s="6"/>
      <c r="K1454" s="6"/>
      <c r="L1454" s="6"/>
      <c r="M1454" s="4"/>
      <c r="N1454" s="4"/>
      <c r="O1454" s="4"/>
      <c r="P1454" s="6"/>
      <c r="Q1454" s="6"/>
      <c r="R1454" s="6"/>
      <c r="S1454" s="6"/>
      <c r="T1454" s="4"/>
      <c r="U1454" s="6"/>
      <c r="V1454" s="6"/>
      <c r="W1454" s="6"/>
      <c r="X1454" s="6"/>
      <c r="Y1454" s="4"/>
      <c r="Z1454" s="6"/>
      <c r="AA1454" s="4"/>
      <c r="AB1454" s="4"/>
      <c r="AC1454" s="4"/>
      <c r="AD1454" s="6"/>
      <c r="AE1454" s="4"/>
      <c r="AF1454" s="4"/>
      <c r="AG1454" s="4"/>
      <c r="AH1454" s="4">
        <v>39501964800</v>
      </c>
    </row>
    <row r="1455" spans="1:34" x14ac:dyDescent="0.25">
      <c r="A1455" s="4">
        <v>1454</v>
      </c>
      <c r="B1455" s="5" t="s">
        <v>3036</v>
      </c>
      <c r="C1455" s="5" t="s">
        <v>3037</v>
      </c>
      <c r="D1455" s="5" t="s">
        <v>1586</v>
      </c>
      <c r="E1455" s="5" t="s">
        <v>40</v>
      </c>
      <c r="F1455" s="5" t="s">
        <v>41</v>
      </c>
      <c r="G1455" s="5" t="s">
        <v>3038</v>
      </c>
      <c r="H1455" s="4"/>
      <c r="I1455" s="4"/>
      <c r="J1455" s="6"/>
      <c r="K1455" s="6"/>
      <c r="L1455" s="6"/>
      <c r="M1455" s="4"/>
      <c r="N1455" s="4"/>
      <c r="O1455" s="4"/>
      <c r="P1455" s="6"/>
      <c r="Q1455" s="6"/>
      <c r="R1455" s="6"/>
      <c r="S1455" s="6"/>
      <c r="T1455" s="4"/>
      <c r="U1455" s="6"/>
      <c r="V1455" s="6"/>
      <c r="W1455" s="6"/>
      <c r="X1455" s="6"/>
      <c r="Y1455" s="4"/>
      <c r="Z1455" s="6"/>
      <c r="AA1455" s="4"/>
      <c r="AB1455" s="4"/>
      <c r="AC1455" s="4"/>
      <c r="AD1455" s="6"/>
      <c r="AE1455" s="4"/>
      <c r="AF1455" s="4"/>
      <c r="AG1455" s="4"/>
      <c r="AH1455" s="4">
        <v>1339671535720</v>
      </c>
    </row>
    <row r="1456" spans="1:34" x14ac:dyDescent="0.25">
      <c r="A1456" s="4">
        <v>1455</v>
      </c>
      <c r="B1456" s="5" t="s">
        <v>3039</v>
      </c>
      <c r="C1456" s="5" t="s">
        <v>3040</v>
      </c>
      <c r="D1456" s="5" t="s">
        <v>1586</v>
      </c>
      <c r="E1456" s="5" t="s">
        <v>40</v>
      </c>
      <c r="F1456" s="5" t="s">
        <v>52</v>
      </c>
      <c r="G1456" s="5" t="s">
        <v>110</v>
      </c>
      <c r="H1456" s="4"/>
      <c r="I1456" s="4"/>
      <c r="J1456" s="6"/>
      <c r="K1456" s="6"/>
      <c r="L1456" s="6"/>
      <c r="M1456" s="4"/>
      <c r="N1456" s="4"/>
      <c r="O1456" s="4"/>
      <c r="P1456" s="6"/>
      <c r="Q1456" s="6"/>
      <c r="R1456" s="6"/>
      <c r="S1456" s="6"/>
      <c r="T1456" s="4"/>
      <c r="U1456" s="6"/>
      <c r="V1456" s="6"/>
      <c r="W1456" s="6"/>
      <c r="X1456" s="6"/>
      <c r="Y1456" s="4"/>
      <c r="Z1456" s="6"/>
      <c r="AA1456" s="4"/>
      <c r="AB1456" s="4"/>
      <c r="AC1456" s="4"/>
      <c r="AD1456" s="6"/>
      <c r="AE1456" s="4"/>
      <c r="AF1456" s="4"/>
      <c r="AG1456" s="4"/>
      <c r="AH1456" s="4">
        <v>20029776000</v>
      </c>
    </row>
    <row r="1457" spans="1:34" x14ac:dyDescent="0.25">
      <c r="A1457" s="4">
        <v>1456</v>
      </c>
      <c r="B1457" s="5" t="s">
        <v>3041</v>
      </c>
      <c r="C1457" s="5" t="s">
        <v>3042</v>
      </c>
      <c r="D1457" s="5" t="s">
        <v>1586</v>
      </c>
      <c r="E1457" s="5" t="s">
        <v>62</v>
      </c>
      <c r="F1457" s="5" t="s">
        <v>226</v>
      </c>
      <c r="G1457" s="5" t="s">
        <v>737</v>
      </c>
      <c r="H1457" s="4"/>
      <c r="I1457" s="4"/>
      <c r="J1457" s="6"/>
      <c r="K1457" s="6"/>
      <c r="L1457" s="6"/>
      <c r="M1457" s="4"/>
      <c r="N1457" s="4"/>
      <c r="O1457" s="4"/>
      <c r="P1457" s="6"/>
      <c r="Q1457" s="6"/>
      <c r="R1457" s="6"/>
      <c r="S1457" s="6"/>
      <c r="T1457" s="4"/>
      <c r="U1457" s="6"/>
      <c r="V1457" s="6"/>
      <c r="W1457" s="6"/>
      <c r="X1457" s="6"/>
      <c r="Y1457" s="4"/>
      <c r="Z1457" s="6"/>
      <c r="AA1457" s="4"/>
      <c r="AB1457" s="4"/>
      <c r="AC1457" s="4"/>
      <c r="AD1457" s="6"/>
      <c r="AE1457" s="4"/>
      <c r="AF1457" s="4"/>
      <c r="AG1457" s="4"/>
      <c r="AH1457" s="4">
        <v>4459000000</v>
      </c>
    </row>
    <row r="1458" spans="1:34" x14ac:dyDescent="0.25">
      <c r="A1458" s="4">
        <v>1457</v>
      </c>
      <c r="B1458" s="5" t="s">
        <v>3043</v>
      </c>
      <c r="C1458" s="5" t="s">
        <v>3044</v>
      </c>
      <c r="D1458" s="5" t="s">
        <v>1586</v>
      </c>
      <c r="E1458" s="5" t="s">
        <v>40</v>
      </c>
      <c r="F1458" s="5" t="s">
        <v>41</v>
      </c>
      <c r="G1458" s="5" t="s">
        <v>3038</v>
      </c>
      <c r="H1458" s="4"/>
      <c r="I1458" s="4"/>
      <c r="J1458" s="6"/>
      <c r="K1458" s="6"/>
      <c r="L1458" s="6"/>
      <c r="M1458" s="4"/>
      <c r="N1458" s="4"/>
      <c r="O1458" s="4"/>
      <c r="P1458" s="6"/>
      <c r="Q1458" s="6"/>
      <c r="R1458" s="6"/>
      <c r="S1458" s="6"/>
      <c r="T1458" s="4"/>
      <c r="U1458" s="6"/>
      <c r="V1458" s="6"/>
      <c r="W1458" s="6"/>
      <c r="X1458" s="6"/>
      <c r="Y1458" s="4"/>
      <c r="Z1458" s="6"/>
      <c r="AA1458" s="4"/>
      <c r="AB1458" s="4"/>
      <c r="AC1458" s="4"/>
      <c r="AD1458" s="6"/>
      <c r="AE1458" s="4"/>
      <c r="AF1458" s="4"/>
      <c r="AG1458" s="4"/>
      <c r="AH1458" s="4">
        <v>30741000000</v>
      </c>
    </row>
    <row r="1459" spans="1:34" x14ac:dyDescent="0.25">
      <c r="A1459" s="4">
        <v>1458</v>
      </c>
      <c r="B1459" s="5" t="s">
        <v>3045</v>
      </c>
      <c r="C1459" s="5" t="s">
        <v>3046</v>
      </c>
      <c r="D1459" s="5" t="s">
        <v>1586</v>
      </c>
      <c r="E1459" s="5" t="s">
        <v>62</v>
      </c>
      <c r="F1459" s="5" t="s">
        <v>226</v>
      </c>
      <c r="G1459" s="5" t="s">
        <v>737</v>
      </c>
      <c r="H1459" s="4">
        <v>35824896548</v>
      </c>
      <c r="I1459" s="4">
        <v>60971172565</v>
      </c>
      <c r="J1459" s="6">
        <v>-3.2899999999999999E-2</v>
      </c>
      <c r="K1459" s="6"/>
      <c r="L1459" s="6"/>
      <c r="M1459" s="4">
        <v>248790959391</v>
      </c>
      <c r="N1459" s="4">
        <v>259242316467</v>
      </c>
      <c r="O1459" s="4"/>
      <c r="P1459" s="6">
        <v>3.2435</v>
      </c>
      <c r="Q1459" s="6"/>
      <c r="R1459" s="6"/>
      <c r="S1459" s="6">
        <v>22.8047</v>
      </c>
      <c r="T1459" s="4"/>
      <c r="U1459" s="6"/>
      <c r="V1459" s="6"/>
      <c r="W1459" s="6"/>
      <c r="X1459" s="6"/>
      <c r="Y1459" s="4"/>
      <c r="Z1459" s="6">
        <v>0.42470000000000002</v>
      </c>
      <c r="AA1459" s="4"/>
      <c r="AB1459" s="4"/>
      <c r="AC1459" s="4"/>
      <c r="AD1459" s="6"/>
      <c r="AE1459" s="4"/>
      <c r="AF1459" s="4"/>
      <c r="AG1459" s="4"/>
      <c r="AH1459" s="4">
        <v>1735299680000</v>
      </c>
    </row>
    <row r="1460" spans="1:34" x14ac:dyDescent="0.25">
      <c r="A1460" s="4">
        <v>1459</v>
      </c>
      <c r="B1460" s="5" t="s">
        <v>3047</v>
      </c>
      <c r="C1460" s="5" t="s">
        <v>3048</v>
      </c>
      <c r="D1460" s="5" t="s">
        <v>1586</v>
      </c>
      <c r="E1460" s="5" t="s">
        <v>185</v>
      </c>
      <c r="F1460" s="5" t="s">
        <v>185</v>
      </c>
      <c r="G1460" s="5" t="s">
        <v>186</v>
      </c>
      <c r="H1460" s="4"/>
      <c r="I1460" s="4"/>
      <c r="J1460" s="6"/>
      <c r="K1460" s="6"/>
      <c r="L1460" s="6"/>
      <c r="M1460" s="4"/>
      <c r="N1460" s="4"/>
      <c r="O1460" s="4"/>
      <c r="P1460" s="6"/>
      <c r="Q1460" s="6"/>
      <c r="R1460" s="6"/>
      <c r="S1460" s="6"/>
      <c r="T1460" s="4"/>
      <c r="U1460" s="6"/>
      <c r="V1460" s="6"/>
      <c r="W1460" s="6"/>
      <c r="X1460" s="6"/>
      <c r="Y1460" s="4"/>
      <c r="Z1460" s="6"/>
      <c r="AA1460" s="4"/>
      <c r="AB1460" s="4"/>
      <c r="AC1460" s="4"/>
      <c r="AD1460" s="6"/>
      <c r="AE1460" s="4"/>
      <c r="AF1460" s="4"/>
      <c r="AG1460" s="4"/>
      <c r="AH1460" s="4">
        <v>38880000000</v>
      </c>
    </row>
    <row r="1461" spans="1:34" x14ac:dyDescent="0.25">
      <c r="A1461" s="4">
        <v>1460</v>
      </c>
      <c r="B1461" s="5" t="s">
        <v>3049</v>
      </c>
      <c r="C1461" s="5" t="s">
        <v>3050</v>
      </c>
      <c r="D1461" s="5" t="s">
        <v>1586</v>
      </c>
      <c r="E1461" s="5" t="s">
        <v>29</v>
      </c>
      <c r="F1461" s="5" t="s">
        <v>30</v>
      </c>
      <c r="G1461" s="5" t="s">
        <v>83</v>
      </c>
      <c r="H1461" s="4"/>
      <c r="I1461" s="4"/>
      <c r="J1461" s="6"/>
      <c r="K1461" s="6"/>
      <c r="L1461" s="6"/>
      <c r="M1461" s="4"/>
      <c r="N1461" s="4"/>
      <c r="O1461" s="4"/>
      <c r="P1461" s="6"/>
      <c r="Q1461" s="6"/>
      <c r="R1461" s="6"/>
      <c r="S1461" s="6"/>
      <c r="T1461" s="4"/>
      <c r="U1461" s="6"/>
      <c r="V1461" s="6"/>
      <c r="W1461" s="6"/>
      <c r="X1461" s="6"/>
      <c r="Y1461" s="4"/>
      <c r="Z1461" s="6"/>
      <c r="AA1461" s="4"/>
      <c r="AB1461" s="4"/>
      <c r="AC1461" s="4"/>
      <c r="AD1461" s="6"/>
      <c r="AE1461" s="4"/>
      <c r="AF1461" s="4"/>
      <c r="AG1461" s="4"/>
      <c r="AH1461" s="4">
        <v>274694495985</v>
      </c>
    </row>
    <row r="1462" spans="1:34" x14ac:dyDescent="0.25">
      <c r="A1462" s="4">
        <v>1461</v>
      </c>
      <c r="B1462" s="5" t="s">
        <v>3051</v>
      </c>
      <c r="C1462" s="5" t="s">
        <v>3052</v>
      </c>
      <c r="D1462" s="5" t="s">
        <v>1586</v>
      </c>
      <c r="E1462" s="5" t="s">
        <v>40</v>
      </c>
      <c r="F1462" s="5" t="s">
        <v>52</v>
      </c>
      <c r="G1462" s="5" t="s">
        <v>53</v>
      </c>
      <c r="H1462" s="4">
        <v>56449466630</v>
      </c>
      <c r="I1462" s="4">
        <v>91549992837</v>
      </c>
      <c r="J1462" s="6">
        <v>1.1167</v>
      </c>
      <c r="K1462" s="6"/>
      <c r="L1462" s="6"/>
      <c r="M1462" s="4">
        <v>49508564</v>
      </c>
      <c r="N1462" s="4">
        <v>109330142</v>
      </c>
      <c r="O1462" s="4"/>
      <c r="P1462" s="6">
        <v>-8.0100000000000005E-2</v>
      </c>
      <c r="Q1462" s="6"/>
      <c r="R1462" s="6"/>
      <c r="S1462" s="6">
        <v>-0.1724</v>
      </c>
      <c r="T1462" s="4"/>
      <c r="U1462" s="6"/>
      <c r="V1462" s="6"/>
      <c r="W1462" s="6"/>
      <c r="X1462" s="6"/>
      <c r="Y1462" s="4"/>
      <c r="Z1462" s="6">
        <v>0.60819999999999996</v>
      </c>
      <c r="AA1462" s="4"/>
      <c r="AB1462" s="4"/>
      <c r="AC1462" s="4"/>
      <c r="AD1462" s="6"/>
      <c r="AE1462" s="4"/>
      <c r="AF1462" s="4"/>
      <c r="AG1462" s="4"/>
      <c r="AH1462" s="4">
        <v>182717249400</v>
      </c>
    </row>
    <row r="1463" spans="1:34" x14ac:dyDescent="0.25">
      <c r="A1463" s="4">
        <v>1462</v>
      </c>
      <c r="B1463" s="5" t="s">
        <v>3053</v>
      </c>
      <c r="C1463" s="5" t="s">
        <v>3054</v>
      </c>
      <c r="D1463" s="5" t="s">
        <v>1586</v>
      </c>
      <c r="E1463" s="5" t="s">
        <v>234</v>
      </c>
      <c r="F1463" s="5" t="s">
        <v>235</v>
      </c>
      <c r="G1463" s="5" t="s">
        <v>837</v>
      </c>
      <c r="H1463" s="4">
        <v>207584884208</v>
      </c>
      <c r="I1463" s="4">
        <v>399319193602</v>
      </c>
      <c r="J1463" s="6">
        <v>-5.7599999999999998E-2</v>
      </c>
      <c r="K1463" s="6"/>
      <c r="L1463" s="6"/>
      <c r="M1463" s="4">
        <v>21372178020</v>
      </c>
      <c r="N1463" s="4">
        <v>34745924456</v>
      </c>
      <c r="O1463" s="4"/>
      <c r="P1463" s="6">
        <v>-0.25580000000000003</v>
      </c>
      <c r="Q1463" s="6"/>
      <c r="R1463" s="6"/>
      <c r="S1463" s="6">
        <v>0.59809999999999997</v>
      </c>
      <c r="T1463" s="4"/>
      <c r="U1463" s="6"/>
      <c r="V1463" s="6"/>
      <c r="W1463" s="6"/>
      <c r="X1463" s="6"/>
      <c r="Y1463" s="4"/>
      <c r="Z1463" s="6">
        <v>8.2699999999999996E-2</v>
      </c>
      <c r="AA1463" s="4"/>
      <c r="AB1463" s="4"/>
      <c r="AC1463" s="4"/>
      <c r="AD1463" s="6"/>
      <c r="AE1463" s="4"/>
      <c r="AF1463" s="4"/>
      <c r="AG1463" s="4"/>
      <c r="AH1463" s="4">
        <v>3753257472000</v>
      </c>
    </row>
    <row r="1464" spans="1:34" x14ac:dyDescent="0.25">
      <c r="A1464" s="4">
        <v>1463</v>
      </c>
      <c r="B1464" s="5" t="s">
        <v>3055</v>
      </c>
      <c r="C1464" s="5" t="s">
        <v>3056</v>
      </c>
      <c r="D1464" s="5" t="s">
        <v>1586</v>
      </c>
      <c r="E1464" s="5" t="s">
        <v>29</v>
      </c>
      <c r="F1464" s="5" t="s">
        <v>36</v>
      </c>
      <c r="G1464" s="5" t="s">
        <v>37</v>
      </c>
      <c r="H1464" s="4"/>
      <c r="I1464" s="4"/>
      <c r="J1464" s="6"/>
      <c r="K1464" s="6"/>
      <c r="L1464" s="6"/>
      <c r="M1464" s="4"/>
      <c r="N1464" s="4"/>
      <c r="O1464" s="4"/>
      <c r="P1464" s="6"/>
      <c r="Q1464" s="6"/>
      <c r="R1464" s="6"/>
      <c r="S1464" s="6"/>
      <c r="T1464" s="4"/>
      <c r="U1464" s="6"/>
      <c r="V1464" s="6"/>
      <c r="W1464" s="6"/>
      <c r="X1464" s="6"/>
      <c r="Y1464" s="4"/>
      <c r="Z1464" s="6"/>
      <c r="AA1464" s="4"/>
      <c r="AB1464" s="4"/>
      <c r="AC1464" s="4"/>
      <c r="AD1464" s="6"/>
      <c r="AE1464" s="4"/>
      <c r="AF1464" s="4"/>
      <c r="AG1464" s="4"/>
      <c r="AH1464" s="4">
        <v>43520000000</v>
      </c>
    </row>
    <row r="1465" spans="1:34" x14ac:dyDescent="0.25">
      <c r="A1465" s="4">
        <v>1464</v>
      </c>
      <c r="B1465" s="5" t="s">
        <v>3057</v>
      </c>
      <c r="C1465" s="5" t="s">
        <v>3058</v>
      </c>
      <c r="D1465" s="5" t="s">
        <v>1586</v>
      </c>
      <c r="E1465" s="5" t="s">
        <v>1306</v>
      </c>
      <c r="F1465" s="5" t="s">
        <v>1306</v>
      </c>
      <c r="G1465" s="5" t="s">
        <v>1307</v>
      </c>
      <c r="H1465" s="4"/>
      <c r="I1465" s="4"/>
      <c r="J1465" s="6"/>
      <c r="K1465" s="6"/>
      <c r="L1465" s="6"/>
      <c r="M1465" s="4"/>
      <c r="N1465" s="4"/>
      <c r="O1465" s="4"/>
      <c r="P1465" s="6"/>
      <c r="Q1465" s="6"/>
      <c r="R1465" s="6"/>
      <c r="S1465" s="6"/>
      <c r="T1465" s="4"/>
      <c r="U1465" s="6"/>
      <c r="V1465" s="6"/>
      <c r="W1465" s="6"/>
      <c r="X1465" s="6"/>
      <c r="Y1465" s="4"/>
      <c r="Z1465" s="6"/>
      <c r="AA1465" s="4"/>
      <c r="AB1465" s="4"/>
      <c r="AC1465" s="4"/>
      <c r="AD1465" s="6"/>
      <c r="AE1465" s="4"/>
      <c r="AF1465" s="4"/>
      <c r="AG1465" s="4"/>
      <c r="AH1465" s="4">
        <v>441501277500</v>
      </c>
    </row>
    <row r="1466" spans="1:34" x14ac:dyDescent="0.25">
      <c r="A1466" s="4">
        <v>1465</v>
      </c>
      <c r="B1466" s="5" t="s">
        <v>3059</v>
      </c>
      <c r="C1466" s="5" t="s">
        <v>3060</v>
      </c>
      <c r="D1466" s="5" t="s">
        <v>1586</v>
      </c>
      <c r="E1466" s="5" t="s">
        <v>24</v>
      </c>
      <c r="F1466" s="5" t="s">
        <v>56</v>
      </c>
      <c r="G1466" s="5" t="s">
        <v>291</v>
      </c>
      <c r="H1466" s="4">
        <v>1603205236580</v>
      </c>
      <c r="I1466" s="4">
        <v>3139398405080</v>
      </c>
      <c r="J1466" s="6">
        <v>1.37E-2</v>
      </c>
      <c r="K1466" s="6">
        <v>3.7000000000000002E-3</v>
      </c>
      <c r="L1466" s="6">
        <v>-1.66E-2</v>
      </c>
      <c r="M1466" s="4">
        <v>-928590014</v>
      </c>
      <c r="N1466" s="4">
        <v>-2775479139</v>
      </c>
      <c r="O1466" s="4"/>
      <c r="P1466" s="6">
        <v>-1.869</v>
      </c>
      <c r="Q1466" s="6">
        <v>-2.6951000000000001</v>
      </c>
      <c r="R1466" s="6">
        <v>-8.6067</v>
      </c>
      <c r="S1466" s="6">
        <v>0.49719999999999998</v>
      </c>
      <c r="T1466" s="4"/>
      <c r="U1466" s="6">
        <v>-0.4592</v>
      </c>
      <c r="V1466" s="6">
        <v>-1.3348</v>
      </c>
      <c r="W1466" s="6">
        <v>-1.3360000000000001</v>
      </c>
      <c r="X1466" s="6">
        <v>0</v>
      </c>
      <c r="Y1466" s="4"/>
      <c r="Z1466" s="6">
        <v>4.36E-2</v>
      </c>
      <c r="AA1466" s="4"/>
      <c r="AB1466" s="4"/>
      <c r="AC1466" s="4"/>
      <c r="AD1466" s="6">
        <v>0</v>
      </c>
      <c r="AE1466" s="4"/>
      <c r="AF1466" s="4"/>
      <c r="AG1466" s="4"/>
      <c r="AH1466" s="4">
        <v>345440000000</v>
      </c>
    </row>
    <row r="1467" spans="1:34" x14ac:dyDescent="0.25">
      <c r="A1467" s="4">
        <v>1466</v>
      </c>
      <c r="B1467" s="5" t="s">
        <v>3061</v>
      </c>
      <c r="C1467" s="5" t="s">
        <v>3062</v>
      </c>
      <c r="D1467" s="5" t="s">
        <v>1586</v>
      </c>
      <c r="E1467" s="5" t="s">
        <v>40</v>
      </c>
      <c r="F1467" s="5" t="s">
        <v>52</v>
      </c>
      <c r="G1467" s="5" t="s">
        <v>53</v>
      </c>
      <c r="H1467" s="4"/>
      <c r="I1467" s="4"/>
      <c r="J1467" s="6"/>
      <c r="K1467" s="6"/>
      <c r="L1467" s="6"/>
      <c r="M1467" s="4"/>
      <c r="N1467" s="4"/>
      <c r="O1467" s="4"/>
      <c r="P1467" s="6"/>
      <c r="Q1467" s="6"/>
      <c r="R1467" s="6"/>
      <c r="S1467" s="6"/>
      <c r="T1467" s="4"/>
      <c r="U1467" s="6"/>
      <c r="V1467" s="6"/>
      <c r="W1467" s="6"/>
      <c r="X1467" s="6"/>
      <c r="Y1467" s="4"/>
      <c r="Z1467" s="6"/>
      <c r="AA1467" s="4"/>
      <c r="AB1467" s="4"/>
      <c r="AC1467" s="4"/>
      <c r="AD1467" s="6"/>
      <c r="AE1467" s="4"/>
      <c r="AF1467" s="4"/>
      <c r="AG1467" s="4"/>
      <c r="AH1467" s="4">
        <v>13626799200</v>
      </c>
    </row>
    <row r="1468" spans="1:34" x14ac:dyDescent="0.25">
      <c r="A1468" s="4">
        <v>1467</v>
      </c>
      <c r="B1468" s="5" t="s">
        <v>3063</v>
      </c>
      <c r="C1468" s="5" t="s">
        <v>3064</v>
      </c>
      <c r="D1468" s="5" t="s">
        <v>1586</v>
      </c>
      <c r="E1468" s="5" t="s">
        <v>40</v>
      </c>
      <c r="F1468" s="5" t="s">
        <v>41</v>
      </c>
      <c r="G1468" s="5" t="s">
        <v>93</v>
      </c>
      <c r="H1468" s="4"/>
      <c r="I1468" s="4"/>
      <c r="J1468" s="6"/>
      <c r="K1468" s="6"/>
      <c r="L1468" s="6"/>
      <c r="M1468" s="4"/>
      <c r="N1468" s="4"/>
      <c r="O1468" s="4"/>
      <c r="P1468" s="6"/>
      <c r="Q1468" s="6"/>
      <c r="R1468" s="6"/>
      <c r="S1468" s="6"/>
      <c r="T1468" s="4"/>
      <c r="U1468" s="6"/>
      <c r="V1468" s="6"/>
      <c r="W1468" s="6"/>
      <c r="X1468" s="6"/>
      <c r="Y1468" s="4"/>
      <c r="Z1468" s="6"/>
      <c r="AA1468" s="4"/>
      <c r="AB1468" s="4"/>
      <c r="AC1468" s="4"/>
      <c r="AD1468" s="6"/>
      <c r="AE1468" s="4"/>
      <c r="AF1468" s="4"/>
      <c r="AG1468" s="4"/>
      <c r="AH1468" s="4">
        <v>108576595800</v>
      </c>
    </row>
    <row r="1469" spans="1:34" x14ac:dyDescent="0.25">
      <c r="A1469" s="4">
        <v>1468</v>
      </c>
      <c r="B1469" s="5" t="s">
        <v>3065</v>
      </c>
      <c r="C1469" s="5" t="s">
        <v>3066</v>
      </c>
      <c r="D1469" s="5" t="s">
        <v>1586</v>
      </c>
      <c r="E1469" s="5" t="s">
        <v>40</v>
      </c>
      <c r="F1469" s="5" t="s">
        <v>41</v>
      </c>
      <c r="G1469" s="5" t="s">
        <v>42</v>
      </c>
      <c r="H1469" s="4"/>
      <c r="I1469" s="4"/>
      <c r="J1469" s="6"/>
      <c r="K1469" s="6"/>
      <c r="L1469" s="6"/>
      <c r="M1469" s="4"/>
      <c r="N1469" s="4"/>
      <c r="O1469" s="4"/>
      <c r="P1469" s="6"/>
      <c r="Q1469" s="6"/>
      <c r="R1469" s="6"/>
      <c r="S1469" s="6"/>
      <c r="T1469" s="4"/>
      <c r="U1469" s="6"/>
      <c r="V1469" s="6"/>
      <c r="W1469" s="6"/>
      <c r="X1469" s="6"/>
      <c r="Y1469" s="4"/>
      <c r="Z1469" s="6"/>
      <c r="AA1469" s="4"/>
      <c r="AB1469" s="4"/>
      <c r="AC1469" s="4"/>
      <c r="AD1469" s="6"/>
      <c r="AE1469" s="4"/>
      <c r="AF1469" s="4"/>
      <c r="AG1469" s="4"/>
      <c r="AH1469" s="4">
        <v>530676804358</v>
      </c>
    </row>
    <row r="1470" spans="1:34" x14ac:dyDescent="0.25">
      <c r="A1470" s="4">
        <v>1469</v>
      </c>
      <c r="B1470" s="5" t="s">
        <v>3067</v>
      </c>
      <c r="C1470" s="5" t="s">
        <v>3068</v>
      </c>
      <c r="D1470" s="5" t="s">
        <v>1586</v>
      </c>
      <c r="E1470" s="5" t="s">
        <v>75</v>
      </c>
      <c r="F1470" s="5" t="s">
        <v>76</v>
      </c>
      <c r="G1470" s="5" t="s">
        <v>300</v>
      </c>
      <c r="H1470" s="4"/>
      <c r="I1470" s="4"/>
      <c r="J1470" s="6"/>
      <c r="K1470" s="6"/>
      <c r="L1470" s="6"/>
      <c r="M1470" s="4"/>
      <c r="N1470" s="4"/>
      <c r="O1470" s="4"/>
      <c r="P1470" s="6"/>
      <c r="Q1470" s="6"/>
      <c r="R1470" s="6"/>
      <c r="S1470" s="6"/>
      <c r="T1470" s="4"/>
      <c r="U1470" s="6"/>
      <c r="V1470" s="6"/>
      <c r="W1470" s="6"/>
      <c r="X1470" s="6"/>
      <c r="Y1470" s="4"/>
      <c r="Z1470" s="6"/>
      <c r="AA1470" s="4"/>
      <c r="AB1470" s="4"/>
      <c r="AC1470" s="4"/>
      <c r="AD1470" s="6"/>
      <c r="AE1470" s="4"/>
      <c r="AF1470" s="4"/>
      <c r="AG1470" s="4"/>
      <c r="AH1470" s="4">
        <v>27300000000</v>
      </c>
    </row>
    <row r="1471" spans="1:34" x14ac:dyDescent="0.25">
      <c r="A1471" s="4">
        <v>1470</v>
      </c>
      <c r="B1471" s="5" t="s">
        <v>3069</v>
      </c>
      <c r="C1471" s="5" t="s">
        <v>3070</v>
      </c>
      <c r="D1471" s="5" t="s">
        <v>1586</v>
      </c>
      <c r="E1471" s="5" t="s">
        <v>40</v>
      </c>
      <c r="F1471" s="5" t="s">
        <v>52</v>
      </c>
      <c r="G1471" s="5" t="s">
        <v>53</v>
      </c>
      <c r="H1471" s="4"/>
      <c r="I1471" s="4"/>
      <c r="J1471" s="6"/>
      <c r="K1471" s="6"/>
      <c r="L1471" s="6"/>
      <c r="M1471" s="4"/>
      <c r="N1471" s="4"/>
      <c r="O1471" s="4"/>
      <c r="P1471" s="6"/>
      <c r="Q1471" s="6"/>
      <c r="R1471" s="6"/>
      <c r="S1471" s="6"/>
      <c r="T1471" s="4"/>
      <c r="U1471" s="6"/>
      <c r="V1471" s="6"/>
      <c r="W1471" s="6"/>
      <c r="X1471" s="6"/>
      <c r="Y1471" s="4"/>
      <c r="Z1471" s="6"/>
      <c r="AA1471" s="4"/>
      <c r="AB1471" s="4"/>
      <c r="AC1471" s="4"/>
      <c r="AD1471" s="6"/>
      <c r="AE1471" s="4"/>
      <c r="AF1471" s="4"/>
      <c r="AG1471" s="4"/>
      <c r="AH1471" s="4">
        <v>88200000000</v>
      </c>
    </row>
    <row r="1472" spans="1:34" x14ac:dyDescent="0.25">
      <c r="A1472" s="4">
        <v>1471</v>
      </c>
      <c r="B1472" s="5" t="s">
        <v>3071</v>
      </c>
      <c r="C1472" s="5" t="s">
        <v>3072</v>
      </c>
      <c r="D1472" s="5" t="s">
        <v>1586</v>
      </c>
      <c r="E1472" s="5" t="s">
        <v>40</v>
      </c>
      <c r="F1472" s="5" t="s">
        <v>52</v>
      </c>
      <c r="G1472" s="5" t="s">
        <v>110</v>
      </c>
      <c r="H1472" s="4"/>
      <c r="I1472" s="4"/>
      <c r="J1472" s="6"/>
      <c r="K1472" s="6"/>
      <c r="L1472" s="6"/>
      <c r="M1472" s="4"/>
      <c r="N1472" s="4"/>
      <c r="O1472" s="4"/>
      <c r="P1472" s="6"/>
      <c r="Q1472" s="6"/>
      <c r="R1472" s="6"/>
      <c r="S1472" s="6"/>
      <c r="T1472" s="4"/>
      <c r="U1472" s="6"/>
      <c r="V1472" s="6"/>
      <c r="W1472" s="6"/>
      <c r="X1472" s="6"/>
      <c r="Y1472" s="4"/>
      <c r="Z1472" s="6"/>
      <c r="AA1472" s="4"/>
      <c r="AB1472" s="4"/>
      <c r="AC1472" s="4"/>
      <c r="AD1472" s="6"/>
      <c r="AE1472" s="4"/>
      <c r="AF1472" s="4"/>
      <c r="AG1472" s="4"/>
      <c r="AH1472" s="4">
        <v>32473424000</v>
      </c>
    </row>
    <row r="1473" spans="1:34" x14ac:dyDescent="0.25">
      <c r="A1473" s="4">
        <v>1472</v>
      </c>
      <c r="B1473" s="5" t="s">
        <v>3073</v>
      </c>
      <c r="C1473" s="5" t="s">
        <v>3074</v>
      </c>
      <c r="D1473" s="5" t="s">
        <v>1586</v>
      </c>
      <c r="E1473" s="5" t="s">
        <v>40</v>
      </c>
      <c r="F1473" s="5" t="s">
        <v>52</v>
      </c>
      <c r="G1473" s="5" t="s">
        <v>110</v>
      </c>
      <c r="H1473" s="4"/>
      <c r="I1473" s="4"/>
      <c r="J1473" s="6"/>
      <c r="K1473" s="6"/>
      <c r="L1473" s="6"/>
      <c r="M1473" s="4"/>
      <c r="N1473" s="4"/>
      <c r="O1473" s="4"/>
      <c r="P1473" s="6"/>
      <c r="Q1473" s="6"/>
      <c r="R1473" s="6"/>
      <c r="S1473" s="6"/>
      <c r="T1473" s="4"/>
      <c r="U1473" s="6"/>
      <c r="V1473" s="6"/>
      <c r="W1473" s="6"/>
      <c r="X1473" s="6"/>
      <c r="Y1473" s="4"/>
      <c r="Z1473" s="6"/>
      <c r="AA1473" s="4"/>
      <c r="AB1473" s="4"/>
      <c r="AC1473" s="4"/>
      <c r="AD1473" s="6"/>
      <c r="AE1473" s="4"/>
      <c r="AF1473" s="4"/>
      <c r="AG1473" s="4"/>
      <c r="AH1473" s="4">
        <v>398398000000</v>
      </c>
    </row>
    <row r="1474" spans="1:34" x14ac:dyDescent="0.25">
      <c r="A1474" s="4">
        <v>1473</v>
      </c>
      <c r="B1474" s="5" t="s">
        <v>3075</v>
      </c>
      <c r="C1474" s="5" t="s">
        <v>3076</v>
      </c>
      <c r="D1474" s="5" t="s">
        <v>1586</v>
      </c>
      <c r="E1474" s="5" t="s">
        <v>40</v>
      </c>
      <c r="F1474" s="5" t="s">
        <v>41</v>
      </c>
      <c r="G1474" s="5" t="s">
        <v>42</v>
      </c>
      <c r="H1474" s="4"/>
      <c r="I1474" s="4"/>
      <c r="J1474" s="6"/>
      <c r="K1474" s="6"/>
      <c r="L1474" s="6"/>
      <c r="M1474" s="4"/>
      <c r="N1474" s="4"/>
      <c r="O1474" s="4"/>
      <c r="P1474" s="6"/>
      <c r="Q1474" s="6"/>
      <c r="R1474" s="6"/>
      <c r="S1474" s="6"/>
      <c r="T1474" s="4"/>
      <c r="U1474" s="6"/>
      <c r="V1474" s="6"/>
      <c r="W1474" s="6"/>
      <c r="X1474" s="6"/>
      <c r="Y1474" s="4"/>
      <c r="Z1474" s="6"/>
      <c r="AA1474" s="4"/>
      <c r="AB1474" s="4"/>
      <c r="AC1474" s="4"/>
      <c r="AD1474" s="6"/>
      <c r="AE1474" s="4"/>
      <c r="AF1474" s="4"/>
      <c r="AG1474" s="4"/>
      <c r="AH1474" s="4">
        <v>16080000000</v>
      </c>
    </row>
    <row r="1475" spans="1:34" x14ac:dyDescent="0.25">
      <c r="A1475" s="4">
        <v>1474</v>
      </c>
      <c r="B1475" s="5" t="s">
        <v>3077</v>
      </c>
      <c r="C1475" s="5" t="s">
        <v>3078</v>
      </c>
      <c r="D1475" s="5" t="s">
        <v>1586</v>
      </c>
      <c r="E1475" s="5" t="s">
        <v>24</v>
      </c>
      <c r="F1475" s="5" t="s">
        <v>56</v>
      </c>
      <c r="G1475" s="5" t="s">
        <v>291</v>
      </c>
      <c r="H1475" s="4"/>
      <c r="I1475" s="4"/>
      <c r="J1475" s="6"/>
      <c r="K1475" s="6"/>
      <c r="L1475" s="6"/>
      <c r="M1475" s="4"/>
      <c r="N1475" s="4"/>
      <c r="O1475" s="4"/>
      <c r="P1475" s="6"/>
      <c r="Q1475" s="6"/>
      <c r="R1475" s="6"/>
      <c r="S1475" s="6"/>
      <c r="T1475" s="4"/>
      <c r="U1475" s="6"/>
      <c r="V1475" s="6"/>
      <c r="W1475" s="6"/>
      <c r="X1475" s="6"/>
      <c r="Y1475" s="4"/>
      <c r="Z1475" s="6"/>
      <c r="AA1475" s="4"/>
      <c r="AB1475" s="4"/>
      <c r="AC1475" s="4"/>
      <c r="AD1475" s="6"/>
      <c r="AE1475" s="4"/>
      <c r="AF1475" s="4"/>
      <c r="AG1475" s="4"/>
      <c r="AH1475" s="4">
        <v>5855886000000</v>
      </c>
    </row>
    <row r="1476" spans="1:34" x14ac:dyDescent="0.25">
      <c r="A1476" s="4">
        <v>1475</v>
      </c>
      <c r="B1476" s="5" t="s">
        <v>3079</v>
      </c>
      <c r="C1476" s="5" t="s">
        <v>3080</v>
      </c>
      <c r="D1476" s="5" t="s">
        <v>1586</v>
      </c>
      <c r="E1476" s="5" t="s">
        <v>234</v>
      </c>
      <c r="F1476" s="5" t="s">
        <v>235</v>
      </c>
      <c r="G1476" s="5" t="s">
        <v>236</v>
      </c>
      <c r="H1476" s="4"/>
      <c r="I1476" s="4"/>
      <c r="J1476" s="6"/>
      <c r="K1476" s="6"/>
      <c r="L1476" s="6"/>
      <c r="M1476" s="4"/>
      <c r="N1476" s="4"/>
      <c r="O1476" s="4"/>
      <c r="P1476" s="6"/>
      <c r="Q1476" s="6"/>
      <c r="R1476" s="6"/>
      <c r="S1476" s="6"/>
      <c r="T1476" s="4"/>
      <c r="U1476" s="6"/>
      <c r="V1476" s="6"/>
      <c r="W1476" s="6"/>
      <c r="X1476" s="6"/>
      <c r="Y1476" s="4"/>
      <c r="Z1476" s="6"/>
      <c r="AA1476" s="4"/>
      <c r="AB1476" s="4"/>
      <c r="AC1476" s="4"/>
      <c r="AD1476" s="6"/>
      <c r="AE1476" s="4"/>
      <c r="AF1476" s="4"/>
      <c r="AG1476" s="4"/>
      <c r="AH1476" s="4">
        <v>22133800000</v>
      </c>
    </row>
    <row r="1477" spans="1:34" x14ac:dyDescent="0.25">
      <c r="A1477" s="4">
        <v>1476</v>
      </c>
      <c r="B1477" s="5" t="s">
        <v>3081</v>
      </c>
      <c r="C1477" s="5" t="s">
        <v>3082</v>
      </c>
      <c r="D1477" s="5" t="s">
        <v>1586</v>
      </c>
      <c r="E1477" s="5" t="s">
        <v>40</v>
      </c>
      <c r="F1477" s="5" t="s">
        <v>41</v>
      </c>
      <c r="G1477" s="5" t="s">
        <v>1716</v>
      </c>
      <c r="H1477" s="4"/>
      <c r="I1477" s="4"/>
      <c r="J1477" s="6"/>
      <c r="K1477" s="6"/>
      <c r="L1477" s="6"/>
      <c r="M1477" s="4"/>
      <c r="N1477" s="4"/>
      <c r="O1477" s="4"/>
      <c r="P1477" s="6"/>
      <c r="Q1477" s="6"/>
      <c r="R1477" s="6"/>
      <c r="S1477" s="6"/>
      <c r="T1477" s="4"/>
      <c r="U1477" s="6"/>
      <c r="V1477" s="6"/>
      <c r="W1477" s="6"/>
      <c r="X1477" s="6"/>
      <c r="Y1477" s="4"/>
      <c r="Z1477" s="6"/>
      <c r="AA1477" s="4"/>
      <c r="AB1477" s="4"/>
      <c r="AC1477" s="4"/>
      <c r="AD1477" s="6"/>
      <c r="AE1477" s="4"/>
      <c r="AF1477" s="4"/>
      <c r="AG1477" s="4"/>
      <c r="AH1477" s="4">
        <v>37410415000</v>
      </c>
    </row>
    <row r="1478" spans="1:34" x14ac:dyDescent="0.25">
      <c r="A1478" s="4">
        <v>1477</v>
      </c>
      <c r="B1478" s="5" t="s">
        <v>3083</v>
      </c>
      <c r="C1478" s="5" t="s">
        <v>3084</v>
      </c>
      <c r="D1478" s="5" t="s">
        <v>1586</v>
      </c>
      <c r="E1478" s="5" t="s">
        <v>40</v>
      </c>
      <c r="F1478" s="5" t="s">
        <v>52</v>
      </c>
      <c r="G1478" s="5" t="s">
        <v>110</v>
      </c>
      <c r="H1478" s="4"/>
      <c r="I1478" s="4"/>
      <c r="J1478" s="6"/>
      <c r="K1478" s="6"/>
      <c r="L1478" s="6"/>
      <c r="M1478" s="4"/>
      <c r="N1478" s="4"/>
      <c r="O1478" s="4"/>
      <c r="P1478" s="6"/>
      <c r="Q1478" s="6"/>
      <c r="R1478" s="6"/>
      <c r="S1478" s="6"/>
      <c r="T1478" s="4"/>
      <c r="U1478" s="6"/>
      <c r="V1478" s="6"/>
      <c r="W1478" s="6"/>
      <c r="X1478" s="6"/>
      <c r="Y1478" s="4"/>
      <c r="Z1478" s="6"/>
      <c r="AA1478" s="4"/>
      <c r="AB1478" s="4"/>
      <c r="AC1478" s="4"/>
      <c r="AD1478" s="6"/>
      <c r="AE1478" s="4"/>
      <c r="AF1478" s="4"/>
      <c r="AG1478" s="4"/>
      <c r="AH1478" s="4">
        <v>97176800000</v>
      </c>
    </row>
    <row r="1479" spans="1:34" x14ac:dyDescent="0.25">
      <c r="A1479" s="4">
        <v>1478</v>
      </c>
      <c r="B1479" s="5" t="s">
        <v>3085</v>
      </c>
      <c r="C1479" s="5" t="s">
        <v>3086</v>
      </c>
      <c r="D1479" s="5" t="s">
        <v>1586</v>
      </c>
      <c r="E1479" s="5" t="s">
        <v>40</v>
      </c>
      <c r="F1479" s="5" t="s">
        <v>52</v>
      </c>
      <c r="G1479" s="5" t="s">
        <v>110</v>
      </c>
      <c r="H1479" s="4">
        <v>3000000</v>
      </c>
      <c r="I1479" s="4">
        <v>6000000</v>
      </c>
      <c r="J1479" s="6">
        <v>-0.99990000000000001</v>
      </c>
      <c r="K1479" s="6">
        <v>-0.99980000000000002</v>
      </c>
      <c r="L1479" s="6">
        <v>-0.65029999999999999</v>
      </c>
      <c r="M1479" s="4">
        <v>-5208795877</v>
      </c>
      <c r="N1479" s="4">
        <v>-6310610418</v>
      </c>
      <c r="O1479" s="4"/>
      <c r="P1479" s="6">
        <v>-8.6643000000000008</v>
      </c>
      <c r="Q1479" s="6">
        <v>-11.450100000000001</v>
      </c>
      <c r="R1479" s="6">
        <v>-6.9516</v>
      </c>
      <c r="S1479" s="6">
        <v>-3.7275</v>
      </c>
      <c r="T1479" s="4"/>
      <c r="U1479" s="6">
        <v>-1</v>
      </c>
      <c r="V1479" s="6">
        <v>-1.2831999999999999</v>
      </c>
      <c r="W1479" s="6">
        <v>-1.3398000000000001</v>
      </c>
      <c r="X1479" s="6">
        <v>0</v>
      </c>
      <c r="Y1479" s="4"/>
      <c r="Z1479" s="6">
        <v>0</v>
      </c>
      <c r="AA1479" s="4"/>
      <c r="AB1479" s="4"/>
      <c r="AC1479" s="4"/>
      <c r="AD1479" s="6">
        <v>0</v>
      </c>
      <c r="AE1479" s="4"/>
      <c r="AF1479" s="4"/>
      <c r="AG1479" s="4"/>
      <c r="AH1479" s="4">
        <v>95914500000</v>
      </c>
    </row>
    <row r="1480" spans="1:34" x14ac:dyDescent="0.25">
      <c r="A1480" s="4">
        <v>1479</v>
      </c>
      <c r="B1480" s="5" t="s">
        <v>3087</v>
      </c>
      <c r="C1480" s="5" t="s">
        <v>3088</v>
      </c>
      <c r="D1480" s="5" t="s">
        <v>1586</v>
      </c>
      <c r="E1480" s="5" t="s">
        <v>40</v>
      </c>
      <c r="F1480" s="5" t="s">
        <v>41</v>
      </c>
      <c r="G1480" s="5" t="s">
        <v>1716</v>
      </c>
      <c r="H1480" s="4"/>
      <c r="I1480" s="4"/>
      <c r="J1480" s="6"/>
      <c r="K1480" s="6"/>
      <c r="L1480" s="6"/>
      <c r="M1480" s="4"/>
      <c r="N1480" s="4"/>
      <c r="O1480" s="4"/>
      <c r="P1480" s="6"/>
      <c r="Q1480" s="6"/>
      <c r="R1480" s="6"/>
      <c r="S1480" s="6"/>
      <c r="T1480" s="4"/>
      <c r="U1480" s="6"/>
      <c r="V1480" s="6"/>
      <c r="W1480" s="6"/>
      <c r="X1480" s="6"/>
      <c r="Y1480" s="4"/>
      <c r="Z1480" s="6"/>
      <c r="AA1480" s="4"/>
      <c r="AB1480" s="4"/>
      <c r="AC1480" s="4"/>
      <c r="AD1480" s="6"/>
      <c r="AE1480" s="4"/>
      <c r="AF1480" s="4"/>
      <c r="AG1480" s="4"/>
      <c r="AH1480" s="4">
        <v>250237440000</v>
      </c>
    </row>
    <row r="1481" spans="1:34" x14ac:dyDescent="0.25">
      <c r="A1481" s="4">
        <v>1480</v>
      </c>
      <c r="B1481" s="5" t="s">
        <v>3089</v>
      </c>
      <c r="C1481" s="5" t="s">
        <v>3090</v>
      </c>
      <c r="D1481" s="5" t="s">
        <v>1586</v>
      </c>
      <c r="E1481" s="5" t="s">
        <v>40</v>
      </c>
      <c r="F1481" s="5" t="s">
        <v>41</v>
      </c>
      <c r="G1481" s="5" t="s">
        <v>519</v>
      </c>
      <c r="H1481" s="4"/>
      <c r="I1481" s="4"/>
      <c r="J1481" s="6"/>
      <c r="K1481" s="6"/>
      <c r="L1481" s="6"/>
      <c r="M1481" s="4"/>
      <c r="N1481" s="4"/>
      <c r="O1481" s="4"/>
      <c r="P1481" s="6"/>
      <c r="Q1481" s="6"/>
      <c r="R1481" s="6"/>
      <c r="S1481" s="6"/>
      <c r="T1481" s="4"/>
      <c r="U1481" s="6"/>
      <c r="V1481" s="6"/>
      <c r="W1481" s="6"/>
      <c r="X1481" s="6"/>
      <c r="Y1481" s="4"/>
      <c r="Z1481" s="6"/>
      <c r="AA1481" s="4"/>
      <c r="AB1481" s="4"/>
      <c r="AC1481" s="4"/>
      <c r="AD1481" s="6"/>
      <c r="AE1481" s="4"/>
      <c r="AF1481" s="4"/>
      <c r="AG1481" s="4"/>
      <c r="AH1481" s="4">
        <v>24381000000</v>
      </c>
    </row>
    <row r="1482" spans="1:34" x14ac:dyDescent="0.25">
      <c r="A1482" s="4">
        <v>1481</v>
      </c>
      <c r="B1482" s="5" t="s">
        <v>3091</v>
      </c>
      <c r="C1482" s="5" t="s">
        <v>3092</v>
      </c>
      <c r="D1482" s="5" t="s">
        <v>1586</v>
      </c>
      <c r="E1482" s="5" t="s">
        <v>40</v>
      </c>
      <c r="F1482" s="5" t="s">
        <v>41</v>
      </c>
      <c r="G1482" s="5" t="s">
        <v>93</v>
      </c>
      <c r="H1482" s="4"/>
      <c r="I1482" s="4"/>
      <c r="J1482" s="6"/>
      <c r="K1482" s="6"/>
      <c r="L1482" s="6"/>
      <c r="M1482" s="4"/>
      <c r="N1482" s="4"/>
      <c r="O1482" s="4"/>
      <c r="P1482" s="6"/>
      <c r="Q1482" s="6"/>
      <c r="R1482" s="6"/>
      <c r="S1482" s="6"/>
      <c r="T1482" s="4"/>
      <c r="U1482" s="6"/>
      <c r="V1482" s="6"/>
      <c r="W1482" s="6"/>
      <c r="X1482" s="6"/>
      <c r="Y1482" s="4"/>
      <c r="Z1482" s="6"/>
      <c r="AA1482" s="4"/>
      <c r="AB1482" s="4"/>
      <c r="AC1482" s="4"/>
      <c r="AD1482" s="6"/>
      <c r="AE1482" s="4"/>
      <c r="AF1482" s="4"/>
      <c r="AG1482" s="4"/>
      <c r="AH1482" s="4"/>
    </row>
    <row r="1483" spans="1:34" x14ac:dyDescent="0.25">
      <c r="A1483" s="4">
        <v>1482</v>
      </c>
      <c r="B1483" s="5" t="s">
        <v>3093</v>
      </c>
      <c r="C1483" s="5" t="s">
        <v>3094</v>
      </c>
      <c r="D1483" s="5" t="s">
        <v>1586</v>
      </c>
      <c r="E1483" s="5" t="s">
        <v>40</v>
      </c>
      <c r="F1483" s="5" t="s">
        <v>52</v>
      </c>
      <c r="G1483" s="5" t="s">
        <v>110</v>
      </c>
      <c r="H1483" s="4"/>
      <c r="I1483" s="4"/>
      <c r="J1483" s="6"/>
      <c r="K1483" s="6"/>
      <c r="L1483" s="6"/>
      <c r="M1483" s="4"/>
      <c r="N1483" s="4"/>
      <c r="O1483" s="4"/>
      <c r="P1483" s="6"/>
      <c r="Q1483" s="6"/>
      <c r="R1483" s="6"/>
      <c r="S1483" s="6"/>
      <c r="T1483" s="4"/>
      <c r="U1483" s="6"/>
      <c r="V1483" s="6"/>
      <c r="W1483" s="6"/>
      <c r="X1483" s="6"/>
      <c r="Y1483" s="4"/>
      <c r="Z1483" s="6"/>
      <c r="AA1483" s="4"/>
      <c r="AB1483" s="4"/>
      <c r="AC1483" s="4"/>
      <c r="AD1483" s="6"/>
      <c r="AE1483" s="4"/>
      <c r="AF1483" s="4"/>
      <c r="AG1483" s="4"/>
      <c r="AH1483" s="4">
        <v>12338833900</v>
      </c>
    </row>
    <row r="1484" spans="1:34" x14ac:dyDescent="0.25">
      <c r="A1484" s="4">
        <v>1483</v>
      </c>
      <c r="B1484" s="5" t="s">
        <v>3095</v>
      </c>
      <c r="C1484" s="5" t="s">
        <v>3096</v>
      </c>
      <c r="D1484" s="5" t="s">
        <v>1586</v>
      </c>
      <c r="E1484" s="5" t="s">
        <v>98</v>
      </c>
      <c r="F1484" s="5" t="s">
        <v>99</v>
      </c>
      <c r="G1484" s="5" t="s">
        <v>1841</v>
      </c>
      <c r="H1484" s="4"/>
      <c r="I1484" s="4"/>
      <c r="J1484" s="6"/>
      <c r="K1484" s="6"/>
      <c r="L1484" s="6"/>
      <c r="M1484" s="4"/>
      <c r="N1484" s="4"/>
      <c r="O1484" s="4"/>
      <c r="P1484" s="6"/>
      <c r="Q1484" s="6"/>
      <c r="R1484" s="6"/>
      <c r="S1484" s="6"/>
      <c r="T1484" s="4"/>
      <c r="U1484" s="6"/>
      <c r="V1484" s="6"/>
      <c r="W1484" s="6"/>
      <c r="X1484" s="6"/>
      <c r="Y1484" s="4"/>
      <c r="Z1484" s="6"/>
      <c r="AA1484" s="4"/>
      <c r="AB1484" s="4"/>
      <c r="AC1484" s="4"/>
      <c r="AD1484" s="6"/>
      <c r="AE1484" s="4"/>
      <c r="AF1484" s="4"/>
      <c r="AG1484" s="4"/>
      <c r="AH1484" s="4">
        <v>106080000000</v>
      </c>
    </row>
    <row r="1485" spans="1:34" x14ac:dyDescent="0.25">
      <c r="A1485" s="4">
        <v>1484</v>
      </c>
      <c r="B1485" s="5" t="s">
        <v>3097</v>
      </c>
      <c r="C1485" s="5" t="s">
        <v>3098</v>
      </c>
      <c r="D1485" s="5" t="s">
        <v>1586</v>
      </c>
      <c r="E1485" s="5" t="s">
        <v>234</v>
      </c>
      <c r="F1485" s="5" t="s">
        <v>235</v>
      </c>
      <c r="G1485" s="5" t="s">
        <v>236</v>
      </c>
      <c r="H1485" s="4">
        <v>19386111889</v>
      </c>
      <c r="I1485" s="4">
        <v>45381591759</v>
      </c>
      <c r="J1485" s="6">
        <v>-5.62E-2</v>
      </c>
      <c r="K1485" s="6">
        <v>0.1527</v>
      </c>
      <c r="L1485" s="6">
        <v>6.9699999999999998E-2</v>
      </c>
      <c r="M1485" s="4">
        <v>2486275104</v>
      </c>
      <c r="N1485" s="4">
        <v>3041913153</v>
      </c>
      <c r="O1485" s="4"/>
      <c r="P1485" s="6">
        <v>23.712700000000002</v>
      </c>
      <c r="Q1485" s="6">
        <v>16.0151</v>
      </c>
      <c r="R1485" s="6">
        <v>2.3347000000000002</v>
      </c>
      <c r="S1485" s="6">
        <v>3.4746000000000001</v>
      </c>
      <c r="T1485" s="4"/>
      <c r="U1485" s="6">
        <v>-0.65090000000000003</v>
      </c>
      <c r="V1485" s="6">
        <v>0.7994</v>
      </c>
      <c r="W1485" s="6">
        <v>0.52100000000000002</v>
      </c>
      <c r="X1485" s="6">
        <v>0</v>
      </c>
      <c r="Y1485" s="4"/>
      <c r="Z1485" s="6">
        <v>-0.25430000000000003</v>
      </c>
      <c r="AA1485" s="4"/>
      <c r="AB1485" s="4"/>
      <c r="AC1485" s="4"/>
      <c r="AD1485" s="6">
        <v>0</v>
      </c>
      <c r="AE1485" s="4"/>
      <c r="AF1485" s="4"/>
      <c r="AG1485" s="4"/>
      <c r="AH1485" s="4">
        <v>51849099900</v>
      </c>
    </row>
    <row r="1486" spans="1:34" x14ac:dyDescent="0.25">
      <c r="A1486" s="4">
        <v>1485</v>
      </c>
      <c r="B1486" s="5" t="s">
        <v>3099</v>
      </c>
      <c r="C1486" s="5" t="s">
        <v>3100</v>
      </c>
      <c r="D1486" s="5" t="s">
        <v>1586</v>
      </c>
      <c r="E1486" s="5" t="s">
        <v>75</v>
      </c>
      <c r="F1486" s="5" t="s">
        <v>79</v>
      </c>
      <c r="G1486" s="5" t="s">
        <v>80</v>
      </c>
      <c r="H1486" s="4">
        <v>29650223786</v>
      </c>
      <c r="I1486" s="4">
        <v>92149164957</v>
      </c>
      <c r="J1486" s="6">
        <v>-0.21820000000000001</v>
      </c>
      <c r="K1486" s="6">
        <v>1.1657</v>
      </c>
      <c r="L1486" s="6">
        <v>1.4932000000000001</v>
      </c>
      <c r="M1486" s="4">
        <v>3090056059</v>
      </c>
      <c r="N1486" s="4">
        <v>13055578653</v>
      </c>
      <c r="O1486" s="4"/>
      <c r="P1486" s="6">
        <v>-0.79049999999999998</v>
      </c>
      <c r="Q1486" s="6">
        <v>1.1496999999999999</v>
      </c>
      <c r="R1486" s="6">
        <v>-0.68820000000000003</v>
      </c>
      <c r="S1486" s="6">
        <v>-0.68989999999999996</v>
      </c>
      <c r="T1486" s="4"/>
      <c r="U1486" s="6">
        <v>-0.73670000000000002</v>
      </c>
      <c r="V1486" s="6">
        <v>-0.7379</v>
      </c>
      <c r="W1486" s="6">
        <v>-0.7389</v>
      </c>
      <c r="X1486" s="6">
        <v>0</v>
      </c>
      <c r="Y1486" s="4"/>
      <c r="Z1486" s="6">
        <v>-0.52559999999999996</v>
      </c>
      <c r="AA1486" s="4"/>
      <c r="AB1486" s="4"/>
      <c r="AC1486" s="4"/>
      <c r="AD1486" s="6">
        <v>0</v>
      </c>
      <c r="AE1486" s="4"/>
      <c r="AF1486" s="4"/>
      <c r="AG1486" s="4"/>
      <c r="AH1486" s="4">
        <v>833484600000</v>
      </c>
    </row>
    <row r="1487" spans="1:34" x14ac:dyDescent="0.25">
      <c r="A1487" s="4">
        <v>1486</v>
      </c>
      <c r="B1487" s="5" t="s">
        <v>3101</v>
      </c>
      <c r="C1487" s="5" t="s">
        <v>3102</v>
      </c>
      <c r="D1487" s="5" t="s">
        <v>1586</v>
      </c>
      <c r="E1487" s="5" t="s">
        <v>40</v>
      </c>
      <c r="F1487" s="5" t="s">
        <v>52</v>
      </c>
      <c r="G1487" s="5" t="s">
        <v>110</v>
      </c>
      <c r="H1487" s="4"/>
      <c r="I1487" s="4"/>
      <c r="J1487" s="6"/>
      <c r="K1487" s="6"/>
      <c r="L1487" s="6"/>
      <c r="M1487" s="4"/>
      <c r="N1487" s="4"/>
      <c r="O1487" s="4"/>
      <c r="P1487" s="6"/>
      <c r="Q1487" s="6"/>
      <c r="R1487" s="6"/>
      <c r="S1487" s="6"/>
      <c r="T1487" s="4"/>
      <c r="U1487" s="6"/>
      <c r="V1487" s="6"/>
      <c r="W1487" s="6"/>
      <c r="X1487" s="6"/>
      <c r="Y1487" s="4"/>
      <c r="Z1487" s="6"/>
      <c r="AA1487" s="4"/>
      <c r="AB1487" s="4"/>
      <c r="AC1487" s="4"/>
      <c r="AD1487" s="6"/>
      <c r="AE1487" s="4"/>
      <c r="AF1487" s="4"/>
      <c r="AG1487" s="4"/>
      <c r="AH1487" s="4">
        <v>51150000000</v>
      </c>
    </row>
    <row r="1488" spans="1:34" x14ac:dyDescent="0.25">
      <c r="A1488" s="4">
        <v>1487</v>
      </c>
      <c r="B1488" s="5" t="s">
        <v>3103</v>
      </c>
      <c r="C1488" s="5" t="s">
        <v>3104</v>
      </c>
      <c r="D1488" s="5" t="s">
        <v>1586</v>
      </c>
      <c r="E1488" s="5" t="s">
        <v>40</v>
      </c>
      <c r="F1488" s="5" t="s">
        <v>41</v>
      </c>
      <c r="G1488" s="5" t="s">
        <v>1716</v>
      </c>
      <c r="H1488" s="4"/>
      <c r="I1488" s="4"/>
      <c r="J1488" s="6"/>
      <c r="K1488" s="6"/>
      <c r="L1488" s="6"/>
      <c r="M1488" s="4"/>
      <c r="N1488" s="4"/>
      <c r="O1488" s="4"/>
      <c r="P1488" s="6"/>
      <c r="Q1488" s="6"/>
      <c r="R1488" s="6"/>
      <c r="S1488" s="6"/>
      <c r="T1488" s="4"/>
      <c r="U1488" s="6"/>
      <c r="V1488" s="6"/>
      <c r="W1488" s="6"/>
      <c r="X1488" s="6"/>
      <c r="Y1488" s="4"/>
      <c r="Z1488" s="6"/>
      <c r="AA1488" s="4"/>
      <c r="AB1488" s="4"/>
      <c r="AC1488" s="4"/>
      <c r="AD1488" s="6"/>
      <c r="AE1488" s="4"/>
      <c r="AF1488" s="4"/>
      <c r="AG1488" s="4"/>
      <c r="AH1488" s="4">
        <v>92377600000</v>
      </c>
    </row>
    <row r="1489" spans="1:34" x14ac:dyDescent="0.25">
      <c r="A1489" s="4">
        <v>1488</v>
      </c>
      <c r="B1489" s="5" t="s">
        <v>3105</v>
      </c>
      <c r="C1489" s="5" t="s">
        <v>3106</v>
      </c>
      <c r="D1489" s="5" t="s">
        <v>1586</v>
      </c>
      <c r="E1489" s="5" t="s">
        <v>40</v>
      </c>
      <c r="F1489" s="5" t="s">
        <v>41</v>
      </c>
      <c r="G1489" s="5" t="s">
        <v>1716</v>
      </c>
      <c r="H1489" s="4"/>
      <c r="I1489" s="4"/>
      <c r="J1489" s="6"/>
      <c r="K1489" s="6"/>
      <c r="L1489" s="6"/>
      <c r="M1489" s="4"/>
      <c r="N1489" s="4"/>
      <c r="O1489" s="4"/>
      <c r="P1489" s="6"/>
      <c r="Q1489" s="6"/>
      <c r="R1489" s="6"/>
      <c r="S1489" s="6"/>
      <c r="T1489" s="4"/>
      <c r="U1489" s="6"/>
      <c r="V1489" s="6"/>
      <c r="W1489" s="6"/>
      <c r="X1489" s="6"/>
      <c r="Y1489" s="4"/>
      <c r="Z1489" s="6"/>
      <c r="AA1489" s="4"/>
      <c r="AB1489" s="4"/>
      <c r="AC1489" s="4"/>
      <c r="AD1489" s="6"/>
      <c r="AE1489" s="4"/>
      <c r="AF1489" s="4"/>
      <c r="AG1489" s="4"/>
      <c r="AH1489" s="4">
        <v>27600000000</v>
      </c>
    </row>
    <row r="1490" spans="1:34" x14ac:dyDescent="0.25">
      <c r="A1490" s="4">
        <v>1489</v>
      </c>
      <c r="B1490" s="5" t="s">
        <v>3107</v>
      </c>
      <c r="C1490" s="5" t="s">
        <v>3108</v>
      </c>
      <c r="D1490" s="5" t="s">
        <v>1586</v>
      </c>
      <c r="E1490" s="5" t="s">
        <v>29</v>
      </c>
      <c r="F1490" s="5" t="s">
        <v>30</v>
      </c>
      <c r="G1490" s="5" t="s">
        <v>31</v>
      </c>
      <c r="H1490" s="4"/>
      <c r="I1490" s="4"/>
      <c r="J1490" s="6"/>
      <c r="K1490" s="6"/>
      <c r="L1490" s="6"/>
      <c r="M1490" s="4"/>
      <c r="N1490" s="4"/>
      <c r="O1490" s="4"/>
      <c r="P1490" s="6"/>
      <c r="Q1490" s="6"/>
      <c r="R1490" s="6"/>
      <c r="S1490" s="6"/>
      <c r="T1490" s="4"/>
      <c r="U1490" s="6"/>
      <c r="V1490" s="6"/>
      <c r="W1490" s="6"/>
      <c r="X1490" s="6"/>
      <c r="Y1490" s="4"/>
      <c r="Z1490" s="6"/>
      <c r="AA1490" s="4"/>
      <c r="AB1490" s="4"/>
      <c r="AC1490" s="4"/>
      <c r="AD1490" s="6"/>
      <c r="AE1490" s="4"/>
      <c r="AF1490" s="4"/>
      <c r="AG1490" s="4"/>
      <c r="AH1490" s="4">
        <v>38939964800</v>
      </c>
    </row>
    <row r="1491" spans="1:34" x14ac:dyDescent="0.25">
      <c r="A1491" s="4">
        <v>1490</v>
      </c>
      <c r="B1491" s="5" t="s">
        <v>3109</v>
      </c>
      <c r="C1491" s="5" t="s">
        <v>3110</v>
      </c>
      <c r="D1491" s="5" t="s">
        <v>1586</v>
      </c>
      <c r="E1491" s="5" t="s">
        <v>40</v>
      </c>
      <c r="F1491" s="5" t="s">
        <v>52</v>
      </c>
      <c r="G1491" s="5" t="s">
        <v>53</v>
      </c>
      <c r="H1491" s="4"/>
      <c r="I1491" s="4"/>
      <c r="J1491" s="6"/>
      <c r="K1491" s="6"/>
      <c r="L1491" s="6"/>
      <c r="M1491" s="4"/>
      <c r="N1491" s="4"/>
      <c r="O1491" s="4"/>
      <c r="P1491" s="6"/>
      <c r="Q1491" s="6"/>
      <c r="R1491" s="6"/>
      <c r="S1491" s="6"/>
      <c r="T1491" s="4"/>
      <c r="U1491" s="6"/>
      <c r="V1491" s="6"/>
      <c r="W1491" s="6"/>
      <c r="X1491" s="6"/>
      <c r="Y1491" s="4"/>
      <c r="Z1491" s="6"/>
      <c r="AA1491" s="4"/>
      <c r="AB1491" s="4"/>
      <c r="AC1491" s="4"/>
      <c r="AD1491" s="6"/>
      <c r="AE1491" s="4"/>
      <c r="AF1491" s="4"/>
      <c r="AG1491" s="4"/>
      <c r="AH1491" s="4"/>
    </row>
    <row r="1492" spans="1:34" x14ac:dyDescent="0.25">
      <c r="A1492" s="4">
        <v>1491</v>
      </c>
      <c r="B1492" s="5" t="s">
        <v>3111</v>
      </c>
      <c r="C1492" s="5" t="s">
        <v>3112</v>
      </c>
      <c r="D1492" s="5" t="s">
        <v>1586</v>
      </c>
      <c r="E1492" s="5" t="s">
        <v>24</v>
      </c>
      <c r="F1492" s="5" t="s">
        <v>25</v>
      </c>
      <c r="G1492" s="5" t="s">
        <v>26</v>
      </c>
      <c r="H1492" s="4"/>
      <c r="I1492" s="4"/>
      <c r="J1492" s="6"/>
      <c r="K1492" s="6"/>
      <c r="L1492" s="6"/>
      <c r="M1492" s="4"/>
      <c r="N1492" s="4"/>
      <c r="O1492" s="4"/>
      <c r="P1492" s="6"/>
      <c r="Q1492" s="6"/>
      <c r="R1492" s="6"/>
      <c r="S1492" s="6"/>
      <c r="T1492" s="4"/>
      <c r="U1492" s="6"/>
      <c r="V1492" s="6"/>
      <c r="W1492" s="6"/>
      <c r="X1492" s="6"/>
      <c r="Y1492" s="4"/>
      <c r="Z1492" s="6"/>
      <c r="AA1492" s="4"/>
      <c r="AB1492" s="4"/>
      <c r="AC1492" s="4"/>
      <c r="AD1492" s="6"/>
      <c r="AE1492" s="4"/>
      <c r="AF1492" s="4"/>
      <c r="AG1492" s="4"/>
      <c r="AH1492" s="4"/>
    </row>
    <row r="1493" spans="1:34" x14ac:dyDescent="0.25">
      <c r="A1493" s="4">
        <v>1492</v>
      </c>
      <c r="B1493" s="5" t="s">
        <v>3113</v>
      </c>
      <c r="C1493" s="5" t="s">
        <v>3114</v>
      </c>
      <c r="D1493" s="5" t="s">
        <v>1586</v>
      </c>
      <c r="E1493" s="5" t="s">
        <v>24</v>
      </c>
      <c r="F1493" s="5" t="s">
        <v>25</v>
      </c>
      <c r="G1493" s="5" t="s">
        <v>45</v>
      </c>
      <c r="H1493" s="4"/>
      <c r="I1493" s="4"/>
      <c r="J1493" s="6"/>
      <c r="K1493" s="6"/>
      <c r="L1493" s="6"/>
      <c r="M1493" s="4"/>
      <c r="N1493" s="4"/>
      <c r="O1493" s="4"/>
      <c r="P1493" s="6"/>
      <c r="Q1493" s="6"/>
      <c r="R1493" s="6"/>
      <c r="S1493" s="6"/>
      <c r="T1493" s="4"/>
      <c r="U1493" s="6"/>
      <c r="V1493" s="6"/>
      <c r="W1493" s="6"/>
      <c r="X1493" s="6"/>
      <c r="Y1493" s="4"/>
      <c r="Z1493" s="6"/>
      <c r="AA1493" s="4"/>
      <c r="AB1493" s="4"/>
      <c r="AC1493" s="4"/>
      <c r="AD1493" s="6"/>
      <c r="AE1493" s="4"/>
      <c r="AF1493" s="4"/>
      <c r="AG1493" s="4"/>
      <c r="AH1493" s="4">
        <v>808750352256</v>
      </c>
    </row>
    <row r="1494" spans="1:34" x14ac:dyDescent="0.25">
      <c r="A1494" s="4">
        <v>1493</v>
      </c>
      <c r="B1494" s="5" t="s">
        <v>3115</v>
      </c>
      <c r="C1494" s="5" t="s">
        <v>3116</v>
      </c>
      <c r="D1494" s="5" t="s">
        <v>1586</v>
      </c>
      <c r="E1494" s="5" t="s">
        <v>98</v>
      </c>
      <c r="F1494" s="5" t="s">
        <v>99</v>
      </c>
      <c r="G1494" s="5" t="s">
        <v>155</v>
      </c>
      <c r="H1494" s="4">
        <v>305602096699</v>
      </c>
      <c r="I1494" s="4"/>
      <c r="J1494" s="6">
        <v>4.9099999999999998E-2</v>
      </c>
      <c r="K1494" s="6">
        <v>3.15E-2</v>
      </c>
      <c r="L1494" s="6">
        <v>3.4200000000000001E-2</v>
      </c>
      <c r="M1494" s="4">
        <v>40419468117</v>
      </c>
      <c r="N1494" s="4"/>
      <c r="O1494" s="4"/>
      <c r="P1494" s="6">
        <v>0.129</v>
      </c>
      <c r="Q1494" s="6">
        <v>-0.2384</v>
      </c>
      <c r="R1494" s="6">
        <v>-0.24349999999999999</v>
      </c>
      <c r="S1494" s="6">
        <v>0.4355</v>
      </c>
      <c r="T1494" s="4"/>
      <c r="U1494" s="6">
        <v>-0.5141</v>
      </c>
      <c r="V1494" s="6">
        <v>-0.42609999999999998</v>
      </c>
      <c r="W1494" s="6">
        <v>-0.42609999999999998</v>
      </c>
      <c r="X1494" s="6">
        <v>0</v>
      </c>
      <c r="Y1494" s="4"/>
      <c r="Z1494" s="6">
        <v>0.27039999999999997</v>
      </c>
      <c r="AA1494" s="4"/>
      <c r="AB1494" s="4"/>
      <c r="AC1494" s="4"/>
      <c r="AD1494" s="6">
        <v>0</v>
      </c>
      <c r="AE1494" s="4"/>
      <c r="AF1494" s="4"/>
      <c r="AG1494" s="4"/>
      <c r="AH1494" s="4">
        <v>1631999830000</v>
      </c>
    </row>
    <row r="1495" spans="1:34" x14ac:dyDescent="0.25">
      <c r="A1495" s="4">
        <v>1494</v>
      </c>
      <c r="B1495" s="5" t="s">
        <v>3117</v>
      </c>
      <c r="C1495" s="5" t="s">
        <v>3118</v>
      </c>
      <c r="D1495" s="5" t="s">
        <v>1586</v>
      </c>
      <c r="E1495" s="5" t="s">
        <v>24</v>
      </c>
      <c r="F1495" s="5" t="s">
        <v>56</v>
      </c>
      <c r="G1495" s="5" t="s">
        <v>129</v>
      </c>
      <c r="H1495" s="4"/>
      <c r="I1495" s="4"/>
      <c r="J1495" s="6"/>
      <c r="K1495" s="6"/>
      <c r="L1495" s="6"/>
      <c r="M1495" s="4"/>
      <c r="N1495" s="4"/>
      <c r="O1495" s="4"/>
      <c r="P1495" s="6"/>
      <c r="Q1495" s="6"/>
      <c r="R1495" s="6"/>
      <c r="S1495" s="6"/>
      <c r="T1495" s="4"/>
      <c r="U1495" s="6"/>
      <c r="V1495" s="6"/>
      <c r="W1495" s="6"/>
      <c r="X1495" s="6"/>
      <c r="Y1495" s="4"/>
      <c r="Z1495" s="6"/>
      <c r="AA1495" s="4"/>
      <c r="AB1495" s="4"/>
      <c r="AC1495" s="4"/>
      <c r="AD1495" s="6"/>
      <c r="AE1495" s="4"/>
      <c r="AF1495" s="4"/>
      <c r="AG1495" s="4"/>
      <c r="AH1495" s="4">
        <v>43000000000</v>
      </c>
    </row>
    <row r="1496" spans="1:34" x14ac:dyDescent="0.25">
      <c r="A1496" s="4">
        <v>1495</v>
      </c>
      <c r="B1496" s="5" t="s">
        <v>3119</v>
      </c>
      <c r="C1496" s="5" t="s">
        <v>3120</v>
      </c>
      <c r="D1496" s="5" t="s">
        <v>1586</v>
      </c>
      <c r="E1496" s="5" t="s">
        <v>40</v>
      </c>
      <c r="F1496" s="5" t="s">
        <v>41</v>
      </c>
      <c r="G1496" s="5" t="s">
        <v>619</v>
      </c>
      <c r="H1496" s="4"/>
      <c r="I1496" s="4"/>
      <c r="J1496" s="6"/>
      <c r="K1496" s="6"/>
      <c r="L1496" s="6"/>
      <c r="M1496" s="4"/>
      <c r="N1496" s="4"/>
      <c r="O1496" s="4"/>
      <c r="P1496" s="6"/>
      <c r="Q1496" s="6"/>
      <c r="R1496" s="6"/>
      <c r="S1496" s="6"/>
      <c r="T1496" s="4"/>
      <c r="U1496" s="6"/>
      <c r="V1496" s="6"/>
      <c r="W1496" s="6"/>
      <c r="X1496" s="6"/>
      <c r="Y1496" s="4"/>
      <c r="Z1496" s="6"/>
      <c r="AA1496" s="4"/>
      <c r="AB1496" s="4"/>
      <c r="AC1496" s="4"/>
      <c r="AD1496" s="6"/>
      <c r="AE1496" s="4"/>
      <c r="AF1496" s="4"/>
      <c r="AG1496" s="4"/>
      <c r="AH1496" s="4">
        <v>55680000000</v>
      </c>
    </row>
    <row r="1497" spans="1:34" x14ac:dyDescent="0.25">
      <c r="A1497" s="4">
        <v>1496</v>
      </c>
      <c r="B1497" s="5" t="s">
        <v>3121</v>
      </c>
      <c r="C1497" s="5" t="s">
        <v>3122</v>
      </c>
      <c r="D1497" s="5" t="s">
        <v>1586</v>
      </c>
      <c r="E1497" s="5" t="s">
        <v>40</v>
      </c>
      <c r="F1497" s="5" t="s">
        <v>41</v>
      </c>
      <c r="G1497" s="5" t="s">
        <v>557</v>
      </c>
      <c r="H1497" s="4"/>
      <c r="I1497" s="4"/>
      <c r="J1497" s="6"/>
      <c r="K1497" s="6"/>
      <c r="L1497" s="6"/>
      <c r="M1497" s="4"/>
      <c r="N1497" s="4"/>
      <c r="O1497" s="4"/>
      <c r="P1497" s="6"/>
      <c r="Q1497" s="6"/>
      <c r="R1497" s="6"/>
      <c r="S1497" s="6"/>
      <c r="T1497" s="4"/>
      <c r="U1497" s="6"/>
      <c r="V1497" s="6"/>
      <c r="W1497" s="6"/>
      <c r="X1497" s="6"/>
      <c r="Y1497" s="4"/>
      <c r="Z1497" s="6"/>
      <c r="AA1497" s="4"/>
      <c r="AB1497" s="4"/>
      <c r="AC1497" s="4"/>
      <c r="AD1497" s="6"/>
      <c r="AE1497" s="4"/>
      <c r="AF1497" s="4"/>
      <c r="AG1497" s="4"/>
      <c r="AH1497" s="4">
        <v>14400000000</v>
      </c>
    </row>
    <row r="1498" spans="1:34" x14ac:dyDescent="0.25">
      <c r="A1498" s="4">
        <v>1497</v>
      </c>
      <c r="B1498" s="5" t="s">
        <v>3123</v>
      </c>
      <c r="C1498" s="5" t="s">
        <v>3124</v>
      </c>
      <c r="D1498" s="5" t="s">
        <v>1586</v>
      </c>
      <c r="E1498" s="5" t="s">
        <v>40</v>
      </c>
      <c r="F1498" s="5" t="s">
        <v>52</v>
      </c>
      <c r="G1498" s="5" t="s">
        <v>110</v>
      </c>
      <c r="H1498" s="4"/>
      <c r="I1498" s="4"/>
      <c r="J1498" s="6"/>
      <c r="K1498" s="6"/>
      <c r="L1498" s="6"/>
      <c r="M1498" s="4"/>
      <c r="N1498" s="4"/>
      <c r="O1498" s="4"/>
      <c r="P1498" s="6"/>
      <c r="Q1498" s="6"/>
      <c r="R1498" s="6"/>
      <c r="S1498" s="6"/>
      <c r="T1498" s="4"/>
      <c r="U1498" s="6"/>
      <c r="V1498" s="6"/>
      <c r="W1498" s="6"/>
      <c r="X1498" s="6"/>
      <c r="Y1498" s="4"/>
      <c r="Z1498" s="6"/>
      <c r="AA1498" s="4"/>
      <c r="AB1498" s="4"/>
      <c r="AC1498" s="4"/>
      <c r="AD1498" s="6"/>
      <c r="AE1498" s="4"/>
      <c r="AF1498" s="4"/>
      <c r="AG1498" s="4"/>
      <c r="AH1498" s="4">
        <v>40000000000</v>
      </c>
    </row>
    <row r="1499" spans="1:34" x14ac:dyDescent="0.25">
      <c r="A1499" s="4">
        <v>1498</v>
      </c>
      <c r="B1499" s="5" t="s">
        <v>3125</v>
      </c>
      <c r="C1499" s="5" t="s">
        <v>3126</v>
      </c>
      <c r="D1499" s="5" t="s">
        <v>1586</v>
      </c>
      <c r="E1499" s="5" t="s">
        <v>98</v>
      </c>
      <c r="F1499" s="5" t="s">
        <v>99</v>
      </c>
      <c r="G1499" s="5" t="s">
        <v>144</v>
      </c>
      <c r="H1499" s="4"/>
      <c r="I1499" s="4"/>
      <c r="J1499" s="6"/>
      <c r="K1499" s="6"/>
      <c r="L1499" s="6"/>
      <c r="M1499" s="4"/>
      <c r="N1499" s="4"/>
      <c r="O1499" s="4"/>
      <c r="P1499" s="6"/>
      <c r="Q1499" s="6"/>
      <c r="R1499" s="6"/>
      <c r="S1499" s="6"/>
      <c r="T1499" s="4"/>
      <c r="U1499" s="6"/>
      <c r="V1499" s="6"/>
      <c r="W1499" s="6"/>
      <c r="X1499" s="6"/>
      <c r="Y1499" s="4"/>
      <c r="Z1499" s="6"/>
      <c r="AA1499" s="4"/>
      <c r="AB1499" s="4"/>
      <c r="AC1499" s="4"/>
      <c r="AD1499" s="6"/>
      <c r="AE1499" s="4"/>
      <c r="AF1499" s="4"/>
      <c r="AG1499" s="4"/>
      <c r="AH1499" s="4">
        <v>1902360395232</v>
      </c>
    </row>
    <row r="1500" spans="1:34" x14ac:dyDescent="0.25">
      <c r="A1500" s="4">
        <v>1499</v>
      </c>
      <c r="B1500" s="5" t="s">
        <v>3127</v>
      </c>
      <c r="C1500" s="5" t="s">
        <v>3128</v>
      </c>
      <c r="D1500" s="5" t="s">
        <v>1586</v>
      </c>
      <c r="E1500" s="5" t="s">
        <v>75</v>
      </c>
      <c r="F1500" s="5" t="s">
        <v>76</v>
      </c>
      <c r="G1500" s="5" t="s">
        <v>76</v>
      </c>
      <c r="H1500" s="4"/>
      <c r="I1500" s="4"/>
      <c r="J1500" s="6"/>
      <c r="K1500" s="6"/>
      <c r="L1500" s="6"/>
      <c r="M1500" s="4"/>
      <c r="N1500" s="4"/>
      <c r="O1500" s="4"/>
      <c r="P1500" s="6"/>
      <c r="Q1500" s="6"/>
      <c r="R1500" s="6"/>
      <c r="S1500" s="6"/>
      <c r="T1500" s="4"/>
      <c r="U1500" s="6"/>
      <c r="V1500" s="6"/>
      <c r="W1500" s="6"/>
      <c r="X1500" s="6"/>
      <c r="Y1500" s="4"/>
      <c r="Z1500" s="6"/>
      <c r="AA1500" s="4"/>
      <c r="AB1500" s="4"/>
      <c r="AC1500" s="4"/>
      <c r="AD1500" s="6"/>
      <c r="AE1500" s="4"/>
      <c r="AF1500" s="4"/>
      <c r="AG1500" s="4"/>
      <c r="AH1500" s="4">
        <v>8820000000000</v>
      </c>
    </row>
    <row r="1501" spans="1:34" x14ac:dyDescent="0.25">
      <c r="A1501" s="4">
        <v>1500</v>
      </c>
      <c r="B1501" s="5" t="s">
        <v>3129</v>
      </c>
      <c r="C1501" s="5" t="s">
        <v>3130</v>
      </c>
      <c r="D1501" s="5" t="s">
        <v>1586</v>
      </c>
      <c r="E1501" s="5" t="s">
        <v>40</v>
      </c>
      <c r="F1501" s="5" t="s">
        <v>41</v>
      </c>
      <c r="G1501" s="5" t="s">
        <v>42</v>
      </c>
      <c r="H1501" s="4"/>
      <c r="I1501" s="4"/>
      <c r="J1501" s="6"/>
      <c r="K1501" s="6"/>
      <c r="L1501" s="6"/>
      <c r="M1501" s="4"/>
      <c r="N1501" s="4"/>
      <c r="O1501" s="4"/>
      <c r="P1501" s="6"/>
      <c r="Q1501" s="6"/>
      <c r="R1501" s="6"/>
      <c r="S1501" s="6"/>
      <c r="T1501" s="4"/>
      <c r="U1501" s="6"/>
      <c r="V1501" s="6"/>
      <c r="W1501" s="6"/>
      <c r="X1501" s="6"/>
      <c r="Y1501" s="4"/>
      <c r="Z1501" s="6"/>
      <c r="AA1501" s="4"/>
      <c r="AB1501" s="4"/>
      <c r="AC1501" s="4"/>
      <c r="AD1501" s="6"/>
      <c r="AE1501" s="4"/>
      <c r="AF1501" s="4"/>
      <c r="AG1501" s="4"/>
      <c r="AH1501" s="4">
        <v>9460000000</v>
      </c>
    </row>
    <row r="1502" spans="1:34" x14ac:dyDescent="0.25">
      <c r="A1502" s="4">
        <v>1501</v>
      </c>
      <c r="B1502" s="5" t="s">
        <v>3131</v>
      </c>
      <c r="C1502" s="5" t="s">
        <v>3132</v>
      </c>
      <c r="D1502" s="5" t="s">
        <v>1586</v>
      </c>
      <c r="E1502" s="5" t="s">
        <v>40</v>
      </c>
      <c r="F1502" s="5" t="s">
        <v>52</v>
      </c>
      <c r="G1502" s="5" t="s">
        <v>53</v>
      </c>
      <c r="H1502" s="4">
        <v>187984350066</v>
      </c>
      <c r="I1502" s="4">
        <v>363768746299</v>
      </c>
      <c r="J1502" s="6">
        <v>-0.15010000000000001</v>
      </c>
      <c r="K1502" s="6">
        <v>-0.13969999999999999</v>
      </c>
      <c r="L1502" s="6">
        <v>-0.17860000000000001</v>
      </c>
      <c r="M1502" s="4">
        <v>9195492874</v>
      </c>
      <c r="N1502" s="4">
        <v>4183856472</v>
      </c>
      <c r="O1502" s="4"/>
      <c r="P1502" s="6">
        <v>0.10009999999999999</v>
      </c>
      <c r="Q1502" s="6">
        <v>-0.70099999999999996</v>
      </c>
      <c r="R1502" s="6">
        <v>-0.38890000000000002</v>
      </c>
      <c r="S1502" s="6">
        <v>2.8348</v>
      </c>
      <c r="T1502" s="4"/>
      <c r="U1502" s="6">
        <v>-0.60199999999999998</v>
      </c>
      <c r="V1502" s="6">
        <v>-0.84330000000000005</v>
      </c>
      <c r="W1502" s="6">
        <v>-0.84560000000000002</v>
      </c>
      <c r="X1502" s="6">
        <v>0</v>
      </c>
      <c r="Y1502" s="4"/>
      <c r="Z1502" s="6">
        <v>6.9400000000000003E-2</v>
      </c>
      <c r="AA1502" s="4"/>
      <c r="AB1502" s="4"/>
      <c r="AC1502" s="4"/>
      <c r="AD1502" s="6">
        <v>0</v>
      </c>
      <c r="AE1502" s="4"/>
      <c r="AF1502" s="4"/>
      <c r="AG1502" s="4"/>
      <c r="AH1502" s="4">
        <v>302442000000</v>
      </c>
    </row>
    <row r="1503" spans="1:34" x14ac:dyDescent="0.25">
      <c r="A1503" s="4">
        <v>1502</v>
      </c>
      <c r="B1503" s="5" t="s">
        <v>3133</v>
      </c>
      <c r="C1503" s="5" t="s">
        <v>3134</v>
      </c>
      <c r="D1503" s="5" t="s">
        <v>1586</v>
      </c>
      <c r="E1503" s="5" t="s">
        <v>24</v>
      </c>
      <c r="F1503" s="5" t="s">
        <v>56</v>
      </c>
      <c r="G1503" s="5" t="s">
        <v>1044</v>
      </c>
      <c r="H1503" s="4"/>
      <c r="I1503" s="4"/>
      <c r="J1503" s="6"/>
      <c r="K1503" s="6"/>
      <c r="L1503" s="6"/>
      <c r="M1503" s="4"/>
      <c r="N1503" s="4"/>
      <c r="O1503" s="4"/>
      <c r="P1503" s="6"/>
      <c r="Q1503" s="6"/>
      <c r="R1503" s="6"/>
      <c r="S1503" s="6"/>
      <c r="T1503" s="4"/>
      <c r="U1503" s="6"/>
      <c r="V1503" s="6"/>
      <c r="W1503" s="6"/>
      <c r="X1503" s="6"/>
      <c r="Y1503" s="4"/>
      <c r="Z1503" s="6"/>
      <c r="AA1503" s="4"/>
      <c r="AB1503" s="4"/>
      <c r="AC1503" s="4"/>
      <c r="AD1503" s="6"/>
      <c r="AE1503" s="4"/>
      <c r="AF1503" s="4"/>
      <c r="AG1503" s="4"/>
      <c r="AH1503" s="4">
        <v>7810414200</v>
      </c>
    </row>
    <row r="1504" spans="1:34" x14ac:dyDescent="0.25">
      <c r="A1504" s="4">
        <v>1503</v>
      </c>
      <c r="B1504" s="5" t="s">
        <v>3135</v>
      </c>
      <c r="C1504" s="5" t="s">
        <v>3136</v>
      </c>
      <c r="D1504" s="5" t="s">
        <v>1586</v>
      </c>
      <c r="E1504" s="5" t="s">
        <v>29</v>
      </c>
      <c r="F1504" s="5" t="s">
        <v>36</v>
      </c>
      <c r="G1504" s="5" t="s">
        <v>37</v>
      </c>
      <c r="H1504" s="4"/>
      <c r="I1504" s="4"/>
      <c r="J1504" s="6"/>
      <c r="K1504" s="6"/>
      <c r="L1504" s="6"/>
      <c r="M1504" s="4"/>
      <c r="N1504" s="4"/>
      <c r="O1504" s="4"/>
      <c r="P1504" s="6"/>
      <c r="Q1504" s="6"/>
      <c r="R1504" s="6"/>
      <c r="S1504" s="6"/>
      <c r="T1504" s="4"/>
      <c r="U1504" s="6"/>
      <c r="V1504" s="6"/>
      <c r="W1504" s="6"/>
      <c r="X1504" s="6"/>
      <c r="Y1504" s="4"/>
      <c r="Z1504" s="6"/>
      <c r="AA1504" s="4"/>
      <c r="AB1504" s="4"/>
      <c r="AC1504" s="4"/>
      <c r="AD1504" s="6"/>
      <c r="AE1504" s="4"/>
      <c r="AF1504" s="4"/>
      <c r="AG1504" s="4"/>
      <c r="AH1504" s="4">
        <v>103746385600</v>
      </c>
    </row>
    <row r="1505" spans="1:34" x14ac:dyDescent="0.25">
      <c r="A1505" s="4">
        <v>1504</v>
      </c>
      <c r="B1505" s="5" t="s">
        <v>3137</v>
      </c>
      <c r="C1505" s="5" t="s">
        <v>3138</v>
      </c>
      <c r="D1505" s="5" t="s">
        <v>1586</v>
      </c>
      <c r="E1505" s="5" t="s">
        <v>29</v>
      </c>
      <c r="F1505" s="5" t="s">
        <v>36</v>
      </c>
      <c r="G1505" s="5" t="s">
        <v>37</v>
      </c>
      <c r="H1505" s="4"/>
      <c r="I1505" s="4"/>
      <c r="J1505" s="6"/>
      <c r="K1505" s="6"/>
      <c r="L1505" s="6"/>
      <c r="M1505" s="4"/>
      <c r="N1505" s="4"/>
      <c r="O1505" s="4"/>
      <c r="P1505" s="6"/>
      <c r="Q1505" s="6"/>
      <c r="R1505" s="6"/>
      <c r="S1505" s="6"/>
      <c r="T1505" s="4"/>
      <c r="U1505" s="6"/>
      <c r="V1505" s="6"/>
      <c r="W1505" s="6"/>
      <c r="X1505" s="6"/>
      <c r="Y1505" s="4"/>
      <c r="Z1505" s="6"/>
      <c r="AA1505" s="4"/>
      <c r="AB1505" s="4"/>
      <c r="AC1505" s="4"/>
      <c r="AD1505" s="6"/>
      <c r="AE1505" s="4"/>
      <c r="AF1505" s="4"/>
      <c r="AG1505" s="4"/>
      <c r="AH1505" s="4">
        <v>120622991000</v>
      </c>
    </row>
    <row r="1506" spans="1:34" x14ac:dyDescent="0.25">
      <c r="A1506" s="4">
        <v>1505</v>
      </c>
      <c r="B1506" s="5" t="s">
        <v>3139</v>
      </c>
      <c r="C1506" s="5" t="s">
        <v>3140</v>
      </c>
      <c r="D1506" s="5" t="s">
        <v>1586</v>
      </c>
      <c r="E1506" s="5" t="s">
        <v>24</v>
      </c>
      <c r="F1506" s="5" t="s">
        <v>56</v>
      </c>
      <c r="G1506" s="5" t="s">
        <v>291</v>
      </c>
      <c r="H1506" s="4"/>
      <c r="I1506" s="4"/>
      <c r="J1506" s="6"/>
      <c r="K1506" s="6"/>
      <c r="L1506" s="6"/>
      <c r="M1506" s="4"/>
      <c r="N1506" s="4"/>
      <c r="O1506" s="4"/>
      <c r="P1506" s="6"/>
      <c r="Q1506" s="6"/>
      <c r="R1506" s="6"/>
      <c r="S1506" s="6"/>
      <c r="T1506" s="4"/>
      <c r="U1506" s="6"/>
      <c r="V1506" s="6"/>
      <c r="W1506" s="6"/>
      <c r="X1506" s="6"/>
      <c r="Y1506" s="4"/>
      <c r="Z1506" s="6"/>
      <c r="AA1506" s="4"/>
      <c r="AB1506" s="4"/>
      <c r="AC1506" s="4"/>
      <c r="AD1506" s="6"/>
      <c r="AE1506" s="4"/>
      <c r="AF1506" s="4"/>
      <c r="AG1506" s="4"/>
      <c r="AH1506" s="4">
        <v>19654400000</v>
      </c>
    </row>
    <row r="1507" spans="1:34" x14ac:dyDescent="0.25">
      <c r="A1507" s="4">
        <v>1506</v>
      </c>
      <c r="B1507" s="5" t="s">
        <v>3141</v>
      </c>
      <c r="C1507" s="5" t="s">
        <v>3142</v>
      </c>
      <c r="D1507" s="5" t="s">
        <v>1586</v>
      </c>
      <c r="E1507" s="5" t="s">
        <v>40</v>
      </c>
      <c r="F1507" s="5" t="s">
        <v>52</v>
      </c>
      <c r="G1507" s="5" t="s">
        <v>110</v>
      </c>
      <c r="H1507" s="4"/>
      <c r="I1507" s="4"/>
      <c r="J1507" s="6"/>
      <c r="K1507" s="6"/>
      <c r="L1507" s="6"/>
      <c r="M1507" s="4"/>
      <c r="N1507" s="4"/>
      <c r="O1507" s="4"/>
      <c r="P1507" s="6"/>
      <c r="Q1507" s="6"/>
      <c r="R1507" s="6"/>
      <c r="S1507" s="6"/>
      <c r="T1507" s="4"/>
      <c r="U1507" s="6"/>
      <c r="V1507" s="6"/>
      <c r="W1507" s="6"/>
      <c r="X1507" s="6"/>
      <c r="Y1507" s="4"/>
      <c r="Z1507" s="6"/>
      <c r="AA1507" s="4"/>
      <c r="AB1507" s="4"/>
      <c r="AC1507" s="4"/>
      <c r="AD1507" s="6"/>
      <c r="AE1507" s="4"/>
      <c r="AF1507" s="4"/>
      <c r="AG1507" s="4"/>
      <c r="AH1507" s="4">
        <v>3420000000</v>
      </c>
    </row>
    <row r="1508" spans="1:34" x14ac:dyDescent="0.25">
      <c r="A1508" s="4">
        <v>1507</v>
      </c>
      <c r="B1508" s="5" t="s">
        <v>3143</v>
      </c>
      <c r="C1508" s="5" t="s">
        <v>3144</v>
      </c>
      <c r="D1508" s="5" t="s">
        <v>1586</v>
      </c>
      <c r="E1508" s="5" t="s">
        <v>40</v>
      </c>
      <c r="F1508" s="5" t="s">
        <v>52</v>
      </c>
      <c r="G1508" s="5" t="s">
        <v>110</v>
      </c>
      <c r="H1508" s="4">
        <v>66666667</v>
      </c>
      <c r="I1508" s="4">
        <v>2383083637</v>
      </c>
      <c r="J1508" s="6"/>
      <c r="K1508" s="6"/>
      <c r="L1508" s="6"/>
      <c r="M1508" s="4">
        <v>-378474059</v>
      </c>
      <c r="N1508" s="4">
        <v>-614670092</v>
      </c>
      <c r="O1508" s="4"/>
      <c r="P1508" s="6"/>
      <c r="Q1508" s="6"/>
      <c r="R1508" s="6"/>
      <c r="S1508" s="6"/>
      <c r="T1508" s="4"/>
      <c r="U1508" s="6"/>
      <c r="V1508" s="6"/>
      <c r="W1508" s="6"/>
      <c r="X1508" s="6"/>
      <c r="Y1508" s="4"/>
      <c r="Z1508" s="6"/>
      <c r="AA1508" s="4"/>
      <c r="AB1508" s="4"/>
      <c r="AC1508" s="4"/>
      <c r="AD1508" s="6"/>
      <c r="AE1508" s="4"/>
      <c r="AF1508" s="4"/>
      <c r="AG1508" s="4"/>
      <c r="AH1508" s="4">
        <v>34892524926</v>
      </c>
    </row>
    <row r="1509" spans="1:34" x14ac:dyDescent="0.25">
      <c r="A1509" s="4">
        <v>1508</v>
      </c>
      <c r="B1509" s="5" t="s">
        <v>3145</v>
      </c>
      <c r="C1509" s="5" t="s">
        <v>3146</v>
      </c>
      <c r="D1509" s="5" t="s">
        <v>1586</v>
      </c>
      <c r="E1509" s="5" t="s">
        <v>40</v>
      </c>
      <c r="F1509" s="5" t="s">
        <v>41</v>
      </c>
      <c r="G1509" s="5" t="s">
        <v>519</v>
      </c>
      <c r="H1509" s="4"/>
      <c r="I1509" s="4"/>
      <c r="J1509" s="6"/>
      <c r="K1509" s="6"/>
      <c r="L1509" s="6"/>
      <c r="M1509" s="4"/>
      <c r="N1509" s="4"/>
      <c r="O1509" s="4"/>
      <c r="P1509" s="6"/>
      <c r="Q1509" s="6"/>
      <c r="R1509" s="6"/>
      <c r="S1509" s="6"/>
      <c r="T1509" s="4"/>
      <c r="U1509" s="6"/>
      <c r="V1509" s="6"/>
      <c r="W1509" s="6"/>
      <c r="X1509" s="6"/>
      <c r="Y1509" s="4"/>
      <c r="Z1509" s="6"/>
      <c r="AA1509" s="4"/>
      <c r="AB1509" s="4"/>
      <c r="AC1509" s="4"/>
      <c r="AD1509" s="6"/>
      <c r="AE1509" s="4"/>
      <c r="AF1509" s="4"/>
      <c r="AG1509" s="4"/>
      <c r="AH1509" s="4">
        <v>45211091200000</v>
      </c>
    </row>
    <row r="1510" spans="1:34" x14ac:dyDescent="0.25">
      <c r="A1510" s="4">
        <v>1509</v>
      </c>
      <c r="B1510" s="5" t="s">
        <v>3147</v>
      </c>
      <c r="C1510" s="5" t="s">
        <v>3148</v>
      </c>
      <c r="D1510" s="5" t="s">
        <v>1586</v>
      </c>
      <c r="E1510" s="5" t="s">
        <v>185</v>
      </c>
      <c r="F1510" s="5" t="s">
        <v>185</v>
      </c>
      <c r="G1510" s="5" t="s">
        <v>1283</v>
      </c>
      <c r="H1510" s="4"/>
      <c r="I1510" s="4"/>
      <c r="J1510" s="6"/>
      <c r="K1510" s="6"/>
      <c r="L1510" s="6"/>
      <c r="M1510" s="4"/>
      <c r="N1510" s="4"/>
      <c r="O1510" s="4"/>
      <c r="P1510" s="6"/>
      <c r="Q1510" s="6"/>
      <c r="R1510" s="6"/>
      <c r="S1510" s="6"/>
      <c r="T1510" s="4"/>
      <c r="U1510" s="6"/>
      <c r="V1510" s="6"/>
      <c r="W1510" s="6"/>
      <c r="X1510" s="6"/>
      <c r="Y1510" s="4"/>
      <c r="Z1510" s="6"/>
      <c r="AA1510" s="4"/>
      <c r="AB1510" s="4"/>
      <c r="AC1510" s="4"/>
      <c r="AD1510" s="6"/>
      <c r="AE1510" s="4"/>
      <c r="AF1510" s="4"/>
      <c r="AG1510" s="4"/>
      <c r="AH1510" s="4">
        <v>1314000000000</v>
      </c>
    </row>
    <row r="1511" spans="1:34" x14ac:dyDescent="0.25">
      <c r="A1511" s="4">
        <v>1510</v>
      </c>
      <c r="B1511" s="5" t="s">
        <v>3149</v>
      </c>
      <c r="C1511" s="5" t="s">
        <v>3150</v>
      </c>
      <c r="D1511" s="5" t="s">
        <v>1586</v>
      </c>
      <c r="E1511" s="5" t="s">
        <v>75</v>
      </c>
      <c r="F1511" s="5" t="s">
        <v>76</v>
      </c>
      <c r="G1511" s="5" t="s">
        <v>76</v>
      </c>
      <c r="H1511" s="4">
        <v>388006000000</v>
      </c>
      <c r="I1511" s="4">
        <v>509589000000</v>
      </c>
      <c r="J1511" s="6">
        <v>78.8202</v>
      </c>
      <c r="K1511" s="6">
        <v>-0.98860000000000003</v>
      </c>
      <c r="L1511" s="6">
        <v>-0.98629999999999995</v>
      </c>
      <c r="M1511" s="4">
        <v>401112000000</v>
      </c>
      <c r="N1511" s="4">
        <v>540930000000</v>
      </c>
      <c r="O1511" s="4"/>
      <c r="P1511" s="6">
        <v>6.3500000000000001E-2</v>
      </c>
      <c r="Q1511" s="6">
        <v>-0.96450000000000002</v>
      </c>
      <c r="R1511" s="6">
        <v>-0.96699999999999997</v>
      </c>
      <c r="S1511" s="6">
        <v>1.8688</v>
      </c>
      <c r="T1511" s="4"/>
      <c r="U1511" s="6">
        <v>-0.4904</v>
      </c>
      <c r="V1511" s="6">
        <v>-9.3799999999999994E-2</v>
      </c>
      <c r="W1511" s="6">
        <v>-9.8400000000000001E-2</v>
      </c>
      <c r="X1511" s="6">
        <v>0</v>
      </c>
      <c r="Y1511" s="4"/>
      <c r="Z1511" s="6">
        <v>2.1913</v>
      </c>
      <c r="AA1511" s="4"/>
      <c r="AB1511" s="4"/>
      <c r="AC1511" s="4"/>
      <c r="AD1511" s="6">
        <v>0</v>
      </c>
      <c r="AE1511" s="4"/>
      <c r="AF1511" s="4"/>
      <c r="AG1511" s="4"/>
      <c r="AH1511" s="4">
        <v>11630752502600</v>
      </c>
    </row>
    <row r="1512" spans="1:34" x14ac:dyDescent="0.25">
      <c r="A1512" s="4">
        <v>1511</v>
      </c>
      <c r="B1512" s="5" t="s">
        <v>3151</v>
      </c>
      <c r="C1512" s="5" t="s">
        <v>3152</v>
      </c>
      <c r="D1512" s="5" t="s">
        <v>1586</v>
      </c>
      <c r="E1512" s="5" t="s">
        <v>75</v>
      </c>
      <c r="F1512" s="5" t="s">
        <v>76</v>
      </c>
      <c r="G1512" s="5" t="s">
        <v>76</v>
      </c>
      <c r="H1512" s="4"/>
      <c r="I1512" s="4"/>
      <c r="J1512" s="6"/>
      <c r="K1512" s="6"/>
      <c r="L1512" s="6"/>
      <c r="M1512" s="4"/>
      <c r="N1512" s="4"/>
      <c r="O1512" s="4"/>
      <c r="P1512" s="6"/>
      <c r="Q1512" s="6"/>
      <c r="R1512" s="6"/>
      <c r="S1512" s="6"/>
      <c r="T1512" s="4"/>
      <c r="U1512" s="6"/>
      <c r="V1512" s="6"/>
      <c r="W1512" s="6"/>
      <c r="X1512" s="6"/>
      <c r="Y1512" s="4"/>
      <c r="Z1512" s="6"/>
      <c r="AA1512" s="4"/>
      <c r="AB1512" s="4"/>
      <c r="AC1512" s="4"/>
      <c r="AD1512" s="6"/>
      <c r="AE1512" s="4"/>
      <c r="AF1512" s="4"/>
      <c r="AG1512" s="4"/>
      <c r="AH1512" s="4">
        <v>1339449098600</v>
      </c>
    </row>
    <row r="1513" spans="1:34" x14ac:dyDescent="0.25">
      <c r="A1513" s="4">
        <v>1512</v>
      </c>
      <c r="B1513" s="5" t="s">
        <v>3153</v>
      </c>
      <c r="C1513" s="5" t="s">
        <v>3154</v>
      </c>
      <c r="D1513" s="5" t="s">
        <v>1586</v>
      </c>
      <c r="E1513" s="5" t="s">
        <v>24</v>
      </c>
      <c r="F1513" s="5" t="s">
        <v>25</v>
      </c>
      <c r="G1513" s="5" t="s">
        <v>45</v>
      </c>
      <c r="H1513" s="4">
        <v>91521902207</v>
      </c>
      <c r="I1513" s="4">
        <v>142566729036</v>
      </c>
      <c r="J1513" s="6">
        <v>1.17E-2</v>
      </c>
      <c r="K1513" s="6"/>
      <c r="L1513" s="6"/>
      <c r="M1513" s="4">
        <v>8810483064</v>
      </c>
      <c r="N1513" s="4">
        <v>9569781957</v>
      </c>
      <c r="O1513" s="4"/>
      <c r="P1513" s="6">
        <v>-1.2200000000000001E-2</v>
      </c>
      <c r="Q1513" s="6"/>
      <c r="R1513" s="6"/>
      <c r="S1513" s="6">
        <v>10.603400000000001</v>
      </c>
      <c r="T1513" s="4"/>
      <c r="U1513" s="6"/>
      <c r="V1513" s="6"/>
      <c r="W1513" s="6"/>
      <c r="X1513" s="6"/>
      <c r="Y1513" s="4"/>
      <c r="Z1513" s="6">
        <v>0.79300000000000004</v>
      </c>
      <c r="AA1513" s="4"/>
      <c r="AB1513" s="4"/>
      <c r="AC1513" s="4"/>
      <c r="AD1513" s="6"/>
      <c r="AE1513" s="4"/>
      <c r="AF1513" s="4"/>
      <c r="AG1513" s="4"/>
      <c r="AH1513" s="4">
        <v>232000000000</v>
      </c>
    </row>
    <row r="1514" spans="1:34" x14ac:dyDescent="0.25">
      <c r="A1514" s="4">
        <v>1513</v>
      </c>
      <c r="B1514" s="5" t="s">
        <v>3155</v>
      </c>
      <c r="C1514" s="5" t="s">
        <v>3156</v>
      </c>
      <c r="D1514" s="5" t="s">
        <v>1586</v>
      </c>
      <c r="E1514" s="5" t="s">
        <v>40</v>
      </c>
      <c r="F1514" s="5" t="s">
        <v>41</v>
      </c>
      <c r="G1514" s="5" t="s">
        <v>406</v>
      </c>
      <c r="H1514" s="4"/>
      <c r="I1514" s="4"/>
      <c r="J1514" s="6"/>
      <c r="K1514" s="6"/>
      <c r="L1514" s="6"/>
      <c r="M1514" s="4"/>
      <c r="N1514" s="4"/>
      <c r="O1514" s="4"/>
      <c r="P1514" s="6"/>
      <c r="Q1514" s="6"/>
      <c r="R1514" s="6"/>
      <c r="S1514" s="6"/>
      <c r="T1514" s="4"/>
      <c r="U1514" s="6"/>
      <c r="V1514" s="6"/>
      <c r="W1514" s="6"/>
      <c r="X1514" s="6"/>
      <c r="Y1514" s="4"/>
      <c r="Z1514" s="6"/>
      <c r="AA1514" s="4"/>
      <c r="AB1514" s="4"/>
      <c r="AC1514" s="4"/>
      <c r="AD1514" s="6"/>
      <c r="AE1514" s="4"/>
      <c r="AF1514" s="4"/>
      <c r="AG1514" s="4"/>
      <c r="AH1514" s="4">
        <v>3434187899200</v>
      </c>
    </row>
    <row r="1515" spans="1:34" x14ac:dyDescent="0.25">
      <c r="A1515" s="4">
        <v>1514</v>
      </c>
      <c r="B1515" s="5" t="s">
        <v>3157</v>
      </c>
      <c r="C1515" s="5" t="s">
        <v>3158</v>
      </c>
      <c r="D1515" s="5" t="s">
        <v>1586</v>
      </c>
      <c r="E1515" s="5" t="s">
        <v>40</v>
      </c>
      <c r="F1515" s="5" t="s">
        <v>41</v>
      </c>
      <c r="G1515" s="5" t="s">
        <v>406</v>
      </c>
      <c r="H1515" s="4"/>
      <c r="I1515" s="4"/>
      <c r="J1515" s="6"/>
      <c r="K1515" s="6"/>
      <c r="L1515" s="6"/>
      <c r="M1515" s="4"/>
      <c r="N1515" s="4"/>
      <c r="O1515" s="4"/>
      <c r="P1515" s="6"/>
      <c r="Q1515" s="6"/>
      <c r="R1515" s="6"/>
      <c r="S1515" s="6"/>
      <c r="T1515" s="4"/>
      <c r="U1515" s="6"/>
      <c r="V1515" s="6"/>
      <c r="W1515" s="6"/>
      <c r="X1515" s="6"/>
      <c r="Y1515" s="4"/>
      <c r="Z1515" s="6"/>
      <c r="AA1515" s="4"/>
      <c r="AB1515" s="4"/>
      <c r="AC1515" s="4"/>
      <c r="AD1515" s="6"/>
      <c r="AE1515" s="4"/>
      <c r="AF1515" s="4"/>
      <c r="AG1515" s="4"/>
      <c r="AH1515" s="4">
        <v>157500000000</v>
      </c>
    </row>
    <row r="1516" spans="1:34" x14ac:dyDescent="0.25">
      <c r="A1516" s="4">
        <v>1515</v>
      </c>
      <c r="B1516" s="5" t="s">
        <v>3159</v>
      </c>
      <c r="C1516" s="5" t="s">
        <v>3160</v>
      </c>
      <c r="D1516" s="5" t="s">
        <v>1586</v>
      </c>
      <c r="E1516" s="5" t="s">
        <v>29</v>
      </c>
      <c r="F1516" s="5" t="s">
        <v>36</v>
      </c>
      <c r="G1516" s="5" t="s">
        <v>37</v>
      </c>
      <c r="H1516" s="4"/>
      <c r="I1516" s="4"/>
      <c r="J1516" s="6"/>
      <c r="K1516" s="6"/>
      <c r="L1516" s="6"/>
      <c r="M1516" s="4"/>
      <c r="N1516" s="4"/>
      <c r="O1516" s="4"/>
      <c r="P1516" s="6"/>
      <c r="Q1516" s="6"/>
      <c r="R1516" s="6"/>
      <c r="S1516" s="6"/>
      <c r="T1516" s="4"/>
      <c r="U1516" s="6"/>
      <c r="V1516" s="6"/>
      <c r="W1516" s="6"/>
      <c r="X1516" s="6"/>
      <c r="Y1516" s="4"/>
      <c r="Z1516" s="6"/>
      <c r="AA1516" s="4"/>
      <c r="AB1516" s="4"/>
      <c r="AC1516" s="4"/>
      <c r="AD1516" s="6"/>
      <c r="AE1516" s="4"/>
      <c r="AF1516" s="4"/>
      <c r="AG1516" s="4"/>
      <c r="AH1516" s="4">
        <v>1671390000000</v>
      </c>
    </row>
    <row r="1517" spans="1:34" x14ac:dyDescent="0.25">
      <c r="A1517" s="4">
        <v>1516</v>
      </c>
      <c r="B1517" s="5" t="s">
        <v>3161</v>
      </c>
      <c r="C1517" s="5" t="s">
        <v>3162</v>
      </c>
      <c r="D1517" s="5" t="s">
        <v>1586</v>
      </c>
      <c r="E1517" s="5" t="s">
        <v>1306</v>
      </c>
      <c r="F1517" s="5" t="s">
        <v>1306</v>
      </c>
      <c r="G1517" s="5" t="s">
        <v>1598</v>
      </c>
      <c r="H1517" s="4"/>
      <c r="I1517" s="4"/>
      <c r="J1517" s="6"/>
      <c r="K1517" s="6"/>
      <c r="L1517" s="6"/>
      <c r="M1517" s="4"/>
      <c r="N1517" s="4"/>
      <c r="O1517" s="4"/>
      <c r="P1517" s="6"/>
      <c r="Q1517" s="6"/>
      <c r="R1517" s="6"/>
      <c r="S1517" s="6"/>
      <c r="T1517" s="4"/>
      <c r="U1517" s="6"/>
      <c r="V1517" s="6"/>
      <c r="W1517" s="6"/>
      <c r="X1517" s="6"/>
      <c r="Y1517" s="4"/>
      <c r="Z1517" s="6"/>
      <c r="AA1517" s="4"/>
      <c r="AB1517" s="4"/>
      <c r="AC1517" s="4"/>
      <c r="AD1517" s="6"/>
      <c r="AE1517" s="4"/>
      <c r="AF1517" s="4"/>
      <c r="AG1517" s="4"/>
      <c r="AH1517" s="4">
        <v>240394120953600</v>
      </c>
    </row>
    <row r="1518" spans="1:34" x14ac:dyDescent="0.25">
      <c r="A1518" s="4">
        <v>1517</v>
      </c>
      <c r="B1518" s="5" t="s">
        <v>3163</v>
      </c>
      <c r="C1518" s="5" t="s">
        <v>3164</v>
      </c>
      <c r="D1518" s="5" t="s">
        <v>1586</v>
      </c>
      <c r="E1518" s="5" t="s">
        <v>24</v>
      </c>
      <c r="F1518" s="5" t="s">
        <v>56</v>
      </c>
      <c r="G1518" s="5" t="s">
        <v>291</v>
      </c>
      <c r="H1518" s="4"/>
      <c r="I1518" s="4"/>
      <c r="J1518" s="6"/>
      <c r="K1518" s="6"/>
      <c r="L1518" s="6"/>
      <c r="M1518" s="4"/>
      <c r="N1518" s="4"/>
      <c r="O1518" s="4"/>
      <c r="P1518" s="6"/>
      <c r="Q1518" s="6"/>
      <c r="R1518" s="6"/>
      <c r="S1518" s="6"/>
      <c r="T1518" s="4"/>
      <c r="U1518" s="6"/>
      <c r="V1518" s="6"/>
      <c r="W1518" s="6"/>
      <c r="X1518" s="6"/>
      <c r="Y1518" s="4"/>
      <c r="Z1518" s="6"/>
      <c r="AA1518" s="4"/>
      <c r="AB1518" s="4"/>
      <c r="AC1518" s="4"/>
      <c r="AD1518" s="6"/>
      <c r="AE1518" s="4"/>
      <c r="AF1518" s="4"/>
      <c r="AG1518" s="4"/>
      <c r="AH1518" s="4">
        <v>190233162000</v>
      </c>
    </row>
    <row r="1519" spans="1:34" x14ac:dyDescent="0.25">
      <c r="A1519" s="4">
        <v>1518</v>
      </c>
      <c r="B1519" s="5" t="s">
        <v>3165</v>
      </c>
      <c r="C1519" s="5" t="s">
        <v>3166</v>
      </c>
      <c r="D1519" s="5" t="s">
        <v>1586</v>
      </c>
      <c r="E1519" s="5" t="s">
        <v>40</v>
      </c>
      <c r="F1519" s="5" t="s">
        <v>41</v>
      </c>
      <c r="G1519" s="5" t="s">
        <v>93</v>
      </c>
      <c r="H1519" s="4">
        <v>305700794737</v>
      </c>
      <c r="I1519" s="4">
        <v>594763476165</v>
      </c>
      <c r="J1519" s="6">
        <v>2.6599999999999999E-2</v>
      </c>
      <c r="K1519" s="6"/>
      <c r="L1519" s="6"/>
      <c r="M1519" s="4">
        <v>132717383199</v>
      </c>
      <c r="N1519" s="4">
        <v>251803815401</v>
      </c>
      <c r="O1519" s="4"/>
      <c r="P1519" s="6">
        <v>0.06</v>
      </c>
      <c r="Q1519" s="6"/>
      <c r="R1519" s="6"/>
      <c r="S1519" s="6">
        <v>0.1145</v>
      </c>
      <c r="T1519" s="4"/>
      <c r="U1519" s="6"/>
      <c r="V1519" s="6"/>
      <c r="W1519" s="6"/>
      <c r="X1519" s="6"/>
      <c r="Y1519" s="4"/>
      <c r="Z1519" s="6">
        <v>5.7599999999999998E-2</v>
      </c>
      <c r="AA1519" s="4"/>
      <c r="AB1519" s="4"/>
      <c r="AC1519" s="4"/>
      <c r="AD1519" s="6"/>
      <c r="AE1519" s="4"/>
      <c r="AF1519" s="4"/>
      <c r="AG1519" s="4"/>
      <c r="AH1519" s="4">
        <v>7692144914450</v>
      </c>
    </row>
    <row r="1520" spans="1:34" x14ac:dyDescent="0.25">
      <c r="A1520" s="4">
        <v>1519</v>
      </c>
      <c r="B1520" s="5" t="s">
        <v>3167</v>
      </c>
      <c r="C1520" s="5" t="s">
        <v>3168</v>
      </c>
      <c r="D1520" s="5" t="s">
        <v>1586</v>
      </c>
      <c r="E1520" s="5" t="s">
        <v>29</v>
      </c>
      <c r="F1520" s="5" t="s">
        <v>36</v>
      </c>
      <c r="G1520" s="5" t="s">
        <v>37</v>
      </c>
      <c r="H1520" s="4"/>
      <c r="I1520" s="4"/>
      <c r="J1520" s="6"/>
      <c r="K1520" s="6"/>
      <c r="L1520" s="6"/>
      <c r="M1520" s="4"/>
      <c r="N1520" s="4"/>
      <c r="O1520" s="4"/>
      <c r="P1520" s="6"/>
      <c r="Q1520" s="6"/>
      <c r="R1520" s="6"/>
      <c r="S1520" s="6"/>
      <c r="T1520" s="4"/>
      <c r="U1520" s="6"/>
      <c r="V1520" s="6"/>
      <c r="W1520" s="6"/>
      <c r="X1520" s="6"/>
      <c r="Y1520" s="4"/>
      <c r="Z1520" s="6"/>
      <c r="AA1520" s="4"/>
      <c r="AB1520" s="4"/>
      <c r="AC1520" s="4"/>
      <c r="AD1520" s="6"/>
      <c r="AE1520" s="4"/>
      <c r="AF1520" s="4"/>
      <c r="AG1520" s="4"/>
      <c r="AH1520" s="4">
        <v>5395500000000</v>
      </c>
    </row>
    <row r="1521" spans="1:34" x14ac:dyDescent="0.25">
      <c r="A1521" s="4">
        <v>1520</v>
      </c>
      <c r="B1521" s="5" t="s">
        <v>3169</v>
      </c>
      <c r="C1521" s="5" t="s">
        <v>3170</v>
      </c>
      <c r="D1521" s="5" t="s">
        <v>1586</v>
      </c>
      <c r="E1521" s="5" t="s">
        <v>75</v>
      </c>
      <c r="F1521" s="5" t="s">
        <v>76</v>
      </c>
      <c r="G1521" s="5" t="s">
        <v>76</v>
      </c>
      <c r="H1521" s="4"/>
      <c r="I1521" s="4"/>
      <c r="J1521" s="6"/>
      <c r="K1521" s="6"/>
      <c r="L1521" s="6"/>
      <c r="M1521" s="4"/>
      <c r="N1521" s="4"/>
      <c r="O1521" s="4"/>
      <c r="P1521" s="6"/>
      <c r="Q1521" s="6"/>
      <c r="R1521" s="6"/>
      <c r="S1521" s="6"/>
      <c r="T1521" s="4"/>
      <c r="U1521" s="6"/>
      <c r="V1521" s="6"/>
      <c r="W1521" s="6"/>
      <c r="X1521" s="6"/>
      <c r="Y1521" s="4"/>
      <c r="Z1521" s="6"/>
      <c r="AA1521" s="4"/>
      <c r="AB1521" s="4"/>
      <c r="AC1521" s="4"/>
      <c r="AD1521" s="6"/>
      <c r="AE1521" s="4"/>
      <c r="AF1521" s="4"/>
      <c r="AG1521" s="4"/>
      <c r="AH1521" s="4">
        <v>1552611043200</v>
      </c>
    </row>
    <row r="1522" spans="1:34" x14ac:dyDescent="0.25">
      <c r="A1522" s="4">
        <v>1521</v>
      </c>
      <c r="B1522" s="5" t="s">
        <v>3171</v>
      </c>
      <c r="C1522" s="5" t="s">
        <v>3172</v>
      </c>
      <c r="D1522" s="5" t="s">
        <v>1586</v>
      </c>
      <c r="E1522" s="5" t="s">
        <v>75</v>
      </c>
      <c r="F1522" s="5" t="s">
        <v>76</v>
      </c>
      <c r="G1522" s="5" t="s">
        <v>76</v>
      </c>
      <c r="H1522" s="4"/>
      <c r="I1522" s="4"/>
      <c r="J1522" s="6"/>
      <c r="K1522" s="6"/>
      <c r="L1522" s="6"/>
      <c r="M1522" s="4"/>
      <c r="N1522" s="4"/>
      <c r="O1522" s="4"/>
      <c r="P1522" s="6"/>
      <c r="Q1522" s="6"/>
      <c r="R1522" s="6"/>
      <c r="S1522" s="6"/>
      <c r="T1522" s="4"/>
      <c r="U1522" s="6"/>
      <c r="V1522" s="6"/>
      <c r="W1522" s="6"/>
      <c r="X1522" s="6"/>
      <c r="Y1522" s="4"/>
      <c r="Z1522" s="6"/>
      <c r="AA1522" s="4"/>
      <c r="AB1522" s="4"/>
      <c r="AC1522" s="4"/>
      <c r="AD1522" s="6"/>
      <c r="AE1522" s="4"/>
      <c r="AF1522" s="4"/>
      <c r="AG1522" s="4"/>
      <c r="AH1522" s="4">
        <v>95000000000</v>
      </c>
    </row>
    <row r="1523" spans="1:34" x14ac:dyDescent="0.25">
      <c r="A1523" s="4">
        <v>1522</v>
      </c>
      <c r="B1523" s="5" t="s">
        <v>3173</v>
      </c>
      <c r="C1523" s="5" t="s">
        <v>3174</v>
      </c>
      <c r="D1523" s="5" t="s">
        <v>1586</v>
      </c>
      <c r="E1523" s="5" t="s">
        <v>29</v>
      </c>
      <c r="F1523" s="5" t="s">
        <v>30</v>
      </c>
      <c r="G1523" s="5" t="s">
        <v>83</v>
      </c>
      <c r="H1523" s="4"/>
      <c r="I1523" s="4"/>
      <c r="J1523" s="6"/>
      <c r="K1523" s="6"/>
      <c r="L1523" s="6"/>
      <c r="M1523" s="4"/>
      <c r="N1523" s="4"/>
      <c r="O1523" s="4"/>
      <c r="P1523" s="6"/>
      <c r="Q1523" s="6"/>
      <c r="R1523" s="6"/>
      <c r="S1523" s="6"/>
      <c r="T1523" s="4"/>
      <c r="U1523" s="6"/>
      <c r="V1523" s="6"/>
      <c r="W1523" s="6"/>
      <c r="X1523" s="6"/>
      <c r="Y1523" s="4"/>
      <c r="Z1523" s="6"/>
      <c r="AA1523" s="4"/>
      <c r="AB1523" s="4"/>
      <c r="AC1523" s="4"/>
      <c r="AD1523" s="6"/>
      <c r="AE1523" s="4"/>
      <c r="AF1523" s="4"/>
      <c r="AG1523" s="4"/>
      <c r="AH1523" s="4">
        <v>32250000000</v>
      </c>
    </row>
    <row r="1524" spans="1:34" x14ac:dyDescent="0.25">
      <c r="A1524" s="4">
        <v>1523</v>
      </c>
      <c r="B1524" s="5" t="s">
        <v>3175</v>
      </c>
      <c r="C1524" s="5" t="s">
        <v>3176</v>
      </c>
      <c r="D1524" s="5" t="s">
        <v>1586</v>
      </c>
      <c r="E1524" s="5" t="s">
        <v>40</v>
      </c>
      <c r="F1524" s="5" t="s">
        <v>41</v>
      </c>
      <c r="G1524" s="5" t="s">
        <v>698</v>
      </c>
      <c r="H1524" s="4">
        <v>0</v>
      </c>
      <c r="I1524" s="4">
        <v>0</v>
      </c>
      <c r="J1524" s="6">
        <v>0</v>
      </c>
      <c r="K1524" s="6">
        <v>0</v>
      </c>
      <c r="L1524" s="6">
        <v>0</v>
      </c>
      <c r="M1524" s="4">
        <v>-546917564</v>
      </c>
      <c r="N1524" s="4">
        <v>-1167937668</v>
      </c>
      <c r="O1524" s="4"/>
      <c r="P1524" s="6">
        <v>0.29759999999999998</v>
      </c>
      <c r="Q1524" s="6">
        <v>-1.3768</v>
      </c>
      <c r="R1524" s="6">
        <v>-3.9116</v>
      </c>
      <c r="S1524" s="6">
        <v>0.1193</v>
      </c>
      <c r="T1524" s="4"/>
      <c r="U1524" s="6">
        <v>-1</v>
      </c>
      <c r="V1524" s="6">
        <v>-3.3359000000000001</v>
      </c>
      <c r="W1524" s="6">
        <v>-3.3359000000000001</v>
      </c>
      <c r="X1524" s="6">
        <v>0</v>
      </c>
      <c r="Y1524" s="4"/>
      <c r="Z1524" s="6">
        <v>0</v>
      </c>
      <c r="AA1524" s="4"/>
      <c r="AB1524" s="4"/>
      <c r="AC1524" s="4"/>
      <c r="AD1524" s="6">
        <v>0</v>
      </c>
      <c r="AE1524" s="4"/>
      <c r="AF1524" s="4"/>
      <c r="AG1524" s="4"/>
      <c r="AH1524" s="4">
        <v>225000000000</v>
      </c>
    </row>
    <row r="1525" spans="1:34" x14ac:dyDescent="0.25">
      <c r="A1525" s="4">
        <v>1524</v>
      </c>
      <c r="B1525" s="5" t="s">
        <v>3177</v>
      </c>
      <c r="C1525" s="5" t="s">
        <v>3178</v>
      </c>
      <c r="D1525" s="5" t="s">
        <v>1586</v>
      </c>
      <c r="E1525" s="5" t="s">
        <v>40</v>
      </c>
      <c r="F1525" s="5" t="s">
        <v>52</v>
      </c>
      <c r="G1525" s="5" t="s">
        <v>53</v>
      </c>
      <c r="H1525" s="4"/>
      <c r="I1525" s="4"/>
      <c r="J1525" s="6"/>
      <c r="K1525" s="6"/>
      <c r="L1525" s="6"/>
      <c r="M1525" s="4"/>
      <c r="N1525" s="4"/>
      <c r="O1525" s="4"/>
      <c r="P1525" s="6"/>
      <c r="Q1525" s="6"/>
      <c r="R1525" s="6"/>
      <c r="S1525" s="6"/>
      <c r="T1525" s="4"/>
      <c r="U1525" s="6"/>
      <c r="V1525" s="6"/>
      <c r="W1525" s="6"/>
      <c r="X1525" s="6"/>
      <c r="Y1525" s="4"/>
      <c r="Z1525" s="6"/>
      <c r="AA1525" s="4"/>
      <c r="AB1525" s="4"/>
      <c r="AC1525" s="4"/>
      <c r="AD1525" s="6"/>
      <c r="AE1525" s="4"/>
      <c r="AF1525" s="4"/>
      <c r="AG1525" s="4"/>
      <c r="AH1525" s="4">
        <v>25500000000</v>
      </c>
    </row>
    <row r="1526" spans="1:34" x14ac:dyDescent="0.25">
      <c r="A1526" s="4">
        <v>1525</v>
      </c>
      <c r="B1526" s="5" t="s">
        <v>3179</v>
      </c>
      <c r="C1526" s="5" t="s">
        <v>3180</v>
      </c>
      <c r="D1526" s="5" t="s">
        <v>1586</v>
      </c>
      <c r="E1526" s="5" t="s">
        <v>185</v>
      </c>
      <c r="F1526" s="5" t="s">
        <v>185</v>
      </c>
      <c r="G1526" s="5" t="s">
        <v>310</v>
      </c>
      <c r="H1526" s="4"/>
      <c r="I1526" s="4"/>
      <c r="J1526" s="6"/>
      <c r="K1526" s="6"/>
      <c r="L1526" s="6"/>
      <c r="M1526" s="4"/>
      <c r="N1526" s="4"/>
      <c r="O1526" s="4"/>
      <c r="P1526" s="6"/>
      <c r="Q1526" s="6"/>
      <c r="R1526" s="6"/>
      <c r="S1526" s="6"/>
      <c r="T1526" s="4"/>
      <c r="U1526" s="6"/>
      <c r="V1526" s="6"/>
      <c r="W1526" s="6"/>
      <c r="X1526" s="6"/>
      <c r="Y1526" s="4"/>
      <c r="Z1526" s="6"/>
      <c r="AA1526" s="4"/>
      <c r="AB1526" s="4"/>
      <c r="AC1526" s="4"/>
      <c r="AD1526" s="6"/>
      <c r="AE1526" s="4"/>
      <c r="AF1526" s="4"/>
      <c r="AG1526" s="4"/>
      <c r="AH1526" s="4">
        <v>30367464000</v>
      </c>
    </row>
    <row r="1527" spans="1:34" x14ac:dyDescent="0.25">
      <c r="A1527" s="4">
        <v>1526</v>
      </c>
      <c r="B1527" s="5" t="s">
        <v>3181</v>
      </c>
      <c r="C1527" s="5" t="s">
        <v>3182</v>
      </c>
      <c r="D1527" s="5" t="s">
        <v>1586</v>
      </c>
      <c r="E1527" s="5" t="s">
        <v>24</v>
      </c>
      <c r="F1527" s="5" t="s">
        <v>56</v>
      </c>
      <c r="G1527" s="5" t="s">
        <v>129</v>
      </c>
      <c r="H1527" s="4"/>
      <c r="I1527" s="4"/>
      <c r="J1527" s="6"/>
      <c r="K1527" s="6"/>
      <c r="L1527" s="6"/>
      <c r="M1527" s="4"/>
      <c r="N1527" s="4"/>
      <c r="O1527" s="4"/>
      <c r="P1527" s="6"/>
      <c r="Q1527" s="6"/>
      <c r="R1527" s="6"/>
      <c r="S1527" s="6"/>
      <c r="T1527" s="4"/>
      <c r="U1527" s="6"/>
      <c r="V1527" s="6"/>
      <c r="W1527" s="6"/>
      <c r="X1527" s="6"/>
      <c r="Y1527" s="4"/>
      <c r="Z1527" s="6"/>
      <c r="AA1527" s="4"/>
      <c r="AB1527" s="4"/>
      <c r="AC1527" s="4"/>
      <c r="AD1527" s="6"/>
      <c r="AE1527" s="4"/>
      <c r="AF1527" s="4"/>
      <c r="AG1527" s="4"/>
      <c r="AH1527" s="4">
        <v>13250000000</v>
      </c>
    </row>
    <row r="1528" spans="1:34" x14ac:dyDescent="0.25">
      <c r="A1528" s="4">
        <v>1527</v>
      </c>
      <c r="B1528" s="5" t="s">
        <v>3183</v>
      </c>
      <c r="C1528" s="5" t="s">
        <v>3184</v>
      </c>
      <c r="D1528" s="5" t="s">
        <v>1586</v>
      </c>
      <c r="E1528" s="5" t="s">
        <v>40</v>
      </c>
      <c r="F1528" s="5" t="s">
        <v>41</v>
      </c>
      <c r="G1528" s="5" t="s">
        <v>93</v>
      </c>
      <c r="H1528" s="4"/>
      <c r="I1528" s="4"/>
      <c r="J1528" s="6"/>
      <c r="K1528" s="6"/>
      <c r="L1528" s="6"/>
      <c r="M1528" s="4"/>
      <c r="N1528" s="4"/>
      <c r="O1528" s="4"/>
      <c r="P1528" s="6"/>
      <c r="Q1528" s="6"/>
      <c r="R1528" s="6"/>
      <c r="S1528" s="6"/>
      <c r="T1528" s="4"/>
      <c r="U1528" s="6"/>
      <c r="V1528" s="6"/>
      <c r="W1528" s="6"/>
      <c r="X1528" s="6"/>
      <c r="Y1528" s="4"/>
      <c r="Z1528" s="6"/>
      <c r="AA1528" s="4"/>
      <c r="AB1528" s="4"/>
      <c r="AC1528" s="4"/>
      <c r="AD1528" s="6"/>
      <c r="AE1528" s="4"/>
      <c r="AF1528" s="4"/>
      <c r="AG1528" s="4"/>
      <c r="AH1528" s="4">
        <v>390150000000</v>
      </c>
    </row>
    <row r="1529" spans="1:34" x14ac:dyDescent="0.25">
      <c r="A1529" s="4">
        <v>1528</v>
      </c>
      <c r="B1529" s="5" t="s">
        <v>3185</v>
      </c>
      <c r="C1529" s="5" t="s">
        <v>3186</v>
      </c>
      <c r="D1529" s="5" t="s">
        <v>1586</v>
      </c>
      <c r="E1529" s="5" t="s">
        <v>62</v>
      </c>
      <c r="F1529" s="5" t="s">
        <v>226</v>
      </c>
      <c r="G1529" s="5" t="s">
        <v>227</v>
      </c>
      <c r="H1529" s="4"/>
      <c r="I1529" s="4"/>
      <c r="J1529" s="6"/>
      <c r="K1529" s="6"/>
      <c r="L1529" s="6"/>
      <c r="M1529" s="4"/>
      <c r="N1529" s="4"/>
      <c r="O1529" s="4"/>
      <c r="P1529" s="6"/>
      <c r="Q1529" s="6"/>
      <c r="R1529" s="6"/>
      <c r="S1529" s="6"/>
      <c r="T1529" s="4"/>
      <c r="U1529" s="6"/>
      <c r="V1529" s="6"/>
      <c r="W1529" s="6"/>
      <c r="X1529" s="6"/>
      <c r="Y1529" s="4"/>
      <c r="Z1529" s="6"/>
      <c r="AA1529" s="4"/>
      <c r="AB1529" s="4"/>
      <c r="AC1529" s="4"/>
      <c r="AD1529" s="6"/>
      <c r="AE1529" s="4"/>
      <c r="AF1529" s="4"/>
      <c r="AG1529" s="4"/>
      <c r="AH1529" s="4">
        <v>25544000000</v>
      </c>
    </row>
    <row r="1530" spans="1:34" x14ac:dyDescent="0.25">
      <c r="A1530" s="4">
        <v>1529</v>
      </c>
      <c r="B1530" s="5" t="s">
        <v>3187</v>
      </c>
      <c r="C1530" s="5" t="s">
        <v>3188</v>
      </c>
      <c r="D1530" s="5" t="s">
        <v>1586</v>
      </c>
      <c r="E1530" s="5" t="s">
        <v>40</v>
      </c>
      <c r="F1530" s="5" t="s">
        <v>52</v>
      </c>
      <c r="G1530" s="5" t="s">
        <v>110</v>
      </c>
      <c r="H1530" s="4"/>
      <c r="I1530" s="4"/>
      <c r="J1530" s="6"/>
      <c r="K1530" s="6"/>
      <c r="L1530" s="6"/>
      <c r="M1530" s="4"/>
      <c r="N1530" s="4"/>
      <c r="O1530" s="4"/>
      <c r="P1530" s="6"/>
      <c r="Q1530" s="6"/>
      <c r="R1530" s="6"/>
      <c r="S1530" s="6"/>
      <c r="T1530" s="4"/>
      <c r="U1530" s="6"/>
      <c r="V1530" s="6"/>
      <c r="W1530" s="6"/>
      <c r="X1530" s="6"/>
      <c r="Y1530" s="4"/>
      <c r="Z1530" s="6"/>
      <c r="AA1530" s="4"/>
      <c r="AB1530" s="4"/>
      <c r="AC1530" s="4"/>
      <c r="AD1530" s="6"/>
      <c r="AE1530" s="4"/>
      <c r="AF1530" s="4"/>
      <c r="AG1530" s="4"/>
      <c r="AH1530" s="4">
        <v>1402773710800</v>
      </c>
    </row>
    <row r="1531" spans="1:34" x14ac:dyDescent="0.25">
      <c r="A1531" s="4">
        <v>1530</v>
      </c>
      <c r="B1531" s="5" t="s">
        <v>3189</v>
      </c>
      <c r="C1531" s="5" t="s">
        <v>3190</v>
      </c>
      <c r="D1531" s="5" t="s">
        <v>1586</v>
      </c>
      <c r="E1531" s="5" t="s">
        <v>29</v>
      </c>
      <c r="F1531" s="5" t="s">
        <v>203</v>
      </c>
      <c r="G1531" s="5" t="s">
        <v>204</v>
      </c>
      <c r="H1531" s="4"/>
      <c r="I1531" s="4"/>
      <c r="J1531" s="6"/>
      <c r="K1531" s="6"/>
      <c r="L1531" s="6"/>
      <c r="M1531" s="4"/>
      <c r="N1531" s="4"/>
      <c r="O1531" s="4"/>
      <c r="P1531" s="6"/>
      <c r="Q1531" s="6"/>
      <c r="R1531" s="6"/>
      <c r="S1531" s="6"/>
      <c r="T1531" s="4"/>
      <c r="U1531" s="6"/>
      <c r="V1531" s="6"/>
      <c r="W1531" s="6"/>
      <c r="X1531" s="6"/>
      <c r="Y1531" s="4"/>
      <c r="Z1531" s="6"/>
      <c r="AA1531" s="4"/>
      <c r="AB1531" s="4"/>
      <c r="AC1531" s="4"/>
      <c r="AD1531" s="6"/>
      <c r="AE1531" s="4"/>
      <c r="AF1531" s="4"/>
      <c r="AG1531" s="4"/>
      <c r="AH1531" s="4">
        <v>34702200000</v>
      </c>
    </row>
    <row r="1532" spans="1:34" x14ac:dyDescent="0.25">
      <c r="A1532" s="4">
        <v>1531</v>
      </c>
      <c r="B1532" s="5" t="s">
        <v>3191</v>
      </c>
      <c r="C1532" s="5" t="s">
        <v>3192</v>
      </c>
      <c r="D1532" s="5" t="s">
        <v>1586</v>
      </c>
      <c r="E1532" s="5" t="s">
        <v>40</v>
      </c>
      <c r="F1532" s="5" t="s">
        <v>52</v>
      </c>
      <c r="G1532" s="5" t="s">
        <v>53</v>
      </c>
      <c r="H1532" s="4">
        <v>440311130689</v>
      </c>
      <c r="I1532" s="4">
        <v>791848424355</v>
      </c>
      <c r="J1532" s="6">
        <v>7.7899999999999997E-2</v>
      </c>
      <c r="K1532" s="6">
        <v>5.9499999999999997E-2</v>
      </c>
      <c r="L1532" s="6">
        <v>5.96E-2</v>
      </c>
      <c r="M1532" s="4">
        <v>374449453405</v>
      </c>
      <c r="N1532" s="4">
        <v>448563524297</v>
      </c>
      <c r="O1532" s="4"/>
      <c r="P1532" s="6">
        <v>3.7286999999999999</v>
      </c>
      <c r="Q1532" s="6">
        <v>2.2585999999999999</v>
      </c>
      <c r="R1532" s="6">
        <v>1.7424999999999999</v>
      </c>
      <c r="S1532" s="6">
        <v>4.0522999999999998</v>
      </c>
      <c r="T1532" s="4"/>
      <c r="U1532" s="6">
        <v>-0.43890000000000001</v>
      </c>
      <c r="V1532" s="6">
        <v>1.0028999999999999</v>
      </c>
      <c r="W1532" s="6">
        <v>1.0024999999999999</v>
      </c>
      <c r="X1532" s="6">
        <v>7.2499999999999995E-2</v>
      </c>
      <c r="Y1532" s="4"/>
      <c r="Z1532" s="6">
        <v>0.2525</v>
      </c>
      <c r="AA1532" s="4"/>
      <c r="AB1532" s="4"/>
      <c r="AC1532" s="4"/>
      <c r="AD1532" s="6">
        <v>0</v>
      </c>
      <c r="AE1532" s="4"/>
      <c r="AF1532" s="4"/>
      <c r="AG1532" s="4"/>
      <c r="AH1532" s="4">
        <v>2254874387280</v>
      </c>
    </row>
    <row r="1533" spans="1:34" x14ac:dyDescent="0.25">
      <c r="A1533" s="4">
        <v>1532</v>
      </c>
      <c r="B1533" s="5" t="s">
        <v>3193</v>
      </c>
      <c r="C1533" s="5" t="s">
        <v>3194</v>
      </c>
      <c r="D1533" s="5" t="s">
        <v>1586</v>
      </c>
      <c r="E1533" s="5" t="s">
        <v>29</v>
      </c>
      <c r="F1533" s="5" t="s">
        <v>30</v>
      </c>
      <c r="G1533" s="5" t="s">
        <v>31</v>
      </c>
      <c r="H1533" s="4"/>
      <c r="I1533" s="4"/>
      <c r="J1533" s="6"/>
      <c r="K1533" s="6"/>
      <c r="L1533" s="6"/>
      <c r="M1533" s="4"/>
      <c r="N1533" s="4"/>
      <c r="O1533" s="4"/>
      <c r="P1533" s="6"/>
      <c r="Q1533" s="6"/>
      <c r="R1533" s="6"/>
      <c r="S1533" s="6"/>
      <c r="T1533" s="4"/>
      <c r="U1533" s="6"/>
      <c r="V1533" s="6"/>
      <c r="W1533" s="6"/>
      <c r="X1533" s="6"/>
      <c r="Y1533" s="4"/>
      <c r="Z1533" s="6"/>
      <c r="AA1533" s="4"/>
      <c r="AB1533" s="4"/>
      <c r="AC1533" s="4"/>
      <c r="AD1533" s="6"/>
      <c r="AE1533" s="4"/>
      <c r="AF1533" s="4"/>
      <c r="AG1533" s="4"/>
      <c r="AH1533" s="4">
        <v>2528012696067</v>
      </c>
    </row>
    <row r="1534" spans="1:34" x14ac:dyDescent="0.25">
      <c r="A1534" s="4">
        <v>1533</v>
      </c>
      <c r="B1534" s="5" t="s">
        <v>3195</v>
      </c>
      <c r="C1534" s="5" t="s">
        <v>3196</v>
      </c>
      <c r="D1534" s="5" t="s">
        <v>1586</v>
      </c>
      <c r="E1534" s="5" t="s">
        <v>40</v>
      </c>
      <c r="F1534" s="5" t="s">
        <v>41</v>
      </c>
      <c r="G1534" s="5" t="s">
        <v>557</v>
      </c>
      <c r="H1534" s="4">
        <v>152385455769</v>
      </c>
      <c r="I1534" s="4">
        <v>262135606193</v>
      </c>
      <c r="J1534" s="6">
        <v>0.48359999999999997</v>
      </c>
      <c r="K1534" s="6">
        <v>0.6099</v>
      </c>
      <c r="L1534" s="6">
        <v>0.63370000000000004</v>
      </c>
      <c r="M1534" s="4">
        <v>2679274011</v>
      </c>
      <c r="N1534" s="4">
        <v>3817305580</v>
      </c>
      <c r="O1534" s="4"/>
      <c r="P1534" s="6">
        <v>0.16350000000000001</v>
      </c>
      <c r="Q1534" s="6">
        <v>0.1166</v>
      </c>
      <c r="R1534" s="6">
        <v>12.8889</v>
      </c>
      <c r="S1534" s="6">
        <v>1.3543000000000001</v>
      </c>
      <c r="T1534" s="4"/>
      <c r="U1534" s="6">
        <v>-0.29149999999999998</v>
      </c>
      <c r="V1534" s="6">
        <v>-0.41699999999999998</v>
      </c>
      <c r="W1534" s="6">
        <v>-0.40360000000000001</v>
      </c>
      <c r="X1534" s="6">
        <v>0</v>
      </c>
      <c r="Y1534" s="4"/>
      <c r="Z1534" s="6">
        <v>0.38850000000000001</v>
      </c>
      <c r="AA1534" s="4"/>
      <c r="AB1534" s="4"/>
      <c r="AC1534" s="4"/>
      <c r="AD1534" s="6">
        <v>0</v>
      </c>
      <c r="AE1534" s="4"/>
      <c r="AF1534" s="4"/>
      <c r="AG1534" s="4"/>
      <c r="AH1534" s="4">
        <v>96599888730</v>
      </c>
    </row>
    <row r="1535" spans="1:34" x14ac:dyDescent="0.25">
      <c r="A1535" s="4">
        <v>1534</v>
      </c>
      <c r="B1535" s="5" t="s">
        <v>3197</v>
      </c>
      <c r="C1535" s="5" t="s">
        <v>3198</v>
      </c>
      <c r="D1535" s="5" t="s">
        <v>1586</v>
      </c>
      <c r="E1535" s="5" t="s">
        <v>40</v>
      </c>
      <c r="F1535" s="5" t="s">
        <v>41</v>
      </c>
      <c r="G1535" s="5" t="s">
        <v>1716</v>
      </c>
      <c r="H1535" s="4"/>
      <c r="I1535" s="4"/>
      <c r="J1535" s="6"/>
      <c r="K1535" s="6"/>
      <c r="L1535" s="6"/>
      <c r="M1535" s="4"/>
      <c r="N1535" s="4"/>
      <c r="O1535" s="4"/>
      <c r="P1535" s="6"/>
      <c r="Q1535" s="6"/>
      <c r="R1535" s="6"/>
      <c r="S1535" s="6"/>
      <c r="T1535" s="4"/>
      <c r="U1535" s="6"/>
      <c r="V1535" s="6"/>
      <c r="W1535" s="6"/>
      <c r="X1535" s="6"/>
      <c r="Y1535" s="4"/>
      <c r="Z1535" s="6"/>
      <c r="AA1535" s="4"/>
      <c r="AB1535" s="4"/>
      <c r="AC1535" s="4"/>
      <c r="AD1535" s="6"/>
      <c r="AE1535" s="4"/>
      <c r="AF1535" s="4"/>
      <c r="AG1535" s="4"/>
      <c r="AH1535" s="4">
        <v>3182599800</v>
      </c>
    </row>
    <row r="1536" spans="1:34" x14ac:dyDescent="0.25">
      <c r="A1536" s="4">
        <v>1535</v>
      </c>
      <c r="B1536" s="5" t="s">
        <v>3199</v>
      </c>
      <c r="C1536" s="5" t="s">
        <v>3200</v>
      </c>
      <c r="D1536" s="5" t="s">
        <v>1586</v>
      </c>
      <c r="E1536" s="5" t="s">
        <v>24</v>
      </c>
      <c r="F1536" s="5" t="s">
        <v>56</v>
      </c>
      <c r="G1536" s="5" t="s">
        <v>291</v>
      </c>
      <c r="H1536" s="4"/>
      <c r="I1536" s="4"/>
      <c r="J1536" s="6"/>
      <c r="K1536" s="6"/>
      <c r="L1536" s="6"/>
      <c r="M1536" s="4"/>
      <c r="N1536" s="4"/>
      <c r="O1536" s="4"/>
      <c r="P1536" s="6"/>
      <c r="Q1536" s="6"/>
      <c r="R1536" s="6"/>
      <c r="S1536" s="6"/>
      <c r="T1536" s="4"/>
      <c r="U1536" s="6"/>
      <c r="V1536" s="6"/>
      <c r="W1536" s="6"/>
      <c r="X1536" s="6"/>
      <c r="Y1536" s="4"/>
      <c r="Z1536" s="6"/>
      <c r="AA1536" s="4"/>
      <c r="AB1536" s="4"/>
      <c r="AC1536" s="4"/>
      <c r="AD1536" s="6"/>
      <c r="AE1536" s="4"/>
      <c r="AF1536" s="4"/>
      <c r="AG1536" s="4"/>
      <c r="AH1536" s="4">
        <v>357700000000</v>
      </c>
    </row>
    <row r="1537" spans="1:34" x14ac:dyDescent="0.25">
      <c r="A1537" s="4">
        <v>1536</v>
      </c>
      <c r="B1537" s="5" t="s">
        <v>3201</v>
      </c>
      <c r="C1537" s="5" t="s">
        <v>3202</v>
      </c>
      <c r="D1537" s="5" t="s">
        <v>1586</v>
      </c>
      <c r="E1537" s="5" t="s">
        <v>98</v>
      </c>
      <c r="F1537" s="5" t="s">
        <v>99</v>
      </c>
      <c r="G1537" s="5" t="s">
        <v>155</v>
      </c>
      <c r="H1537" s="4">
        <v>63273747071</v>
      </c>
      <c r="I1537" s="4">
        <v>121664122339</v>
      </c>
      <c r="J1537" s="6">
        <v>0.20030000000000001</v>
      </c>
      <c r="K1537" s="6">
        <v>0.26040000000000002</v>
      </c>
      <c r="L1537" s="6">
        <v>0.1633</v>
      </c>
      <c r="M1537" s="4">
        <v>27509800540</v>
      </c>
      <c r="N1537" s="4">
        <v>45975383851</v>
      </c>
      <c r="O1537" s="4"/>
      <c r="P1537" s="6">
        <v>0.81389999999999996</v>
      </c>
      <c r="Q1537" s="6">
        <v>0.68230000000000002</v>
      </c>
      <c r="R1537" s="6">
        <v>0.36830000000000002</v>
      </c>
      <c r="S1537" s="6">
        <v>0.48980000000000001</v>
      </c>
      <c r="T1537" s="4"/>
      <c r="U1537" s="6">
        <v>-0.50600000000000001</v>
      </c>
      <c r="V1537" s="6">
        <v>-0.47349999999999998</v>
      </c>
      <c r="W1537" s="6">
        <v>-0.47260000000000002</v>
      </c>
      <c r="X1537" s="6">
        <v>3.15E-2</v>
      </c>
      <c r="Y1537" s="4"/>
      <c r="Z1537" s="6">
        <v>8.3599999999999994E-2</v>
      </c>
      <c r="AA1537" s="4"/>
      <c r="AB1537" s="4"/>
      <c r="AC1537" s="4"/>
      <c r="AD1537" s="6">
        <v>0</v>
      </c>
      <c r="AE1537" s="4"/>
      <c r="AF1537" s="4"/>
      <c r="AG1537" s="4"/>
      <c r="AH1537" s="4">
        <v>917864000000</v>
      </c>
    </row>
    <row r="1538" spans="1:34" x14ac:dyDescent="0.25">
      <c r="A1538" s="4">
        <v>1537</v>
      </c>
      <c r="B1538" s="5" t="s">
        <v>3203</v>
      </c>
      <c r="C1538" s="5" t="s">
        <v>3204</v>
      </c>
      <c r="D1538" s="5" t="s">
        <v>1586</v>
      </c>
      <c r="E1538" s="5" t="s">
        <v>29</v>
      </c>
      <c r="F1538" s="5" t="s">
        <v>203</v>
      </c>
      <c r="G1538" s="5" t="s">
        <v>211</v>
      </c>
      <c r="H1538" s="4"/>
      <c r="I1538" s="4"/>
      <c r="J1538" s="6"/>
      <c r="K1538" s="6"/>
      <c r="L1538" s="6"/>
      <c r="M1538" s="4"/>
      <c r="N1538" s="4"/>
      <c r="O1538" s="4"/>
      <c r="P1538" s="6"/>
      <c r="Q1538" s="6"/>
      <c r="R1538" s="6"/>
      <c r="S1538" s="6"/>
      <c r="T1538" s="4"/>
      <c r="U1538" s="6"/>
      <c r="V1538" s="6"/>
      <c r="W1538" s="6"/>
      <c r="X1538" s="6"/>
      <c r="Y1538" s="4"/>
      <c r="Z1538" s="6"/>
      <c r="AA1538" s="4"/>
      <c r="AB1538" s="4"/>
      <c r="AC1538" s="4"/>
      <c r="AD1538" s="6"/>
      <c r="AE1538" s="4"/>
      <c r="AF1538" s="4"/>
      <c r="AG1538" s="4"/>
      <c r="AH1538" s="4">
        <v>6210000000</v>
      </c>
    </row>
    <row r="1539" spans="1:34" x14ac:dyDescent="0.25">
      <c r="A1539" s="4">
        <v>1538</v>
      </c>
      <c r="B1539" s="5" t="s">
        <v>3205</v>
      </c>
      <c r="C1539" s="5" t="s">
        <v>3206</v>
      </c>
      <c r="D1539" s="5" t="s">
        <v>1586</v>
      </c>
      <c r="E1539" s="5" t="s">
        <v>98</v>
      </c>
      <c r="F1539" s="5" t="s">
        <v>99</v>
      </c>
      <c r="G1539" s="5" t="s">
        <v>100</v>
      </c>
      <c r="H1539" s="4"/>
      <c r="I1539" s="4"/>
      <c r="J1539" s="6"/>
      <c r="K1539" s="6"/>
      <c r="L1539" s="6"/>
      <c r="M1539" s="4"/>
      <c r="N1539" s="4"/>
      <c r="O1539" s="4"/>
      <c r="P1539" s="6"/>
      <c r="Q1539" s="6"/>
      <c r="R1539" s="6"/>
      <c r="S1539" s="6"/>
      <c r="T1539" s="4"/>
      <c r="U1539" s="6"/>
      <c r="V1539" s="6"/>
      <c r="W1539" s="6"/>
      <c r="X1539" s="6"/>
      <c r="Y1539" s="4"/>
      <c r="Z1539" s="6"/>
      <c r="AA1539" s="4"/>
      <c r="AB1539" s="4"/>
      <c r="AC1539" s="4"/>
      <c r="AD1539" s="6"/>
      <c r="AE1539" s="4"/>
      <c r="AF1539" s="4"/>
      <c r="AG1539" s="4"/>
      <c r="AH1539" s="4">
        <v>24960000000</v>
      </c>
    </row>
    <row r="1540" spans="1:34" x14ac:dyDescent="0.25">
      <c r="A1540" s="4">
        <v>1539</v>
      </c>
      <c r="B1540" s="5" t="s">
        <v>3207</v>
      </c>
      <c r="C1540" s="5" t="s">
        <v>3208</v>
      </c>
      <c r="D1540" s="5" t="s">
        <v>1586</v>
      </c>
      <c r="E1540" s="5" t="s">
        <v>40</v>
      </c>
      <c r="F1540" s="5" t="s">
        <v>52</v>
      </c>
      <c r="G1540" s="5" t="s">
        <v>53</v>
      </c>
      <c r="H1540" s="4"/>
      <c r="I1540" s="4"/>
      <c r="J1540" s="6"/>
      <c r="K1540" s="6"/>
      <c r="L1540" s="6"/>
      <c r="M1540" s="4"/>
      <c r="N1540" s="4"/>
      <c r="O1540" s="4"/>
      <c r="P1540" s="6"/>
      <c r="Q1540" s="6"/>
      <c r="R1540" s="6"/>
      <c r="S1540" s="6"/>
      <c r="T1540" s="4"/>
      <c r="U1540" s="6"/>
      <c r="V1540" s="6"/>
      <c r="W1540" s="6"/>
      <c r="X1540" s="6"/>
      <c r="Y1540" s="4"/>
      <c r="Z1540" s="6"/>
      <c r="AA1540" s="4"/>
      <c r="AB1540" s="4"/>
      <c r="AC1540" s="4"/>
      <c r="AD1540" s="6"/>
      <c r="AE1540" s="4"/>
      <c r="AF1540" s="4"/>
      <c r="AG1540" s="4"/>
      <c r="AH1540" s="4">
        <v>170063968000</v>
      </c>
    </row>
    <row r="1541" spans="1:34" x14ac:dyDescent="0.25">
      <c r="A1541" s="4">
        <v>1540</v>
      </c>
      <c r="B1541" s="5" t="s">
        <v>3209</v>
      </c>
      <c r="C1541" s="5" t="s">
        <v>3210</v>
      </c>
      <c r="D1541" s="5" t="s">
        <v>1586</v>
      </c>
      <c r="E1541" s="5" t="s">
        <v>40</v>
      </c>
      <c r="F1541" s="5" t="s">
        <v>41</v>
      </c>
      <c r="G1541" s="5" t="s">
        <v>557</v>
      </c>
      <c r="H1541" s="4"/>
      <c r="I1541" s="4"/>
      <c r="J1541" s="6"/>
      <c r="K1541" s="6"/>
      <c r="L1541" s="6"/>
      <c r="M1541" s="4"/>
      <c r="N1541" s="4"/>
      <c r="O1541" s="4"/>
      <c r="P1541" s="6"/>
      <c r="Q1541" s="6"/>
      <c r="R1541" s="6"/>
      <c r="S1541" s="6"/>
      <c r="T1541" s="4"/>
      <c r="U1541" s="6"/>
      <c r="V1541" s="6"/>
      <c r="W1541" s="6"/>
      <c r="X1541" s="6"/>
      <c r="Y1541" s="4"/>
      <c r="Z1541" s="6"/>
      <c r="AA1541" s="4"/>
      <c r="AB1541" s="4"/>
      <c r="AC1541" s="4"/>
      <c r="AD1541" s="6"/>
      <c r="AE1541" s="4"/>
      <c r="AF1541" s="4"/>
      <c r="AG1541" s="4"/>
      <c r="AH1541" s="4">
        <v>101965500000</v>
      </c>
    </row>
    <row r="1542" spans="1:34" x14ac:dyDescent="0.25">
      <c r="A1542" s="4">
        <v>1541</v>
      </c>
      <c r="B1542" s="5" t="s">
        <v>3211</v>
      </c>
      <c r="C1542" s="5" t="s">
        <v>3212</v>
      </c>
      <c r="D1542" s="5" t="s">
        <v>1586</v>
      </c>
      <c r="E1542" s="5" t="s">
        <v>40</v>
      </c>
      <c r="F1542" s="5" t="s">
        <v>41</v>
      </c>
      <c r="G1542" s="5" t="s">
        <v>406</v>
      </c>
      <c r="H1542" s="4"/>
      <c r="I1542" s="4"/>
      <c r="J1542" s="6"/>
      <c r="K1542" s="6"/>
      <c r="L1542" s="6"/>
      <c r="M1542" s="4"/>
      <c r="N1542" s="4"/>
      <c r="O1542" s="4"/>
      <c r="P1542" s="6"/>
      <c r="Q1542" s="6"/>
      <c r="R1542" s="6"/>
      <c r="S1542" s="6"/>
      <c r="T1542" s="4"/>
      <c r="U1542" s="6"/>
      <c r="V1542" s="6"/>
      <c r="W1542" s="6"/>
      <c r="X1542" s="6"/>
      <c r="Y1542" s="4"/>
      <c r="Z1542" s="6"/>
      <c r="AA1542" s="4"/>
      <c r="AB1542" s="4"/>
      <c r="AC1542" s="4"/>
      <c r="AD1542" s="6"/>
      <c r="AE1542" s="4"/>
      <c r="AF1542" s="4"/>
      <c r="AG1542" s="4"/>
      <c r="AH1542" s="4">
        <v>444073477560</v>
      </c>
    </row>
    <row r="1543" spans="1:34" x14ac:dyDescent="0.25">
      <c r="A1543" s="4">
        <v>1542</v>
      </c>
      <c r="B1543" s="5" t="s">
        <v>3213</v>
      </c>
      <c r="C1543" s="5" t="s">
        <v>3214</v>
      </c>
      <c r="D1543" s="5" t="s">
        <v>1586</v>
      </c>
      <c r="E1543" s="5" t="s">
        <v>62</v>
      </c>
      <c r="F1543" s="5" t="s">
        <v>63</v>
      </c>
      <c r="G1543" s="5" t="s">
        <v>656</v>
      </c>
      <c r="H1543" s="4">
        <v>9147489745</v>
      </c>
      <c r="I1543" s="4">
        <v>13427350915</v>
      </c>
      <c r="J1543" s="6">
        <v>0.22320000000000001</v>
      </c>
      <c r="K1543" s="6">
        <v>-3.4700000000000002E-2</v>
      </c>
      <c r="L1543" s="6">
        <v>2.0000000000000001E-4</v>
      </c>
      <c r="M1543" s="4">
        <v>22525985911</v>
      </c>
      <c r="N1543" s="4">
        <v>43008022694</v>
      </c>
      <c r="O1543" s="4"/>
      <c r="P1543" s="6">
        <v>5.7299999999999997E-2</v>
      </c>
      <c r="Q1543" s="6">
        <v>2.4299999999999999E-2</v>
      </c>
      <c r="R1543" s="6">
        <v>-8.6999999999999994E-3</v>
      </c>
      <c r="S1543" s="6">
        <v>9.98E-2</v>
      </c>
      <c r="T1543" s="4"/>
      <c r="U1543" s="6">
        <v>-0.92930000000000001</v>
      </c>
      <c r="V1543" s="6">
        <v>-0.52149999999999996</v>
      </c>
      <c r="W1543" s="6">
        <v>-0.52210000000000001</v>
      </c>
      <c r="X1543" s="6">
        <v>0</v>
      </c>
      <c r="Y1543" s="4"/>
      <c r="Z1543" s="6">
        <v>1.1373</v>
      </c>
      <c r="AA1543" s="4"/>
      <c r="AB1543" s="4"/>
      <c r="AC1543" s="4"/>
      <c r="AD1543" s="6">
        <v>0</v>
      </c>
      <c r="AE1543" s="4"/>
      <c r="AF1543" s="4"/>
      <c r="AG1543" s="4"/>
      <c r="AH1543" s="4">
        <v>876456038640</v>
      </c>
    </row>
    <row r="1544" spans="1:34" x14ac:dyDescent="0.25">
      <c r="A1544" s="4">
        <v>1543</v>
      </c>
      <c r="B1544" s="5" t="s">
        <v>3215</v>
      </c>
      <c r="C1544" s="5" t="s">
        <v>3216</v>
      </c>
      <c r="D1544" s="5" t="s">
        <v>1586</v>
      </c>
      <c r="E1544" s="5" t="s">
        <v>40</v>
      </c>
      <c r="F1544" s="5" t="s">
        <v>52</v>
      </c>
      <c r="G1544" s="5" t="s">
        <v>110</v>
      </c>
      <c r="H1544" s="4"/>
      <c r="I1544" s="4"/>
      <c r="J1544" s="6"/>
      <c r="K1544" s="6"/>
      <c r="L1544" s="6"/>
      <c r="M1544" s="4"/>
      <c r="N1544" s="4"/>
      <c r="O1544" s="4"/>
      <c r="P1544" s="6"/>
      <c r="Q1544" s="6"/>
      <c r="R1544" s="6"/>
      <c r="S1544" s="6"/>
      <c r="T1544" s="4"/>
      <c r="U1544" s="6"/>
      <c r="V1544" s="6"/>
      <c r="W1544" s="6"/>
      <c r="X1544" s="6"/>
      <c r="Y1544" s="4"/>
      <c r="Z1544" s="6"/>
      <c r="AA1544" s="4"/>
      <c r="AB1544" s="4"/>
      <c r="AC1544" s="4"/>
      <c r="AD1544" s="6"/>
      <c r="AE1544" s="4"/>
      <c r="AF1544" s="4"/>
      <c r="AG1544" s="4"/>
      <c r="AH1544" s="4">
        <v>187660317871</v>
      </c>
    </row>
    <row r="1545" spans="1:34" x14ac:dyDescent="0.25">
      <c r="A1545" s="4">
        <v>1544</v>
      </c>
      <c r="B1545" s="5" t="s">
        <v>3217</v>
      </c>
      <c r="C1545" s="5" t="s">
        <v>3218</v>
      </c>
      <c r="D1545" s="5" t="s">
        <v>1586</v>
      </c>
      <c r="E1545" s="5" t="s">
        <v>29</v>
      </c>
      <c r="F1545" s="5" t="s">
        <v>30</v>
      </c>
      <c r="G1545" s="5" t="s">
        <v>31</v>
      </c>
      <c r="H1545" s="4"/>
      <c r="I1545" s="4"/>
      <c r="J1545" s="6"/>
      <c r="K1545" s="6"/>
      <c r="L1545" s="6"/>
      <c r="M1545" s="4"/>
      <c r="N1545" s="4"/>
      <c r="O1545" s="4"/>
      <c r="P1545" s="6"/>
      <c r="Q1545" s="6"/>
      <c r="R1545" s="6"/>
      <c r="S1545" s="6"/>
      <c r="T1545" s="4"/>
      <c r="U1545" s="6"/>
      <c r="V1545" s="6"/>
      <c r="W1545" s="6"/>
      <c r="X1545" s="6"/>
      <c r="Y1545" s="4"/>
      <c r="Z1545" s="6"/>
      <c r="AA1545" s="4"/>
      <c r="AB1545" s="4"/>
      <c r="AC1545" s="4"/>
      <c r="AD1545" s="6"/>
      <c r="AE1545" s="4"/>
      <c r="AF1545" s="4"/>
      <c r="AG1545" s="4"/>
      <c r="AH1545" s="4">
        <v>8023071000</v>
      </c>
    </row>
    <row r="1546" spans="1:34" x14ac:dyDescent="0.25">
      <c r="A1546" s="4">
        <v>1545</v>
      </c>
      <c r="B1546" s="5" t="s">
        <v>3219</v>
      </c>
      <c r="C1546" s="5" t="s">
        <v>3220</v>
      </c>
      <c r="D1546" s="5" t="s">
        <v>1586</v>
      </c>
      <c r="E1546" s="5" t="s">
        <v>75</v>
      </c>
      <c r="F1546" s="5" t="s">
        <v>76</v>
      </c>
      <c r="G1546" s="5" t="s">
        <v>76</v>
      </c>
      <c r="H1546" s="4"/>
      <c r="I1546" s="4"/>
      <c r="J1546" s="6"/>
      <c r="K1546" s="6"/>
      <c r="L1546" s="6"/>
      <c r="M1546" s="4"/>
      <c r="N1546" s="4"/>
      <c r="O1546" s="4"/>
      <c r="P1546" s="6"/>
      <c r="Q1546" s="6"/>
      <c r="R1546" s="6"/>
      <c r="S1546" s="6"/>
      <c r="T1546" s="4"/>
      <c r="U1546" s="6"/>
      <c r="V1546" s="6"/>
      <c r="W1546" s="6"/>
      <c r="X1546" s="6"/>
      <c r="Y1546" s="4"/>
      <c r="Z1546" s="6"/>
      <c r="AA1546" s="4"/>
      <c r="AB1546" s="4"/>
      <c r="AC1546" s="4"/>
      <c r="AD1546" s="6"/>
      <c r="AE1546" s="4"/>
      <c r="AF1546" s="4"/>
      <c r="AG1546" s="4"/>
      <c r="AH1546" s="4">
        <v>67322294000</v>
      </c>
    </row>
    <row r="1547" spans="1:34" x14ac:dyDescent="0.25">
      <c r="A1547" s="4">
        <v>1546</v>
      </c>
      <c r="B1547" s="5" t="s">
        <v>3221</v>
      </c>
      <c r="C1547" s="5" t="s">
        <v>3222</v>
      </c>
      <c r="D1547" s="5" t="s">
        <v>1586</v>
      </c>
      <c r="E1547" s="5" t="s">
        <v>24</v>
      </c>
      <c r="F1547" s="5" t="s">
        <v>25</v>
      </c>
      <c r="G1547" s="5" t="s">
        <v>26</v>
      </c>
      <c r="H1547" s="4">
        <v>31476218616</v>
      </c>
      <c r="I1547" s="4">
        <v>48684317072</v>
      </c>
      <c r="J1547" s="6">
        <v>1.9206000000000001</v>
      </c>
      <c r="K1547" s="6">
        <v>0.90549999999999997</v>
      </c>
      <c r="L1547" s="6">
        <v>0.25530000000000003</v>
      </c>
      <c r="M1547" s="4">
        <v>15510554492</v>
      </c>
      <c r="N1547" s="4">
        <v>28811089842</v>
      </c>
      <c r="O1547" s="4"/>
      <c r="P1547" s="6">
        <v>2.0024000000000002</v>
      </c>
      <c r="Q1547" s="6">
        <v>1.0135000000000001</v>
      </c>
      <c r="R1547" s="6">
        <v>0.60960000000000003</v>
      </c>
      <c r="S1547" s="6">
        <v>0.17510000000000001</v>
      </c>
      <c r="T1547" s="4"/>
      <c r="U1547" s="6">
        <v>-0.40579999999999999</v>
      </c>
      <c r="V1547" s="6">
        <v>0.59830000000000005</v>
      </c>
      <c r="W1547" s="6">
        <v>0.59860000000000002</v>
      </c>
      <c r="X1547" s="6">
        <v>0</v>
      </c>
      <c r="Y1547" s="4"/>
      <c r="Z1547" s="6">
        <v>0.82920000000000005</v>
      </c>
      <c r="AA1547" s="4"/>
      <c r="AB1547" s="4"/>
      <c r="AC1547" s="4"/>
      <c r="AD1547" s="6">
        <v>0</v>
      </c>
      <c r="AE1547" s="4"/>
      <c r="AF1547" s="4"/>
      <c r="AG1547" s="4"/>
      <c r="AH1547" s="4">
        <v>329805798175</v>
      </c>
    </row>
    <row r="1548" spans="1:34" x14ac:dyDescent="0.25">
      <c r="A1548" s="4">
        <v>1547</v>
      </c>
      <c r="B1548" s="5" t="s">
        <v>3223</v>
      </c>
      <c r="C1548" s="5" t="s">
        <v>3224</v>
      </c>
      <c r="D1548" s="5" t="s">
        <v>1586</v>
      </c>
      <c r="E1548" s="5" t="s">
        <v>62</v>
      </c>
      <c r="F1548" s="5" t="s">
        <v>63</v>
      </c>
      <c r="G1548" s="5" t="s">
        <v>64</v>
      </c>
      <c r="H1548" s="4"/>
      <c r="I1548" s="4"/>
      <c r="J1548" s="6"/>
      <c r="K1548" s="6"/>
      <c r="L1548" s="6"/>
      <c r="M1548" s="4"/>
      <c r="N1548" s="4"/>
      <c r="O1548" s="4"/>
      <c r="P1548" s="6"/>
      <c r="Q1548" s="6"/>
      <c r="R1548" s="6"/>
      <c r="S1548" s="6"/>
      <c r="T1548" s="4"/>
      <c r="U1548" s="6"/>
      <c r="V1548" s="6"/>
      <c r="W1548" s="6"/>
      <c r="X1548" s="6"/>
      <c r="Y1548" s="4"/>
      <c r="Z1548" s="6"/>
      <c r="AA1548" s="4"/>
      <c r="AB1548" s="4"/>
      <c r="AC1548" s="4"/>
      <c r="AD1548" s="6"/>
      <c r="AE1548" s="4"/>
      <c r="AF1548" s="4"/>
      <c r="AG1548" s="4"/>
      <c r="AH1548" s="4">
        <v>968293200</v>
      </c>
    </row>
    <row r="1549" spans="1:34" x14ac:dyDescent="0.25">
      <c r="A1549" s="4">
        <v>1548</v>
      </c>
      <c r="B1549" s="5" t="s">
        <v>3225</v>
      </c>
      <c r="C1549" s="5" t="s">
        <v>3226</v>
      </c>
      <c r="D1549" s="5" t="s">
        <v>1586</v>
      </c>
      <c r="E1549" s="5" t="s">
        <v>24</v>
      </c>
      <c r="F1549" s="5" t="s">
        <v>25</v>
      </c>
      <c r="G1549" s="5" t="s">
        <v>45</v>
      </c>
      <c r="H1549" s="4"/>
      <c r="I1549" s="4"/>
      <c r="J1549" s="6"/>
      <c r="K1549" s="6"/>
      <c r="L1549" s="6"/>
      <c r="M1549" s="4"/>
      <c r="N1549" s="4"/>
      <c r="O1549" s="4"/>
      <c r="P1549" s="6"/>
      <c r="Q1549" s="6"/>
      <c r="R1549" s="6"/>
      <c r="S1549" s="6"/>
      <c r="T1549" s="4"/>
      <c r="U1549" s="6"/>
      <c r="V1549" s="6"/>
      <c r="W1549" s="6"/>
      <c r="X1549" s="6"/>
      <c r="Y1549" s="4"/>
      <c r="Z1549" s="6"/>
      <c r="AA1549" s="4"/>
      <c r="AB1549" s="4"/>
      <c r="AC1549" s="4"/>
      <c r="AD1549" s="6"/>
      <c r="AE1549" s="4"/>
      <c r="AF1549" s="4"/>
      <c r="AG1549" s="4"/>
      <c r="AH1549" s="4">
        <v>55249850400</v>
      </c>
    </row>
    <row r="1550" spans="1:34" x14ac:dyDescent="0.25">
      <c r="A1550" s="4">
        <v>1549</v>
      </c>
      <c r="B1550" s="5" t="s">
        <v>3227</v>
      </c>
      <c r="C1550" s="5" t="s">
        <v>3228</v>
      </c>
      <c r="D1550" s="5" t="s">
        <v>1586</v>
      </c>
      <c r="E1550" s="5" t="s">
        <v>62</v>
      </c>
      <c r="F1550" s="5" t="s">
        <v>63</v>
      </c>
      <c r="G1550" s="5" t="s">
        <v>965</v>
      </c>
      <c r="H1550" s="4"/>
      <c r="I1550" s="4"/>
      <c r="J1550" s="6"/>
      <c r="K1550" s="6"/>
      <c r="L1550" s="6"/>
      <c r="M1550" s="4"/>
      <c r="N1550" s="4"/>
      <c r="O1550" s="4"/>
      <c r="P1550" s="6"/>
      <c r="Q1550" s="6"/>
      <c r="R1550" s="6"/>
      <c r="S1550" s="6"/>
      <c r="T1550" s="4"/>
      <c r="U1550" s="6"/>
      <c r="V1550" s="6"/>
      <c r="W1550" s="6"/>
      <c r="X1550" s="6"/>
      <c r="Y1550" s="4"/>
      <c r="Z1550" s="6"/>
      <c r="AA1550" s="4"/>
      <c r="AB1550" s="4"/>
      <c r="AC1550" s="4"/>
      <c r="AD1550" s="6"/>
      <c r="AE1550" s="4"/>
      <c r="AF1550" s="4"/>
      <c r="AG1550" s="4"/>
      <c r="AH1550" s="4">
        <v>13357141150775</v>
      </c>
    </row>
    <row r="1551" spans="1:34" x14ac:dyDescent="0.25">
      <c r="A1551" s="4">
        <v>1550</v>
      </c>
      <c r="B1551" s="5" t="s">
        <v>3229</v>
      </c>
      <c r="C1551" s="5" t="s">
        <v>3230</v>
      </c>
      <c r="D1551" s="5" t="s">
        <v>1586</v>
      </c>
      <c r="E1551" s="5" t="s">
        <v>40</v>
      </c>
      <c r="F1551" s="5" t="s">
        <v>41</v>
      </c>
      <c r="G1551" s="5" t="s">
        <v>406</v>
      </c>
      <c r="H1551" s="4">
        <v>22298525764</v>
      </c>
      <c r="I1551" s="4">
        <v>64949790334</v>
      </c>
      <c r="J1551" s="6">
        <v>-0.33100000000000002</v>
      </c>
      <c r="K1551" s="6">
        <v>-2.0199999999999999E-2</v>
      </c>
      <c r="L1551" s="6">
        <v>-4.3299999999999998E-2</v>
      </c>
      <c r="M1551" s="4">
        <v>-26579414</v>
      </c>
      <c r="N1551" s="4">
        <v>5776757021</v>
      </c>
      <c r="O1551" s="4"/>
      <c r="P1551" s="6">
        <v>0.99760000000000004</v>
      </c>
      <c r="Q1551" s="6">
        <v>1.3337000000000001</v>
      </c>
      <c r="R1551" s="6">
        <v>0.97170000000000001</v>
      </c>
      <c r="S1551" s="6">
        <v>-1.0045999999999999</v>
      </c>
      <c r="T1551" s="4"/>
      <c r="U1551" s="6">
        <v>-0.36099999999999999</v>
      </c>
      <c r="V1551" s="6">
        <v>16.452400000000001</v>
      </c>
      <c r="W1551" s="6">
        <v>16.452400000000001</v>
      </c>
      <c r="X1551" s="6">
        <v>0</v>
      </c>
      <c r="Y1551" s="4"/>
      <c r="Z1551" s="6">
        <v>-0.47720000000000001</v>
      </c>
      <c r="AA1551" s="4"/>
      <c r="AB1551" s="4"/>
      <c r="AC1551" s="4"/>
      <c r="AD1551" s="6">
        <v>0</v>
      </c>
      <c r="AE1551" s="4"/>
      <c r="AF1551" s="4"/>
      <c r="AG1551" s="4"/>
      <c r="AH1551" s="4">
        <v>30152354000</v>
      </c>
    </row>
    <row r="1552" spans="1:34" x14ac:dyDescent="0.25">
      <c r="A1552" s="4">
        <v>1551</v>
      </c>
      <c r="B1552" s="5" t="s">
        <v>3231</v>
      </c>
      <c r="C1552" s="5" t="s">
        <v>3232</v>
      </c>
      <c r="D1552" s="5" t="s">
        <v>1586</v>
      </c>
      <c r="E1552" s="5" t="s">
        <v>40</v>
      </c>
      <c r="F1552" s="5" t="s">
        <v>52</v>
      </c>
      <c r="G1552" s="5" t="s">
        <v>110</v>
      </c>
      <c r="H1552" s="4"/>
      <c r="I1552" s="4"/>
      <c r="J1552" s="6"/>
      <c r="K1552" s="6"/>
      <c r="L1552" s="6"/>
      <c r="M1552" s="4"/>
      <c r="N1552" s="4"/>
      <c r="O1552" s="4"/>
      <c r="P1552" s="6"/>
      <c r="Q1552" s="6"/>
      <c r="R1552" s="6"/>
      <c r="S1552" s="6"/>
      <c r="T1552" s="4"/>
      <c r="U1552" s="6"/>
      <c r="V1552" s="6"/>
      <c r="W1552" s="6"/>
      <c r="X1552" s="6"/>
      <c r="Y1552" s="4"/>
      <c r="Z1552" s="6"/>
      <c r="AA1552" s="4"/>
      <c r="AB1552" s="4"/>
      <c r="AC1552" s="4"/>
      <c r="AD1552" s="6"/>
      <c r="AE1552" s="4"/>
      <c r="AF1552" s="4"/>
      <c r="AG1552" s="4"/>
      <c r="AH1552" s="4">
        <v>16312500000</v>
      </c>
    </row>
    <row r="1553" spans="1:34" x14ac:dyDescent="0.25">
      <c r="A1553" s="4">
        <v>1552</v>
      </c>
      <c r="B1553" s="5" t="s">
        <v>3233</v>
      </c>
      <c r="C1553" s="5" t="s">
        <v>3234</v>
      </c>
      <c r="D1553" s="5" t="s">
        <v>1586</v>
      </c>
      <c r="E1553" s="5" t="s">
        <v>62</v>
      </c>
      <c r="F1553" s="5" t="s">
        <v>63</v>
      </c>
      <c r="G1553" s="5" t="s">
        <v>656</v>
      </c>
      <c r="H1553" s="4"/>
      <c r="I1553" s="4"/>
      <c r="J1553" s="6"/>
      <c r="K1553" s="6"/>
      <c r="L1553" s="6"/>
      <c r="M1553" s="4"/>
      <c r="N1553" s="4"/>
      <c r="O1553" s="4"/>
      <c r="P1553" s="6"/>
      <c r="Q1553" s="6"/>
      <c r="R1553" s="6"/>
      <c r="S1553" s="6"/>
      <c r="T1553" s="4"/>
      <c r="U1553" s="6"/>
      <c r="V1553" s="6"/>
      <c r="W1553" s="6"/>
      <c r="X1553" s="6"/>
      <c r="Y1553" s="4"/>
      <c r="Z1553" s="6"/>
      <c r="AA1553" s="4"/>
      <c r="AB1553" s="4"/>
      <c r="AC1553" s="4"/>
      <c r="AD1553" s="6"/>
      <c r="AE1553" s="4"/>
      <c r="AF1553" s="4"/>
      <c r="AG1553" s="4"/>
      <c r="AH1553" s="4">
        <v>84563455200</v>
      </c>
    </row>
    <row r="1554" spans="1:34" x14ac:dyDescent="0.25">
      <c r="A1554" s="4">
        <v>1553</v>
      </c>
      <c r="B1554" s="5" t="s">
        <v>3235</v>
      </c>
      <c r="C1554" s="5" t="s">
        <v>3236</v>
      </c>
      <c r="D1554" s="5" t="s">
        <v>1586</v>
      </c>
      <c r="E1554" s="5" t="s">
        <v>98</v>
      </c>
      <c r="F1554" s="5" t="s">
        <v>99</v>
      </c>
      <c r="G1554" s="5" t="s">
        <v>155</v>
      </c>
      <c r="H1554" s="4"/>
      <c r="I1554" s="4"/>
      <c r="J1554" s="6"/>
      <c r="K1554" s="6"/>
      <c r="L1554" s="6"/>
      <c r="M1554" s="4"/>
      <c r="N1554" s="4"/>
      <c r="O1554" s="4"/>
      <c r="P1554" s="6"/>
      <c r="Q1554" s="6"/>
      <c r="R1554" s="6"/>
      <c r="S1554" s="6"/>
      <c r="T1554" s="4"/>
      <c r="U1554" s="6"/>
      <c r="V1554" s="6"/>
      <c r="W1554" s="6"/>
      <c r="X1554" s="6"/>
      <c r="Y1554" s="4"/>
      <c r="Z1554" s="6"/>
      <c r="AA1554" s="4"/>
      <c r="AB1554" s="4"/>
      <c r="AC1554" s="4"/>
      <c r="AD1554" s="6"/>
      <c r="AE1554" s="4"/>
      <c r="AF1554" s="4"/>
      <c r="AG1554" s="4"/>
      <c r="AH1554" s="4">
        <v>103868686800</v>
      </c>
    </row>
    <row r="1555" spans="1:34" x14ac:dyDescent="0.25">
      <c r="A1555" s="4">
        <v>1554</v>
      </c>
      <c r="B1555" s="5" t="s">
        <v>3237</v>
      </c>
      <c r="C1555" s="5" t="s">
        <v>3238</v>
      </c>
      <c r="D1555" s="5" t="s">
        <v>1586</v>
      </c>
      <c r="E1555" s="5" t="s">
        <v>40</v>
      </c>
      <c r="F1555" s="5" t="s">
        <v>41</v>
      </c>
      <c r="G1555" s="5" t="s">
        <v>42</v>
      </c>
      <c r="H1555" s="4"/>
      <c r="I1555" s="4"/>
      <c r="J1555" s="6"/>
      <c r="K1555" s="6"/>
      <c r="L1555" s="6"/>
      <c r="M1555" s="4"/>
      <c r="N1555" s="4"/>
      <c r="O1555" s="4"/>
      <c r="P1555" s="6"/>
      <c r="Q1555" s="6"/>
      <c r="R1555" s="6"/>
      <c r="S1555" s="6"/>
      <c r="T1555" s="4"/>
      <c r="U1555" s="6"/>
      <c r="V1555" s="6"/>
      <c r="W1555" s="6"/>
      <c r="X1555" s="6"/>
      <c r="Y1555" s="4"/>
      <c r="Z1555" s="6"/>
      <c r="AA1555" s="4"/>
      <c r="AB1555" s="4"/>
      <c r="AC1555" s="4"/>
      <c r="AD1555" s="6"/>
      <c r="AE1555" s="4"/>
      <c r="AF1555" s="4"/>
      <c r="AG1555" s="4"/>
      <c r="AH1555" s="4">
        <v>46794540000</v>
      </c>
    </row>
    <row r="1556" spans="1:34" x14ac:dyDescent="0.25">
      <c r="A1556" s="4">
        <v>1555</v>
      </c>
      <c r="B1556" s="5" t="s">
        <v>3239</v>
      </c>
      <c r="C1556" s="5" t="s">
        <v>3240</v>
      </c>
      <c r="D1556" s="5" t="s">
        <v>1586</v>
      </c>
      <c r="E1556" s="5" t="s">
        <v>75</v>
      </c>
      <c r="F1556" s="5" t="s">
        <v>76</v>
      </c>
      <c r="G1556" s="5" t="s">
        <v>76</v>
      </c>
      <c r="H1556" s="4">
        <v>13716215201</v>
      </c>
      <c r="I1556" s="4">
        <v>20640380210</v>
      </c>
      <c r="J1556" s="6">
        <v>0.4486</v>
      </c>
      <c r="K1556" s="6">
        <v>0.1043</v>
      </c>
      <c r="L1556" s="6">
        <v>0.21929999999999999</v>
      </c>
      <c r="M1556" s="4">
        <v>80599411</v>
      </c>
      <c r="N1556" s="4">
        <v>-4351214002</v>
      </c>
      <c r="O1556" s="4"/>
      <c r="P1556" s="6">
        <v>1.0145999999999999</v>
      </c>
      <c r="Q1556" s="6">
        <v>9.1300000000000006E-2</v>
      </c>
      <c r="R1556" s="6">
        <v>0.63529999999999998</v>
      </c>
      <c r="S1556" s="6">
        <v>1.0129999999999999</v>
      </c>
      <c r="T1556" s="4"/>
      <c r="U1556" s="6">
        <v>0</v>
      </c>
      <c r="V1556" s="6">
        <v>0</v>
      </c>
      <c r="W1556" s="6">
        <v>0</v>
      </c>
      <c r="X1556" s="6">
        <v>2.87E-2</v>
      </c>
      <c r="Y1556" s="4"/>
      <c r="Z1556" s="6">
        <v>0.98089999999999999</v>
      </c>
      <c r="AA1556" s="4"/>
      <c r="AB1556" s="4"/>
      <c r="AC1556" s="4"/>
      <c r="AD1556" s="6">
        <v>0</v>
      </c>
      <c r="AE1556" s="4"/>
      <c r="AF1556" s="4"/>
      <c r="AG1556" s="4"/>
      <c r="AH1556" s="4">
        <v>348648502752</v>
      </c>
    </row>
    <row r="1557" spans="1:34" x14ac:dyDescent="0.25">
      <c r="A1557" s="4">
        <v>1556</v>
      </c>
      <c r="B1557" s="5" t="s">
        <v>3241</v>
      </c>
      <c r="C1557" s="5" t="s">
        <v>3242</v>
      </c>
      <c r="D1557" s="5" t="s">
        <v>1586</v>
      </c>
      <c r="E1557" s="5" t="s">
        <v>40</v>
      </c>
      <c r="F1557" s="5" t="s">
        <v>41</v>
      </c>
      <c r="G1557" s="5" t="s">
        <v>93</v>
      </c>
      <c r="H1557" s="4"/>
      <c r="I1557" s="4"/>
      <c r="J1557" s="6"/>
      <c r="K1557" s="6"/>
      <c r="L1557" s="6"/>
      <c r="M1557" s="4"/>
      <c r="N1557" s="4"/>
      <c r="O1557" s="4"/>
      <c r="P1557" s="6"/>
      <c r="Q1557" s="6"/>
      <c r="R1557" s="6"/>
      <c r="S1557" s="6"/>
      <c r="T1557" s="4"/>
      <c r="U1557" s="6"/>
      <c r="V1557" s="6"/>
      <c r="W1557" s="6"/>
      <c r="X1557" s="6"/>
      <c r="Y1557" s="4"/>
      <c r="Z1557" s="6"/>
      <c r="AA1557" s="4"/>
      <c r="AB1557" s="4"/>
      <c r="AC1557" s="4"/>
      <c r="AD1557" s="6"/>
      <c r="AE1557" s="4"/>
      <c r="AF1557" s="4"/>
      <c r="AG1557" s="4"/>
      <c r="AH1557" s="4">
        <v>67654982500</v>
      </c>
    </row>
    <row r="1558" spans="1:34" x14ac:dyDescent="0.25">
      <c r="A1558" s="4">
        <v>1557</v>
      </c>
      <c r="B1558" s="5" t="s">
        <v>3243</v>
      </c>
      <c r="C1558" s="5" t="s">
        <v>3244</v>
      </c>
      <c r="D1558" s="5" t="s">
        <v>1586</v>
      </c>
      <c r="E1558" s="5" t="s">
        <v>29</v>
      </c>
      <c r="F1558" s="5" t="s">
        <v>30</v>
      </c>
      <c r="G1558" s="5" t="s">
        <v>83</v>
      </c>
      <c r="H1558" s="4"/>
      <c r="I1558" s="4"/>
      <c r="J1558" s="6"/>
      <c r="K1558" s="6"/>
      <c r="L1558" s="6"/>
      <c r="M1558" s="4"/>
      <c r="N1558" s="4"/>
      <c r="O1558" s="4"/>
      <c r="P1558" s="6"/>
      <c r="Q1558" s="6"/>
      <c r="R1558" s="6"/>
      <c r="S1558" s="6"/>
      <c r="T1558" s="4"/>
      <c r="U1558" s="6"/>
      <c r="V1558" s="6"/>
      <c r="W1558" s="6"/>
      <c r="X1558" s="6"/>
      <c r="Y1558" s="4"/>
      <c r="Z1558" s="6"/>
      <c r="AA1558" s="4"/>
      <c r="AB1558" s="4"/>
      <c r="AC1558" s="4"/>
      <c r="AD1558" s="6"/>
      <c r="AE1558" s="4"/>
      <c r="AF1558" s="4"/>
      <c r="AG1558" s="4"/>
      <c r="AH1558" s="4">
        <v>15325000000000</v>
      </c>
    </row>
    <row r="1559" spans="1:34" x14ac:dyDescent="0.25">
      <c r="A1559" s="4">
        <v>1558</v>
      </c>
      <c r="B1559" s="5" t="s">
        <v>3245</v>
      </c>
      <c r="C1559" s="5" t="s">
        <v>3246</v>
      </c>
      <c r="D1559" s="5" t="s">
        <v>1586</v>
      </c>
      <c r="E1559" s="5" t="s">
        <v>40</v>
      </c>
      <c r="F1559" s="5" t="s">
        <v>41</v>
      </c>
      <c r="G1559" s="5" t="s">
        <v>93</v>
      </c>
      <c r="H1559" s="4"/>
      <c r="I1559" s="4"/>
      <c r="J1559" s="6"/>
      <c r="K1559" s="6"/>
      <c r="L1559" s="6"/>
      <c r="M1559" s="4"/>
      <c r="N1559" s="4"/>
      <c r="O1559" s="4"/>
      <c r="P1559" s="6"/>
      <c r="Q1559" s="6"/>
      <c r="R1559" s="6"/>
      <c r="S1559" s="6"/>
      <c r="T1559" s="4"/>
      <c r="U1559" s="6"/>
      <c r="V1559" s="6"/>
      <c r="W1559" s="6"/>
      <c r="X1559" s="6"/>
      <c r="Y1559" s="4"/>
      <c r="Z1559" s="6"/>
      <c r="AA1559" s="4"/>
      <c r="AB1559" s="4"/>
      <c r="AC1559" s="4"/>
      <c r="AD1559" s="6"/>
      <c r="AE1559" s="4"/>
      <c r="AF1559" s="4"/>
      <c r="AG1559" s="4"/>
      <c r="AH1559" s="4">
        <v>18774800000</v>
      </c>
    </row>
    <row r="1560" spans="1:34" x14ac:dyDescent="0.25">
      <c r="A1560" s="4">
        <v>1559</v>
      </c>
      <c r="B1560" s="5" t="s">
        <v>3247</v>
      </c>
      <c r="C1560" s="5" t="s">
        <v>3248</v>
      </c>
      <c r="D1560" s="5" t="s">
        <v>1586</v>
      </c>
      <c r="E1560" s="5" t="s">
        <v>29</v>
      </c>
      <c r="F1560" s="5" t="s">
        <v>30</v>
      </c>
      <c r="G1560" s="5" t="s">
        <v>83</v>
      </c>
      <c r="H1560" s="4"/>
      <c r="I1560" s="4"/>
      <c r="J1560" s="6"/>
      <c r="K1560" s="6"/>
      <c r="L1560" s="6"/>
      <c r="M1560" s="4"/>
      <c r="N1560" s="4"/>
      <c r="O1560" s="4"/>
      <c r="P1560" s="6"/>
      <c r="Q1560" s="6"/>
      <c r="R1560" s="6"/>
      <c r="S1560" s="6"/>
      <c r="T1560" s="4"/>
      <c r="U1560" s="6"/>
      <c r="V1560" s="6"/>
      <c r="W1560" s="6"/>
      <c r="X1560" s="6"/>
      <c r="Y1560" s="4"/>
      <c r="Z1560" s="6"/>
      <c r="AA1560" s="4"/>
      <c r="AB1560" s="4"/>
      <c r="AC1560" s="4"/>
      <c r="AD1560" s="6"/>
      <c r="AE1560" s="4"/>
      <c r="AF1560" s="4"/>
      <c r="AG1560" s="4"/>
      <c r="AH1560" s="4">
        <v>1011306250000</v>
      </c>
    </row>
    <row r="1561" spans="1:34" x14ac:dyDescent="0.25">
      <c r="A1561" s="4">
        <v>1560</v>
      </c>
      <c r="B1561" s="5" t="s">
        <v>3249</v>
      </c>
      <c r="C1561" s="5" t="s">
        <v>3250</v>
      </c>
      <c r="D1561" s="5" t="s">
        <v>1586</v>
      </c>
      <c r="E1561" s="5" t="s">
        <v>40</v>
      </c>
      <c r="F1561" s="5" t="s">
        <v>41</v>
      </c>
      <c r="G1561" s="5" t="s">
        <v>406</v>
      </c>
      <c r="H1561" s="4"/>
      <c r="I1561" s="4"/>
      <c r="J1561" s="6"/>
      <c r="K1561" s="6"/>
      <c r="L1561" s="6"/>
      <c r="M1561" s="4"/>
      <c r="N1561" s="4"/>
      <c r="O1561" s="4"/>
      <c r="P1561" s="6"/>
      <c r="Q1561" s="6"/>
      <c r="R1561" s="6"/>
      <c r="S1561" s="6"/>
      <c r="T1561" s="4"/>
      <c r="U1561" s="6"/>
      <c r="V1561" s="6"/>
      <c r="W1561" s="6"/>
      <c r="X1561" s="6"/>
      <c r="Y1561" s="4"/>
      <c r="Z1561" s="6"/>
      <c r="AA1561" s="4"/>
      <c r="AB1561" s="4"/>
      <c r="AC1561" s="4"/>
      <c r="AD1561" s="6"/>
      <c r="AE1561" s="4"/>
      <c r="AF1561" s="4"/>
      <c r="AG1561" s="4"/>
      <c r="AH1561" s="4">
        <v>200098077300</v>
      </c>
    </row>
    <row r="1562" spans="1:34" x14ac:dyDescent="0.25">
      <c r="A1562" s="4">
        <v>1561</v>
      </c>
      <c r="B1562" s="5" t="s">
        <v>3251</v>
      </c>
      <c r="C1562" s="5" t="s">
        <v>3252</v>
      </c>
      <c r="D1562" s="5" t="s">
        <v>1586</v>
      </c>
      <c r="E1562" s="5" t="s">
        <v>40</v>
      </c>
      <c r="F1562" s="5" t="s">
        <v>52</v>
      </c>
      <c r="G1562" s="5" t="s">
        <v>53</v>
      </c>
      <c r="H1562" s="4"/>
      <c r="I1562" s="4"/>
      <c r="J1562" s="6"/>
      <c r="K1562" s="6"/>
      <c r="L1562" s="6"/>
      <c r="M1562" s="4"/>
      <c r="N1562" s="4"/>
      <c r="O1562" s="4"/>
      <c r="P1562" s="6"/>
      <c r="Q1562" s="6"/>
      <c r="R1562" s="6"/>
      <c r="S1562" s="6"/>
      <c r="T1562" s="4"/>
      <c r="U1562" s="6"/>
      <c r="V1562" s="6"/>
      <c r="W1562" s="6"/>
      <c r="X1562" s="6"/>
      <c r="Y1562" s="4"/>
      <c r="Z1562" s="6"/>
      <c r="AA1562" s="4"/>
      <c r="AB1562" s="4"/>
      <c r="AC1562" s="4"/>
      <c r="AD1562" s="6"/>
      <c r="AE1562" s="4"/>
      <c r="AF1562" s="4"/>
      <c r="AG1562" s="4"/>
      <c r="AH1562" s="4">
        <v>15200000000</v>
      </c>
    </row>
    <row r="1563" spans="1:34" x14ac:dyDescent="0.25">
      <c r="A1563" s="4">
        <v>1562</v>
      </c>
      <c r="B1563" s="5" t="s">
        <v>3253</v>
      </c>
      <c r="C1563" s="5" t="s">
        <v>3254</v>
      </c>
      <c r="D1563" s="5" t="s">
        <v>1586</v>
      </c>
      <c r="E1563" s="5" t="s">
        <v>62</v>
      </c>
      <c r="F1563" s="5" t="s">
        <v>226</v>
      </c>
      <c r="G1563" s="5" t="s">
        <v>737</v>
      </c>
      <c r="H1563" s="4"/>
      <c r="I1563" s="4"/>
      <c r="J1563" s="6"/>
      <c r="K1563" s="6"/>
      <c r="L1563" s="6"/>
      <c r="M1563" s="4"/>
      <c r="N1563" s="4"/>
      <c r="O1563" s="4"/>
      <c r="P1563" s="6"/>
      <c r="Q1563" s="6"/>
      <c r="R1563" s="6"/>
      <c r="S1563" s="6"/>
      <c r="T1563" s="4"/>
      <c r="U1563" s="6"/>
      <c r="V1563" s="6"/>
      <c r="W1563" s="6"/>
      <c r="X1563" s="6"/>
      <c r="Y1563" s="4"/>
      <c r="Z1563" s="6"/>
      <c r="AA1563" s="4"/>
      <c r="AB1563" s="4"/>
      <c r="AC1563" s="4"/>
      <c r="AD1563" s="6"/>
      <c r="AE1563" s="4"/>
      <c r="AF1563" s="4"/>
      <c r="AG1563" s="4"/>
      <c r="AH1563" s="4">
        <v>104448000000</v>
      </c>
    </row>
    <row r="1564" spans="1:34" x14ac:dyDescent="0.25">
      <c r="A1564" s="4">
        <v>1563</v>
      </c>
      <c r="B1564" s="5" t="s">
        <v>3255</v>
      </c>
      <c r="C1564" s="5" t="s">
        <v>3256</v>
      </c>
      <c r="D1564" s="5" t="s">
        <v>1586</v>
      </c>
      <c r="E1564" s="5" t="s">
        <v>185</v>
      </c>
      <c r="F1564" s="5" t="s">
        <v>185</v>
      </c>
      <c r="G1564" s="5" t="s">
        <v>310</v>
      </c>
      <c r="H1564" s="4"/>
      <c r="I1564" s="4"/>
      <c r="J1564" s="6"/>
      <c r="K1564" s="6"/>
      <c r="L1564" s="6"/>
      <c r="M1564" s="4"/>
      <c r="N1564" s="4"/>
      <c r="O1564" s="4"/>
      <c r="P1564" s="6"/>
      <c r="Q1564" s="6"/>
      <c r="R1564" s="6"/>
      <c r="S1564" s="6"/>
      <c r="T1564" s="4"/>
      <c r="U1564" s="6"/>
      <c r="V1564" s="6"/>
      <c r="W1564" s="6"/>
      <c r="X1564" s="6"/>
      <c r="Y1564" s="4"/>
      <c r="Z1564" s="6"/>
      <c r="AA1564" s="4"/>
      <c r="AB1564" s="4"/>
      <c r="AC1564" s="4"/>
      <c r="AD1564" s="6"/>
      <c r="AE1564" s="4"/>
      <c r="AF1564" s="4"/>
      <c r="AG1564" s="4"/>
      <c r="AH1564" s="4">
        <v>107640000000</v>
      </c>
    </row>
    <row r="1565" spans="1:34" x14ac:dyDescent="0.25">
      <c r="A1565" s="4">
        <v>1564</v>
      </c>
      <c r="B1565" s="5" t="s">
        <v>3257</v>
      </c>
      <c r="C1565" s="5" t="s">
        <v>3258</v>
      </c>
      <c r="D1565" s="5" t="s">
        <v>1586</v>
      </c>
      <c r="E1565" s="5" t="s">
        <v>62</v>
      </c>
      <c r="F1565" s="5" t="s">
        <v>226</v>
      </c>
      <c r="G1565" s="5" t="s">
        <v>737</v>
      </c>
      <c r="H1565" s="4"/>
      <c r="I1565" s="4"/>
      <c r="J1565" s="6"/>
      <c r="K1565" s="6"/>
      <c r="L1565" s="6"/>
      <c r="M1565" s="4"/>
      <c r="N1565" s="4"/>
      <c r="O1565" s="4"/>
      <c r="P1565" s="6"/>
      <c r="Q1565" s="6"/>
      <c r="R1565" s="6"/>
      <c r="S1565" s="6"/>
      <c r="T1565" s="4"/>
      <c r="U1565" s="6"/>
      <c r="V1565" s="6"/>
      <c r="W1565" s="6"/>
      <c r="X1565" s="6"/>
      <c r="Y1565" s="4"/>
      <c r="Z1565" s="6"/>
      <c r="AA1565" s="4"/>
      <c r="AB1565" s="4"/>
      <c r="AC1565" s="4"/>
      <c r="AD1565" s="6"/>
      <c r="AE1565" s="4"/>
      <c r="AF1565" s="4"/>
      <c r="AG1565" s="4"/>
      <c r="AH1565" s="4">
        <v>70849100000</v>
      </c>
    </row>
    <row r="1566" spans="1:34" x14ac:dyDescent="0.25">
      <c r="A1566" s="4">
        <v>1565</v>
      </c>
      <c r="B1566" s="5" t="s">
        <v>3259</v>
      </c>
      <c r="C1566" s="5" t="s">
        <v>3260</v>
      </c>
      <c r="D1566" s="5" t="s">
        <v>1586</v>
      </c>
      <c r="E1566" s="5" t="s">
        <v>29</v>
      </c>
      <c r="F1566" s="5" t="s">
        <v>36</v>
      </c>
      <c r="G1566" s="5" t="s">
        <v>37</v>
      </c>
      <c r="H1566" s="4"/>
      <c r="I1566" s="4"/>
      <c r="J1566" s="6"/>
      <c r="K1566" s="6"/>
      <c r="L1566" s="6"/>
      <c r="M1566" s="4"/>
      <c r="N1566" s="4"/>
      <c r="O1566" s="4"/>
      <c r="P1566" s="6"/>
      <c r="Q1566" s="6"/>
      <c r="R1566" s="6"/>
      <c r="S1566" s="6"/>
      <c r="T1566" s="4"/>
      <c r="U1566" s="6"/>
      <c r="V1566" s="6"/>
      <c r="W1566" s="6"/>
      <c r="X1566" s="6"/>
      <c r="Y1566" s="4"/>
      <c r="Z1566" s="6"/>
      <c r="AA1566" s="4"/>
      <c r="AB1566" s="4"/>
      <c r="AC1566" s="4"/>
      <c r="AD1566" s="6"/>
      <c r="AE1566" s="4"/>
      <c r="AF1566" s="4"/>
      <c r="AG1566" s="4"/>
      <c r="AH1566" s="4">
        <v>20542862400</v>
      </c>
    </row>
    <row r="1567" spans="1:34" x14ac:dyDescent="0.25">
      <c r="A1567" s="4">
        <v>1566</v>
      </c>
      <c r="B1567" s="5" t="s">
        <v>3261</v>
      </c>
      <c r="C1567" s="5" t="s">
        <v>3262</v>
      </c>
      <c r="D1567" s="5" t="s">
        <v>1586</v>
      </c>
      <c r="E1567" s="5" t="s">
        <v>40</v>
      </c>
      <c r="F1567" s="5" t="s">
        <v>41</v>
      </c>
      <c r="G1567" s="5" t="s">
        <v>42</v>
      </c>
      <c r="H1567" s="4"/>
      <c r="I1567" s="4"/>
      <c r="J1567" s="6"/>
      <c r="K1567" s="6"/>
      <c r="L1567" s="6"/>
      <c r="M1567" s="4"/>
      <c r="N1567" s="4"/>
      <c r="O1567" s="4"/>
      <c r="P1567" s="6"/>
      <c r="Q1567" s="6"/>
      <c r="R1567" s="6"/>
      <c r="S1567" s="6"/>
      <c r="T1567" s="4"/>
      <c r="U1567" s="6"/>
      <c r="V1567" s="6"/>
      <c r="W1567" s="6"/>
      <c r="X1567" s="6"/>
      <c r="Y1567" s="4"/>
      <c r="Z1567" s="6"/>
      <c r="AA1567" s="4"/>
      <c r="AB1567" s="4"/>
      <c r="AC1567" s="4"/>
      <c r="AD1567" s="6"/>
      <c r="AE1567" s="4"/>
      <c r="AF1567" s="4"/>
      <c r="AG1567" s="4"/>
      <c r="AH1567" s="4">
        <v>507685854225</v>
      </c>
    </row>
    <row r="1568" spans="1:34" x14ac:dyDescent="0.25">
      <c r="A1568" s="4">
        <v>1567</v>
      </c>
      <c r="B1568" s="5" t="s">
        <v>3263</v>
      </c>
      <c r="C1568" s="5" t="s">
        <v>3264</v>
      </c>
      <c r="D1568" s="5" t="s">
        <v>1586</v>
      </c>
      <c r="E1568" s="5" t="s">
        <v>62</v>
      </c>
      <c r="F1568" s="5" t="s">
        <v>226</v>
      </c>
      <c r="G1568" s="5" t="s">
        <v>737</v>
      </c>
      <c r="H1568" s="4"/>
      <c r="I1568" s="4"/>
      <c r="J1568" s="6"/>
      <c r="K1568" s="6"/>
      <c r="L1568" s="6"/>
      <c r="M1568" s="4"/>
      <c r="N1568" s="4"/>
      <c r="O1568" s="4"/>
      <c r="P1568" s="6"/>
      <c r="Q1568" s="6"/>
      <c r="R1568" s="6"/>
      <c r="S1568" s="6"/>
      <c r="T1568" s="4"/>
      <c r="U1568" s="6"/>
      <c r="V1568" s="6"/>
      <c r="W1568" s="6"/>
      <c r="X1568" s="6"/>
      <c r="Y1568" s="4"/>
      <c r="Z1568" s="6"/>
      <c r="AA1568" s="4"/>
      <c r="AB1568" s="4"/>
      <c r="AC1568" s="4"/>
      <c r="AD1568" s="6"/>
      <c r="AE1568" s="4"/>
      <c r="AF1568" s="4"/>
      <c r="AG1568" s="4"/>
      <c r="AH1568" s="4">
        <v>71499574600</v>
      </c>
    </row>
    <row r="1569" spans="1:34" x14ac:dyDescent="0.25">
      <c r="A1569" s="4">
        <v>1568</v>
      </c>
      <c r="B1569" s="5" t="s">
        <v>3265</v>
      </c>
      <c r="C1569" s="5" t="s">
        <v>3266</v>
      </c>
      <c r="D1569" s="5" t="s">
        <v>1586</v>
      </c>
      <c r="E1569" s="5" t="s">
        <v>24</v>
      </c>
      <c r="F1569" s="5" t="s">
        <v>25</v>
      </c>
      <c r="G1569" s="5" t="s">
        <v>26</v>
      </c>
      <c r="H1569" s="4"/>
      <c r="I1569" s="4"/>
      <c r="J1569" s="6"/>
      <c r="K1569" s="6"/>
      <c r="L1569" s="6"/>
      <c r="M1569" s="4"/>
      <c r="N1569" s="4"/>
      <c r="O1569" s="4"/>
      <c r="P1569" s="6"/>
      <c r="Q1569" s="6"/>
      <c r="R1569" s="6"/>
      <c r="S1569" s="6"/>
      <c r="T1569" s="4"/>
      <c r="U1569" s="6"/>
      <c r="V1569" s="6"/>
      <c r="W1569" s="6"/>
      <c r="X1569" s="6"/>
      <c r="Y1569" s="4"/>
      <c r="Z1569" s="6"/>
      <c r="AA1569" s="4"/>
      <c r="AB1569" s="4"/>
      <c r="AC1569" s="4"/>
      <c r="AD1569" s="6"/>
      <c r="AE1569" s="4"/>
      <c r="AF1569" s="4"/>
      <c r="AG1569" s="4"/>
      <c r="AH1569" s="4">
        <v>81992596800</v>
      </c>
    </row>
    <row r="1570" spans="1:34" x14ac:dyDescent="0.25">
      <c r="A1570" s="4">
        <v>1569</v>
      </c>
      <c r="B1570" s="5" t="s">
        <v>3267</v>
      </c>
      <c r="C1570" s="5" t="s">
        <v>3268</v>
      </c>
      <c r="D1570" s="5" t="s">
        <v>1586</v>
      </c>
      <c r="E1570" s="5" t="s">
        <v>62</v>
      </c>
      <c r="F1570" s="5" t="s">
        <v>226</v>
      </c>
      <c r="G1570" s="5" t="s">
        <v>737</v>
      </c>
      <c r="H1570" s="4"/>
      <c r="I1570" s="4"/>
      <c r="J1570" s="6"/>
      <c r="K1570" s="6"/>
      <c r="L1570" s="6"/>
      <c r="M1570" s="4"/>
      <c r="N1570" s="4"/>
      <c r="O1570" s="4"/>
      <c r="P1570" s="6"/>
      <c r="Q1570" s="6"/>
      <c r="R1570" s="6"/>
      <c r="S1570" s="6"/>
      <c r="T1570" s="4"/>
      <c r="U1570" s="6"/>
      <c r="V1570" s="6"/>
      <c r="W1570" s="6"/>
      <c r="X1570" s="6"/>
      <c r="Y1570" s="4"/>
      <c r="Z1570" s="6"/>
      <c r="AA1570" s="4"/>
      <c r="AB1570" s="4"/>
      <c r="AC1570" s="4"/>
      <c r="AD1570" s="6"/>
      <c r="AE1570" s="4"/>
      <c r="AF1570" s="4"/>
      <c r="AG1570" s="4"/>
      <c r="AH1570" s="4">
        <v>657751485093</v>
      </c>
    </row>
    <row r="1571" spans="1:34" x14ac:dyDescent="0.25">
      <c r="A1571" s="4">
        <v>1570</v>
      </c>
      <c r="B1571" s="5" t="s">
        <v>3269</v>
      </c>
      <c r="C1571" s="5" t="s">
        <v>3270</v>
      </c>
      <c r="D1571" s="5" t="s">
        <v>1586</v>
      </c>
      <c r="E1571" s="5" t="s">
        <v>40</v>
      </c>
      <c r="F1571" s="5" t="s">
        <v>52</v>
      </c>
      <c r="G1571" s="5" t="s">
        <v>53</v>
      </c>
      <c r="H1571" s="4"/>
      <c r="I1571" s="4"/>
      <c r="J1571" s="6"/>
      <c r="K1571" s="6"/>
      <c r="L1571" s="6"/>
      <c r="M1571" s="4"/>
      <c r="N1571" s="4"/>
      <c r="O1571" s="4"/>
      <c r="P1571" s="6"/>
      <c r="Q1571" s="6"/>
      <c r="R1571" s="6"/>
      <c r="S1571" s="6"/>
      <c r="T1571" s="4"/>
      <c r="U1571" s="6"/>
      <c r="V1571" s="6"/>
      <c r="W1571" s="6"/>
      <c r="X1571" s="6"/>
      <c r="Y1571" s="4"/>
      <c r="Z1571" s="6"/>
      <c r="AA1571" s="4"/>
      <c r="AB1571" s="4"/>
      <c r="AC1571" s="4"/>
      <c r="AD1571" s="6"/>
      <c r="AE1571" s="4"/>
      <c r="AF1571" s="4"/>
      <c r="AG1571" s="4"/>
      <c r="AH1571" s="4">
        <v>8400000000</v>
      </c>
    </row>
    <row r="1572" spans="1:34" x14ac:dyDescent="0.25">
      <c r="A1572" s="4">
        <v>1571</v>
      </c>
      <c r="B1572" s="5" t="s">
        <v>3271</v>
      </c>
      <c r="C1572" s="5" t="s">
        <v>3272</v>
      </c>
      <c r="D1572" s="5" t="s">
        <v>1586</v>
      </c>
      <c r="E1572" s="5" t="s">
        <v>40</v>
      </c>
      <c r="F1572" s="5" t="s">
        <v>41</v>
      </c>
      <c r="G1572" s="5" t="s">
        <v>557</v>
      </c>
      <c r="H1572" s="4"/>
      <c r="I1572" s="4"/>
      <c r="J1572" s="6"/>
      <c r="K1572" s="6"/>
      <c r="L1572" s="6"/>
      <c r="M1572" s="4"/>
      <c r="N1572" s="4"/>
      <c r="O1572" s="4"/>
      <c r="P1572" s="6"/>
      <c r="Q1572" s="6"/>
      <c r="R1572" s="6"/>
      <c r="S1572" s="6"/>
      <c r="T1572" s="4"/>
      <c r="U1572" s="6"/>
      <c r="V1572" s="6"/>
      <c r="W1572" s="6"/>
      <c r="X1572" s="6"/>
      <c r="Y1572" s="4"/>
      <c r="Z1572" s="6"/>
      <c r="AA1572" s="4"/>
      <c r="AB1572" s="4"/>
      <c r="AC1572" s="4"/>
      <c r="AD1572" s="6"/>
      <c r="AE1572" s="4"/>
      <c r="AF1572" s="4"/>
      <c r="AG1572" s="4"/>
      <c r="AH1572" s="4">
        <v>77597587700</v>
      </c>
    </row>
    <row r="1573" spans="1:34" x14ac:dyDescent="0.25">
      <c r="A1573" s="4">
        <v>1572</v>
      </c>
      <c r="B1573" s="5" t="s">
        <v>3273</v>
      </c>
      <c r="C1573" s="5" t="s">
        <v>3274</v>
      </c>
      <c r="D1573" s="5" t="s">
        <v>1586</v>
      </c>
      <c r="E1573" s="5" t="s">
        <v>75</v>
      </c>
      <c r="F1573" s="5" t="s">
        <v>79</v>
      </c>
      <c r="G1573" s="5" t="s">
        <v>80</v>
      </c>
      <c r="H1573" s="4">
        <v>67322907064</v>
      </c>
      <c r="I1573" s="4">
        <v>100752407021</v>
      </c>
      <c r="J1573" s="6">
        <v>30.848800000000001</v>
      </c>
      <c r="K1573" s="6">
        <v>23.8842</v>
      </c>
      <c r="L1573" s="6">
        <v>13.3675</v>
      </c>
      <c r="M1573" s="4">
        <v>39966638880</v>
      </c>
      <c r="N1573" s="4">
        <v>57936204467</v>
      </c>
      <c r="O1573" s="4"/>
      <c r="P1573" s="6">
        <v>249.1284</v>
      </c>
      <c r="Q1573" s="6">
        <v>18.032499999999999</v>
      </c>
      <c r="R1573" s="6">
        <v>4.2446999999999999</v>
      </c>
      <c r="S1573" s="6">
        <v>1.2241</v>
      </c>
      <c r="T1573" s="4"/>
      <c r="U1573" s="6">
        <v>-0.59699999999999998</v>
      </c>
      <c r="V1573" s="6">
        <v>-0.33789999999999998</v>
      </c>
      <c r="W1573" s="6">
        <v>-0.17230000000000001</v>
      </c>
      <c r="X1573" s="6">
        <v>0</v>
      </c>
      <c r="Y1573" s="4"/>
      <c r="Z1573" s="6">
        <v>1.0139</v>
      </c>
      <c r="AA1573" s="4"/>
      <c r="AB1573" s="4"/>
      <c r="AC1573" s="4"/>
      <c r="AD1573" s="6">
        <v>0</v>
      </c>
      <c r="AE1573" s="4"/>
      <c r="AF1573" s="4"/>
      <c r="AG1573" s="4"/>
      <c r="AH1573" s="4">
        <v>3040000000000</v>
      </c>
    </row>
    <row r="1574" spans="1:34" x14ac:dyDescent="0.25">
      <c r="A1574" s="4">
        <v>1573</v>
      </c>
      <c r="B1574" s="5" t="s">
        <v>3275</v>
      </c>
      <c r="C1574" s="5" t="s">
        <v>3276</v>
      </c>
      <c r="D1574" s="5" t="s">
        <v>1586</v>
      </c>
      <c r="E1574" s="5" t="s">
        <v>29</v>
      </c>
      <c r="F1574" s="5" t="s">
        <v>30</v>
      </c>
      <c r="G1574" s="5" t="s">
        <v>31</v>
      </c>
      <c r="H1574" s="4"/>
      <c r="I1574" s="4"/>
      <c r="J1574" s="6"/>
      <c r="K1574" s="6"/>
      <c r="L1574" s="6"/>
      <c r="M1574" s="4"/>
      <c r="N1574" s="4"/>
      <c r="O1574" s="4"/>
      <c r="P1574" s="6"/>
      <c r="Q1574" s="6"/>
      <c r="R1574" s="6"/>
      <c r="S1574" s="6"/>
      <c r="T1574" s="4"/>
      <c r="U1574" s="6"/>
      <c r="V1574" s="6"/>
      <c r="W1574" s="6"/>
      <c r="X1574" s="6"/>
      <c r="Y1574" s="4"/>
      <c r="Z1574" s="6"/>
      <c r="AA1574" s="4"/>
      <c r="AB1574" s="4"/>
      <c r="AC1574" s="4"/>
      <c r="AD1574" s="6"/>
      <c r="AE1574" s="4"/>
      <c r="AF1574" s="4"/>
      <c r="AG1574" s="4"/>
      <c r="AH1574" s="4"/>
    </row>
    <row r="1575" spans="1:34" x14ac:dyDescent="0.25">
      <c r="A1575" s="4">
        <v>1574</v>
      </c>
      <c r="B1575" s="5" t="s">
        <v>3277</v>
      </c>
      <c r="C1575" s="5" t="s">
        <v>3278</v>
      </c>
      <c r="D1575" s="5" t="s">
        <v>1586</v>
      </c>
      <c r="E1575" s="5" t="s">
        <v>40</v>
      </c>
      <c r="F1575" s="5" t="s">
        <v>52</v>
      </c>
      <c r="G1575" s="5" t="s">
        <v>110</v>
      </c>
      <c r="H1575" s="4"/>
      <c r="I1575" s="4"/>
      <c r="J1575" s="6"/>
      <c r="K1575" s="6"/>
      <c r="L1575" s="6"/>
      <c r="M1575" s="4"/>
      <c r="N1575" s="4"/>
      <c r="O1575" s="4"/>
      <c r="P1575" s="6"/>
      <c r="Q1575" s="6"/>
      <c r="R1575" s="6"/>
      <c r="S1575" s="6"/>
      <c r="T1575" s="4"/>
      <c r="U1575" s="6"/>
      <c r="V1575" s="6"/>
      <c r="W1575" s="6"/>
      <c r="X1575" s="6"/>
      <c r="Y1575" s="4"/>
      <c r="Z1575" s="6"/>
      <c r="AA1575" s="4"/>
      <c r="AB1575" s="4"/>
      <c r="AC1575" s="4"/>
      <c r="AD1575" s="6"/>
      <c r="AE1575" s="4"/>
      <c r="AF1575" s="4"/>
      <c r="AG1575" s="4"/>
      <c r="AH1575" s="4">
        <v>181500000000</v>
      </c>
    </row>
    <row r="1576" spans="1:34" x14ac:dyDescent="0.25">
      <c r="A1576" s="4">
        <v>1575</v>
      </c>
      <c r="B1576" s="5" t="s">
        <v>3279</v>
      </c>
      <c r="C1576" s="5" t="s">
        <v>3280</v>
      </c>
      <c r="D1576" s="5" t="s">
        <v>1586</v>
      </c>
      <c r="E1576" s="5" t="s">
        <v>40</v>
      </c>
      <c r="F1576" s="5" t="s">
        <v>52</v>
      </c>
      <c r="G1576" s="5" t="s">
        <v>110</v>
      </c>
      <c r="H1576" s="4"/>
      <c r="I1576" s="4"/>
      <c r="J1576" s="6"/>
      <c r="K1576" s="6"/>
      <c r="L1576" s="6"/>
      <c r="M1576" s="4"/>
      <c r="N1576" s="4"/>
      <c r="O1576" s="4"/>
      <c r="P1576" s="6"/>
      <c r="Q1576" s="6"/>
      <c r="R1576" s="6"/>
      <c r="S1576" s="6"/>
      <c r="T1576" s="4"/>
      <c r="U1576" s="6"/>
      <c r="V1576" s="6"/>
      <c r="W1576" s="6"/>
      <c r="X1576" s="6"/>
      <c r="Y1576" s="4"/>
      <c r="Z1576" s="6"/>
      <c r="AA1576" s="4"/>
      <c r="AB1576" s="4"/>
      <c r="AC1576" s="4"/>
      <c r="AD1576" s="6"/>
      <c r="AE1576" s="4"/>
      <c r="AF1576" s="4"/>
      <c r="AG1576" s="4"/>
      <c r="AH1576" s="4"/>
    </row>
    <row r="1577" spans="1:34" x14ac:dyDescent="0.25">
      <c r="A1577" s="4">
        <v>1576</v>
      </c>
      <c r="B1577" s="5" t="s">
        <v>3281</v>
      </c>
      <c r="C1577" s="5" t="s">
        <v>3282</v>
      </c>
      <c r="D1577" s="5" t="s">
        <v>1586</v>
      </c>
      <c r="E1577" s="5" t="s">
        <v>40</v>
      </c>
      <c r="F1577" s="5" t="s">
        <v>52</v>
      </c>
      <c r="G1577" s="5" t="s">
        <v>110</v>
      </c>
      <c r="H1577" s="4"/>
      <c r="I1577" s="4"/>
      <c r="J1577" s="6"/>
      <c r="K1577" s="6"/>
      <c r="L1577" s="6"/>
      <c r="M1577" s="4"/>
      <c r="N1577" s="4"/>
      <c r="O1577" s="4"/>
      <c r="P1577" s="6"/>
      <c r="Q1577" s="6"/>
      <c r="R1577" s="6"/>
      <c r="S1577" s="6"/>
      <c r="T1577" s="4"/>
      <c r="U1577" s="6"/>
      <c r="V1577" s="6"/>
      <c r="W1577" s="6"/>
      <c r="X1577" s="6"/>
      <c r="Y1577" s="4"/>
      <c r="Z1577" s="6"/>
      <c r="AA1577" s="4"/>
      <c r="AB1577" s="4"/>
      <c r="AC1577" s="4"/>
      <c r="AD1577" s="6"/>
      <c r="AE1577" s="4"/>
      <c r="AF1577" s="4"/>
      <c r="AG1577" s="4"/>
      <c r="AH1577" s="4">
        <v>17000000000</v>
      </c>
    </row>
    <row r="1578" spans="1:34" x14ac:dyDescent="0.25">
      <c r="A1578" s="4">
        <v>1577</v>
      </c>
      <c r="B1578" s="5" t="s">
        <v>3283</v>
      </c>
      <c r="C1578" s="5" t="s">
        <v>3284</v>
      </c>
      <c r="D1578" s="5" t="s">
        <v>1586</v>
      </c>
      <c r="E1578" s="5" t="s">
        <v>98</v>
      </c>
      <c r="F1578" s="5" t="s">
        <v>99</v>
      </c>
      <c r="G1578" s="5" t="s">
        <v>155</v>
      </c>
      <c r="H1578" s="4"/>
      <c r="I1578" s="4"/>
      <c r="J1578" s="6"/>
      <c r="K1578" s="6"/>
      <c r="L1578" s="6"/>
      <c r="M1578" s="4"/>
      <c r="N1578" s="4"/>
      <c r="O1578" s="4"/>
      <c r="P1578" s="6"/>
      <c r="Q1578" s="6"/>
      <c r="R1578" s="6"/>
      <c r="S1578" s="6"/>
      <c r="T1578" s="4"/>
      <c r="U1578" s="6"/>
      <c r="V1578" s="6"/>
      <c r="W1578" s="6"/>
      <c r="X1578" s="6"/>
      <c r="Y1578" s="4"/>
      <c r="Z1578" s="6"/>
      <c r="AA1578" s="4"/>
      <c r="AB1578" s="4"/>
      <c r="AC1578" s="4"/>
      <c r="AD1578" s="6"/>
      <c r="AE1578" s="4"/>
      <c r="AF1578" s="4"/>
      <c r="AG1578" s="4"/>
      <c r="AH1578" s="4">
        <v>75600000000</v>
      </c>
    </row>
    <row r="1579" spans="1:34" x14ac:dyDescent="0.25">
      <c r="A1579" s="4">
        <v>1578</v>
      </c>
      <c r="B1579" s="5" t="s">
        <v>3285</v>
      </c>
      <c r="C1579" s="5" t="s">
        <v>3286</v>
      </c>
      <c r="D1579" s="5" t="s">
        <v>1586</v>
      </c>
      <c r="E1579" s="5" t="s">
        <v>40</v>
      </c>
      <c r="F1579" s="5" t="s">
        <v>52</v>
      </c>
      <c r="G1579" s="5" t="s">
        <v>53</v>
      </c>
      <c r="H1579" s="4"/>
      <c r="I1579" s="4"/>
      <c r="J1579" s="6"/>
      <c r="K1579" s="6"/>
      <c r="L1579" s="6"/>
      <c r="M1579" s="4"/>
      <c r="N1579" s="4"/>
      <c r="O1579" s="4"/>
      <c r="P1579" s="6"/>
      <c r="Q1579" s="6"/>
      <c r="R1579" s="6"/>
      <c r="S1579" s="6"/>
      <c r="T1579" s="4"/>
      <c r="U1579" s="6"/>
      <c r="V1579" s="6"/>
      <c r="W1579" s="6"/>
      <c r="X1579" s="6"/>
      <c r="Y1579" s="4"/>
      <c r="Z1579" s="6"/>
      <c r="AA1579" s="4"/>
      <c r="AB1579" s="4"/>
      <c r="AC1579" s="4"/>
      <c r="AD1579" s="6"/>
      <c r="AE1579" s="4"/>
      <c r="AF1579" s="4"/>
      <c r="AG1579" s="4"/>
      <c r="AH1579" s="4">
        <v>164794544200</v>
      </c>
    </row>
    <row r="1580" spans="1:34" x14ac:dyDescent="0.25">
      <c r="A1580" s="4">
        <v>1579</v>
      </c>
      <c r="B1580" s="5" t="s">
        <v>3287</v>
      </c>
      <c r="C1580" s="5" t="s">
        <v>3288</v>
      </c>
      <c r="D1580" s="5" t="s">
        <v>1586</v>
      </c>
      <c r="E1580" s="5" t="s">
        <v>24</v>
      </c>
      <c r="F1580" s="5" t="s">
        <v>25</v>
      </c>
      <c r="G1580" s="5" t="s">
        <v>45</v>
      </c>
      <c r="H1580" s="4"/>
      <c r="I1580" s="4"/>
      <c r="J1580" s="6"/>
      <c r="K1580" s="6"/>
      <c r="L1580" s="6"/>
      <c r="M1580" s="4"/>
      <c r="N1580" s="4"/>
      <c r="O1580" s="4"/>
      <c r="P1580" s="6"/>
      <c r="Q1580" s="6"/>
      <c r="R1580" s="6"/>
      <c r="S1580" s="6"/>
      <c r="T1580" s="4"/>
      <c r="U1580" s="6"/>
      <c r="V1580" s="6"/>
      <c r="W1580" s="6"/>
      <c r="X1580" s="6"/>
      <c r="Y1580" s="4"/>
      <c r="Z1580" s="6"/>
      <c r="AA1580" s="4"/>
      <c r="AB1580" s="4"/>
      <c r="AC1580" s="4"/>
      <c r="AD1580" s="6"/>
      <c r="AE1580" s="4"/>
      <c r="AF1580" s="4"/>
      <c r="AG1580" s="4"/>
      <c r="AH1580" s="4">
        <v>109884600000</v>
      </c>
    </row>
    <row r="1581" spans="1:34" x14ac:dyDescent="0.25">
      <c r="A1581" s="4">
        <v>1580</v>
      </c>
      <c r="B1581" s="5" t="s">
        <v>3289</v>
      </c>
      <c r="C1581" s="5" t="s">
        <v>3290</v>
      </c>
      <c r="D1581" s="5" t="s">
        <v>1586</v>
      </c>
      <c r="E1581" s="5" t="s">
        <v>40</v>
      </c>
      <c r="F1581" s="5" t="s">
        <v>41</v>
      </c>
      <c r="G1581" s="5" t="s">
        <v>983</v>
      </c>
      <c r="H1581" s="4"/>
      <c r="I1581" s="4"/>
      <c r="J1581" s="6"/>
      <c r="K1581" s="6"/>
      <c r="L1581" s="6"/>
      <c r="M1581" s="4"/>
      <c r="N1581" s="4"/>
      <c r="O1581" s="4"/>
      <c r="P1581" s="6"/>
      <c r="Q1581" s="6"/>
      <c r="R1581" s="6"/>
      <c r="S1581" s="6"/>
      <c r="T1581" s="4"/>
      <c r="U1581" s="6"/>
      <c r="V1581" s="6"/>
      <c r="W1581" s="6"/>
      <c r="X1581" s="6"/>
      <c r="Y1581" s="4"/>
      <c r="Z1581" s="6"/>
      <c r="AA1581" s="4"/>
      <c r="AB1581" s="4"/>
      <c r="AC1581" s="4"/>
      <c r="AD1581" s="6"/>
      <c r="AE1581" s="4"/>
      <c r="AF1581" s="4"/>
      <c r="AG1581" s="4"/>
      <c r="AH1581" s="4">
        <v>295185861200</v>
      </c>
    </row>
    <row r="1582" spans="1:34" x14ac:dyDescent="0.25">
      <c r="A1582" s="4">
        <v>1581</v>
      </c>
      <c r="B1582" s="5" t="s">
        <v>3291</v>
      </c>
      <c r="C1582" s="5" t="s">
        <v>3292</v>
      </c>
      <c r="D1582" s="5" t="s">
        <v>1586</v>
      </c>
      <c r="E1582" s="5" t="s">
        <v>29</v>
      </c>
      <c r="F1582" s="5" t="s">
        <v>30</v>
      </c>
      <c r="G1582" s="5" t="s">
        <v>117</v>
      </c>
      <c r="H1582" s="4"/>
      <c r="I1582" s="4"/>
      <c r="J1582" s="6"/>
      <c r="K1582" s="6"/>
      <c r="L1582" s="6"/>
      <c r="M1582" s="4"/>
      <c r="N1582" s="4"/>
      <c r="O1582" s="4"/>
      <c r="P1582" s="6"/>
      <c r="Q1582" s="6"/>
      <c r="R1582" s="6"/>
      <c r="S1582" s="6"/>
      <c r="T1582" s="4"/>
      <c r="U1582" s="6"/>
      <c r="V1582" s="6"/>
      <c r="W1582" s="6"/>
      <c r="X1582" s="6"/>
      <c r="Y1582" s="4"/>
      <c r="Z1582" s="6"/>
      <c r="AA1582" s="4"/>
      <c r="AB1582" s="4"/>
      <c r="AC1582" s="4"/>
      <c r="AD1582" s="6"/>
      <c r="AE1582" s="4"/>
      <c r="AF1582" s="4"/>
      <c r="AG1582" s="4"/>
      <c r="AH1582" s="4">
        <v>809100000000</v>
      </c>
    </row>
    <row r="1583" spans="1:34" x14ac:dyDescent="0.25">
      <c r="A1583" s="4">
        <v>1582</v>
      </c>
      <c r="B1583" s="5" t="s">
        <v>3293</v>
      </c>
      <c r="C1583" s="5" t="s">
        <v>3294</v>
      </c>
      <c r="D1583" s="5" t="s">
        <v>1586</v>
      </c>
      <c r="E1583" s="5" t="s">
        <v>40</v>
      </c>
      <c r="F1583" s="5" t="s">
        <v>41</v>
      </c>
      <c r="G1583" s="5" t="s">
        <v>406</v>
      </c>
      <c r="H1583" s="4"/>
      <c r="I1583" s="4"/>
      <c r="J1583" s="6"/>
      <c r="K1583" s="6"/>
      <c r="L1583" s="6"/>
      <c r="M1583" s="4"/>
      <c r="N1583" s="4"/>
      <c r="O1583" s="4"/>
      <c r="P1583" s="6"/>
      <c r="Q1583" s="6"/>
      <c r="R1583" s="6"/>
      <c r="S1583" s="6"/>
      <c r="T1583" s="4"/>
      <c r="U1583" s="6"/>
      <c r="V1583" s="6"/>
      <c r="W1583" s="6"/>
      <c r="X1583" s="6"/>
      <c r="Y1583" s="4"/>
      <c r="Z1583" s="6"/>
      <c r="AA1583" s="4"/>
      <c r="AB1583" s="4"/>
      <c r="AC1583" s="4"/>
      <c r="AD1583" s="6"/>
      <c r="AE1583" s="4"/>
      <c r="AF1583" s="4"/>
      <c r="AG1583" s="4"/>
      <c r="AH1583" s="4">
        <v>175000000000</v>
      </c>
    </row>
    <row r="1584" spans="1:34" x14ac:dyDescent="0.25">
      <c r="A1584" s="4">
        <v>1583</v>
      </c>
      <c r="B1584" s="5" t="s">
        <v>3295</v>
      </c>
      <c r="C1584" s="5" t="s">
        <v>3296</v>
      </c>
      <c r="D1584" s="5" t="s">
        <v>1586</v>
      </c>
      <c r="E1584" s="5" t="s">
        <v>29</v>
      </c>
      <c r="F1584" s="5" t="s">
        <v>36</v>
      </c>
      <c r="G1584" s="5" t="s">
        <v>37</v>
      </c>
      <c r="H1584" s="4"/>
      <c r="I1584" s="4"/>
      <c r="J1584" s="6"/>
      <c r="K1584" s="6"/>
      <c r="L1584" s="6"/>
      <c r="M1584" s="4"/>
      <c r="N1584" s="4"/>
      <c r="O1584" s="4"/>
      <c r="P1584" s="6"/>
      <c r="Q1584" s="6"/>
      <c r="R1584" s="6"/>
      <c r="S1584" s="6"/>
      <c r="T1584" s="4"/>
      <c r="U1584" s="6"/>
      <c r="V1584" s="6"/>
      <c r="W1584" s="6"/>
      <c r="X1584" s="6"/>
      <c r="Y1584" s="4"/>
      <c r="Z1584" s="6"/>
      <c r="AA1584" s="4"/>
      <c r="AB1584" s="4"/>
      <c r="AC1584" s="4"/>
      <c r="AD1584" s="6"/>
      <c r="AE1584" s="4"/>
      <c r="AF1584" s="4"/>
      <c r="AG1584" s="4"/>
      <c r="AH1584" s="4">
        <v>62500000000</v>
      </c>
    </row>
    <row r="1585" spans="1:34" x14ac:dyDescent="0.25">
      <c r="A1585" s="4">
        <v>1584</v>
      </c>
      <c r="B1585" s="5" t="s">
        <v>3297</v>
      </c>
      <c r="C1585" s="5" t="s">
        <v>3298</v>
      </c>
      <c r="D1585" s="5" t="s">
        <v>1586</v>
      </c>
      <c r="E1585" s="5" t="s">
        <v>40</v>
      </c>
      <c r="F1585" s="5" t="s">
        <v>52</v>
      </c>
      <c r="G1585" s="5" t="s">
        <v>53</v>
      </c>
      <c r="H1585" s="4"/>
      <c r="I1585" s="4"/>
      <c r="J1585" s="6"/>
      <c r="K1585" s="6"/>
      <c r="L1585" s="6"/>
      <c r="M1585" s="4"/>
      <c r="N1585" s="4"/>
      <c r="O1585" s="4"/>
      <c r="P1585" s="6"/>
      <c r="Q1585" s="6"/>
      <c r="R1585" s="6"/>
      <c r="S1585" s="6"/>
      <c r="T1585" s="4"/>
      <c r="U1585" s="6"/>
      <c r="V1585" s="6"/>
      <c r="W1585" s="6"/>
      <c r="X1585" s="6"/>
      <c r="Y1585" s="4"/>
      <c r="Z1585" s="6"/>
      <c r="AA1585" s="4"/>
      <c r="AB1585" s="4"/>
      <c r="AC1585" s="4"/>
      <c r="AD1585" s="6"/>
      <c r="AE1585" s="4"/>
      <c r="AF1585" s="4"/>
      <c r="AG1585" s="4"/>
      <c r="AH1585" s="4">
        <v>402263100</v>
      </c>
    </row>
    <row r="1586" spans="1:34" x14ac:dyDescent="0.25">
      <c r="A1586" s="4">
        <v>1585</v>
      </c>
      <c r="B1586" s="5" t="s">
        <v>3299</v>
      </c>
      <c r="C1586" s="5" t="s">
        <v>3300</v>
      </c>
      <c r="D1586" s="5" t="s">
        <v>1586</v>
      </c>
      <c r="E1586" s="5" t="s">
        <v>75</v>
      </c>
      <c r="F1586" s="5" t="s">
        <v>76</v>
      </c>
      <c r="G1586" s="5" t="s">
        <v>76</v>
      </c>
      <c r="H1586" s="4"/>
      <c r="I1586" s="4"/>
      <c r="J1586" s="6"/>
      <c r="K1586" s="6"/>
      <c r="L1586" s="6"/>
      <c r="M1586" s="4"/>
      <c r="N1586" s="4"/>
      <c r="O1586" s="4"/>
      <c r="P1586" s="6"/>
      <c r="Q1586" s="6"/>
      <c r="R1586" s="6"/>
      <c r="S1586" s="6"/>
      <c r="T1586" s="4"/>
      <c r="U1586" s="6"/>
      <c r="V1586" s="6"/>
      <c r="W1586" s="6"/>
      <c r="X1586" s="6"/>
      <c r="Y1586" s="4"/>
      <c r="Z1586" s="6"/>
      <c r="AA1586" s="4"/>
      <c r="AB1586" s="4"/>
      <c r="AC1586" s="4"/>
      <c r="AD1586" s="6"/>
      <c r="AE1586" s="4"/>
      <c r="AF1586" s="4"/>
      <c r="AG1586" s="4"/>
      <c r="AH1586" s="4">
        <v>437835893400</v>
      </c>
    </row>
    <row r="1587" spans="1:34" x14ac:dyDescent="0.25">
      <c r="A1587" s="4">
        <v>1586</v>
      </c>
      <c r="B1587" s="5" t="s">
        <v>3301</v>
      </c>
      <c r="C1587" s="5" t="s">
        <v>3302</v>
      </c>
      <c r="D1587" s="5" t="s">
        <v>1586</v>
      </c>
      <c r="E1587" s="5" t="s">
        <v>29</v>
      </c>
      <c r="F1587" s="5" t="s">
        <v>36</v>
      </c>
      <c r="G1587" s="5" t="s">
        <v>126</v>
      </c>
      <c r="H1587" s="4">
        <v>94844675171</v>
      </c>
      <c r="I1587" s="4">
        <v>234747555734</v>
      </c>
      <c r="J1587" s="6">
        <v>-0.17929999999999999</v>
      </c>
      <c r="K1587" s="6"/>
      <c r="L1587" s="6"/>
      <c r="M1587" s="4">
        <v>963381763</v>
      </c>
      <c r="N1587" s="4">
        <v>1441226413</v>
      </c>
      <c r="O1587" s="4"/>
      <c r="P1587" s="6">
        <v>-0.98499999999999999</v>
      </c>
      <c r="Q1587" s="6"/>
      <c r="R1587" s="6"/>
      <c r="S1587" s="6">
        <v>1.1919999999999999</v>
      </c>
      <c r="T1587" s="4"/>
      <c r="U1587" s="6"/>
      <c r="V1587" s="6"/>
      <c r="W1587" s="6"/>
      <c r="X1587" s="6"/>
      <c r="Y1587" s="4"/>
      <c r="Z1587" s="6">
        <v>-0.3221</v>
      </c>
      <c r="AA1587" s="4"/>
      <c r="AB1587" s="4"/>
      <c r="AC1587" s="4"/>
      <c r="AD1587" s="6"/>
      <c r="AE1587" s="4"/>
      <c r="AF1587" s="4"/>
      <c r="AG1587" s="4"/>
      <c r="AH1587" s="4">
        <v>347927250000</v>
      </c>
    </row>
    <row r="1588" spans="1:34" x14ac:dyDescent="0.25">
      <c r="A1588" s="4">
        <v>1587</v>
      </c>
      <c r="B1588" s="5" t="s">
        <v>3303</v>
      </c>
      <c r="C1588" s="5" t="s">
        <v>3304</v>
      </c>
      <c r="D1588" s="5" t="s">
        <v>1586</v>
      </c>
      <c r="E1588" s="5" t="s">
        <v>40</v>
      </c>
      <c r="F1588" s="5" t="s">
        <v>52</v>
      </c>
      <c r="G1588" s="5" t="s">
        <v>110</v>
      </c>
      <c r="H1588" s="4"/>
      <c r="I1588" s="4"/>
      <c r="J1588" s="6"/>
      <c r="K1588" s="6"/>
      <c r="L1588" s="6"/>
      <c r="M1588" s="4"/>
      <c r="N1588" s="4"/>
      <c r="O1588" s="4"/>
      <c r="P1588" s="6"/>
      <c r="Q1588" s="6"/>
      <c r="R1588" s="6"/>
      <c r="S1588" s="6"/>
      <c r="T1588" s="4"/>
      <c r="U1588" s="6"/>
      <c r="V1588" s="6"/>
      <c r="W1588" s="6"/>
      <c r="X1588" s="6"/>
      <c r="Y1588" s="4"/>
      <c r="Z1588" s="6"/>
      <c r="AA1588" s="4"/>
      <c r="AB1588" s="4"/>
      <c r="AC1588" s="4"/>
      <c r="AD1588" s="6"/>
      <c r="AE1588" s="4"/>
      <c r="AF1588" s="4"/>
      <c r="AG1588" s="4"/>
      <c r="AH1588" s="4">
        <v>41100000000</v>
      </c>
    </row>
    <row r="1589" spans="1:34" x14ac:dyDescent="0.25">
      <c r="A1589" s="4">
        <v>1588</v>
      </c>
      <c r="B1589" s="5" t="s">
        <v>3305</v>
      </c>
      <c r="C1589" s="5" t="s">
        <v>3306</v>
      </c>
      <c r="D1589" s="5" t="s">
        <v>1586</v>
      </c>
      <c r="E1589" s="5" t="s">
        <v>40</v>
      </c>
      <c r="F1589" s="5" t="s">
        <v>52</v>
      </c>
      <c r="G1589" s="5" t="s">
        <v>53</v>
      </c>
      <c r="H1589" s="4"/>
      <c r="I1589" s="4"/>
      <c r="J1589" s="6"/>
      <c r="K1589" s="6"/>
      <c r="L1589" s="6"/>
      <c r="M1589" s="4"/>
      <c r="N1589" s="4"/>
      <c r="O1589" s="4"/>
      <c r="P1589" s="6"/>
      <c r="Q1589" s="6"/>
      <c r="R1589" s="6"/>
      <c r="S1589" s="6"/>
      <c r="T1589" s="4"/>
      <c r="U1589" s="6"/>
      <c r="V1589" s="6"/>
      <c r="W1589" s="6"/>
      <c r="X1589" s="6"/>
      <c r="Y1589" s="4"/>
      <c r="Z1589" s="6"/>
      <c r="AA1589" s="4"/>
      <c r="AB1589" s="4"/>
      <c r="AC1589" s="4"/>
      <c r="AD1589" s="6"/>
      <c r="AE1589" s="4"/>
      <c r="AF1589" s="4"/>
      <c r="AG1589" s="4"/>
      <c r="AH1589" s="4">
        <v>700543947419</v>
      </c>
    </row>
    <row r="1590" spans="1:34" x14ac:dyDescent="0.25">
      <c r="A1590" s="4">
        <v>1589</v>
      </c>
      <c r="B1590" s="5" t="s">
        <v>3307</v>
      </c>
      <c r="C1590" s="5" t="s">
        <v>3308</v>
      </c>
      <c r="D1590" s="5" t="s">
        <v>1586</v>
      </c>
      <c r="E1590" s="5" t="s">
        <v>40</v>
      </c>
      <c r="F1590" s="5" t="s">
        <v>52</v>
      </c>
      <c r="G1590" s="5" t="s">
        <v>53</v>
      </c>
      <c r="H1590" s="4"/>
      <c r="I1590" s="4"/>
      <c r="J1590" s="6"/>
      <c r="K1590" s="6"/>
      <c r="L1590" s="6"/>
      <c r="M1590" s="4"/>
      <c r="N1590" s="4"/>
      <c r="O1590" s="4"/>
      <c r="P1590" s="6"/>
      <c r="Q1590" s="6"/>
      <c r="R1590" s="6"/>
      <c r="S1590" s="6"/>
      <c r="T1590" s="4"/>
      <c r="U1590" s="6"/>
      <c r="V1590" s="6"/>
      <c r="W1590" s="6"/>
      <c r="X1590" s="6"/>
      <c r="Y1590" s="4"/>
      <c r="Z1590" s="6"/>
      <c r="AA1590" s="4"/>
      <c r="AB1590" s="4"/>
      <c r="AC1590" s="4"/>
      <c r="AD1590" s="6"/>
      <c r="AE1590" s="4"/>
      <c r="AF1590" s="4"/>
      <c r="AG1590" s="4"/>
      <c r="AH1590" s="4">
        <v>24400000000</v>
      </c>
    </row>
    <row r="1591" spans="1:34" x14ac:dyDescent="0.25">
      <c r="A1591" s="4">
        <v>1590</v>
      </c>
      <c r="B1591" s="5" t="s">
        <v>3309</v>
      </c>
      <c r="C1591" s="5" t="s">
        <v>3310</v>
      </c>
      <c r="D1591" s="5" t="s">
        <v>1586</v>
      </c>
      <c r="E1591" s="5" t="s">
        <v>98</v>
      </c>
      <c r="F1591" s="5" t="s">
        <v>99</v>
      </c>
      <c r="G1591" s="5" t="s">
        <v>144</v>
      </c>
      <c r="H1591" s="4"/>
      <c r="I1591" s="4"/>
      <c r="J1591" s="6"/>
      <c r="K1591" s="6"/>
      <c r="L1591" s="6"/>
      <c r="M1591" s="4"/>
      <c r="N1591" s="4"/>
      <c r="O1591" s="4"/>
      <c r="P1591" s="6"/>
      <c r="Q1591" s="6"/>
      <c r="R1591" s="6"/>
      <c r="S1591" s="6"/>
      <c r="T1591" s="4"/>
      <c r="U1591" s="6"/>
      <c r="V1591" s="6"/>
      <c r="W1591" s="6"/>
      <c r="X1591" s="6"/>
      <c r="Y1591" s="4"/>
      <c r="Z1591" s="6"/>
      <c r="AA1591" s="4"/>
      <c r="AB1591" s="4"/>
      <c r="AC1591" s="4"/>
      <c r="AD1591" s="6"/>
      <c r="AE1591" s="4"/>
      <c r="AF1591" s="4"/>
      <c r="AG1591" s="4"/>
      <c r="AH1591" s="4">
        <v>230040000000</v>
      </c>
    </row>
    <row r="1592" spans="1:34" x14ac:dyDescent="0.25">
      <c r="A1592" s="4">
        <v>1591</v>
      </c>
      <c r="B1592" s="5" t="s">
        <v>3311</v>
      </c>
      <c r="C1592" s="5" t="s">
        <v>3312</v>
      </c>
      <c r="D1592" s="5" t="s">
        <v>1586</v>
      </c>
      <c r="E1592" s="5" t="s">
        <v>29</v>
      </c>
      <c r="F1592" s="5" t="s">
        <v>36</v>
      </c>
      <c r="G1592" s="5" t="s">
        <v>536</v>
      </c>
      <c r="H1592" s="4"/>
      <c r="I1592" s="4"/>
      <c r="J1592" s="6"/>
      <c r="K1592" s="6"/>
      <c r="L1592" s="6"/>
      <c r="M1592" s="4"/>
      <c r="N1592" s="4"/>
      <c r="O1592" s="4"/>
      <c r="P1592" s="6"/>
      <c r="Q1592" s="6"/>
      <c r="R1592" s="6"/>
      <c r="S1592" s="6"/>
      <c r="T1592" s="4"/>
      <c r="U1592" s="6"/>
      <c r="V1592" s="6"/>
      <c r="W1592" s="6"/>
      <c r="X1592" s="6"/>
      <c r="Y1592" s="4"/>
      <c r="Z1592" s="6"/>
      <c r="AA1592" s="4"/>
      <c r="AB1592" s="4"/>
      <c r="AC1592" s="4"/>
      <c r="AD1592" s="6"/>
      <c r="AE1592" s="4"/>
      <c r="AF1592" s="4"/>
      <c r="AG1592" s="4"/>
      <c r="AH1592" s="4">
        <v>220142900750</v>
      </c>
    </row>
    <row r="1593" spans="1:34" x14ac:dyDescent="0.25">
      <c r="A1593" s="4">
        <v>1592</v>
      </c>
      <c r="B1593" s="5" t="s">
        <v>3313</v>
      </c>
      <c r="C1593" s="5" t="s">
        <v>3314</v>
      </c>
      <c r="D1593" s="5" t="s">
        <v>1586</v>
      </c>
      <c r="E1593" s="5" t="s">
        <v>40</v>
      </c>
      <c r="F1593" s="5" t="s">
        <v>52</v>
      </c>
      <c r="G1593" s="5" t="s">
        <v>53</v>
      </c>
      <c r="H1593" s="4"/>
      <c r="I1593" s="4"/>
      <c r="J1593" s="6"/>
      <c r="K1593" s="6"/>
      <c r="L1593" s="6"/>
      <c r="M1593" s="4"/>
      <c r="N1593" s="4"/>
      <c r="O1593" s="4"/>
      <c r="P1593" s="6"/>
      <c r="Q1593" s="6"/>
      <c r="R1593" s="6"/>
      <c r="S1593" s="6"/>
      <c r="T1593" s="4"/>
      <c r="U1593" s="6"/>
      <c r="V1593" s="6"/>
      <c r="W1593" s="6"/>
      <c r="X1593" s="6"/>
      <c r="Y1593" s="4"/>
      <c r="Z1593" s="6"/>
      <c r="AA1593" s="4"/>
      <c r="AB1593" s="4"/>
      <c r="AC1593" s="4"/>
      <c r="AD1593" s="6"/>
      <c r="AE1593" s="4"/>
      <c r="AF1593" s="4"/>
      <c r="AG1593" s="4"/>
      <c r="AH1593" s="4">
        <v>88306350000</v>
      </c>
    </row>
    <row r="1594" spans="1:34" x14ac:dyDescent="0.25">
      <c r="A1594" s="4">
        <v>1593</v>
      </c>
      <c r="B1594" s="5" t="s">
        <v>3315</v>
      </c>
      <c r="C1594" s="5" t="s">
        <v>3316</v>
      </c>
      <c r="D1594" s="5" t="s">
        <v>1586</v>
      </c>
      <c r="E1594" s="5" t="s">
        <v>234</v>
      </c>
      <c r="F1594" s="5" t="s">
        <v>235</v>
      </c>
      <c r="G1594" s="5" t="s">
        <v>1996</v>
      </c>
      <c r="H1594" s="4"/>
      <c r="I1594" s="4"/>
      <c r="J1594" s="6"/>
      <c r="K1594" s="6"/>
      <c r="L1594" s="6"/>
      <c r="M1594" s="4"/>
      <c r="N1594" s="4"/>
      <c r="O1594" s="4"/>
      <c r="P1594" s="6"/>
      <c r="Q1594" s="6"/>
      <c r="R1594" s="6"/>
      <c r="S1594" s="6"/>
      <c r="T1594" s="4"/>
      <c r="U1594" s="6"/>
      <c r="V1594" s="6"/>
      <c r="W1594" s="6"/>
      <c r="X1594" s="6"/>
      <c r="Y1594" s="4"/>
      <c r="Z1594" s="6"/>
      <c r="AA1594" s="4"/>
      <c r="AB1594" s="4"/>
      <c r="AC1594" s="4"/>
      <c r="AD1594" s="6"/>
      <c r="AE1594" s="4"/>
      <c r="AF1594" s="4"/>
      <c r="AG1594" s="4"/>
      <c r="AH1594" s="4">
        <v>207191600000</v>
      </c>
    </row>
    <row r="1595" spans="1:34" s="1" customFormat="1" ht="15.75" x14ac:dyDescent="0.25">
      <c r="C1595" s="2"/>
      <c r="D1595" s="2"/>
      <c r="E1595" s="2"/>
      <c r="F1595" s="2"/>
      <c r="G1595" s="2"/>
      <c r="H1595" s="2"/>
      <c r="I1595" s="2"/>
      <c r="J1595" s="2"/>
    </row>
    <row r="1596" spans="1:34" s="1" customFormat="1" ht="15.75" x14ac:dyDescent="0.25">
      <c r="C1596" s="3"/>
      <c r="D1596" s="3"/>
      <c r="E1596" s="3"/>
      <c r="F1596" s="3"/>
      <c r="G1596" s="3"/>
      <c r="H1596" s="3"/>
      <c r="I1596" s="3"/>
      <c r="J1596" s="3"/>
    </row>
    <row r="1597" spans="1:34" s="1" customFormat="1" ht="15.75" x14ac:dyDescent="0.25">
      <c r="A1597" s="2" t="s">
        <v>3359</v>
      </c>
      <c r="B1597" s="2"/>
      <c r="C1597" s="3"/>
      <c r="D1597" s="3"/>
      <c r="E1597" s="3"/>
      <c r="F1597" s="3"/>
      <c r="G1597" s="3"/>
      <c r="H1597" s="3"/>
      <c r="I1597" s="3"/>
      <c r="J1597" s="3"/>
    </row>
    <row r="1598" spans="1:34" s="1" customFormat="1" ht="15.75" x14ac:dyDescent="0.25">
      <c r="A1598" s="2" t="s">
        <v>3358</v>
      </c>
      <c r="B1598" s="2"/>
      <c r="C1598" s="20"/>
      <c r="D1598" s="20"/>
      <c r="E1598" s="20"/>
      <c r="F1598" s="20"/>
      <c r="G1598" s="20"/>
      <c r="H1598" s="20"/>
      <c r="I1598" s="20"/>
      <c r="J1598" s="20"/>
    </row>
    <row r="1599" spans="1:34" s="1" customFormat="1" ht="15.75" x14ac:dyDescent="0.25">
      <c r="A1599" s="3" t="s">
        <v>3357</v>
      </c>
      <c r="B1599" s="3"/>
    </row>
    <row r="1600" spans="1:34" s="1" customFormat="1" ht="15.75" x14ac:dyDescent="0.25">
      <c r="A1600" s="3" t="s">
        <v>3356</v>
      </c>
      <c r="B1600" s="3"/>
      <c r="C1600" s="2"/>
      <c r="D1600" s="2"/>
      <c r="E1600" s="2"/>
      <c r="F1600" s="2"/>
      <c r="G1600" s="2"/>
      <c r="H1600" s="2"/>
      <c r="I1600" s="2"/>
      <c r="J1600" s="2"/>
    </row>
    <row r="1601" spans="1:12" s="1" customFormat="1" ht="15.75" x14ac:dyDescent="0.25">
      <c r="A1601" s="21" t="s">
        <v>3355</v>
      </c>
      <c r="B1601" s="20"/>
      <c r="C1601" s="3"/>
      <c r="D1601" s="3"/>
      <c r="E1601" s="3"/>
      <c r="F1601" s="3"/>
      <c r="G1601" s="3"/>
      <c r="H1601" s="3"/>
      <c r="I1601" s="3"/>
      <c r="J1601" s="3"/>
    </row>
    <row r="1602" spans="1:12" s="1" customFormat="1" ht="15.75" x14ac:dyDescent="0.25">
      <c r="C1602" s="20"/>
      <c r="D1602" s="20"/>
      <c r="E1602" s="20"/>
      <c r="F1602" s="20"/>
      <c r="G1602" s="20"/>
      <c r="H1602" s="20"/>
      <c r="I1602" s="20"/>
      <c r="J1602" s="20"/>
    </row>
    <row r="1603" spans="1:12" ht="15.75" x14ac:dyDescent="0.25">
      <c r="A1603" s="2" t="s">
        <v>3354</v>
      </c>
      <c r="B1603" s="2"/>
    </row>
    <row r="1604" spans="1:12" ht="15.75" x14ac:dyDescent="0.25">
      <c r="A1604" s="3" t="s">
        <v>3353</v>
      </c>
      <c r="B1604" s="3"/>
    </row>
    <row r="1605" spans="1:12" ht="15.75" x14ac:dyDescent="0.25">
      <c r="A1605" s="21" t="s">
        <v>3352</v>
      </c>
      <c r="B1605" s="20"/>
      <c r="C1605" s="20"/>
      <c r="D1605" s="20"/>
      <c r="E1605" s="20"/>
      <c r="F1605" s="20"/>
      <c r="G1605" s="20"/>
      <c r="H1605" s="20"/>
      <c r="I1605" s="20"/>
      <c r="J1605" s="20"/>
      <c r="K1605" s="1"/>
      <c r="L1605" s="1"/>
    </row>
  </sheetData>
  <hyperlinks>
    <hyperlink ref="A1601" r:id="rId1" xr:uid="{E236921C-F6AC-4CA8-A107-08F50FB8B8B7}"/>
    <hyperlink ref="A1605" r:id="rId2" xr:uid="{6BF4B1F9-10AC-46D6-A83A-881BD560AC6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  <ds:schemaRef ds:uri="a04751b1-5e3a-4f61-9ff4-9e0bde58ff26"/>
    <ds:schemaRef ds:uri="f10637d3-33c3-4ec7-a05a-b988f92ec42a"/>
  </ds:schemaRefs>
</ds:datastoreItem>
</file>

<file path=customXml/itemProps2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DF162E-00A3-4648-A00C-55115EDB00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637d3-33c3-4ec7-a05a-b988f92ec42a"/>
    <ds:schemaRef ds:uri="a04751b1-5e3a-4f61-9ff4-9e0bde58ff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Nguyen Hoang Vi (Executive,Retail Res-HO)</cp:lastModifiedBy>
  <cp:revision/>
  <dcterms:created xsi:type="dcterms:W3CDTF">2019-10-07T03:46:21Z</dcterms:created>
  <dcterms:modified xsi:type="dcterms:W3CDTF">2026-07-23T02:29:27Z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  <property fmtid="{D5CDD505-2E9C-101B-9397-08002B2CF9AE}" pid="3" name="MediaServiceImageTags">
    <vt:lpwstr/>
  </property>
</Properties>
</file>